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240" yWindow="15045" windowWidth="14805" windowHeight="6435"/>
  </bookViews>
  <sheets>
    <sheet name="CLIN 0001 Base Period RW" sheetId="186" r:id="rId1"/>
    <sheet name="CLIN 0002 Base Period N-RW" sheetId="187" r:id="rId2"/>
    <sheet name="CLIN 0003 Base Water RW" sheetId="241" r:id="rId3"/>
    <sheet name="CLIN 0004 1st Period Opt RW" sheetId="287" r:id="rId4"/>
    <sheet name="CLIN 0005 1st Period Opt N-RW" sheetId="279" r:id="rId5"/>
    <sheet name="CLIN 0006 -1st Period Water RW" sheetId="269" r:id="rId6"/>
    <sheet name="CLIN 0007 2nd Period Opt RW" sheetId="288" r:id="rId7"/>
    <sheet name="CLIN 0008 2nd Period Opt N-RW" sheetId="280" r:id="rId8"/>
    <sheet name="CLIN 0009 -2nd Period Water RW" sheetId="272" r:id="rId9"/>
    <sheet name="CLIN 0010 3rd Period Opt RW" sheetId="289" r:id="rId10"/>
    <sheet name="CLIN 0011 3rd Period Opt N-RW" sheetId="281" r:id="rId11"/>
    <sheet name="CLIN 0012 -3rd Period Water RW" sheetId="273" r:id="rId12"/>
    <sheet name="CLIN 0013 4th Period Opt RW" sheetId="290" r:id="rId13"/>
    <sheet name="CLIN 0014 4th Period Opt N-RW" sheetId="282" r:id="rId14"/>
    <sheet name="CLIN 0015 -4th Period Water RW" sheetId="274" r:id="rId15"/>
    <sheet name="CLIN 0016 5th Period Opt RW" sheetId="291" r:id="rId16"/>
    <sheet name="CLIN 0017 5th Period Opt N-RW" sheetId="283" r:id="rId17"/>
    <sheet name="CLIN 0018 -5th Period Water RW" sheetId="275" r:id="rId18"/>
    <sheet name="CLIN 0019 6th Period Opt RW" sheetId="292" r:id="rId19"/>
    <sheet name="CLIN 0020 6th Period Opt N-RW" sheetId="284" r:id="rId20"/>
    <sheet name="CLIN 0021 -6th Period Water RW" sheetId="276" r:id="rId21"/>
    <sheet name="CLIN 0022 7th Period Opt RW" sheetId="293" r:id="rId22"/>
    <sheet name="CLIN 0023 7th Period Opt N-RW" sheetId="285" r:id="rId23"/>
    <sheet name="CLIN 0024-7th Opt Water RW" sheetId="277" r:id="rId24"/>
    <sheet name="CLIN 0025 52.217 Period Opt RW" sheetId="294" r:id="rId25"/>
    <sheet name="CLIN 0026 52.217 Option N-RW " sheetId="286" r:id="rId26"/>
    <sheet name="CLIN 0027-52.217-8 Opt Water RW" sheetId="278" r:id="rId27"/>
    <sheet name="NAVFAC UOMs" sheetId="181"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WRN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_xlfn.BAHTTEXT" hidden="1">#NAME?</definedName>
    <definedName name="_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_xlfn.BAHTTEXT" hidden="1">#NAME?</definedName>
    <definedName name="__123Graph_A" localSheetId="5" hidden="1">'[1]J-SEC'!#REF!</definedName>
    <definedName name="__123Graph_A" localSheetId="8" hidden="1">'[1]J-SEC'!#REF!</definedName>
    <definedName name="__123Graph_A" hidden="1">'[1]J-SEC'!#REF!</definedName>
    <definedName name="__123Graph_ACurrent" localSheetId="5" hidden="1">'[1]J-SEC'!#REF!</definedName>
    <definedName name="__123Graph_ACurrent" localSheetId="8" hidden="1">'[1]J-SEC'!#REF!</definedName>
    <definedName name="__123Graph_ACurrent" hidden="1">'[1]J-SEC'!#REF!</definedName>
    <definedName name="__123Graph_B" localSheetId="5" hidden="1">'[1]J-SEC'!#REF!</definedName>
    <definedName name="__123Graph_B" localSheetId="8" hidden="1">'[1]J-SEC'!#REF!</definedName>
    <definedName name="__123Graph_B" hidden="1">'[1]J-SEC'!#REF!</definedName>
    <definedName name="__123Graph_BCurrent" localSheetId="5" hidden="1">'[1]J-SEC'!#REF!</definedName>
    <definedName name="__123Graph_BCurrent" localSheetId="8" hidden="1">'[1]J-SEC'!#REF!</definedName>
    <definedName name="__123Graph_BCurrent" hidden="1">'[1]J-SEC'!#REF!</definedName>
    <definedName name="__123Graph_X" localSheetId="5" hidden="1">'[1]J-SEC'!#REF!</definedName>
    <definedName name="__123Graph_X" localSheetId="8" hidden="1">'[1]J-SEC'!#REF!</definedName>
    <definedName name="__123Graph_X" hidden="1">'[1]J-SEC'!#REF!</definedName>
    <definedName name="__123Graph_XCurrent" localSheetId="5" hidden="1">'[1]J-SEC'!#REF!</definedName>
    <definedName name="__123Graph_XCurrent" localSheetId="8" hidden="1">'[1]J-SEC'!#REF!</definedName>
    <definedName name="__123Graph_XCurrent" hidden="1">'[1]J-SEC'!#REF!</definedName>
    <definedName name="_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bookmark_1" localSheetId="5">'[2]1502000 FX'!#REF!</definedName>
    <definedName name="__bookmark_1" localSheetId="8">'[2]1502000 FX'!#REF!</definedName>
    <definedName name="__bookmark_1">'[2]1502000 FX'!#REF!</definedName>
    <definedName name="__BP6484" hidden="1">{"laborr",#N/A,FALSE,"Sheet1";"sumr",#N/A,FALSE,"Sheet1";"odcr",#N/A,FALSE,"Sheet1";"trip1r",#N/A,FALSE,"Sheet1";"trip2r",#N/A,FALSE,"Sheet1";"trip3r",#N/A,FALSE,"Sheet1";"trip4r",#N/A,FALSE,"Sheet1"}</definedName>
    <definedName name="__BP6484_1" hidden="1">{"laborr",#N/A,FALSE,"Sheet1";"sumr",#N/A,FALSE,"Sheet1";"odcr",#N/A,FALSE,"Sheet1";"trip1r",#N/A,FALSE,"Sheet1";"trip2r",#N/A,FALSE,"Sheet1";"trip3r",#N/A,FALSE,"Sheet1";"trip4r",#N/A,FALSE,"Sheet1"}</definedName>
    <definedName name="_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FDS_HYPERLINK_TOGGLE_STATE__" hidden="1">"ON"</definedName>
    <definedName name="_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IntlFixup" hidden="1">TRUE</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_te1" hidden="1">{"'1098trans'!$A$10:$F$64","'1098trans'!$A$65:$A$66","'1098trans'!$A$67:$D$69","'1098trans'!$A$64:$F$69"}</definedName>
    <definedName name="__tim1" hidden="1">{"PAGE1",#N/A,FALSE,"allocation base";"PAGE2",#N/A,FALSE,"burden";"PAGE3",#N/A,FALSE,"burden";"PAGE4",#N/A,FALSE,"labor rates";"PAGE5",#N/A,FALSE,"labor rates";"PAGE6",#N/A,FALSE,"labor rates"}</definedName>
    <definedName name="_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_xlfn.BAHTTEXT" hidden="1">#NAME?</definedName>
    <definedName name="_1__123Graph_ACHART_1" hidden="1">[3]CASHFLOW!$F$192:$F$197</definedName>
    <definedName name="_2__123Graph_ACHART_1" hidden="1">[3]CASHFLOW!$F$192:$F$197</definedName>
    <definedName name="_2__123Graph_ACHART_2" hidden="1">[3]CASHFLOW!$F$192:$F$197</definedName>
    <definedName name="_3__123Graph_ACHART_2" hidden="1">[3]CASHFLOW!$F$192:$F$197</definedName>
    <definedName name="_3__123Graph_XCHART_2" hidden="1">[3]CASHFLOW!$E$192:$E$197</definedName>
    <definedName name="_4__123Graph_XCHART_2" hidden="1">[3]CASHFLOW!$E$192:$E$197</definedName>
    <definedName name="_a1" hidden="1">{"PAGE1",#N/A,FALSE,"CPFFMSTR";"PAGE2",#N/A,FALSE,"CPFFMSTR"}</definedName>
    <definedName name="_a1_1" hidden="1">{"PAGE1",#N/A,FALSE,"CPFFMSTR";"PAGE2",#N/A,FALSE,"CPFFMSTR"}</definedName>
    <definedName name="_alt2" hidden="1">{#N/A,#N/A,FALSE,"Sheet1"}</definedName>
    <definedName name="_B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BP6484" hidden="1">{"laborr",#N/A,FALSE,"Sheet1";"sumr",#N/A,FALSE,"Sheet1";"odcr",#N/A,FALSE,"Sheet1";"trip1r",#N/A,FALSE,"Sheet1";"trip2r",#N/A,FALSE,"Sheet1";"trip3r",#N/A,FALSE,"Sheet1";"trip4r",#N/A,FALSE,"Sheet1"}</definedName>
    <definedName name="_BP6484_1" hidden="1">{"laborr",#N/A,FALSE,"Sheet1";"sumr",#N/A,FALSE,"Sheet1";"odcr",#N/A,FALSE,"Sheet1";"trip1r",#N/A,FALSE,"Sheet1";"trip2r",#N/A,FALSE,"Sheet1";"trip3r",#N/A,FALSE,"Sheet1";"trip4r",#N/A,FALSE,"Sheet1"}</definedName>
    <definedName name="_CCC031126" hidden="1">{#N/A,#N/A,FALSE,"Sheet1"}</definedName>
    <definedName name="_eac123"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lnm._FilterDatabase" localSheetId="0" hidden="1">'CLIN 0001 Base Period RW'!$A$7:$M$193</definedName>
    <definedName name="_xlnm._FilterDatabase" localSheetId="2" hidden="1">'CLIN 0003 Base Water RW'!$E$9:$H$9</definedName>
    <definedName name="_xlnm._FilterDatabase" localSheetId="5" hidden="1">'CLIN 0006 -1st Period Water RW'!$E$9:$H$9</definedName>
    <definedName name="_xlnm._FilterDatabase" localSheetId="8" hidden="1">'CLIN 0009 -2nd Period Water RW'!$E$9:$H$9</definedName>
    <definedName name="_FTE1" localSheetId="5">#REF!</definedName>
    <definedName name="_FTE1" localSheetId="8">#REF!</definedName>
    <definedName name="_FTE1">#REF!</definedName>
    <definedName name="_FY09"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gt67" hidden="1">{"'Vietnam'!$E$21:$W$45","'Vietnam'!$E$21:$W$45"}</definedName>
    <definedName name="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odc1" hidden="1">{#N/A,#N/A,FALSE,"ManLoading"}</definedName>
    <definedName name="_odc1_1" hidden="1">{#N/A,#N/A,FALSE,"ManLoading"}</definedName>
    <definedName name="_odc2" hidden="1">{#N/A,#N/A,FALSE,"ManLoading"}</definedName>
    <definedName name="_odc2_1" hidden="1">{#N/A,#N/A,FALSE,"ManLoading"}</definedName>
    <definedName name="_Order1" hidden="1">255</definedName>
    <definedName name="_Order2" hidden="1">255</definedName>
    <definedName name="_Order2_1" hidden="1">255</definedName>
    <definedName name="_ORG1" localSheetId="5">#REF!</definedName>
    <definedName name="_ORG1" localSheetId="8">#REF!</definedName>
    <definedName name="_ORG1">#REF!</definedName>
    <definedName name="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Regression_Int" hidden="1">1</definedName>
    <definedName name="_SM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able1_in2" hidden="1">[4]Overview!$F$19</definedName>
    <definedName name="_te1" hidden="1">{"'1098trans'!$A$10:$F$64","'1098trans'!$A$65:$A$66","'1098trans'!$A$67:$D$69","'1098trans'!$A$64:$F$69"}</definedName>
    <definedName name="_tim1" hidden="1">{"PAGE1",#N/A,FALSE,"allocation base";"PAGE2",#N/A,FALSE,"burden";"PAGE3",#N/A,FALSE,"burden";"PAGE4",#N/A,FALSE,"labor rates";"PAGE5",#N/A,FALSE,"labor rates";"PAGE6",#N/A,FALSE,"labor rates"}</definedName>
    <definedName name="_wrn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_x1" hidden="1">{TRUE,TRUE,-0.8,-17,483.6,277.2,FALSE,TRUE,TRUE,TRUE,0,1,#N/A,1,#N/A,52.4666666666667,24.0625,1,FALSE,FALSE,3,TRUE,1,FALSE,75,"Swvu.PRESENTATION.","ACwvu.PRESENTATION.",#N/A,FALSE,FALSE,0,0,0.5,0,2,"","",TRUE,FALSE,FALSE,FALSE,1,#N/A,1,1,FALSE,FALSE,"Rwvu.PRESENTATION.",#N/A,FALSE,FALSE,FALSE,1,#N/A,#N/A,FALSE,FALSE,TRUE,TRUE,TRUE}</definedName>
    <definedName name="_x12" hidden="1">{TRUE,TRUE,-0.8,-17,483.6,277.2,FALSE,TRUE,TRUE,TRUE,0,1,#N/A,1,#N/A,52.4666666666667,24.0625,1,FALSE,FALSE,3,TRUE,1,FALSE,75,"Swvu.PRESENTATION.","ACwvu.PRESENTATION.",#N/A,FALSE,FALSE,0,0,0.5,0,2,"","",TRUE,FALSE,FALSE,FALSE,1,#N/A,1,1,FALSE,FALSE,"Rwvu.PRESENTATION.",#N/A,FALSE,FALSE,FALSE,1,#N/A,#N/A,FALSE,FALSE,TRUE,TRUE,TRUE}</definedName>
    <definedName name="_x123" hidden="1">{TRUE,TRUE,-0.8,-17,483.6,277.2,FALSE,TRUE,TRUE,TRUE,0,1,#N/A,1,#N/A,52.4666666666667,24.0625,1,FALSE,FALSE,3,TRUE,1,FALSE,75,"Swvu.PRESENTATION.","ACwvu.PRESENTATION.",#N/A,FALSE,FALSE,0,0,0.5,0,2,"","",TRUE,FALSE,FALSE,FALSE,1,#N/A,1,1,FALSE,FALSE,"Rwvu.PRESENTATION.",#N/A,FALSE,FALSE,FALSE,1,#N/A,#N/A,FALSE,FALSE,TRUE,TRUE,TRUE}</definedName>
    <definedName name="_x4" hidden="1">{TRUE,TRUE,-0.8,-17,483.6,277.2,FALSE,TRUE,TRUE,TRUE,0,1,#N/A,1,#N/A,52.4666666666667,24.0625,1,FALSE,FALSE,3,TRUE,1,FALSE,75,"Swvu.PRESENTATION.","ACwvu.PRESENTATION.",#N/A,FALSE,FALSE,0,0,0.5,0,2,"","",TRUE,FALSE,FALSE,FALSE,1,#N/A,1,1,FALSE,FALSE,"Rwvu.PRESENTATION.",#N/A,FALSE,FALSE,FALSE,1,#N/A,#N/A,FALSE,FALSE,TRUE,TRUE,TRUE}</definedName>
    <definedName name="_x412" hidden="1">{TRUE,TRUE,-0.8,-17,483.6,277.2,FALSE,TRUE,TRUE,TRUE,0,1,#N/A,1,#N/A,52.4666666666667,24.0625,1,FALSE,FALSE,3,TRUE,1,FALSE,75,"Swvu.PRESENTATION.","ACwvu.PRESENTATION.",#N/A,FALSE,FALSE,0,0,0.5,0,2,"","",TRUE,FALSE,FALSE,FALSE,1,#N/A,1,1,FALSE,FALSE,"Rwvu.PRESENTATION.",#N/A,FALSE,FALSE,FALSE,1,#N/A,#N/A,FALSE,FALSE,TRUE,TRUE,TRUE}</definedName>
    <definedName name="_x4123" hidden="1">{TRUE,TRUE,-0.8,-17,483.6,277.2,FALSE,TRUE,TRUE,TRUE,0,1,#N/A,1,#N/A,52.4666666666667,24.0625,1,FALSE,FALSE,3,TRUE,1,FALSE,75,"Swvu.PRESENTATION.","ACwvu.PRESENTATION.",#N/A,FALSE,FALSE,0,0,0.5,0,2,"","",TRUE,FALSE,FALSE,FALSE,1,#N/A,1,1,FALSE,FALSE,"Rwvu.PRESENTATION.",#N/A,FALSE,FALSE,FALSE,1,#N/A,#N/A,FALSE,FALSE,TRUE,TRUE,TRUE}</definedName>
    <definedName name="a" hidden="1">{#N/A,#N/A,FALSE,"Sheet1"}</definedName>
    <definedName name="a.1" hidden="1">{#N/A,#N/A,FALSE,"Sheet1"}</definedName>
    <definedName name="aa" hidden="1">{"'1098trans'!$A$10:$F$64","'1098trans'!$A$65:$A$66","'1098trans'!$A$67:$D$69","'1098trans'!$A$64:$F$69"}</definedName>
    <definedName name="aaa" hidden="1">{#N/A,#N/A,FALSE,"Sheet1"}</definedName>
    <definedName name="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 hidden="1">{"1999 Revenue",#N/A,FALSE,"Voice ";"1999 Traffic",#N/A,FALSE,"Voice "}</definedName>
    <definedName name="aaaaaaa" hidden="1">{"1999 Revenue",#N/A,FALSE,"IBS";"1999 Traffic",#N/A,FALSE,"IBS"}</definedName>
    <definedName name="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 hidden="1">{"Start",#N/A,FALSE,"Menu";"P&amp;L",#N/A,FALSE,"Monthly P&amp;L";"Rev",#N/A,FALSE,"Revenue Summary";"budbar",#N/A,FALSE,"Budget-Variance";"priorvar",#N/A,FALSE,"Prior Month Var";"DetailRev",#N/A,FALSE,"Detail  Budget Var (Revenue)";"Detailom",#N/A,FALSE,"Detail Budget Var (O&amp;M)"}</definedName>
    <definedName name="aaaaaaaaaa" hidden="1">{#N/A,#N/A,FALSE,"Monthly"}</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hidden="1">{"1999 Revenue",#N/A,FALSE,"Voice ";"1999 Traffic",#N/A,FALSE,"Voice "}</definedName>
    <definedName name="abbbbbbbbb" hidden="1">{"1999 Revenue",#N/A,FALSE,"IBS";"1999 Traffic",#N/A,FALSE,"IBS"}</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hidden="1">{#N/A,#N/A,FALSE,"Monthly"}</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5" hidden="1">'[1]J-SEC'!#REF!</definedName>
    <definedName name="abc" localSheetId="8" hidden="1">'[1]J-SEC'!#REF!</definedName>
    <definedName name="abc" hidden="1">'[1]J-SEC'!#REF!</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ccess_Button" hidden="1">"FIGBUS_FIGBUS_List"</definedName>
    <definedName name="AccessDatabase" hidden="1">"C:\Documents and Settings\Bardid\My Documents\Program Performance Spreadsheet (VBSS) V2.mdb"</definedName>
    <definedName name="Additional_Costs_1_Cost" localSheetId="5">#REF!</definedName>
    <definedName name="Additional_Costs_1_Cost" localSheetId="8">#REF!</definedName>
    <definedName name="Additional_Costs_1_Cost">#REF!</definedName>
    <definedName name="Additional_Costs_2_Cost" localSheetId="5">#REF!</definedName>
    <definedName name="Additional_Costs_2_Cost" localSheetId="8">#REF!</definedName>
    <definedName name="Additional_Costs_2_Cost">#REF!</definedName>
    <definedName name="Additional_Costs_3_Cost" localSheetId="5">#REF!</definedName>
    <definedName name="Additional_Costs_3_Cost" localSheetId="8">#REF!</definedName>
    <definedName name="Additional_Costs_3_Cost">#REF!</definedName>
    <definedName name="Additional_Costs_4_Cost" localSheetId="5">#REF!</definedName>
    <definedName name="Additional_Costs_4_Cost" localSheetId="8">#REF!</definedName>
    <definedName name="Additional_Costs_4_Cost">#REF!</definedName>
    <definedName name="Additional_Costs_5_Cost" localSheetId="5">#REF!</definedName>
    <definedName name="Additional_Costs_5_Cost" localSheetId="8">#REF!</definedName>
    <definedName name="Additional_Costs_5_Cost">#REF!</definedName>
    <definedName name="Additional_Costs_6_Cost" localSheetId="5">#REF!</definedName>
    <definedName name="Additional_Costs_6_Cost" localSheetId="8">#REF!</definedName>
    <definedName name="Additional_Costs_6_Cost">#REF!</definedName>
    <definedName name="adf" hidden="1">{"PAGE1",#N/A,FALSE,"CPFFMSTR";"PAGE2",#N/A,FALSE,"CPFFMSTR"}</definedName>
    <definedName name="adf_1" hidden="1">{"PAGE1",#N/A,FALSE,"CPFFMSTR";"PAGE2",#N/A,FALSE,"CPFFMSTR"}</definedName>
    <definedName name="adv"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FWTG" hidden="1">{#N/A,#N/A,FALSE,"WBS 1.06";#N/A,#N/A,FALSE,"WBS 1.14";#N/A,#N/A,FALSE,"WBS 1.17";#N/A,#N/A,FALSE,"WBS 1.18"}</definedName>
    <definedName name="Allocated_Labor_Cost_per_Production_Man_Hour" localSheetId="5">#REF!</definedName>
    <definedName name="Allocated_Labor_Cost_per_Production_Man_Hour" localSheetId="8">#REF!</definedName>
    <definedName name="Allocated_Labor_Cost_per_Production_Man_Hour">#REF!</definedName>
    <definedName name="allocations2"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annex" localSheetId="5">#REF!</definedName>
    <definedName name="annex" localSheetId="8">#REF!</definedName>
    <definedName name="annex">#REF!</definedName>
    <definedName name="ANNEX1" localSheetId="5">#REF!</definedName>
    <definedName name="ANNEX1" localSheetId="8">#REF!</definedName>
    <definedName name="ANNEX1">#REF!</definedName>
    <definedName name="anscount" hidden="1">1</definedName>
    <definedName name="AP.Exist.SLS.KF" hidden="1">{"'1098trans'!$A$10:$F$64","'1098trans'!$A$65:$A$66","'1098trans'!$A$67:$D$69","'1098trans'!$A$64:$F$69"}</definedName>
    <definedName name="Area_of_Country_List" localSheetId="5">#REF!</definedName>
    <definedName name="Area_of_Country_List" localSheetId="8">#REF!</definedName>
    <definedName name="Area_of_Country_List">#REF!</definedName>
    <definedName name="AREA1" localSheetId="5">#REF!</definedName>
    <definedName name="AREA1" localSheetId="8">#REF!</definedName>
    <definedName name="AREA1">#REF!</definedName>
    <definedName name="ARRA_Compliant" localSheetId="5">#REF!</definedName>
    <definedName name="ARRA_Compliant" localSheetId="8">#REF!</definedName>
    <definedName name="ARRA_Compliant">#REF!</definedName>
    <definedName name="AS2DocOpenMode" hidden="1">"AS2DocumentEdit"</definedName>
    <definedName name="AS2ReportLS" hidden="1">1</definedName>
    <definedName name="AS2SyncStepLS" hidden="1">0</definedName>
    <definedName name="AS2VersionLS" hidden="1">300</definedName>
    <definedName name="asas" hidden="1">{#N/A,#N/A,TRUE,"DCF Summary (2)";#N/A,#N/A,TRUE,"DCF Summary";#N/A,"Middle Case Drivers",TRUE,"DCF"}</definedName>
    <definedName name="asas1" hidden="1">{#N/A,#N/A,TRUE,"DCF Summary (2)";#N/A,#N/A,TRUE,"DCF Summary";#N/A,"Middle Case Drivers",TRUE,"DCF"}</definedName>
    <definedName name="asd" hidden="1">{#N/A,#N/A,FALSE,"WBS 1.06";#N/A,#N/A,FALSE,"WBS 1.14";#N/A,#N/A,FALSE,"WBS 1.17";#N/A,#N/A,FALSE,"WBS 1.18"}</definedName>
    <definedName name="asdf" hidden="1">{#N/A,#N/A,TRUE,"DCF Summary (2)";#N/A,#N/A,TRUE,"DCF Summary";#N/A,"Middle Case Drivers",TRUE,"DCF"}</definedName>
    <definedName name="asdfasf"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sdfsdfsd" hidden="1">{#N/A,#N/A,FALSE,"Monthly"}</definedName>
    <definedName name="aser" hidden="1">{#N/A,#N/A,FALSE,"Monthly"}</definedName>
    <definedName name="ASF" hidden="1">{#N/A,#N/A,FALSE,"WBS 1.06";#N/A,#N/A,FALSE,"WBS 1.14";#N/A,#N/A,FALSE,"WBS 1.17";#N/A,#N/A,FALSE,"WBS 1.18"}</definedName>
    <definedName name="asr" hidden="1">{#N/A,#N/A,FALSE,"WBS 1.06";#N/A,#N/A,FALSE,"WBS 1.14";#N/A,#N/A,FALSE,"WBS 1.17";#N/A,#N/A,FALSE,"WBS 1.18"}</definedName>
    <definedName name="assdf" hidden="1">{#N/A,#N/A,FALSE,"WBS 1.06";#N/A,#N/A,FALSE,"WBS 1.14";#N/A,#N/A,FALSE,"WBS 1.17";#N/A,#N/A,FALSE,"WBS 1.18"}</definedName>
    <definedName name="asshole" hidden="1">{"(QTR&amp;YR F&amp;O) TOTAL YR",#N/A,FALSE,"QTR&amp;YR F&amp;O";"(QTR&amp;YR F&amp;O) Q1",#N/A,FALSE,"QTR&amp;YR F&amp;O";"(QTR&amp;YR F&amp;O) Q2",#N/A,FALSE,"QTR&amp;YR F&amp;O";"(QTR&amp;YR F&amp;O) Q3",#N/A,FALSE,"QTR&amp;YR F&amp;O";"(QTR&amp;YR F&amp;O) Q4",#N/A,FALSE,"QTR&amp;YR F&amp;O"}</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UDIT" hidden="1">{#N/A,#N/A,FALSE,"T2JE";#N/A,#N/A,FALSE,"T3JE";#N/A,#N/A,FALSE,"T4JE";#N/A,#N/A,FALSE,"T5JE";#N/A,#N/A,FALSE,"T6JE";#N/A,#N/A,FALSE,"MSAE";#N/A,#N/A,FALSE,"JWAE";#N/A,#N/A,FALSE,"T2INV";#N/A,#N/A,FALSE,"T3INV";#N/A,#N/A,FALSE,"T4INV";#N/A,#N/A,FALSE,"T5INV";#N/A,#N/A,FALSE,"T6INV"}</definedName>
    <definedName name="audit2" hidden="1">{#N/A,#N/A,FALSE,"T2JE";#N/A,#N/A,FALSE,"T3JE";#N/A,#N/A,FALSE,"T4JE";#N/A,#N/A,FALSE,"T5JE";#N/A,#N/A,FALSE,"T6JE";#N/A,#N/A,FALSE,"MSAE";#N/A,#N/A,FALSE,"JWAE";#N/A,#N/A,FALSE,"T2INV";#N/A,#N/A,FALSE,"T3INV";#N/A,#N/A,FALSE,"T4INV";#N/A,#N/A,FALSE,"T5INV";#N/A,#N/A,FALSE,"T6INV"}</definedName>
    <definedName name="audit3" hidden="1">{#N/A,#N/A,FALSE,"T2JE";#N/A,#N/A,FALSE,"T3JE";#N/A,#N/A,FALSE,"T4JE";#N/A,#N/A,FALSE,"T5JE";#N/A,#N/A,FALSE,"T6JE";#N/A,#N/A,FALSE,"MSAE";#N/A,#N/A,FALSE,"JWAE";#N/A,#N/A,FALSE,"T2INV";#N/A,#N/A,FALSE,"T3INV";#N/A,#N/A,FALSE,"T4INV";#N/A,#N/A,FALSE,"T5INV";#N/A,#N/A,FALSE,"T6INV"}</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 hidden="1">{"DolanCo1_PA",#N/A,FALSE,"Tina Dolan";"DolanCo1_Prop",#N/A,FALSE,"Tina Dolan"}</definedName>
    <definedName name="b_1" hidden="1">{"DolanCo1_PA",#N/A,FALSE,"Tina Dolan";"DolanCo1_Prop",#N/A,FALSE,"Tina Dolan"}</definedName>
    <definedName name="Ballast_Codes" localSheetId="5">#REF!</definedName>
    <definedName name="Ballast_Codes" localSheetId="8">#REF!</definedName>
    <definedName name="Ballast_Codes">#REF!</definedName>
    <definedName name="Ballast_Specs" localSheetId="5">#REF!</definedName>
    <definedName name="Ballast_Specs" localSheetId="8">#REF!</definedName>
    <definedName name="Ballast_Specs">#REF!</definedName>
    <definedName name="BASE_ST_MP">'[5]BASE WAGES &amp; BENEFITS - ST'!$A$4:$AM$33</definedName>
    <definedName name="BASE_ST_TCNJ">'[5]BASE WAGES &amp; BENEFITS - ST'!$A$258:$AN$295</definedName>
    <definedName name="BASE_ST_TCNP">'[5]BASE WAGES &amp; BENEFITS - ST'!$A$38:$AM$253</definedName>
    <definedName name="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 hidden="1">{#N/A,#N/A,FALSE,"Sheet1"}</definedName>
    <definedName name="BBB_Charge" localSheetId="5">#REF!</definedName>
    <definedName name="BBB_Charge" localSheetId="8">#REF!</definedName>
    <definedName name="BBB_Charge">#REF!</definedName>
    <definedName name="BBB_Labor_Charge" localSheetId="5">#REF!</definedName>
    <definedName name="BBB_Labor_Charge" localSheetId="8">#REF!</definedName>
    <definedName name="BBB_Labor_Charge">#REF!</definedName>
    <definedName name="BBB_Material_Charge" localSheetId="5">#REF!</definedName>
    <definedName name="BBB_Material_Charge" localSheetId="8">#REF!</definedName>
    <definedName name="BBB_Material_Charge">#REF!</definedName>
    <definedName name="bbbb" hidden="1">{#N/A,#N/A,FALSE,"Sheet1"}</definedName>
    <definedName name="bbbbbbb" hidden="1">{#N/A,#N/A,FALSE,"Monthly"}</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hidden="1">{"1999 Revenue",#N/A,FALSE,"Voice ";"1999 Traffic",#N/A,FALSE,"Voice "}</definedName>
    <definedName name="BFI" hidden="1">{#N/A,#N/A,TRUE,"Revenue";#N/A,#N/A,TRUE,"Profit";#N/A,#N/A,TRUE,"ODCs";#N/A,#N/A,TRUE,"DirLabor";#N/A,#N/A,TRUE,"SysGrp People"}</definedName>
    <definedName name="BG_Del" hidden="1">15</definedName>
    <definedName name="BG_Ins" hidden="1">4</definedName>
    <definedName name="BG_Mod" hidden="1">6</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tdh" localSheetId="5" hidden="1">'[1]J-SEC'!#REF!</definedName>
    <definedName name="bgtdh" localSheetId="8" hidden="1">'[1]J-SEC'!#REF!</definedName>
    <definedName name="bgtdh" hidden="1">'[1]J-SEC'!#REF!</definedName>
    <definedName name="B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ID_TURNKEY" localSheetId="5">#REF!</definedName>
    <definedName name="BID_TURNKEY" localSheetId="8">#REF!</definedName>
    <definedName name="BID_TURNKEY">#REF!</definedName>
    <definedName name="bill" hidden="1">{#N/A,#N/A,FALSE,"Sheet1"}</definedName>
    <definedName name="BILLHOURS">'[5]RATES &amp; TABLES'!$AW$3:$CK$8</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 hidden="1">{#N/A,#N/A,FALSE,"WBS 1.06";#N/A,#N/A,FALSE,"WBS 1.14";#N/A,#N/A,FALSE,"WBS 1.17";#N/A,#N/A,FALSE,"WBS 1.18"}</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yt" hidden="1">{"division hud",#N/A,FALSE,"Sheet1";"total hud",#N/A,FALSE,"Sheet1"}</definedName>
    <definedName name="Bond_Cost" localSheetId="5">#REF!</definedName>
    <definedName name="Bond_Cost" localSheetId="8">#REF!</definedName>
    <definedName name="Bond_Cost">#REF!</definedName>
    <definedName name="br" hidden="1">{"'1098trans'!$A$10:$F$64","'1098trans'!$A$65:$A$66","'1098trans'!$A$67:$D$69","'1098trans'!$A$64:$F$69"}</definedName>
    <definedName name="brookhaven"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rookhaven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BURD" hidden="1">{"PAGE1",#N/A,FALSE,"allocation base";"PAGE2",#N/A,FALSE,"burden";"PAGE3",#N/A,FALSE,"burden";"PAGE4",#N/A,FALSE,"labor rates";"PAGE5",#N/A,FALSE,"labor rates";"PAGE6",#N/A,FALSE,"labor rates"}</definedName>
    <definedName name="BURDEN1" localSheetId="5">#REF!</definedName>
    <definedName name="BURDEN1" localSheetId="8">#REF!</definedName>
    <definedName name="BURDEN1">#REF!</definedName>
    <definedName name="burdend" hidden="1">{"PAGE1",#N/A,FALSE,"allocation base";"PAGE2",#N/A,FALSE,"burden";"PAGE3",#N/A,FALSE,"burden";"PAGE4",#N/A,FALSE,"labor rates";"PAGE5",#N/A,FALSE,"labor rates";"PAGE6",#N/A,FALSE,"labor rates"}</definedName>
    <definedName name="bver" hidden="1">{"PAGE1",#N/A,FALSE,"CPFFMSTR";"PAGE2",#N/A,FALSE,"CPFFMSTR"}</definedName>
    <definedName name="CA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BWorkbookPriority" hidden="1">-194334984</definedName>
    <definedName name="ccc" hidden="1">{#N/A,#N/A,FALSE,"Sheet1"}</definedName>
    <definedName name="cccc" hidden="1">{#N/A,#N/A,FALSE,"Sheet1"}</definedName>
    <definedName name="cccc2" hidden="1">{"'Vietnam'!$E$21:$W$45","'Vietnam'!$E$21:$W$45"}</definedName>
    <definedName name="cccccc" hidden="1">{#N/A,#N/A,FALSE,"WBS 1.06";#N/A,#N/A,FALSE,"WBS 1.14";#N/A,#N/A,FALSE,"WBS 1.17";#N/A,#N/A,FALSE,"WBS 1.18"}</definedName>
    <definedName name="cccccccccccc" hidden="1">{"1999 Revenue",#N/A,FALSE,"IBS";"1999 Traffic",#N/A,FALSE,"IBS"}</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est1" hidden="1">{#N/A,#N/A,FALSE,"204";#N/A,#N/A,FALSE,"226";#N/A,#N/A,FALSE,"233";#N/A,#N/A,FALSE,"632";#N/A,#N/A,FALSE,"671";#N/A,#N/A,FALSE,"905";#N/A,#N/A,FALSE,"906";#N/A,#N/A,FALSE,"913";#N/A,#N/A,FALSE,"914";#N/A,#N/A,FALSE,"916";#N/A,#N/A,FALSE,"AAT";#N/A,#N/A,FALSE,"ATAS";#N/A,#N/A,FALSE,"ITL3";#N/A,#N/A,FALSE,"917";#N/A,#N/A,FALSE,"918"}</definedName>
    <definedName name="cest1_1" hidden="1">{#N/A,#N/A,FALSE,"204";#N/A,#N/A,FALSE,"226";#N/A,#N/A,FALSE,"233";#N/A,#N/A,FALSE,"632";#N/A,#N/A,FALSE,"671";#N/A,#N/A,FALSE,"905";#N/A,#N/A,FALSE,"906";#N/A,#N/A,FALSE,"913";#N/A,#N/A,FALSE,"914";#N/A,#N/A,FALSE,"916";#N/A,#N/A,FALSE,"AAT";#N/A,#N/A,FALSE,"ATAS";#N/A,#N/A,FALSE,"ITL3";#N/A,#N/A,FALSE,"917";#N/A,#N/A,FALSE,"918"}</definedName>
    <definedName name="cest2"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2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3" hidden="1">{#N/A,#N/A,FALSE,"204";#N/A,#N/A,FALSE,"226";#N/A,#N/A,FALSE,"233";#N/A,#N/A,FALSE,"632";#N/A,#N/A,FALSE,"671";#N/A,#N/A,FALSE,"905";#N/A,#N/A,FALSE,"906";#N/A,#N/A,FALSE,"913";#N/A,#N/A,FALSE,"914";#N/A,#N/A,FALSE,"916";#N/A,#N/A,FALSE,"AAT";#N/A,#N/A,FALSE,"ATAS";#N/A,#N/A,FALSE,"ITL3";#N/A,#N/A,FALSE,"917";#N/A,#N/A,FALSE,"918"}</definedName>
    <definedName name="cest3_1" hidden="1">{#N/A,#N/A,FALSE,"204";#N/A,#N/A,FALSE,"226";#N/A,#N/A,FALSE,"233";#N/A,#N/A,FALSE,"632";#N/A,#N/A,FALSE,"671";#N/A,#N/A,FALSE,"905";#N/A,#N/A,FALSE,"906";#N/A,#N/A,FALSE,"913";#N/A,#N/A,FALSE,"914";#N/A,#N/A,FALSE,"916";#N/A,#N/A,FALSE,"AAT";#N/A,#N/A,FALSE,"ATAS";#N/A,#N/A,FALSE,"ITL3";#N/A,#N/A,FALSE,"917";#N/A,#N/A,FALSE,"918"}</definedName>
    <definedName name="cest4"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est4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cghj" hidden="1">{"Start",#N/A,FALSE,"Menu";"P&amp;L",#N/A,FALSE,"Monthly P&amp;L";"Rev",#N/A,FALSE,"Revenue Summary";"budbar",#N/A,FALSE,"Budget-Variance";"priorvar",#N/A,FALSE,"Prior Month Var";"DetailRev",#N/A,FALSE,"Detail  Budget Var (Revenue)";"Detailom",#N/A,FALSE,"Detail Budget Var (O&amp;M)"}</definedName>
    <definedName name="CGHY" hidden="1">{"PAGE1",#N/A,FALSE,"CPFFMSTR";"PAGE2",#N/A,FALSE,"CPFFMSTR"}</definedName>
    <definedName name="CGM_PROFIT" hidden="1">{#N/A,#N/A,FALSE,"Sheet1"}</definedName>
    <definedName name="Change_Order" localSheetId="5">'[6]J-1502000-31-04 ECM 5 by Room'!#REF!</definedName>
    <definedName name="Change_Order" localSheetId="8">'[6]J-1502000-31-04 ECM 5 by Room'!#REF!</definedName>
    <definedName name="Change_Order">'[6]J-1502000-31-04 ECM 5 by Room'!#REF!</definedName>
    <definedName name="Chart1">"Chart 1"</definedName>
    <definedName name="Chart2">"Chart 2"</definedName>
    <definedName name="c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IQWBGuid" hidden="1">"7fee006d-4278-4580-ad1f-d9347d34e415"</definedName>
    <definedName name="CLIN1" hidden="1">{#N/A,#N/A,FALSE,"Sheet1"}</definedName>
    <definedName name="CLIN9" localSheetId="8" hidden="1">'[1]J-SEC'!#REF!</definedName>
    <definedName name="CLIN9" hidden="1">'[1]J-SEC'!#REF!</definedName>
    <definedName name="CLINNO" hidden="1">'[7]General Inputs'!$B$35:$B$84</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DE1" localSheetId="5">#REF!</definedName>
    <definedName name="CODE1" localSheetId="8">#REF!</definedName>
    <definedName name="CODE1">#REF!</definedName>
    <definedName name="Combo_Price">'[8]Combined Price List'!$A$1:$F$709</definedName>
    <definedName name="COMSO" hidden="1">{#N/A,#N/A,FALSE,"Proposal"}</definedName>
    <definedName name="COMSO_1" hidden="1">{#N/A,#N/A,FALSE,"Proposal"}</definedName>
    <definedName name="control" hidden="1">{"'1098trans'!$A$10:$F$64","'1098trans'!$A$65:$A$66","'1098trans'!$A$67:$D$69","'1098trans'!$A$64:$F$69"}</definedName>
    <definedName name="COST_ELEMENT" hidden="1">{"BASE",#N/A,FALSE,"CE BY WBS";"OPTION",#N/A,FALSE,"CE BY WBS"}</definedName>
    <definedName name="costelement" hidden="1">{"BASE",#N/A,FALSE,"CE BY WBS";"OPTION",#N/A,FALSE,"CE BY WBS"}</definedName>
    <definedName name="Culture3" hidden="1">{"'1098trans'!$A$10:$F$64","'1098trans'!$A$65:$A$66","'1098trans'!$A$67:$D$69","'1098trans'!$A$64:$F$69"}</definedName>
    <definedName name="Customer_Param">"Dialog1"</definedName>
    <definedName name="d" localSheetId="5">#REF!</definedName>
    <definedName name="d" localSheetId="8">#REF!</definedName>
    <definedName name="d">#REF!</definedName>
    <definedName name="dafd" localSheetId="5">#REF!</definedName>
    <definedName name="dafd" localSheetId="8">#REF!</definedName>
    <definedName name="dafd">#REF!</definedName>
    <definedName name="da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atea" hidden="1">{#N/A,#N/A,FALSE,"Sheet1"}</definedName>
    <definedName name="ddd" hidden="1">{#N/A,#N/A,TRUE,"Cover";#N/A,#N/A,TRUE,"Labor";#N/A,#N/A,TRUE,"Summary";#N/A,#N/A,TRUE,"Graphs"}</definedName>
    <definedName name="ddd_1" hidden="1">{#N/A,#N/A,TRUE,"Cover";#N/A,#N/A,TRUE,"Labor";#N/A,#N/A,TRUE,"Summary";#N/A,#N/A,TRUE,"Graphs"}</definedName>
    <definedName name="dddd" hidden="1">{"'1098trans'!$A$10:$F$64","'1098trans'!$A$65:$A$66","'1098trans'!$A$67:$D$69","'1098trans'!$A$64:$F$69"}</definedName>
    <definedName name="ddddddd" hidden="1">{"'1098trans'!$A$10:$F$64","'1098trans'!$A$65:$A$66","'1098trans'!$A$67:$D$69","'1098trans'!$A$64:$F$69"}</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k" hidden="1">{"'Vietnam'!$E$21:$W$45","'Vietnam'!$E$21:$W$45"}</definedName>
    <definedName name="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e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dfas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sda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TY" hidden="1">{"PAGE1",#N/A,FALSE,"CPFFMSTR";"PAGE2",#N/A,FALSE,"CPFFMSTR"}</definedName>
    <definedName name="dfyu" hidden="1">{"Start",#N/A,FALSE,"Menu";"P&amp;L",#N/A,FALSE,"Monthly P&amp;L";"Rev",#N/A,FALSE,"Revenue Summary";"budbar",#N/A,FALSE,"Budget-Variance";"priorvar",#N/A,FALSE,"Prior Month Var";"DetailRev",#N/A,FALSE,"Detail  Budget Var (Revenue)";"Detailom",#N/A,FALSE,"Detail Budget Var (O&amp;M)"}</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jhagh" hidden="1">{#VALUE!,#N/A,TRUE,0;#N/A,#N/A,TRUE,0;#N/A,#N/A,TRUE,0;#N/A,#N/A,TRUE,0;#N/A,#N/A,TRUE,0;#N/A,#N/A,TRUE,0;#N/A,#N/A,TRUE,0;#N/A,#N/A,TRUE,0;#N/A,#N/A,TRUE,0;#N/A,#N/A,TRUE,0;#N/A,#N/A,TRUE,0;#N/A,#N/A,TRUE,0;#N/A,#N/A,TRUE,0;#N/A,#N/A,TRUE,0;#N/A,#N/A,TRUE,0}</definedName>
    <definedName name="DGwfwe" hidden="1">{#N/A,#N/A,FALSE,"WBS 1.06";#N/A,#N/A,FALSE,"WBS 1.14";#N/A,#N/A,FALSE,"WBS 1.17";#N/A,#N/A,FALSE,"WBS 1.18"}</definedName>
    <definedName name="DIRECT1" localSheetId="5">#REF!</definedName>
    <definedName name="DIRECT1" localSheetId="8">#REF!</definedName>
    <definedName name="DIRECT1">#REF!</definedName>
    <definedName name="DIRECT2" localSheetId="5">#REF!</definedName>
    <definedName name="DIRECT2" localSheetId="8">#REF!</definedName>
    <definedName name="DIRECT2">#REF!</definedName>
    <definedName name="Discount_and_Inflation_Rate" localSheetId="5">#REF!</definedName>
    <definedName name="Discount_and_Inflation_Rate" localSheetId="8">#REF!</definedName>
    <definedName name="Discount_and_Inflation_Rate">#REF!</definedName>
    <definedName name="DME_Dirty" hidden="1">"False"</definedName>
    <definedName name="DME_LocalFile" hidden="1">"True"</definedName>
    <definedName name="DOLLARS" hidden="1">{"'Staffing'!$A$6:$F$43"}</definedName>
    <definedName name="DPD" hidden="1">{"'1098trans'!$A$10:$F$64","'1098trans'!$A$65:$A$66","'1098trans'!$A$67:$D$69","'1098trans'!$A$64:$F$69"}</definedName>
    <definedName name="draft" hidden="1">{"'Vietnam'!$E$21:$W$45","'Vietnam'!$E$21:$W$45"}</definedName>
    <definedName name="draft2" hidden="1">{"'Vietnam'!$E$21:$W$45","'Vietnam'!$E$21:$W$45"}</definedName>
    <definedName name="drst" hidden="1">{"1999 Revenue",#N/A,FALSE,"Voice ";"1999 Traffic",#N/A,FALSE,"Voice "}</definedName>
    <definedName name="dsfa" hidden="1">{"PAGE1",#N/A,FALSE,"CPFFMSTR";"PAGE2",#N/A,FALSE,"CPFFMSTR"}</definedName>
    <definedName name="dsfa_1" hidden="1">{"PAGE1",#N/A,FALSE,"CPFFMSTR";"PAGE2",#N/A,FALSE,"CPFFMSTR"}</definedName>
    <definedName name="d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tu" hidden="1">{"1999 Revenue",#N/A,FALSE,"IBS";"1999 Traffic",#N/A,FALSE,"IBS"}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s" hidden="1">{"PAGE1",#N/A,FALSE,"CPFFMSTR";"PAGE2",#N/A,FALSE,"CPFFMSTR"}</definedName>
    <definedName name="Dumpster_Cost" localSheetId="5">#REF!</definedName>
    <definedName name="Dumpster_Cost" localSheetId="8">#REF!</definedName>
    <definedName name="Dumpster_Cost">#REF!</definedName>
    <definedName name="e" localSheetId="5">#REF!</definedName>
    <definedName name="e" localSheetId="8">#REF!</definedName>
    <definedName name="e">#REF!</definedName>
    <definedName name="e_1" hidden="1">{#N/A,#N/A,TRUE,"Report";#N/A,#N/A,TRUE,"DETAIL";#N/A,#N/A,TRUE,"PGRM MGMT &amp; CONTRACT SPT";#N/A,#N/A,TRUE,"New Charts";#N/A,#N/A,TRUE,"Open Commit Revised ";#N/A,#N/A,TRUE,"TRAVEL"}</definedName>
    <definedName name="eafe" hidden="1">{"EbronCo5_PA",#N/A,FALSE,"Ebrons Task Co5";"EbronCo5_Prop",#N/A,FALSE,"Ebrons Task Co5"}</definedName>
    <definedName name="eafe_1" hidden="1">{"EbronCo5_PA",#N/A,FALSE,"Ebrons Task Co5";"EbronCo5_Prop",#N/A,FALSE,"Ebrons Task Co5"}</definedName>
    <definedName name="eafo" hidden="1">{"ACC_Cars_125K_PA",#N/A,FALSE,"ACC Cars Co1 125K ";"ACC_Cars_125K_Prop",#N/A,FALSE,"ACC Cars Co1 125K "}</definedName>
    <definedName name="eafo_1" hidden="1">{"ACC_Cars_125K_PA",#N/A,FALSE,"ACC Cars Co1 125K ";"ACC_Cars_125K_Prop",#N/A,FALSE,"ACC Cars Co1 125K "}</definedName>
    <definedName name="eafo1" hidden="1">{"ACC_Cars_400K_PA",#N/A,FALSE,"ACC Cars Co1 400K";"ACC_Cars_400K_Prop",#N/A,FALSE,"ACC Cars Co1 400K"}</definedName>
    <definedName name="eafo1_1" hidden="1">{"ACC_Cars_400K_PA",#N/A,FALSE,"ACC Cars Co1 400K";"ACC_Cars_400K_Prop",#N/A,FALSE,"ACC Cars Co1 400K"}</definedName>
    <definedName name="eafo10" hidden="1">{"PearsonCo1_Prop",#N/A,FALSE,"Pearsons Task Co1";"PearsonCo1_PA",#N/A,FALSE,"Pearsons Task Co1"}</definedName>
    <definedName name="eafo10_1" hidden="1">{"PearsonCo1_Prop",#N/A,FALSE,"Pearsons Task Co1";"PearsonCo1_PA",#N/A,FALSE,"Pearsons Task Co1"}</definedName>
    <definedName name="eafo11" hidden="1">{"PearsonCo5_Prop",#N/A,FALSE,"Pearsons Task Co5";"PearsonCo5_PA",#N/A,FALSE,"Pearsons Task Co5"}</definedName>
    <definedName name="eafo11_1" hidden="1">{"PearsonCo5_Prop",#N/A,FALSE,"Pearsons Task Co5";"PearsonCo5_PA",#N/A,FALSE,"Pearsons Task Co5"}</definedName>
    <definedName name="eafo12" hidden="1">{"Seal Team J6 Sum",#N/A,FALSE,"Seal Team Summary";"Seal Team J6",#N/A,FALSE,"Seal Team ";"Seal Team ODC J6",#N/A,FALSE,"Seal Team ODCs";"Seal Team Trvl J6",#N/A,FALSE," Seal Team Trvl"}</definedName>
    <definedName name="eafo12_1" hidden="1">{"Seal Team J6 Sum",#N/A,FALSE,"Seal Team Summary";"Seal Team J6",#N/A,FALSE,"Seal Team ";"Seal Team ODC J6",#N/A,FALSE,"Seal Team ODCs";"Seal Team Trvl J6",#N/A,FALSE," Seal Team Trvl"}</definedName>
    <definedName name="eafo15" hidden="1">{"ACC_Cars_125K_PA",#N/A,FALSE,"ACC Cars Co1 125K ";"ACC_Cars_125K_Prop",#N/A,FALSE,"ACC Cars Co1 125K "}</definedName>
    <definedName name="eafo15_1" hidden="1">{"ACC_Cars_125K_PA",#N/A,FALSE,"ACC Cars Co1 125K ";"ACC_Cars_125K_Prop",#N/A,FALSE,"ACC Cars Co1 125K "}</definedName>
    <definedName name="eafo16" hidden="1">{"ACC_Cars_400K_PA",#N/A,FALSE,"ACC Cars Co1 400K";"ACC_Cars_400K_Prop",#N/A,FALSE,"ACC Cars Co1 400K"}</definedName>
    <definedName name="eafo16_1" hidden="1">{"ACC_Cars_400K_PA",#N/A,FALSE,"ACC Cars Co1 400K";"ACC_Cars_400K_Prop",#N/A,FALSE,"ACC Cars Co1 400K"}</definedName>
    <definedName name="eafo17" hidden="1">{"PAGE1",#N/A,FALSE,"ACC_CARS Travel 125K";"PAGE2",#N/A,FALSE,"ACC_CARS Travel 125K"}</definedName>
    <definedName name="eafo17_1" hidden="1">{"PAGE1",#N/A,FALSE,"ACC_CARS Travel 125K";"PAGE2",#N/A,FALSE,"ACC_CARS Travel 125K"}</definedName>
    <definedName name="eafo18" hidden="1">{"Page1",#N/A,FALSE,"ACC_CARS Travel 400K";"Page2",#N/A,FALSE,"ACC_CARS Travel 400K"}</definedName>
    <definedName name="eafo18_1" hidden="1">{"Page1",#N/A,FALSE,"ACC_CARS Travel 400K";"Page2",#N/A,FALSE,"ACC_CARS Travel 400K"}</definedName>
    <definedName name="eafo19" hidden="1">{"Pre_CCB",#N/A,FALSE,"Pre CCB Pkg ";"CCB_Memb_Notbk",#N/A,FALSE,"CCB_Memb_Notebk";"CCB_Handouts",#N/A,FALSE,"Handouts";"JDISS_Brochure",#N/A,FALSE,"JDISS_Brochure";"JDISS_Minutes",#N/A,FALSE,"JDISS_Minutes";"Total_JDISS",#N/A,FALSE,"Total JDISS"}</definedName>
    <definedName name="eafo19_1" hidden="1">{"Pre_CCB",#N/A,FALSE,"Pre CCB Pkg ";"CCB_Memb_Notbk",#N/A,FALSE,"CCB_Memb_Notebk";"CCB_Handouts",#N/A,FALSE,"Handouts";"JDISS_Brochure",#N/A,FALSE,"JDISS_Brochure";"JDISS_Minutes",#N/A,FALSE,"JDISS_Minutes";"Total_JDISS",#N/A,FALSE,"Total JDISS"}</definedName>
    <definedName name="eafo2" hidden="1">{"PAGE1",#N/A,FALSE,"ACC_CARS Travel 125K";"PAGE2",#N/A,FALSE,"ACC_CARS Travel 125K"}</definedName>
    <definedName name="eafo2_1" hidden="1">{"PAGE1",#N/A,FALSE,"ACC_CARS Travel 125K";"PAGE2",#N/A,FALSE,"ACC_CARS Travel 125K"}</definedName>
    <definedName name="eafo20" hidden="1">{"DolanCo1_PA",#N/A,FALSE,"Tina Dolan";"DolanCo1_Prop",#N/A,FALSE,"Tina Dolan"}</definedName>
    <definedName name="eafo20_1" hidden="1">{"DolanCo1_PA",#N/A,FALSE,"Tina Dolan";"DolanCo1_Prop",#N/A,FALSE,"Tina Dolan"}</definedName>
    <definedName name="eafo21" hidden="1">{"Prop_350K",#N/A,FALSE,"Ebron-350K";"PA_350K",#N/A,FALSE,"Ebron-350K";"Ebron350KTrvl",#N/A,FALSE,"Ebrons Travel 350k"}</definedName>
    <definedName name="eafo21_1" hidden="1">{"Prop_350K",#N/A,FALSE,"Ebron-350K";"PA_350K",#N/A,FALSE,"Ebron-350K";"Ebron350KTrvl",#N/A,FALSE,"Ebrons Travel 350k"}</definedName>
    <definedName name="eafo22" hidden="1">{"EbronCo1_PA",#N/A,FALSE,"Ebrons Task Co1";"EbronCo1_Prop",#N/A,FALSE,"Ebrons Task Co1";"Ebron316KTrvl",#N/A,FALSE,"Ebrons Travel 316k"}</definedName>
    <definedName name="eafo22_1" hidden="1">{"EbronCo1_PA",#N/A,FALSE,"Ebrons Task Co1";"EbronCo1_Prop",#N/A,FALSE,"Ebrons Task Co1";"Ebron316KTrvl",#N/A,FALSE,"Ebrons Travel 316k"}</definedName>
    <definedName name="eafo23" hidden="1">{"EbronCo5_PA",#N/A,FALSE,"Ebrons Task Co5";"EbronCo5_Prop",#N/A,FALSE,"Ebrons Task Co5"}</definedName>
    <definedName name="eafo23_1" hidden="1">{"EbronCo5_PA",#N/A,FALSE,"Ebrons Task Co5";"EbronCo5_Prop",#N/A,FALSE,"Ebrons Task Co5"}</definedName>
    <definedName name="eafo24" hidden="1">{"JDISS_Co1",#N/A,FALSE,"JDISS_Co1";"JDISSCo1_PA",#N/A,FALSE,"JDISS_Co1"}</definedName>
    <definedName name="eafo24_1" hidden="1">{"JDISS_Co1",#N/A,FALSE,"JDISS_Co1";"JDISSCo1_PA",#N/A,FALSE,"JDISS_Co1"}</definedName>
    <definedName name="eafo26" hidden="1">{"PearsonCo5_Prop",#N/A,FALSE,"Pearsons Task Co5";"PearsonCo5_PA",#N/A,FALSE,"Pearsons Task Co5"}</definedName>
    <definedName name="eafo26_1" hidden="1">{"PearsonCo5_Prop",#N/A,FALSE,"Pearsons Task Co5";"PearsonCo5_PA",#N/A,FALSE,"Pearsons Task Co5"}</definedName>
    <definedName name="eafo27" hidden="1">{"Seal Team J6 Sum",#N/A,FALSE,"Seal Team Summary";"Seal Team J6",#N/A,FALSE,"Seal Team ";"Seal Team ODC J6",#N/A,FALSE,"Seal Team ODCs";"Seal Team Trvl J6",#N/A,FALSE," Seal Team Trvl"}</definedName>
    <definedName name="eafo27_1" hidden="1">{"Seal Team J6 Sum",#N/A,FALSE,"Seal Team Summary";"Seal Team J6",#N/A,FALSE,"Seal Team ";"Seal Team ODC J6",#N/A,FALSE,"Seal Team ODCs";"Seal Team Trvl J6",#N/A,FALSE," Seal Team Trvl"}</definedName>
    <definedName name="eafo3" hidden="1">{"Page1",#N/A,FALSE,"ACC_CARS Travel 400K";"Page2",#N/A,FALSE,"ACC_CARS Travel 400K"}</definedName>
    <definedName name="eafo3_1" hidden="1">{"Page1",#N/A,FALSE,"ACC_CARS Travel 400K";"Page2",#N/A,FALSE,"ACC_CARS Travel 400K"}</definedName>
    <definedName name="eafo4" hidden="1">{"Pre_CCB",#N/A,FALSE,"Pre CCB Pkg ";"CCB_Memb_Notbk",#N/A,FALSE,"CCB_Memb_Notebk";"CCB_Handouts",#N/A,FALSE,"Handouts";"JDISS_Brochure",#N/A,FALSE,"JDISS_Brochure";"JDISS_Minutes",#N/A,FALSE,"JDISS_Minutes";"Total_JDISS",#N/A,FALSE,"Total JDISS"}</definedName>
    <definedName name="eafo4_1" hidden="1">{"Pre_CCB",#N/A,FALSE,"Pre CCB Pkg ";"CCB_Memb_Notbk",#N/A,FALSE,"CCB_Memb_Notebk";"CCB_Handouts",#N/A,FALSE,"Handouts";"JDISS_Brochure",#N/A,FALSE,"JDISS_Brochure";"JDISS_Minutes",#N/A,FALSE,"JDISS_Minutes";"Total_JDISS",#N/A,FALSE,"Total JDISS"}</definedName>
    <definedName name="eafo5" hidden="1">{"DolanCo1_PA",#N/A,FALSE,"Tina Dolan";"DolanCo1_Prop",#N/A,FALSE,"Tina Dolan"}</definedName>
    <definedName name="eafo5_1" hidden="1">{"DolanCo1_PA",#N/A,FALSE,"Tina Dolan";"DolanCo1_Prop",#N/A,FALSE,"Tina Dolan"}</definedName>
    <definedName name="eafo6" hidden="1">{"Prop_350K",#N/A,FALSE,"Ebron-350K";"PA_350K",#N/A,FALSE,"Ebron-350K";"Ebron350KTrvl",#N/A,FALSE,"Ebrons Travel 350k"}</definedName>
    <definedName name="eafo6_1" hidden="1">{"Prop_350K",#N/A,FALSE,"Ebron-350K";"PA_350K",#N/A,FALSE,"Ebron-350K";"Ebron350KTrvl",#N/A,FALSE,"Ebrons Travel 350k"}</definedName>
    <definedName name="eafo7" hidden="1">{"EbronCo1_PA",#N/A,FALSE,"Ebrons Task Co1";"EbronCo1_Prop",#N/A,FALSE,"Ebrons Task Co1";"Ebron316KTrvl",#N/A,FALSE,"Ebrons Travel 316k"}</definedName>
    <definedName name="eafo7_1" hidden="1">{"EbronCo1_PA",#N/A,FALSE,"Ebrons Task Co1";"EbronCo1_Prop",#N/A,FALSE,"Ebrons Task Co1";"Ebron316KTrvl",#N/A,FALSE,"Ebrons Travel 316k"}</definedName>
    <definedName name="eafo8" hidden="1">{"EbronCo5_PA",#N/A,FALSE,"Ebrons Task Co5";"EbronCo5_Prop",#N/A,FALSE,"Ebrons Task Co5"}</definedName>
    <definedName name="eafo8_1" hidden="1">{"EbronCo5_PA",#N/A,FALSE,"Ebrons Task Co5";"EbronCo5_Prop",#N/A,FALSE,"Ebrons Task Co5"}</definedName>
    <definedName name="eafo9" hidden="1">{"JDISS_Co1",#N/A,FALSE,"JDISS_Co1";"JDISSCo1_PA",#N/A,FALSE,"JDISS_Co1"}</definedName>
    <definedName name="eafo9_1" hidden="1">{"JDISS_Co1",#N/A,FALSE,"JDISS_Co1";"JDISSCo1_PA",#N/A,FALSE,"JDISS_Co1"}</definedName>
    <definedName name="eafo99" hidden="1">{"Pre_CCB",#N/A,FALSE,"Pre CCB Pkg ";"CCB_Memb_Notbk",#N/A,FALSE,"CCB_Memb_Notebk";"CCB_Handouts",#N/A,FALSE,"Handouts";"JDISS_Brochure",#N/A,FALSE,"JDISS_Brochure";"JDISS_Minutes",#N/A,FALSE,"JDISS_Minutes";"Total_JDISS",#N/A,FALSE,"Total JDISS"}</definedName>
    <definedName name="earo25" hidden="1">{"PearsonCo1_Prop",#N/A,FALSE,"Pearsons Task Co1";"PearsonCo1_PA",#N/A,FALSE,"Pearsons Task Co1"}</definedName>
    <definedName name="earo25_1" hidden="1">{"PearsonCo1_Prop",#N/A,FALSE,"Pearsons Task Co1";"PearsonCo1_PA",#N/A,FALSE,"Pearsons Task Co1"}</definedName>
    <definedName name="East" hidden="1">{#N/A,#N/A,TRUE,"DCF Summary (2)";#N/A,#N/A,TRUE,"DCF Summary";#N/A,"Middle Case Drivers",TRUE,"DCF"}</definedName>
    <definedName name="ECM_Code_List" localSheetId="5">#REF!</definedName>
    <definedName name="ECM_Code_List" localSheetId="8">#REF!</definedName>
    <definedName name="ECM_Code_List">#REF!</definedName>
    <definedName name="ECMs_Existing" localSheetId="5">#REF!</definedName>
    <definedName name="ECMs_Existing" localSheetId="8">#REF!</definedName>
    <definedName name="ECMs_Existing">#REF!</definedName>
    <definedName name="ECMs_Existing_Old" localSheetId="5">#REF!</definedName>
    <definedName name="ECMs_Existing_Old" localSheetId="8">#REF!</definedName>
    <definedName name="ECMs_Existing_Old">#REF!</definedName>
    <definedName name="edcb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e_No.">'[5]RATES &amp; TABLES'!$P$2:$P$110</definedName>
    <definedName name="eee" hidden="1">{"'1098trans'!$A$10:$F$64","'1098trans'!$A$65:$A$66","'1098trans'!$A$67:$D$69","'1098trans'!$A$64:$F$69"}</definedName>
    <definedName name="eeee" hidden="1">{"'1098trans'!$A$10:$F$64","'1098trans'!$A$65:$A$66","'1098trans'!$A$67:$D$69","'1098trans'!$A$64:$F$69"}</definedName>
    <definedName name="eeeeeeee" hidden="1">{"PAGE1",#N/A,FALSE,"allocation base";"PAGE2",#N/A,FALSE,"burden";"PAGE3",#N/A,FALSE,"burden";"PAGE4",#N/A,FALSE,"labor rates";"PAGE5",#N/A,FALSE,"labor rates";"PAGE6",#N/A,FALSE,"labor rates"}</definedName>
    <definedName name="eeeeeeeee" hidden="1">{"PAGE1",#N/A,FALSE,"allocation base";"PAGE2",#N/A,FALSE,"burden";"PAGE3",#N/A,FALSE,"burden";"PAGE4",#N/A,FALSE,"labor rates";"PAGE5",#N/A,FALSE,"labor rates";"PAGE6",#N/A,FALSE,"labor rates"}</definedName>
    <definedName name="EG" hidden="1">{#N/A,#N/A,FALSE,"WBS 1.06";#N/A,#N/A,FALSE,"WBS 1.14";#N/A,#N/A,FALSE,"WBS 1.17";#N/A,#N/A,FALSE,"WBS 1.18"}</definedName>
    <definedName name="EGWWTG" hidden="1">{#N/A,#N/A,FALSE,"WBS 1.06";#N/A,#N/A,FALSE,"WBS 1.14";#N/A,#N/A,FALSE,"WBS 1.17";#N/A,#N/A,FALSE,"WBS 1.18"}</definedName>
    <definedName name="Energy_Rate_Codes" localSheetId="5">#REF!</definedName>
    <definedName name="Energy_Rate_Codes" localSheetId="8">#REF!</definedName>
    <definedName name="Energy_Rate_Codes">#REF!</definedName>
    <definedName name="Energy_Rates" localSheetId="5">#REF!</definedName>
    <definedName name="Energy_Rates" localSheetId="8">#REF!</definedName>
    <definedName name="Energy_Rates">#REF!</definedName>
    <definedName name="Energy_Tax">[9]Dashboard!$G$19</definedName>
    <definedName name="Engineering_Cost" localSheetId="5">#REF!</definedName>
    <definedName name="Engineering_Cost" localSheetId="8">#REF!</definedName>
    <definedName name="Engineering_Cost">#REF!</definedName>
    <definedName name="er" hidden="1">{"1999 Revenue",#N/A,FALSE,"IBS";"1999 Traffic",#N/A,FALSE,"IBS"}</definedName>
    <definedName name="ERAHY" hidden="1">{#N/A,#N/A,FALSE,"WBS 1.06";#N/A,#N/A,FALSE,"WBS 1.14";#N/A,#N/A,FALSE,"WBS 1.17";#N/A,#N/A,FALSE,"WBS 1.18"}</definedName>
    <definedName name="eras" hidden="1">{"PAGE1",#N/A,FALSE,"CPFFMSTR";"PAGE2",#N/A,FALSE,"CPFFMSTR"}</definedName>
    <definedName name="eraseme" hidden="1">{"laborr",#N/A,FALSE,"Sheet1";"sumr",#N/A,FALSE,"Sheet1";"odcr",#N/A,FALSE,"Sheet1";"trip1r",#N/A,FALSE,"Sheet1";"trip2r",#N/A,FALSE,"Sheet1";"trip3r",#N/A,FALSE,"Sheet1";"trip4r",#N/A,FALSE,"Sheet1"}</definedName>
    <definedName name="eraseme_1" hidden="1">{"laborr",#N/A,FALSE,"Sheet1";"sumr",#N/A,FALSE,"Sheet1";"odcr",#N/A,FALSE,"Sheet1";"trip1r",#N/A,FALSE,"Sheet1";"trip2r",#N/A,FALSE,"Sheet1";"trip3r",#N/A,FALSE,"Sheet1";"trip4r",#N/A,FALSE,"Sheet1"}</definedName>
    <definedName name="eraseme1" hidden="1">{"laborr",#N/A,FALSE,"Sheet1";"sumr",#N/A,FALSE,"Sheet1";"odcr",#N/A,FALSE,"Sheet1";"trip1r",#N/A,FALSE,"Sheet1";"trip2r",#N/A,FALSE,"Sheet1";"trip3r",#N/A,FALSE,"Sheet1";"trip4r",#N/A,FALSE,"Sheet1"}</definedName>
    <definedName name="eraseme1_1" hidden="1">{"laborr",#N/A,FALSE,"Sheet1";"sumr",#N/A,FALSE,"Sheet1";"odcr",#N/A,FALSE,"Sheet1";"trip1r",#N/A,FALSE,"Sheet1";"trip2r",#N/A,FALSE,"Sheet1";"trip3r",#N/A,FALSE,"Sheet1";"trip4r",#N/A,FALSE,"Sheet1"}</definedName>
    <definedName name="eraseme2" hidden="1">{"cptwor",#N/A,FALSE,"CP";"cpthreer",#N/A,FALSE,"CP";"sumr",#N/A,FALSE,"CP";"odcr",#N/A,FALSE,"CP"}</definedName>
    <definedName name="eraseme2_1" hidden="1">{"cptwor",#N/A,FALSE,"CP";"cpthreer",#N/A,FALSE,"CP";"sumr",#N/A,FALSE,"CP";"odcr",#N/A,FALSE,"CP"}</definedName>
    <definedName name="eraseme3" hidden="1">{"laborr",#N/A,FALSE,"Sheet1";"sumr",#N/A,FALSE,"Sheet1";"odcr",#N/A,FALSE,"Sheet1";"trip1r",#N/A,FALSE,"Sheet1"}</definedName>
    <definedName name="eraseme3_1" hidden="1">{"laborr",#N/A,FALSE,"Sheet1";"sumr",#N/A,FALSE,"Sheet1";"odcr",#N/A,FALSE,"Sheet1";"trip1r",#N/A,FALSE,"Sheet1"}</definedName>
    <definedName name="eraseme4" hidden="1">{"laborr",#N/A,FALSE,"costprop";"sumr",#N/A,FALSE,"costprop";"odcr",#N/A,FALSE,"costprop";"trip1r",#N/A,FALSE,"costprop";"trip2r",#N/A,FALSE,"costprop"}</definedName>
    <definedName name="eraseme4_1" hidden="1">{"laborr",#N/A,FALSE,"costprop";"sumr",#N/A,FALSE,"costprop";"odcr",#N/A,FALSE,"costprop";"trip1r",#N/A,FALSE,"costprop";"trip2r",#N/A,FALSE,"costprop"}</definedName>
    <definedName name="eraseme5" hidden="1">{"laborr",#N/A,FALSE,"costprop";"sumr",#N/A,FALSE,"costprop";"odcr",#N/A,FALSE,"costprop";"trip1r",#N/A,FALSE,"costprop";"trip2r",#N/A,FALSE,"costprop";"trip3r",#N/A,FALSE,"costprop"}</definedName>
    <definedName name="eraseme5_1" hidden="1">{"laborr",#N/A,FALSE,"costprop";"sumr",#N/A,FALSE,"costprop";"odcr",#N/A,FALSE,"costprop";"trip1r",#N/A,FALSE,"costprop";"trip2r",#N/A,FALSE,"costprop";"trip3r",#N/A,FALSE,"costprop"}</definedName>
    <definedName name="eraseme6" hidden="1">{"par",#N/A,FALSE,"PA";"odcr",#N/A,FALSE,"PA";"paxr",#N/A,FALSE,"PA"}</definedName>
    <definedName name="eraseme6_1" hidden="1">{"par",#N/A,FALSE,"PA";"odcr",#N/A,FALSE,"PA";"paxr",#N/A,FALSE,"PA"}</definedName>
    <definedName name="eraseme7" hidden="1">{"PAGE1",#N/A,FALSE,"CPFFMSTR";"PAGE2",#N/A,FALSE,"CPFFMSTR"}</definedName>
    <definedName name="eraseme7_1" hidden="1">{"PAGE1",#N/A,FALSE,"CPFFMSTR";"PAGE2",#N/A,FALSE,"CPFFMSTR"}</definedName>
    <definedName name="eric" hidden="1">{#N/A,#N/A,FALSE,"Annual Rpt"}</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y" hidden="1">{"'Vietnam'!$E$21:$W$45","'Vietnam'!$E$21:$W$45"}</definedName>
    <definedName name="erwe" hidden="1">{"PAGE1",#N/A,FALSE,"CPFFMSTR";"PAGE2",#N/A,FALSE,"CPFFMSTR"}</definedName>
    <definedName name="Estimate" localSheetId="5">#REF!</definedName>
    <definedName name="Estimate" localSheetId="8">#REF!</definedName>
    <definedName name="Estimate">#REF!</definedName>
    <definedName name="Estimate_Codes" localSheetId="5">#REF!</definedName>
    <definedName name="Estimate_Codes" localSheetId="8">#REF!</definedName>
    <definedName name="Estimate_Codes">#REF!</definedName>
    <definedName name="Estimate_Tab" localSheetId="5">#REF!</definedName>
    <definedName name="Estimate_Tab" localSheetId="8">#REF!</definedName>
    <definedName name="Estimate_Tab">#REF!</definedName>
    <definedName name="Estimated_Working_Days" localSheetId="5">#REF!</definedName>
    <definedName name="Estimated_Working_Days" localSheetId="8">#REF!</definedName>
    <definedName name="Estimated_Working_Days">#REF!</definedName>
    <definedName name="EV__ALLOWSTOPEXPAND__" hidden="1">1</definedName>
    <definedName name="EV__CVPARAMS__" hidden="1">"GrossToNet!$B$17:$C$32;"</definedName>
    <definedName name="EV__DECIMALSYMBOL__" hidden="1">"."</definedName>
    <definedName name="EV__EXPOPTIONS__" hidden="1">0</definedName>
    <definedName name="EV__LASTREFTIME__" hidden="1">39688.5584143518</definedName>
    <definedName name="EV__LOCKEDCVW__BUDGET" hidden="1">"CURRRT,WGD,ACTUAL,ALLC,ORA_HR,LEG01L,AllEmployees,AllOrigins,LC,2009.MAY,PERIODIC,"</definedName>
    <definedName name="EV__LOCKEDCVW__FINANCE" hidden="1">"924251,WGD,BUDGET,ALLC,TotalAdj,09980,AllOrigins,USD,2011.TOTAL,PERIODIC,"</definedName>
    <definedName name="EV__LOCKEDCVW__HR" hidden="1">"WASHSVCS,ACTUAL,TotalAdj,LEG01L,TOTAL_EMPCATEGORY,AllEmployees,CURRRT,2009.TOTAL,AllOrigins,TOTAL_PERSONTYPE,USD,PERIODIC,"</definedName>
    <definedName name="EV__LOCKEDCVW__RATE" hidden="1">"ALLCAT,AED,AVG,RateInput,2004.TOTAL,PERIODIC,"</definedName>
    <definedName name="EV__LOCKSTATUS__" hidden="1">4</definedName>
    <definedName name="EV__MAXEXPCOLS__" hidden="1">100</definedName>
    <definedName name="EV__MAXEXPROWS__" hidden="1">1000</definedName>
    <definedName name="EV__MEMORYCVW__" hidden="1">0</definedName>
    <definedName name="EV__MEMORYCVW__BUDGET_TEMPLATE_MASTER_20081" hidden="1">"BUDGET"</definedName>
    <definedName name="EV__WBEVMODE__" hidden="1">1</definedName>
    <definedName name="EV__WBREFOPTIONS__" hidden="1">134217728</definedName>
    <definedName name="EV__WBVERSION__" hidden="1">0</definedName>
    <definedName name="EV__WSINFO__" hidden="1">"partyanimal"</definedName>
    <definedName name="eva"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ewfgwegfwe" hidden="1">{#N/A,#N/A,FALSE,"WBS 1.06";#N/A,#N/A,FALSE,"WBS 1.14";#N/A,#N/A,FALSE,"WBS 1.17";#N/A,#N/A,FALSE,"WBS 1.18"}</definedName>
    <definedName name="EWgaretgr" hidden="1">{#N/A,#N/A,FALSE,"WBS 1.06";#N/A,#N/A,FALSE,"WBS 1.14";#N/A,#N/A,FALSE,"WBS 1.17";#N/A,#N/A,FALSE,"WBS 1.18"}</definedName>
    <definedName name="EWGEWGFWE" hidden="1">{#N/A,#N/A,FALSE,"WBS 1.06";#N/A,#N/A,FALSE,"WBS 1.14";#N/A,#N/A,FALSE,"WBS 1.17";#N/A,#N/A,FALSE,"WBS 1.18"}</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ampl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isting_Burn_Hours" localSheetId="5">#REF!</definedName>
    <definedName name="Existing_Burn_Hours" localSheetId="8">#REF!</definedName>
    <definedName name="Existing_Burn_Hours">#REF!</definedName>
    <definedName name="Existing_Code_Lookup" localSheetId="5">#REF!</definedName>
    <definedName name="Existing_Code_Lookup" localSheetId="8">#REF!</definedName>
    <definedName name="Existing_Code_Lookup">#REF!</definedName>
    <definedName name="Existing_ECM_Codes" localSheetId="5">#REF!</definedName>
    <definedName name="Existing_ECM_Codes" localSheetId="8">#REF!</definedName>
    <definedName name="Existing_ECM_Codes">#REF!</definedName>
    <definedName name="Existing_ECM_Codes_Old" localSheetId="5">#REF!</definedName>
    <definedName name="Existing_ECM_Codes_Old" localSheetId="8">#REF!</definedName>
    <definedName name="Existing_ECM_Codes_Old">#REF!</definedName>
    <definedName name="fasdf" hidden="1">{"PAGE1",#N/A,FALSE,"CPFFMSTR";"PAGE2",#N/A,FALSE,"CPFFMSTR"}</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f" hidden="1">{#N/A,#N/A,TRUE,"DCF Summary (2)";#N/A,#N/A,TRUE,"DCF Summary";#N/A,"Middle Case Drivers",TRUE,"DCF"}</definedName>
    <definedName name="fdfd" hidden="1">[10]Lists!$A$3:$A$62</definedName>
    <definedName name="fd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ef" hidden="1">{#N/A,#N/A,FALSE,"WBS 1.06";#N/A,#N/A,FALSE,"WBS 1.14";#N/A,#N/A,FALSE,"WBS 1.17";#N/A,#N/A,FALSE,"WBS 1.18"}</definedName>
    <definedName name="FF" hidden="1">{#N/A,#N/A,FALSE,"Sheet1"}</definedName>
    <definedName name="fff" hidden="1">{#N/A,#N/A,FALSE,"Sheet1"}</definedName>
    <definedName name="ffff" hidden="1">{"'1098trans'!$A$10:$F$64","'1098trans'!$A$65:$A$66","'1098trans'!$A$67:$D$69","'1098trans'!$A$64:$F$69"}</definedName>
    <definedName name="ffffff" hidden="1">{"'1098trans'!$A$10:$F$64","'1098trans'!$A$65:$A$66","'1098trans'!$A$67:$D$69","'1098trans'!$A$64:$F$69"}</definedName>
    <definedName name="fffffff" hidden="1">{#N/A,#N/A,FALSE,"WBS 1.06";#N/A,#N/A,FALSE,"WBS 1.14";#N/A,#N/A,FALSE,"WBS 1.17";#N/A,#N/A,FALSE,"WBS 1.18"}</definedName>
    <definedName name="ffffffff" hidden="1">{#N/A,#N/A,FALSE,"WBS 1.06";#N/A,#N/A,FALSE,"WBS 1.14";#N/A,#N/A,FALSE,"WBS 1.17";#N/A,#N/A,FALSE,"WBS 1.18"}</definedName>
    <definedName name="fffffffff" hidden="1">{"'1098trans'!$A$10:$F$64","'1098trans'!$A$65:$A$66","'1098trans'!$A$67:$D$69","'1098trans'!$A$64:$F$69"}</definedName>
    <definedName name="FFWT" hidden="1">{#N/A,#N/A,FALSE,"WBS 1.06";#N/A,#N/A,FALSE,"WBS 1.14";#N/A,#N/A,FALSE,"WBS 1.17";#N/A,#N/A,FALSE,"WBS 1.18"}</definedName>
    <definedName name="FGH" hidden="1">{#N/A,#N/A,FALSE,"WBS 1.06";#N/A,#N/A,FALSE,"WBS 1.14";#N/A,#N/A,FALSE,"WBS 1.17";#N/A,#N/A,FALSE,"WBS 1.18"}</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vadsgfa" localSheetId="5">#REF!</definedName>
    <definedName name="fgvadsgfa" localSheetId="8">#REF!</definedName>
    <definedName name="fgvadsgfa">#REF!</definedName>
    <definedName name="fill2" hidden="1">'[11]PPV APRIL'!$C$4:$C$1701</definedName>
    <definedName name="Fixture_Wattage" localSheetId="5">#REF!</definedName>
    <definedName name="Fixture_Wattage" localSheetId="8">#REF!</definedName>
    <definedName name="Fixture_Wattage">#REF!</definedName>
    <definedName name="FOLBOSCRTAB"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ftyi" hidden="1">{"1999 Revenue",#N/A,FALSE,"IBS";"1999 Traffic",#N/A,FALSE,"IBS"}</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 localSheetId="5">'[1]J-SEC'!#REF!</definedName>
    <definedName name="G" localSheetId="8">'[1]J-SEC'!#REF!</definedName>
    <definedName name="G">'[1]J-SEC'!#REF!</definedName>
    <definedName name="GET" hidden="1">{#N/A,#N/A,FALSE,"WBS 1.06";#N/A,#N/A,FALSE,"WBS 1.14";#N/A,#N/A,FALSE,"WBS 1.17";#N/A,#N/A,FALSE,"WBS 1.18"}</definedName>
    <definedName name="GEWAGRG" hidden="1">{#N/A,#N/A,FALSE,"WBS 1.06";#N/A,#N/A,FALSE,"WBS 1.14";#N/A,#N/A,FALSE,"WBS 1.17";#N/A,#N/A,FALSE,"WBS 1.18"}</definedName>
    <definedName name="gggg" hidden="1">{"'Vietnam'!$E$21:$W$45","'Vietnam'!$E$21:$W$45"}</definedName>
    <definedName name="gggggg" hidden="1">{#N/A,#N/A,FALSE,"WBS 1.06";#N/A,#N/A,FALSE,"WBS 1.14";#N/A,#N/A,FALSE,"WBS 1.17";#N/A,#N/A,FALSE,"WBS 1.18"}</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hg.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h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y.xl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nnh"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Govt_1_2_3" hidden="1">{#N/A,#N/A,FALSE,"Base Info";#N/A,#N/A,FALSE,"Base Info"}</definedName>
    <definedName name="Govt_1_2_3_1" hidden="1">{#N/A,#N/A,FALSE,"Base Info";#N/A,#N/A,FALSE,"Base Info"}</definedName>
    <definedName name="govt_copy" hidden="1">{#N/A,#N/A,FALSE,"Cover";#N/A,#N/A,FALSE,"Data";#N/A,#N/A,FALSE,"MDS Sup";#N/A,#N/A,FALSE,"Sub Sup";#N/A,#N/A,FALSE,"Ad Hoc";#N/A,#N/A,FALSE,"Dave's Summary";#N/A,#N/A,FALSE,"Graphs"}</definedName>
    <definedName name="govt_copy_1" hidden="1">{#N/A,#N/A,FALSE,"Cover";#N/A,#N/A,FALSE,"Data";#N/A,#N/A,FALSE,"MDS Sup";#N/A,#N/A,FALSE,"Sub Sup";#N/A,#N/A,FALSE,"Ad Hoc";#N/A,#N/A,FALSE,"Dave's Summary";#N/A,#N/A,FALSE,"Graphs"}</definedName>
    <definedName name="GPA" hidden="1">{"FTC PUMPS B",#N/A,FALSE,"FTC PUMPS";"FLYGT B",#N/A,FALSE,"Flygt";"IPGWW B",#N/A,FALSE,"IPGWW";"FHD B",#N/A,FALSE,"FHD";"WTDWW B",#N/A,FALSE,"WTDWW";"CHECK B",#N/A,FALSE," REPORT check";"LOWARA B",#N/A,FALSE,"LOWGROUP";"HQ",#N/A,FALSE,"PUMPSHQ Adj for rounding"}</definedName>
    <definedName name="GSDFG" hidden="1">{"PAGE1",#N/A,FALSE,"CPFFMSTR";"PAGE2",#N/A,FALSE,"CPFFMSTR"}</definedName>
    <definedName name="GT" hidden="1">{#N/A,#N/A,FALSE,"WBS 1.06";#N/A,#N/A,FALSE,"WBS 1.14";#N/A,#N/A,FALSE,"WBS 1.17";#N/A,#N/A,FALSE,"WBS 1.18"}</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elpit" hidden="1">{#N/A,#N/A,FALSE,"Sheet1"}</definedName>
    <definedName name="helpme" hidden="1">{#N/A,#N/A,FALSE,"Sheet1"}</definedName>
    <definedName name="HGJ" hidden="1">{"PAGE1",#N/A,FALSE,"CPFFMSTR";"PAGE2",#N/A,FALSE,"CPFFMSTR"}</definedName>
    <definedName name="hhh" hidden="1">{#N/A,#N/A,FALSE,"Sheet1"}</definedName>
    <definedName name="hhhh" hidden="1">{"'Vietnam'!$E$21:$W$45","'Vietnam'!$E$21:$W$45"}</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jjkk" hidden="1">{#N/A,#N/A,FALSE,"WBS 1.06";#N/A,#N/A,FALSE,"WBS 1.14";#N/A,#N/A,FALSE,"WBS 1.17";#N/A,#N/A,FALSE,"WBS 1.18"}</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our_Codes" localSheetId="5">#REF!</definedName>
    <definedName name="Hour_Codes" localSheetId="8">#REF!</definedName>
    <definedName name="Hour_Codes">#REF!</definedName>
    <definedName name="Hours" localSheetId="5">#REF!</definedName>
    <definedName name="Hours" localSheetId="8">#REF!</definedName>
    <definedName name="Hours">#REF!</definedName>
    <definedName name="HOURS1" localSheetId="5">#REF!</definedName>
    <definedName name="HOURS1" localSheetId="8">#REF!</definedName>
    <definedName name="HOURS1">#REF!</definedName>
    <definedName name="HPPPP" hidden="1">{#N/A,#N/A,FALSE,"Sheet1"}</definedName>
    <definedName name="HRIS.ecp" hidden="1">{"Page 2",#N/A,FALSE,"2000";"Page 1",#N/A,FALSE,"2000"}</definedName>
    <definedName name="HRIS.ecp_1" hidden="1">{"Page 2",#N/A,FALSE,"2000";"Page 1",#N/A,FALSE,"2000"}</definedName>
    <definedName name="HTML_CodePage" hidden="1">1252</definedName>
    <definedName name="HTML_Control" hidden="1">{"'1098trans'!$A$10:$F$64","'1098trans'!$A$65:$A$66","'1098trans'!$A$67:$D$69","'1098trans'!$A$64:$F$69"}</definedName>
    <definedName name="HTML_Control_1" hidden="1">{"'Year 8'!$A$1:$L$22"}</definedName>
    <definedName name="HTML_Control1" hidden="1">{"'1098trans'!$A$10:$F$64","'1098trans'!$A$65:$A$66","'1098trans'!$A$67:$D$69","'1098trans'!$A$64:$F$69"}</definedName>
    <definedName name="HTML_Control2" hidden="1">{"'Year 8'!$A$1:$L$22"}</definedName>
    <definedName name="HTML_Control2_1" hidden="1">{"'Year 8'!$A$1:$L$22"}</definedName>
    <definedName name="html_control3" hidden="1">{"'1098trans'!$A$10:$F$64","'1098trans'!$A$65:$A$66","'1098trans'!$A$67:$D$69","'1098trans'!$A$64:$F$69"}</definedName>
    <definedName name="HTML_COntrol4" hidden="1">{"'Vietnam'!$E$21:$W$45","'Vietnam'!$E$21:$W$45"}</definedName>
    <definedName name="HTML_Control5" hidden="1">{"'Vietnam'!$E$21:$W$45","'Vietnam'!$E$21:$W$45"}</definedName>
    <definedName name="HTML_Description" hidden="1">""</definedName>
    <definedName name="HTML_Email" hidden="1">""</definedName>
    <definedName name="HTML_Header" hidden="1">"0798Table"</definedName>
    <definedName name="HTML_LastUpdate" hidden="1">"1/6/99"</definedName>
    <definedName name="HTML_LineAfter" hidden="1">FALSE</definedName>
    <definedName name="HTML_LineBefore" hidden="1">FALSE</definedName>
    <definedName name="HTML_Name" hidden="1">"ITT Industries"</definedName>
    <definedName name="HTML_OBDlg2" hidden="1">TRUE</definedName>
    <definedName name="HTML_OBDlg3" hidden="1">TRUE</definedName>
    <definedName name="HTML_OBDlg4" hidden="1">TRUE</definedName>
    <definedName name="HTML_OS" hidden="1">0</definedName>
    <definedName name="HTML_PathFile" hidden="1">"W:\1298table.htm"</definedName>
    <definedName name="HTML_PathTemplate" hidden="1">"W:\Webtop03.htm"</definedName>
    <definedName name="HTML_Title" hidden="1">"0798 Table"</definedName>
    <definedName name="HTML1" hidden="1">{"'Vietnam'!$E$21:$W$45","'Vietnam'!$E$21:$W$45"}</definedName>
    <definedName name="HTML1_1" hidden="1">"'[AN$.XLS]LAN Inst'!$A$1:$L$97"</definedName>
    <definedName name="HTML1_10" hidden="1">""</definedName>
    <definedName name="HTML1_11" hidden="1">1</definedName>
    <definedName name="HTML1_12" hidden="1">"O:\ANDERSON\SHARE\TECHTEAM\LAN_OSRC\FINAL\AN$.htm"</definedName>
    <definedName name="HTML1_2" hidden="1">1</definedName>
    <definedName name="HTML1_3" hidden="1">"AN$"</definedName>
    <definedName name="HTML1_4" hidden="1">"LAN Inst"</definedName>
    <definedName name="HTML1_5" hidden="1">""</definedName>
    <definedName name="HTML1_6" hidden="1">-4146</definedName>
    <definedName name="HTML1_7" hidden="1">-4146</definedName>
    <definedName name="HTML1_8" hidden="1">"7/31/96"</definedName>
    <definedName name="HTML1_9" hidden="1">"Jonathan Schembor/Andersen Con."</definedName>
    <definedName name="HTML1a" hidden="1">{"'Vietnam'!$E$21:$W$45","'Vietnam'!$E$21:$W$45"}</definedName>
    <definedName name="HTML2_1" hidden="1">"'[AN$.XLS]50 Node'!$A$1:$T$26"</definedName>
    <definedName name="HTML2_10" hidden="1">""</definedName>
    <definedName name="HTML2_11" hidden="1">1</definedName>
    <definedName name="HTML2_12" hidden="1">"O:\ANDERSON\SHARE\TECHTEAM\LAN_OSRC\FINAL\an1.htm"</definedName>
    <definedName name="HTML2_2" hidden="1">1</definedName>
    <definedName name="HTML2_3" hidden="1">"AN$"</definedName>
    <definedName name="HTML2_4" hidden="1">"50 Node"</definedName>
    <definedName name="HTML2_5" hidden="1">""</definedName>
    <definedName name="HTML2_6" hidden="1">-4146</definedName>
    <definedName name="HTML2_7" hidden="1">-4146</definedName>
    <definedName name="HTML2_8" hidden="1">"7/31/96"</definedName>
    <definedName name="HTML2_9" hidden="1">"Jonathan Schembor/Andersen Con."</definedName>
    <definedName name="HTML3_1" hidden="1">"'[AN$.XLS]Maint'!$A$1:$Q$25"</definedName>
    <definedName name="HTML3_10" hidden="1">""</definedName>
    <definedName name="HTML3_11" hidden="1">1</definedName>
    <definedName name="HTML3_12" hidden="1">"O:\ANDERSON\SHARE\TECHTEAM\LAN_OSRC\FINAL\an2.htm"</definedName>
    <definedName name="HTML3_2" hidden="1">1</definedName>
    <definedName name="HTML3_3" hidden="1">"AN$"</definedName>
    <definedName name="HTML3_4" hidden="1">"Maint"</definedName>
    <definedName name="HTML3_5" hidden="1">""</definedName>
    <definedName name="HTML3_6" hidden="1">-4146</definedName>
    <definedName name="HTML3_7" hidden="1">-4146</definedName>
    <definedName name="HTML3_8" hidden="1">"7/31/96"</definedName>
    <definedName name="HTML3_9" hidden="1">"Jonathan Schembor/Andersen Con."</definedName>
    <definedName name="HTML4_1" hidden="1">"'[AN$.XLS]Support'!$A$1:$M$31"</definedName>
    <definedName name="HTML4_10" hidden="1">""</definedName>
    <definedName name="HTML4_11" hidden="1">1</definedName>
    <definedName name="HTML4_12" hidden="1">"O:\ANDERSON\SHARE\TECHTEAM\LAN_OSRC\FINAL\an3.htm"</definedName>
    <definedName name="HTML4_2" hidden="1">1</definedName>
    <definedName name="HTML4_3" hidden="1">"AN$"</definedName>
    <definedName name="HTML4_4" hidden="1">"Support"</definedName>
    <definedName name="HTML4_5" hidden="1">""</definedName>
    <definedName name="HTML4_6" hidden="1">-4146</definedName>
    <definedName name="HTML4_7" hidden="1">-4146</definedName>
    <definedName name="HTML4_8" hidden="1">"7/31/96"</definedName>
    <definedName name="HTML4_9" hidden="1">"Jonathan Schembor/Andersen Con."</definedName>
    <definedName name="HTML5_1" hidden="1">"'[AN$.XLS]1st Pass'!$A$1:$J$17"</definedName>
    <definedName name="HTML5_10" hidden="1">""</definedName>
    <definedName name="HTML5_11" hidden="1">1</definedName>
    <definedName name="HTML5_12" hidden="1">"O:\ANDERSON\SHARE\TECHTEAM\LAN_OSRC\FINAL\an4.htm"</definedName>
    <definedName name="HTML5_2" hidden="1">1</definedName>
    <definedName name="HTML5_3" hidden="1">"AN$"</definedName>
    <definedName name="HTML5_4" hidden="1">"1st Pass"</definedName>
    <definedName name="HTML5_5" hidden="1">""</definedName>
    <definedName name="HTML5_6" hidden="1">-4146</definedName>
    <definedName name="HTML5_7" hidden="1">-4146</definedName>
    <definedName name="HTML5_8" hidden="1">"7/31/96"</definedName>
    <definedName name="HTML5_9" hidden="1">"Jonathan Schembor/Andersen Con."</definedName>
    <definedName name="HTMLCount" hidden="1">5</definedName>
    <definedName name="hug" hidden="1">{#N/A,#N/A,FALSE,"Summary Report"}</definedName>
    <definedName name="huio" hidden="1">{"Start",#N/A,FALSE,"Menu";"P&amp;L",#N/A,FALSE,"Monthly P&amp;L";"Rev",#N/A,FALSE,"Revenue Summary";"budbar",#N/A,FALSE,"Budget-Variance";"priorvar",#N/A,FALSE,"Prior Month Var";"DetailRev",#N/A,FALSE,"Detail  Budget Var (Revenue)";"Detailom",#N/A,FALSE,"Detail Budget Var (O&amp;M)"}</definedName>
    <definedName name="hwh" hidden="1">{#N/A,#N/A,FALSE,"WBS 1.06";#N/A,#N/A,FALSE,"WBS 1.14";#N/A,#N/A,FALSE,"WBS 1.17";#N/A,#N/A,FALSE,"WBS 1.18"}</definedName>
    <definedName name="i" hidden="1">{"'1098trans'!$A$10:$F$64","'1098trans'!$A$65:$A$66","'1098trans'!$A$67:$D$69","'1098trans'!$A$64:$F$69"}</definedName>
    <definedName name="IDIQRates">'[5]IDIQ RATES'!$A$1:$C$65536</definedName>
    <definedName name="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 hidden="1">{"'Vietnam'!$E$21:$W$45","'Vietnam'!$E$21:$W$45"}</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ndirectrates">'[12]3. FPRP Indirect Rates'!$C$11:$N$54</definedName>
    <definedName name="Installer_List" localSheetId="5">#REF!</definedName>
    <definedName name="Installer_List" localSheetId="8">#REF!</definedName>
    <definedName name="Installer_List">#REF!</definedName>
    <definedName name="iop" hidden="1">{#N/A,#N/A,FALSE,"Monthly"}</definedName>
    <definedName name="i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 hidden="1">"c1648"</definedName>
    <definedName name="IQ_EST_ACT_FFO_REUT" hidden="1">"c3843"</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FFO_DIFF_REUT" hidden="1">"c3890"</definedName>
    <definedName name="IQ_EST_FFO_SURPRISE_PERCENT_REUT" hidden="1">"c3891"</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STDDEV_EST_CIQ" hidden="1">"c4981"</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40357.3801157406</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EVISION_DATE_" hidden="1">38740.580787037</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S"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IRSOV"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RSOV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it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1d"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ja" hidden="1">{#N/A,#N/A,FALSE,"204";#N/A,#N/A,FALSE,"226";#N/A,#N/A,FALSE,"233";#N/A,#N/A,FALSE,"632";#N/A,#N/A,FALSE,"671";#N/A,#N/A,FALSE,"905";#N/A,#N/A,FALSE,"906";#N/A,#N/A,FALSE,"913";#N/A,#N/A,FALSE,"914";#N/A,#N/A,FALSE,"916";#N/A,#N/A,FALSE,"AAT";#N/A,#N/A,FALSE,"ATAS";#N/A,#N/A,FALSE,"ITL3";#N/A,#N/A,FALSE,"917";#N/A,#N/A,FALSE,"918"}</definedName>
    <definedName name="ja_1" hidden="1">{#N/A,#N/A,FALSE,"204";#N/A,#N/A,FALSE,"226";#N/A,#N/A,FALSE,"233";#N/A,#N/A,FALSE,"632";#N/A,#N/A,FALSE,"671";#N/A,#N/A,FALSE,"905";#N/A,#N/A,FALSE,"906";#N/A,#N/A,FALSE,"913";#N/A,#N/A,FALSE,"914";#N/A,#N/A,FALSE,"916";#N/A,#N/A,FALSE,"AAT";#N/A,#N/A,FALSE,"ATAS";#N/A,#N/A,FALSE,"ITL3";#N/A,#N/A,FALSE,"917";#N/A,#N/A,FALSE,"918"}</definedName>
    <definedName name="JANNA" hidden="1">{"PAGE1",#N/A,FALSE,"allocation base";"PAGE2",#N/A,FALSE,"burden";"PAGE3",#N/A,FALSE,"burden";"PAGE4",#N/A,FALSE,"labor rates";"PAGE5",#N/A,FALSE,"labor rates";"PAGE6",#N/A,FALSE,"labor rates"}</definedName>
    <definedName name="JANNA1" hidden="1">{"PAGE1",#N/A,FALSE,"allocation base";"PAGE2",#N/A,FALSE,"burden";"PAGE3",#N/A,FALSE,"burden";"PAGE4",#N/A,FALSE,"labor rates";"PAGE5",#N/A,FALSE,"labor rates";"PAGE6",#N/A,FALSE,"labor rates"}</definedName>
    <definedName name="janna2" hidden="1">{"PAGE1",#N/A,FALSE,"allocation base";"PAGE2",#N/A,FALSE,"burden";"PAGE3",#N/A,FALSE,"burden";"PAGE4",#N/A,FALSE,"labor rates";"PAGE5",#N/A,FALSE,"labor rates";"PAGE6",#N/A,FALSE,"labor rates"}</definedName>
    <definedName name="janna3" hidden="1">{"PAGE1",#N/A,FALSE,"allocation base";"PAGE2",#N/A,FALSE,"burden";"PAGE3",#N/A,FALSE,"burden";"PAGE4",#N/A,FALSE,"labor rates";"PAGE5",#N/A,FALSE,"labor rates";"PAGE6",#N/A,FALSE,"labor rates"}</definedName>
    <definedName name="ja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CI_Existing_Code" localSheetId="5">#REF!</definedName>
    <definedName name="JCI_Existing_Code" localSheetId="8">#REF!</definedName>
    <definedName name="JCI_Existing_Code">#REF!</definedName>
    <definedName name="JCI_Upgraded_Code" localSheetId="5">#REF!</definedName>
    <definedName name="JCI_Upgraded_Code" localSheetId="8">#REF!</definedName>
    <definedName name="JCI_Upgraded_Code">#REF!</definedName>
    <definedName name="JH" hidden="1">{"PAGE1",#N/A,FALSE,"CPFFMSTR";"PAGE2",#N/A,FALSE,"CPFFMSTR"}</definedName>
    <definedName name="jjj" hidden="1">{#N/A,#N/A,FALSE,"Sheet1"}</definedName>
    <definedName name="jjjjj" hidden="1">{"'1098trans'!$A$10:$F$64","'1098trans'!$A$65:$A$66","'1098trans'!$A$67:$D$69","'1098trans'!$A$64:$F$69"}</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KKEEEE" hidden="1">{"'Vietnam'!$E$21:$W$45","'Vietnam'!$E$21:$W$45"}</definedName>
    <definedName name="JJKKEEEE2" hidden="1">{"'Vietnam'!$E$21:$W$45","'Vietnam'!$E$21:$W$45"}</definedName>
    <definedName name="jjuuy" hidden="1">{"'Vietnam'!$E$21:$W$45","'Vietnam'!$E$21:$W$45"}</definedName>
    <definedName name="jk" hidden="1">{#N/A,#N/A,FALSE,"Cover";#N/A,#N/A,FALSE,"Data";#N/A,#N/A,FALSE,"MDS Sup";#N/A,#N/A,FALSE,"Sub Sup";#N/A,#N/A,FALSE,"Ad Hoc";#N/A,#N/A,FALSE,"Dave's Summary";#N/A,#N/A,FALSE,"Graphs"}</definedName>
    <definedName name="jk_1" hidden="1">{#N/A,#N/A,FALSE,"Cover";#N/A,#N/A,FALSE,"Data";#N/A,#N/A,FALSE,"MDS Sup";#N/A,#N/A,FALSE,"Sub Sup";#N/A,#N/A,FALSE,"Ad Hoc";#N/A,#N/A,FALSE,"Dave's Summary";#N/A,#N/A,FALSE,"Graphs"}</definedName>
    <definedName name="JKHJ" hidden="1">{"PAGE1",#N/A,FALSE,"CPFFMSTR";"PAGE2",#N/A,FALSE,"CPFFMSTR"}</definedName>
    <definedName name="Job_Tax_Labor" localSheetId="5">#REF!</definedName>
    <definedName name="Job_Tax_Labor" localSheetId="8">#REF!</definedName>
    <definedName name="Job_Tax_Labor">#REF!</definedName>
    <definedName name="Job_Tax_Material" localSheetId="5">#REF!</definedName>
    <definedName name="Job_Tax_Material" localSheetId="8">#REF!</definedName>
    <definedName name="Job_Tax_Material">#REF!</definedName>
    <definedName name="Job_Tax_Sub" localSheetId="5">#REF!</definedName>
    <definedName name="Job_Tax_Sub" localSheetId="8">#REF!</definedName>
    <definedName name="Job_Tax_Sub">#REF!</definedName>
    <definedName name="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2_WBEVMODE" hidden="1">0</definedName>
    <definedName name="keesler"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eesler_1" hidden="1">{#N/A,#N/A,FALSE,"SCH B (option 4)";#N/A,#N/A,FALSE,"SCH B (option 3)";#N/A,#N/A,FALSE,"SCH B (option 2)";#N/A,#N/A,FALSE,"SCH B (option 1)";#N/A,#N/A,FALSE,"SCH B (base yr)";#N/A,#N/A,FALSE,"RECAP";#N/A,#N/A,FALSE,"SCH B (basic)";#N/A,#N/A,FALSE,"SV ORDER (base)";#N/A,#N/A,FALSE,"SV ORDER (options)";#N/A,#N/A,FALSE,"COM(base)";#N/A,#N/A,FALSE,"COM (options)";#N/A,#N/A,FALSE,"PM(base)";#N/A,#N/A,FALSE,"PM (options)";#N/A,#N/A,FALSE,"EQUIP";#N/A,#N/A,FALSE,"ADMIN";#N/A,#N/A,FALSE,"OVHEAD";#N/A,#N/A,FALSE,"SCA";#N/A,#N/A,FALSE,"DBA";#N/A,#N/A,FALSE,"ESTIMATES";#N/A,#N/A,FALSE,"LCURVE"}</definedName>
    <definedName name="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opie" hidden="1">{"'1098trans'!$A$10:$F$64","'1098trans'!$A$65:$A$66","'1098trans'!$A$67:$D$69","'1098trans'!$A$64:$F$69"}</definedName>
    <definedName name="KYEAR">'[5]RATES &amp; TABLES'!$AW$4:$AW$8</definedName>
    <definedName name="LAB" hidden="1">{"GFY 97",#N/A,FALSE,"SCRA LABOR";"GFY 98",#N/A,FALSE,"SCRA LABOR";"GFY 99",#N/A,FALSE,"SCRA LABOR";"GFY 00",#N/A,FALSE,"SCRA LABOR"}</definedName>
    <definedName name="Labor" hidden="1">{#N/A,#N/A,FALSE,"050_150";#N/A,#N/A,FALSE,"050_151";#N/A,#N/A,FALSE,"050_152";#N/A,#N/A,FALSE,"050_153";#N/A,#N/A,FALSE,"050_154";#N/A,#N/A,FALSE,"050_155";#N/A,#N/A,FALSE,"050_156";#N/A,#N/A,FALSE,"050_157";#N/A,#N/A,FALSE,"050_158";#N/A,#N/A,FALSE,"050_159";#N/A,#N/A,FALSE,"050_255"}</definedName>
    <definedName name="Labor_and_Equipment_Margin" localSheetId="5">#REF!</definedName>
    <definedName name="Labor_and_Equipment_Margin" localSheetId="8">#REF!</definedName>
    <definedName name="Labor_and_Equipment_Margin">#REF!</definedName>
    <definedName name="LaborSpread_1198" hidden="1">{#N/A,#N/A,FALSE,"Sheet1"}</definedName>
    <definedName name="LaborStuff"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labortable">'[13]Exhibit 1.0-Labor Table'!$C$17:$DJ$179</definedName>
    <definedName name="LAJ" hidden="1">{#N/A,#N/A,FALSE,"WBS 1.06";#N/A,#N/A,FALSE,"WBS 1.14";#N/A,#N/A,FALSE,"WBS 1.17";#N/A,#N/A,FALSE,"WBS 1.18"}</definedName>
    <definedName name="Lamp_Codes" localSheetId="5">#REF!</definedName>
    <definedName name="Lamp_Codes" localSheetId="8">#REF!</definedName>
    <definedName name="Lamp_Codes">#REF!</definedName>
    <definedName name="Lamp_Specs" localSheetId="5">#REF!</definedName>
    <definedName name="Lamp_Specs" localSheetId="8">#REF!</definedName>
    <definedName name="Lamp_Specs">#REF!</definedName>
    <definedName name="Lamp_Wattage_Selection" localSheetId="5">#REF!</definedName>
    <definedName name="Lamp_Wattage_Selection" localSheetId="8">#REF!</definedName>
    <definedName name="Lamp_Wattage_Selection">#REF!</definedName>
    <definedName name="LCCA_Period" localSheetId="5">#REF!</definedName>
    <definedName name="LCCA_Period" localSheetId="8">#REF!</definedName>
    <definedName name="LCCA_Period">#REF!</definedName>
    <definedName name="LDF" hidden="1">{#N/A,#N/A,FALSE,"WBS 1.06";#N/A,#N/A,FALSE,"WBS 1.14";#N/A,#N/A,FALSE,"WBS 1.17";#N/A,#N/A,FALSE,"WBS 1.18"}</definedName>
    <definedName name="ldp" hidden="1">{#N/A,#N/A,FALSE,"WBS 1.06";#N/A,#N/A,FALSE,"WBS 1.14";#N/A,#N/A,FALSE,"WBS 1.17";#N/A,#N/A,FALSE,"WBS 1.18"}</definedName>
    <definedName name="lett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evels" hidden="1">[14]Lists!$C$3:$C$9</definedName>
    <definedName name="Lifts_Needed" localSheetId="5">#REF!</definedName>
    <definedName name="Lifts_Needed" localSheetId="8">#REF!</definedName>
    <definedName name="Lifts_Needed">#REF!</definedName>
    <definedName name="limcount" hidden="1">7</definedName>
    <definedName name="llll" hidden="1">{"'1098trans'!$A$10:$F$64","'1098trans'!$A$65:$A$66","'1098trans'!$A$67:$D$69","'1098trans'!$A$64:$F$69"}</definedName>
    <definedName name="lllll" hidden="1">{"'1098trans'!$A$10:$F$64","'1098trans'!$A$65:$A$66","'1098trans'!$A$67:$D$69","'1098trans'!$A$64:$F$69"}</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M_EAC" hidden="1">{#N/A,#N/A,FALSE,"Sheet1"}</definedName>
    <definedName name="Logger_Data" localSheetId="5">#REF!</definedName>
    <definedName name="Logger_Data" localSheetId="8">#REF!</definedName>
    <definedName name="Logger_Data">#REF!</definedName>
    <definedName name="M" hidden="1">{"Start",#N/A,FALSE,"Menu";"P&amp;L",#N/A,FALSE,"Monthly P&amp;L";"Rev",#N/A,FALSE,"Revenue Summary";"budbar",#N/A,FALSE,"Budget-Variance";"priorvar",#N/A,FALSE,"Prior Month Var";"DetailRev",#N/A,FALSE,"Detail  Budget Var (Revenue)";"Detailom",#N/A,FALSE,"Detail Budget Var (O&amp;M)"}</definedName>
    <definedName name="Major"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Major_Accomp"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nufacturer">[15]Picklists!$G$2:$G$331</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TERIAL" hidden="1">{"BASE",#N/A,FALSE,"CE BY WBS";"OPTION",#N/A,FALSE,"CE BY WBS"}</definedName>
    <definedName name="maybe" hidden="1">{#N/A,#N/A,FALSE,"ManLoading"}</definedName>
    <definedName name="maybe_1" hidden="1">{#N/A,#N/A,FALSE,"ManLoading"}</definedName>
    <definedName name="MBE_Labor_Percentage" localSheetId="5">#REF!</definedName>
    <definedName name="MBE_Labor_Percentage" localSheetId="8">#REF!</definedName>
    <definedName name="MBE_Labor_Percentage">#REF!</definedName>
    <definedName name="MBE_Material_Percentage" localSheetId="5">#REF!</definedName>
    <definedName name="MBE_Material_Percentage" localSheetId="8">#REF!</definedName>
    <definedName name="MBE_Material_Percentage">#REF!</definedName>
    <definedName name="MBE_WBE_Participation_Cost" localSheetId="5">#REF!</definedName>
    <definedName name="MBE_WBE_Participation_Cost" localSheetId="8">#REF!</definedName>
    <definedName name="MBE_WBE_Participation_Cost">#REF!</definedName>
    <definedName name="meo"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MI" hidden="1">{"PAGE1",#N/A,FALSE,"allocation base";"PAGE2",#N/A,FALSE,"burden";"PAGE3",#N/A,FALSE,"burden";"PAGE4",#N/A,FALSE,"labor rates";"PAGE5",#N/A,FALSE,"labor rates";"PAGE6",#N/A,FALSE,"labor rates"}</definedName>
    <definedName name="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THOPT" hidden="1">{"GFY 97",#N/A,FALSE,"MONTHLY FLOW (OPTION)";"GFY 98",#N/A,FALSE,"MONTHLY FLOW (OPTION)";"GFY 99",#N/A,FALSE,"MONTHLY FLOW (OPTION)";"GFY 00",#N/A,FALSE,"MONTHLY FLOW (OPTION)";"TTL PROGRAM",#N/A,FALSE,"MONTHLY FLOW (OPTION)"}</definedName>
    <definedName name="mr" hidden="1">{"'1098trans'!$A$10:$F$64","'1098trans'!$A$65:$A$66","'1098trans'!$A$67:$D$69","'1098trans'!$A$64:$F$69"}</definedName>
    <definedName name="MTHLY" hidden="1">{"GFY 97",#N/A,FALSE,"MONTHLY FLOW";"GFY 98",#N/A,FALSE,"MONTHLY FLOW";"GFY 99",#N/A,FALSE,"MONTHLY FLOW";"TOTAL PROGRAM",#N/A,FALSE,"MONTHLY FLOW"}</definedName>
    <definedName name="Mtrls_Cost">'[8]Annual Vehicle Maint-Fuel Cost'!$A$62:$G$72</definedName>
    <definedName name="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 localSheetId="5" hidden="1">'[1]J-SEC'!#REF!</definedName>
    <definedName name="new" localSheetId="8" hidden="1">'[1]J-SEC'!#REF!</definedName>
    <definedName name="new" hidden="1">'[1]J-SEC'!#REF!</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pdt" hidden="1">{#N/A,#N/A,TRUE,"DCF Summary (2)";#N/A,#N/A,TRUE,"DCF Summary";#N/A,"Middle Case Drivers",TRUE,"DCF"}</definedName>
    <definedName name="neww" localSheetId="5" hidden="1">'[1]J-SEC'!#REF!</definedName>
    <definedName name="neww" localSheetId="8" hidden="1">'[1]J-SEC'!#REF!</definedName>
    <definedName name="neww" hidden="1">'[1]J-SEC'!#REF!</definedName>
    <definedName name="NMK" hidden="1">{#N/A,#N/A,FALSE,"WBS 1.06";#N/A,#N/A,FALSE,"WBS 1.14";#N/A,#N/A,FALSE,"WBS 1.17";#N/A,#N/A,FALSE,"WBS 1.18"}</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 hidden="1">{#N/A,#N/A,FALSE,"050_150";#N/A,#N/A,FALSE,"050_151";#N/A,#N/A,FALSE,"050_152";#N/A,#N/A,FALSE,"050_153";#N/A,#N/A,FALSE,"050_154";#N/A,#N/A,FALSE,"050_155";#N/A,#N/A,FALSE,"050_156";#N/A,#N/A,FALSE,"050_157";#N/A,#N/A,FALSE,"050_158";#N/A,#N/A,FALSE,"050_159";#N/A,#N/A,FALSE,"050_255"}</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o" hidden="1">{#N/A,#N/A,FALSE,"ManLoading"}</definedName>
    <definedName name="no.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no_1" hidden="1">{#N/A,#N/A,FALSE,"ManLoading"}</definedName>
    <definedName name="none" hidden="1">{#N/A,#N/A,FALSE,"ManLoading"}</definedName>
    <definedName name="none_1" hidden="1">{#N/A,#N/A,FALSE,"ManLoading"}</definedName>
    <definedName name="Number_of_Fixtures_per_Battery" localSheetId="5">#REF!</definedName>
    <definedName name="Number_of_Fixtures_per_Battery" localSheetId="8">#REF!</definedName>
    <definedName name="Number_of_Fixtures_per_Battery">#REF!</definedName>
    <definedName name="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i" hidden="1">{"Start",#N/A,FALSE,"Menu";"P&amp;L",#N/A,FALSE,"Monthly P&amp;L";"Rev",#N/A,FALSE,"Revenue Summary";"budbar",#N/A,FALSE,"Budget-Variance";"priorvar",#N/A,FALSE,"Prior Month Var";"DetailRev",#N/A,FALSE,"Detail  Budget Var (Revenue)";"Detailom",#N/A,FALSE,"Detail Budget Var (O&amp;M)"}</definedName>
    <definedName name="old" hidden="1">{"PAGE1",#N/A,FALSE,"CPFFMSTR";"PAGE2",#N/A,FALSE,"CPFFMSTR"}</definedName>
    <definedName name="old_1" hidden="1">{"PAGE1",#N/A,FALSE,"CPFFMSTR";"PAGE2",#N/A,FALSE,"CPFFMSTR"}</definedName>
    <definedName name="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 hidden="1">{"'1098trans'!$A$10:$F$64","'1098trans'!$A$65:$A$66","'1098trans'!$A$67:$D$69","'1098trans'!$A$64:$F$69"}</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hidden="1">{#N/A,#N/A,FALSE,"Monthly"}</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portunitie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T1_ST_MP">'[5]OPT1 WAGES &amp; BENEFITS - ST'!$A$4:$AM$33</definedName>
    <definedName name="OPT1_ST_TCNJ">'[5]OPT1 WAGES &amp; BENEFITS - ST'!$A$258:$AN$295</definedName>
    <definedName name="OPT1_ST_TCNP">'[5]OPT1 WAGES &amp; BENEFITS - ST'!$A$38:$AM$253</definedName>
    <definedName name="OPT2_ST_MP">'[5]OPT2 WAGES &amp; BENEFITS - ST'!$A$4:$AM$33</definedName>
    <definedName name="OPT2_ST_TCNJ">'[5]OPT2 WAGES &amp; BENEFITS - ST'!$A$258:$AN$295</definedName>
    <definedName name="OPT2_ST_TCNP">'[5]OPT2 WAGES &amp; BENEFITS - ST'!$A$38:$AM$253</definedName>
    <definedName name="OPT3_ST_MP">'[5]OPT3 WAGES &amp; BENEFITS - ST'!$A$4:$AM$33</definedName>
    <definedName name="OPT3_ST_TCNJ">'[5]OPT3 WAGES &amp; BENEFITS - ST'!$A$258:$AN$295</definedName>
    <definedName name="OPT3_ST_TCNP">'[5]OPT3 WAGES &amp; BENEFITS - ST'!$A$38:$AM$253</definedName>
    <definedName name="OPT4_ST_MP">'[5]OPT4 WAGES &amp; BENEFITS - ST'!$A$4:$AM$33</definedName>
    <definedName name="OPT4_ST_TCNJ">'[5]OPT4 WAGES &amp; BENEFITS - ST'!$A$258:$AN$295</definedName>
    <definedName name="OPT4_ST_TCNP">'[5]OPT4 WAGES &amp; BENEFITS - ST'!$A$38:$AM$253</definedName>
    <definedName name="Order2" hidden="1">255</definedName>
    <definedName name="OSDCostBuidup2" hidden="1">{#N/A,#N/A,FALSE,"Sheet1"}</definedName>
    <definedName name="p" hidden="1">{#N/A,#N/A,TRUE,"Report";#N/A,#N/A,TRUE,"DETAIL";#N/A,#N/A,TRUE,"PGRM MGMT &amp; CONTRACT SPT";#N/A,#N/A,TRUE,"New Charts";#N/A,#N/A,TRUE,"Open Commit Revised ";#N/A,#N/A,TRUE,"TRAVEL"}</definedName>
    <definedName name="p_1" hidden="1">{#N/A,#N/A,TRUE,"Report";#N/A,#N/A,TRUE,"DETAIL";#N/A,#N/A,TRUE,"PGRM MGMT &amp; CONTRACT SPT";#N/A,#N/A,TRUE,"New Charts";#N/A,#N/A,TRUE,"Open Commit Revised ";#N/A,#N/A,TRUE,"TRAVEL"}</definedName>
    <definedName name="pa" hidden="1">{#N/A,#N/A,TRUE,"Report";#N/A,#N/A,TRUE,"DETAIL";#N/A,#N/A,TRUE,"PGRM MGMT &amp; CONTRACT SPT";#N/A,#N/A,TRUE,"New Charts";#N/A,#N/A,TRUE,"Open Commit Revised ";#N/A,#N/A,TRUE,"TRAVEL"}</definedName>
    <definedName name="pa_1" hidden="1">{#N/A,#N/A,TRUE,"Report";#N/A,#N/A,TRUE,"DETAIL";#N/A,#N/A,TRUE,"PGRM MGMT &amp; CONTRACT SPT";#N/A,#N/A,TRUE,"New Charts";#N/A,#N/A,TRUE,"Open Commit Revised ";#N/A,#N/A,TRUE,"TRAVEL"}</definedName>
    <definedName name="PAGE4" hidden="1">{"actuals_1",#N/A,FALSE,"CO 1 YRS";"burden_1",#N/A,FALSE,"CO 1 YRS";"input",#N/A,FALSE,"INPUT"}</definedName>
    <definedName name="pamela" hidden="1">{#N/A,#N/A,TRUE,"Report";#N/A,#N/A,TRUE,"DETAIL";#N/A,#N/A,TRUE,"PGRM MGMT &amp; CONTRACT SPT";#N/A,#N/A,TRUE,"New Charts";#N/A,#N/A,TRUE,"Open Commit Revised ";#N/A,#N/A,TRUE,"TRAVEL"}</definedName>
    <definedName name="pamela_1" hidden="1">{#N/A,#N/A,TRUE,"Report";#N/A,#N/A,TRUE,"DETAIL";#N/A,#N/A,TRUE,"PGRM MGMT &amp; CONTRACT SPT";#N/A,#N/A,TRUE,"New Charts";#N/A,#N/A,TRUE,"Open Commit Revised ";#N/A,#N/A,TRUE,"TRAVEL"}</definedName>
    <definedName name="PART_MASTER" localSheetId="5">#REF!</definedName>
    <definedName name="PART_MASTER" localSheetId="8">#REF!</definedName>
    <definedName name="PART_MASTER">#REF!</definedName>
    <definedName name="past" hidden="1">{#N/A,#N/A,FALSE,"Sheet1"}</definedName>
    <definedName name="pe" hidden="1">{#N/A,#N/A,FALSE,"204";#N/A,#N/A,FALSE,"226";#N/A,#N/A,FALSE,"233";#N/A,#N/A,FALSE,"632";#N/A,#N/A,FALSE,"671";#N/A,#N/A,FALSE,"905";#N/A,#N/A,FALSE,"906";#N/A,#N/A,FALSE,"913";#N/A,#N/A,FALSE,"914";#N/A,#N/A,FALSE,"916";#N/A,#N/A,FALSE,"AAT";#N/A,#N/A,FALSE,"ATAS";#N/A,#N/A,FALSE,"ITL3";#N/A,#N/A,FALSE,"917";#N/A,#N/A,FALSE,"918"}</definedName>
    <definedName name="pe_1" hidden="1">{#N/A,#N/A,FALSE,"204";#N/A,#N/A,FALSE,"226";#N/A,#N/A,FALSE,"233";#N/A,#N/A,FALSE,"632";#N/A,#N/A,FALSE,"671";#N/A,#N/A,FALSE,"905";#N/A,#N/A,FALSE,"906";#N/A,#N/A,FALSE,"913";#N/A,#N/A,FALSE,"914";#N/A,#N/A,FALSE,"916";#N/A,#N/A,FALSE,"AAT";#N/A,#N/A,FALSE,"ATAS";#N/A,#N/A,FALSE,"ITL3";#N/A,#N/A,FALSE,"917";#N/A,#N/A,FALSE,"918"}</definedName>
    <definedName name="Permits_and_Fees_Cost" localSheetId="5">#REF!</definedName>
    <definedName name="Permits_and_Fees_Cost" localSheetId="8">#REF!</definedName>
    <definedName name="Permits_and_Fees_Cost">#REF!</definedName>
    <definedName name="Phours">'[12]4. Productive Hours'!$C:$V</definedName>
    <definedName name="POSITION">'[5]RATES &amp; TABLES'!$A$5:$A$259</definedName>
    <definedName name="Post_kW_MV_Report" localSheetId="5">#REF!</definedName>
    <definedName name="Post_kW_MV_Report" localSheetId="8">#REF!</definedName>
    <definedName name="Post_kW_MV_Report">#REF!</definedName>
    <definedName name="Post_Measured_W" localSheetId="5">#REF!</definedName>
    <definedName name="Post_Measured_W" localSheetId="8">#REF!</definedName>
    <definedName name="Post_Measured_W">#REF!</definedName>
    <definedName name="PoweredBy">[15]Picklists!$B$2:$B$7</definedName>
    <definedName name="POY" hidden="1">{#N/A,#N/A,FALSE,"WBS 1.06";#N/A,#N/A,FALSE,"WBS 1.14";#N/A,#N/A,FALSE,"WBS 1.17";#N/A,#N/A,FALSE,"WBS 1.18"}</definedName>
    <definedName name="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 hidden="1">{#N/A,#N/A,FALSE,"Sheet1"}</definedName>
    <definedName name="pppp" hidden="1">{#N/A,#N/A,FALSE,"Sheet1"}</definedName>
    <definedName name="ppppp" hidden="1">{"'1098trans'!$A$10:$F$64","'1098trans'!$A$65:$A$66","'1098trans'!$A$67:$D$69","'1098trans'!$A$64:$F$69"}</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ss" hidden="1">{#N/A,#N/A,FALSE,"Sheet1"}</definedName>
    <definedName name="Pre_kW_MV_Report" localSheetId="5">#REF!</definedName>
    <definedName name="Pre_kW_MV_Report" localSheetId="8">#REF!</definedName>
    <definedName name="Pre_kW_MV_Report">#REF!</definedName>
    <definedName name="Pre_Measured_W" localSheetId="5">#REF!</definedName>
    <definedName name="Pre_Measured_W" localSheetId="8">#REF!</definedName>
    <definedName name="Pre_Measured_W">#REF!</definedName>
    <definedName name="Price_Codes" localSheetId="5">#REF!</definedName>
    <definedName name="Price_Codes" localSheetId="8">#REF!</definedName>
    <definedName name="Price_Codes">#REF!</definedName>
    <definedName name="_xlnm.Print_Area" localSheetId="0">'CLIN 0001 Base Period RW'!$F$1:$I$167</definedName>
    <definedName name="_xlnm.Print_Area" localSheetId="1">'CLIN 0002 Base Period N-RW'!$A$1:$C$30</definedName>
    <definedName name="_xlnm.Print_Area" localSheetId="2">'CLIN 0003 Base Water RW'!$E$1:$H$9</definedName>
    <definedName name="_xlnm.Print_Area" localSheetId="5">'CLIN 0006 -1st Period Water RW'!$E$1:$H$9</definedName>
    <definedName name="_xlnm.Print_Area" localSheetId="8">'CLIN 0009 -2nd Period Water RW'!$E$1:$H$9</definedName>
    <definedName name="_xlnm.Print_Titles" localSheetId="0">'CLIN 0001 Base Period RW'!$1:$7</definedName>
    <definedName name="_xlnm.Print_Titles" localSheetId="1">'CLIN 0002 Base Period N-RW'!$1:$8</definedName>
    <definedName name="_xlnm.Print_Titles" localSheetId="2">'CLIN 0003 Base Water RW'!$1:$9</definedName>
    <definedName name="_xlnm.Print_Titles" localSheetId="5">'CLIN 0006 -1st Period Water RW'!$1:$9</definedName>
    <definedName name="_xlnm.Print_Titles" localSheetId="8">'CLIN 0009 -2nd Period Water RW'!$1:$9</definedName>
    <definedName name="PRODHOURS">'[5]RATES &amp; TABLES'!$AW$4:$BZ$8</definedName>
    <definedName name="PROFIT_0399" hidden="1">{#N/A,#N/A,FALSE,"Sheet1"}</definedName>
    <definedName name="Project_Gross_Margin" localSheetId="5">#REF!</definedName>
    <definedName name="Project_Gross_Margin" localSheetId="8">#REF!</definedName>
    <definedName name="Project_Gross_Margin">#REF!</definedName>
    <definedName name="Project_Name">[9]Dashboard!$C$5</definedName>
    <definedName name="proposed" hidden="1">{#N/A,#N/A,FALSE,"ManLoading"}</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 hidden="1">{#N/A,#N/A,FALSE,"WBS 1.06";#N/A,#N/A,FALSE,"WBS 1.14";#N/A,#N/A,FALSE,"WBS 1.17";#N/A,#N/A,FALSE,"WBS 1.18"}</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sw" hidden="1">{#N/A,#N/A,FALSE,"Monthly"}</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RTFQ" localSheetId="5">#REF!</definedName>
    <definedName name="QWERTFQ" localSheetId="8">#REF!</definedName>
    <definedName name="QWERTFQ">#REF!</definedName>
    <definedName name="qww" hidden="1">{"Start",#N/A,FALSE,"Menu";"P&amp;L",#N/A,FALSE,"Monthly P&amp;L";"Rev",#N/A,FALSE,"Revenue Summary";"budbar",#N/A,FALSE,"Budget-Variance";"priorvar",#N/A,FALSE,"Prior Month Var";"DetailRev",#N/A,FALSE,"Detail  Budget Var (Revenue)";"Detailom",#N/A,FALSE,"Detail Budget Var (O&amp;M)"}</definedName>
    <definedName name="randolphoptionyr"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andolphoptionyr_1" hidden="1">{#N/A,#N/A,FALSE,"SCH B";#N/A,#N/A,FALSE,"RECAP(FL)";#N/A,#N/A,FALSE,"SV CALL(FIXED)";#N/A,#N/A,FALSE,"SV CALL (ROTC)";#N/A,#N/A,FALSE,"SV CALL(WSO)";#N/A,#N/A,FALSE,"SV CALL (OPT)";#N/A,#N/A,FALSE,"PM(FIXED)";#N/A,#N/A,FALSE,"PM(ROTC)";#N/A,#N/A,FALSE,"PM(WSO)";#N/A,#N/A,FALSE,"PM(OPT)";#N/A,#N/A,FALSE,"GROUNDS";#N/A,#N/A,FALSE,"DATA";#N/A,#N/A,FALSE,"ADMIN";#N/A,#N/A,FALSE,"OVHEAD";#N/A,#N/A,FALSE,"EQUIP";#N/A,#N/A,FALSE,"SCA"}</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ee" hidden="1">{"'Vietnam'!$E$21:$W$45","'Vietnam'!$E$21:$W$45"}</definedName>
    <definedName name="reee2" hidden="1">{"'Vietnam'!$E$21:$W$45","'Vietnam'!$E$21:$W$45"}</definedName>
    <definedName name="reshs" hidden="1">{#N/A,#N/A,FALSE,"WBS 1.06";#N/A,#N/A,FALSE,"WBS 1.14";#N/A,#N/A,FALSE,"WBS 1.17";#N/A,#N/A,FALSE,"WBS 1.18"}</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PREAD_1298V2" hidden="1">{#N/A,#N/A,FALSE,"Sheet1"}</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WORK" hidden="1">{#N/A,#N/A,FALSE,"TITLE";#N/A,#N/A,FALSE,"SUMMARY";#N/A,#N/A,FALSE,"TOTAL";#N/A,#N/A,FALSE,"WEEKLY";#N/A,#N/A,FALSE,"PHASES";#N/A,#N/A,FALSE,"SUPPORT";#N/A,#N/A,FALSE,"DETAIL";#N/A,#N/A,FALSE,"P.I. HOL"}</definedName>
    <definedName name="RFP.018" hidden="1">{"Page 2",#N/A,FALSE,"2000";"Page 1",#N/A,FALSE,"2000"}</definedName>
    <definedName name="RFP.018_1" hidden="1">{"Page 2",#N/A,FALSE,"2000";"Page 1",#N/A,FALSE,"2000"}</definedName>
    <definedName name="RFP.Y018" hidden="1">{"Page 2",#N/A,FALSE,"2000";"Page 1",#N/A,FALSE,"2000"}</definedName>
    <definedName name="RFP.Y018_1" hidden="1">{"Page 2",#N/A,FALSE,"2000";"Page 1",#N/A,FALSE,"2000"}</definedName>
    <definedName name="RICKY" hidden="1">{#N/A,#N/A,FALSE,"TITLE";#N/A,#N/A,FALSE,"SUMMARY";#N/A,#N/A,FALSE,"TOTAL";#N/A,#N/A,FALSE,"WEEKLY";#N/A,#N/A,FALSE,"PHASES";#N/A,#N/A,FALSE,"SUPPORT";#N/A,#N/A,FALSE,"DETAIL";#N/A,#N/A,FALSE,"P.I. HOL"}</definedName>
    <definedName name="right"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rr" hidden="1">{"1999 Revenue",#N/A,FALSE,"Voice ";"1999 Traffic",#N/A,FALSE,"Voice "}</definedName>
    <definedName name="rrr" hidden="1">{"'1098trans'!$A$10:$F$64","'1098trans'!$A$65:$A$66","'1098trans'!$A$67:$D$69","'1098trans'!$A$64:$F$69"}</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 hidden="1">{#N/A,#N/A,FALSE,"050_150";#N/A,#N/A,FALSE,"050_151";#N/A,#N/A,FALSE,"050_152";#N/A,#N/A,FALSE,"050_153";#N/A,#N/A,FALSE,"050_154";#N/A,#N/A,FALSE,"050_155";#N/A,#N/A,FALSE,"050_156";#N/A,#N/A,FALSE,"050_157";#N/A,#N/A,FALSE,"050_158";#N/A,#N/A,FALSE,"050_159";#N/A,#N/A,FALSE,"050_255"}</definedName>
    <definedName name="RRRRRR" hidden="1">{#N/A,#N/A,FALSE,"050_150";#N/A,#N/A,FALSE,"050_151";#N/A,#N/A,FALSE,"050_152";#N/A,#N/A,FALSE,"050_153";#N/A,#N/A,FALSE,"050_154";#N/A,#N/A,FALSE,"050_155";#N/A,#N/A,FALSE,"050_156";#N/A,#N/A,FALSE,"050_157";#N/A,#N/A,FALSE,"050_158";#N/A,#N/A,FALSE,"050_159";#N/A,#N/A,FALSE,"050_255"}</definedName>
    <definedName name="RRRRRRR" hidden="1">{#N/A,#N/A,FALSE,"050_150";#N/A,#N/A,FALSE,"050_151";#N/A,#N/A,FALSE,"050_152";#N/A,#N/A,FALSE,"050_153";#N/A,#N/A,FALSE,"050_154";#N/A,#N/A,FALSE,"050_155";#N/A,#N/A,FALSE,"050_156";#N/A,#N/A,FALSE,"050_157";#N/A,#N/A,FALSE,"050_158";#N/A,#N/A,FALSE,"050_159";#N/A,#N/A,FALSE,"050_255"}</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TY" hidden="1">{#N/A,#N/A,FALSE,"WBS 1.06";#N/A,#N/A,FALSE,"WBS 1.14";#N/A,#N/A,FALSE,"WBS 1.17";#N/A,#N/A,FALSE,"WBS 1.18"}</definedName>
    <definedName name="RxMax" hidden="1">[16]Functional!$C$2</definedName>
    <definedName name="RxMin" hidden="1">[16]Functional!$B$2</definedName>
    <definedName name="RYUK" hidden="1">{"PAGE1",#N/A,FALSE,"CPFFMSTR";"PAGE2",#N/A,FALSE,"CPFFMSTR"}</definedName>
    <definedName name="S"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les_Tax_Labor" localSheetId="5">#REF!</definedName>
    <definedName name="Sales_Tax_Labor" localSheetId="8">#REF!</definedName>
    <definedName name="Sales_Tax_Labor">#REF!</definedName>
    <definedName name="Sales_Tax_Material" localSheetId="5">#REF!</definedName>
    <definedName name="Sales_Tax_Material" localSheetId="8">#REF!</definedName>
    <definedName name="Sales_Tax_Material">#REF!</definedName>
    <definedName name="Sales_Tax_Sub" localSheetId="5">#REF!</definedName>
    <definedName name="Sales_Tax_Sub" localSheetId="8">#REF!</definedName>
    <definedName name="Sales_Tax_Sub">#REF!</definedName>
    <definedName name="Salvage_Value" localSheetId="5">#REF!</definedName>
    <definedName name="Salvage_Value" localSheetId="8">#REF!</definedName>
    <definedName name="Salvage_Value">#REF!</definedName>
    <definedName name="SAPBEXhrIndnt" hidden="1">1</definedName>
    <definedName name="SAPBEXrevision" hidden="1">76</definedName>
    <definedName name="SAPBEXsysID" hidden="1">"PCD"</definedName>
    <definedName name="SAPBEXwbID" hidden="1">"3VDSOH0FTVPXC2OU1PEWUG95J"</definedName>
    <definedName name="sasdaklsdjl" hidden="1">{"OOCDOLS",#N/A,FALSE,"G&amp;A_CRPSV";"OOCDOL",#N/A,FALSE,"G&amp;A_FAC"}</definedName>
    <definedName name="Scale" hidden="1">[17]Functional!$A$2</definedName>
    <definedName name="SchedName" hidden="1">'[18]Executive Price Summary'!$F$9</definedName>
    <definedName name="Scope_Selection_List" localSheetId="5">#REF!</definedName>
    <definedName name="Scope_Selection_List" localSheetId="8">#REF!</definedName>
    <definedName name="Scope_Selection_List">#REF!</definedName>
    <definedName name="sd2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a" hidden="1">{#N/A,#N/A,FALSE,"ManLoading"}</definedName>
    <definedName name="sda_1" hidden="1">{#N/A,#N/A,FALSE,"ManLoading"}</definedName>
    <definedName name="sdas" hidden="1">{#N/A,#N/A,TRUE,"Cover";#N/A,#N/A,TRUE,"Labor";#N/A,#N/A,TRUE,"Summary";#N/A,#N/A,TRUE,"Graphs"}</definedName>
    <definedName name="sdas_1" hidden="1">{#N/A,#N/A,TRUE,"Cover";#N/A,#N/A,TRUE,"Labor";#N/A,#N/A,TRUE,"Summary";#N/A,#N/A,TRUE,"Graphs"}</definedName>
    <definedName name="sddddd" hidden="1">{#N/A,#N/A,FALSE,"IB Totgeo Q1-Q4 ";#N/A,#N/A,FALSE,"IB AEME";#N/A,#N/A,FALSE,"IB West";#N/A,#N/A,FALSE,"IB Central";#N/A,#N/A,FALSE,"IB South ";#N/A,#N/A,FALSE,"IB North";#N/A,#N/A,FALSE,"IB Reg Tot ";#N/A,#N/A,FALSE,"IB Reg Tot graph"}</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d" hidden="1">{#N/A,#N/A,FALSE,"AR Summ.";#N/A,#N/A,FALSE,"Dec top 5 collects";#N/A,#N/A,FALSE,"Top 5 AR";#N/A,#N/A,FALSE,"Top 5&gt;90";#N/A,#N/A,FALSE,"AR Flow by Region";#N/A,#N/A,FALSE,"PrePays";#N/A,#N/A,FALSE,"Op&amp;Risk"}</definedName>
    <definedName name="sdfg" hidden="1">{"PAGE1",#N/A,FALSE,"CPFFMSTR";"PAGE2",#N/A,FALSE,"CPFFMSTR"}</definedName>
    <definedName name="sdg" hidden="1">{#N/A,#N/A,FALSE,"WBS 1.06";#N/A,#N/A,FALSE,"WBS 1.14";#N/A,#N/A,FALSE,"WBS 1.17";#N/A,#N/A,FALSE,"WBS 1.18"}</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enait" hidden="1">{#N/A,#N/A,TRUE,"DCF Summary (2)";#N/A,#N/A,TRUE,"DCF Summary";#N/A,"Middle Case Drivers",TRUE,"DCF"}</definedName>
    <definedName name="sencount" hidden="1">7</definedName>
    <definedName name="sept" hidden="1">{"laborr",#N/A,FALSE,"Sheet1";"sumr",#N/A,FALSE,"Sheet1";"odcr",#N/A,FALSE,"Sheet1";"trip1r",#N/A,FALSE,"Sheet1"}</definedName>
    <definedName name="sept_1" hidden="1">{"laborr",#N/A,FALSE,"Sheet1";"sumr",#N/A,FALSE,"Sheet1";"odcr",#N/A,FALSE,"Sheet1";"trip1r",#N/A,FALSE,"Sheet1"}</definedName>
    <definedName name="sfdg" hidden="1">{"1999 Revenue",#N/A,FALSE,"Voice ";"1999 Traffic",#N/A,FALSE,"Voice "}</definedName>
    <definedName name="SFG" hidden="1">{"PAGE1",#N/A,FALSE,"CPFFMSTR";"PAGE2",#N/A,FALSE,"CPFFMSTR"}</definedName>
    <definedName name="shit"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siebel" hidden="1">{#N/A,#N/A,FALSE,"IB Totgeo Q1-Q4 ";#N/A,#N/A,FALSE,"IB AEME";#N/A,#N/A,FALSE,"IB West";#N/A,#N/A,FALSE,"IB Central";#N/A,#N/A,FALSE,"IB South ";#N/A,#N/A,FALSE,"IB North";#N/A,#N/A,FALSE,"IB Reg Tot ";#N/A,#N/A,FALSE,"IB Reg Tot graph"}</definedName>
    <definedName name="sil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ill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smalltools">'[13]Exhibit 5.0-Hand Tools'!$M$5:$O$13</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s" hidden="1">{#N/A,#N/A,FALSE,"WBS 1.06";#N/A,#N/A,FALSE,"WBS 1.14";#N/A,#N/A,FALSE,"WBS 1.17";#N/A,#N/A,FALSE,"WBS 1.18"}</definedName>
    <definedName name="ssssa" hidden="1">{"'1098trans'!$A$10:$F$64","'1098trans'!$A$65:$A$66","'1098trans'!$A$67:$D$69","'1098trans'!$A$64:$F$69"}</definedName>
    <definedName name="sssss" hidden="1">{"'1098trans'!$A$10:$F$64","'1098trans'!$A$65:$A$66","'1098trans'!$A$67:$D$69","'1098trans'!$A$64:$F$69"}</definedName>
    <definedName name="ssssss" hidden="1">{"'1098trans'!$A$10:$F$64","'1098trans'!$A$65:$A$66","'1098trans'!$A$67:$D$69","'1098trans'!$A$64:$F$69"}</definedName>
    <definedName name="ssssssss" hidden="1">{#N/A,#N/A,FALSE,"Sheet1"}</definedName>
    <definedName name="sssssssss" hidden="1">{"'1098trans'!$A$10:$F$64","'1098trans'!$A$65:$A$66","'1098trans'!$A$67:$D$69","'1098trans'!$A$64:$F$69"}</definedName>
    <definedName name="staff2" hidden="1">{#N/A,#N/A,FALSE,"Assessment";#N/A,#N/A,FALSE,"Staffing";#N/A,#N/A,FALSE,"Hires";#N/A,#N/A,FALSE,"Assumptions"}</definedName>
    <definedName name="staff2_1" hidden="1">{#N/A,#N/A,FALSE,"Assessment";#N/A,#N/A,FALSE,"Staffing";#N/A,#N/A,FALSE,"Hires";#N/A,#N/A,FALSE,"Assumptions"}</definedName>
    <definedName name="staff3" hidden="1">{#N/A,#N/A,FALSE,"Assessment";#N/A,#N/A,FALSE,"Staffing";#N/A,#N/A,FALSE,"Hires";#N/A,#N/A,FALSE,"Assumptions"}</definedName>
    <definedName name="staff3_1" hidden="1">{#N/A,#N/A,FALSE,"Assessment";#N/A,#N/A,FALSE,"Staffing";#N/A,#N/A,FALSE,"Hires";#N/A,#N/A,FALSE,"Assumptions"}</definedName>
    <definedName name="staffing2" hidden="1">{#N/A,#N/A,FALSE,"Assessment";#N/A,#N/A,FALSE,"Staffing";#N/A,#N/A,FALSE,"Hires";#N/A,#N/A,FALSE,"Assumptions"}</definedName>
    <definedName name="staffing2_1"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te_or_Federal" localSheetId="5">#REF!</definedName>
    <definedName name="State_or_Federal" localSheetId="8">#REF!</definedName>
    <definedName name="State_or_Federal">#REF!</definedName>
    <definedName name="STATES">'[5]RATES &amp; TABLES'!$FS$4:$FS$54</definedName>
    <definedName name="Status">[15]Picklists!$E$2:$E$5</definedName>
    <definedName name="Storage_Container_Cost" localSheetId="5">#REF!</definedName>
    <definedName name="Storage_Container_Cost" localSheetId="8">#REF!</definedName>
    <definedName name="Storage_Container_Cost">#REF!</definedName>
    <definedName name="Subcontractor_Margin" localSheetId="5">#REF!</definedName>
    <definedName name="Subcontractor_Margin" localSheetId="8">#REF!</definedName>
    <definedName name="Subcontractor_Margin">#REF!</definedName>
    <definedName name="Subcontractors" hidden="1">{"Cover Page",#N/A,FALSE,"NIST-1263 Cover Page";"Cover Page Back",#N/A,FALSE,"NIST-1263 Cover Page";#N/A,#N/A,FALSE,"NIST-1263 Page 3";#N/A,#N/A,FALSE,"NIST-1263 Page 4"}</definedName>
    <definedName name="SUMORG" localSheetId="5">#REF!</definedName>
    <definedName name="SUMORG" localSheetId="8">#REF!</definedName>
    <definedName name="SUMORG">#REF!</definedName>
    <definedName name="SUPPLIER_MASTER" localSheetId="5">#REF!</definedName>
    <definedName name="SUPPLIER_MASTER" localSheetId="8">#REF!</definedName>
    <definedName name="SUPPLIER_MASTER">#REF!</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tabl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ABLE1" localSheetId="5">#REF!</definedName>
    <definedName name="TABLE1" localSheetId="8">#REF!</definedName>
    <definedName name="TABLE1">#REF!</definedName>
    <definedName name="TABLE2" localSheetId="5">#REF!</definedName>
    <definedName name="TABLE2" localSheetId="8">#REF!</definedName>
    <definedName name="TABLE2">#REF!</definedName>
    <definedName name="TABLE3" localSheetId="5">#REF!</definedName>
    <definedName name="TABLE3" localSheetId="8">#REF!</definedName>
    <definedName name="TABLE3">#REF!</definedName>
    <definedName name="TABLE4" localSheetId="5">#REF!</definedName>
    <definedName name="TABLE4" localSheetId="8">#REF!</definedName>
    <definedName name="TABLE4">#REF!</definedName>
    <definedName name="tbl"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bl_8.2"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te" hidden="1">{"'1098trans'!$A$10:$F$64","'1098trans'!$A$65:$A$66","'1098trans'!$A$67:$D$69","'1098trans'!$A$64:$F$69"}</definedName>
    <definedName name="Temp_2" hidden="1">{#N/A,#N/A,FALSE,"Assessment";#N/A,#N/A,FALSE,"Staffing";#N/A,#N/A,FALSE,"Hires";#N/A,#N/A,FALSE,"Assumptions"}</definedName>
    <definedName name="Temp_2_1"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2" hidden="1">{#N/A,#N/A,FALSE,"Assessment";#N/A,#N/A,FALSE,"Staffing";#N/A,#N/A,FALSE,"Hires";#N/A,#N/A,FALSE,"Assumptions"}</definedName>
    <definedName name="temp2_1" hidden="1">{#N/A,#N/A,FALSE,"Assessment";#N/A,#N/A,FALSE,"Staffing";#N/A,#N/A,FALSE,"Hires";#N/A,#N/A,FALSE,"Assumptions"}</definedName>
    <definedName name="temp3" hidden="1">{#N/A,#N/A,FALSE,"Assessment";#N/A,#N/A,FALSE,"Staffing";#N/A,#N/A,FALSE,"Hires";#N/A,#N/A,FALSE,"Assumptions"}</definedName>
    <definedName name="temp3_1" hidden="1">{#N/A,#N/A,FALSE,"Assessment";#N/A,#N/A,FALSE,"Staffing";#N/A,#N/A,FALSE,"Hires";#N/A,#N/A,FALSE,"Assumptions"}</definedName>
    <definedName name="test" hidden="1">{"Cover Page",#N/A,FALSE,"NIST-1263 Cover Page";"Cover Page Back",#N/A,FALSE,"NIST-1263 Cover Page";#N/A,#N/A,FALSE,"NIST-1263 Page 3";#N/A,#N/A,FALSE,"NIST-1263 Page 4"}</definedName>
    <definedName name="Test1" hidden="1">{"'1098trans'!$A$10:$F$64","'1098trans'!$A$65:$A$66","'1098trans'!$A$67:$D$69","'1098trans'!$A$64:$F$69"}</definedName>
    <definedName name="test2" hidden="1">{"'1098trans'!$A$10:$F$64","'1098trans'!$A$65:$A$66","'1098trans'!$A$67:$D$69","'1098trans'!$A$64:$F$69"}</definedName>
    <definedName name="test3" hidden="1">{"'1098trans'!$A$10:$F$64","'1098trans'!$A$65:$A$66","'1098trans'!$A$67:$D$69","'1098trans'!$A$64:$F$69"}</definedName>
    <definedName name="test4" hidden="1">{"G A expense entry",#N/A,FALSE,"GA97"}</definedName>
    <definedName name="test5" hidden="1">{"government rate calculation",#N/A,FALSE,"GA97"}</definedName>
    <definedName name="test6" hidden="1">{"projected revenue",#N/A,FALSE,"GA97"}</definedName>
    <definedName name="testa" hidden="1">{"'1098trans'!$A$10:$F$64","'1098trans'!$A$65:$A$66","'1098trans'!$A$67:$D$69","'1098trans'!$A$64:$F$69"}</definedName>
    <definedName name="TIM" hidden="1">{"PAGE1",#N/A,FALSE,"allocation base";"PAGE2",#N/A,FALSE,"burden";"PAGE3",#N/A,FALSE,"burden";"PAGE4",#N/A,FALSE,"labor rates";"PAGE5",#N/A,FALSE,"labor rates";"PAGE6",#N/A,FALSE,"labor rates"}</definedName>
    <definedName name="Time_Material" hidden="1">{#N/A,#N/A,FALSE,"Sheet1"}</definedName>
    <definedName name="Title" hidden="1">{#N/A,#N/A,FALSE,"Title";#N/A,#N/A,FALSE,"Tbl Contents";#N/A,#N/A,FALSE,"Management Summary (1)";#N/A,#N/A,FALSE,"Major Project  (1)";#N/A,#N/A,FALSE,"Qterly Income";#N/A,#N/A,FALSE,"Major Project [2]";#N/A,#N/A,FALSE,"Project PBT chart 4A";#N/A,#N/A,FALSE,"Income Statement";#N/A,#N/A,FALSE,"Mntly Income";#N/A,#N/A,FALSE,"Rev Mix Chart 7A";#N/A,#N/A,FALSE,"GM Mix Chart 7b";#N/A,#N/A,FALSE,"Serv-PC % Chart 7C";#N/A,#N/A,FALSE,"Variance analysis";#N/A,#N/A,FALSE,"Cur Mnth Cash";#N/A,#N/A,FALSE,"Current Qtr Cash";#N/A,#N/A,FALSE,"Qtrly Cashflow";#N/A,#N/A,FALSE,"Mnthly Cashflow";#N/A,#N/A,FALSE,"Accts. Rec.";#N/A,#N/A,FALSE,"Headcnt Det";#N/A,#N/A,FALSE,"Gross Headcount"}</definedName>
    <definedName name="tix_rev_ebita" hidden="1">{#N/A,#N/A,TRUE,"DCF Summary (2)";#N/A,#N/A,TRUE,"DCF Summary";#N/A,"Middle Case Drivers",TRUE,"DCF"}</definedName>
    <definedName name="tom" hidden="1">{#N/A,#N/A,FALSE,"TITLE";#N/A,#N/A,FALSE,"SUMMARY";#N/A,#N/A,FALSE,"TOTAL";#N/A,#N/A,FALSE,"WEEKLY";#N/A,#N/A,FALSE,"PHASES";#N/A,#N/A,FALSE,"SUPPORT";#N/A,#N/A,FALSE,"DETAIL";#N/A,#N/A,FALSE,"P.I. HOL"}</definedName>
    <definedName name="TOOL_MASTER" localSheetId="5">#REF!</definedName>
    <definedName name="TOOL_MASTER" localSheetId="8">#REF!</definedName>
    <definedName name="TOOL_MASTER">#REF!</definedName>
    <definedName name="Total_Additional_Charges" localSheetId="5">#REF!</definedName>
    <definedName name="Total_Additional_Charges" localSheetId="8">#REF!</definedName>
    <definedName name="Total_Additional_Charges">#REF!</definedName>
    <definedName name="Total_Additional_Costs" localSheetId="5">#REF!</definedName>
    <definedName name="Total_Additional_Costs" localSheetId="8">#REF!</definedName>
    <definedName name="Total_Additional_Costs">#REF!</definedName>
    <definedName name="Total_Labor_Charge" localSheetId="5">#REF!</definedName>
    <definedName name="Total_Labor_Charge" localSheetId="8">#REF!</definedName>
    <definedName name="Total_Labor_Charge">#REF!</definedName>
    <definedName name="Total_Labor_Cost" localSheetId="5">#REF!</definedName>
    <definedName name="Total_Labor_Cost" localSheetId="8">#REF!</definedName>
    <definedName name="Total_Labor_Cost">#REF!</definedName>
    <definedName name="Total_Labor_Margin" localSheetId="5">#REF!</definedName>
    <definedName name="Total_Labor_Margin" localSheetId="8">#REF!</definedName>
    <definedName name="Total_Labor_Margin">#REF!</definedName>
    <definedName name="Total_Labor_Production_Hours" localSheetId="5">#REF!</definedName>
    <definedName name="Total_Labor_Production_Hours" localSheetId="8">#REF!</definedName>
    <definedName name="Total_Labor_Production_Hours">#REF!</definedName>
    <definedName name="Total_Material_Charge" localSheetId="5">#REF!</definedName>
    <definedName name="Total_Material_Charge" localSheetId="8">#REF!</definedName>
    <definedName name="Total_Material_Charge">#REF!</definedName>
    <definedName name="Total_Material_Cost" localSheetId="5">#REF!</definedName>
    <definedName name="Total_Material_Cost" localSheetId="8">#REF!</definedName>
    <definedName name="Total_Material_Cost">#REF!</definedName>
    <definedName name="Total_Material_Margin" localSheetId="5">#REF!</definedName>
    <definedName name="Total_Material_Margin" localSheetId="8">#REF!</definedName>
    <definedName name="Total_Material_Margin">#REF!</definedName>
    <definedName name="Total_Misc_Material_Charge" localSheetId="5">#REF!</definedName>
    <definedName name="Total_Misc_Material_Charge" localSheetId="8">#REF!</definedName>
    <definedName name="Total_Misc_Material_Charge">#REF!</definedName>
    <definedName name="Total_Misc_Material_Cost" localSheetId="5">#REF!</definedName>
    <definedName name="Total_Misc_Material_Cost" localSheetId="8">#REF!</definedName>
    <definedName name="Total_Misc_Material_Cost">#REF!</definedName>
    <definedName name="Total_Warranty_Stock_Charge" localSheetId="5">#REF!</definedName>
    <definedName name="Total_Warranty_Stock_Charge" localSheetId="8">#REF!</definedName>
    <definedName name="Total_Warranty_Stock_Charge">#REF!</definedName>
    <definedName name="Total_Warranty_Stock_Cost" localSheetId="5">#REF!</definedName>
    <definedName name="Total_Warranty_Stock_Cost" localSheetId="8">#REF!</definedName>
    <definedName name="Total_Warranty_Stock_Cost">#REF!</definedName>
    <definedName name="Travis" hidden="1">{#N/A,#N/A,FALSE,"Sheet1"}</definedName>
    <definedName name="trsty" hidden="1">{"PAGE1",#N/A,FALSE,"CPFFMSTR";"PAGE2",#N/A,FALSE,"CPFFMSTR"}</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hidden="1">{#N/A,#N/A,FALSE,"Sheet1"}</definedName>
    <definedName name="tttrre" hidden="1">{"'Vietnam'!$E$21:$W$45","'Vietnam'!$E$21:$W$45"}</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 hidden="1">{"'1098trans'!$A$10:$F$64","'1098trans'!$A$65:$A$66","'1098trans'!$A$67:$D$69","'1098trans'!$A$64:$F$69"}</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t" hidden="1">{"'1098trans'!$A$10:$F$64","'1098trans'!$A$65:$A$66","'1098trans'!$A$67:$D$69","'1098trans'!$A$64:$F$69"}</definedName>
    <definedName name="TW" hidden="1">{#N/A,#N/A,TRUE,"DCF Summary (2)";#N/A,#N/A,TRUE,"DCF Summary";#N/A,"Middle Case Drivers",TRUE,"DCF"}</definedName>
    <definedName name="TYPE1" localSheetId="5">#REF!</definedName>
    <definedName name="TYPE1" localSheetId="8">#REF!</definedName>
    <definedName name="TYPE1">#REF!</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 hidden="1">{#N/A,#N/A,FALSE,"Monthly"}</definedName>
    <definedName name="UII" hidden="1">{#N/A,#N/A,FALSE,"WBS 1.06";#N/A,#N/A,FALSE,"WBS 1.14";#N/A,#N/A,FALSE,"WBS 1.17";#N/A,#N/A,FALSE,"WBS 1.18"}</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nsure" hidden="1">{#N/A,#N/A,FALSE,"ManLoading"}</definedName>
    <definedName name="Unsure_1" hidden="1">{#N/A,#N/A,FALSE,"ManLoading"}</definedName>
    <definedName name="Upgrade_Types" localSheetId="5">#REF!</definedName>
    <definedName name="Upgrade_Types" localSheetId="8">#REF!</definedName>
    <definedName name="Upgrade_Types">#REF!</definedName>
    <definedName name="Upgraded_Burn_Hours" localSheetId="5">#REF!</definedName>
    <definedName name="Upgraded_Burn_Hours" localSheetId="8">#REF!</definedName>
    <definedName name="Upgraded_Burn_Hours">#REF!</definedName>
    <definedName name="Upgraded_Code_Lookup" localSheetId="5">#REF!</definedName>
    <definedName name="Upgraded_Code_Lookup" localSheetId="8">#REF!</definedName>
    <definedName name="Upgraded_Code_Lookup">#REF!</definedName>
    <definedName name="Upgraded_Price_Codes" localSheetId="5">#REF!</definedName>
    <definedName name="Upgraded_Price_Codes" localSheetId="8">#REF!</definedName>
    <definedName name="Upgraded_Price_Codes">#REF!</definedName>
    <definedName name="UPV" localSheetId="5">#REF!</definedName>
    <definedName name="UPV" localSheetId="8">#REF!</definedName>
    <definedName name="UPV">#REF!</definedName>
    <definedName name="usafa2" hidden="1">{#N/A,#N/A,FALSE,"TAB 4 total  contract rollup";#N/A,#N/A,FALSE,"TAB 9 Price Support Data";#N/A,#N/A,FALSE,"TAB 9 Direct Rate Table";#N/A,#N/A,FALSE,"TAB 9 indirect rate table";#N/A,#N/A,FALSE,"TAB 9 SCA_Project Fringe";#N/A,#N/A,FALSE,"TAB 9 davis bacon Fringe"}</definedName>
    <definedName name="usd" hidden="1">{#N/A,#N/A,FALSE,"Sheet1"}</definedName>
    <definedName name="Use_Tax_Labor" localSheetId="5">#REF!</definedName>
    <definedName name="Use_Tax_Labor" localSheetId="8">#REF!</definedName>
    <definedName name="Use_Tax_Labor">#REF!</definedName>
    <definedName name="Use_Tax_Material" localSheetId="5">#REF!</definedName>
    <definedName name="Use_Tax_Material" localSheetId="8">#REF!</definedName>
    <definedName name="Use_Tax_Material">#REF!</definedName>
    <definedName name="utilo.Version" hidden="1">1</definedName>
    <definedName name="uu" hidden="1">{#N/A,#N/A,FALSE,"Monthly"}</definedName>
    <definedName name="uuuuuuuu" hidden="1">{"1999 Revenue",#N/A,FALSE,"IBS";"1999 Traffic",#N/A,FALSE,"IBS"}</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hidden="1">{"1999 Revenue",#N/A,FALSE,"Voice ";"1999 Traffic",#N/A,FALSE,"Voice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hidden="1">{"1999 Revenue",#N/A,FALSE,"IBS";"1999 Traffic",#N/A,FALSE,"IBS"}</definedName>
    <definedName name="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vic" hidden="1">{#N/A,#N/A,FALSE,"TITLE";#N/A,#N/A,FALSE,"SUMMARY";#N/A,#N/A,FALSE,"TOTAL";#N/A,#N/A,FALSE,"WEEKLY";#N/A,#N/A,FALSE,"PHASES";#N/A,#N/A,FALSE,"SUPPORT";#N/A,#N/A,FALSE,"DETAIL";#N/A,#N/A,FALSE,"P.I. HOL"}</definedName>
    <definedName name="w" localSheetId="5">#REF!</definedName>
    <definedName name="w" localSheetId="8">#REF!</definedName>
    <definedName name="w">#REF!</definedName>
    <definedName name="wack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ages">'[5]RATES &amp; TABLES'!$A$5:$I$259</definedName>
    <definedName name="wally" hidden="1">{#N/A,#N/A,FALSE,"com1994";#N/A,#N/A,FALSE,"com1995";#N/A,#N/A,FALSE,"com1996"}</definedName>
    <definedName name="washops" hidden="1">{"'1098trans'!$A$10:$F$64","'1098trans'!$A$65:$A$66","'1098trans'!$A$67:$D$69","'1098trans'!$A$64:$F$69"}</definedName>
    <definedName name="WBS_" hidden="1">'[7]General Inputs'!$M$35:$M$71</definedName>
    <definedName name="WBS_Description" hidden="1">[19]Lists!$F$3:$F$22</definedName>
    <definedName name="WBS_Nos" hidden="1">[19]Lists!$E$3:$E$22</definedName>
    <definedName name="WBSSUMM" hidden="1">{"BASE",#N/A,FALSE,"WBS SUMMARY";"OPTION",#N/A,FALSE,"WBS SUMMARY"}</definedName>
    <definedName name="wee" hidden="1">{"1999 Revenue",#N/A,FALSE,"IBS";"1999 Traffic",#N/A,FALSE,"IBS"}</definedName>
    <definedName name="weG" hidden="1">{#N/A,#N/A,FALSE,"WBS 1.06";#N/A,#N/A,FALSE,"WBS 1.14";#N/A,#N/A,FALSE,"WBS 1.17";#N/A,#N/A,FALSE,"WBS 1.18"}</definedName>
    <definedName name="WEGTG" hidden="1">{#N/A,#N/A,FALSE,"WBS 1.06";#N/A,#N/A,FALSE,"WBS 1.14";#N/A,#N/A,FALSE,"WBS 1.17";#N/A,#N/A,FALSE,"WBS 1.18"}</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{#N/A,#N/A,FALSE,"WBS 1.06";#N/A,#N/A,FALSE,"WBS 1.14";#N/A,#N/A,FALSE,"WBS 1.17";#N/A,#N/A,FALSE,"WBS 1.18"}</definedName>
    <definedName name="wert" hidden="1">{#N/A,#N/A,FALSE,"WBS 1.06";#N/A,#N/A,FALSE,"WBS 1.14";#N/A,#N/A,FALSE,"WBS 1.17";#N/A,#N/A,FALSE,"WBS 1.18"}</definedName>
    <definedName name="werty"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rty1"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ew" hidden="1">{"1999 Revenue",#N/A,FALSE,"Voice ";"1999 Traffic",#N/A,FALSE,"Voice "}</definedName>
    <definedName name="WGWEGT" hidden="1">{#N/A,#N/A,FALSE,"WBS 1.06";#N/A,#N/A,FALSE,"WBS 1.14";#N/A,#N/A,FALSE,"WBS 1.17";#N/A,#N/A,FALSE,"WBS 1.18"}</definedName>
    <definedName name="what" hidden="1">{#N/A,#N/A,FALSE,"Base Info";#N/A,#N/A,FALSE,"Base Info"}</definedName>
    <definedName name="what_1" hidden="1">{#N/A,#N/A,FALSE,"Base Info";#N/A,#N/A,FALSE,"Base Info"}</definedName>
    <definedName name="WORKCOMP">'[5]RATES &amp; TABLES'!$DL$4:$DM$84</definedName>
    <definedName name="WORKCOMPSTATE">'[5]RATES &amp; TABLES'!$DL$4:$DL$84</definedName>
    <definedName name="Working_Hours_per_Day" localSheetId="5">#REF!</definedName>
    <definedName name="Working_Hours_per_Day" localSheetId="8">#REF!</definedName>
    <definedName name="Working_Hours_per_Day">#REF!</definedName>
    <definedName name="wqrg" hidden="1">{#N/A,#N/A,FALSE,"WBS 1.06";#N/A,#N/A,FALSE,"WBS 1.14";#N/A,#N/A,FALSE,"WBS 1.17";#N/A,#N/A,FALSE,"WBS 1.18"}</definedName>
    <definedName name="wrn.04fringe" hidden="1">{"OTHFRINGE",#N/A,FALSE,"TOTAL";"SVCFRINGE",#N/A,FALSE,"TOTAL";"TOTFRINGE",#N/A,FALSE,"TOTAL"}</definedName>
    <definedName name="wrn.1999._.Ops._.Review." hidden="1">{"1999 Revenue",#N/A,FALSE,"Voice ";"1999 Traffic",#N/A,FALSE,"Voice "}</definedName>
    <definedName name="wrn.1999._.Ops._.Reviews." hidden="1">{"1999 Revenue",#N/A,FALSE,"IBS";"1999 Traffic",#N/A,FALSE,"IBS"}</definedName>
    <definedName name="wrn.95FRINGE." hidden="1">{"OTHFRINGE",#N/A,FALSE,"TOTAL";"SVCFRINGE",#N/A,FALSE,"TOTAL";"TOTFRINGE",#N/A,FALSE,"TOTAL"}</definedName>
    <definedName name="wrn.A002." hidden="1">{"A002",#N/A,FALSE,"CDRLA002 Expenditures";#N/A,#N/A,FALSE,"Projection"}</definedName>
    <definedName name="wrn.ACC_Cars_125K_Co1." hidden="1">{"ACC_Cars_125K_PA",#N/A,FALSE,"ACC Cars Co1 125K ";"ACC_Cars_125K_Prop",#N/A,FALSE,"ACC Cars Co1 125K "}</definedName>
    <definedName name="wrn.ACC_Cars_125K_Co1._1" hidden="1">{"ACC_Cars_125K_PA",#N/A,FALSE,"ACC Cars Co1 125K ";"ACC_Cars_125K_Prop",#N/A,FALSE,"ACC Cars Co1 125K "}</definedName>
    <definedName name="wrn.ACC_Cars_400K_Co1." hidden="1">{"ACC_Cars_400K_PA",#N/A,FALSE,"ACC Cars Co1 400K";"ACC_Cars_400K_Prop",#N/A,FALSE,"ACC Cars Co1 400K"}</definedName>
    <definedName name="wrn.ACC_Cars_400K_Co1._1" hidden="1">{"ACC_Cars_400K_PA",#N/A,FALSE,"ACC Cars Co1 400K";"ACC_Cars_400K_Prop",#N/A,FALSE,"ACC Cars Co1 400K"}</definedName>
    <definedName name="wrn.ACC_Cars_Travel_125K." hidden="1">{"PAGE1",#N/A,FALSE,"ACC_CARS Travel 125K";"PAGE2",#N/A,FALSE,"ACC_CARS Travel 125K"}</definedName>
    <definedName name="wrn.ACC_Cars_Travel_125K._1" hidden="1">{"PAGE1",#N/A,FALSE,"ACC_CARS Travel 125K";"PAGE2",#N/A,FALSE,"ACC_CARS Travel 125K"}</definedName>
    <definedName name="wrn.ACC_CARS_Travel_400K." hidden="1">{"Page1",#N/A,FALSE,"ACC_CARS Travel 400K";"Page2",#N/A,FALSE,"ACC_CARS Travel 400K"}</definedName>
    <definedName name="wrn.ACC_CARS_Travel_400K._1" hidden="1">{"Page1",#N/A,FALSE,"ACC_CARS Travel 400K";"Page2",#N/A,FALSE,"ACC_CARS Travel 400K"}</definedName>
    <definedName name="wrn.AER._.Report." hidden="1">{#N/A,#N/A,FALSE,"Report";#N/A,#N/A,FALSE,"EAC";#N/A,#N/A,FALSE,"ETC";#N/A,#N/A,FALSE,"Dollar_chart";#N/A,#N/A,FALSE,"Hours_chart";#N/A,#N/A,FALSE,"Plan vs Actuals Dollars";#N/A,#N/A,FALSE,"Plan vs Actuals Hours"}</definedName>
    <definedName name="wrn.AFPONLY."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LL." hidden="1">{#N/A,#N/A,FALSE,"ORDERS A$";#N/A,#N/A,FALSE,"ORDERS US$";#N/A,#N/A,FALSE,"SALES A$";#N/A,#N/A,FALSE,"SALES US$";#N/A,#N/A,FALSE,"PROFIT A$";#N/A,#N/A,FALSE,"PROFIT US$";#N/A,#N/A,FALSE,"IS A$";#N/A,#N/A,FALSE,"IS US$";#N/A,#N/A,FALSE,"BAL NAE A$";#N/A,#N/A,FALSE,"BAL NAE US$";#N/A,#N/A,FALSE,"FDS 569 NAE A$";#N/A,#N/A,FALSE,"FDS 569 NAE US$";#N/A,#N/A,FALSE,"FDS 555 NAE A$";#N/A,#N/A,FALSE,"FDS 555 NAE US$";#N/A,#N/A,FALSE,"FDS 706 NAE A$";#N/A,#N/A,FALSE,"FDS 706 NAE US$";#N/A,#N/A,FALSE,"MISC A$";#N/A,#N/A,FALSE,"MISC US$"}</definedName>
    <definedName name="wrn.All._.Forms." hidden="1">{"Cover Page",#N/A,FALSE,"NIST-1263 Cover Page";"Cover Page Back",#N/A,FALSE,"NIST-1263 Cover Page";#N/A,#N/A,FALSE,"NIST-1263 Page 3";#N/A,#N/A,FALSE,"NIST-1263 Page 4"}</definedName>
    <definedName name="wrn.ALL._.OSP." hidden="1">{#N/A,#N/A,FALSE,"ORDERS A$";#N/A,#N/A,FALSE,"ORDERS US$";#N/A,#N/A,FALSE,"SALES A$";#N/A,#N/A,FALSE,"SALES US$";#N/A,#N/A,FALSE,"PROFIT A$";#N/A,#N/A,FALSE,"PROFIT US$"}</definedName>
    <definedName name="wrn.All._.Reports." hidden="1">{"Monthly",#N/A,FALSE,"99 AOP Mthly";"Quarterly",#N/A,FALSE,"99 AOP Mthly";#N/A,#N/A,FALSE,"99 AOP VS. 97_98"}</definedName>
    <definedName name="wrn.ALL._.Rpts" hidden="1">{#N/A,#N/A,FALSE,"Annual Rpt";#N/A,#N/A,FALSE,"Summary Report";#N/A,#N/A,FALSE,"Detail Report";#N/A,#N/A,FALSE,"Indirect Labor";#N/A,#N/A,FALSE,"DL Base";#N/A,#N/A,FALSE,"Functional Inputs"}</definedName>
    <definedName name="wrn.ALL._.US." hidden="1">{#N/A,#N/A,FALSE,"ORDERS US$";#N/A,#N/A,FALSE,"SALES US$";#N/A,#N/A,FALSE,"PROFIT US$";#N/A,#N/A,FALSE,"IS US$";#N/A,#N/A,FALSE,"BAL NAE US$";#N/A,#N/A,FALSE,"FDS 555 NAE US$";#N/A,#N/A,FALSE,"FDS 569 NAE US$";#N/A,#N/A,FALSE,"MISC US$"}</definedName>
    <definedName name="wrn.ANGIE." hidden="1">{#N/A,#N/A,FALSE,"TOTAL"}</definedName>
    <definedName name="wrn.Annual._.AOP." hidden="1">{#N/A,#N/A,FALSE,"99 AOP VS. 97_98"}</definedName>
    <definedName name="wrn.ANNUAL._.REPORT." hidden="1">{#N/A,#N/A,FALSE,"Annual Rpt"}</definedName>
    <definedName name="wrn.ASTD._.SPO." hidden="1">{#N/A,#N/A,FALSE,"ASTDSPO_Profit Report";#N/A,#N/A,FALSE,"ETC";#N/A,#N/A,FALSE,"ASTDSPO_Report"}</definedName>
    <definedName name="wrn.Backup." hidden="1">{#N/A,#N/A,FALSE,"Labor Dump";#N/A,#N/A,FALSE,"CO 1 Yrs";#N/A,#N/A,FALSE,"INPUT"}</definedName>
    <definedName name="wrn.Backup._1" hidden="1">{#N/A,#N/A,FALSE,"Labor Dump";#N/A,#N/A,FALSE,"CO 1 Yrs";#N/A,#N/A,FALSE,"INPUT"}</definedName>
    <definedName name="wrn.Base_Middle_Drivers." hidden="1">{#N/A,#N/A,TRUE,"DCF Summary (2)";#N/A,#N/A,TRUE,"DCF Summary";#N/A,"Middle Case Drivers",TRUE,"DCF"}</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TH." hidden="1">{"DOLS",#N/A,FALSE,"G&amp;A_TOT";"PDS",#N/A,FALSE,"G&amp;A_TOT"}</definedName>
    <definedName name="wrn.BSheet." hidden="1">{"BSheet",#N/A,FALSE,"95ACT"}</definedName>
    <definedName name="wrn.BSVariance." hidden="1">{"BSVariance",#N/A,FALSE,"95ACT"}</definedName>
    <definedName name="wrn.BTables." hidden="1">{#N/A,#N/A,FALSE,"Proposal"}</definedName>
    <definedName name="wrn.BTables._1" hidden="1">{#N/A,#N/A,FALSE,"Proposal"}</definedName>
    <definedName name="wrn.BURDEN_ALLOCATION." hidden="1">{"PAGE1",#N/A,FALSE,"allocation base";"PAGE2",#N/A,FALSE,"burden";"PAGE3",#N/A,FALSE,"burden";"PAGE4",#N/A,FALSE,"labor rates";"PAGE5",#N/A,FALSE,"labor rates";"PAGE6",#N/A,FALSE,"labor rates"}</definedName>
    <definedName name="wrn.burden_allocation1" hidden="1">{"PAGE1",#N/A,FALSE,"allocation base";"PAGE2",#N/A,FALSE,"burden";"PAGE3",#N/A,FALSE,"burden";"PAGE4",#N/A,FALSE,"labor rates";"PAGE5",#N/A,FALSE,"labor rates";"PAGE6",#N/A,FALSE,"labor rates"}</definedName>
    <definedName name="wrn.BY._.QTR." hidden="1">{"BY QTR",#N/A,FALSE,"ORDERS";"BY QTR",#N/A,FALSE,"SALES";"BY QTR",#N/A,FALSE,"PROFIT"}</definedName>
    <definedName name="wrn.CAL._.YR." hidden="1">{"CAL YR",#N/A,FALSE,"ORDERS";"CAL YR",#N/A,FALSE,"SALES";"CAL YR",#N/A,FALSE,"PROFIT"}</definedName>
    <definedName name="wrn.CCB_JDISS." hidden="1">{"Pre_CCB",#N/A,FALSE,"Pre CCB Pkg ";"CCB_Memb_Notbk",#N/A,FALSE,"CCB_Memb_Notebk";"CCB_Handouts",#N/A,FALSE,"Handouts";"JDISS_Brochure",#N/A,FALSE,"JDISS_Brochure";"JDISS_Minutes",#N/A,FALSE,"JDISS_Minutes";"Total_JDISS",#N/A,FALSE,"Total JDISS"}</definedName>
    <definedName name="wrn.CCB_JDISS._1" hidden="1">{"Pre_CCB",#N/A,FALSE,"Pre CCB Pkg ";"CCB_Memb_Notbk",#N/A,FALSE,"CCB_Memb_Notebk";"CCB_Handouts",#N/A,FALSE,"Handouts";"JDISS_Brochure",#N/A,FALSE,"JDISS_Brochure";"JDISS_Minutes",#N/A,FALSE,"JDISS_Minutes";"Total_JDISS",#N/A,FALSE,"Total JDISS"}</definedName>
    <definedName name="wrn.ccss._.cost._.detail." hidden="1">{#N/A,#N/A,TRUE,"Table 15-2";#N/A,#N/A,TRUE,"DATA Direct Rates";#N/A,#N/A,TRUE,"DATA hours buildup";#N/A,#N/A,TRUE,"DATA Indirect Rates FPRA";#N/A,#N/A,TRUE,"SCA_PROJ fringe";#N/A,#N/A,TRUE,"ODC allocation";#N/A,#N/A,TRUE,"misc";#N/A,#N/A,TRUE,"SUPPORTING DATA Travel";#N/A,#N/A,TRUE,"SUPPORTING DATA Calibration";#N/A,#N/A,TRUE,"Labor Detail"}</definedName>
    <definedName name="wrn.ccss._.cost._.volume." hidden="1">{#N/A,#N/A,TRUE,"Table 15-2";#N/A,#N/A,TRUE,"Sched B Data";#N/A,#N/A,TRUE,"DATA Direct Rates";#N/A,#N/A,TRUE,"DATA hours buildup";#N/A,#N/A,TRUE,"DATA Indirect Rates FPRA";#N/A,#N/A,TRUE,"SCA_PROJ fringe";#N/A,#N/A,TRUE,"ODC allocation";#N/A,#N/A,TRUE,"SUPPORTING DATA Travel";#N/A,#N/A,TRUE,"SUPPORTING DATA Calibration"}</definedName>
    <definedName name="wrn.CE._.BY._.WBS." hidden="1">{"BASE",#N/A,FALSE,"CE BY WBS";"OPTION",#N/A,FALSE,"CE BY WBS"}</definedName>
    <definedName name="wrn.Commercial._.Invoice." hidden="1">{"Commercial Invoice",#N/A,FALSE,"CDRLA002 Expenditures"}</definedName>
    <definedName name="wrn.commercial._.profit." hidden="1">{"commercial profit",#N/A,FALSE,"GA97"}</definedName>
    <definedName name="wrn.commercial._.profit._1" hidden="1">{"commercial profit",#N/A,FALSE,"GA97"}</definedName>
    <definedName name="wrn.commercial._.rate._.calculation." hidden="1">{"commercial rate calculation",#N/A,FALSE,"GA97"}</definedName>
    <definedName name="wrn.commercial._.rate._.calculation._1" hidden="1">{"commercial rate calculation",#N/A,FALSE,"GA97"}</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et._.Stmts." hidden="1">{#N/A,#N/A,FALSE,"CLOSE P&amp;L";"Monthly",#N/A,FALSE,"CONS BY MO";"Quarterly",#N/A,FALSE,"CONS BY MO";#N/A,#N/A,FALSE,"P&amp;L BY SUB";"QTR 1 SUBS",#N/A,FALSE,"SUB BY QTR";"QTR 2 SUBS",#N/A,FALSE,"SUB BY QTR";"QTR 3 SUBS",#N/A,FALSE,"SUB BY QTR";"QTR 4 SUBS",#N/A,FALSE,"SUB BY QTR";#N/A,#N/A,FALSE,"ELIM";#N/A,#N/A,FALSE,"Factory";#N/A,#N/A,FALSE,"TSD";#N/A,#N/A,FALSE,"RACC";#N/A,#N/A,FALSE,"RAS";#N/A,#N/A,FALSE,"RA";#N/A,#N/A,FALSE,"TAI";#N/A,#N/A,FALSE,"RAPID";#N/A,#N/A,FALSE,"RTA";#N/A,#N/A,FALSE,"MONTEK";#N/A,#N/A,FALSE,"AAI"}</definedName>
    <definedName name="wrn.CONTRACTS." hidden="1">{"CONTRACTS",#N/A,FALSE,"8401detail"}</definedName>
    <definedName name="wrn.CONTRACTS._1" hidden="1">{"CONTRACTS",#N/A,FALSE,"8401detail"}</definedName>
    <definedName name="wrn.cost._.of._.money." hidden="1">{#N/A,#N/A,FALSE,"com1994";#N/A,#N/A,FALSE,"com1995";#N/A,#N/A,FALSE,"com1996"}</definedName>
    <definedName name="wrn.Cost._.Summary." hidden="1">{"Cost Summary",#N/A,FALSE,"B";"Cost Detail 1",#N/A,FALSE,"C";"Cost Detail 2",#N/A,FALSE,"C"}</definedName>
    <definedName name="wrn.COST_SHEETS." hidden="1">{#N/A,#N/A,FALSE,"WBS 1.06";#N/A,#N/A,FALSE,"WBS 1.14";#N/A,#N/A,FALSE,"WBS 1.17";#N/A,#N/A,FALSE,"WBS 1.18"}</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op." hidden="1">{"laborr",#N/A,FALSE,"Sheet1";"sumr",#N/A,FALSE,"Sheet1";"odcr",#N/A,FALSE,"Sheet1";"trip1r",#N/A,FALSE,"Sheet1";"trip2r",#N/A,FALSE,"Sheet1";"trip3r",#N/A,FALSE,"Sheet1";"trip4r",#N/A,FALSE,"Sheet1"}</definedName>
    <definedName name="wrn.costprop._1" hidden="1">{"laborr",#N/A,FALSE,"Sheet1";"sumr",#N/A,FALSE,"Sheet1";"odcr",#N/A,FALSE,"Sheet1";"trip1r",#N/A,FALSE,"Sheet1";"trip2r",#N/A,FALSE,"Sheet1";"trip3r",#N/A,FALSE,"Sheet1";"trip4r",#N/A,FALSE,"Sheet1"}</definedName>
    <definedName name="wrn.costprt0." hidden="1">{"cptwor",#N/A,FALSE,"CP";"cpthreer",#N/A,FALSE,"CP";"sumr",#N/A,FALSE,"CP";"odcr",#N/A,FALSE,"CP"}</definedName>
    <definedName name="wrn.costprt0._1" hidden="1">{"cptwor",#N/A,FALSE,"CP";"cpthreer",#N/A,FALSE,"CP";"sumr",#N/A,FALSE,"CP";"odcr",#N/A,FALSE,"CP"}</definedName>
    <definedName name="wrn.costprt1." hidden="1">{"laborr",#N/A,FALSE,"Sheet1";"sumr",#N/A,FALSE,"Sheet1";"odcr",#N/A,FALSE,"Sheet1";"trip1r",#N/A,FALSE,"Sheet1"}</definedName>
    <definedName name="wrn.costprt1._1" hidden="1">{"laborr",#N/A,FALSE,"Sheet1";"sumr",#N/A,FALSE,"Sheet1";"odcr",#N/A,FALSE,"Sheet1";"trip1r",#N/A,FALSE,"Sheet1"}</definedName>
    <definedName name="wrn.costprt2." hidden="1">{"laborr",#N/A,FALSE,"costprop";"sumr",#N/A,FALSE,"costprop";"odcr",#N/A,FALSE,"costprop";"trip1r",#N/A,FALSE,"costprop";"trip2r",#N/A,FALSE,"costprop"}</definedName>
    <definedName name="wrn.costprt2._1" hidden="1">{"laborr",#N/A,FALSE,"costprop";"sumr",#N/A,FALSE,"costprop";"odcr",#N/A,FALSE,"costprop";"trip1r",#N/A,FALSE,"costprop";"trip2r",#N/A,FALSE,"costprop"}</definedName>
    <definedName name="wrn.costprt3." hidden="1">{"laborr",#N/A,FALSE,"costprop";"sumr",#N/A,FALSE,"costprop";"odcr",#N/A,FALSE,"costprop";"trip1r",#N/A,FALSE,"costprop";"trip2r",#N/A,FALSE,"costprop";"trip3r",#N/A,FALSE,"costprop"}</definedName>
    <definedName name="wrn.costprt3._1" hidden="1">{"laborr",#N/A,FALSE,"costprop";"sumr",#N/A,FALSE,"costprop";"odcr",#N/A,FALSE,"costprop";"trip1r",#N/A,FALSE,"costprop";"trip2r",#N/A,FALSE,"costprop";"trip3r",#N/A,FALSE,"costprop"}</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ETAIL._.REPORT." hidden="1">{#N/A,#N/A,FALSE,"Detail Report"}</definedName>
    <definedName name="wrn.divisional._.overhead._.entry." hidden="1">{#N/A,#N/A,FALSE,"GA97"}</definedName>
    <definedName name="wrn.divisional._.overhead._.entry._1" hidden="1">{#N/A,#N/A,FALSE,"GA97"}</definedName>
    <definedName name="wrn.DL._.BASE." hidden="1">{#N/A,#N/A,FALSE,"DL Base"}</definedName>
    <definedName name="wrn.DO1." hidden="1">{#N/A,#N/A,TRUE,"dd 1861";#N/A,#N/A,TRUE,"1411SPJ FP";#N/A,#N/A,TRUE,"Weighted Guidelines";#N/A,#N/A,TRUE,"DO 1 FFP Price";#N/A,#N/A,TRUE,"Travel";#N/A,#N/A,TRUE,"Profit Analysis 100%";#N/A,#N/A,TRUE,"Profit Analysis 95%"}</definedName>
    <definedName name="wrn.Dolan_Co1." hidden="1">{"DolanCo1_PA",#N/A,FALSE,"Tina Dolan";"DolanCo1_Prop",#N/A,FALSE,"Tina Dolan"}</definedName>
    <definedName name="wrn.Dolan_Co1._1" hidden="1">{"DolanCo1_PA",#N/A,FALSE,"Tina Dolan";"DolanCo1_Prop",#N/A,FALSE,"Tina Dolan"}</definedName>
    <definedName name="wrn.DOLS." hidden="1">{"PDS",#N/A,FALSE,"G&amp;A_TOT"}</definedName>
    <definedName name="wrn.DRUM._.COST._.VOLUME." hidden="1">{#N/A,#N/A,TRUE,"Tab 1- Proposal Cover";#N/A,#N/A,TRUE,"Table 15-2";#N/A,#N/A,TRUE,"Tab 3 - Section B";#N/A,#N/A,TRUE,"Tab 4 - ATT 5 Summary";#N/A,#N/A,TRUE,"Tab  6 - ODC Detail";#N/A,#N/A,TRUE,"Tab 6 - ODC Summary";#N/A,#N/A,TRUE,"A6 CLIN 0001";#N/A,#N/A,TRUE,"A6 CLIN 0002";#N/A,#N/A,TRUE,"A6 CLIN 0003";#N/A,#N/A,TRUE,"A6 CLIN 0004";#N/A,#N/A,TRUE,"A6 CLIN 0005";#N/A,#N/A,TRUE,"A6 CLIN 0006";#N/A,#N/A,TRUE,"travel ";#N/A,#N/A,TRUE,"MH Summ CLIN 0001 - 0006";#N/A,#N/A,TRUE,"RATES";#N/A,#N/A,TRUE,"PR CHGS"}</definedName>
    <definedName name="wrn.EAC._.Reports." hidden="1">{#N/A,#N/A,FALSE,"SUMMARY";#N/A,#N/A,FALSE,"EAC96PLA";#N/A,#N/A,FALSE,"EAC96EXT";#N/A,#N/A,FALSE,"FINSUM";#N/A,#N/A,FALSE,"1996PL";#N/A,#N/A,FALSE,"RISKOP3rd";#N/A,#N/A,FALSE,"RISKTOTAL";#N/A,#N/A,FALSE,"STAFFING";#N/A,#N/A,FALSE,"Balsht"}</definedName>
    <definedName name="wrn.Ebron_350K." hidden="1">{"Prop_350K",#N/A,FALSE,"Ebron-350K";"PA_350K",#N/A,FALSE,"Ebron-350K";"Ebron350KTrvl",#N/A,FALSE,"Ebrons Travel 350k"}</definedName>
    <definedName name="wrn.Ebron_350K._1" hidden="1">{"Prop_350K",#N/A,FALSE,"Ebron-350K";"PA_350K",#N/A,FALSE,"Ebron-350K";"Ebron350KTrvl",#N/A,FALSE,"Ebrons Travel 350k"}</definedName>
    <definedName name="wrn.Ebron_Co1." hidden="1">{"EbronCo1_PA",#N/A,FALSE,"Ebrons Task Co1";"EbronCo1_Prop",#N/A,FALSE,"Ebrons Task Co1";"Ebron316KTrvl",#N/A,FALSE,"Ebrons Travel 316k"}</definedName>
    <definedName name="wrn.Ebron_Co1._1" hidden="1">{"EbronCo1_PA",#N/A,FALSE,"Ebrons Task Co1";"EbronCo1_Prop",#N/A,FALSE,"Ebrons Task Co1";"Ebron316KTrvl",#N/A,FALSE,"Ebrons Travel 316k"}</definedName>
    <definedName name="wrn.Ebron_Co5." hidden="1">{"EbronCo5_PA",#N/A,FALSE,"Ebrons Task Co5";"EbronCo5_Prop",#N/A,FALSE,"Ebrons Task Co5"}</definedName>
    <definedName name="wrn.Ebron_Co5._1" hidden="1">{"EbronCo5_PA",#N/A,FALSE,"Ebrons Task Co5";"EbronCo5_Prop",#N/A,FALSE,"Ebrons Task Co5"}</definedName>
    <definedName name="wrn.emea." hidden="1">{#N/A,#N/A,FALSE,"AR Summ.";#N/A,#N/A,FALSE,"Dec top 5 collects";#N/A,#N/A,FALSE,"Top 5 AR";#N/A,#N/A,FALSE,"Top 5&gt;90";#N/A,#N/A,FALSE,"AR Flow by Region";#N/A,#N/A,FALSE,"PrePays";#N/A,#N/A,FALSE,"Op&amp;Risk"}</definedName>
    <definedName name="wrn.ENTIRE._.PROPOSAL." hidden="1">{"GFY SUMMARY","ATT. A",FALSE,"TOTALS";"GFY 95","GFY 95",FALSE,"TOTALS";"GFY 96","GFY 96",FALSE,"TOTALS";"GFY 97","GFY 97",FALSE,"TOTALS";"GFY WBS","ATT. A-1",FALSE,"TOTALS";"WBS TOTALS","ATT. A-2",FALSE,"TOTALS";"proposal",#N/A,FALSE,"Hours Summary";"SCRA FY SUMMARY","ATT. B",FALSE,"TOTALS";"proposal",#N/A,FALSE,"BILL OF MATERIAL";"proposal",#N/A,FALSE,"SCRA LABOR";"proposal",#N/A,FALSE,"SUBCONTRACTORS";"proposal",#N/A,FALSE,"ODC's";"proposal",#N/A,FALSE,"PSSC";"proposal",#N/A,FALSE,"TRAVEL";"proposal",#N/A,FALSE,"OTHER";"proposal",#N/A,FALSE,"RATES"}</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ditures._.Graph." hidden="1">{"Graphics View",#N/A,FALSE,"Task Order Status"}</definedName>
    <definedName name="wrn.Expenditures._.Graph._1" hidden="1">{"Graphics View",#N/A,FALSE,"Task Order Status"}</definedName>
    <definedName name="wrn.FAS._.BASIS." hidden="1">{#N/A,#N/A,FALSE,"ICOFAS";#N/A,#N/A,FALSE,"TFSFAS"}</definedName>
    <definedName name="wrn.FIELD._.OVERHEAD._.1." hidden="1">{#N/A,#N/A,FALSE,"0502,0503 Field"}</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ORM._.189F." hidden="1">{#N/A,#N/A,FALSE,"189F"}</definedName>
    <definedName name="wrn.full." hidden="1">{"b",#N/A,FALSE,"B";"C 1",#N/A,FALSE,"C";"C 2",#N/A,FALSE,"C";"D 1",#N/A,FALSE,"D";"d 2",#N/A,FALSE,"D";"D 3",#N/A,FALSE,"D";"E",#N/A,FALSE,"E";"F 1",#N/A,FALSE,"F";"F 2",#N/A,FALSE,"F";"F 3",#N/A,FALSE,"F";"G 1",#N/A,FALSE,"G";"G 2",#N/A,FALSE,"G";"I 1",#N/A,FALSE,"I";"J 1",#N/A,FALSE,"J";"J 2",#N/A,FALSE,"J";"L",#N/A,FALSE,"L";"M 1",#N/A,FALSE,"M";"N",#N/A,FALSE,"N"}</definedName>
    <definedName name="wrn.Full._.Print." hidden="1">{#N/A,#N/A,FALSE,"Titles";#N/A,#N/A,FALSE,"Ts&amp;Cs";#N/A,#N/A,FALSE,"Variables";#N/A,#N/A,FALSE,"Labour"}</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UNC.._.INPUTS." hidden="1">{#N/A,#N/A,FALSE,"Functional Inputs"}</definedName>
    <definedName name="wrn.FYP._.Package." hidden="1">{#N/A,#N/A,FALSE,"Manuf. Co.";#N/A,#N/A,FALSE,"Consolidated";#N/A,#N/A,FALSE,"1998 BDGT";#N/A,#N/A,FALSE,"1999";#N/A,#N/A,FALSE,"2000";#N/A,#N/A,FALSE,"2001";#N/A,#N/A,FALSE,"2002";#N/A,#N/A,FALSE,"2003";#N/A,#N/A,FALSE,"IRBINT"}</definedName>
    <definedName name="wrn.G._.A._.expense._.entry." hidden="1">{"G A expense entry",#N/A,FALSE,"GA97"}</definedName>
    <definedName name="wrn.G._.A._.expense._.entry._1" hidden="1">{"G A expense entry",#N/A,FALSE,"GA97"}</definedName>
    <definedName name="wrn.government._.rate._.calculation." hidden="1">{"government rate calculation",#N/A,FALSE,"GA97"}</definedName>
    <definedName name="wrn.government._.rate._.calculation._1" hidden="1">{"government rate calculation",#N/A,FALSE,"GA97"}</definedName>
    <definedName name="wrn.Govt._.Copy." hidden="1">{#N/A,#N/A,FALSE,"Cover";#N/A,#N/A,FALSE,"Data";#N/A,#N/A,FALSE,"MDS Sup";#N/A,#N/A,FALSE,"Sub Sup";#N/A,#N/A,FALSE,"Ad Hoc";#N/A,#N/A,FALSE,"Dave's Summary";#N/A,#N/A,FALSE,"Graphs"}</definedName>
    <definedName name="wrn.Govt._.Copy._1" hidden="1">{#N/A,#N/A,FALSE,"Cover";#N/A,#N/A,FALSE,"Data";#N/A,#N/A,FALSE,"MDS Sup";#N/A,#N/A,FALSE,"Sub Sup";#N/A,#N/A,FALSE,"Ad Hoc";#N/A,#N/A,FALSE,"Dave's Summary";#N/A,#N/A,FALSE,"Graphs"}</definedName>
    <definedName name="wrn.hud._.3." hidden="1">{"division hud",#N/A,FALSE,"Sheet1";"total hud",#N/A,FALSE,"Sheet1"}</definedName>
    <definedName name="wrn.IB." hidden="1">{#N/A,#N/A,FALSE,"IB Totgeo Q1-Q4 ";#N/A,#N/A,FALSE,"IB AEME";#N/A,#N/A,FALSE,"IB West";#N/A,#N/A,FALSE,"IB Central";#N/A,#N/A,FALSE,"IB South ";#N/A,#N/A,FALSE,"IB North";#N/A,#N/A,FALSE,"IB Reg Tot ";#N/A,#N/A,FALSE,"IB Reg Tot graph"}</definedName>
    <definedName name="wrn.IC._.FORMS." hidden="1">{#N/A,#N/A,FALSE,"ICOFAS";#N/A,#N/A,FALSE,"ICOLCE"}</definedName>
    <definedName name="wrn.ICFAS." hidden="1">{#N/A,#N/A,FALSE,"ICFAS"}</definedName>
    <definedName name="wrn.ICLCE." hidden="1">{#N/A,#N/A,FALSE,"ICLCE"}</definedName>
    <definedName name="wrn.ICOFAS." hidden="1">{#N/A,#N/A,FALSE,"ICOFAS"}</definedName>
    <definedName name="wrn.ICOLCE." hidden="1">{#N/A,#N/A,FALSE,"ICOLCE"}</definedName>
    <definedName name="wrn.IFAS." hidden="1">{#N/A,#N/A,FALSE,"Highlights";#N/A,#N/A,FALSE,"BS";#N/A,#N/A,FALSE,"P&amp;L";#N/A,#N/A,FALSE,"Flash";#N/A,#N/A,FALSE,"IR&amp;D";#N/A,#N/A,FALSE,"Sales-Cash Flow";#N/A,#N/A,FALSE,"GOR"}</definedName>
    <definedName name="wrn.IncMonth." hidden="1">{"IncStMonth",#N/A,FALSE,"95ACT"}</definedName>
    <definedName name="wrn.IncStCum." hidden="1">{"IncStCum",#N/A,FALSE,"95ACT"}</definedName>
    <definedName name="wrn.IncVariance." hidden="1">{"IncVariance",#N/A,FALSE,"95ACT"}</definedName>
    <definedName name="wrn.INDIRECT._.LABOR." hidden="1">{#N/A,#N/A,FALSE,"Indirect Labor"}</definedName>
    <definedName name="wrn.Interest._.Package." hidden="1">{#N/A,#N/A,FALSE,"CLOSERPT";#N/A,#N/A,FALSE,"MTD";#N/A,#N/A,FALSE,"RAYEXP";#N/A,#N/A,FALSE,"Cap Interest";#N/A,#N/A,FALSE,"JAN";#N/A,#N/A,FALSE,"FEB";#N/A,#N/A,FALSE,"MAR";#N/A,#N/A,FALSE,"APR";#N/A,#N/A,FALSE,"MAY";#N/A,#N/A,FALSE,"JUN";#N/A,#N/A,FALSE,"JUL";#N/A,#N/A,FALSE,"AUG";#N/A,#N/A,FALSE,"SEP";#N/A,#N/A,FALSE,"OCT";#N/A,#N/A,FALSE,"NOV"}</definedName>
    <definedName name="wrn.Invoice." hidden="1">{#N/A,#N/A,FALSE,"1034";#N/A,#N/A,FALSE,"Invoice"}</definedName>
    <definedName name="wrn.Invoice._1" hidden="1">{#N/A,#N/A,FALSE,"1034";#N/A,#N/A,FALSE,"Invoice"}</definedName>
    <definedName name="wrn.JCTCS."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CTCS._1" hidden="1">{#N/A,#N/A,FALSE,"Tot";#N/A,#N/A,FALSE,"A11";#N/A,#N/A,FALSE,"aisi-11";#N/A,#N/A,FALSE,"pod-11";#N/A,#N/A,FALSE,"mtd-11";#N/A,#N/A,FALSE,"clk-11";#N/A,#N/A,FALSE,"A12";#N/A,#N/A,FALSE,"aisi-12";#N/A,#N/A,FALSE,"pod-12";#N/A,#N/A,FALSE,"mtd-12";#N/A,#N/A,FALSE,"clk-12";#N/A,#N/A,FALSE,"A13";#N/A,#N/A,FALSE,"aisi-13";#N/A,#N/A,FALSE,"pod-13";#N/A,#N/A,FALSE,"mtd-13";#N/A,#N/A,FALSE,"clk-13";#N/A,#N/A,FALSE,"A14";#N/A,#N/A,FALSE,"aisi-14";#N/A,#N/A,FALSE,"pod-14";#N/A,#N/A,FALSE,"mtd-14";#N/A,#N/A,FALSE,"clk-14";#N/A,#N/A,FALSE,"data"}</definedName>
    <definedName name="wrn.JDISS_Co1." hidden="1">{"JDISS_Co1",#N/A,FALSE,"JDISS_Co1";"JDISSCo1_PA",#N/A,FALSE,"JDISS_Co1"}</definedName>
    <definedName name="wrn.JDISS_Co1._1" hidden="1">{"JDISS_Co1",#N/A,FALSE,"JDISS_Co1";"JDISSCo1_PA",#N/A,FALSE,"JDISS_Co1"}</definedName>
    <definedName name="wrn.JIM." hidden="1">{"JIM",#N/A,FALSE,"8401detail"}</definedName>
    <definedName name="wrn.JIM._1" hidden="1">{"JIM",#N/A,FALSE,"8401detail"}</definedName>
    <definedName name="wrn.Journal._.Entries." hidden="1">{#N/A,#N/A,FALSE,"T2JE";#N/A,#N/A,FALSE,"T3JE";#N/A,#N/A,FALSE,"T4JE";#N/A,#N/A,FALSE,"T5JE";#N/A,#N/A,FALSE,"T6JE";#N/A,#N/A,FALSE,"MSAE";#N/A,#N/A,FALSE,"JWAE";#N/A,#N/A,FALSE,"T2INV";#N/A,#N/A,FALSE,"T3INV";#N/A,#N/A,FALSE,"T4INV";#N/A,#N/A,FALSE,"T5INV";#N/A,#N/A,FALSE,"T6INV"}</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LABOR." hidden="1">{"GFY 97",#N/A,FALSE,"SCRA LABOR";"GFY 98",#N/A,FALSE,"SCRA LABOR";"GFY 99",#N/A,FALSE,"SCRA LABOR";"GFY 00",#N/A,FALSE,"SCRA LABOR"}</definedName>
    <definedName name="wrn.LaborWorkSheets." hidden="1">{#N/A,#N/A,FALSE,"050_150";#N/A,#N/A,FALSE,"050_151";#N/A,#N/A,FALSE,"050_152";#N/A,#N/A,FALSE,"050_153";#N/A,#N/A,FALSE,"050_154";#N/A,#N/A,FALSE,"050_155";#N/A,#N/A,FALSE,"050_156";#N/A,#N/A,FALSE,"050_157";#N/A,#N/A,FALSE,"050_158";#N/A,#N/A,FALSE,"050_159";#N/A,#N/A,FALSE,"050_255"}</definedName>
    <definedName name="wrn.LaborWorkSheets.." hidden="1">{#N/A,#N/A,FALSE,"050_150";#N/A,#N/A,FALSE,"050_151";#N/A,#N/A,FALSE,"050_152";#N/A,#N/A,FALSE,"050_153";#N/A,#N/A,FALSE,"050_154";#N/A,#N/A,FALSE,"050_155";#N/A,#N/A,FALSE,"050_156";#N/A,#N/A,FALSE,"050_157";#N/A,#N/A,FALSE,"050_158";#N/A,#N/A,FALSE,"050_159";#N/A,#N/A,FALSE,"050_255"}</definedName>
    <definedName name="wrn.LCE._.BASIS." hidden="1">{#N/A,#N/A,FALSE,"ICOLCE";#N/A,#N/A,FALSE,"TFSLCE"}</definedName>
    <definedName name="wrn.Long._.Report."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Man._.hour._.summary._.by._.CLIN." hidden="1">{#N/A,#N/A,FALSE,"A6 CLIN 0001";#N/A,#N/A,FALSE,"A6 CLIN 0002";#N/A,#N/A,FALSE,"A6 CLIN 0003";#N/A,#N/A,FALSE,"A6 CLIN 0004";#N/A,#N/A,FALSE,"A6 CLIN 0005";#N/A,#N/A,FALSE,"A6 CLIN 0006"}</definedName>
    <definedName name="wrn.Man._.Loading._.Sheet." hidden="1">{#N/A,#N/A,FALSE,"ManLoading"}</definedName>
    <definedName name="wrn.Man._.Loading._.Sheet._1" hidden="1">{#N/A,#N/A,FALSE,"ManLoading"}</definedName>
    <definedName name="wrn.man2" hidden="1">{#N/A,#N/A,FALSE,"A6 CLIN 0001";#N/A,#N/A,FALSE,"A6 CLIN 0002";#N/A,#N/A,FALSE,"A6 CLIN 0003";#N/A,#N/A,FALSE,"A6 CLIN 0004";#N/A,#N/A,FALSE,"A6 CLIN 0005";#N/A,#N/A,FALSE,"A6 CLIN 0006"}</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gmt._.Package." hidden="1">{#N/A,#N/A,FALSE,"Perf. Summ.";#N/A,#N/A,FALSE,"MONTHLY P&amp;L TRACE";#N/A,#N/A,FALSE,"ANNUAL P&amp;L TRACE ";#N/A,#N/A,FALSE,"P&amp;L CLOSING";#N/A,#N/A,FALSE,"P&amp;L FORECAST";#N/A,#N/A,FALSE,"ConsByMo"}</definedName>
    <definedName name="wrn.MGMTRPT." hidden="1">{"COVER",#N/A,FALSE,"MGMTRPT";"HIGHLIGHTS",#N/A,FALSE,"MGMTRPT";"ORDERS",#N/A,FALSE,"MGMTRPT";"REVENUE",#N/A,FALSE,"MGMTRPT"}</definedName>
    <definedName name="wrn.MIFAS." hidden="1">{#N/A,#N/A,FALSE,"Highlights";#N/A,#N/A,FALSE,"BS";#N/A,#N/A,FALSE,"P&amp;L";#N/A,#N/A,FALSE,"Flash";#N/A,#N/A,FALSE,"IR&amp;D";#N/A,#N/A,FALSE,"Sales-Cash Flow";#N/A,#N/A,FALSE,"GOR"}</definedName>
    <definedName name="wrn.MMOC._.Accounts._.Receivable." hidden="1">{#N/A,#N/A,FALSE,"Summary";#N/A,#N/A,FALSE,"3108";#N/A,#N/A,FALSE,"338W";#N/A,#N/A,FALSE,"358N";#N/A,#N/A,FALSE,"361H";#N/A,#N/A,FALSE,"366H";#N/A,#N/A,FALSE,"377G";#N/A,#N/A,FALSE,"392F";#N/A,#N/A,FALSE,"392U";#N/A,#N/A,FALSE,"4W67"}</definedName>
    <definedName name="wrn.Model." hidden="1">{"Model",#N/A,FALSE,"95ACT"}</definedName>
    <definedName name="wrn.Monthly." hidden="1">{"GFY 95","GFY 95",FALSE,"TOTALS";"GFY 96","GFY 96",FALSE,"TOTALS";"GFY 97","GFY 97",FALSE,"TOTALS"}</definedName>
    <definedName name="wrn.Monthly._.F._.and._.O." hidden="1">{#N/A,#N/A,FALSE,"RAYSUM";#N/A,#N/A,FALSE,"GORSUM";#N/A,#N/A,FALSE,"GORSUM (2)";#N/A,#N/A,FALSE,"U-GORAnaly";#N/A,#N/A,FALSE,"$-GORAnaly";#N/A,#N/A,FALSE,"$-GORAnaly (2)";#N/A,#N/A,FALSE,"GORResp";#N/A,#N/A,FALSE,"BACKLOG";#N/A,#N/A,FALSE,"U-BklgAnaly";#N/A,#N/A,FALSE,"$-BklgAnaly"}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1" hidden="1">{"statr",#N/A,FALSE,"STAT";"cssrr",#N/A,FALSE,"CSSR";"cap1r",#N/A,FALSE,"CAP";"cap2r",#N/A,FALSE,"CAP"}</definedName>
    <definedName name="wrn.monthlyoption." hidden="1">{"GFY 97",#N/A,FALSE,"MONTHLY FLOW (OPTION)";"GFY 98",#N/A,FALSE,"MONTHLY FLOW (OPTION)";"GFY 99",#N/A,FALSE,"MONTHLY FLOW (OPTION)";"GFY 00",#N/A,FALSE,"MONTHLY FLOW (OPTION)";"TTL PROGRAM",#N/A,FALSE,"MONTHLY FLOW (OPTION)"}</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hl._.AOP.T" hidden="1">{"MONTHLY (99 AOP Mthly)",#N/A,FALSE,"99 AOP Mthly"}</definedName>
    <definedName name="wrn.Mthly._.AOP." hidden="1">{"MONTHLY (99 AOP Mthly)",#N/A,FALSE,"99 AOP Mthly"}</definedName>
    <definedName name="wrn.OFF." hidden="1">{"OFF",#N/A,FALSE,"95ACT"}</definedName>
    <definedName name="wrn.OOCONLY." hidden="1">{"OOCDOLS",#N/A,FALSE,"G&amp;A_CRPSV";"OOCDOL",#N/A,FALSE,"G&amp;A_FAC"}</definedName>
    <definedName name="wrn.Operating._.Results._.Book." hidden="1">{"FTC PUMPS B",#N/A,FALSE,"FTC PUMPS";"FLYGT B",#N/A,FALSE,"Flygt";"IPGWW B",#N/A,FALSE,"IPGWW";"FHD B",#N/A,FALSE,"FHD";"WTDWW B",#N/A,FALSE,"WTDWW";"LOWARA B",#N/A,FALSE,"LOWGROUP"}</definedName>
    <definedName name="wrn.Operating._.Results._.detail." hidden="1">{"FTC PUMPS B",#N/A,FALSE,"FTC PUMPS";"FLYGT B",#N/A,FALSE,"Flygt";"IPGWW B",#N/A,FALSE,"IPGWW";"FHD B",#N/A,FALSE,"FHD";"WTDWW B",#N/A,FALSE,"WTDWW";"CHECK B",#N/A,FALSE," REPORT check";"LOWARA B",#N/A,FALSE,"LOWGROUP";"HQ",#N/A,FALSE,"PUMPSHQ Adj for rounding"}</definedName>
    <definedName name="wrn.P._.and._.L._.by._.Sub." hidden="1">{#N/A,#N/A,FALSE,"99P&amp;L BY SUB";#N/A,#N/A,FALSE,"2000P&amp;L BY SUB";#N/A,#N/A,FALSE,"2001P&amp;L BY SUB";#N/A,#N/A,FALSE,"2002P&amp;L BY SUB";#N/A,#N/A,FALSE,"2003P&amp;L BY SUB"}</definedName>
    <definedName name="wrn.PAODC." hidden="1">{"par",#N/A,FALSE,"PA";"odcr",#N/A,FALSE,"PA";"paxr",#N/A,FALSE,"PA"}</definedName>
    <definedName name="wrn.PAODC._1" hidden="1">{"par",#N/A,FALSE,"PA";"odcr",#N/A,FALSE,"PA";"paxr",#N/A,FALSE,"PA"}</definedName>
    <definedName name="wrn.Paper._.File." hidden="1">{#N/A,#N/A,FALSE,"SalesAct";#N/A,#N/A,FALSE,"GORAct";#N/A,#N/A,FALSE,"BcklgAct";#N/A,#N/A,FALSE,"SCH. 50-B";#N/A,#N/A,FALSE,"GORSUM";#N/A,#N/A,FALSE,"RAYSUM";#N/A,#N/A,FALSE,"GORSUM (2)";#N/A,#N/A,FALSE,"U-GORAnaly";#N/A,#N/A,FALSE,"$-GORAnaly";#N/A,#N/A,FALSE,"$-GORAnaly (2)";#N/A,#N/A,FALSE,"GORResp";#N/A,#N/A,FALSE,"BACKLOG";#N/A,#N/A,FALSE,"U-BklgAnaly";#N/A,#N/A,FALSE,"$-BklgAnaly";#N/A,#N/A,FALSE,"KingAirs";#N/A,#N/A,FALSE,"GOR-MIFA";#N/A,#N/A,FALSE,"RAYSUM (2)"}</definedName>
    <definedName name="wrn.Part._.1." hidden="1">{#N/A,#N/A,FALSE,"Title";#N/A,#N/A,FALSE,"Tbl Contents";#N/A,#N/A,FALSE,"Management Summary (1)";#N/A,#N/A,FALSE,"Major Project  (1)";#N/A,#N/A,FALSE,"Qterly Income";#N/A,#N/A,FALSE,"Major Project [2]";#N/A,#N/A,FALSE,"Project PBT chart 4A";#N/A,#N/A,FALSE,"Income Statement";#N/A,#N/A,FALSE,"Variance analysis";#N/A,#N/A,FALSE,"Mntly Income";#N/A,#N/A,FALSE,"Variance analysis";#N/A,#N/A,FALSE,"Cur Mnth Cash";#N/A,#N/A,FALSE,"Current Qtr Cash";#N/A,#N/A,FALSE,"Qtrly Cashflow";#N/A,#N/A,FALSE,"Mnthly Cashflow";#N/A,#N/A,FALSE,"Accts. Rec.";#N/A,#N/A,FALSE,"Headcnt Det";#N/A,#N/A,FALSE,"Gross Headcount";#N/A,#N/A,FALSE,"Management Summary [2]";#N/A,#N/A,FALSE,"Major Project [2]";#N/A,#N/A,FALSE,"Variance analysis"}</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DS." hidden="1">{"PDS",#N/A,FALSE,"G&amp;A_TOT"}</definedName>
    <definedName name="wrn.Pearson_Co1." hidden="1">{"PearsonCo1_Prop",#N/A,FALSE,"Pearsons Task Co1";"PearsonCo1_PA",#N/A,FALSE,"Pearsons Task Co1"}</definedName>
    <definedName name="wrn.Pearson_Co1._1" hidden="1">{"PearsonCo1_Prop",#N/A,FALSE,"Pearsons Task Co1";"PearsonCo1_PA",#N/A,FALSE,"Pearsons Task Co1"}</definedName>
    <definedName name="wrn.Pearson_Co5." hidden="1">{"PearsonCo5_Prop",#N/A,FALSE,"Pearsons Task Co5";"PearsonCo5_PA",#N/A,FALSE,"Pearsons Task Co5"}</definedName>
    <definedName name="wrn.Pearson_Co5._1" hidden="1">{"PearsonCo5_Prop",#N/A,FALSE,"Pearsons Task Co5";"PearsonCo5_PA",#N/A,FALSE,"Pearsons Task Co5"}</definedName>
    <definedName name="wrn.price." hidden="1">{"PAGE1",#N/A,FALSE,"CPFFMSTR";"PAGE2",#N/A,FALSE,"CPFFMSTR"}</definedName>
    <definedName name="wrn.price._1" hidden="1">{"PAGE1",#N/A,FALSE,"CPFFMSTR";"PAGE2",#N/A,FALSE,"CPFFMSTR"}</definedName>
    <definedName name="wrn.PriceSheetNoMargins." hidden="1">{"PriceSheetNoMargins",#N/A,FALSE,"PriceSheet"}</definedName>
    <definedName name="wrn.pricesheetNoMarkgin1" hidden="1">{"PriceSheetNoMargins",#N/A,FALSE,"PriceSheet"}</definedName>
    <definedName name="wrn.Print."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_.ALL." hidden="1">{"ORIG",#N/A,FALSE,"Sheet1";"GOVT LABOR",#N/A,FALSE,"Sheet1";"INT LABOR",#N/A,FALSE,"Sheet1"}</definedName>
    <definedName name="wrn.PRINT._.ALL._1" hidden="1">{"ORIG",#N/A,FALSE,"Sheet1";"GOVT LABOR",#N/A,FALSE,"Sheet1";"INT LABOR",#N/A,FALSE,"Sheet1"}</definedName>
    <definedName name="wrn.print._.form." hidden="1">{"Form 1263 Total",#N/A,FALSE,"NIST-1263 Total"}</definedName>
    <definedName name="wrn.Print._1" hidden="1">{"Base Cost",#N/A,FALSE,"Cost Formats";"Base",#N/A,FALSE,"Composite Rate";"Option 1 Cost",#N/A,FALSE,"Cost Formats";"Option 1",#N/A,FALSE,"Composite Rate";"Option 2 Cost",#N/A,FALSE,"Cost Formats";"Option 2",#N/A,FALSE,"Composite Rate";"Option 3 Cost",#N/A,FALSE,"Cost Formats";"Option 3",#N/A,FALSE,"Composite Rate";"Option 4 Cost",#N/A,FALSE,"Cost Formats";"Option 4",#N/A,FALSE,"Composite Rate";"Option 5 Cost",#N/A,FALSE,"Cost Formats";"Option 5",#N/A,FALSE,"Composite Rate";"Total Cost",#N/A,FALSE,"Cost Formats"}</definedName>
    <definedName name="wrn.PRINT1._.ALL." hidden="1">{"ORIG",#N/A,FALSE,"Sheet1";"GOVT LABOR",#N/A,FALSE,"Sheet1";"INT LABOR",#N/A,FALSE,"Sheet1"}</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ograms." hidden="1">{#N/A,#N/A,FALSE,"204";#N/A,#N/A,FALSE,"226";#N/A,#N/A,FALSE,"233";#N/A,#N/A,FALSE,"632";#N/A,#N/A,FALSE,"671";#N/A,#N/A,FALSE,"905";#N/A,#N/A,FALSE,"906";#N/A,#N/A,FALSE,"913";#N/A,#N/A,FALSE,"914";#N/A,#N/A,FALSE,"916";#N/A,#N/A,FALSE,"AAT";#N/A,#N/A,FALSE,"ATAS";#N/A,#N/A,FALSE,"ITL3";#N/A,#N/A,FALSE,"917";#N/A,#N/A,FALSE,"918"}</definedName>
    <definedName name="wrn.Programs._1" hidden="1">{#N/A,#N/A,FALSE,"204";#N/A,#N/A,FALSE,"226";#N/A,#N/A,FALSE,"233";#N/A,#N/A,FALSE,"632";#N/A,#N/A,FALSE,"671";#N/A,#N/A,FALSE,"905";#N/A,#N/A,FALSE,"906";#N/A,#N/A,FALSE,"913";#N/A,#N/A,FALSE,"914";#N/A,#N/A,FALSE,"916";#N/A,#N/A,FALSE,"AAT";#N/A,#N/A,FALSE,"ATAS";#N/A,#N/A,FALSE,"ITL3";#N/A,#N/A,FALSE,"917";#N/A,#N/A,FALSE,"918"}</definedName>
    <definedName name="wrn.projected._.1995._.balance._.sheet." hidden="1">{#N/A,#N/A,FALSE,"Base Info"}</definedName>
    <definedName name="wrn.projected._.1995._.balance._.sheet._1" hidden="1">{#N/A,#N/A,FALSE,"Base Info"}</definedName>
    <definedName name="wrn.projected._.1995._.cash._.receipts." hidden="1">{#N/A,#N/A,FALSE,"Base Info"}</definedName>
    <definedName name="wrn.projected._.1995._.cash._.receipts._1" hidden="1">{#N/A,#N/A,FALSE,"Base Info"}</definedName>
    <definedName name="wrn.projected._.1995._.revenues." hidden="1">{#N/A,#N/A,FALSE,"Base Info";#N/A,#N/A,FALSE,"Base Info"}</definedName>
    <definedName name="wrn.projected._.1995._.revenues._1" hidden="1">{#N/A,#N/A,FALSE,"Base Info";#N/A,#N/A,FALSE,"Base Info"}</definedName>
    <definedName name="wrn.projected._.revenue." hidden="1">{"projected revenue",#N/A,FALSE,"GA97"}</definedName>
    <definedName name="wrn.projected._.revenue._1" hidden="1">{"projected revenue",#N/A,FALSE,"GA97"}</definedName>
    <definedName name="wrn.proposal." hidden="1">{"summary",#N/A,TRUE,"SUMMARY";"travel_1",#N/A,TRUE,"TRAVEL";"travel_2",#N/A,TRUE,"TRAVEL";"travel_3",#N/A,TRUE,"TRAVEL";"material",#N/A,TRUE,"MATERIALS &amp; EQUIP"}</definedName>
    <definedName name="wrn.proposal._1" hidden="1">{"summary",#N/A,TRUE,"SUMMARY";"travel_1",#N/A,TRUE,"TRAVEL";"travel_2",#N/A,TRUE,"TRAVEL";"travel_3",#N/A,TRUE,"TRAVEL";"material",#N/A,TRUE,"MATERIALS &amp; EQUIP"}</definedName>
    <definedName name="wrn.proposala" hidden="1">{"summary",#N/A,TRUE,"SUMMARY";"travel_1",#N/A,TRUE,"TRAVEL";"travel_2",#N/A,TRUE,"TRAVEL";"travel_3",#N/A,TRUE,"TRAVEL";"material",#N/A,TRUE,"MATERIALS &amp; EQUIP"}</definedName>
    <definedName name="wrn.proposala_1" hidden="1">{"summary",#N/A,TRUE,"SUMMARY";"travel_1",#N/A,TRUE,"TRAVEL";"travel_2",#N/A,TRUE,"TRAVEL";"travel_3",#N/A,TRUE,"TRAVEL";"material",#N/A,TRUE,"MATERIALS &amp; EQUIP"}</definedName>
    <definedName name="wrn.QTR_FnO." hidden="1">{"(QTR&amp;YR F&amp;O) TOTAL YR",#N/A,FALSE,"QTR&amp;YR F&amp;O";"(QTR&amp;YR F&amp;O) Q1",#N/A,FALSE,"QTR&amp;YR F&amp;O";"(QTR&amp;YR F&amp;O) Q2",#N/A,FALSE,"QTR&amp;YR F&amp;O";"(QTR&amp;YR F&amp;O) Q3",#N/A,FALSE,"QTR&amp;YR F&amp;O";"(QTR&amp;YR F&amp;O) Q4",#N/A,FALSE,"QTR&amp;YR F&amp;O"}</definedName>
    <definedName name="wrn.Qtrly._.AOP." hidden="1">{"Quarterly",#N/A,FALSE,"99 AOP Mthly"}</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Rate._.Reports."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yInterest._.Fcst." hidden="1">{#N/A,#N/A,FALSE,"New DebtFcst"}</definedName>
    <definedName name="wrn.retro." hidden="1">{#N/A,#N/A,FALSE,"Total";#N/A,#N/A,FALSE,"NRE";#N/A,#N/A,FALSE,"20 Lot";#N/A,#N/A,FALSE,"32 Lot";#N/A,#N/A,FALSE,"labor";#N/A,#N/A,FALSE,"trvl";#N/A,#N/A,FALSE,"MES NRE";#N/A,#N/A,FALSE,"MES 20";#N/A,#N/A,FALSE,"MES 32"}</definedName>
    <definedName name="wrn.retro._1" hidden="1">{#N/A,#N/A,FALSE,"Total";#N/A,#N/A,FALSE,"NRE";#N/A,#N/A,FALSE,"20 Lot";#N/A,#N/A,FALSE,"32 Lot";#N/A,#N/A,FALSE,"labor";#N/A,#N/A,FALSE,"trvl";#N/A,#N/A,FALSE,"MES NRE";#N/A,#N/A,FALSE,"MES 20";#N/A,#N/A,FALSE,"MES 32"}</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OSE." hidden="1">{"Page 2",#N/A,FALSE,"2000";"Page 1",#N/A,FALSE,"2000"}</definedName>
    <definedName name="wrn.ROSE._1" hidden="1">{"Page 2",#N/A,FALSE,"2000";"Page 1",#N/A,FALSE,"2000"}</definedName>
    <definedName name="wrn.Sales._.and._.Profit." hidden="1">{"SalesProfFYP",#N/A,FALSE,"Sales-Profit Summ";"SALPROF99",#N/A,FALSE,"Sales-Profit Summ";"SalesProfFYP",#N/A,FALSE,"Sales-Profit Summ-Cons";"SALPROF99",#N/A,FALSE,"Sales-Profit Summ-Cons"}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eal._.Team._.J6." hidden="1">{"Seal Team J6 Sum",#N/A,FALSE,"Seal Team Summary";"Seal Team J6",#N/A,FALSE,"Seal Team ";"Seal Team ODC J6",#N/A,FALSE,"Seal Team ODCs";"Seal Team Trvl J6",#N/A,FALSE," Seal Team Trvl"}</definedName>
    <definedName name="wrn.Seal._.Team._.J6._1" hidden="1">{"Seal Team J6 Sum",#N/A,FALSE,"Seal Team Summary";"Seal Team J6",#N/A,FALSE,"Seal Team ";"Seal Team ODC J6",#N/A,FALSE,"Seal Team ODCs";"Seal Team Trvl J6",#N/A,FALSE," Seal Team Trvl"}</definedName>
    <definedName name="wrn.Sheet1.Shhet8." hidden="1">{#N/A,#N/A,FALSE,"Sheet1"}</definedName>
    <definedName name="wrn.Sheet1.Shhet8._1" hidden="1">{#N/A,#N/A,FALSE,"Sheet1"}</definedName>
    <definedName name="wrn.Short._.Report." hidden="1">{#N/A,#N/A,TRUE,"Cover";#N/A,#N/A,TRUE,"Header (eu)";#N/A,#N/A,TRUE,"Region Charts";#N/A,#N/A,TRUE,"T&amp;O By Region";#N/A,#N/A,TRUE,"AD Report"}</definedName>
    <definedName name="wrn.SOZA_SPA._.Task." hidden="1">{#N/A,#N/A,FALSE,"99-SPA_Profit Report";#N/A,#N/A,FALSE,"99-SPA_Report"}</definedName>
    <definedName name="wrn.Staffing." hidden="1">{#N/A,#N/A,FALSE,"Assessment";#N/A,#N/A,FALSE,"Staffing";#N/A,#N/A,FALSE,"Hires";#N/A,#N/A,FALSE,"Assumptions"}</definedName>
    <definedName name="wrn.Staffing._.Inputs."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1"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UB._.BY._.QTR." hidden="1">{"ANNUAL SUBS",#N/A,FALSE,"SUB BY QTR";"QTR 1 SUBS",#N/A,FALSE,"SUB BY QTR";"QTR 2 SUBS",#N/A,FALSE,"SUB BY QTR";"QTR 3 SUBS",#N/A,FALSE,"SUB BY QTR";"QTR 4 SUBS",#N/A,FALSE,"SUB BY QTR"}</definedName>
    <definedName name="wrn.Subs._.Stand._.Alone." hidden="1">{#N/A,#N/A,FALSE,"Factory";#N/A,#N/A,FALSE,"TSD";#N/A,#N/A,FALSE,"Manufacturing Co";#N/A,#N/A,FALSE,"RACC";#N/A,#N/A,FALSE,"RAS";#N/A,#N/A,FALSE,"RA";#N/A,#N/A,FALSE,"TAI";#N/A,#N/A,FALSE,"RAPID";#N/A,#N/A,FALSE,"AAI";#N/A,#N/A,FALSE,"RTA";#N/A,#N/A,FALSE,"MONTEK";#N/A,#N/A,FALSE,"elim"}</definedName>
    <definedName name="wrn.Subs._.Stand._.Alone._.PL." hidden="1">{#N/A,#N/A,FALSE,"ConsByMo";#N/A,#N/A,FALSE,"RAHI";#N/A,#N/A,FALSE,"Elim";#N/A,#N/A,FALSE,"Factory";#N/A,#N/A,FALSE,"TSD";#N/A,#N/A,FALSE,"AMC";#N/A,#N/A,FALSE,"RAPID";#N/A,#N/A,FALSE,"RTA";#N/A,#N/A,FALSE,"RA";#N/A,#N/A,FALSE,"RAS";#N/A,#N/A,FALSE,"RACC";#N/A,#N/A,FALSE,"TAI";#N/A,#N/A,FALSE,"AAI";#N/A,#N/A,FALSE,"CHARTER"}</definedName>
    <definedName name="wrn.SUBS_STAND._.ALONE." hidden="1">{#N/A,#N/A,FALSE,"ELIM";#N/A,#N/A,FALSE,"Factory";#N/A,#N/A,FALSE,"TSD";#N/A,#N/A,FALSE,"RACC";#N/A,#N/A,FALSE,"RAS";#N/A,#N/A,FALSE,"RA";#N/A,#N/A,FALSE,"TAI";#N/A,#N/A,FALSE,"RAPID";#N/A,#N/A,FALSE,"RTA";#N/A,#N/A,FALSE,"MONTEK";#N/A,#N/A,FALSE,"AAI"}</definedName>
    <definedName name="wrn.SUMMARY._.REPORT." hidden="1">{#N/A,#N/A,FALSE,"Summary Report"}</definedName>
    <definedName name="wrn.SummaryBudget." hidden="1">{"Normal",#N/A,FALSE,"SummaryBudget";"Baseandoy",#N/A,FALSE,"SummaryBudget"}</definedName>
    <definedName name="wrn.SummaryBudget._1" hidden="1">{"Normal",#N/A,FALSE,"SummaryBudget";"Baseandoy",#N/A,FALSE,"SummaryBudget"}</definedName>
    <definedName name="wrn.Supplemental._.Information." hidden="1">{#N/A,#N/A,FALSE,"Assumptions";#N/A,#N/A,FALSE,"DNP Expense Summary";#N/A,#N/A,FALSE,"Sensitivity Analysis"}</definedName>
    <definedName name="wrn.Supplemental._.Information._1" hidden="1">{#N/A,#N/A,FALSE,"Assumptions";#N/A,#N/A,FALSE,"DNP Expense Summary";#N/A,#N/A,FALSE,"Sensitivity Analysis"}</definedName>
    <definedName name="wrn.SYSGRP._.Summary." hidden="1">{#N/A,#N/A,TRUE,"Revenue";#N/A,#N/A,TRUE,"Profit";#N/A,#N/A,TRUE,"ODCs";#N/A,#N/A,TRUE,"DirLabor";#N/A,#N/A,TRUE,"SysGrp People"}</definedName>
    <definedName name="wrn.SYSGRP._.Summary._1" hidden="1">{#N/A,#N/A,TRUE,"Revenue";#N/A,#N/A,TRUE,"Profit";#N/A,#N/A,TRUE,"ODCs";#N/A,#N/A,TRUE,"DirLabor";#N/A,#N/A,TRUE,"SysGrp People"}</definedName>
    <definedName name="wrn.Task._.Order._.Status." hidden="1">{"Text View",#N/A,FALSE,"Task Order Status"}</definedName>
    <definedName name="wrn.Task._.Order._.Status._1" hidden="1">{"Text View",#N/A,FALSE,"Task Order Status"}</definedName>
    <definedName name="wrn.TAX._.FORMS." hidden="1">{#N/A,#N/A,FALSE,"TOS"}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hidden="1">{#N/A,#N/A,FALSE,"GORSUM";#N/A,#N/A,FALSE,"U-GORAnaly"}</definedName>
    <definedName name="wrn.test._1" hidden="1">{"page1",#N/A,TRUE,"Sheet1";"page2",#N/A,TRUE,"Sheet1"}</definedName>
    <definedName name="wrn.TF._.FORMS." hidden="1">{#N/A,#N/A,FALSE,"TFSFAS";#N/A,#N/A,FALSE,"TFSLCE"}</definedName>
    <definedName name="wrn.TFSFAS." hidden="1">{#N/A,#N/A,FALSE,"TFSFAS"}</definedName>
    <definedName name="wrn.TFSLCE." hidden="1">{#N/A,#N/A,FALSE,"TFSLCE"}</definedName>
    <definedName name="wrn.TOP._.LEVEL." hidden="1">{"GFY SUMMARY","ATT. A",FALSE,"TOTALS";"GFY 95","GFY 95",FALSE,"TOTALS";"GFY 96","GFY 96",FALSE,"TOTALS";"GFY 97","GFY 97",FALSE,"TOTALS"}</definedName>
    <definedName name="wrn.Total."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otal._1" hidden="1">{#N/A,#N/A,FALSE,"Summ";#N/A,#N/A,FALSE,"Orders";#N/A,#N/A,FALSE,"Sales";#N/A,#N/A,FALSE,"Ebit";#N/A,#N/A,FALSE,"Funds Flow";#N/A,#N/A,FALSE,"204";#N/A,#N/A,FALSE,"226";#N/A,#N/A,FALSE,"233";#N/A,#N/A,FALSE,"632";#N/A,#N/A,FALSE,"671";#N/A,#N/A,FALSE,"905";#N/A,#N/A,FALSE,"906";#N/A,#N/A,FALSE,"913";#N/A,#N/A,FALSE,"914";#N/A,#N/A,FALSE,"916";#N/A,#N/A,FALSE,"AAT";#N/A,#N/A,FALSE,"ATAS";#N/A,#N/A,FALSE,"ITL3";#N/A,#N/A,FALSE,"917";#N/A,#N/A,FALSE,"918"}</definedName>
    <definedName name="wrn.TRAVEL._.DETAIL." hidden="1">{#N/A,#N/A,FALSE,"Sheet1"}</definedName>
    <definedName name="wrn.Trust._.Entries._.for._.JWH." hidden="1">{"Trust Entries for JWH",#N/A,FALSE,"JWAE"}</definedName>
    <definedName name="wrn.USAFA._.FPR." hidden="1">{#N/A,#N/A,FALSE,"TAB 4 total  contract rollup";#N/A,#N/A,FALSE,"TAB 9 Price Support Data";#N/A,#N/A,FALSE,"TAB 9 Direct Rate Table";#N/A,#N/A,FALSE,"TAB 9 indirect rate table";#N/A,#N/A,FALSE,"TAB 9 SCA_Project Fringe";#N/A,#N/A,FALSE,"TAB 9 davis bacon Fringe"}</definedName>
    <definedName name="wrn.USDA_DM." hidden="1">{#N/A,#N/A,FALSE,"Profit Report";#N/A,#N/A,FALSE,"Customer_Report";#N/A,#N/A,FALSE,"Chart";#N/A,#N/A,FALSE,"Plan vs Actuals Hours"}</definedName>
    <definedName name="wrn.VARIANCE._.FORMS." hidden="1">{#N/A,#N/A,FALSE,"V04";#N/A,#N/A,FALSE,"V06";#N/A,#N/A,FALSE,"V07";#N/A,#N/A,FALSE,"V08";#N/A,#N/A,FALSE,"V09"}</definedName>
    <definedName name="wrn.wbs._.summary." hidden="1">{"BASE",#N/A,FALSE,"WBS SUMMARY";"OPTION",#N/A,FALSE,"WBS SUMMARY"}</definedName>
    <definedName name="wrn.weekly._.report." hidden="1">{#N/A,#N/A,FALSE,"TITLE";#N/A,#N/A,FALSE,"SUMMARY";#N/A,#N/A,FALSE,"TOTAL";#N/A,#N/A,FALSE,"WEEKLY";#N/A,#N/A,FALSE,"PHASES";#N/A,#N/A,FALSE,"SUPPORT";#N/A,#N/A,FALSE,"DETAIL";#N/A,#N/A,FALSE,"P.I. HOL"}</definedName>
    <definedName name="wrn.workpapers." hidden="1">{"dl",#N/A,FALSE,"Core";"indirects",#N/A,FALSE,"Core";"profit",#N/A,FALSE,"Core"}</definedName>
    <definedName name="wrn.workpapers._1" hidden="1">{"dl",#N/A,FALSE,"Core";"indirects",#N/A,FALSE,"Core";"profit",#N/A,FALSE,"Core"}</definedName>
    <definedName name="wrn.Yr1." hidden="1">{"Expat1",#N/A,TRUE,"Detailed Budget Year One";"Home1",#N/A,TRUE,"Detailed Budget Year One";"Egypt1",#N/A,TRUE,"Detailed Budget Year One"}</definedName>
    <definedName name="wrn.Yr1._1" hidden="1">{"Expat1",#N/A,TRUE,"Detailed Budget Year One";"Home1",#N/A,TRUE,"Detailed Budget Year One";"Egypt1",#N/A,TRUE,"Detailed Budget Year One"}</definedName>
    <definedName name="wrn.Yr2." hidden="1">{"ExpatandhomeYr2",#N/A,FALSE,"Detailed Budget Year Two";"EgyptandtotYr2",#N/A,FALSE,"Detailed Budget Year Two"}</definedName>
    <definedName name="wrn.Yr2._1" hidden="1">{"ExpatandhomeYr2",#N/A,FALSE,"Detailed Budget Year Two";"EgyptandtotYr2",#N/A,FALSE,"Detailed Budget Year Two"}</definedName>
    <definedName name="wrn.ZONI." hidden="1">{"ZONI",#N/A,FALSE,"8401detail"}</definedName>
    <definedName name="wrn.ZONI._1" hidden="1">{"ZONI",#N/A,FALSE,"8401detail"}</definedName>
    <definedName name="wrn.zonib" hidden="1">{"ZONI",#N/A,FALSE,"8401detail"}</definedName>
    <definedName name="wrn.zonib_1" hidden="1">{"ZONI",#N/A,FALSE,"8401detail"}</definedName>
    <definedName name="wrn1.price." hidden="1">{"PAGE1",#N/A,FALSE,"CPFFMSTR";"PAGE2",#N/A,FALSE,"CPFFMSTR"}</definedName>
    <definedName name="wrn1.price._1" hidden="1">{"PAGE1",#N/A,FALSE,"CPFFMSTR";"PAGE2",#N/A,FALSE,"CPFFMSTR"}</definedName>
    <definedName name="wrnExec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RateReports" hidden="1">{#N/A,#N/A,FALSE,"Monthly Rate By Activity";#N/A,#N/A,FALSE,"Hourly Rate By Activity";#N/A,#N/A,FALSE,"Monthly Rate By Custom Resource";#N/A,#N/A,FALSE,"Hourly Rate By Custom Resource"}</definedName>
    <definedName name="wrnRateReports_1" hidden="1">{#N/A,#N/A,FALSE,"Monthly Rate By Activity";#N/A,#N/A,FALSE,"Hourly Rate By Activity";#N/A,#N/A,FALSE,"Monthly Rate By Custom Resource";#N/A,#N/A,FALSE,"Hourly Rate By Custom Resource"}</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Staffing" hidden="1">{#N/A,#N/A,FALSE,"Assessment";#N/A,#N/A,FALSE,"Staffing";#N/A,#N/A,FALSE,"Hires";#N/A,#N/A,FALSE,"Assumptions"}</definedName>
    <definedName name="wrnStaffing_1"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Inputs" hidden="1">{#N/A,#N/A,FALSE,"Overall Staffing Review";#N/A,#N/A,FALSE,"Detailed Resource Mix Review";#N/A,#N/A,FALSE,"Detailed Pyramid Review";#N/A,#N/A,FALSE,"Hours By Activity";#N/A,#N/A,FALSE,"Hours By Custom Resource"}</definedName>
    <definedName name="wrnStaffingInputs_1" hidden="1">{#N/A,#N/A,FALSE,"Overall Staffing Review";#N/A,#N/A,FALSE,"Detailed Resource Mix Review";#N/A,#N/A,FALSE,"Detailed Pyramid Review";#N/A,#N/A,FALSE,"Hours By Activity";#N/A,#N/A,FALSE,"Hours By Custom Resource"}</definedName>
    <definedName name="wrnSupplementalInformation" hidden="1">{#N/A,#N/A,FALSE,"Assumptions";#N/A,#N/A,FALSE,"DNP Expense Summary";#N/A,#N/A,FALSE,"Sensitivity Analysis"}</definedName>
    <definedName name="wrnSupplementalInformation_1" hidden="1">{#N/A,#N/A,FALSE,"Assumptions";#N/A,#N/A,FALSE,"DNP Expense Summary";#N/A,#N/A,FALSE,"Sensitivity Analysis"}</definedName>
    <definedName name="WRT" hidden="1">{#N/A,#N/A,FALSE,"WBS 1.06";#N/A,#N/A,FALSE,"WBS 1.14";#N/A,#N/A,FALSE,"WBS 1.17";#N/A,#N/A,FALSE,"WBS 1.18"}</definedName>
    <definedName name="wvu.fullpage."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wvu.small."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2"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3"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4"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a"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b"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c"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d"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e"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f"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g"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h"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j"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x"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vu.xy" hidden="1">{TRUE,TRUE,-2.75,-17,604.5,359.25,FALSE,FALSE,TRUE,TRUE,0,1,#N/A,1,#N/A,21.925,39.3125,1,FALSE,FALSE,3,TRUE,1,FALSE,75,"Swvu.small.","ACwvu.small.",7,FALSE,FALSE,0.75,0.75,0.75,1,1,"&amp;C&amp;""Arial,Bold""ESPC workbook","Page &amp;P&amp;R&amp;A",FALSE,FALSE,FALSE,FALSE,1,100,#N/A,#N/A,FALSE,FALSE,"Rwvu.small.","Cwvu.small.",FALSE,FALSE,FALSE,1,300,300,FALSE,FALSE,TRUE,TRUE,TRUE}</definedName>
    <definedName name="wvu.xz" hidden="1">{TRUE,TRUE,-2.75,-17,604.5,359.25,FALSE,FALSE,TRUE,TRUE,0,1,#N/A,1,#N/A,16.1964285714286,29.9230769230769,1,FALSE,FALSE,3,TRUE,1,FALSE,75,"Swvu.fullpage.","ACwvu.fullpage.",8,FALSE,FALSE,0.75,0.75,1,1,2,"&amp;C&amp;""Arial,Bold""ESPC workbook","Page &amp;P&amp;R&amp;A",FALSE,FALSE,FALSE,FALSE,1,#N/A,1,1,FALSE,FALSE,#N/A,#N/A,FALSE,FALSE,FALSE,1,300,200,FALSE,FALSE,TRUE,TRUE,TRUE}</definedName>
    <definedName name="ww" hidden="1">{#N/A,#N/A,FALSE,"WBS 1.06";#N/A,#N/A,FALSE,"WBS 1.14";#N/A,#N/A,FALSE,"WBS 1.17";#N/A,#N/A,FALSE,"WBS 1.18"}</definedName>
    <definedName name="wwe" hidden="1">{#N/A,#N/A,FALSE,"WBS 1.06";#N/A,#N/A,FALSE,"WBS 1.14";#N/A,#N/A,FALSE,"WBS 1.17";#N/A,#N/A,FALSE,"WBS 1.18"}</definedName>
    <definedName name="wwee" hidden="1">{#N/A,#N/A,FALSE,"WBS 1.06";#N/A,#N/A,FALSE,"WBS 1.14";#N/A,#N/A,FALSE,"WBS 1.17";#N/A,#N/A,FALSE,"WBS 1.18"}</definedName>
    <definedName name="wwer" hidden="1">{#N/A,#N/A,FALSE,"WBS 1.06";#N/A,#N/A,FALSE,"WBS 1.14";#N/A,#N/A,FALSE,"WBS 1.17";#N/A,#N/A,FALSE,"WBS 1.18"}</definedName>
    <definedName name="wwrn" hidden="1">{#N/A,#N/A,FALSE,"A6 CLIN 0001";#N/A,#N/A,FALSE,"A6 CLIN 0002";#N/A,#N/A,FALSE,"A6 CLIN 0003";#N/A,#N/A,FALSE,"A6 CLIN 0004";#N/A,#N/A,FALSE,"A6 CLIN 0005";#N/A,#N/A,FALSE,"A6 CLIN 0006"}</definedName>
    <definedName name="xcvt" hidden="1">{#N/A,#N/A,FALSE,"WBS 1.06";#N/A,#N/A,FALSE,"WBS 1.14";#N/A,#N/A,FALSE,"WBS 1.17";#N/A,#N/A,FALSE,"WBS 1.18"}</definedName>
    <definedName name="XFDTGH" hidden="1">{"PAGE1",#N/A,FALSE,"CPFFMSTR";"PAGE2",#N/A,FALSE,"CPFFMSTR"}</definedName>
    <definedName name="XGH" hidden="1">{"PAGE1",#N/A,FALSE,"CPFFMSTR";"PAGE2",#N/A,FALSE,"CPFFMSTR"}</definedName>
    <definedName name="XGHXF" hidden="1">{"PAGE1",#N/A,FALSE,"CPFFMSTR";"PAGE2",#N/A,FALSE,"CPFFMSTR"}</definedName>
    <definedName name="XRefColumnsCount" hidden="1">3</definedName>
    <definedName name="XRefCopyRangeCount" hidden="1">2</definedName>
    <definedName name="XRefPasteRangeCount" hidden="1">34</definedName>
    <definedName name="xvcb" hidden="1">{"PAGE1",#N/A,FALSE,"CPFFMSTR";"PAGE2",#N/A,FALSE,"CPFFMSTR"}</definedName>
    <definedName name="xx" hidden="1">{"SummaryBase and Option",#N/A,FALSE,"SummaryBudget";"SummaryAllYears",#N/A,FALSE,"SummaryBudget"}</definedName>
    <definedName name="xx_1" hidden="1">{"SummaryBase and Option",#N/A,FALSE,"SummaryBudget";"SummaryAllYears",#N/A,FALSE,"SummaryBudget"}</definedName>
    <definedName name="xxx" hidden="1">{#N/A,#N/A,FALSE,"Sheet1"}</definedName>
    <definedName name="xxx_1" hidden="1">{"CONTRACTS",#N/A,FALSE,"8401detail"}</definedName>
    <definedName name="xxx1" hidden="1">{"ACC_Cars_400K_PA",#N/A,FALSE,"ACC Cars Co1 400K";"ACC_Cars_400K_Prop",#N/A,FALSE,"ACC Cars Co1 400K"}</definedName>
    <definedName name="xxx1_1" hidden="1">{"ACC_Cars_400K_PA",#N/A,FALSE,"ACC Cars Co1 400K";"ACC_Cars_400K_Prop",#N/A,FALSE,"ACC Cars Co1 400K"}</definedName>
    <definedName name="xxxx" hidden="1">{#N/A,#N/A,FALSE,"Sheet1"}</definedName>
    <definedName name="xxxxxxx"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xxxxxxx" hidden="1">{0,0,0,0;0,0,0,0;0,0,TRUE,0;0,0,0,0;0,0,"S730","ARWS                          ";0,0,0,0;0,0,0,0;0,0,0,0;0,0,FALSE,0;TRUE,0,0,0;0,0,0,0;"S743","ADATS                         ",0,0;0,0,0,0;#VALUE!,#N/A,TRUE,0;#N/A,#N/A,TRUE,0}</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hidden="1">{"1999 Revenue",#N/A,FALSE,"IBS";"1999 Traffic",#N/A,FALSE,"IBS"}</definedName>
    <definedName name="xy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 hidden="1">{"Monthly",#N/A,FALSE,"99 AOP Mthly";"Quarterly",#N/A,FALSE,"99 AOP Mthly";#N/A,#N/A,FALSE,"99 AOP VS. 97_98"}</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 hidden="1">{"'1098trans'!$A$10:$F$64","'1098trans'!$A$65:$A$66","'1098trans'!$A$67:$D$69","'1098trans'!$A$64:$F$69"}</definedName>
    <definedName name="YEAR">'[5]RATES &amp; TABLES'!$AW$4:$BA$8</definedName>
    <definedName name="yes" hidden="1">{#N/A,#N/A,FALSE,"ManLoading"}</definedName>
    <definedName name="yes_1" hidden="1">{#N/A,#N/A,FALSE,"ManLoading"}</definedName>
    <definedName name="Yes_or_No_List" localSheetId="5">#REF!</definedName>
    <definedName name="Yes_or_No_List" localSheetId="8">#REF!</definedName>
    <definedName name="Yes_or_No_List">#REF!</definedName>
    <definedName name="yiu" hidden="1">{"1999 Revenue",#N/A,FALSE,"Voice ";"1999 Traffic",#N/A,FALSE,"Voice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I" hidden="1">{#N/A,#N/A,FALSE,"WBS 1.06";#N/A,#N/A,FALSE,"WBS 1.14";#N/A,#N/A,FALSE,"WBS 1.17";#N/A,#N/A,FALSE,"WBS 1.18"}</definedName>
    <definedName name="yuio" hidden="1">{"'Vietnam'!$E$21:$W$45","'Vietnam'!$E$21:$W$45"}</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yyyyy" hidden="1">{"1999 Revenue",#N/A,FALSE,"IBS";"1999 Traffic",#N/A,FALSE,"IBS"}</definedName>
    <definedName name="yyyyyyyy" hidden="1">{"1999 Revenue",#N/A,FALSE,"Voice ";"1999 Traffic",#N/A,FALSE,"Voice "}</definedName>
    <definedName name="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_4451D631_1ADA_425F_9642_D11C51F59987_.wvu.Cols" hidden="1">'[20]NC-15 SEM'!$B$1:$B$65536,'[20]NC-15 SEM'!$F$1:$G$65536</definedName>
    <definedName name="Z_BAFF3DC9_5D8E_4FBA_9EFD_C802008A7ACF_.wvu.Cols" hidden="1">'[20]NC-15 SEM'!$B$1:$B$65536,'[20]NC-15 SEM'!$F$1:$G$65536</definedName>
    <definedName name="Zbg" hidden="1">{#N/A,#N/A,FALSE,"WBS 1.06";#N/A,#N/A,FALSE,"WBS 1.14";#N/A,#N/A,FALSE,"WBS 1.17";#N/A,#N/A,FALSE,"WBS 1.18"}</definedName>
    <definedName name="ZDFR" hidden="1">{"PAGE1",#N/A,FALSE,"CPFFMSTR";"PAGE2",#N/A,FALSE,"CPFFMSTR"}</definedName>
    <definedName name="zx" hidden="1">{#N/A,#N/A,FALSE,"WBS 1.06";#N/A,#N/A,FALSE,"WBS 1.14";#N/A,#N/A,FALSE,"WBS 1.17";#N/A,#N/A,FALSE,"WBS 1.18"}</definedName>
    <definedName name="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_EVCOMOPTS" hidden="1">10</definedName>
    <definedName name="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 hidden="1">{"1999 Revenue",#N/A,FALSE,"Voice ";"1999 Traffic",#N/A,FALSE,"Voice "}</definedName>
    <definedName name="zzzzz" hidden="1">{"1999 Revenue",#N/A,FALSE,"IBS";"1999 Traffic",#N/A,FALSE,"IBS"}</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hidden="1">{#N/A,#N/A,FALSE,"Monthly"}</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hidden="1">{"1999 Revenue",#N/A,FALSE,"Voice ";"1999 Traffic",#N/A,FALSE,"Voice "}</definedName>
    <definedName name="zzzzzzzzzz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 i="280" l="1"/>
  <c r="D10" i="281"/>
  <c r="D10" i="282"/>
  <c r="D10" i="283"/>
  <c r="D10" i="284"/>
  <c r="D10" i="285"/>
  <c r="D10" i="279"/>
  <c r="D11" i="280"/>
  <c r="D11" i="281"/>
  <c r="D11" i="282"/>
  <c r="D11" i="283"/>
  <c r="D11" i="284"/>
  <c r="D11" i="285"/>
  <c r="D11" i="279"/>
  <c r="D9" i="286" l="1"/>
  <c r="D12" i="286"/>
  <c r="D9" i="187" l="1"/>
  <c r="D12" i="279"/>
  <c r="D13" i="279"/>
  <c r="D14" i="279"/>
  <c r="D15" i="279"/>
  <c r="D16" i="279"/>
  <c r="D17" i="279"/>
  <c r="D18" i="279"/>
  <c r="D19" i="279"/>
  <c r="D20" i="279"/>
  <c r="D21" i="279"/>
  <c r="D22" i="279"/>
  <c r="D23" i="279"/>
  <c r="D24" i="279"/>
  <c r="D25" i="279"/>
  <c r="D26" i="279"/>
  <c r="D27" i="279"/>
  <c r="D28" i="279"/>
  <c r="D29" i="279"/>
  <c r="D9" i="280" l="1"/>
  <c r="D9" i="283"/>
  <c r="D9" i="281"/>
  <c r="D9" i="279"/>
  <c r="D9" i="285"/>
  <c r="D9" i="284"/>
  <c r="D9" i="282"/>
</calcChain>
</file>

<file path=xl/sharedStrings.xml><?xml version="1.0" encoding="utf-8"?>
<sst xmlns="http://schemas.openxmlformats.org/spreadsheetml/2006/main" count="16782" uniqueCount="2639">
  <si>
    <t>Pest Management Reporting</t>
  </si>
  <si>
    <t>Recurring Work</t>
  </si>
  <si>
    <t>Pool Operator Maintenance</t>
  </si>
  <si>
    <t>Operations</t>
  </si>
  <si>
    <t>Integrated Maintenance Program (IMP)</t>
  </si>
  <si>
    <t>Improved Grounds</t>
  </si>
  <si>
    <t>Storm Drainage Systems</t>
  </si>
  <si>
    <t>Utility Infrastructure Condition Assessment Program (UICAP) Support</t>
  </si>
  <si>
    <t>Operation</t>
  </si>
  <si>
    <t>Support Services</t>
  </si>
  <si>
    <t>Maintenance (Government Owned)</t>
  </si>
  <si>
    <t>Oil and Regulated Substance Spill Response and Cleanup Ashore</t>
  </si>
  <si>
    <t>Used Oil Management Services</t>
  </si>
  <si>
    <t>Storm Water Monitoring</t>
  </si>
  <si>
    <t>Sampling, Field Testing and Laboratory Services</t>
  </si>
  <si>
    <t>Oil and Hazardous Substance Spill Response and Cleanup Ashore</t>
  </si>
  <si>
    <t xml:space="preserve"> </t>
  </si>
  <si>
    <t>Description</t>
  </si>
  <si>
    <t>Attachment J-0200000-17</t>
  </si>
  <si>
    <t>Exhibit Line Item Numbers - NAVSTA Mayport</t>
  </si>
  <si>
    <t>Provide Prices for Recurring Work in accordance with Section C, Spec Item 3</t>
  </si>
  <si>
    <t>Customer/ Program</t>
  </si>
  <si>
    <t>Category</t>
  </si>
  <si>
    <t>Sub-Category</t>
  </si>
  <si>
    <t>ELIN</t>
  </si>
  <si>
    <t>Sub-ELIN</t>
  </si>
  <si>
    <t xml:space="preserve">Annex/Sub-annex
</t>
  </si>
  <si>
    <t>Spec Item</t>
  </si>
  <si>
    <t>Quantity</t>
  </si>
  <si>
    <t>Unit of Measure</t>
  </si>
  <si>
    <t>Unit Price</t>
  </si>
  <si>
    <t>Extended Price</t>
  </si>
  <si>
    <t>Port Ops</t>
  </si>
  <si>
    <t>Port Operations</t>
  </si>
  <si>
    <t>Port Ops Equipment Work Order</t>
  </si>
  <si>
    <t>A001</t>
  </si>
  <si>
    <t>A001AA</t>
  </si>
  <si>
    <t>3.1.1</t>
  </si>
  <si>
    <t>EA</t>
  </si>
  <si>
    <t>3.1.2</t>
  </si>
  <si>
    <t>Ship Movements - Berthing and Hotel Services</t>
  </si>
  <si>
    <t>MO</t>
  </si>
  <si>
    <t>CNRSE FP</t>
  </si>
  <si>
    <t>Facility Management</t>
  </si>
  <si>
    <t>A002</t>
  </si>
  <si>
    <t>A002AA</t>
  </si>
  <si>
    <t>NAVFAC Maximo Data Entry</t>
  </si>
  <si>
    <t>A002AB</t>
  </si>
  <si>
    <t>Infrastructure Condition Assessment Program (ICAP) Services</t>
  </si>
  <si>
    <t>A002AC</t>
  </si>
  <si>
    <t>Technical Library Operations</t>
  </si>
  <si>
    <t>CNRSE ST</t>
  </si>
  <si>
    <t>Facility Investment</t>
  </si>
  <si>
    <t>E/U/R Work Orders</t>
  </si>
  <si>
    <t>Preventive Maintenance (PM) Program</t>
  </si>
  <si>
    <t>3.3.1</t>
  </si>
  <si>
    <t>Airfield Lighting Systems</t>
  </si>
  <si>
    <t>3.3.2</t>
  </si>
  <si>
    <t>Auxiliary Generator Systems</t>
  </si>
  <si>
    <t>3.3.3</t>
  </si>
  <si>
    <t>Boiler and Unfired Pressure Vessel (UPV) Systems</t>
  </si>
  <si>
    <t>3.3.4</t>
  </si>
  <si>
    <t>Compressed Air Systems</t>
  </si>
  <si>
    <t>3.3.5</t>
  </si>
  <si>
    <t>Door and Gate Systems</t>
  </si>
  <si>
    <t>3.3.6</t>
  </si>
  <si>
    <t>Fire Protection Systems</t>
  </si>
  <si>
    <t>3.3.7</t>
  </si>
  <si>
    <t>Frequency Converter (400 HZ) Systems</t>
  </si>
  <si>
    <t>3.3.8</t>
  </si>
  <si>
    <t>Galley Equipment and Systems</t>
  </si>
  <si>
    <t>3.3.9</t>
  </si>
  <si>
    <t>HVAC and Refrigeration Systems</t>
  </si>
  <si>
    <t>3.3.10</t>
  </si>
  <si>
    <t>Security Systems and Equipment</t>
  </si>
  <si>
    <t>3.3.11</t>
  </si>
  <si>
    <t>3.3.12</t>
  </si>
  <si>
    <t>Vertical Transportation Equipment (VTE)</t>
  </si>
  <si>
    <t>3.3.13</t>
  </si>
  <si>
    <t>Facility-Mounted Weight Handling Equipment (WHE)</t>
  </si>
  <si>
    <t>Inspection, Testing, and Certification</t>
  </si>
  <si>
    <t>3.4.1</t>
  </si>
  <si>
    <t>Backflow Prevention Devices</t>
  </si>
  <si>
    <t>3.4.2</t>
  </si>
  <si>
    <t>Boilers and UPVs</t>
  </si>
  <si>
    <t>3.4.3</t>
  </si>
  <si>
    <t>Grounding Points</t>
  </si>
  <si>
    <t>3.4.4</t>
  </si>
  <si>
    <t>3.4.5</t>
  </si>
  <si>
    <t>Other Recurring Services Program</t>
  </si>
  <si>
    <t>3.5.1</t>
  </si>
  <si>
    <t>3.5.2</t>
  </si>
  <si>
    <t>Boiler Systems Water Testing and Treatment Services</t>
  </si>
  <si>
    <t>3.5.4</t>
  </si>
  <si>
    <t>FRCS Maintenance and Monitoring</t>
  </si>
  <si>
    <t>3.5.5</t>
  </si>
  <si>
    <t>Fuel Storage Tanks and Berms</t>
  </si>
  <si>
    <t>3.5.6</t>
  </si>
  <si>
    <t>Grease and Grit Traps</t>
  </si>
  <si>
    <t>3.5.8</t>
  </si>
  <si>
    <t>HVAC Water Testing and Treatment Services</t>
  </si>
  <si>
    <t>3.5.9</t>
  </si>
  <si>
    <t>HVAC Condenser Tube Inspections</t>
  </si>
  <si>
    <t>3.5.11</t>
  </si>
  <si>
    <t>Spot Coolers</t>
  </si>
  <si>
    <t>Other (Swimming Pools)</t>
  </si>
  <si>
    <t xml:space="preserve">Preventive Maintenance (PM) Program </t>
  </si>
  <si>
    <t>CNRSE FX</t>
  </si>
  <si>
    <t>CNRSE UT</t>
  </si>
  <si>
    <t>Utilities Management</t>
  </si>
  <si>
    <t>Utility Operations Support</t>
  </si>
  <si>
    <t>Recurring Services</t>
  </si>
  <si>
    <t>Operation and Management of Facility Related Control Systems (FRCS)</t>
  </si>
  <si>
    <t>Electrical</t>
  </si>
  <si>
    <t>Operate Electrical Power Transmission and Distribution Systems</t>
  </si>
  <si>
    <t>3.2.1</t>
  </si>
  <si>
    <t>3.2.2</t>
  </si>
  <si>
    <t>Other Recurring Services</t>
  </si>
  <si>
    <t>Utility Right of Way Clearance</t>
  </si>
  <si>
    <t>CNRSE TR</t>
  </si>
  <si>
    <t>Transportation</t>
  </si>
  <si>
    <t>WHE/MHE/NTVE Services</t>
  </si>
  <si>
    <t>Fuel Delivery Services</t>
  </si>
  <si>
    <t>Dispatching Services</t>
  </si>
  <si>
    <t>Maintenance of NTVE</t>
  </si>
  <si>
    <t>3.3.1.1</t>
  </si>
  <si>
    <t>New and Reassigned Vehicles and Equipment Services</t>
  </si>
  <si>
    <t>Maintenance of CESE</t>
  </si>
  <si>
    <t>3.3.1.2</t>
  </si>
  <si>
    <t>Preventive Maintenance, Inspection, Load Test and Certification of WHE, MHE and AWP</t>
  </si>
  <si>
    <t>3.3.1.3</t>
  </si>
  <si>
    <t>Preventive Maintenance Inspection of NTVE</t>
  </si>
  <si>
    <t>1700000</t>
  </si>
  <si>
    <t>3.3.1.4</t>
  </si>
  <si>
    <t>Repair (NTVE, WHE, MHE and AWP)</t>
  </si>
  <si>
    <t>3.3.1.5</t>
  </si>
  <si>
    <t>NTVE Trouble Calls</t>
  </si>
  <si>
    <t>BSVE Accessories Installation and Removal</t>
  </si>
  <si>
    <t>Environmental</t>
  </si>
  <si>
    <t>1800000</t>
  </si>
  <si>
    <t>CNRSE EC</t>
  </si>
  <si>
    <t>A003</t>
  </si>
  <si>
    <t>A003AB</t>
  </si>
  <si>
    <t>A003AE</t>
  </si>
  <si>
    <t>A003AF</t>
  </si>
  <si>
    <t>A003AG</t>
  </si>
  <si>
    <t>A003AH</t>
  </si>
  <si>
    <t>A003AJ</t>
  </si>
  <si>
    <t>A003AK</t>
  </si>
  <si>
    <t>A003AL</t>
  </si>
  <si>
    <t>A003AM</t>
  </si>
  <si>
    <t>A003AN</t>
  </si>
  <si>
    <t>3.5.3</t>
  </si>
  <si>
    <t>Change of Occupancy Maintenance (COM)</t>
  </si>
  <si>
    <t>A003AP</t>
  </si>
  <si>
    <t>3.5.10</t>
  </si>
  <si>
    <t>Lint Traps</t>
  </si>
  <si>
    <t>Facility Invetment</t>
  </si>
  <si>
    <t>A004</t>
  </si>
  <si>
    <t>A004AA</t>
  </si>
  <si>
    <t>FRC VRT</t>
  </si>
  <si>
    <t>A005</t>
  </si>
  <si>
    <t>A005AA</t>
  </si>
  <si>
    <t>A005AB</t>
  </si>
  <si>
    <t>A005AC</t>
  </si>
  <si>
    <t>MCSF-BI</t>
  </si>
  <si>
    <t>A006</t>
  </si>
  <si>
    <t>A006AA</t>
  </si>
  <si>
    <t>1501000(MCSF-BI)</t>
  </si>
  <si>
    <t>3.1,3.2,3.3</t>
  </si>
  <si>
    <t>USMC Maximo, ICAP and Tech Library</t>
  </si>
  <si>
    <t>Facility Investment - MCSF-BI</t>
  </si>
  <si>
    <t>1502000(MCSF-BI)</t>
  </si>
  <si>
    <t>A006AD</t>
  </si>
  <si>
    <t>A006AG</t>
  </si>
  <si>
    <t>A006AH</t>
  </si>
  <si>
    <t>Cathodic Protection</t>
  </si>
  <si>
    <t>A006AJ</t>
  </si>
  <si>
    <t>A006AK</t>
  </si>
  <si>
    <t>Facilities, Systems, and Equipment</t>
  </si>
  <si>
    <t>A006AL</t>
  </si>
  <si>
    <t>Irrigation Equipment and Systems</t>
  </si>
  <si>
    <t>Unfired Pressure Vessels (UPVs)</t>
  </si>
  <si>
    <t>Blast, Paint, and Drying Systems</t>
  </si>
  <si>
    <t>Boiler Systems</t>
  </si>
  <si>
    <t>Railroad Signal and Battery House Systems and Equipment</t>
  </si>
  <si>
    <t>Crane and Railroad Trackage</t>
  </si>
  <si>
    <t>Rolling, Sliding, and Overhead Fire Doors</t>
  </si>
  <si>
    <t>3.6.1</t>
  </si>
  <si>
    <t>Lighting Systems</t>
  </si>
  <si>
    <t>3.6.2</t>
  </si>
  <si>
    <t>Corrosion Control</t>
  </si>
  <si>
    <t>3.6.3</t>
  </si>
  <si>
    <t>Roof Maintenance</t>
  </si>
  <si>
    <t>3.6.4</t>
  </si>
  <si>
    <t>Lift Station Maintenance</t>
  </si>
  <si>
    <t>3.6.5</t>
  </si>
  <si>
    <t>Provide and Service Portable Toilets</t>
  </si>
  <si>
    <t>3.6.6</t>
  </si>
  <si>
    <t>3.6.7</t>
  </si>
  <si>
    <t>Locksmith and Key Control Custodian</t>
  </si>
  <si>
    <t>3.6.8</t>
  </si>
  <si>
    <t>Oil Water Separators and Oily Water Collection Points</t>
  </si>
  <si>
    <t>3.6.9</t>
  </si>
  <si>
    <t>Direct Digital Control (DDC) Systems Maintenance, Repairs and Monitoring</t>
  </si>
  <si>
    <t>3.6.10</t>
  </si>
  <si>
    <t>DO</t>
  </si>
  <si>
    <t>Custodial - MCSF-BI</t>
  </si>
  <si>
    <t>1503010(MCSF-BI)</t>
  </si>
  <si>
    <t>Scheduled Services</t>
  </si>
  <si>
    <t>Custodial Service Orders</t>
  </si>
  <si>
    <t>Pest Control - MCSF-BI</t>
  </si>
  <si>
    <t>1503020(MCSF-BI)</t>
  </si>
  <si>
    <t>Scheduled Pest Control Services</t>
  </si>
  <si>
    <t>Pest Control Service Orders</t>
  </si>
  <si>
    <t>Integrated Solid Waste Management - MCSF-BI</t>
  </si>
  <si>
    <t>1503030(MCSF-BI)</t>
  </si>
  <si>
    <t>Grounds Maintenance and Landscaping - MCSF-BI</t>
  </si>
  <si>
    <t>1503050(MCSF-BI)</t>
  </si>
  <si>
    <t>Operational Areas</t>
  </si>
  <si>
    <t>Grounds Maintenance Service Orders</t>
  </si>
  <si>
    <t>Environmental - MCSF-BI</t>
  </si>
  <si>
    <t>1800000(MCSF-BI)</t>
  </si>
  <si>
    <t>Hazardous Material and Hazardous Waste, and Other Regulated Waste (HM/HW/ORW) Management</t>
  </si>
  <si>
    <t>NCIS</t>
  </si>
  <si>
    <t>A007</t>
  </si>
  <si>
    <t>A007AA</t>
  </si>
  <si>
    <t>FLCJ</t>
  </si>
  <si>
    <t>A008</t>
  </si>
  <si>
    <t>A008AC</t>
  </si>
  <si>
    <t>A009</t>
  </si>
  <si>
    <t>A009AC</t>
  </si>
  <si>
    <t>SERMC</t>
  </si>
  <si>
    <t>A010</t>
  </si>
  <si>
    <t>A011AC</t>
  </si>
  <si>
    <t>A012</t>
  </si>
  <si>
    <t>A012AA</t>
  </si>
  <si>
    <t>A012AB</t>
  </si>
  <si>
    <t>NAVSOUTH</t>
  </si>
  <si>
    <t>A013</t>
  </si>
  <si>
    <t>A013AC</t>
  </si>
  <si>
    <t>A013AD</t>
  </si>
  <si>
    <t>A014</t>
  </si>
  <si>
    <t>A014AC</t>
  </si>
  <si>
    <t>A014AD</t>
  </si>
  <si>
    <t>B2517 NSWC PHD</t>
  </si>
  <si>
    <t>A015</t>
  </si>
  <si>
    <t>A015AC</t>
  </si>
  <si>
    <t>EOD DET Mayport</t>
  </si>
  <si>
    <t>Navy Lodge</t>
  </si>
  <si>
    <t>NEX</t>
  </si>
  <si>
    <t>NGIS</t>
  </si>
  <si>
    <t>B2505 USFFC</t>
  </si>
  <si>
    <t>Total Recurring Work:</t>
  </si>
  <si>
    <t>Provide Prices for Recurring Work in accordance with Section C, Spec Item 4</t>
  </si>
  <si>
    <t>Product Name (120 Characters)</t>
  </si>
  <si>
    <t>Description Extended</t>
  </si>
  <si>
    <t>Estimated Quantity</t>
  </si>
  <si>
    <t>A700</t>
  </si>
  <si>
    <t>Unit Priced Labor Hour Work  -  MUST BE NEGOTIATED BY KO.</t>
  </si>
  <si>
    <t>LH</t>
  </si>
  <si>
    <t>A701</t>
  </si>
  <si>
    <t>A702</t>
  </si>
  <si>
    <t>A703</t>
  </si>
  <si>
    <t>A704</t>
  </si>
  <si>
    <t>A705</t>
  </si>
  <si>
    <t>A706</t>
  </si>
  <si>
    <t>Material and Equipment -  MUST BE NEGOTIATED BY KO.</t>
  </si>
  <si>
    <t>A707</t>
  </si>
  <si>
    <t>Category I Calls -  MUST BE NEGOTIATED BY KO.</t>
  </si>
  <si>
    <t>A708</t>
  </si>
  <si>
    <t>Category II Calls -  MUST BE NEGOTIATED BY KO.</t>
  </si>
  <si>
    <t>A709</t>
  </si>
  <si>
    <t>Category III Calls -  MUST BE NEGOTIATED BY KO.</t>
  </si>
  <si>
    <t>A710</t>
  </si>
  <si>
    <t>The Contractor shall carefully remove and dispose of damaged interior finishes to include drywall, carpeting, etc. to prevent further damage or mold/mildew development in the event of water intrusion into a facility. In addition to the removal of the interior finishes, the Contractor shall dry the effected areas by providing dehumidifaction and airflow to remove any moisture from the space.
Work shall begin within 12 hours of notification.
Task order completion times will be specified on each task order.</t>
  </si>
  <si>
    <t>SF</t>
  </si>
  <si>
    <t>A711</t>
  </si>
  <si>
    <t>The Contractor shall provide all labor, material, and equipment to perform temporary roof repairs (i.e. tarping, roof patches, polyethylene film,  etc.) to minimize water intrusion into a facility. Roof repairs shall be sufficient to last for a period no less than six months before requiring replacement or further repair.Within six months from the date of the original installation, the Contractor shall provide repairs and maintenance of the temporary repair at no additional cost to the Government. 
Work shall begin within 12 hours of notification.
Task order completion times will be specified on each task order.</t>
  </si>
  <si>
    <t>A712</t>
  </si>
  <si>
    <t>Includes monthly rental rate, delivery, set-up, periodic monitoring, and demobilization, as well as ancillary components necessary to operate (such as but not limited to: hoses, flanges, fittings, transformers, power cables, temporary ducting, etc.). Work shall be delivered within 12 hours of receipt of order.
Work shall be delivered within 12 hours of receipt of order.</t>
  </si>
  <si>
    <t>A713</t>
  </si>
  <si>
    <t>Includes monthly rental rate, delivery, set-up, periodic monitoring, and demobilization, as well as ancillary components necessary to operate (such as but not limited to: hoses, flanges, fittings, transformers, power cables, temporary ducting, etc.). Work shall be delivered within 12 hours of receipt of order. 
Work shall be delivered within 12 hours of receipt of order.</t>
  </si>
  <si>
    <t>A714</t>
  </si>
  <si>
    <t>The Contractor shall recover refrigerant from refrigerators in accordance with Section C, Annex 0200000, Spec Item 2.10.2.1
Work shall be completed within five days of receipt of order.</t>
  </si>
  <si>
    <t>A715</t>
  </si>
  <si>
    <t>The Contractor shall provide unscheduled bus and van services normally during Government regular working hours but also during weekends or holidays.  Services are frequently required after Government regular working hours.  Historical data on the approximate total waiting hours per year is estimated at 1,200 hours per year.  Task orders will be provided to the Contractor at least 24 hours in advance, except for emergency of the required services, and will specify the estimated number of dispatch hours and passengers, required departure time and location, destination, and estimated departure time from destination for return trip.  BSVE shall leave specified locations on time or no later than 30 minutes  after the specified departure time.</t>
  </si>
  <si>
    <t>HR</t>
  </si>
  <si>
    <t>A716</t>
  </si>
  <si>
    <t>A717</t>
  </si>
  <si>
    <t xml:space="preserve">The Contractor shall provide qualified operator service to unscheduled BSVE interstate operations in support of emergency disaster operations.  This service may be required during Government regular working hours but also during weekends or holidays.  In addition, emergency services may be required after Government regular working hours.  
Task orders will be provided to the Contractor six hours in advance during working hours or 12 hours in advance during non-working hours for required specified emergency services. Operator services may be cancelled at the discretion of the KO.
Work shall be completed within time specified on the task order.     </t>
  </si>
  <si>
    <t>A718</t>
  </si>
  <si>
    <t xml:space="preserve">The Contractor shall provide light, medium, and heavy duty trucking service up to 10,000 pounds GVW and above.  This service shall include semi-trailers, tractors and full trailers, trucks with dolly converters and straight trucks. Cargo loads may be oversized and can include construction equipment, parts or pieces of equipment and others miscellaneous equipment. 
The Contractor shall obtain all necessary license and permits required by the states to travel public highways. 
Work shall be completed within time specified on the task order.     </t>
  </si>
  <si>
    <t>Total Non-recurring Work - Base Period:</t>
  </si>
  <si>
    <t>Water</t>
  </si>
  <si>
    <t>Preventive Maintenance (PM)</t>
  </si>
  <si>
    <t>Inspection, Testing, and Certification of Fire Hydrants</t>
  </si>
  <si>
    <t>C700</t>
  </si>
  <si>
    <t>C701</t>
  </si>
  <si>
    <t>C702</t>
  </si>
  <si>
    <t>C703</t>
  </si>
  <si>
    <t>C704</t>
  </si>
  <si>
    <t>C705</t>
  </si>
  <si>
    <t>C706</t>
  </si>
  <si>
    <t>C707</t>
  </si>
  <si>
    <t>C708</t>
  </si>
  <si>
    <t>C709</t>
  </si>
  <si>
    <t>C710</t>
  </si>
  <si>
    <t>C711</t>
  </si>
  <si>
    <t>C712</t>
  </si>
  <si>
    <t>C713</t>
  </si>
  <si>
    <t>C714</t>
  </si>
  <si>
    <t>C715</t>
  </si>
  <si>
    <t>C716</t>
  </si>
  <si>
    <t>C717</t>
  </si>
  <si>
    <t>C718</t>
  </si>
  <si>
    <t>Hours</t>
  </si>
  <si>
    <t>CNRSE</t>
  </si>
  <si>
    <t>PMS 525</t>
  </si>
  <si>
    <t>PM</t>
  </si>
  <si>
    <t>Labor Hours</t>
  </si>
  <si>
    <t>RM</t>
  </si>
  <si>
    <t>SC</t>
  </si>
  <si>
    <t>Family Housing</t>
  </si>
  <si>
    <t>LG</t>
  </si>
  <si>
    <t>Unit</t>
  </si>
  <si>
    <t>Package</t>
  </si>
  <si>
    <t>CU</t>
  </si>
  <si>
    <t>Water Treatment</t>
  </si>
  <si>
    <t>Acre</t>
  </si>
  <si>
    <t>SY</t>
  </si>
  <si>
    <t>Each</t>
  </si>
  <si>
    <t>Drum</t>
  </si>
  <si>
    <t>AC</t>
  </si>
  <si>
    <t>FR</t>
  </si>
  <si>
    <t>Frame</t>
  </si>
  <si>
    <t>PD</t>
  </si>
  <si>
    <t>Pad</t>
  </si>
  <si>
    <t>AM</t>
  </si>
  <si>
    <t>Ampoule</t>
  </si>
  <si>
    <t>FT</t>
  </si>
  <si>
    <t>Foot</t>
  </si>
  <si>
    <t>PG</t>
  </si>
  <si>
    <t>AT</t>
  </si>
  <si>
    <t>Assortment</t>
  </si>
  <si>
    <t>FV</t>
  </si>
  <si>
    <t>Five</t>
  </si>
  <si>
    <t>PI</t>
  </si>
  <si>
    <t>Pillow</t>
  </si>
  <si>
    <t>AY</t>
  </si>
  <si>
    <t>Assembly</t>
  </si>
  <si>
    <t>FY</t>
  </si>
  <si>
    <t>Fifty</t>
  </si>
  <si>
    <t>Plate</t>
  </si>
  <si>
    <t>BA</t>
  </si>
  <si>
    <t>Ball</t>
  </si>
  <si>
    <t>GG</t>
  </si>
  <si>
    <t>Great Gross</t>
  </si>
  <si>
    <t>PR</t>
  </si>
  <si>
    <t>Pair</t>
  </si>
  <si>
    <t>BD</t>
  </si>
  <si>
    <t>Bundle</t>
  </si>
  <si>
    <t>GI</t>
  </si>
  <si>
    <t>Gill</t>
  </si>
  <si>
    <t>PT</t>
  </si>
  <si>
    <t>Pint</t>
  </si>
  <si>
    <t>BE</t>
  </si>
  <si>
    <t>Bale</t>
  </si>
  <si>
    <t>GL</t>
  </si>
  <si>
    <t>Gallon</t>
  </si>
  <si>
    <t>PX</t>
  </si>
  <si>
    <t>Pellet</t>
  </si>
  <si>
    <t>BF</t>
  </si>
  <si>
    <t>Board Foot</t>
  </si>
  <si>
    <t>GM</t>
  </si>
  <si>
    <t>Gram</t>
  </si>
  <si>
    <t>PZ</t>
  </si>
  <si>
    <t>Packet</t>
  </si>
  <si>
    <t>BG</t>
  </si>
  <si>
    <t>Bag</t>
  </si>
  <si>
    <t>GN</t>
  </si>
  <si>
    <t>Grain</t>
  </si>
  <si>
    <t>QT</t>
  </si>
  <si>
    <t>Quart</t>
  </si>
  <si>
    <t>BK</t>
  </si>
  <si>
    <t>Book</t>
  </si>
  <si>
    <t>GP</t>
  </si>
  <si>
    <t>Group</t>
  </si>
  <si>
    <t>RA</t>
  </si>
  <si>
    <t>Ration</t>
  </si>
  <si>
    <t>BL</t>
  </si>
  <si>
    <t>Barrel</t>
  </si>
  <si>
    <t>GR</t>
  </si>
  <si>
    <t>Gross</t>
  </si>
  <si>
    <t>RD</t>
  </si>
  <si>
    <t>Round</t>
  </si>
  <si>
    <t>BO</t>
  </si>
  <si>
    <t>Bolt</t>
  </si>
  <si>
    <t>HD</t>
  </si>
  <si>
    <t>Hundred</t>
  </si>
  <si>
    <t>RL</t>
  </si>
  <si>
    <t>Reel</t>
  </si>
  <si>
    <t>BQ</t>
  </si>
  <si>
    <t>Briquet</t>
  </si>
  <si>
    <t>HF</t>
  </si>
  <si>
    <t>Hundred Feet</t>
  </si>
  <si>
    <t>Ream</t>
  </si>
  <si>
    <t>BR</t>
  </si>
  <si>
    <t>Bar</t>
  </si>
  <si>
    <t>HK</t>
  </si>
  <si>
    <t>Hank</t>
  </si>
  <si>
    <t>RO</t>
  </si>
  <si>
    <t>Roll</t>
  </si>
  <si>
    <t>BT</t>
  </si>
  <si>
    <t>Bottle</t>
  </si>
  <si>
    <t>HP</t>
  </si>
  <si>
    <t>Hundred Pounds</t>
  </si>
  <si>
    <t>RX</t>
  </si>
  <si>
    <t>Thousand Rounds</t>
  </si>
  <si>
    <t>BX</t>
  </si>
  <si>
    <t>Box</t>
  </si>
  <si>
    <t>SB</t>
  </si>
  <si>
    <t>Square Mile</t>
  </si>
  <si>
    <t>CA</t>
  </si>
  <si>
    <t>Cartridge</t>
  </si>
  <si>
    <t>HS</t>
  </si>
  <si>
    <t>Hundred Square Feet</t>
  </si>
  <si>
    <t>Square Centimeters</t>
  </si>
  <si>
    <t>CB</t>
  </si>
  <si>
    <t>Carboy</t>
  </si>
  <si>
    <t>HW</t>
  </si>
  <si>
    <t>Hundred Weight</t>
  </si>
  <si>
    <t>SD</t>
  </si>
  <si>
    <t>Skid</t>
  </si>
  <si>
    <t>CC</t>
  </si>
  <si>
    <t>Cubic Centimeter</t>
  </si>
  <si>
    <t>HY</t>
  </si>
  <si>
    <t>Hundred Yards</t>
  </si>
  <si>
    <t>SE</t>
  </si>
  <si>
    <t>Set</t>
  </si>
  <si>
    <t>CD</t>
  </si>
  <si>
    <t>Cubic Yard</t>
  </si>
  <si>
    <t>IN</t>
  </si>
  <si>
    <t>Inch</t>
  </si>
  <si>
    <t>Square Foot</t>
  </si>
  <si>
    <t>CE</t>
  </si>
  <si>
    <t>Cone</t>
  </si>
  <si>
    <t>JR</t>
  </si>
  <si>
    <t>Jar</t>
  </si>
  <si>
    <t>SH</t>
  </si>
  <si>
    <t>Sheet</t>
  </si>
  <si>
    <t>CF</t>
  </si>
  <si>
    <t>Cubic Foot</t>
  </si>
  <si>
    <t>KG</t>
  </si>
  <si>
    <t>Kilogram</t>
  </si>
  <si>
    <t>SI</t>
  </si>
  <si>
    <t>Square Inch</t>
  </si>
  <si>
    <t>CG</t>
  </si>
  <si>
    <t>Centigram</t>
  </si>
  <si>
    <t>KM</t>
  </si>
  <si>
    <t>Kilometer</t>
  </si>
  <si>
    <t>SK</t>
  </si>
  <si>
    <t>Skein</t>
  </si>
  <si>
    <t>CI</t>
  </si>
  <si>
    <t>Cubic Inch</t>
  </si>
  <si>
    <t>KR</t>
  </si>
  <si>
    <t>Carat</t>
  </si>
  <si>
    <t>SL</t>
  </si>
  <si>
    <t>Spool</t>
  </si>
  <si>
    <t>CK</t>
  </si>
  <si>
    <t>Cake</t>
  </si>
  <si>
    <t>KT</t>
  </si>
  <si>
    <t>Kit</t>
  </si>
  <si>
    <t>SM</t>
  </si>
  <si>
    <t>Square Meter</t>
  </si>
  <si>
    <t>CL</t>
  </si>
  <si>
    <t>Coil</t>
  </si>
  <si>
    <t>LB</t>
  </si>
  <si>
    <t>Pound</t>
  </si>
  <si>
    <t>SO</t>
  </si>
  <si>
    <t>Shot</t>
  </si>
  <si>
    <t>CM</t>
  </si>
  <si>
    <t>Centimeter</t>
  </si>
  <si>
    <t>LF</t>
  </si>
  <si>
    <t>Linear Foot</t>
  </si>
  <si>
    <t>SP</t>
  </si>
  <si>
    <t>Strip</t>
  </si>
  <si>
    <t>CN</t>
  </si>
  <si>
    <t>Can</t>
  </si>
  <si>
    <t>Length</t>
  </si>
  <si>
    <t>SQ</t>
  </si>
  <si>
    <t>Square</t>
  </si>
  <si>
    <t>CO</t>
  </si>
  <si>
    <t>Container</t>
  </si>
  <si>
    <t>SX</t>
  </si>
  <si>
    <t>Stick</t>
  </si>
  <si>
    <t>Curie</t>
  </si>
  <si>
    <t>LI</t>
  </si>
  <si>
    <t>Liter</t>
  </si>
  <si>
    <t>Square Yard</t>
  </si>
  <si>
    <t>CY</t>
  </si>
  <si>
    <t>Cylinder</t>
  </si>
  <si>
    <t>LM</t>
  </si>
  <si>
    <t>Linear Meter</t>
  </si>
  <si>
    <t>TC</t>
  </si>
  <si>
    <t>Truckload</t>
  </si>
  <si>
    <t>CZ</t>
  </si>
  <si>
    <t>Cubic Meter</t>
  </si>
  <si>
    <t>LO</t>
  </si>
  <si>
    <t>Lot</t>
  </si>
  <si>
    <t>TD</t>
  </si>
  <si>
    <t>Twenty-Four</t>
  </si>
  <si>
    <t>DA</t>
  </si>
  <si>
    <t>Days</t>
  </si>
  <si>
    <t>LS</t>
  </si>
  <si>
    <t>Lump Sum</t>
  </si>
  <si>
    <t>TE</t>
  </si>
  <si>
    <t>Ten</t>
  </si>
  <si>
    <t>DC</t>
  </si>
  <si>
    <t>Decagram</t>
  </si>
  <si>
    <t>LY</t>
  </si>
  <si>
    <t>Linear Yard</t>
  </si>
  <si>
    <t>TF</t>
  </si>
  <si>
    <t>Twenty-Five</t>
  </si>
  <si>
    <t>DE</t>
  </si>
  <si>
    <t>Decimeter</t>
  </si>
  <si>
    <t>MC</t>
  </si>
  <si>
    <t>Thousand Cubic Feet</t>
  </si>
  <si>
    <t>TG</t>
  </si>
  <si>
    <t>Gross Ton</t>
  </si>
  <si>
    <t>DG</t>
  </si>
  <si>
    <t>Decigram</t>
  </si>
  <si>
    <t>ME</t>
  </si>
  <si>
    <t>Meal</t>
  </si>
  <si>
    <t>TN</t>
  </si>
  <si>
    <t>Ton</t>
  </si>
  <si>
    <t>DL</t>
  </si>
  <si>
    <t>Deciliter</t>
  </si>
  <si>
    <t>MF</t>
  </si>
  <si>
    <t>Thousand Feet</t>
  </si>
  <si>
    <t>TO</t>
  </si>
  <si>
    <t>Troy Ounce</t>
  </si>
  <si>
    <t>DM</t>
  </si>
  <si>
    <t>Dram</t>
  </si>
  <si>
    <t>MG</t>
  </si>
  <si>
    <t>Milligram</t>
  </si>
  <si>
    <t>TS</t>
  </si>
  <si>
    <t>Thirty-Six</t>
  </si>
  <si>
    <t>Dollars</t>
  </si>
  <si>
    <t>MI</t>
  </si>
  <si>
    <t>Mile</t>
  </si>
  <si>
    <t>TT</t>
  </si>
  <si>
    <t>Tablet</t>
  </si>
  <si>
    <t>DR</t>
  </si>
  <si>
    <t>ML</t>
  </si>
  <si>
    <t>Milliliter</t>
  </si>
  <si>
    <t>TU</t>
  </si>
  <si>
    <t>Tube</t>
  </si>
  <si>
    <t>DW</t>
  </si>
  <si>
    <t>Pennyweight</t>
  </si>
  <si>
    <t>MM</t>
  </si>
  <si>
    <t>Millimeter</t>
  </si>
  <si>
    <t>UN</t>
  </si>
  <si>
    <t>DZ</t>
  </si>
  <si>
    <t>Dozen</t>
  </si>
  <si>
    <t>Months</t>
  </si>
  <si>
    <t>US</t>
  </si>
  <si>
    <t>US U.S.P Unit</t>
  </si>
  <si>
    <t>MR</t>
  </si>
  <si>
    <t>Meter</t>
  </si>
  <si>
    <t>VI</t>
  </si>
  <si>
    <t>Vial</t>
  </si>
  <si>
    <t>EN</t>
  </si>
  <si>
    <t>Each Collection</t>
  </si>
  <si>
    <t>MX</t>
  </si>
  <si>
    <t>Thousand</t>
  </si>
  <si>
    <t>WK</t>
  </si>
  <si>
    <t>Week</t>
  </si>
  <si>
    <t>EX</t>
  </si>
  <si>
    <t>Exposure</t>
  </si>
  <si>
    <t>OT</t>
  </si>
  <si>
    <t>Outfit</t>
  </si>
  <si>
    <t>YD</t>
  </si>
  <si>
    <t>Yard</t>
  </si>
  <si>
    <t>FD</t>
  </si>
  <si>
    <t>Fold</t>
  </si>
  <si>
    <t>OZ</t>
  </si>
  <si>
    <t>Ounce</t>
  </si>
  <si>
    <t>YR</t>
  </si>
  <si>
    <t>Years</t>
  </si>
  <si>
    <t>0600000</t>
  </si>
  <si>
    <t>Emergency, Urgent and Routine (E/U/R) Work</t>
  </si>
  <si>
    <t>Recurring Work ISWM</t>
  </si>
  <si>
    <t>Pump and Clean Sewage Holding Tanks</t>
  </si>
  <si>
    <t>3.3.14</t>
  </si>
  <si>
    <t>Crane Trackage</t>
  </si>
  <si>
    <t>3.4.6</t>
  </si>
  <si>
    <t xml:space="preserve">Street Sweeping </t>
  </si>
  <si>
    <t>A006AE</t>
  </si>
  <si>
    <t>A006AF</t>
  </si>
  <si>
    <t>A001AB</t>
  </si>
  <si>
    <t>Project Work Orders</t>
  </si>
  <si>
    <t>A003AA</t>
  </si>
  <si>
    <t>A003AC</t>
  </si>
  <si>
    <t xml:space="preserve">Customer </t>
  </si>
  <si>
    <t>Funding Source</t>
  </si>
  <si>
    <t>A003AQ</t>
  </si>
  <si>
    <t>A003AR</t>
  </si>
  <si>
    <t>A003AT</t>
  </si>
  <si>
    <t>A011</t>
  </si>
  <si>
    <t>A003AS</t>
  </si>
  <si>
    <t>A001AT</t>
  </si>
  <si>
    <t>A001AH</t>
  </si>
  <si>
    <t>A001AS</t>
  </si>
  <si>
    <t>A001AG</t>
  </si>
  <si>
    <t>A001AC</t>
  </si>
  <si>
    <t>A001AD</t>
  </si>
  <si>
    <t>A001AE</t>
  </si>
  <si>
    <t>A001AF</t>
  </si>
  <si>
    <t>A001AN</t>
  </si>
  <si>
    <t>A001AV</t>
  </si>
  <si>
    <t>A001AU</t>
  </si>
  <si>
    <t>A001AL</t>
  </si>
  <si>
    <t>A001AJ</t>
  </si>
  <si>
    <t>A001AK</t>
  </si>
  <si>
    <t>A001AM</t>
  </si>
  <si>
    <t>A001AP</t>
  </si>
  <si>
    <t>A001AQ</t>
  </si>
  <si>
    <t>A001AY</t>
  </si>
  <si>
    <t>A001AR</t>
  </si>
  <si>
    <t>A001AW</t>
  </si>
  <si>
    <t>A001AX</t>
  </si>
  <si>
    <t>A001AZ</t>
  </si>
  <si>
    <t>A001BA</t>
  </si>
  <si>
    <t>A001BB</t>
  </si>
  <si>
    <t>A001BC</t>
  </si>
  <si>
    <t>A001BD</t>
  </si>
  <si>
    <t>A001BE</t>
  </si>
  <si>
    <t>A001BF</t>
  </si>
  <si>
    <t>A001BG</t>
  </si>
  <si>
    <t>A001BH</t>
  </si>
  <si>
    <t>A001BJ</t>
  </si>
  <si>
    <t>A001BK</t>
  </si>
  <si>
    <t>A001BL</t>
  </si>
  <si>
    <t>A001BM</t>
  </si>
  <si>
    <t>A001BN</t>
  </si>
  <si>
    <t>A001BP</t>
  </si>
  <si>
    <t>A001BQ</t>
  </si>
  <si>
    <t>A001BR</t>
  </si>
  <si>
    <t>A001BS</t>
  </si>
  <si>
    <t>A001BT</t>
  </si>
  <si>
    <t>A001BU</t>
  </si>
  <si>
    <t>A001BV</t>
  </si>
  <si>
    <t>A001BW</t>
  </si>
  <si>
    <t>A001BX</t>
  </si>
  <si>
    <t>A001BY</t>
  </si>
  <si>
    <t>A001BZ</t>
  </si>
  <si>
    <t>A001CA</t>
  </si>
  <si>
    <t>A001CB</t>
  </si>
  <si>
    <t>A001CC</t>
  </si>
  <si>
    <t>A001CD</t>
  </si>
  <si>
    <t>A001CE</t>
  </si>
  <si>
    <t>A001CF</t>
  </si>
  <si>
    <t>A001CG</t>
  </si>
  <si>
    <t>A001CH</t>
  </si>
  <si>
    <t>A001CJ</t>
  </si>
  <si>
    <t>A001CK</t>
  </si>
  <si>
    <t>A001CL</t>
  </si>
  <si>
    <t>A001CM</t>
  </si>
  <si>
    <t>A001CN</t>
  </si>
  <si>
    <t>A001CP</t>
  </si>
  <si>
    <t>A001CQ</t>
  </si>
  <si>
    <t>A001CR</t>
  </si>
  <si>
    <t>A001CS</t>
  </si>
  <si>
    <t>A001CT</t>
  </si>
  <si>
    <t>A001CU</t>
  </si>
  <si>
    <t>A001CV</t>
  </si>
  <si>
    <t>A001CW</t>
  </si>
  <si>
    <t>A001CX</t>
  </si>
  <si>
    <t>A001CY</t>
  </si>
  <si>
    <t>A001CZ</t>
  </si>
  <si>
    <t>A001DA</t>
  </si>
  <si>
    <t>A001DB</t>
  </si>
  <si>
    <t>A001DC</t>
  </si>
  <si>
    <t>A003AU</t>
  </si>
  <si>
    <t>A003AV</t>
  </si>
  <si>
    <t>A003AW</t>
  </si>
  <si>
    <t>A003AX</t>
  </si>
  <si>
    <t>A003AY</t>
  </si>
  <si>
    <t>A003AZ</t>
  </si>
  <si>
    <t>A003BA</t>
  </si>
  <si>
    <t>A003BB</t>
  </si>
  <si>
    <t>A003BC</t>
  </si>
  <si>
    <t>A003BD</t>
  </si>
  <si>
    <t>A003BE</t>
  </si>
  <si>
    <t>A003BF</t>
  </si>
  <si>
    <t>A003BG</t>
  </si>
  <si>
    <t>A003BH</t>
  </si>
  <si>
    <t>A003BJ</t>
  </si>
  <si>
    <t>A003BK</t>
  </si>
  <si>
    <t>A003BL</t>
  </si>
  <si>
    <t>A003BM</t>
  </si>
  <si>
    <t>A003BN</t>
  </si>
  <si>
    <t>A003BP</t>
  </si>
  <si>
    <t>A003BQ</t>
  </si>
  <si>
    <t>A003BR</t>
  </si>
  <si>
    <t>A003BS</t>
  </si>
  <si>
    <t>A003BT</t>
  </si>
  <si>
    <t>A003BU</t>
  </si>
  <si>
    <t>A003BV</t>
  </si>
  <si>
    <t>A003BW</t>
  </si>
  <si>
    <t>A003BX</t>
  </si>
  <si>
    <t>A003BY</t>
  </si>
  <si>
    <t>A003BZ</t>
  </si>
  <si>
    <t>A005AD</t>
  </si>
  <si>
    <t>A006AB</t>
  </si>
  <si>
    <t>A006AC</t>
  </si>
  <si>
    <t>A007AB</t>
  </si>
  <si>
    <t>A008AA</t>
  </si>
  <si>
    <t>A008AB</t>
  </si>
  <si>
    <t>A009AA</t>
  </si>
  <si>
    <t>A009AB</t>
  </si>
  <si>
    <t>A010AA</t>
  </si>
  <si>
    <t>A010AB</t>
  </si>
  <si>
    <t>A011AA</t>
  </si>
  <si>
    <t>A011AB</t>
  </si>
  <si>
    <t>A011AD</t>
  </si>
  <si>
    <t>A013AA</t>
  </si>
  <si>
    <t>A013AB</t>
  </si>
  <si>
    <t>A014AA</t>
  </si>
  <si>
    <t>A014AB</t>
  </si>
  <si>
    <t>A015AA</t>
  </si>
  <si>
    <t xml:space="preserve">The Contractor shall perfrome shore cleanup, following the MCSF-BI Integrated Natural Resources Management Plan (INRMP).  The shoreline clean up covers approximately 5 acres, and includes removal of debris, separation of recycling and not recycling materials, and proper disposal of the removed materials.
The Contractor shall submit a report to the contracting Officer within 2 days after each service.                 
                                                                                                                                                                     Work shall begin within 12 hours of notification.               </t>
  </si>
  <si>
    <t>CLIN 0001 - Recurring Work - Base Period</t>
  </si>
  <si>
    <t>CLIN 0002 - Non-Recurring Work - Base Period</t>
  </si>
  <si>
    <t>CLIN 0003 - UT Recurring Work - Base Period</t>
  </si>
  <si>
    <t>Urgent and Routine Project Work Orders</t>
  </si>
  <si>
    <t>Category IV Calls -  MUST BE NEGOTIATED BY KO.</t>
  </si>
  <si>
    <t>ELIN E017</t>
  </si>
  <si>
    <t>E017</t>
  </si>
  <si>
    <t>E017AA</t>
  </si>
  <si>
    <t>E017AC</t>
  </si>
  <si>
    <t>E017AE</t>
  </si>
  <si>
    <t>E017AF</t>
  </si>
  <si>
    <t>ELIN F017</t>
  </si>
  <si>
    <t>F017</t>
  </si>
  <si>
    <t>F017AA</t>
  </si>
  <si>
    <t>F017AC</t>
  </si>
  <si>
    <t>F017AE</t>
  </si>
  <si>
    <t>F017AF</t>
  </si>
  <si>
    <t>Category V Calls -  MUST BE NEGOTIATED BY KO.</t>
  </si>
  <si>
    <t>Category VI Calls -  MUST BE NEGOTIATED BY KO.</t>
  </si>
  <si>
    <t>Category VII Calls -  MUST BE NEGOTIATED BY KO.</t>
  </si>
  <si>
    <t xml:space="preserve">The Contractor shall perform Category I Calls  to accomplish any work identified within the entire boundary of the installation and will include a wide variety of work.
Category I Calls shall be completed within two weeks of receipt of call order, unless otherwise agreed to by the customer and contractor and annotated on the CAT call request.
As part of the Category I Call, the Contractor has full responsibility for any work identified up to the Category I Call Threshold of $5,000 in direct labor and direct material, per Category I Call. 
A Blanket Task Order (BTO) may be issued on a DD Form 1155 with a Not To Exceed (NTE) quantity and value for Non-recurring Work Category Calls. </t>
  </si>
  <si>
    <t xml:space="preserve">The Contractor shall perform Category II Calls  to accomplish any work identified within the entire boundary of the installation and will include a wide variety of work.
Category II Calls shall be completed within three weeks of receipt of call order, unless otherwise agreed to by the customer and contractor and annotated on the CAT call request.
As part of the Category II Call, the Contractor has full responsibility for any work identified up to the Category II Call Threshold of $7,500 in direct labor and direct material, per Category II Call. 
A Blanket Task Order (BTO) may be issued on a DD Form 1155 with a Not To Exceed (NTE) quantity and value for Non-recurring Work Category Calls. </t>
  </si>
  <si>
    <t xml:space="preserve">The Contractor shall remove oily wastewater/rainwater from all drydock and/or dry storage watercraft as well as tactic/non tactical vehicles and equipment to ensure waste is properly collected for disposal (up to 4000 gal each service). All oily wastewater is transported to an off-site properly certified oily wastewater treatment facility immediately after removal for processing.                                               
The Contractor shall submit a report to the contracting Officer within 2 days after each service.                 
                                                                                                                                                                         Work shall begin within 12 hours of notification.               </t>
  </si>
  <si>
    <t xml:space="preserve">The Contractor shall perform Category III Calls  to accomplish any work identified within the entire boundary of the installation and will include a wide variety of work.
Category III Calls shall be completed within 30 days of receipt of call order, unless otherwise agreed to by the customer and contractor and annotated on the CAT call request.
As part of the Category III Call, the Contractor has full responsibility for any work identified up to the Category III Call Threshold of $10,000 in direct labor and direct material, per Category III Call. 
A Blanket Task Order (BTO) may be issued on a DD Form 1155 with a Not To Exceed (NTE) quantity and value for Non-recurring Work Category Calls. </t>
  </si>
  <si>
    <t xml:space="preserve">The Contractor shall perform Category IV Calls  to accomplish any work identified within the entire boundary of the installation and will include a wide variety of work.
Category IV Calls shall be completed within 30 days of receipt of call order, unless otherwise agreed to by the customer and contractor and annotated on the CAT call request.
As part of the Category IV Call, the Contractor has full responsibility for any work identified up to the Category IV Call Threshold of $12,500 in direct labor and direct material, per Category IV Call. 
A Blanket Task Order (BTO) may be issued on a DD Form 1155 with a Not To Exceed (NTE) quantity and value for Non-recurring Work Category Calls. </t>
  </si>
  <si>
    <t xml:space="preserve">The Contractor shall perform Category V Calls  to accomplish any work identified within the entire boundary of the installation and will include a wide variety of work.
Category V Calls shall be completed within 30 days of receipt of call order, unless otherwise agreed to by the customer and contractor and annotated on the CAT call request.
As part of the Category V Call, the Contractor has full responsibility for any work identified up to the Category V Call Threshold of $15,000 in direct labor and direct material, per Category V Call. 
A Blanket Task Order (BTO) may be issued on a DD Form 1155 with a Not To Exceed (NTE) quantity and value for Non-recurring Work Category Calls. </t>
  </si>
  <si>
    <t xml:space="preserve">The Contractor shall perform Category VI Calls  to accomplish any work identified within the entire boundary of the installation and will include a wide variety of work.
Category VI Calls shall be completed within 30 days of receipt of call order, unless otherwise agreed to by the customer and contractor and annotated on the CAT call request.
As part of the Category VI Call, the Contractor has full responsibility for any work identified up to the Category VI Call Threshold of $17,500 in direct labor and direct material, per Category VI Call. 
A Blanket Task Order (BTO) may be issued on a DD Form 1155 with a Not To Exceed (NTE) quantity and value for Non-recurring Work Category Calls. </t>
  </si>
  <si>
    <t xml:space="preserve">The Contractor shall perform Category VII Calls  to accomplish any work identified within the entire boundary of the installation and will include a wide variety of work.
Category VII Calls shall be completed within 30 days of receipt of call order, unless otherwise agreed to by the customer and contractor and annotated on the CAT call request.
As part of the Category VII Call, the Contractor has full responsibility for any work identified up to the Category VII Call Threshold of $20,000 in direct labor and direct material, per Category VII Call. 
A Blanket Task Order (BTO) may be issued on a DD Form 1155 with a Not To Exceed (NTE) quantity and value for Non-recurring Work Category Calls. </t>
  </si>
  <si>
    <t>Contract No.: N6945025R0003</t>
  </si>
  <si>
    <t>CLIN 0005 - Non-Recurring Work - Option Period 1</t>
  </si>
  <si>
    <t>CLIN 0008 - Non-Recurring Work - Option Period 2</t>
  </si>
  <si>
    <t>CLIN 0011 - Non-Recurring Work - Option Period 3</t>
  </si>
  <si>
    <t>CLIN 0014 - Non-Recurring Work - Option Period 4</t>
  </si>
  <si>
    <t>CLIN 0017 - Non-Recurring Work - Option Period 5</t>
  </si>
  <si>
    <t>CLIN 0020 - Non-Recurring Work - Option Period 6</t>
  </si>
  <si>
    <t>CLIN 0023 - Non-Recurring Work - Option Period 7</t>
  </si>
  <si>
    <t>The Contractor shall provide unscheduled bus and van services normally during Government regular working hours but also during weekends or holidays.  Services are frequently required after Government regular working hours. Task orders will be provided to the Contractor at least 24 hours in advance, except for emergency of the required services, and will specify the estimated number of dispatch hours and passengers, required departure time and location, destination, and estimated departure time from destination for return trip.  BSVE shall leave specified locations on time or no later than 30 minutes  after the specified departure time.</t>
  </si>
  <si>
    <t>B700</t>
  </si>
  <si>
    <t>B701</t>
  </si>
  <si>
    <t>B702</t>
  </si>
  <si>
    <t>B703</t>
  </si>
  <si>
    <t>B704</t>
  </si>
  <si>
    <t>B705</t>
  </si>
  <si>
    <t>B706</t>
  </si>
  <si>
    <t>B707</t>
  </si>
  <si>
    <t>B708</t>
  </si>
  <si>
    <t>B709</t>
  </si>
  <si>
    <t>B710</t>
  </si>
  <si>
    <t>B711</t>
  </si>
  <si>
    <t>B712</t>
  </si>
  <si>
    <t>B713</t>
  </si>
  <si>
    <t>B714</t>
  </si>
  <si>
    <t>B715</t>
  </si>
  <si>
    <t>B716</t>
  </si>
  <si>
    <t>B717</t>
  </si>
  <si>
    <t>B718</t>
  </si>
  <si>
    <t>D700</t>
  </si>
  <si>
    <t>D701</t>
  </si>
  <si>
    <t>D702</t>
  </si>
  <si>
    <t>D703</t>
  </si>
  <si>
    <t>D704</t>
  </si>
  <si>
    <t>D705</t>
  </si>
  <si>
    <t>D706</t>
  </si>
  <si>
    <t>D707</t>
  </si>
  <si>
    <t>D708</t>
  </si>
  <si>
    <t>D709</t>
  </si>
  <si>
    <t>D710</t>
  </si>
  <si>
    <t>D711</t>
  </si>
  <si>
    <t>D712</t>
  </si>
  <si>
    <t>D713</t>
  </si>
  <si>
    <t>D714</t>
  </si>
  <si>
    <t>D715</t>
  </si>
  <si>
    <t>D716</t>
  </si>
  <si>
    <t>D717</t>
  </si>
  <si>
    <t>D718</t>
  </si>
  <si>
    <t>E700</t>
  </si>
  <si>
    <t>E701</t>
  </si>
  <si>
    <t>E702</t>
  </si>
  <si>
    <t>E703</t>
  </si>
  <si>
    <t>E704</t>
  </si>
  <si>
    <t>E705</t>
  </si>
  <si>
    <t>E706</t>
  </si>
  <si>
    <t>E707</t>
  </si>
  <si>
    <t>E708</t>
  </si>
  <si>
    <t>E709</t>
  </si>
  <si>
    <t>E710</t>
  </si>
  <si>
    <t>E711</t>
  </si>
  <si>
    <t>E712</t>
  </si>
  <si>
    <t>E713</t>
  </si>
  <si>
    <t>E714</t>
  </si>
  <si>
    <t>E715</t>
  </si>
  <si>
    <t>E716</t>
  </si>
  <si>
    <t>E717</t>
  </si>
  <si>
    <t>E718</t>
  </si>
  <si>
    <t>F700</t>
  </si>
  <si>
    <t>F701</t>
  </si>
  <si>
    <t>F702</t>
  </si>
  <si>
    <t>F703</t>
  </si>
  <si>
    <t>F704</t>
  </si>
  <si>
    <t>F705</t>
  </si>
  <si>
    <t>F706</t>
  </si>
  <si>
    <t>F707</t>
  </si>
  <si>
    <t>F708</t>
  </si>
  <si>
    <t>F709</t>
  </si>
  <si>
    <t>F710</t>
  </si>
  <si>
    <t>F711</t>
  </si>
  <si>
    <t>F712</t>
  </si>
  <si>
    <t>F713</t>
  </si>
  <si>
    <t>F714</t>
  </si>
  <si>
    <t>F715</t>
  </si>
  <si>
    <t>F716</t>
  </si>
  <si>
    <t>F717</t>
  </si>
  <si>
    <t>F718</t>
  </si>
  <si>
    <t>G700</t>
  </si>
  <si>
    <t>G701</t>
  </si>
  <si>
    <t>G702</t>
  </si>
  <si>
    <t>G703</t>
  </si>
  <si>
    <t>G704</t>
  </si>
  <si>
    <t>G705</t>
  </si>
  <si>
    <t>G706</t>
  </si>
  <si>
    <t>G707</t>
  </si>
  <si>
    <t>G708</t>
  </si>
  <si>
    <t>G709</t>
  </si>
  <si>
    <t>G710</t>
  </si>
  <si>
    <t>G711</t>
  </si>
  <si>
    <t>G712</t>
  </si>
  <si>
    <t>G713</t>
  </si>
  <si>
    <t>G714</t>
  </si>
  <si>
    <t>G715</t>
  </si>
  <si>
    <t>G716</t>
  </si>
  <si>
    <t>G717</t>
  </si>
  <si>
    <t>G718</t>
  </si>
  <si>
    <t>H700</t>
  </si>
  <si>
    <t>H701</t>
  </si>
  <si>
    <t>H702</t>
  </si>
  <si>
    <t>H703</t>
  </si>
  <si>
    <t>H704</t>
  </si>
  <si>
    <t>H705</t>
  </si>
  <si>
    <t>H706</t>
  </si>
  <si>
    <t>H707</t>
  </si>
  <si>
    <t>H708</t>
  </si>
  <si>
    <t>H709</t>
  </si>
  <si>
    <t>H710</t>
  </si>
  <si>
    <t>H711</t>
  </si>
  <si>
    <t>H712</t>
  </si>
  <si>
    <t>H713</t>
  </si>
  <si>
    <t>H714</t>
  </si>
  <si>
    <t>H715</t>
  </si>
  <si>
    <t>H716</t>
  </si>
  <si>
    <t>H717</t>
  </si>
  <si>
    <t>H718</t>
  </si>
  <si>
    <t>J700</t>
  </si>
  <si>
    <t>J701</t>
  </si>
  <si>
    <t>J702</t>
  </si>
  <si>
    <t>J703</t>
  </si>
  <si>
    <t>J704</t>
  </si>
  <si>
    <t>J705</t>
  </si>
  <si>
    <t>J706</t>
  </si>
  <si>
    <t>J707</t>
  </si>
  <si>
    <t>J708</t>
  </si>
  <si>
    <t>J709</t>
  </si>
  <si>
    <t>J710</t>
  </si>
  <si>
    <t>J711</t>
  </si>
  <si>
    <t>J712</t>
  </si>
  <si>
    <t>J713</t>
  </si>
  <si>
    <t>J714</t>
  </si>
  <si>
    <t>J715</t>
  </si>
  <si>
    <t>J716</t>
  </si>
  <si>
    <t>J717</t>
  </si>
  <si>
    <t>J718</t>
  </si>
  <si>
    <t>A001DD</t>
  </si>
  <si>
    <t>B001</t>
  </si>
  <si>
    <t>B001AA</t>
  </si>
  <si>
    <t>B001AB</t>
  </si>
  <si>
    <t>B001AC</t>
  </si>
  <si>
    <t>B001AD</t>
  </si>
  <si>
    <t>B001AE</t>
  </si>
  <si>
    <t>B001AF</t>
  </si>
  <si>
    <t>B001AG</t>
  </si>
  <si>
    <t>B001AH</t>
  </si>
  <si>
    <t>B001AJ</t>
  </si>
  <si>
    <t>B001AK</t>
  </si>
  <si>
    <t>B001AL</t>
  </si>
  <si>
    <t>B001AM</t>
  </si>
  <si>
    <t>B001AN</t>
  </si>
  <si>
    <t>B001AP</t>
  </si>
  <si>
    <t>B001AQ</t>
  </si>
  <si>
    <t>B001AR</t>
  </si>
  <si>
    <t>B001AS</t>
  </si>
  <si>
    <t>B001AT</t>
  </si>
  <si>
    <t>B001AU</t>
  </si>
  <si>
    <t>B001AV</t>
  </si>
  <si>
    <t>B001AW</t>
  </si>
  <si>
    <t>B001AX</t>
  </si>
  <si>
    <t>B001AY</t>
  </si>
  <si>
    <t>B001AZ</t>
  </si>
  <si>
    <t>B001BA</t>
  </si>
  <si>
    <t>B001BB</t>
  </si>
  <si>
    <t>B001BC</t>
  </si>
  <si>
    <t>B001BD</t>
  </si>
  <si>
    <t>B001BE</t>
  </si>
  <si>
    <t>B001BF</t>
  </si>
  <si>
    <t>B001BG</t>
  </si>
  <si>
    <t>B001BH</t>
  </si>
  <si>
    <t>B001BK</t>
  </si>
  <si>
    <t>B001BL</t>
  </si>
  <si>
    <t>B001BM</t>
  </si>
  <si>
    <t>B001BN</t>
  </si>
  <si>
    <t>B001BP</t>
  </si>
  <si>
    <t>B001BQ</t>
  </si>
  <si>
    <t>B001BR</t>
  </si>
  <si>
    <t>B001BS</t>
  </si>
  <si>
    <t>B001BT</t>
  </si>
  <si>
    <t>B001BU</t>
  </si>
  <si>
    <t>B001BV</t>
  </si>
  <si>
    <t>B001BW</t>
  </si>
  <si>
    <t>B001BX</t>
  </si>
  <si>
    <t>B001BY</t>
  </si>
  <si>
    <t>B001BZ</t>
  </si>
  <si>
    <t>B001CA</t>
  </si>
  <si>
    <t>B001CB</t>
  </si>
  <si>
    <t>B001CC</t>
  </si>
  <si>
    <t>B001CD</t>
  </si>
  <si>
    <t>B001CE</t>
  </si>
  <si>
    <t>B001CF</t>
  </si>
  <si>
    <t>B001CG</t>
  </si>
  <si>
    <t>B001CH</t>
  </si>
  <si>
    <t>B001CJ</t>
  </si>
  <si>
    <t>B001CK</t>
  </si>
  <si>
    <t>B001CL</t>
  </si>
  <si>
    <t>B001CM</t>
  </si>
  <si>
    <t>B001CN</t>
  </si>
  <si>
    <t>B001CP</t>
  </si>
  <si>
    <t>B001CQ</t>
  </si>
  <si>
    <t>B001CR</t>
  </si>
  <si>
    <t>B001CS</t>
  </si>
  <si>
    <t>B001CT</t>
  </si>
  <si>
    <t>B001CU</t>
  </si>
  <si>
    <t>B001CV</t>
  </si>
  <si>
    <t>B001CW</t>
  </si>
  <si>
    <t>B001CY</t>
  </si>
  <si>
    <t>B001CZ</t>
  </si>
  <si>
    <t>B001DA</t>
  </si>
  <si>
    <t>B001DB</t>
  </si>
  <si>
    <t>B001DC</t>
  </si>
  <si>
    <t>B001DD</t>
  </si>
  <si>
    <t>B002</t>
  </si>
  <si>
    <t>B002AA</t>
  </si>
  <si>
    <t>B002AB</t>
  </si>
  <si>
    <t>B002AC</t>
  </si>
  <si>
    <t>B003</t>
  </si>
  <si>
    <t>B003AA</t>
  </si>
  <si>
    <t>B003AB</t>
  </si>
  <si>
    <t>B003AC</t>
  </si>
  <si>
    <t>B003AE</t>
  </si>
  <si>
    <t>B003AF</t>
  </si>
  <si>
    <t>B003AG</t>
  </si>
  <si>
    <t>B003AH</t>
  </si>
  <si>
    <t>B003AJ</t>
  </si>
  <si>
    <t>B003AK</t>
  </si>
  <si>
    <t>B003AL</t>
  </si>
  <si>
    <t>B003AM</t>
  </si>
  <si>
    <t>B003AN</t>
  </si>
  <si>
    <t>B003AP</t>
  </si>
  <si>
    <t>B003AQ</t>
  </si>
  <si>
    <t>B003AR</t>
  </si>
  <si>
    <t>B003AS</t>
  </si>
  <si>
    <t>B003AT</t>
  </si>
  <si>
    <t>B003AU</t>
  </si>
  <si>
    <t>B003AV</t>
  </si>
  <si>
    <t>B003AW</t>
  </si>
  <si>
    <t>B003AX</t>
  </si>
  <si>
    <t>B003AY</t>
  </si>
  <si>
    <t>B003AZ</t>
  </si>
  <si>
    <t>B003BA</t>
  </si>
  <si>
    <t>B003BB</t>
  </si>
  <si>
    <t>B003BC</t>
  </si>
  <si>
    <t>B003BD</t>
  </si>
  <si>
    <t>B003BE</t>
  </si>
  <si>
    <t>B003BF</t>
  </si>
  <si>
    <t>B003BG</t>
  </si>
  <si>
    <t>B003BH</t>
  </si>
  <si>
    <t>B003BJ</t>
  </si>
  <si>
    <t>B003BK</t>
  </si>
  <si>
    <t>B003BL</t>
  </si>
  <si>
    <t>B003BM</t>
  </si>
  <si>
    <t>B003BN</t>
  </si>
  <si>
    <t>B003BP</t>
  </si>
  <si>
    <t>B003BQ</t>
  </si>
  <si>
    <t>B003BR</t>
  </si>
  <si>
    <t>B003BS</t>
  </si>
  <si>
    <t>B003BT</t>
  </si>
  <si>
    <t>B003BU</t>
  </si>
  <si>
    <t>B003BV</t>
  </si>
  <si>
    <t>B003BW</t>
  </si>
  <si>
    <t>B003BX</t>
  </si>
  <si>
    <t>B003BY</t>
  </si>
  <si>
    <t>B003BZ</t>
  </si>
  <si>
    <t>B004</t>
  </si>
  <si>
    <t>B004AA</t>
  </si>
  <si>
    <t>B007</t>
  </si>
  <si>
    <t>B007AA</t>
  </si>
  <si>
    <t>B007AB</t>
  </si>
  <si>
    <t>B009</t>
  </si>
  <si>
    <t>B009AA</t>
  </si>
  <si>
    <t>B009AB</t>
  </si>
  <si>
    <t>B010</t>
  </si>
  <si>
    <t>B010AA</t>
  </si>
  <si>
    <t>B010AB</t>
  </si>
  <si>
    <t>B011</t>
  </si>
  <si>
    <t>B011AA</t>
  </si>
  <si>
    <t>B011AB</t>
  </si>
  <si>
    <t>B011AC</t>
  </si>
  <si>
    <t>B011AD</t>
  </si>
  <si>
    <t>B012</t>
  </si>
  <si>
    <t>B012AA</t>
  </si>
  <si>
    <t>B012AB</t>
  </si>
  <si>
    <t>B013</t>
  </si>
  <si>
    <t>B013AA</t>
  </si>
  <si>
    <t>B013AB</t>
  </si>
  <si>
    <t>B013AC</t>
  </si>
  <si>
    <t>B013AD</t>
  </si>
  <si>
    <t>B014</t>
  </si>
  <si>
    <t>B014AA</t>
  </si>
  <si>
    <t>B014AB</t>
  </si>
  <si>
    <t>B014AC</t>
  </si>
  <si>
    <t>B014AD</t>
  </si>
  <si>
    <t>B015</t>
  </si>
  <si>
    <t>B015AA</t>
  </si>
  <si>
    <t>B015AC</t>
  </si>
  <si>
    <t>B009AC</t>
  </si>
  <si>
    <t>C001</t>
  </si>
  <si>
    <t>C001AA</t>
  </si>
  <si>
    <t>C001AB</t>
  </si>
  <si>
    <t>C001AC</t>
  </si>
  <si>
    <t>C001AD</t>
  </si>
  <si>
    <t>C001AE</t>
  </si>
  <si>
    <t>C001AF</t>
  </si>
  <si>
    <t>C001AG</t>
  </si>
  <si>
    <t>C001AH</t>
  </si>
  <si>
    <t>C001AJ</t>
  </si>
  <si>
    <t>C001AK</t>
  </si>
  <si>
    <t>C001AL</t>
  </si>
  <si>
    <t>C001AM</t>
  </si>
  <si>
    <t>C001AN</t>
  </si>
  <si>
    <t>C001AP</t>
  </si>
  <si>
    <t>C001AQ</t>
  </si>
  <si>
    <t>C001AR</t>
  </si>
  <si>
    <t>C001AS</t>
  </si>
  <si>
    <t>C001AT</t>
  </si>
  <si>
    <t>C001AU</t>
  </si>
  <si>
    <t>C001AV</t>
  </si>
  <si>
    <t>C001AW</t>
  </si>
  <si>
    <t>C001AX</t>
  </si>
  <si>
    <t>C001AY</t>
  </si>
  <si>
    <t>C001AZ</t>
  </si>
  <si>
    <t>C001BA</t>
  </si>
  <si>
    <t>C001BB</t>
  </si>
  <si>
    <t>C001BC</t>
  </si>
  <si>
    <t>C001BD</t>
  </si>
  <si>
    <t>C001BE</t>
  </si>
  <si>
    <t>C001BF</t>
  </si>
  <si>
    <t>C001BG</t>
  </si>
  <si>
    <t>C001BH</t>
  </si>
  <si>
    <t>C001BK</t>
  </si>
  <si>
    <t>C001BL</t>
  </si>
  <si>
    <t>C001BM</t>
  </si>
  <si>
    <t>C001BN</t>
  </si>
  <si>
    <t>C001BP</t>
  </si>
  <si>
    <t>C001BQ</t>
  </si>
  <si>
    <t>C001BR</t>
  </si>
  <si>
    <t>C001BS</t>
  </si>
  <si>
    <t>C001BT</t>
  </si>
  <si>
    <t>C001BU</t>
  </si>
  <si>
    <t>C001BV</t>
  </si>
  <si>
    <t>C001BW</t>
  </si>
  <si>
    <t>C001BX</t>
  </si>
  <si>
    <t>C001BY</t>
  </si>
  <si>
    <t>C001BZ</t>
  </si>
  <si>
    <t>C001CA</t>
  </si>
  <si>
    <t>C001CB</t>
  </si>
  <si>
    <t>C001CC</t>
  </si>
  <si>
    <t>C001CD</t>
  </si>
  <si>
    <t>C001CE</t>
  </si>
  <si>
    <t>C001CF</t>
  </si>
  <si>
    <t>C001CG</t>
  </si>
  <si>
    <t>C001CH</t>
  </si>
  <si>
    <t>C001CJ</t>
  </si>
  <si>
    <t>C001CK</t>
  </si>
  <si>
    <t>C001CL</t>
  </si>
  <si>
    <t>C001CM</t>
  </si>
  <si>
    <t>C001CN</t>
  </si>
  <si>
    <t>C001CP</t>
  </si>
  <si>
    <t>C001CQ</t>
  </si>
  <si>
    <t>C001CR</t>
  </si>
  <si>
    <t>C001CS</t>
  </si>
  <si>
    <t>C001CT</t>
  </si>
  <si>
    <t>C001CU</t>
  </si>
  <si>
    <t>C001CV</t>
  </si>
  <si>
    <t>C001CW</t>
  </si>
  <si>
    <t>C001CY</t>
  </si>
  <si>
    <t>C001CZ</t>
  </si>
  <si>
    <t>C001DA</t>
  </si>
  <si>
    <t>C001DB</t>
  </si>
  <si>
    <t>C001DC</t>
  </si>
  <si>
    <t>C001DD</t>
  </si>
  <si>
    <t>C002</t>
  </si>
  <si>
    <t>C002AA</t>
  </si>
  <si>
    <t>C002AB</t>
  </si>
  <si>
    <t>C002AC</t>
  </si>
  <si>
    <t>C003</t>
  </si>
  <si>
    <t>C003AA</t>
  </si>
  <si>
    <t>C003AB</t>
  </si>
  <si>
    <t>C003AC</t>
  </si>
  <si>
    <t>C003AE</t>
  </si>
  <si>
    <t>C003AF</t>
  </si>
  <si>
    <t>C003AG</t>
  </si>
  <si>
    <t>C003AH</t>
  </si>
  <si>
    <t>C003AJ</t>
  </si>
  <si>
    <t>C003AK</t>
  </si>
  <si>
    <t>C003AL</t>
  </si>
  <si>
    <t>C003AM</t>
  </si>
  <si>
    <t>C003AN</t>
  </si>
  <si>
    <t>C003AP</t>
  </si>
  <si>
    <t>C003AQ</t>
  </si>
  <si>
    <t>C003AR</t>
  </si>
  <si>
    <t>C003AS</t>
  </si>
  <si>
    <t>C003AT</t>
  </si>
  <si>
    <t>C003AU</t>
  </si>
  <si>
    <t>C003AV</t>
  </si>
  <si>
    <t>C003AW</t>
  </si>
  <si>
    <t>C003AX</t>
  </si>
  <si>
    <t>C003AY</t>
  </si>
  <si>
    <t>C003AZ</t>
  </si>
  <si>
    <t>C003BA</t>
  </si>
  <si>
    <t>C003BB</t>
  </si>
  <si>
    <t>C003BC</t>
  </si>
  <si>
    <t>C003BD</t>
  </si>
  <si>
    <t>C003BE</t>
  </si>
  <si>
    <t>C003BF</t>
  </si>
  <si>
    <t>C003BG</t>
  </si>
  <si>
    <t>C003BH</t>
  </si>
  <si>
    <t>C003BJ</t>
  </si>
  <si>
    <t>C003BK</t>
  </si>
  <si>
    <t>C003BL</t>
  </si>
  <si>
    <t>C003BM</t>
  </si>
  <si>
    <t>C003BN</t>
  </si>
  <si>
    <t>C003BP</t>
  </si>
  <si>
    <t>C003BQ</t>
  </si>
  <si>
    <t>C003BR</t>
  </si>
  <si>
    <t>C003BS</t>
  </si>
  <si>
    <t>C003BT</t>
  </si>
  <si>
    <t>C003BU</t>
  </si>
  <si>
    <t>C003BV</t>
  </si>
  <si>
    <t>C003BW</t>
  </si>
  <si>
    <t>C003BX</t>
  </si>
  <si>
    <t>C003BY</t>
  </si>
  <si>
    <t>C003BZ</t>
  </si>
  <si>
    <t>C004</t>
  </si>
  <si>
    <t>C004AA</t>
  </si>
  <si>
    <t>C007</t>
  </si>
  <si>
    <t>C007AA</t>
  </si>
  <si>
    <t>C007AB</t>
  </si>
  <si>
    <t>C009</t>
  </si>
  <si>
    <t>C009AA</t>
  </si>
  <si>
    <t>C009AB</t>
  </si>
  <si>
    <t>C010</t>
  </si>
  <si>
    <t>C010AA</t>
  </si>
  <si>
    <t>C010AB</t>
  </si>
  <si>
    <t>C011</t>
  </si>
  <si>
    <t>C011AA</t>
  </si>
  <si>
    <t>C011AB</t>
  </si>
  <si>
    <t>C011AC</t>
  </si>
  <si>
    <t>C011AD</t>
  </si>
  <si>
    <t>C012</t>
  </si>
  <si>
    <t>C012AA</t>
  </si>
  <si>
    <t>C012AB</t>
  </si>
  <si>
    <t>C013</t>
  </si>
  <si>
    <t>C013AA</t>
  </si>
  <si>
    <t>C013AB</t>
  </si>
  <si>
    <t>C013AC</t>
  </si>
  <si>
    <t>C013AD</t>
  </si>
  <si>
    <t>C014</t>
  </si>
  <si>
    <t>C014AA</t>
  </si>
  <si>
    <t>C014AB</t>
  </si>
  <si>
    <t>C014AC</t>
  </si>
  <si>
    <t>C014AD</t>
  </si>
  <si>
    <t>C015</t>
  </si>
  <si>
    <t>C015AA</t>
  </si>
  <si>
    <t>C015AC</t>
  </si>
  <si>
    <t>C009AC</t>
  </si>
  <si>
    <t>D001</t>
  </si>
  <si>
    <t>D001AA</t>
  </si>
  <si>
    <t>D001AB</t>
  </si>
  <si>
    <t>D001AC</t>
  </si>
  <si>
    <t>D001AD</t>
  </si>
  <si>
    <t>D001AE</t>
  </si>
  <si>
    <t>D001AF</t>
  </si>
  <si>
    <t>D001AG</t>
  </si>
  <si>
    <t>D001AH</t>
  </si>
  <si>
    <t>D001AJ</t>
  </si>
  <si>
    <t>D001AK</t>
  </si>
  <si>
    <t>D001AL</t>
  </si>
  <si>
    <t>D001AM</t>
  </si>
  <si>
    <t>D001AN</t>
  </si>
  <si>
    <t>D001AP</t>
  </si>
  <si>
    <t>D001AQ</t>
  </si>
  <si>
    <t>D001AR</t>
  </si>
  <si>
    <t>D001AS</t>
  </si>
  <si>
    <t>D001AT</t>
  </si>
  <si>
    <t>D001AU</t>
  </si>
  <si>
    <t>D001AV</t>
  </si>
  <si>
    <t>D001AW</t>
  </si>
  <si>
    <t>D001AX</t>
  </si>
  <si>
    <t>D001AY</t>
  </si>
  <si>
    <t>D001AZ</t>
  </si>
  <si>
    <t>D001BA</t>
  </si>
  <si>
    <t>D001BB</t>
  </si>
  <si>
    <t>D001BC</t>
  </si>
  <si>
    <t>D001BD</t>
  </si>
  <si>
    <t>D001BE</t>
  </si>
  <si>
    <t>D001BF</t>
  </si>
  <si>
    <t>D001BG</t>
  </si>
  <si>
    <t>D001BH</t>
  </si>
  <si>
    <t>D001BK</t>
  </si>
  <si>
    <t>D001BL</t>
  </si>
  <si>
    <t>D001BM</t>
  </si>
  <si>
    <t>D001BN</t>
  </si>
  <si>
    <t>D001BP</t>
  </si>
  <si>
    <t>D001BQ</t>
  </si>
  <si>
    <t>D001BR</t>
  </si>
  <si>
    <t>D001BS</t>
  </si>
  <si>
    <t>D001BT</t>
  </si>
  <si>
    <t>D001BU</t>
  </si>
  <si>
    <t>D001BV</t>
  </si>
  <si>
    <t>D001BW</t>
  </si>
  <si>
    <t>D001BX</t>
  </si>
  <si>
    <t>D001BY</t>
  </si>
  <si>
    <t>D001BZ</t>
  </si>
  <si>
    <t>D001CA</t>
  </si>
  <si>
    <t>D001CB</t>
  </si>
  <si>
    <t>D001CC</t>
  </si>
  <si>
    <t>D001CD</t>
  </si>
  <si>
    <t>D001CE</t>
  </si>
  <si>
    <t>D001CF</t>
  </si>
  <si>
    <t>D001CG</t>
  </si>
  <si>
    <t>D001CH</t>
  </si>
  <si>
    <t>D001CJ</t>
  </si>
  <si>
    <t>D001CK</t>
  </si>
  <si>
    <t>D001CL</t>
  </si>
  <si>
    <t>D001CM</t>
  </si>
  <si>
    <t>D001CN</t>
  </si>
  <si>
    <t>D001CP</t>
  </si>
  <si>
    <t>D001CQ</t>
  </si>
  <si>
    <t>D001CR</t>
  </si>
  <si>
    <t>D001CS</t>
  </si>
  <si>
    <t>D001CT</t>
  </si>
  <si>
    <t>D001CU</t>
  </si>
  <si>
    <t>D001CV</t>
  </si>
  <si>
    <t>D001CW</t>
  </si>
  <si>
    <t>D001CY</t>
  </si>
  <si>
    <t>D001CZ</t>
  </si>
  <si>
    <t>D001DA</t>
  </si>
  <si>
    <t>D001DB</t>
  </si>
  <si>
    <t>D001DC</t>
  </si>
  <si>
    <t>D001DD</t>
  </si>
  <si>
    <t>D002</t>
  </si>
  <si>
    <t>D002AA</t>
  </si>
  <si>
    <t>D002AB</t>
  </si>
  <si>
    <t>D002AC</t>
  </si>
  <si>
    <t>D003</t>
  </si>
  <si>
    <t>D003AA</t>
  </si>
  <si>
    <t>D003AB</t>
  </si>
  <si>
    <t>D003AC</t>
  </si>
  <si>
    <t>D003AE</t>
  </si>
  <si>
    <t>D003AF</t>
  </si>
  <si>
    <t>D003AG</t>
  </si>
  <si>
    <t>D003AH</t>
  </si>
  <si>
    <t>D003AJ</t>
  </si>
  <si>
    <t>D003AK</t>
  </si>
  <si>
    <t>D003AL</t>
  </si>
  <si>
    <t>D003AM</t>
  </si>
  <si>
    <t>D003AN</t>
  </si>
  <si>
    <t>D003AP</t>
  </si>
  <si>
    <t>D003AQ</t>
  </si>
  <si>
    <t>D003AR</t>
  </si>
  <si>
    <t>D003AS</t>
  </si>
  <si>
    <t>D003AT</t>
  </si>
  <si>
    <t>D003AU</t>
  </si>
  <si>
    <t>D003AV</t>
  </si>
  <si>
    <t>D003AW</t>
  </si>
  <si>
    <t>D003AX</t>
  </si>
  <si>
    <t>D003AY</t>
  </si>
  <si>
    <t>D003AZ</t>
  </si>
  <si>
    <t>D003BA</t>
  </si>
  <si>
    <t>D003BB</t>
  </si>
  <si>
    <t>D003BC</t>
  </si>
  <si>
    <t>D003BD</t>
  </si>
  <si>
    <t>D003BE</t>
  </si>
  <si>
    <t>D003BF</t>
  </si>
  <si>
    <t>D003BG</t>
  </si>
  <si>
    <t>D003BH</t>
  </si>
  <si>
    <t>D003BJ</t>
  </si>
  <si>
    <t>D003BK</t>
  </si>
  <si>
    <t>D003BL</t>
  </si>
  <si>
    <t>D003BM</t>
  </si>
  <si>
    <t>D003BN</t>
  </si>
  <si>
    <t>D003BP</t>
  </si>
  <si>
    <t>D003BQ</t>
  </si>
  <si>
    <t>D003BR</t>
  </si>
  <si>
    <t>D003BS</t>
  </si>
  <si>
    <t>D003BT</t>
  </si>
  <si>
    <t>D003BU</t>
  </si>
  <si>
    <t>D003BV</t>
  </si>
  <si>
    <t>D003BW</t>
  </si>
  <si>
    <t>D003BX</t>
  </si>
  <si>
    <t>D003BY</t>
  </si>
  <si>
    <t>D003BZ</t>
  </si>
  <si>
    <t>D004</t>
  </si>
  <si>
    <t>D004AA</t>
  </si>
  <si>
    <t>D007</t>
  </si>
  <si>
    <t>D007AA</t>
  </si>
  <si>
    <t>D007AB</t>
  </si>
  <si>
    <t>D009</t>
  </si>
  <si>
    <t>D009AA</t>
  </si>
  <si>
    <t>D009AB</t>
  </si>
  <si>
    <t>D010</t>
  </si>
  <si>
    <t>D010AA</t>
  </si>
  <si>
    <t>D010AB</t>
  </si>
  <si>
    <t>D011</t>
  </si>
  <si>
    <t>D011AA</t>
  </si>
  <si>
    <t>D011AB</t>
  </si>
  <si>
    <t>D011AC</t>
  </si>
  <si>
    <t>D011AD</t>
  </si>
  <si>
    <t>D012</t>
  </si>
  <si>
    <t>D012AA</t>
  </si>
  <si>
    <t>D012AB</t>
  </si>
  <si>
    <t>D013</t>
  </si>
  <si>
    <t>D013AA</t>
  </si>
  <si>
    <t>D013AB</t>
  </si>
  <si>
    <t>D013AC</t>
  </si>
  <si>
    <t>D013AD</t>
  </si>
  <si>
    <t>D014</t>
  </si>
  <si>
    <t>D014AA</t>
  </si>
  <si>
    <t>D014AB</t>
  </si>
  <si>
    <t>D014AC</t>
  </si>
  <si>
    <t>D014AD</t>
  </si>
  <si>
    <t>D015</t>
  </si>
  <si>
    <t>D015AA</t>
  </si>
  <si>
    <t>D015AC</t>
  </si>
  <si>
    <t>D009AC</t>
  </si>
  <si>
    <t>E001</t>
  </si>
  <si>
    <t>E001AA</t>
  </si>
  <si>
    <t>E001AB</t>
  </si>
  <si>
    <t>E001AC</t>
  </si>
  <si>
    <t>E001AD</t>
  </si>
  <si>
    <t>E001AE</t>
  </si>
  <si>
    <t>E001AF</t>
  </si>
  <si>
    <t>E001AG</t>
  </si>
  <si>
    <t>E001AH</t>
  </si>
  <si>
    <t>E001AJ</t>
  </si>
  <si>
    <t>E001AK</t>
  </si>
  <si>
    <t>E001AL</t>
  </si>
  <si>
    <t>E001AM</t>
  </si>
  <si>
    <t>E001AN</t>
  </si>
  <si>
    <t>E001AP</t>
  </si>
  <si>
    <t>E001AQ</t>
  </si>
  <si>
    <t>E001AR</t>
  </si>
  <si>
    <t>E001AS</t>
  </si>
  <si>
    <t>E001AT</t>
  </si>
  <si>
    <t>E001AU</t>
  </si>
  <si>
    <t>E001AV</t>
  </si>
  <si>
    <t>E001AW</t>
  </si>
  <si>
    <t>E001AX</t>
  </si>
  <si>
    <t>E001AY</t>
  </si>
  <si>
    <t>E001AZ</t>
  </si>
  <si>
    <t>E001BA</t>
  </si>
  <si>
    <t>E001BB</t>
  </si>
  <si>
    <t>E001BC</t>
  </si>
  <si>
    <t>E001BD</t>
  </si>
  <si>
    <t>E001BE</t>
  </si>
  <si>
    <t>E001BF</t>
  </si>
  <si>
    <t>E001BG</t>
  </si>
  <si>
    <t>E001BH</t>
  </si>
  <si>
    <t>E001BK</t>
  </si>
  <si>
    <t>E001BL</t>
  </si>
  <si>
    <t>E001BM</t>
  </si>
  <si>
    <t>E001BN</t>
  </si>
  <si>
    <t>E001BP</t>
  </si>
  <si>
    <t>E001BQ</t>
  </si>
  <si>
    <t>E001BR</t>
  </si>
  <si>
    <t>E001BS</t>
  </si>
  <si>
    <t>E001BT</t>
  </si>
  <si>
    <t>E001BU</t>
  </si>
  <si>
    <t>E001BV</t>
  </si>
  <si>
    <t>E001BW</t>
  </si>
  <si>
    <t>E001BX</t>
  </si>
  <si>
    <t>E001BY</t>
  </si>
  <si>
    <t>E001BZ</t>
  </si>
  <si>
    <t>E001CA</t>
  </si>
  <si>
    <t>E001CB</t>
  </si>
  <si>
    <t>E001CC</t>
  </si>
  <si>
    <t>E001CD</t>
  </si>
  <si>
    <t>E001CE</t>
  </si>
  <si>
    <t>E001CF</t>
  </si>
  <si>
    <t>E001CG</t>
  </si>
  <si>
    <t>E001CH</t>
  </si>
  <si>
    <t>E001CJ</t>
  </si>
  <si>
    <t>E001CK</t>
  </si>
  <si>
    <t>E001CL</t>
  </si>
  <si>
    <t>E001CM</t>
  </si>
  <si>
    <t>E001CN</t>
  </si>
  <si>
    <t>E001CP</t>
  </si>
  <si>
    <t>E001CQ</t>
  </si>
  <si>
    <t>E001CR</t>
  </si>
  <si>
    <t>E001CS</t>
  </si>
  <si>
    <t>E001CT</t>
  </si>
  <si>
    <t>E001CU</t>
  </si>
  <si>
    <t>E001CV</t>
  </si>
  <si>
    <t>E001CW</t>
  </si>
  <si>
    <t>E001CY</t>
  </si>
  <si>
    <t>E001CZ</t>
  </si>
  <si>
    <t>E001DA</t>
  </si>
  <si>
    <t>E001DB</t>
  </si>
  <si>
    <t>E001DC</t>
  </si>
  <si>
    <t>E001DD</t>
  </si>
  <si>
    <t>E002</t>
  </si>
  <si>
    <t>E002AA</t>
  </si>
  <si>
    <t>E002AB</t>
  </si>
  <si>
    <t>E002AC</t>
  </si>
  <si>
    <t>E003</t>
  </si>
  <si>
    <t>E003AA</t>
  </si>
  <si>
    <t>E003AB</t>
  </si>
  <si>
    <t>E003AC</t>
  </si>
  <si>
    <t>E003AE</t>
  </si>
  <si>
    <t>E003AF</t>
  </si>
  <si>
    <t>E003AG</t>
  </si>
  <si>
    <t>E003AH</t>
  </si>
  <si>
    <t>E003AJ</t>
  </si>
  <si>
    <t>E003AK</t>
  </si>
  <si>
    <t>E003AL</t>
  </si>
  <si>
    <t>E003AM</t>
  </si>
  <si>
    <t>E003AN</t>
  </si>
  <si>
    <t>E003AP</t>
  </si>
  <si>
    <t>E003AQ</t>
  </si>
  <si>
    <t>E003AR</t>
  </si>
  <si>
    <t>E003AS</t>
  </si>
  <si>
    <t>E003AT</t>
  </si>
  <si>
    <t>E003AU</t>
  </si>
  <si>
    <t>E003AV</t>
  </si>
  <si>
    <t>E003AW</t>
  </si>
  <si>
    <t>E003AX</t>
  </si>
  <si>
    <t>E003AY</t>
  </si>
  <si>
    <t>E003AZ</t>
  </si>
  <si>
    <t>E003BA</t>
  </si>
  <si>
    <t>E003BB</t>
  </si>
  <si>
    <t>E003BC</t>
  </si>
  <si>
    <t>E003BD</t>
  </si>
  <si>
    <t>E003BE</t>
  </si>
  <si>
    <t>E003BF</t>
  </si>
  <si>
    <t>E003BG</t>
  </si>
  <si>
    <t>E003BH</t>
  </si>
  <si>
    <t>E003BJ</t>
  </si>
  <si>
    <t>E003BK</t>
  </si>
  <si>
    <t>E003BL</t>
  </si>
  <si>
    <t>E003BM</t>
  </si>
  <si>
    <t>E003BN</t>
  </si>
  <si>
    <t>E003BP</t>
  </si>
  <si>
    <t>E003BQ</t>
  </si>
  <si>
    <t>E003BR</t>
  </si>
  <si>
    <t>E003BS</t>
  </si>
  <si>
    <t>E003BT</t>
  </si>
  <si>
    <t>E003BU</t>
  </si>
  <si>
    <t>E003BV</t>
  </si>
  <si>
    <t>E003BW</t>
  </si>
  <si>
    <t>E003BX</t>
  </si>
  <si>
    <t>E003BY</t>
  </si>
  <si>
    <t>E003BZ</t>
  </si>
  <si>
    <t>E004</t>
  </si>
  <si>
    <t>E004AA</t>
  </si>
  <si>
    <t>E007</t>
  </si>
  <si>
    <t>E007AA</t>
  </si>
  <si>
    <t>E007AB</t>
  </si>
  <si>
    <t>E009</t>
  </si>
  <si>
    <t>E009AA</t>
  </si>
  <si>
    <t>E009AB</t>
  </si>
  <si>
    <t>E010</t>
  </si>
  <si>
    <t>E010AA</t>
  </si>
  <si>
    <t>E010AB</t>
  </si>
  <si>
    <t>E011</t>
  </si>
  <si>
    <t>E011AA</t>
  </si>
  <si>
    <t>E011AB</t>
  </si>
  <si>
    <t>E011AC</t>
  </si>
  <si>
    <t>E011AD</t>
  </si>
  <si>
    <t>E012</t>
  </si>
  <si>
    <t>E012AA</t>
  </si>
  <si>
    <t>E012AB</t>
  </si>
  <si>
    <t>E013</t>
  </si>
  <si>
    <t>E013AA</t>
  </si>
  <si>
    <t>E013AB</t>
  </si>
  <si>
    <t>E013AC</t>
  </si>
  <si>
    <t>E013AD</t>
  </si>
  <si>
    <t>E014</t>
  </si>
  <si>
    <t>E014AA</t>
  </si>
  <si>
    <t>E014AB</t>
  </si>
  <si>
    <t>E014AC</t>
  </si>
  <si>
    <t>E014AD</t>
  </si>
  <si>
    <t>E009AC</t>
  </si>
  <si>
    <t>F001</t>
  </si>
  <si>
    <t>F001AA</t>
  </si>
  <si>
    <t>F001AB</t>
  </si>
  <si>
    <t>F001AC</t>
  </si>
  <si>
    <t>F001AD</t>
  </si>
  <si>
    <t>F001AE</t>
  </si>
  <si>
    <t>F001AF</t>
  </si>
  <si>
    <t>F001AG</t>
  </si>
  <si>
    <t>F001AH</t>
  </si>
  <si>
    <t>F001AJ</t>
  </si>
  <si>
    <t>F001AK</t>
  </si>
  <si>
    <t>F001AL</t>
  </si>
  <si>
    <t>F001AM</t>
  </si>
  <si>
    <t>F001AN</t>
  </si>
  <si>
    <t>F001AP</t>
  </si>
  <si>
    <t>F001AQ</t>
  </si>
  <si>
    <t>F001AR</t>
  </si>
  <si>
    <t>F001AS</t>
  </si>
  <si>
    <t>F001AT</t>
  </si>
  <si>
    <t>F001AU</t>
  </si>
  <si>
    <t>F001AV</t>
  </si>
  <si>
    <t>F001AW</t>
  </si>
  <si>
    <t>F001AX</t>
  </si>
  <si>
    <t>F001AY</t>
  </si>
  <si>
    <t>F001AZ</t>
  </si>
  <si>
    <t>F001BA</t>
  </si>
  <si>
    <t>F001BB</t>
  </si>
  <si>
    <t>F001BC</t>
  </si>
  <si>
    <t>F001BD</t>
  </si>
  <si>
    <t>F001BE</t>
  </si>
  <si>
    <t>F001BF</t>
  </si>
  <si>
    <t>F001BG</t>
  </si>
  <si>
    <t>F001BH</t>
  </si>
  <si>
    <t>F001BK</t>
  </si>
  <si>
    <t>F001BL</t>
  </si>
  <si>
    <t>F001BM</t>
  </si>
  <si>
    <t>F001BN</t>
  </si>
  <si>
    <t>F001BP</t>
  </si>
  <si>
    <t>F001BQ</t>
  </si>
  <si>
    <t>F001BR</t>
  </si>
  <si>
    <t>F001BS</t>
  </si>
  <si>
    <t>F001BT</t>
  </si>
  <si>
    <t>F001BU</t>
  </si>
  <si>
    <t>F001BV</t>
  </si>
  <si>
    <t>F001BW</t>
  </si>
  <si>
    <t>F001BX</t>
  </si>
  <si>
    <t>F001BY</t>
  </si>
  <si>
    <t>F001BZ</t>
  </si>
  <si>
    <t>F001CA</t>
  </si>
  <si>
    <t>F001CB</t>
  </si>
  <si>
    <t>F001CC</t>
  </si>
  <si>
    <t>F001CD</t>
  </si>
  <si>
    <t>F001CE</t>
  </si>
  <si>
    <t>F001CF</t>
  </si>
  <si>
    <t>F001CG</t>
  </si>
  <si>
    <t>F001CH</t>
  </si>
  <si>
    <t>F001CJ</t>
  </si>
  <si>
    <t>F001CK</t>
  </si>
  <si>
    <t>F001CL</t>
  </si>
  <si>
    <t>F001CM</t>
  </si>
  <si>
    <t>F001CN</t>
  </si>
  <si>
    <t>F001CP</t>
  </si>
  <si>
    <t>F001CQ</t>
  </si>
  <si>
    <t>F001CR</t>
  </si>
  <si>
    <t>F001CS</t>
  </si>
  <si>
    <t>F001CT</t>
  </si>
  <si>
    <t>F001CU</t>
  </si>
  <si>
    <t>F001CV</t>
  </si>
  <si>
    <t>F001CW</t>
  </si>
  <si>
    <t>F001CY</t>
  </si>
  <si>
    <t>F001CZ</t>
  </si>
  <si>
    <t>F001DA</t>
  </si>
  <si>
    <t>F001DB</t>
  </si>
  <si>
    <t>F001DC</t>
  </si>
  <si>
    <t>F001DD</t>
  </si>
  <si>
    <t>F002</t>
  </si>
  <si>
    <t>F002AA</t>
  </si>
  <si>
    <t>F002AB</t>
  </si>
  <si>
    <t>F002AC</t>
  </si>
  <si>
    <t>F003</t>
  </si>
  <si>
    <t>F003AA</t>
  </si>
  <si>
    <t>F003AB</t>
  </si>
  <si>
    <t>F003AC</t>
  </si>
  <si>
    <t>F003AE</t>
  </si>
  <si>
    <t>F003AF</t>
  </si>
  <si>
    <t>F003AG</t>
  </si>
  <si>
    <t>F003AH</t>
  </si>
  <si>
    <t>F003AJ</t>
  </si>
  <si>
    <t>F003AK</t>
  </si>
  <si>
    <t>F003AL</t>
  </si>
  <si>
    <t>F003AM</t>
  </si>
  <si>
    <t>F003AN</t>
  </si>
  <si>
    <t>F003AP</t>
  </si>
  <si>
    <t>F003AQ</t>
  </si>
  <si>
    <t>F003AR</t>
  </si>
  <si>
    <t>F003AS</t>
  </si>
  <si>
    <t>F003AT</t>
  </si>
  <si>
    <t>F003AU</t>
  </si>
  <si>
    <t>F003AV</t>
  </si>
  <si>
    <t>F003AW</t>
  </si>
  <si>
    <t>F003AX</t>
  </si>
  <si>
    <t>F003AY</t>
  </si>
  <si>
    <t>F003AZ</t>
  </si>
  <si>
    <t>F003BA</t>
  </si>
  <si>
    <t>F003BB</t>
  </si>
  <si>
    <t>F003BC</t>
  </si>
  <si>
    <t>F003BD</t>
  </si>
  <si>
    <t>F003BE</t>
  </si>
  <si>
    <t>F003BF</t>
  </si>
  <si>
    <t>F003BG</t>
  </si>
  <si>
    <t>F003BH</t>
  </si>
  <si>
    <t>F003BJ</t>
  </si>
  <si>
    <t>F003BK</t>
  </si>
  <si>
    <t>F003BL</t>
  </si>
  <si>
    <t>F003BM</t>
  </si>
  <si>
    <t>F003BN</t>
  </si>
  <si>
    <t>F003BP</t>
  </si>
  <si>
    <t>F003BQ</t>
  </si>
  <si>
    <t>F003BR</t>
  </si>
  <si>
    <t>F003BS</t>
  </si>
  <si>
    <t>F003BT</t>
  </si>
  <si>
    <t>F003BU</t>
  </si>
  <si>
    <t>F003BV</t>
  </si>
  <si>
    <t>F003BW</t>
  </si>
  <si>
    <t>F003BX</t>
  </si>
  <si>
    <t>F003BY</t>
  </si>
  <si>
    <t>F003BZ</t>
  </si>
  <si>
    <t>F004</t>
  </si>
  <si>
    <t>F004AA</t>
  </si>
  <si>
    <t>F007</t>
  </si>
  <si>
    <t>F007AA</t>
  </si>
  <si>
    <t>F007AB</t>
  </si>
  <si>
    <t>F009</t>
  </si>
  <si>
    <t>F009AA</t>
  </si>
  <si>
    <t>F009AB</t>
  </si>
  <si>
    <t>F010</t>
  </si>
  <si>
    <t>F010AA</t>
  </si>
  <si>
    <t>F010AB</t>
  </si>
  <si>
    <t>F011</t>
  </si>
  <si>
    <t>F011AA</t>
  </si>
  <si>
    <t>F011AB</t>
  </si>
  <si>
    <t>F011AC</t>
  </si>
  <si>
    <t>F011AD</t>
  </si>
  <si>
    <t>F012</t>
  </si>
  <si>
    <t>F012AA</t>
  </si>
  <si>
    <t>F012AB</t>
  </si>
  <si>
    <t>F013</t>
  </si>
  <si>
    <t>F013AA</t>
  </si>
  <si>
    <t>F013AB</t>
  </si>
  <si>
    <t>F013AC</t>
  </si>
  <si>
    <t>F013AD</t>
  </si>
  <si>
    <t>F014</t>
  </si>
  <si>
    <t>F014AA</t>
  </si>
  <si>
    <t>F014AB</t>
  </si>
  <si>
    <t>F014AC</t>
  </si>
  <si>
    <t>F014AD</t>
  </si>
  <si>
    <t>F009AC</t>
  </si>
  <si>
    <t>G001</t>
  </si>
  <si>
    <t>G001AA</t>
  </si>
  <si>
    <t>G001AB</t>
  </si>
  <si>
    <t>G001AC</t>
  </si>
  <si>
    <t>G001AD</t>
  </si>
  <si>
    <t>G001AE</t>
  </si>
  <si>
    <t>G001AF</t>
  </si>
  <si>
    <t>G001AG</t>
  </si>
  <si>
    <t>G001AH</t>
  </si>
  <si>
    <t>G001AJ</t>
  </si>
  <si>
    <t>G001AK</t>
  </si>
  <si>
    <t>G001AL</t>
  </si>
  <si>
    <t>G001AM</t>
  </si>
  <si>
    <t>G001AN</t>
  </si>
  <si>
    <t>G001AP</t>
  </si>
  <si>
    <t>G001AQ</t>
  </si>
  <si>
    <t>G001AR</t>
  </si>
  <si>
    <t>G001AS</t>
  </si>
  <si>
    <t>G001AT</t>
  </si>
  <si>
    <t>G001AU</t>
  </si>
  <si>
    <t>G001AV</t>
  </si>
  <si>
    <t>G001AW</t>
  </si>
  <si>
    <t>G001AX</t>
  </si>
  <si>
    <t>G001AY</t>
  </si>
  <si>
    <t>G001AZ</t>
  </si>
  <si>
    <t>G001BA</t>
  </si>
  <si>
    <t>G001BB</t>
  </si>
  <si>
    <t>G001BC</t>
  </si>
  <si>
    <t>G001BD</t>
  </si>
  <si>
    <t>G001BE</t>
  </si>
  <si>
    <t>G001BF</t>
  </si>
  <si>
    <t>G001BG</t>
  </si>
  <si>
    <t>G001BH</t>
  </si>
  <si>
    <t>G001BK</t>
  </si>
  <si>
    <t>G001BL</t>
  </si>
  <si>
    <t>G001BM</t>
  </si>
  <si>
    <t>G001BN</t>
  </si>
  <si>
    <t>G001BP</t>
  </si>
  <si>
    <t>G001BQ</t>
  </si>
  <si>
    <t>G001BR</t>
  </si>
  <si>
    <t>G001BS</t>
  </si>
  <si>
    <t>G001BT</t>
  </si>
  <si>
    <t>G001BU</t>
  </si>
  <si>
    <t>G001BV</t>
  </si>
  <si>
    <t>G001BW</t>
  </si>
  <si>
    <t>G001BX</t>
  </si>
  <si>
    <t>G001BY</t>
  </si>
  <si>
    <t>G001BZ</t>
  </si>
  <si>
    <t>G001CA</t>
  </si>
  <si>
    <t>G001CB</t>
  </si>
  <si>
    <t>G001CC</t>
  </si>
  <si>
    <t>G001CD</t>
  </si>
  <si>
    <t>G001CE</t>
  </si>
  <si>
    <t>G001CF</t>
  </si>
  <si>
    <t>G001CG</t>
  </si>
  <si>
    <t>G001CH</t>
  </si>
  <si>
    <t>G001CJ</t>
  </si>
  <si>
    <t>G001CK</t>
  </si>
  <si>
    <t>G001CL</t>
  </si>
  <si>
    <t>G001CM</t>
  </si>
  <si>
    <t>G001CN</t>
  </si>
  <si>
    <t>G001CP</t>
  </si>
  <si>
    <t>G001CQ</t>
  </si>
  <si>
    <t>G001CR</t>
  </si>
  <si>
    <t>G001CS</t>
  </si>
  <si>
    <t>G001CT</t>
  </si>
  <si>
    <t>G001CU</t>
  </si>
  <si>
    <t>G001CV</t>
  </si>
  <si>
    <t>G001CW</t>
  </si>
  <si>
    <t>G001CY</t>
  </si>
  <si>
    <t>G001CZ</t>
  </si>
  <si>
    <t>G001DA</t>
  </si>
  <si>
    <t>G001DB</t>
  </si>
  <si>
    <t>G001DC</t>
  </si>
  <si>
    <t>G001DD</t>
  </si>
  <si>
    <t>G002</t>
  </si>
  <si>
    <t>G002AA</t>
  </si>
  <si>
    <t>G002AB</t>
  </si>
  <si>
    <t>G002AC</t>
  </si>
  <si>
    <t>G003</t>
  </si>
  <si>
    <t>G003AA</t>
  </si>
  <si>
    <t>G003AB</t>
  </si>
  <si>
    <t>G003AC</t>
  </si>
  <si>
    <t>G003AE</t>
  </si>
  <si>
    <t>G003AF</t>
  </si>
  <si>
    <t>G003AG</t>
  </si>
  <si>
    <t>G003AH</t>
  </si>
  <si>
    <t>G003AJ</t>
  </si>
  <si>
    <t>G003AK</t>
  </si>
  <si>
    <t>G003AL</t>
  </si>
  <si>
    <t>G003AM</t>
  </si>
  <si>
    <t>G003AN</t>
  </si>
  <si>
    <t>G003AP</t>
  </si>
  <si>
    <t>G003AQ</t>
  </si>
  <si>
    <t>G003AR</t>
  </si>
  <si>
    <t>G003AS</t>
  </si>
  <si>
    <t>G003AT</t>
  </si>
  <si>
    <t>G003AU</t>
  </si>
  <si>
    <t>G003AV</t>
  </si>
  <si>
    <t>G003AW</t>
  </si>
  <si>
    <t>G003AX</t>
  </si>
  <si>
    <t>G003AY</t>
  </si>
  <si>
    <t>G003AZ</t>
  </si>
  <si>
    <t>G003BA</t>
  </si>
  <si>
    <t>G003BB</t>
  </si>
  <si>
    <t>G003BC</t>
  </si>
  <si>
    <t>G003BD</t>
  </si>
  <si>
    <t>G003BE</t>
  </si>
  <si>
    <t>G003BF</t>
  </si>
  <si>
    <t>G003BG</t>
  </si>
  <si>
    <t>G003BH</t>
  </si>
  <si>
    <t>G003BJ</t>
  </si>
  <si>
    <t>G003BK</t>
  </si>
  <si>
    <t>G003BL</t>
  </si>
  <si>
    <t>G003BM</t>
  </si>
  <si>
    <t>G003BN</t>
  </si>
  <si>
    <t>G003BP</t>
  </si>
  <si>
    <t>G003BQ</t>
  </si>
  <si>
    <t>G003BR</t>
  </si>
  <si>
    <t>G003BS</t>
  </si>
  <si>
    <t>G003BT</t>
  </si>
  <si>
    <t>G003BU</t>
  </si>
  <si>
    <t>G003BV</t>
  </si>
  <si>
    <t>G003BW</t>
  </si>
  <si>
    <t>G003BX</t>
  </si>
  <si>
    <t>G003BY</t>
  </si>
  <si>
    <t>G003BZ</t>
  </si>
  <si>
    <t>G004</t>
  </si>
  <si>
    <t>G004AA</t>
  </si>
  <si>
    <t>G007</t>
  </si>
  <si>
    <t>G007AA</t>
  </si>
  <si>
    <t>G007AB</t>
  </si>
  <si>
    <t>G009</t>
  </si>
  <si>
    <t>G009AA</t>
  </si>
  <si>
    <t>G009AB</t>
  </si>
  <si>
    <t>G010</t>
  </si>
  <si>
    <t>G010AA</t>
  </si>
  <si>
    <t>G010AB</t>
  </si>
  <si>
    <t>G011</t>
  </si>
  <si>
    <t>G011AA</t>
  </si>
  <si>
    <t>G011AB</t>
  </si>
  <si>
    <t>G011AC</t>
  </si>
  <si>
    <t>G011AD</t>
  </si>
  <si>
    <t>G012</t>
  </si>
  <si>
    <t>G012AA</t>
  </si>
  <si>
    <t>G012AB</t>
  </si>
  <si>
    <t>G013</t>
  </si>
  <si>
    <t>G013AA</t>
  </si>
  <si>
    <t>G013AB</t>
  </si>
  <si>
    <t>G013AC</t>
  </si>
  <si>
    <t>G013AD</t>
  </si>
  <si>
    <t>G014</t>
  </si>
  <si>
    <t>G014AA</t>
  </si>
  <si>
    <t>G014AB</t>
  </si>
  <si>
    <t>G014AC</t>
  </si>
  <si>
    <t>G014AD</t>
  </si>
  <si>
    <t>G015</t>
  </si>
  <si>
    <t>G015AA</t>
  </si>
  <si>
    <t>G015AC</t>
  </si>
  <si>
    <t>G009AC</t>
  </si>
  <si>
    <t>H001</t>
  </si>
  <si>
    <t>H001AA</t>
  </si>
  <si>
    <t>H001AB</t>
  </si>
  <si>
    <t>H001AC</t>
  </si>
  <si>
    <t>H001AD</t>
  </si>
  <si>
    <t>H001AE</t>
  </si>
  <si>
    <t>H001AF</t>
  </si>
  <si>
    <t>H001AG</t>
  </si>
  <si>
    <t>H001AH</t>
  </si>
  <si>
    <t>H001AJ</t>
  </si>
  <si>
    <t>H001AK</t>
  </si>
  <si>
    <t>H001AL</t>
  </si>
  <si>
    <t>H001AM</t>
  </si>
  <si>
    <t>H001AN</t>
  </si>
  <si>
    <t>H001AP</t>
  </si>
  <si>
    <t>H001AQ</t>
  </si>
  <si>
    <t>H001AR</t>
  </si>
  <si>
    <t>H001AS</t>
  </si>
  <si>
    <t>H001AT</t>
  </si>
  <si>
    <t>H001AU</t>
  </si>
  <si>
    <t>H001AV</t>
  </si>
  <si>
    <t>H001AW</t>
  </si>
  <si>
    <t>H001AX</t>
  </si>
  <si>
    <t>H001AY</t>
  </si>
  <si>
    <t>H001AZ</t>
  </si>
  <si>
    <t>H001BA</t>
  </si>
  <si>
    <t>H001BB</t>
  </si>
  <si>
    <t>H001BC</t>
  </si>
  <si>
    <t>H001BD</t>
  </si>
  <si>
    <t>H001BE</t>
  </si>
  <si>
    <t>H001BF</t>
  </si>
  <si>
    <t>H001BG</t>
  </si>
  <si>
    <t>H001BH</t>
  </si>
  <si>
    <t>H001BK</t>
  </si>
  <si>
    <t>H001BL</t>
  </si>
  <si>
    <t>H001BM</t>
  </si>
  <si>
    <t>H001BN</t>
  </si>
  <si>
    <t>H001BP</t>
  </si>
  <si>
    <t>H001BQ</t>
  </si>
  <si>
    <t>H001BR</t>
  </si>
  <si>
    <t>H001BS</t>
  </si>
  <si>
    <t>H001BT</t>
  </si>
  <si>
    <t>H001BU</t>
  </si>
  <si>
    <t>H001BV</t>
  </si>
  <si>
    <t>H001BW</t>
  </si>
  <si>
    <t>H001BX</t>
  </si>
  <si>
    <t>H001BY</t>
  </si>
  <si>
    <t>H001BZ</t>
  </si>
  <si>
    <t>H001CA</t>
  </si>
  <si>
    <t>H001CB</t>
  </si>
  <si>
    <t>H001CC</t>
  </si>
  <si>
    <t>H001CD</t>
  </si>
  <si>
    <t>H001CE</t>
  </si>
  <si>
    <t>H001CF</t>
  </si>
  <si>
    <t>H001CG</t>
  </si>
  <si>
    <t>H001CH</t>
  </si>
  <si>
    <t>H001CJ</t>
  </si>
  <si>
    <t>H001CK</t>
  </si>
  <si>
    <t>H001CL</t>
  </si>
  <si>
    <t>H001CM</t>
  </si>
  <si>
    <t>H001CN</t>
  </si>
  <si>
    <t>H001CP</t>
  </si>
  <si>
    <t>H001CQ</t>
  </si>
  <si>
    <t>H001CR</t>
  </si>
  <si>
    <t>H001CS</t>
  </si>
  <si>
    <t>H001CT</t>
  </si>
  <si>
    <t>H001CU</t>
  </si>
  <si>
    <t>H001CV</t>
  </si>
  <si>
    <t>H001CW</t>
  </si>
  <si>
    <t>H001CY</t>
  </si>
  <si>
    <t>H001CZ</t>
  </si>
  <si>
    <t>H001DA</t>
  </si>
  <si>
    <t>H001DB</t>
  </si>
  <si>
    <t>H001DC</t>
  </si>
  <si>
    <t>H001DD</t>
  </si>
  <si>
    <t>H002</t>
  </si>
  <si>
    <t>H002AA</t>
  </si>
  <si>
    <t>H002AB</t>
  </si>
  <si>
    <t>H002AC</t>
  </si>
  <si>
    <t>H003</t>
  </si>
  <si>
    <t>H003AA</t>
  </si>
  <si>
    <t>H003AB</t>
  </si>
  <si>
    <t>H003AC</t>
  </si>
  <si>
    <t>H003AE</t>
  </si>
  <si>
    <t>H003AF</t>
  </si>
  <si>
    <t>H003AG</t>
  </si>
  <si>
    <t>H003AH</t>
  </si>
  <si>
    <t>H003AJ</t>
  </si>
  <si>
    <t>H003AK</t>
  </si>
  <si>
    <t>H003AL</t>
  </si>
  <si>
    <t>H003AM</t>
  </si>
  <si>
    <t>H003AN</t>
  </si>
  <si>
    <t>H003AP</t>
  </si>
  <si>
    <t>H003AQ</t>
  </si>
  <si>
    <t>H003AR</t>
  </si>
  <si>
    <t>H003AS</t>
  </si>
  <si>
    <t>H003AT</t>
  </si>
  <si>
    <t>H003AU</t>
  </si>
  <si>
    <t>H003AV</t>
  </si>
  <si>
    <t>H003AW</t>
  </si>
  <si>
    <t>H003AX</t>
  </si>
  <si>
    <t>H003AY</t>
  </si>
  <si>
    <t>H003AZ</t>
  </si>
  <si>
    <t>H003BA</t>
  </si>
  <si>
    <t>H003BB</t>
  </si>
  <si>
    <t>H003BC</t>
  </si>
  <si>
    <t>H003BD</t>
  </si>
  <si>
    <t>H003BE</t>
  </si>
  <si>
    <t>H003BF</t>
  </si>
  <si>
    <t>H003BG</t>
  </si>
  <si>
    <t>H003BH</t>
  </si>
  <si>
    <t>H003BJ</t>
  </si>
  <si>
    <t>H003BK</t>
  </si>
  <si>
    <t>H003BL</t>
  </si>
  <si>
    <t>H003BM</t>
  </si>
  <si>
    <t>H003BN</t>
  </si>
  <si>
    <t>H003BP</t>
  </si>
  <si>
    <t>H003BQ</t>
  </si>
  <si>
    <t>H003BR</t>
  </si>
  <si>
    <t>H003BS</t>
  </si>
  <si>
    <t>H003BT</t>
  </si>
  <si>
    <t>H003BU</t>
  </si>
  <si>
    <t>H003BV</t>
  </si>
  <si>
    <t>H003BW</t>
  </si>
  <si>
    <t>H003BX</t>
  </si>
  <si>
    <t>H003BY</t>
  </si>
  <si>
    <t>H003BZ</t>
  </si>
  <si>
    <t>H004</t>
  </si>
  <si>
    <t>H004AA</t>
  </si>
  <si>
    <t>H007</t>
  </si>
  <si>
    <t>H007AA</t>
  </si>
  <si>
    <t>H007AB</t>
  </si>
  <si>
    <t>H009</t>
  </si>
  <si>
    <t>H009AA</t>
  </si>
  <si>
    <t>H009AB</t>
  </si>
  <si>
    <t>H010</t>
  </si>
  <si>
    <t>H010AA</t>
  </si>
  <si>
    <t>H010AB</t>
  </si>
  <si>
    <t>H011</t>
  </si>
  <si>
    <t>H011AA</t>
  </si>
  <si>
    <t>H011AB</t>
  </si>
  <si>
    <t>H011AC</t>
  </si>
  <si>
    <t>H011AD</t>
  </si>
  <si>
    <t>H012</t>
  </si>
  <si>
    <t>H012AA</t>
  </si>
  <si>
    <t>H012AB</t>
  </si>
  <si>
    <t>H013</t>
  </si>
  <si>
    <t>H013AA</t>
  </si>
  <si>
    <t>H013AB</t>
  </si>
  <si>
    <t>H013AC</t>
  </si>
  <si>
    <t>H013AD</t>
  </si>
  <si>
    <t>H014</t>
  </si>
  <si>
    <t>H014AA</t>
  </si>
  <si>
    <t>H014AB</t>
  </si>
  <si>
    <t>H014AC</t>
  </si>
  <si>
    <t>H014AD</t>
  </si>
  <si>
    <t>H015</t>
  </si>
  <si>
    <t>H015AA</t>
  </si>
  <si>
    <t>H015AC</t>
  </si>
  <si>
    <t>H009AC</t>
  </si>
  <si>
    <t>J001</t>
  </si>
  <si>
    <t>J001AA</t>
  </si>
  <si>
    <t>J001AB</t>
  </si>
  <si>
    <t>J001AC</t>
  </si>
  <si>
    <t>J001AD</t>
  </si>
  <si>
    <t>J001AE</t>
  </si>
  <si>
    <t>J001AF</t>
  </si>
  <si>
    <t>J001AG</t>
  </si>
  <si>
    <t>J001AH</t>
  </si>
  <si>
    <t>J001AJ</t>
  </si>
  <si>
    <t>J001AK</t>
  </si>
  <si>
    <t>J001AL</t>
  </si>
  <si>
    <t>J001AM</t>
  </si>
  <si>
    <t>J001AN</t>
  </si>
  <si>
    <t>J001AP</t>
  </si>
  <si>
    <t>J001AQ</t>
  </si>
  <si>
    <t>J001AR</t>
  </si>
  <si>
    <t>J001AS</t>
  </si>
  <si>
    <t>J001AT</t>
  </si>
  <si>
    <t>J001AU</t>
  </si>
  <si>
    <t>J001AV</t>
  </si>
  <si>
    <t>J001AW</t>
  </si>
  <si>
    <t>J001AX</t>
  </si>
  <si>
    <t>J001AY</t>
  </si>
  <si>
    <t>J001AZ</t>
  </si>
  <si>
    <t>J001BA</t>
  </si>
  <si>
    <t>J001BB</t>
  </si>
  <si>
    <t>J001BC</t>
  </si>
  <si>
    <t>J001BD</t>
  </si>
  <si>
    <t>J001BE</t>
  </si>
  <si>
    <t>J001BF</t>
  </si>
  <si>
    <t>J001BG</t>
  </si>
  <si>
    <t>J001BH</t>
  </si>
  <si>
    <t>J001BK</t>
  </si>
  <si>
    <t>J001BL</t>
  </si>
  <si>
    <t>J001BM</t>
  </si>
  <si>
    <t>J001BN</t>
  </si>
  <si>
    <t>J001BP</t>
  </si>
  <si>
    <t>J001BQ</t>
  </si>
  <si>
    <t>J001BR</t>
  </si>
  <si>
    <t>J001BS</t>
  </si>
  <si>
    <t>J001BT</t>
  </si>
  <si>
    <t>J001BU</t>
  </si>
  <si>
    <t>J001BV</t>
  </si>
  <si>
    <t>J001BW</t>
  </si>
  <si>
    <t>J001BX</t>
  </si>
  <si>
    <t>J001BY</t>
  </si>
  <si>
    <t>J001BZ</t>
  </si>
  <si>
    <t>J001CA</t>
  </si>
  <si>
    <t>J001CB</t>
  </si>
  <si>
    <t>J001CC</t>
  </si>
  <si>
    <t>J001CD</t>
  </si>
  <si>
    <t>J001CE</t>
  </si>
  <si>
    <t>J001CF</t>
  </si>
  <si>
    <t>J001CG</t>
  </si>
  <si>
    <t>J001CH</t>
  </si>
  <si>
    <t>J001CJ</t>
  </si>
  <si>
    <t>J001CK</t>
  </si>
  <si>
    <t>J001CL</t>
  </si>
  <si>
    <t>J001CM</t>
  </si>
  <si>
    <t>J001CN</t>
  </si>
  <si>
    <t>J001CP</t>
  </si>
  <si>
    <t>J001CQ</t>
  </si>
  <si>
    <t>J001CR</t>
  </si>
  <si>
    <t>J001CS</t>
  </si>
  <si>
    <t>J001CT</t>
  </si>
  <si>
    <t>J001CU</t>
  </si>
  <si>
    <t>J001CV</t>
  </si>
  <si>
    <t>J001CW</t>
  </si>
  <si>
    <t>J001CY</t>
  </si>
  <si>
    <t>J001CZ</t>
  </si>
  <si>
    <t>J001DA</t>
  </si>
  <si>
    <t>J001DB</t>
  </si>
  <si>
    <t>J001DC</t>
  </si>
  <si>
    <t>J001DD</t>
  </si>
  <si>
    <t>J002</t>
  </si>
  <si>
    <t>J002AA</t>
  </si>
  <si>
    <t>J002AB</t>
  </si>
  <si>
    <t>J002AC</t>
  </si>
  <si>
    <t>J003</t>
  </si>
  <si>
    <t>J003AA</t>
  </si>
  <si>
    <t>J003AB</t>
  </si>
  <si>
    <t>J003AC</t>
  </si>
  <si>
    <t>J003AE</t>
  </si>
  <si>
    <t>J003AF</t>
  </si>
  <si>
    <t>J003AG</t>
  </si>
  <si>
    <t>J003AH</t>
  </si>
  <si>
    <t>J003AJ</t>
  </si>
  <si>
    <t>J003AK</t>
  </si>
  <si>
    <t>J003AL</t>
  </si>
  <si>
    <t>J003AM</t>
  </si>
  <si>
    <t>J003AN</t>
  </si>
  <si>
    <t>J003AP</t>
  </si>
  <si>
    <t>J003AQ</t>
  </si>
  <si>
    <t>J003AR</t>
  </si>
  <si>
    <t>J003AS</t>
  </si>
  <si>
    <t>J003AT</t>
  </si>
  <si>
    <t>J003AU</t>
  </si>
  <si>
    <t>J003AV</t>
  </si>
  <si>
    <t>J003AW</t>
  </si>
  <si>
    <t>J003AX</t>
  </si>
  <si>
    <t>J003AY</t>
  </si>
  <si>
    <t>J003AZ</t>
  </si>
  <si>
    <t>J003BA</t>
  </si>
  <si>
    <t>J003BB</t>
  </si>
  <si>
    <t>J003BC</t>
  </si>
  <si>
    <t>J003BD</t>
  </si>
  <si>
    <t>J003BE</t>
  </si>
  <si>
    <t>J003BF</t>
  </si>
  <si>
    <t>J003BG</t>
  </si>
  <si>
    <t>J003BH</t>
  </si>
  <si>
    <t>J003BJ</t>
  </si>
  <si>
    <t>J003BK</t>
  </si>
  <si>
    <t>J003BL</t>
  </si>
  <si>
    <t>J003BM</t>
  </si>
  <si>
    <t>J003BN</t>
  </si>
  <si>
    <t>J003BP</t>
  </si>
  <si>
    <t>J003BQ</t>
  </si>
  <si>
    <t>J003BR</t>
  </si>
  <si>
    <t>J003BS</t>
  </si>
  <si>
    <t>J003BT</t>
  </si>
  <si>
    <t>J003BU</t>
  </si>
  <si>
    <t>J003BV</t>
  </si>
  <si>
    <t>J003BW</t>
  </si>
  <si>
    <t>J003BX</t>
  </si>
  <si>
    <t>J003BY</t>
  </si>
  <si>
    <t>J003BZ</t>
  </si>
  <si>
    <t>J004</t>
  </si>
  <si>
    <t>J004AA</t>
  </si>
  <si>
    <t>J007</t>
  </si>
  <si>
    <t>J007AA</t>
  </si>
  <si>
    <t>J007AB</t>
  </si>
  <si>
    <t>J009</t>
  </si>
  <si>
    <t>J009AA</t>
  </si>
  <si>
    <t>J009AB</t>
  </si>
  <si>
    <t>J010</t>
  </si>
  <si>
    <t>J010AA</t>
  </si>
  <si>
    <t>J010AB</t>
  </si>
  <si>
    <t>J011</t>
  </si>
  <si>
    <t>J011AA</t>
  </si>
  <si>
    <t>J011AB</t>
  </si>
  <si>
    <t>J011AC</t>
  </si>
  <si>
    <t>J011AD</t>
  </si>
  <si>
    <t>J012</t>
  </si>
  <si>
    <t>J012AA</t>
  </si>
  <si>
    <t>J012AB</t>
  </si>
  <si>
    <t>J013</t>
  </si>
  <si>
    <t>J013AA</t>
  </si>
  <si>
    <t>J013AB</t>
  </si>
  <si>
    <t>J013AC</t>
  </si>
  <si>
    <t>J013AD</t>
  </si>
  <si>
    <t>J014</t>
  </si>
  <si>
    <t>J014AA</t>
  </si>
  <si>
    <t>J014AB</t>
  </si>
  <si>
    <t>J014AC</t>
  </si>
  <si>
    <t>J014AD</t>
  </si>
  <si>
    <t>J015</t>
  </si>
  <si>
    <t>J015AA</t>
  </si>
  <si>
    <t>J015AC</t>
  </si>
  <si>
    <t>J009AC</t>
  </si>
  <si>
    <t>CLIN 0007 - Recurring Work - Second Period</t>
  </si>
  <si>
    <t>CLIN 0004 - Recurring Work - First Option Period</t>
  </si>
  <si>
    <t>CLIN 0010 - Recurring Work -Third Option Period</t>
  </si>
  <si>
    <t>CLIN 0013 - Recurring Work - Fourth Option Period</t>
  </si>
  <si>
    <t>CLIN 0016 - Recurring Work - Fifth Option Period</t>
  </si>
  <si>
    <t>CLIN 0019 - Recurring Work - Sixth Option Period</t>
  </si>
  <si>
    <t>CLIN 0022 - Recurring Work - Seventh Option Period</t>
  </si>
  <si>
    <t>CLIN 0025 - Recurring Work -52.217-8 Option Period</t>
  </si>
  <si>
    <t xml:space="preserve">CLIN 0026 - Non-Recurring Work -  52.217-8 Option Period </t>
  </si>
  <si>
    <t>CLIN 0006 - UT Recurring Work - First Option Period</t>
  </si>
  <si>
    <t>CLIN 0009 - UT Recurring Work -Second Option  Period</t>
  </si>
  <si>
    <t>CLIN 0012 - UT Recurring Work - Third Option Period</t>
  </si>
  <si>
    <r>
      <t xml:space="preserve">CLIN 0015 - UT Recurring Work - Fourth </t>
    </r>
    <r>
      <rPr>
        <sz val="10"/>
        <rFont val="Times New Roman"/>
        <family val="1"/>
      </rPr>
      <t xml:space="preserve">Option </t>
    </r>
    <r>
      <rPr>
        <b/>
        <sz val="10"/>
        <rFont val="Times New Roman"/>
        <family val="1"/>
      </rPr>
      <t>Period</t>
    </r>
  </si>
  <si>
    <t>CLIN 0018 - UT Recurring Work - Fifth Option Period</t>
  </si>
  <si>
    <t>CLIN 0024 - UT Recurring Work - Seventh Option Period</t>
  </si>
  <si>
    <t>CLIN 0003 - UT Recurring Work - 52.217-8 Option  Period</t>
  </si>
  <si>
    <t>Uninterruptible Power Supplies (UPS)</t>
  </si>
  <si>
    <t>Non-Government Owned Leased Vehicles</t>
  </si>
  <si>
    <t>Inspection of  POL Tanks and Systems</t>
  </si>
  <si>
    <t xml:space="preserve">The Contractor shall perform management and oversight of subcontracted non-recurring work in accordance with the scope and delivery schedule negotiated per each task order.  
Refer to: Section C, Annex 0200000 Management and Administration, Specification Item 2.15.2.1.2 Subcontractor Requirements description of Sub.
Refer to: Section J, Annex 0200000 Management and Administration, Attachment J-0200000-01 Definitions and Acronyms for definition of Sub-Contractor Fixed Burden Rate.
The estimated quantity (in dollars) is provided. A Fixed Burdened Rate (FBR) shall be entered in the Unit Price column. The FBR shall include all direct and indirect factors for management and oversight of subcontracted non-recurring work.  Similar to FBR example in J-0200000-01, if a 15% markup is the Contractor's proposed FBR, the Unit Price should be $1.15. During performance, if the lowest subcontractor labor proposal is $1,000.00 and the FBR is $1.15, the labor cost to the Government will be $1,150.00.  (DO - Dollars).
</t>
  </si>
  <si>
    <t>A700AA</t>
  </si>
  <si>
    <t>A700AB</t>
  </si>
  <si>
    <t>ELINs A700 through A718</t>
  </si>
  <si>
    <t>Provide all materials and construction equipment to perform Unit Priced Labor work per the scope and delivery schedule specified in the order. Pre-expended bin supplies and materials will not be included in the list of materials since the cost for these items were included in the labor hour unit price bid.  Material prices provided by the Contractor shall be the lowest price available considering the availability of materials and the time constraints of the job.  The direct material price shall be adjusted by all discounts and rebates for core value or salvage value that accrue to the Contractor.
Contractor owned equipment rental rates shall be based on calculations set forth in US Army Corp of Engineers “Construction Equipment Ownership and Operating Expense Schedule (EP 1110-1-8 (Vol. 11) July 03 or latest revision) Chapter 2. 
The estitmate quantity (in dollars) is provided. A Fixed burdened rate (FBR) shall be entered in the Unit Price column. The FBR shall include factors for ordering, handling, and stockpiling materials and repair parts.  Similar to FBR example in J-0200000-01, if a 10% markup is the Contractor's proposed FBR, the Unit Price should be $1.10. When multiplying the proposed Unit Price by the Estimated Quantity, the Extended Price should be  During administration, if the vendor's invoice on material is $1,000.00 and the unit price is $1.10, the cost of the material to the government will be $1,050.00.  (DO - Dollars)</t>
  </si>
  <si>
    <t>ELINs B700 through B718</t>
  </si>
  <si>
    <t>B700AA</t>
  </si>
  <si>
    <t>B700AB</t>
  </si>
  <si>
    <t>ELINs C700 through C718</t>
  </si>
  <si>
    <t>C700AA</t>
  </si>
  <si>
    <t>C700AB</t>
  </si>
  <si>
    <t>ELINs D700 through D718</t>
  </si>
  <si>
    <t>D700AA</t>
  </si>
  <si>
    <t>D700AB</t>
  </si>
  <si>
    <t>ELINs E700 through E718</t>
  </si>
  <si>
    <t>E700AA</t>
  </si>
  <si>
    <t>E700AB</t>
  </si>
  <si>
    <t>ELINs F700 through F718</t>
  </si>
  <si>
    <t>F700AA</t>
  </si>
  <si>
    <t>F700AB</t>
  </si>
  <si>
    <t>ELINs G700 through G718</t>
  </si>
  <si>
    <t>G700AA</t>
  </si>
  <si>
    <t>G700AB</t>
  </si>
  <si>
    <t>ELINs H700 through H718</t>
  </si>
  <si>
    <t>H700AA</t>
  </si>
  <si>
    <t>H700AB</t>
  </si>
  <si>
    <t>ELINs J700 through J718</t>
  </si>
  <si>
    <t>J700AA</t>
  </si>
  <si>
    <t>J700AB</t>
  </si>
  <si>
    <t xml:space="preserve">The Contractor shall self-perform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
  </si>
  <si>
    <t>Self-Performed Unit Priced Labor Hour Work  -  MUST BE NEGOTIATED BY KO.</t>
  </si>
  <si>
    <t>Subcontractor Labor (Fixed Burden Rate) -  MUST BE NEGOTIATED BY KO.</t>
  </si>
  <si>
    <t>CLIN 0001- UT Recurring Work - Sixth Option Period</t>
  </si>
  <si>
    <t>CNRSE ST-UH</t>
  </si>
  <si>
    <t>CNRSE ST-FAC</t>
  </si>
  <si>
    <t>CNRSE ST-UTL</t>
  </si>
  <si>
    <t>A001DE</t>
  </si>
  <si>
    <t>A001DF</t>
  </si>
  <si>
    <t>3.5.1 &amp; 3.5.7</t>
  </si>
  <si>
    <t>Boiler &amp; HVAC Seasonal Startup and Shutdown</t>
  </si>
  <si>
    <t>A003AD</t>
  </si>
  <si>
    <t>A008AD</t>
  </si>
  <si>
    <t>A008AE</t>
  </si>
  <si>
    <t>A008AG</t>
  </si>
  <si>
    <t>A008AH</t>
  </si>
  <si>
    <t>A008AJ</t>
  </si>
  <si>
    <t>A008AK</t>
  </si>
  <si>
    <t>A008AL</t>
  </si>
  <si>
    <t>A008AF</t>
  </si>
  <si>
    <t>A008AM</t>
  </si>
  <si>
    <t>A009AD</t>
  </si>
  <si>
    <t>A011AE</t>
  </si>
  <si>
    <t>A011AF</t>
  </si>
  <si>
    <t>A011AG</t>
  </si>
  <si>
    <t>A012AC</t>
  </si>
  <si>
    <t>A012AD</t>
  </si>
  <si>
    <t>A014AE</t>
  </si>
  <si>
    <t>ELINs A001 through A014</t>
  </si>
  <si>
    <t>ELINs B001 through B014</t>
  </si>
  <si>
    <t>B001BJ</t>
  </si>
  <si>
    <t>B001CX</t>
  </si>
  <si>
    <t>B001DE</t>
  </si>
  <si>
    <t>B001DF</t>
  </si>
  <si>
    <t>B003AD</t>
  </si>
  <si>
    <t>B005</t>
  </si>
  <si>
    <t>B005AA</t>
  </si>
  <si>
    <t>B005AB</t>
  </si>
  <si>
    <t>B005AC</t>
  </si>
  <si>
    <t>B005AD</t>
  </si>
  <si>
    <t>B006</t>
  </si>
  <si>
    <t>B006AA</t>
  </si>
  <si>
    <t>B006AB</t>
  </si>
  <si>
    <t>B006AC</t>
  </si>
  <si>
    <t>B006AD</t>
  </si>
  <si>
    <t>B006AE</t>
  </si>
  <si>
    <t>B006AF</t>
  </si>
  <si>
    <t>B006AG</t>
  </si>
  <si>
    <t>B006AH</t>
  </si>
  <si>
    <t>B006AJ</t>
  </si>
  <si>
    <t>B006AK</t>
  </si>
  <si>
    <t>B006AL</t>
  </si>
  <si>
    <t>B008</t>
  </si>
  <si>
    <t>B008AA</t>
  </si>
  <si>
    <t>B008AB</t>
  </si>
  <si>
    <t>B008AC</t>
  </si>
  <si>
    <t>B008AD</t>
  </si>
  <si>
    <t>B008AE</t>
  </si>
  <si>
    <t>B008AF</t>
  </si>
  <si>
    <t>B008AG</t>
  </si>
  <si>
    <t>B008AH</t>
  </si>
  <si>
    <t>B008AJ</t>
  </si>
  <si>
    <t>B008AK</t>
  </si>
  <si>
    <t>B008AL</t>
  </si>
  <si>
    <t>B008AM</t>
  </si>
  <si>
    <t>B009AD</t>
  </si>
  <si>
    <t>B011AE</t>
  </si>
  <si>
    <t>B011AF</t>
  </si>
  <si>
    <t>B011AG</t>
  </si>
  <si>
    <t>B012AC</t>
  </si>
  <si>
    <t>B012AD</t>
  </si>
  <si>
    <t>B014AE</t>
  </si>
  <si>
    <t>C001BJ</t>
  </si>
  <si>
    <t>C001CX</t>
  </si>
  <si>
    <t>C001DE</t>
  </si>
  <si>
    <t>C001DF</t>
  </si>
  <si>
    <t>C003AD</t>
  </si>
  <si>
    <t>C005</t>
  </si>
  <si>
    <t>C005AA</t>
  </si>
  <si>
    <t>C005AB</t>
  </si>
  <si>
    <t>C005AC</t>
  </si>
  <si>
    <t>C005AD</t>
  </si>
  <si>
    <t>C006</t>
  </si>
  <si>
    <t>C006AA</t>
  </si>
  <si>
    <t>C006AB</t>
  </si>
  <si>
    <t>C006AC</t>
  </si>
  <si>
    <t>C006AD</t>
  </si>
  <si>
    <t>C006AE</t>
  </si>
  <si>
    <t>C006AF</t>
  </si>
  <si>
    <t>C006AG</t>
  </si>
  <si>
    <t>C006AH</t>
  </si>
  <si>
    <t>C006AJ</t>
  </si>
  <si>
    <t>C006AK</t>
  </si>
  <si>
    <t>C006AL</t>
  </si>
  <si>
    <t>C008</t>
  </si>
  <si>
    <t>C008AA</t>
  </si>
  <si>
    <t>C008AB</t>
  </si>
  <si>
    <t>C008AC</t>
  </si>
  <si>
    <t>C008AD</t>
  </si>
  <si>
    <t>C008AE</t>
  </si>
  <si>
    <t>C008AF</t>
  </si>
  <si>
    <t>C008AG</t>
  </si>
  <si>
    <t>C008AH</t>
  </si>
  <si>
    <t>C008AJ</t>
  </si>
  <si>
    <t>C008AK</t>
  </si>
  <si>
    <t>C008AL</t>
  </si>
  <si>
    <t>C008AM</t>
  </si>
  <si>
    <t>C009AD</t>
  </si>
  <si>
    <t>C011AE</t>
  </si>
  <si>
    <t>C011AF</t>
  </si>
  <si>
    <t>C011AG</t>
  </si>
  <si>
    <t>C012AC</t>
  </si>
  <si>
    <t>C012AD</t>
  </si>
  <si>
    <t>C014AE</t>
  </si>
  <si>
    <t>D001BJ</t>
  </si>
  <si>
    <t>D001CX</t>
  </si>
  <si>
    <t>D001DE</t>
  </si>
  <si>
    <t>D001DF</t>
  </si>
  <si>
    <t>D003AD</t>
  </si>
  <si>
    <t>D005</t>
  </si>
  <si>
    <t>D005AA</t>
  </si>
  <si>
    <t>D005AB</t>
  </si>
  <si>
    <t>D005AC</t>
  </si>
  <si>
    <t>D005AD</t>
  </si>
  <si>
    <t>D006</t>
  </si>
  <si>
    <t>D006AA</t>
  </si>
  <si>
    <t>D006AB</t>
  </si>
  <si>
    <t>D006AC</t>
  </si>
  <si>
    <t>D006AD</t>
  </si>
  <si>
    <t>D006AE</t>
  </si>
  <si>
    <t>D006AF</t>
  </si>
  <si>
    <t>D006AG</t>
  </si>
  <si>
    <t>D006AH</t>
  </si>
  <si>
    <t>D006AJ</t>
  </si>
  <si>
    <t>D006AK</t>
  </si>
  <si>
    <t>D006AL</t>
  </si>
  <si>
    <t>D008</t>
  </si>
  <si>
    <t>D008AA</t>
  </si>
  <si>
    <t>D008AB</t>
  </si>
  <si>
    <t>D008AC</t>
  </si>
  <si>
    <t>D008AD</t>
  </si>
  <si>
    <t>D008AE</t>
  </si>
  <si>
    <t>D008AF</t>
  </si>
  <si>
    <t>D008AG</t>
  </si>
  <si>
    <t>D008AH</t>
  </si>
  <si>
    <t>D008AJ</t>
  </si>
  <si>
    <t>D008AK</t>
  </si>
  <si>
    <t>D008AL</t>
  </si>
  <si>
    <t>D008AM</t>
  </si>
  <si>
    <t>D009AD</t>
  </si>
  <si>
    <t>D011AE</t>
  </si>
  <si>
    <t>D011AF</t>
  </si>
  <si>
    <t>D011AG</t>
  </si>
  <si>
    <t>D012AC</t>
  </si>
  <si>
    <t>D012AD</t>
  </si>
  <si>
    <t>D014AE</t>
  </si>
  <si>
    <t>E001BJ</t>
  </si>
  <si>
    <t>E001CX</t>
  </si>
  <si>
    <t>E001DE</t>
  </si>
  <si>
    <t>E001DF</t>
  </si>
  <si>
    <t>E003AD</t>
  </si>
  <si>
    <t>E005</t>
  </si>
  <si>
    <t>E005AA</t>
  </si>
  <si>
    <t>E005AB</t>
  </si>
  <si>
    <t>E005AC</t>
  </si>
  <si>
    <t>E005AD</t>
  </si>
  <si>
    <t>E006</t>
  </si>
  <si>
    <t>E006AA</t>
  </si>
  <si>
    <t>E006AB</t>
  </si>
  <si>
    <t>E006AC</t>
  </si>
  <si>
    <t>E006AD</t>
  </si>
  <si>
    <t>E006AE</t>
  </si>
  <si>
    <t>E006AF</t>
  </si>
  <si>
    <t>E006AG</t>
  </si>
  <si>
    <t>E006AH</t>
  </si>
  <si>
    <t>E006AJ</t>
  </si>
  <si>
    <t>E006AK</t>
  </si>
  <si>
    <t>E006AL</t>
  </si>
  <si>
    <t>E008</t>
  </si>
  <si>
    <t>E008AA</t>
  </si>
  <si>
    <t>E008AB</t>
  </si>
  <si>
    <t>E008AC</t>
  </si>
  <si>
    <t>E008AD</t>
  </si>
  <si>
    <t>E008AE</t>
  </si>
  <si>
    <t>E008AF</t>
  </si>
  <si>
    <t>E008AG</t>
  </si>
  <si>
    <t>E008AH</t>
  </si>
  <si>
    <t>E008AJ</t>
  </si>
  <si>
    <t>E008AK</t>
  </si>
  <si>
    <t>E008AL</t>
  </si>
  <si>
    <t>E008AM</t>
  </si>
  <si>
    <t>E009AD</t>
  </si>
  <si>
    <t>E011AE</t>
  </si>
  <si>
    <t>E011AF</t>
  </si>
  <si>
    <t>E011AG</t>
  </si>
  <si>
    <t>E012AC</t>
  </si>
  <si>
    <t>E012AD</t>
  </si>
  <si>
    <t>E014AE</t>
  </si>
  <si>
    <t>F001BJ</t>
  </si>
  <si>
    <t>F001CX</t>
  </si>
  <si>
    <t>F001DE</t>
  </si>
  <si>
    <t>F001DF</t>
  </si>
  <si>
    <t>F003AD</t>
  </si>
  <si>
    <t>F005</t>
  </si>
  <si>
    <t>F005AA</t>
  </si>
  <si>
    <t>F005AB</t>
  </si>
  <si>
    <t>F005AC</t>
  </si>
  <si>
    <t>F005AD</t>
  </si>
  <si>
    <t>F006</t>
  </si>
  <si>
    <t>F006AA</t>
  </si>
  <si>
    <t>F006AB</t>
  </si>
  <si>
    <t>F006AC</t>
  </si>
  <si>
    <t>F006AD</t>
  </si>
  <si>
    <t>F006AE</t>
  </si>
  <si>
    <t>F006AF</t>
  </si>
  <si>
    <t>F006AG</t>
  </si>
  <si>
    <t>F006AH</t>
  </si>
  <si>
    <t>F006AJ</t>
  </si>
  <si>
    <t>F006AK</t>
  </si>
  <si>
    <t>F006AL</t>
  </si>
  <si>
    <t>F008</t>
  </si>
  <si>
    <t>F008AA</t>
  </si>
  <si>
    <t>F008AB</t>
  </si>
  <si>
    <t>F008AC</t>
  </si>
  <si>
    <t>F008AD</t>
  </si>
  <si>
    <t>F008AE</t>
  </si>
  <si>
    <t>F008AF</t>
  </si>
  <si>
    <t>F008AG</t>
  </si>
  <si>
    <t>F008AH</t>
  </si>
  <si>
    <t>F008AJ</t>
  </si>
  <si>
    <t>F008AK</t>
  </si>
  <si>
    <t>F008AL</t>
  </si>
  <si>
    <t>F008AM</t>
  </si>
  <si>
    <t>F009AD</t>
  </si>
  <si>
    <t>F011AE</t>
  </si>
  <si>
    <t>F011AF</t>
  </si>
  <si>
    <t>F011AG</t>
  </si>
  <si>
    <t>F012AC</t>
  </si>
  <si>
    <t>F012AD</t>
  </si>
  <si>
    <t>F014AE</t>
  </si>
  <si>
    <t>G001BJ</t>
  </si>
  <si>
    <t>G001CX</t>
  </si>
  <si>
    <t>G001DE</t>
  </si>
  <si>
    <t>G001DF</t>
  </si>
  <si>
    <t>G003AD</t>
  </si>
  <si>
    <t>G005</t>
  </si>
  <si>
    <t>G005AA</t>
  </si>
  <si>
    <t>G005AB</t>
  </si>
  <si>
    <t>G005AC</t>
  </si>
  <si>
    <t>G005AD</t>
  </si>
  <si>
    <t>G006</t>
  </si>
  <si>
    <t>G006AA</t>
  </si>
  <si>
    <t>G006AB</t>
  </si>
  <si>
    <t>G006AC</t>
  </si>
  <si>
    <t>G006AD</t>
  </si>
  <si>
    <t>G006AE</t>
  </si>
  <si>
    <t>G006AF</t>
  </si>
  <si>
    <t>G006AG</t>
  </si>
  <si>
    <t>G006AH</t>
  </si>
  <si>
    <t>G006AJ</t>
  </si>
  <si>
    <t>G006AK</t>
  </si>
  <si>
    <t>G006AL</t>
  </si>
  <si>
    <t>G008</t>
  </si>
  <si>
    <t>G008AA</t>
  </si>
  <si>
    <t>G008AB</t>
  </si>
  <si>
    <t>G008AC</t>
  </si>
  <si>
    <t>G008AD</t>
  </si>
  <si>
    <t>G008AE</t>
  </si>
  <si>
    <t>G008AF</t>
  </si>
  <si>
    <t>G008AG</t>
  </si>
  <si>
    <t>G008AH</t>
  </si>
  <si>
    <t>G008AJ</t>
  </si>
  <si>
    <t>G008AK</t>
  </si>
  <si>
    <t>G008AL</t>
  </si>
  <si>
    <t>G008AM</t>
  </si>
  <si>
    <t>G009AD</t>
  </si>
  <si>
    <t>G011AE</t>
  </si>
  <si>
    <t>G011AF</t>
  </si>
  <si>
    <t>G011AG</t>
  </si>
  <si>
    <t>G012AC</t>
  </si>
  <si>
    <t>G012AD</t>
  </si>
  <si>
    <t>G014AE</t>
  </si>
  <si>
    <t>H001BJ</t>
  </si>
  <si>
    <t>H001CX</t>
  </si>
  <si>
    <t>H001DE</t>
  </si>
  <si>
    <t>H001DF</t>
  </si>
  <si>
    <t>H003AD</t>
  </si>
  <si>
    <t>H005</t>
  </si>
  <si>
    <t>H005AA</t>
  </si>
  <si>
    <t>H005AB</t>
  </si>
  <si>
    <t>H005AC</t>
  </si>
  <si>
    <t>H005AD</t>
  </si>
  <si>
    <t>H006</t>
  </si>
  <si>
    <t>H006AA</t>
  </si>
  <si>
    <t>H006AB</t>
  </si>
  <si>
    <t>H006AC</t>
  </si>
  <si>
    <t>H006AD</t>
  </si>
  <si>
    <t>H006AE</t>
  </si>
  <si>
    <t>H006AF</t>
  </si>
  <si>
    <t>H006AG</t>
  </si>
  <si>
    <t>H006AH</t>
  </si>
  <si>
    <t>H006AJ</t>
  </si>
  <si>
    <t>H006AK</t>
  </si>
  <si>
    <t>H006AL</t>
  </si>
  <si>
    <t>H008</t>
  </si>
  <si>
    <t>H008AA</t>
  </si>
  <si>
    <t>H008AB</t>
  </si>
  <si>
    <t>H008AC</t>
  </si>
  <si>
    <t>H008AD</t>
  </si>
  <si>
    <t>H008AE</t>
  </si>
  <si>
    <t>H008AF</t>
  </si>
  <si>
    <t>H008AG</t>
  </si>
  <si>
    <t>H008AH</t>
  </si>
  <si>
    <t>H008AJ</t>
  </si>
  <si>
    <t>H008AK</t>
  </si>
  <si>
    <t>H008AL</t>
  </si>
  <si>
    <t>H008AM</t>
  </si>
  <si>
    <t>H009AD</t>
  </si>
  <si>
    <t>H011AE</t>
  </si>
  <si>
    <t>H011AF</t>
  </si>
  <si>
    <t>H011AG</t>
  </si>
  <si>
    <t>H012AC</t>
  </si>
  <si>
    <t>H012AD</t>
  </si>
  <si>
    <t>H014AE</t>
  </si>
  <si>
    <t>J001BJ</t>
  </si>
  <si>
    <t>J001CX</t>
  </si>
  <si>
    <t>J001DE</t>
  </si>
  <si>
    <t>J001DF</t>
  </si>
  <si>
    <t>J003AD</t>
  </si>
  <si>
    <t>J005</t>
  </si>
  <si>
    <t>J005AA</t>
  </si>
  <si>
    <t>J005AB</t>
  </si>
  <si>
    <t>J005AC</t>
  </si>
  <si>
    <t>J005AD</t>
  </si>
  <si>
    <t>J006</t>
  </si>
  <si>
    <t>J006AA</t>
  </si>
  <si>
    <t>J006AB</t>
  </si>
  <si>
    <t>J006AC</t>
  </si>
  <si>
    <t>J006AD</t>
  </si>
  <si>
    <t>J006AE</t>
  </si>
  <si>
    <t>J006AF</t>
  </si>
  <si>
    <t>J006AG</t>
  </si>
  <si>
    <t>J006AH</t>
  </si>
  <si>
    <t>J006AJ</t>
  </si>
  <si>
    <t>J006AK</t>
  </si>
  <si>
    <t>J006AL</t>
  </si>
  <si>
    <t>J008</t>
  </si>
  <si>
    <t>J008AA</t>
  </si>
  <si>
    <t>J008AB</t>
  </si>
  <si>
    <t>J008AC</t>
  </si>
  <si>
    <t>J008AD</t>
  </si>
  <si>
    <t>J008AE</t>
  </si>
  <si>
    <t>J008AF</t>
  </si>
  <si>
    <t>J008AG</t>
  </si>
  <si>
    <t>J008AH</t>
  </si>
  <si>
    <t>J008AJ</t>
  </si>
  <si>
    <t>J008AK</t>
  </si>
  <si>
    <t>J008AL</t>
  </si>
  <si>
    <t>J008AM</t>
  </si>
  <si>
    <t>J009AD</t>
  </si>
  <si>
    <t>J011AE</t>
  </si>
  <si>
    <t>J011AF</t>
  </si>
  <si>
    <t>J011AG</t>
  </si>
  <si>
    <t>J012AC</t>
  </si>
  <si>
    <t>J012AD</t>
  </si>
  <si>
    <t>J014AE</t>
  </si>
  <si>
    <t>ELINs J001 through J014</t>
  </si>
  <si>
    <t>ELINs C001 through C014</t>
  </si>
  <si>
    <t>ELINs D001 through D014</t>
  </si>
  <si>
    <t>ELINs E001 through E014</t>
  </si>
  <si>
    <t>ELINs F001 through F014</t>
  </si>
  <si>
    <t>ELINs G001 through G014</t>
  </si>
  <si>
    <t>ELINs H001 through H014</t>
  </si>
  <si>
    <t>ELIN A015</t>
  </si>
  <si>
    <t>A015AE</t>
  </si>
  <si>
    <t>A015AF</t>
  </si>
  <si>
    <t>ELIN B015</t>
  </si>
  <si>
    <t>B015AE</t>
  </si>
  <si>
    <t>B015AF</t>
  </si>
  <si>
    <t>ELIN C015</t>
  </si>
  <si>
    <t>C015AE</t>
  </si>
  <si>
    <t>C015AF</t>
  </si>
  <si>
    <t>ELIN D015</t>
  </si>
  <si>
    <t>D015AE</t>
  </si>
  <si>
    <t>D015AF</t>
  </si>
  <si>
    <t>ELIN G015</t>
  </si>
  <si>
    <t>G015AE</t>
  </si>
  <si>
    <t>G015AF</t>
  </si>
  <si>
    <t>ELIN H015</t>
  </si>
  <si>
    <t>H015AE</t>
  </si>
  <si>
    <t>H015AF</t>
  </si>
  <si>
    <t>ELIN J015</t>
  </si>
  <si>
    <t>J015AE</t>
  </si>
  <si>
    <t>J015AF</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</si>
  <si>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A700AA will be used to determine the labor cost to the Governent.
For subcontracted labor: the FBR proposed for Sub-ELIN A700AB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</si>
  <si>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B700AA will be used to determine the labor cost to the Governent.
For subcontracted labor: the FBR proposed for Sub-ELIN B700AB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</si>
  <si>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C700AA will be used to determine the labor cost to the Governent.
For subcontracted labor: the FBR proposed for Sub-ELIN C700AB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</si>
  <si>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D700AA will be used to determine the labor cost to the Governent.
For subcontracted labor: the FBR proposed for Sub-ELIN D700AB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</si>
  <si>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E700AA will be used to determine the labor cost to the Governent.
For subcontracted labor: the FBR proposed for Sub-ELIN E700AB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</si>
  <si>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F700AA will be used to determine the labor cost to the Governent.
For subcontracted labor: the FBR proposed for Sub-ELIN F700AB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</si>
  <si>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G700AA  will be used to determine the labor cost to the Governent.
For subcontracted labor: the FBR proposed for Sub-ELIN G700AB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</si>
  <si>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H700AA will be used to determine the labor cost to the Governent.
For subcontracted labor: the FBR proposed for Sub-ELIN H700AB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</si>
  <si>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t>The Contractor shall perform all UPL work in accordance with the scope and delivery schedule negotiated per each task order.  
Refer to: Section C, Annex 0200000 Managmenent and Administration, Specification Item 2.15.2 Unit Priced Labor (UPL)Work (Negotiated) for description of UPL Work.
Refer to: Section J, Annex 0200000 Managmenent and Administration, Attachment J-0200000-01 Definitions and Acronyms for description of Unit Priced Labor  (UPL) Hour and Universal Equipment.
Task order completion times will be specified on each task order.
For self-performed work: the unit price proposed for Sub-ELIN J700AA will be used to determine the labor cost to the Governent.
For subcontracted labor: the FBR proposed for Sub-ELIN J700AB will be used to determine the labor cost to the Governmnet.
The estimated quantity of each Sub-ELIN is used to establish the ELIN Extended Price.  During administration the labor Sub-ELINs may be used in any combination and quantity provided the ELIN extended price is not exceeded.  The contract will not be modified to re-allocate capacity among labor SLINs.</t>
  </si>
  <si>
    <r>
      <t xml:space="preserve">Unscheduled Emergency Interstate Operator Service
</t>
    </r>
    <r>
      <rPr>
        <i/>
        <sz val="10"/>
        <rFont val="Times New Roman"/>
        <family val="1"/>
      </rPr>
      <t>available on FEDMALL</t>
    </r>
  </si>
  <si>
    <r>
      <t xml:space="preserve">Unscheduled Trucking Service 
</t>
    </r>
    <r>
      <rPr>
        <i/>
        <sz val="10"/>
        <rFont val="Times New Roman"/>
        <family val="1"/>
      </rPr>
      <t>available on FEDMALL</t>
    </r>
  </si>
  <si>
    <r>
      <t xml:space="preserve">Unscheduled Oily wastewater / rainwater Removal and Disposal
</t>
    </r>
    <r>
      <rPr>
        <i/>
        <sz val="10"/>
        <rFont val="Times New Roman"/>
        <family val="1"/>
      </rPr>
      <t>available on FEDMALL</t>
    </r>
  </si>
  <si>
    <r>
      <t xml:space="preserve">Blount Island Shoreline Cleanup
</t>
    </r>
    <r>
      <rPr>
        <i/>
        <sz val="10"/>
        <rFont val="Times New Roman"/>
        <family val="1"/>
      </rPr>
      <t>available on FEDMALL</t>
    </r>
  </si>
  <si>
    <r>
      <t xml:space="preserve">Unscheduled Bus/Van  Service
</t>
    </r>
    <r>
      <rPr>
        <i/>
        <sz val="10"/>
        <rFont val="Times New Roman"/>
        <family val="1"/>
      </rPr>
      <t>available  on FEDMALL</t>
    </r>
  </si>
  <si>
    <r>
      <t xml:space="preserve">Refrigerant Recovery
</t>
    </r>
    <r>
      <rPr>
        <i/>
        <sz val="10"/>
        <rFont val="Times New Roman"/>
        <family val="1"/>
      </rPr>
      <t>available on FEDMALL</t>
    </r>
  </si>
  <si>
    <r>
      <t xml:space="preserve">Temporary HVAC 40 ton package unit 
                   </t>
    </r>
    <r>
      <rPr>
        <i/>
        <sz val="10"/>
        <rFont val="Times New Roman"/>
        <family val="1"/>
      </rPr>
      <t>available on FEDMALL</t>
    </r>
  </si>
  <si>
    <r>
      <t xml:space="preserve">Temporary HVAC 100 ton Chiller
</t>
    </r>
    <r>
      <rPr>
        <i/>
        <sz val="10"/>
        <rFont val="Times New Roman"/>
        <family val="1"/>
      </rPr>
      <t>available on FEDMALL</t>
    </r>
  </si>
  <si>
    <r>
      <t xml:space="preserve">Temporary Roof Repairs
</t>
    </r>
    <r>
      <rPr>
        <i/>
        <sz val="10"/>
        <rFont val="Times New Roman"/>
        <family val="1"/>
      </rPr>
      <t>available on FEDMALL</t>
    </r>
  </si>
  <si>
    <r>
      <t xml:space="preserve">Water Damage Removal
</t>
    </r>
    <r>
      <rPr>
        <i/>
        <sz val="10"/>
        <rFont val="Times New Roman"/>
        <family val="1"/>
      </rPr>
      <t>available on FEDMALL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</si>
</sst>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4" formatCode="_(&quot;$&quot;* #,##0.00_);_(&quot;$&quot;* \(#,##0.00\);_(&quot;$&quot;* &quot;-&quot;??_);_(@_)"/>
    <numFmt numFmtId="43" formatCode="_(* #,##0.00_);_(* \(#,##0.00\);_(* &quot;-&quot;??_);_(@_)"/>
    <numFmt numFmtId="164" formatCode="&quot;$&quot;#,##0.00"/>
    <numFmt numFmtId="167" formatCode="[$-409]mmmm\-yy;@"/>
    <numFmt numFmtId="168" formatCode="0.00_)"/>
    <numFmt numFmtId="169" formatCode="_-* #,##0.00_-;\-* #,##0.00_-;_-* &quot;-&quot;??_-;_-@_-"/>
    <numFmt numFmtId="170" formatCode="_-&quot;$&quot;* #,##0.00_-;\-&quot;$&quot;* #,##0.00_-;_-&quot;$&quot;* &quot;-&quot;??_-;_-@_-"/>
    <numFmt numFmtId="171" formatCode="&quot;$&quot;#,##0\ ;\(&quot;$&quot;#,##0\)"/>
    <numFmt numFmtId="172" formatCode="_(* #,##0_);_(* \(#,##0\);_(* &quot;-&quot;??_);_(@_)"/>
  </numFmts>
  <fonts count="69">
    <font>
      <sz val="11"/>
      <color theme="1"/>
      <name val="Times New Roman"/>
      <family val="2"/>
      <scheme val="minor"/>
    </font>
    <font>
      <sz val="10"/>
      <color theme="1"/>
      <name val="Times New Roman"/>
      <family val="2"/>
    </font>
    <font>
      <sz val="10"/>
      <color theme="1"/>
      <name val="Times New Roman"/>
      <family val="2"/>
    </font>
    <font>
      <sz val="11"/>
      <color theme="1"/>
      <name val="Times New Roman"/>
      <family val="2"/>
      <scheme val="minor"/>
    </font>
    <font>
      <sz val="10"/>
      <color theme="1"/>
      <name val="Times New Roman"/>
      <family val="1"/>
    </font>
    <font>
      <b/>
      <sz val="10"/>
      <color theme="1"/>
      <name val="Times New Roman"/>
      <family val="1"/>
    </font>
    <font>
      <b/>
      <sz val="10"/>
      <name val="Times New Roman"/>
      <family val="1"/>
    </font>
    <font>
      <sz val="10"/>
      <name val="Arial"/>
      <family val="2"/>
    </font>
    <font>
      <sz val="10"/>
      <name val="Times New Roman"/>
      <family val="1"/>
    </font>
    <font>
      <i/>
      <sz val="10"/>
      <name val="Times New Roman"/>
      <family val="1"/>
    </font>
    <font>
      <sz val="12"/>
      <name val="Times New Roman"/>
      <family val="1"/>
    </font>
    <font>
      <sz val="10"/>
      <color rgb="FF000000"/>
      <name val="Times New Roman"/>
      <family val="1"/>
    </font>
    <font>
      <b/>
      <sz val="11"/>
      <color theme="1"/>
      <name val="Times New Roman"/>
      <family val="2"/>
      <scheme val="minor"/>
    </font>
    <font>
      <sz val="10"/>
      <color theme="1"/>
      <name val="Times New Roman"/>
      <family val="2"/>
      <scheme val="minor"/>
    </font>
    <font>
      <sz val="10"/>
      <color indexed="8"/>
      <name val="Times New Roman"/>
      <family val="1"/>
    </font>
    <font>
      <b/>
      <sz val="10"/>
      <name val="Times New Roman"/>
      <family val="2"/>
    </font>
    <font>
      <sz val="10"/>
      <name val="Times New Roman"/>
      <family val="2"/>
    </font>
    <font>
      <b/>
      <sz val="18"/>
      <color theme="3"/>
      <name val="Times New Roman"/>
      <family val="2"/>
      <scheme val="major"/>
    </font>
    <font>
      <sz val="10"/>
      <name val="Arial"/>
      <family val="2"/>
    </font>
    <font>
      <u/>
      <sz val="10"/>
      <color indexed="12"/>
      <name val="Arial"/>
      <family val="2"/>
    </font>
    <font>
      <sz val="11"/>
      <color indexed="8"/>
      <name val="Calibri"/>
      <family val="2"/>
    </font>
    <font>
      <sz val="10"/>
      <name val="CG Times"/>
      <family val="1"/>
      <charset val="238"/>
    </font>
    <font>
      <sz val="10"/>
      <color indexed="8"/>
      <name val="Calibri"/>
      <family val="2"/>
    </font>
    <font>
      <sz val="10"/>
      <color indexed="8"/>
      <name val="Times New Roman"/>
      <family val="2"/>
    </font>
    <font>
      <sz val="8"/>
      <name val="MS Sans Serif"/>
      <family val="2"/>
    </font>
    <font>
      <sz val="11"/>
      <color indexed="8"/>
      <name val="Arial"/>
      <family val="2"/>
    </font>
    <font>
      <b/>
      <sz val="11"/>
      <name val="Times New Roman"/>
      <family val="1"/>
    </font>
    <font>
      <b/>
      <sz val="9"/>
      <color indexed="21"/>
      <name val="Times New Roman"/>
      <family val="1"/>
    </font>
    <font>
      <sz val="10"/>
      <name val="Verdana"/>
      <family val="2"/>
    </font>
    <font>
      <sz val="10"/>
      <name val="Univers (W1)"/>
    </font>
    <font>
      <sz val="9"/>
      <color indexed="8"/>
      <name val="Arial Narrow"/>
      <family val="2"/>
    </font>
    <font>
      <sz val="10"/>
      <color indexed="64"/>
      <name val="Arial"/>
      <family val="2"/>
    </font>
    <font>
      <sz val="8"/>
      <name val="Arial"/>
      <family val="2"/>
    </font>
    <font>
      <b/>
      <sz val="18"/>
      <name val="Arial"/>
      <family val="2"/>
    </font>
    <font>
      <b/>
      <sz val="12"/>
      <name val="Arial"/>
      <family val="2"/>
    </font>
    <font>
      <b/>
      <i/>
      <sz val="16"/>
      <name val="Helv"/>
    </font>
    <font>
      <b/>
      <sz val="8"/>
      <name val="Arial"/>
      <family val="2"/>
    </font>
    <font>
      <sz val="9"/>
      <color indexed="13"/>
      <name val="Times New Roman"/>
      <family val="1"/>
    </font>
    <font>
      <sz val="9"/>
      <name val="Times New Roman"/>
      <family val="1"/>
    </font>
    <font>
      <sz val="11"/>
      <color theme="0"/>
      <name val="Times New Roman"/>
      <family val="2"/>
      <scheme val="minor"/>
    </font>
    <font>
      <sz val="11"/>
      <color rgb="FF9C0006"/>
      <name val="Times New Roman"/>
      <family val="2"/>
      <scheme val="minor"/>
    </font>
    <font>
      <b/>
      <sz val="11"/>
      <color rgb="FFFA7D00"/>
      <name val="Times New Roman"/>
      <family val="2"/>
      <scheme val="minor"/>
    </font>
    <font>
      <b/>
      <sz val="11"/>
      <color theme="0"/>
      <name val="Times New Roman"/>
      <family val="2"/>
      <scheme val="minor"/>
    </font>
    <font>
      <i/>
      <sz val="11"/>
      <color rgb="FF7F7F7F"/>
      <name val="Times New Roman"/>
      <family val="2"/>
      <scheme val="minor"/>
    </font>
    <font>
      <sz val="11"/>
      <color rgb="FF006100"/>
      <name val="Times New Roman"/>
      <family val="2"/>
      <scheme val="minor"/>
    </font>
    <font>
      <b/>
      <sz val="15"/>
      <color theme="3"/>
      <name val="Times New Roman"/>
      <family val="2"/>
      <scheme val="minor"/>
    </font>
    <font>
      <b/>
      <sz val="13"/>
      <color theme="3"/>
      <name val="Times New Roman"/>
      <family val="2"/>
      <scheme val="minor"/>
    </font>
    <font>
      <b/>
      <sz val="11"/>
      <color theme="3"/>
      <name val="Times New Roman"/>
      <family val="2"/>
      <scheme val="minor"/>
    </font>
    <font>
      <u/>
      <sz val="11"/>
      <color theme="10"/>
      <name val="Times New Roman"/>
      <family val="2"/>
      <scheme val="minor"/>
    </font>
    <font>
      <u/>
      <sz val="10"/>
      <color theme="10"/>
      <name val="Arial"/>
      <family val="2"/>
    </font>
    <font>
      <u/>
      <sz val="9"/>
      <color theme="10"/>
      <name val="Arial"/>
      <family val="2"/>
    </font>
    <font>
      <sz val="11"/>
      <color rgb="FF3F3F76"/>
      <name val="Times New Roman"/>
      <family val="2"/>
      <scheme val="minor"/>
    </font>
    <font>
      <sz val="11"/>
      <color rgb="FFFA7D00"/>
      <name val="Times New Roman"/>
      <family val="2"/>
      <scheme val="minor"/>
    </font>
    <font>
      <sz val="11"/>
      <color rgb="FF9C6500"/>
      <name val="Times New Roman"/>
      <family val="2"/>
      <scheme val="minor"/>
    </font>
    <font>
      <sz val="11"/>
      <color theme="1"/>
      <name val="Times New Roman"/>
      <family val="2"/>
    </font>
    <font>
      <sz val="11"/>
      <color theme="1"/>
      <name val="Calibri"/>
      <family val="2"/>
      <charset val="134"/>
    </font>
    <font>
      <sz val="11"/>
      <color theme="1"/>
      <name val="Calibri"/>
      <family val="2"/>
    </font>
    <font>
      <sz val="11"/>
      <color theme="1"/>
      <name val="Arial"/>
      <family val="2"/>
    </font>
    <font>
      <sz val="9"/>
      <color theme="1"/>
      <name val="Arial Narrow"/>
      <family val="2"/>
    </font>
    <font>
      <b/>
      <sz val="11"/>
      <color rgb="FF3F3F3F"/>
      <name val="Times New Roman"/>
      <family val="2"/>
      <scheme val="minor"/>
    </font>
    <font>
      <sz val="11"/>
      <color rgb="FFFF0000"/>
      <name val="Times New Roman"/>
      <family val="2"/>
      <scheme val="minor"/>
    </font>
    <font>
      <sz val="10"/>
      <color indexed="8"/>
      <name val="Arial"/>
      <family val="2"/>
    </font>
    <font>
      <sz val="10"/>
      <name val="Arial"/>
      <family val="2"/>
    </font>
    <font>
      <sz val="10"/>
      <color rgb="FFFF0000"/>
      <name val="Times New Roman"/>
      <family val="1"/>
    </font>
    <font>
      <strike/>
      <sz val="10"/>
      <name val="Times New Roman"/>
      <family val="1"/>
    </font>
    <font>
      <sz val="11"/>
      <name val="Times New Roman"/>
      <family val="2"/>
      <scheme val="minor"/>
    </font>
    <font>
      <sz val="10"/>
      <name val="Arial"/>
      <family val="2"/>
    </font>
    <font>
      <sz val="12"/>
      <color theme="1"/>
      <name val="Times New Roman"/>
      <family val="2"/>
      <scheme val="minor"/>
    </font>
    <font>
      <sz val="10"/>
      <color theme="1"/>
      <name val="Tahoma"/>
      <family val="2"/>
    </font>
  </fonts>
  <fills count="39">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7"/>
        <bgColor indexed="64"/>
      </patternFill>
    </fill>
    <fill>
      <patternFill patternType="solid">
        <fgColor indexed="26"/>
        <bgColor indexed="64"/>
      </patternFill>
    </fill>
    <fill>
      <patternFill patternType="solid">
        <fgColor indexed="30"/>
        <bgColor indexed="64"/>
      </patternFill>
    </fill>
    <fill>
      <patternFill patternType="solid">
        <fgColor indexed="47"/>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1"/>
      </left>
      <right/>
      <top/>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right/>
      <top style="double">
        <color indexed="64"/>
      </top>
      <bottom/>
      <diagonal/>
    </border>
    <border>
      <left style="medium">
        <color indexed="64"/>
      </left>
      <right style="medium">
        <color indexed="64"/>
      </right>
      <top style="medium">
        <color indexed="64"/>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indexed="64"/>
      </left>
      <right style="thin">
        <color indexed="64"/>
      </right>
      <top style="thin">
        <color indexed="64"/>
      </top>
      <bottom style="thin">
        <color indexed="64"/>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medium">
        <color indexed="17"/>
      </left>
      <right style="medium">
        <color indexed="17"/>
      </right>
      <top style="thin">
        <color indexed="17"/>
      </top>
      <bottom style="thin">
        <color indexed="17"/>
      </bottom>
      <diagonal/>
    </border>
    <border>
      <left style="thin">
        <color indexed="21"/>
      </left>
      <right style="thin">
        <color indexed="21"/>
      </right>
      <top style="thin">
        <color indexed="21"/>
      </top>
      <bottom style="thin">
        <color indexed="21"/>
      </bottom>
      <diagonal/>
    </border>
    <border>
      <left style="thin">
        <color auto="1"/>
      </left>
      <right style="thin">
        <color auto="1"/>
      </right>
      <top style="thin">
        <color auto="1"/>
      </top>
      <bottom style="thin">
        <color auto="1"/>
      </bottom>
      <diagonal/>
    </border>
    <border>
      <left style="thin">
        <color indexed="21"/>
      </left>
      <right style="thin">
        <color indexed="21"/>
      </right>
      <top style="thin">
        <color indexed="21"/>
      </top>
      <bottom style="thin">
        <color indexed="21"/>
      </bottom>
      <diagonal/>
    </border>
    <border>
      <left style="medium">
        <color indexed="17"/>
      </left>
      <right style="medium">
        <color indexed="17"/>
      </right>
      <top style="thin">
        <color indexed="17"/>
      </top>
      <bottom style="thin">
        <color indexed="17"/>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s>
  <cellStyleXfs count="1832">
    <xf numFmtId="0" fontId="0" fillId="0" borderId="0"/>
    <xf numFmtId="44" fontId="3" fillId="0" borderId="0" applyFont="0" applyFill="0" applyBorder="0" applyAlignment="0" applyProtection="0"/>
    <xf numFmtId="0" fontId="7" fillId="0" borderId="0"/>
    <xf numFmtId="44" fontId="7" fillId="0" borderId="0" applyFont="0" applyFill="0" applyBorder="0" applyAlignment="0" applyProtection="0"/>
    <xf numFmtId="0" fontId="10" fillId="0" borderId="1" applyProtection="0">
      <alignment vertical="top" wrapText="1"/>
    </xf>
    <xf numFmtId="0" fontId="7" fillId="0" borderId="0"/>
    <xf numFmtId="0" fontId="17" fillId="0" borderId="0" applyNumberFormat="0" applyFill="0" applyBorder="0" applyAlignment="0" applyProtection="0"/>
    <xf numFmtId="0" fontId="18" fillId="0" borderId="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13"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9" fillId="14" borderId="0" applyNumberFormat="0" applyBorder="0" applyAlignment="0" applyProtection="0"/>
    <xf numFmtId="0" fontId="39" fillId="18" borderId="0" applyNumberFormat="0" applyBorder="0" applyAlignment="0" applyProtection="0"/>
    <xf numFmtId="0" fontId="39" fillId="22" borderId="0" applyNumberFormat="0" applyBorder="0" applyAlignment="0" applyProtection="0"/>
    <xf numFmtId="0" fontId="39" fillId="26" borderId="0" applyNumberFormat="0" applyBorder="0" applyAlignment="0" applyProtection="0"/>
    <xf numFmtId="0" fontId="39" fillId="30" borderId="0" applyNumberFormat="0" applyBorder="0" applyAlignment="0" applyProtection="0"/>
    <xf numFmtId="0" fontId="39" fillId="34" borderId="0" applyNumberFormat="0" applyBorder="0" applyAlignment="0" applyProtection="0"/>
    <xf numFmtId="0" fontId="39" fillId="11" borderId="0" applyNumberFormat="0" applyBorder="0" applyAlignment="0" applyProtection="0"/>
    <xf numFmtId="0" fontId="39" fillId="15" borderId="0" applyNumberFormat="0" applyBorder="0" applyAlignment="0" applyProtection="0"/>
    <xf numFmtId="0" fontId="39" fillId="19" borderId="0" applyNumberFormat="0" applyBorder="0" applyAlignment="0" applyProtection="0"/>
    <xf numFmtId="0" fontId="39" fillId="23" borderId="0" applyNumberFormat="0" applyBorder="0" applyAlignment="0" applyProtection="0"/>
    <xf numFmtId="0" fontId="39" fillId="27" borderId="0" applyNumberFormat="0" applyBorder="0" applyAlignment="0" applyProtection="0"/>
    <xf numFmtId="0" fontId="39" fillId="31" borderId="0" applyNumberFormat="0" applyBorder="0" applyAlignment="0" applyProtection="0"/>
    <xf numFmtId="167" fontId="27" fillId="35" borderId="11" applyNumberFormat="0">
      <alignment horizontal="center" vertical="center"/>
      <protection locked="0"/>
    </xf>
    <xf numFmtId="0" fontId="40" fillId="5" borderId="0" applyNumberFormat="0" applyBorder="0" applyAlignment="0" applyProtection="0"/>
    <xf numFmtId="0" fontId="41" fillId="8" borderId="5" applyNumberFormat="0" applyAlignment="0" applyProtection="0"/>
    <xf numFmtId="0" fontId="42" fillId="9" borderId="8"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9" fillId="0" borderId="0" applyFont="0" applyFill="0" applyBorder="0" applyAlignment="0" applyProtection="0"/>
    <xf numFmtId="43" fontId="7" fillId="0" borderId="0" applyFont="0" applyFill="0" applyBorder="0" applyAlignment="0" applyProtection="0"/>
    <xf numFmtId="169" fontId="30" fillId="0" borderId="0" applyFont="0" applyFill="0" applyBorder="0" applyAlignment="0" applyProtection="0"/>
    <xf numFmtId="43" fontId="25" fillId="0" borderId="0" applyFont="0" applyFill="0" applyBorder="0" applyAlignment="0" applyProtection="0"/>
    <xf numFmtId="169" fontId="7" fillId="0" borderId="0" applyFont="0" applyFill="0" applyBorder="0" applyAlignment="0" applyProtection="0"/>
    <xf numFmtId="43" fontId="20" fillId="0" borderId="0" applyFont="0" applyFill="0" applyBorder="0" applyAlignment="0" applyProtection="0"/>
    <xf numFmtId="169" fontId="20" fillId="0" borderId="0" applyFont="0" applyFill="0" applyBorder="0" applyAlignment="0" applyProtection="0"/>
    <xf numFmtId="169" fontId="20" fillId="0" borderId="0" applyFont="0" applyFill="0" applyBorder="0" applyAlignment="0" applyProtection="0"/>
    <xf numFmtId="169" fontId="20" fillId="0" borderId="0" applyFont="0" applyFill="0" applyBorder="0" applyAlignment="0" applyProtection="0"/>
    <xf numFmtId="169" fontId="20" fillId="0" borderId="0" applyFont="0" applyFill="0" applyBorder="0" applyAlignment="0" applyProtection="0"/>
    <xf numFmtId="3" fontId="7" fillId="0" borderId="0" applyFont="0" applyFill="0" applyBorder="0" applyAlignment="0" applyProtection="0"/>
    <xf numFmtId="44" fontId="18" fillId="0" borderId="0" applyFont="0" applyFill="0" applyBorder="0" applyAlignment="0" applyProtection="0"/>
    <xf numFmtId="44" fontId="28" fillId="0" borderId="0" applyFont="0" applyFill="0" applyBorder="0" applyAlignment="0" applyProtection="0"/>
    <xf numFmtId="44" fontId="3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44" fontId="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9"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2"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44"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170" fontId="7" fillId="0" borderId="0" applyFont="0" applyFill="0" applyBorder="0" applyAlignment="0" applyProtection="0"/>
    <xf numFmtId="44" fontId="7" fillId="0" borderId="0" applyFont="0" applyFill="0" applyBorder="0" applyAlignment="0" applyProtection="0"/>
    <xf numFmtId="44" fontId="20" fillId="0" borderId="0" applyFont="0" applyFill="0" applyBorder="0" applyAlignment="0" applyProtection="0"/>
    <xf numFmtId="44" fontId="25" fillId="0" borderId="0" applyFont="0" applyFill="0" applyBorder="0" applyAlignment="0" applyProtection="0"/>
    <xf numFmtId="44" fontId="7" fillId="0" borderId="0" applyFont="0" applyFill="0" applyBorder="0" applyAlignment="0" applyProtection="0"/>
    <xf numFmtId="171" fontId="7" fillId="0" borderId="0" applyFont="0" applyFill="0" applyBorder="0" applyAlignment="0" applyProtection="0"/>
    <xf numFmtId="167" fontId="7" fillId="0" borderId="0" applyFont="0" applyFill="0" applyBorder="0" applyAlignment="0" applyProtection="0"/>
    <xf numFmtId="0" fontId="43" fillId="0" borderId="0" applyNumberFormat="0" applyFill="0" applyBorder="0" applyAlignment="0" applyProtection="0"/>
    <xf numFmtId="2" fontId="7" fillId="0" borderId="0" applyFont="0" applyFill="0" applyBorder="0" applyAlignment="0" applyProtection="0"/>
    <xf numFmtId="0" fontId="44" fillId="4" borderId="0" applyNumberFormat="0" applyBorder="0" applyAlignment="0" applyProtection="0"/>
    <xf numFmtId="38" fontId="32" fillId="3" borderId="0" applyNumberFormat="0" applyBorder="0" applyAlignment="0" applyProtection="0"/>
    <xf numFmtId="0" fontId="45" fillId="0" borderId="2" applyNumberFormat="0" applyFill="0" applyAlignment="0" applyProtection="0"/>
    <xf numFmtId="167" fontId="33" fillId="0" borderId="0" applyNumberFormat="0" applyFill="0" applyBorder="0" applyAlignment="0" applyProtection="0"/>
    <xf numFmtId="167" fontId="33" fillId="0" borderId="0" applyNumberFormat="0" applyFill="0" applyBorder="0" applyAlignment="0" applyProtection="0"/>
    <xf numFmtId="0" fontId="46" fillId="0" borderId="3" applyNumberFormat="0" applyFill="0" applyAlignment="0" applyProtection="0"/>
    <xf numFmtId="167" fontId="34" fillId="0" borderId="0" applyNumberFormat="0" applyFill="0" applyBorder="0" applyAlignment="0" applyProtection="0"/>
    <xf numFmtId="167" fontId="34" fillId="0" borderId="0" applyNumberFormat="0" applyFill="0" applyBorder="0" applyAlignment="0" applyProtection="0"/>
    <xf numFmtId="0" fontId="47" fillId="0" borderId="4" applyNumberFormat="0" applyFill="0" applyAlignment="0" applyProtection="0"/>
    <xf numFmtId="0" fontId="47" fillId="0" borderId="0" applyNumberFormat="0" applyFill="0" applyBorder="0" applyAlignment="0" applyProtection="0"/>
    <xf numFmtId="167" fontId="19" fillId="0" borderId="0" applyNumberFormat="0" applyFill="0" applyBorder="0" applyAlignment="0" applyProtection="0">
      <alignment vertical="top"/>
      <protection locked="0"/>
    </xf>
    <xf numFmtId="0" fontId="48" fillId="0" borderId="0" applyNumberFormat="0" applyFill="0" applyBorder="0" applyAlignment="0" applyProtection="0"/>
    <xf numFmtId="167"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51" fillId="7" borderId="5" applyNumberFormat="0" applyAlignment="0" applyProtection="0"/>
    <xf numFmtId="10" fontId="32" fillId="36" borderId="1" applyNumberFormat="0" applyBorder="0" applyAlignment="0" applyProtection="0"/>
    <xf numFmtId="0" fontId="52" fillId="0" borderId="7" applyNumberFormat="0" applyFill="0" applyAlignment="0" applyProtection="0"/>
    <xf numFmtId="0" fontId="53" fillId="6" borderId="0" applyNumberFormat="0" applyBorder="0" applyAlignment="0" applyProtection="0"/>
    <xf numFmtId="168" fontId="35" fillId="0" borderId="0"/>
    <xf numFmtId="0" fontId="7" fillId="0" borderId="0"/>
    <xf numFmtId="167" fontId="3" fillId="0" borderId="0"/>
    <xf numFmtId="167" fontId="3" fillId="0" borderId="0"/>
    <xf numFmtId="0" fontId="7" fillId="0" borderId="0"/>
    <xf numFmtId="167" fontId="3" fillId="0" borderId="0"/>
    <xf numFmtId="167" fontId="3" fillId="0" borderId="0"/>
    <xf numFmtId="0" fontId="3" fillId="0" borderId="0"/>
    <xf numFmtId="167"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4" fillId="0" borderId="0"/>
    <xf numFmtId="167"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1" fillId="0" borderId="0"/>
    <xf numFmtId="0" fontId="7" fillId="0" borderId="0"/>
    <xf numFmtId="167" fontId="7" fillId="0" borderId="0"/>
    <xf numFmtId="0" fontId="55" fillId="0" borderId="0"/>
    <xf numFmtId="0" fontId="7" fillId="0" borderId="0"/>
    <xf numFmtId="0" fontId="7" fillId="0" borderId="0"/>
    <xf numFmtId="0" fontId="7" fillId="0" borderId="0"/>
    <xf numFmtId="0" fontId="28" fillId="0" borderId="0"/>
    <xf numFmtId="167" fontId="7" fillId="0" borderId="0"/>
    <xf numFmtId="0" fontId="56" fillId="0" borderId="0"/>
    <xf numFmtId="167" fontId="7" fillId="0" borderId="0"/>
    <xf numFmtId="0" fontId="28" fillId="0" borderId="0"/>
    <xf numFmtId="0" fontId="7" fillId="0" borderId="0"/>
    <xf numFmtId="0" fontId="20" fillId="0" borderId="0"/>
    <xf numFmtId="0" fontId="3" fillId="0" borderId="0"/>
    <xf numFmtId="0" fontId="28" fillId="0" borderId="0"/>
    <xf numFmtId="0" fontId="28" fillId="0" borderId="0"/>
    <xf numFmtId="0" fontId="11" fillId="0" borderId="0"/>
    <xf numFmtId="167" fontId="8" fillId="0" borderId="0"/>
    <xf numFmtId="167" fontId="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7" fillId="0" borderId="0"/>
    <xf numFmtId="0" fontId="7" fillId="0" borderId="0"/>
    <xf numFmtId="0" fontId="3" fillId="0" borderId="0"/>
    <xf numFmtId="0" fontId="7" fillId="0" borderId="0"/>
    <xf numFmtId="0" fontId="3" fillId="0" borderId="0"/>
    <xf numFmtId="0" fontId="3" fillId="0" borderId="0"/>
    <xf numFmtId="0" fontId="24" fillId="0" borderId="0" applyAlignment="0">
      <alignment vertical="top" wrapText="1"/>
      <protection locked="0"/>
    </xf>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applyAlignment="0">
      <alignment vertical="top" wrapText="1"/>
      <protection locked="0"/>
    </xf>
    <xf numFmtId="0" fontId="54" fillId="0" borderId="0"/>
    <xf numFmtId="0" fontId="11" fillId="0" borderId="0"/>
    <xf numFmtId="0" fontId="3" fillId="0" borderId="0"/>
    <xf numFmtId="0" fontId="7" fillId="0" borderId="0"/>
    <xf numFmtId="0" fontId="3" fillId="0" borderId="0"/>
    <xf numFmtId="0" fontId="3" fillId="0" borderId="0"/>
    <xf numFmtId="167" fontId="7" fillId="0" borderId="0"/>
    <xf numFmtId="0" fontId="3" fillId="0" borderId="0"/>
    <xf numFmtId="0" fontId="3" fillId="0" borderId="0"/>
    <xf numFmtId="0" fontId="3" fillId="0" borderId="0"/>
    <xf numFmtId="167" fontId="7" fillId="0" borderId="0"/>
    <xf numFmtId="0" fontId="3" fillId="0" borderId="0"/>
    <xf numFmtId="0" fontId="20" fillId="0" borderId="0"/>
    <xf numFmtId="0" fontId="3" fillId="0" borderId="0"/>
    <xf numFmtId="0" fontId="3" fillId="0" borderId="0"/>
    <xf numFmtId="0" fontId="24" fillId="0" borderId="0" applyAlignment="0">
      <alignment vertical="top" wrapText="1"/>
      <protection locked="0"/>
    </xf>
    <xf numFmtId="0" fontId="1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24" fillId="0" borderId="0" applyAlignment="0">
      <alignment vertical="top" wrapText="1"/>
      <protection locked="0"/>
    </xf>
    <xf numFmtId="167" fontId="7" fillId="0" borderId="0"/>
    <xf numFmtId="0" fontId="24" fillId="0" borderId="0" applyAlignment="0">
      <alignment vertical="top" wrapText="1"/>
      <protection locked="0"/>
    </xf>
    <xf numFmtId="167" fontId="7" fillId="0" borderId="0"/>
    <xf numFmtId="0" fontId="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7" fontId="8" fillId="0" borderId="0"/>
    <xf numFmtId="0" fontId="7" fillId="0" borderId="0"/>
    <xf numFmtId="0" fontId="7" fillId="0" borderId="0"/>
    <xf numFmtId="0" fontId="7" fillId="0" borderId="0"/>
    <xf numFmtId="167" fontId="3" fillId="0" borderId="0"/>
    <xf numFmtId="0" fontId="7" fillId="0" borderId="0"/>
    <xf numFmtId="167" fontId="3" fillId="0" borderId="0"/>
    <xf numFmtId="0" fontId="7" fillId="0" borderId="0"/>
    <xf numFmtId="167" fontId="3" fillId="0" borderId="0"/>
    <xf numFmtId="167" fontId="3" fillId="0" borderId="0"/>
    <xf numFmtId="0" fontId="3" fillId="0" borderId="0"/>
    <xf numFmtId="167" fontId="8" fillId="0" borderId="0"/>
    <xf numFmtId="167" fontId="8" fillId="0" borderId="0"/>
    <xf numFmtId="167" fontId="8" fillId="0" borderId="0"/>
    <xf numFmtId="167" fontId="8" fillId="0" borderId="0"/>
    <xf numFmtId="167" fontId="8" fillId="0" borderId="0"/>
    <xf numFmtId="167" fontId="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7" fillId="0" borderId="0"/>
    <xf numFmtId="0" fontId="7" fillId="0" borderId="0"/>
    <xf numFmtId="167" fontId="29" fillId="0" borderId="0"/>
    <xf numFmtId="0" fontId="3" fillId="0" borderId="0"/>
    <xf numFmtId="0" fontId="28" fillId="0" borderId="0"/>
    <xf numFmtId="0" fontId="28" fillId="0" borderId="0"/>
    <xf numFmtId="0" fontId="28" fillId="0" borderId="0"/>
    <xf numFmtId="0" fontId="2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8" fillId="0" borderId="0"/>
    <xf numFmtId="0" fontId="28" fillId="0" borderId="0"/>
    <xf numFmtId="0" fontId="13" fillId="0" borderId="0"/>
    <xf numFmtId="0" fontId="7" fillId="0" borderId="0"/>
    <xf numFmtId="167" fontId="8" fillId="0" borderId="0"/>
    <xf numFmtId="0" fontId="2" fillId="0" borderId="0"/>
    <xf numFmtId="0" fontId="2" fillId="0" borderId="0"/>
    <xf numFmtId="167" fontId="8" fillId="0" borderId="0"/>
    <xf numFmtId="0" fontId="3" fillId="0" borderId="0"/>
    <xf numFmtId="0" fontId="28" fillId="0" borderId="0"/>
    <xf numFmtId="0" fontId="28" fillId="0" borderId="0"/>
    <xf numFmtId="0" fontId="7" fillId="0" borderId="0"/>
    <xf numFmtId="0" fontId="11" fillId="0" borderId="0"/>
    <xf numFmtId="0" fontId="11" fillId="0" borderId="0"/>
    <xf numFmtId="0" fontId="11" fillId="0" borderId="0"/>
    <xf numFmtId="0" fontId="11" fillId="0" borderId="0"/>
    <xf numFmtId="0" fontId="11" fillId="0" borderId="0"/>
    <xf numFmtId="0" fontId="11" fillId="0" borderId="0"/>
    <xf numFmtId="0" fontId="7" fillId="0" borderId="0"/>
    <xf numFmtId="0" fontId="7" fillId="0" borderId="0"/>
    <xf numFmtId="0" fontId="7" fillId="0" borderId="0"/>
    <xf numFmtId="167" fontId="20"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57" fillId="0" borderId="0"/>
    <xf numFmtId="0" fontId="3" fillId="0" borderId="0"/>
    <xf numFmtId="167" fontId="58" fillId="0" borderId="0"/>
    <xf numFmtId="0" fontId="7" fillId="0" borderId="0"/>
    <xf numFmtId="0" fontId="7" fillId="0" borderId="0"/>
    <xf numFmtId="0" fontId="7" fillId="0" borderId="0"/>
    <xf numFmtId="0" fontId="7" fillId="0" borderId="0"/>
    <xf numFmtId="0" fontId="7" fillId="0" borderId="0"/>
    <xf numFmtId="0" fontId="11" fillId="0" borderId="0"/>
    <xf numFmtId="0" fontId="7" fillId="0" borderId="0"/>
    <xf numFmtId="0" fontId="7" fillId="0" borderId="0"/>
    <xf numFmtId="0" fontId="7" fillId="0" borderId="0"/>
    <xf numFmtId="0" fontId="7" fillId="0" borderId="0"/>
    <xf numFmtId="0" fontId="11" fillId="0" borderId="0"/>
    <xf numFmtId="0" fontId="11" fillId="0" borderId="0"/>
    <xf numFmtId="0" fontId="3" fillId="0" borderId="0"/>
    <xf numFmtId="0" fontId="3" fillId="0" borderId="0"/>
    <xf numFmtId="0" fontId="20" fillId="10" borderId="9" applyNumberFormat="0" applyFont="0" applyAlignment="0" applyProtection="0"/>
    <xf numFmtId="0" fontId="20" fillId="10" borderId="9" applyNumberFormat="0" applyFont="0" applyAlignment="0" applyProtection="0"/>
    <xf numFmtId="0" fontId="59" fillId="8" borderId="6" applyNumberFormat="0" applyAlignment="0" applyProtection="0"/>
    <xf numFmtId="9" fontId="18" fillId="0" borderId="0" applyFont="0" applyFill="0" applyBorder="0" applyAlignment="0" applyProtection="0"/>
    <xf numFmtId="10"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4"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3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167" fontId="36" fillId="0" borderId="1">
      <alignment horizontal="left" vertical="center" wrapText="1"/>
    </xf>
    <xf numFmtId="167" fontId="37" fillId="37" borderId="0" applyBorder="0" applyAlignment="0"/>
    <xf numFmtId="167" fontId="7" fillId="3" borderId="12">
      <alignment horizontal="center"/>
      <protection locked="0"/>
    </xf>
    <xf numFmtId="167" fontId="7" fillId="3" borderId="12">
      <alignment horizontal="center"/>
      <protection locked="0"/>
    </xf>
    <xf numFmtId="167" fontId="7" fillId="37" borderId="0" applyNumberFormat="0" applyFont="0" applyAlignment="0" applyProtection="0"/>
    <xf numFmtId="167" fontId="38" fillId="38" borderId="13" applyNumberFormat="0" applyAlignment="0"/>
    <xf numFmtId="40" fontId="26" fillId="0" borderId="0"/>
    <xf numFmtId="0" fontId="18" fillId="0" borderId="0"/>
    <xf numFmtId="0" fontId="12" fillId="0" borderId="10" applyNumberFormat="0" applyFill="0" applyAlignment="0" applyProtection="0"/>
    <xf numFmtId="167" fontId="7" fillId="0" borderId="14" applyNumberFormat="0" applyFont="0" applyFill="0" applyAlignment="0" applyProtection="0"/>
    <xf numFmtId="167" fontId="7" fillId="0" borderId="14" applyNumberFormat="0" applyFont="0" applyFill="0" applyAlignment="0" applyProtection="0"/>
    <xf numFmtId="0" fontId="60" fillId="0" borderId="0" applyNumberFormat="0" applyFill="0" applyBorder="0" applyAlignment="0" applyProtection="0"/>
    <xf numFmtId="0" fontId="51" fillId="7" borderId="5" applyNumberFormat="0" applyAlignment="0" applyProtection="0"/>
    <xf numFmtId="9" fontId="18" fillId="0" borderId="0" applyFont="0" applyFill="0" applyBorder="0" applyAlignment="0" applyProtection="0"/>
    <xf numFmtId="0" fontId="45" fillId="0" borderId="2" applyNumberFormat="0" applyFill="0" applyAlignment="0" applyProtection="0"/>
    <xf numFmtId="0" fontId="46" fillId="0" borderId="3" applyNumberFormat="0" applyFill="0" applyAlignment="0" applyProtection="0"/>
    <xf numFmtId="0" fontId="47" fillId="0" borderId="4" applyNumberFormat="0" applyFill="0" applyAlignment="0" applyProtection="0"/>
    <xf numFmtId="0" fontId="47" fillId="0" borderId="0" applyNumberFormat="0" applyFill="0" applyBorder="0" applyAlignment="0" applyProtection="0"/>
    <xf numFmtId="0" fontId="44" fillId="4" borderId="0" applyNumberFormat="0" applyBorder="0" applyAlignment="0" applyProtection="0"/>
    <xf numFmtId="0" fontId="40" fillId="5" borderId="0" applyNumberFormat="0" applyBorder="0" applyAlignment="0" applyProtection="0"/>
    <xf numFmtId="0" fontId="53" fillId="6" borderId="0" applyNumberFormat="0" applyBorder="0" applyAlignment="0" applyProtection="0"/>
    <xf numFmtId="0" fontId="51" fillId="7" borderId="5" applyNumberFormat="0" applyAlignment="0" applyProtection="0"/>
    <xf numFmtId="0" fontId="59" fillId="8" borderId="6" applyNumberFormat="0" applyAlignment="0" applyProtection="0"/>
    <xf numFmtId="0" fontId="41" fillId="8" borderId="5" applyNumberFormat="0" applyAlignment="0" applyProtection="0"/>
    <xf numFmtId="0" fontId="52" fillId="0" borderId="7" applyNumberFormat="0" applyFill="0" applyAlignment="0" applyProtection="0"/>
    <xf numFmtId="0" fontId="42" fillId="9" borderId="8" applyNumberFormat="0" applyAlignment="0" applyProtection="0"/>
    <xf numFmtId="0" fontId="60" fillId="0" borderId="0" applyNumberFormat="0" applyFill="0" applyBorder="0" applyAlignment="0" applyProtection="0"/>
    <xf numFmtId="0" fontId="3" fillId="10" borderId="9" applyNumberFormat="0" applyFont="0" applyAlignment="0" applyProtection="0"/>
    <xf numFmtId="0" fontId="43" fillId="0" borderId="0" applyNumberFormat="0" applyFill="0" applyBorder="0" applyAlignment="0" applyProtection="0"/>
    <xf numFmtId="0" fontId="12" fillId="0" borderId="10" applyNumberFormat="0" applyFill="0" applyAlignment="0" applyProtection="0"/>
    <xf numFmtId="0" fontId="39"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9" fillId="22" borderId="0" applyNumberFormat="0" applyBorder="0" applyAlignment="0" applyProtection="0"/>
    <xf numFmtId="0" fontId="39"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9" fillId="26" borderId="0" applyNumberFormat="0" applyBorder="0" applyAlignment="0" applyProtection="0"/>
    <xf numFmtId="0" fontId="39"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9" fillId="30" borderId="0" applyNumberFormat="0" applyBorder="0" applyAlignment="0" applyProtection="0"/>
    <xf numFmtId="0" fontId="39"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9" fillId="34" borderId="0" applyNumberFormat="0" applyBorder="0" applyAlignment="0" applyProtection="0"/>
    <xf numFmtId="0" fontId="61" fillId="0" borderId="0">
      <alignment vertical="top"/>
    </xf>
    <xf numFmtId="0" fontId="7" fillId="0" borderId="0"/>
    <xf numFmtId="44" fontId="7" fillId="0" borderId="0" applyFont="0" applyFill="0" applyBorder="0" applyAlignment="0" applyProtection="0"/>
    <xf numFmtId="0" fontId="1" fillId="0" borderId="0"/>
    <xf numFmtId="0" fontId="1"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10" fillId="0" borderId="18" applyProtection="0">
      <alignment vertical="top" wrapText="1"/>
    </xf>
    <xf numFmtId="10" fontId="32" fillId="36" borderId="18" applyNumberFormat="0" applyBorder="0" applyAlignment="0" applyProtection="0"/>
    <xf numFmtId="10" fontId="32" fillId="36" borderId="21" applyNumberFormat="0" applyBorder="0" applyAlignment="0" applyProtection="0"/>
    <xf numFmtId="0" fontId="10" fillId="0" borderId="21" applyProtection="0">
      <alignment vertical="top" wrapText="1"/>
    </xf>
    <xf numFmtId="167" fontId="36" fillId="0" borderId="18">
      <alignment horizontal="left" vertical="center" wrapText="1"/>
    </xf>
    <xf numFmtId="167" fontId="7" fillId="3" borderId="19">
      <alignment horizontal="center"/>
      <protection locked="0"/>
    </xf>
    <xf numFmtId="167" fontId="7" fillId="3" borderId="19">
      <alignment horizontal="center"/>
      <protection locked="0"/>
    </xf>
    <xf numFmtId="167" fontId="38" fillId="38" borderId="20" applyNumberFormat="0" applyAlignment="0"/>
    <xf numFmtId="167" fontId="36" fillId="0" borderId="21">
      <alignment horizontal="left" vertical="center" wrapText="1"/>
    </xf>
    <xf numFmtId="167" fontId="7" fillId="3" borderId="22">
      <alignment horizontal="center"/>
      <protection locked="0"/>
    </xf>
    <xf numFmtId="167" fontId="7" fillId="3" borderId="22">
      <alignment horizontal="center"/>
      <protection locked="0"/>
    </xf>
    <xf numFmtId="167" fontId="38" fillId="38" borderId="23" applyNumberFormat="0" applyAlignment="0"/>
    <xf numFmtId="167" fontId="38" fillId="38" borderId="29" applyNumberFormat="0" applyAlignment="0"/>
    <xf numFmtId="167" fontId="7" fillId="3" borderId="28">
      <alignment horizontal="center"/>
      <protection locked="0"/>
    </xf>
    <xf numFmtId="167" fontId="7" fillId="3" borderId="31">
      <alignment horizontal="center"/>
      <protection locked="0"/>
    </xf>
    <xf numFmtId="167" fontId="7" fillId="3" borderId="26">
      <alignment horizontal="center"/>
      <protection locked="0"/>
    </xf>
    <xf numFmtId="167" fontId="7" fillId="3" borderId="26">
      <alignment horizontal="center"/>
      <protection locked="0"/>
    </xf>
    <xf numFmtId="167" fontId="38" fillId="38" borderId="25" applyNumberFormat="0" applyAlignment="0"/>
    <xf numFmtId="167" fontId="7" fillId="3" borderId="28">
      <alignment horizontal="center"/>
      <protection locked="0"/>
    </xf>
    <xf numFmtId="167" fontId="7" fillId="3" borderId="31">
      <alignment horizontal="center"/>
      <protection locked="0"/>
    </xf>
    <xf numFmtId="167" fontId="38" fillId="38" borderId="32" applyNumberFormat="0" applyAlignment="0"/>
    <xf numFmtId="0" fontId="10" fillId="0" borderId="27" applyProtection="0">
      <alignment vertical="top" wrapText="1"/>
    </xf>
    <xf numFmtId="10" fontId="32" fillId="36" borderId="27" applyNumberFormat="0" applyBorder="0" applyAlignment="0" applyProtection="0"/>
    <xf numFmtId="10" fontId="32" fillId="36" borderId="27" applyNumberFormat="0" applyBorder="0" applyAlignment="0" applyProtection="0"/>
    <xf numFmtId="0" fontId="10" fillId="0" borderId="27" applyProtection="0">
      <alignment vertical="top" wrapText="1"/>
    </xf>
    <xf numFmtId="167" fontId="36" fillId="0" borderId="27">
      <alignment horizontal="left" vertical="center" wrapText="1"/>
    </xf>
    <xf numFmtId="167" fontId="7" fillId="3" borderId="26">
      <alignment horizontal="center"/>
      <protection locked="0"/>
    </xf>
    <xf numFmtId="167" fontId="7" fillId="3" borderId="26">
      <alignment horizontal="center"/>
      <protection locked="0"/>
    </xf>
    <xf numFmtId="167" fontId="38" fillId="38" borderId="25" applyNumberFormat="0" applyAlignment="0"/>
    <xf numFmtId="167" fontId="36" fillId="0" borderId="27">
      <alignment horizontal="left" vertical="center" wrapText="1"/>
    </xf>
    <xf numFmtId="167" fontId="7" fillId="3" borderId="26">
      <alignment horizontal="center"/>
      <protection locked="0"/>
    </xf>
    <xf numFmtId="167" fontId="7" fillId="3" borderId="26">
      <alignment horizontal="center"/>
      <protection locked="0"/>
    </xf>
    <xf numFmtId="167" fontId="38" fillId="38" borderId="25" applyNumberFormat="0" applyAlignment="0"/>
    <xf numFmtId="0" fontId="10" fillId="0" borderId="30" applyProtection="0">
      <alignment vertical="top" wrapText="1"/>
    </xf>
    <xf numFmtId="10" fontId="32" fillId="36" borderId="30" applyNumberFormat="0" applyBorder="0" applyAlignment="0" applyProtection="0"/>
    <xf numFmtId="10" fontId="32" fillId="36" borderId="30" applyNumberFormat="0" applyBorder="0" applyAlignment="0" applyProtection="0"/>
    <xf numFmtId="0" fontId="10" fillId="0" borderId="30" applyProtection="0">
      <alignment vertical="top" wrapText="1"/>
    </xf>
    <xf numFmtId="167" fontId="36" fillId="0" borderId="30">
      <alignment horizontal="left" vertical="center" wrapText="1"/>
    </xf>
    <xf numFmtId="167" fontId="7" fillId="3" borderId="28">
      <alignment horizontal="center"/>
      <protection locked="0"/>
    </xf>
    <xf numFmtId="167" fontId="7" fillId="3" borderId="28">
      <alignment horizontal="center"/>
      <protection locked="0"/>
    </xf>
    <xf numFmtId="167" fontId="38" fillId="38" borderId="29" applyNumberFormat="0" applyAlignment="0"/>
    <xf numFmtId="167" fontId="36" fillId="0" borderId="30">
      <alignment horizontal="left" vertical="center" wrapText="1"/>
    </xf>
    <xf numFmtId="167" fontId="7" fillId="3" borderId="28">
      <alignment horizontal="center"/>
      <protection locked="0"/>
    </xf>
    <xf numFmtId="167" fontId="7" fillId="3" borderId="28">
      <alignment horizontal="center"/>
      <protection locked="0"/>
    </xf>
    <xf numFmtId="167" fontId="38" fillId="38" borderId="29" applyNumberFormat="0" applyAlignment="0"/>
    <xf numFmtId="0" fontId="10" fillId="0" borderId="24" applyProtection="0">
      <alignment vertical="top" wrapText="1"/>
    </xf>
    <xf numFmtId="10" fontId="32" fillId="36" borderId="24" applyNumberFormat="0" applyBorder="0" applyAlignment="0" applyProtection="0"/>
    <xf numFmtId="167" fontId="36" fillId="0" borderId="24">
      <alignment horizontal="left" vertical="center" wrapText="1"/>
    </xf>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9" fillId="0" borderId="0" applyNumberFormat="0" applyFill="0" applyBorder="0" applyAlignment="0" applyProtection="0">
      <alignment vertical="top"/>
      <protection locked="0"/>
    </xf>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167" fontId="7" fillId="3" borderId="44">
      <alignment horizontal="center"/>
      <protection locked="0"/>
    </xf>
    <xf numFmtId="9" fontId="3" fillId="0" borderId="0" applyFont="0" applyFill="0" applyBorder="0" applyAlignment="0" applyProtection="0"/>
    <xf numFmtId="10" fontId="32" fillId="36" borderId="45" applyNumberFormat="0" applyBorder="0" applyAlignment="0" applyProtection="0"/>
    <xf numFmtId="9" fontId="1" fillId="0" borderId="0" applyFont="0" applyFill="0" applyBorder="0" applyAlignment="0" applyProtection="0"/>
    <xf numFmtId="0" fontId="1" fillId="0" borderId="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7" fillId="0" borderId="0"/>
    <xf numFmtId="44" fontId="7" fillId="0" borderId="0" applyFont="0" applyFill="0" applyBorder="0" applyAlignment="0" applyProtection="0"/>
    <xf numFmtId="167" fontId="7" fillId="3" borderId="44">
      <alignment horizontal="center"/>
      <protection locked="0"/>
    </xf>
    <xf numFmtId="167" fontId="38" fillId="38" borderId="43" applyNumberFormat="0" applyAlignment="0"/>
    <xf numFmtId="0" fontId="10" fillId="0" borderId="45" applyProtection="0">
      <alignment vertical="top" wrapText="1"/>
    </xf>
    <xf numFmtId="167" fontId="7" fillId="3" borderId="44">
      <alignment horizontal="center"/>
      <protection locked="0"/>
    </xf>
    <xf numFmtId="167" fontId="38" fillId="38" borderId="43" applyNumberFormat="0" applyAlignment="0"/>
    <xf numFmtId="10" fontId="32" fillId="36" borderId="45" applyNumberFormat="0" applyBorder="0" applyAlignment="0" applyProtection="0"/>
    <xf numFmtId="167" fontId="38" fillId="38" borderId="43" applyNumberFormat="0" applyAlignment="0"/>
    <xf numFmtId="10" fontId="32" fillId="36" borderId="42" applyNumberFormat="0" applyBorder="0" applyAlignment="0" applyProtection="0"/>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9" fontId="1" fillId="0" borderId="0" applyFont="0" applyFill="0" applyBorder="0" applyAlignment="0" applyProtection="0"/>
    <xf numFmtId="0" fontId="1" fillId="0" borderId="0"/>
    <xf numFmtId="167" fontId="7" fillId="3" borderId="44">
      <alignment horizontal="center"/>
      <protection locked="0"/>
    </xf>
    <xf numFmtId="10" fontId="32" fillId="36" borderId="45" applyNumberFormat="0" applyBorder="0" applyAlignment="0" applyProtection="0"/>
    <xf numFmtId="0" fontId="10" fillId="0" borderId="45" applyProtection="0">
      <alignment vertical="top" wrapText="1"/>
    </xf>
    <xf numFmtId="167" fontId="7" fillId="3" borderId="44">
      <alignment horizontal="center"/>
      <protection locked="0"/>
    </xf>
    <xf numFmtId="167" fontId="36" fillId="0" borderId="45">
      <alignment horizontal="left" vertical="center" wrapText="1"/>
    </xf>
    <xf numFmtId="9" fontId="1" fillId="0" borderId="0" applyFont="0" applyFill="0" applyBorder="0" applyAlignment="0" applyProtection="0"/>
    <xf numFmtId="167" fontId="36" fillId="0" borderId="45">
      <alignment horizontal="left" vertical="center" wrapText="1"/>
    </xf>
    <xf numFmtId="167" fontId="38" fillId="38" borderId="43" applyNumberFormat="0" applyAlignment="0"/>
    <xf numFmtId="167" fontId="36" fillId="0" borderId="45">
      <alignment horizontal="left" vertical="center" wrapText="1"/>
    </xf>
    <xf numFmtId="10" fontId="32" fillId="36" borderId="45" applyNumberFormat="0" applyBorder="0" applyAlignment="0" applyProtection="0"/>
    <xf numFmtId="167" fontId="7" fillId="3" borderId="44">
      <alignment horizontal="center"/>
      <protection locked="0"/>
    </xf>
    <xf numFmtId="0" fontId="10" fillId="0" borderId="42" applyProtection="0">
      <alignment vertical="top" wrapText="1"/>
    </xf>
    <xf numFmtId="167" fontId="36" fillId="0" borderId="42">
      <alignment horizontal="left" vertical="center" wrapText="1"/>
    </xf>
    <xf numFmtId="0" fontId="10" fillId="0" borderId="45" applyProtection="0">
      <alignment vertical="top" wrapText="1"/>
    </xf>
    <xf numFmtId="10" fontId="32" fillId="36" borderId="36" applyNumberFormat="0" applyBorder="0" applyAlignment="0" applyProtection="0"/>
    <xf numFmtId="0" fontId="10" fillId="0" borderId="36" applyProtection="0">
      <alignment vertical="top" wrapText="1"/>
    </xf>
    <xf numFmtId="167" fontId="7" fillId="3" borderId="34">
      <alignment horizontal="center"/>
      <protection locked="0"/>
    </xf>
    <xf numFmtId="167" fontId="7" fillId="3" borderId="34">
      <alignment horizontal="center"/>
      <protection locked="0"/>
    </xf>
    <xf numFmtId="167" fontId="38" fillId="38" borderId="35" applyNumberFormat="0" applyAlignment="0"/>
    <xf numFmtId="167" fontId="36" fillId="0" borderId="36">
      <alignment horizontal="left" vertical="center" wrapText="1"/>
    </xf>
    <xf numFmtId="167" fontId="7" fillId="3" borderId="34">
      <alignment horizontal="center"/>
      <protection locked="0"/>
    </xf>
    <xf numFmtId="167" fontId="7" fillId="3" borderId="34">
      <alignment horizontal="center"/>
      <protection locked="0"/>
    </xf>
    <xf numFmtId="167" fontId="38" fillId="38" borderId="35" applyNumberFormat="0" applyAlignment="0"/>
    <xf numFmtId="167" fontId="38" fillId="38" borderId="37" applyNumberFormat="0" applyAlignment="0"/>
    <xf numFmtId="167" fontId="7" fillId="3" borderId="38">
      <alignment horizontal="center"/>
      <protection locked="0"/>
    </xf>
    <xf numFmtId="167" fontId="7" fillId="3" borderId="38">
      <alignment horizontal="center"/>
      <protection locked="0"/>
    </xf>
    <xf numFmtId="167" fontId="7" fillId="3" borderId="38">
      <alignment horizontal="center"/>
      <protection locked="0"/>
    </xf>
    <xf numFmtId="167" fontId="7" fillId="3" borderId="38">
      <alignment horizontal="center"/>
      <protection locked="0"/>
    </xf>
    <xf numFmtId="167" fontId="38" fillId="38" borderId="37" applyNumberFormat="0" applyAlignment="0"/>
    <xf numFmtId="167" fontId="7" fillId="3" borderId="38">
      <alignment horizontal="center"/>
      <protection locked="0"/>
    </xf>
    <xf numFmtId="167" fontId="7" fillId="3" borderId="38">
      <alignment horizontal="center"/>
      <protection locked="0"/>
    </xf>
    <xf numFmtId="167" fontId="38" fillId="38" borderId="37" applyNumberFormat="0" applyAlignment="0"/>
    <xf numFmtId="0" fontId="10" fillId="0" borderId="39" applyProtection="0">
      <alignment vertical="top" wrapText="1"/>
    </xf>
    <xf numFmtId="10" fontId="32" fillId="36" borderId="39" applyNumberFormat="0" applyBorder="0" applyAlignment="0" applyProtection="0"/>
    <xf numFmtId="10" fontId="32" fillId="36" borderId="39" applyNumberFormat="0" applyBorder="0" applyAlignment="0" applyProtection="0"/>
    <xf numFmtId="0" fontId="10" fillId="0" borderId="39" applyProtection="0">
      <alignment vertical="top" wrapText="1"/>
    </xf>
    <xf numFmtId="167" fontId="36" fillId="0" borderId="39">
      <alignment horizontal="left" vertical="center" wrapText="1"/>
    </xf>
    <xf numFmtId="167" fontId="7" fillId="3" borderId="38">
      <alignment horizontal="center"/>
      <protection locked="0"/>
    </xf>
    <xf numFmtId="167" fontId="7" fillId="3" borderId="38">
      <alignment horizontal="center"/>
      <protection locked="0"/>
    </xf>
    <xf numFmtId="167" fontId="38" fillId="38" borderId="37" applyNumberFormat="0" applyAlignment="0"/>
    <xf numFmtId="167" fontId="36" fillId="0" borderId="39">
      <alignment horizontal="left" vertical="center" wrapText="1"/>
    </xf>
    <xf numFmtId="167" fontId="7" fillId="3" borderId="38">
      <alignment horizontal="center"/>
      <protection locked="0"/>
    </xf>
    <xf numFmtId="167" fontId="7" fillId="3" borderId="38">
      <alignment horizontal="center"/>
      <protection locked="0"/>
    </xf>
    <xf numFmtId="167" fontId="38" fillId="38" borderId="37" applyNumberFormat="0" applyAlignment="0"/>
    <xf numFmtId="0" fontId="10" fillId="0" borderId="39" applyProtection="0">
      <alignment vertical="top" wrapText="1"/>
    </xf>
    <xf numFmtId="10" fontId="32" fillId="36" borderId="39" applyNumberFormat="0" applyBorder="0" applyAlignment="0" applyProtection="0"/>
    <xf numFmtId="10" fontId="32" fillId="36" borderId="39" applyNumberFormat="0" applyBorder="0" applyAlignment="0" applyProtection="0"/>
    <xf numFmtId="0" fontId="10" fillId="0" borderId="39" applyProtection="0">
      <alignment vertical="top" wrapText="1"/>
    </xf>
    <xf numFmtId="167" fontId="36" fillId="0" borderId="39">
      <alignment horizontal="left" vertical="center" wrapText="1"/>
    </xf>
    <xf numFmtId="167" fontId="7" fillId="3" borderId="38">
      <alignment horizontal="center"/>
      <protection locked="0"/>
    </xf>
    <xf numFmtId="167" fontId="7" fillId="3" borderId="38">
      <alignment horizontal="center"/>
      <protection locked="0"/>
    </xf>
    <xf numFmtId="167" fontId="38" fillId="38" borderId="37" applyNumberFormat="0" applyAlignment="0"/>
    <xf numFmtId="167" fontId="36" fillId="0" borderId="39">
      <alignment horizontal="left" vertical="center" wrapText="1"/>
    </xf>
    <xf numFmtId="167" fontId="7" fillId="3" borderId="38">
      <alignment horizontal="center"/>
      <protection locked="0"/>
    </xf>
    <xf numFmtId="167" fontId="7" fillId="3" borderId="38">
      <alignment horizontal="center"/>
      <protection locked="0"/>
    </xf>
    <xf numFmtId="167" fontId="38" fillId="38" borderId="37" applyNumberFormat="0" applyAlignment="0"/>
    <xf numFmtId="0" fontId="10" fillId="0" borderId="36" applyProtection="0">
      <alignment vertical="top" wrapText="1"/>
    </xf>
    <xf numFmtId="10" fontId="32" fillId="36" borderId="36" applyNumberFormat="0" applyBorder="0" applyAlignment="0" applyProtection="0"/>
    <xf numFmtId="167" fontId="36" fillId="0" borderId="36">
      <alignment horizontal="left" vertical="center" wrapText="1"/>
    </xf>
    <xf numFmtId="167" fontId="7" fillId="3" borderId="44">
      <alignment horizontal="center"/>
      <protection locked="0"/>
    </xf>
    <xf numFmtId="167" fontId="38" fillId="38" borderId="43" applyNumberFormat="0" applyAlignment="0"/>
    <xf numFmtId="0" fontId="10" fillId="0" borderId="45" applyProtection="0">
      <alignment vertical="top" wrapText="1"/>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0" applyNumberFormat="0" applyAlignment="0"/>
    <xf numFmtId="167" fontId="7" fillId="3" borderId="41">
      <alignment horizontal="center"/>
      <protection locked="0"/>
    </xf>
    <xf numFmtId="167" fontId="7" fillId="3" borderId="41">
      <alignment horizontal="center"/>
      <protection locked="0"/>
    </xf>
    <xf numFmtId="167" fontId="7" fillId="3" borderId="41">
      <alignment horizontal="center"/>
      <protection locked="0"/>
    </xf>
    <xf numFmtId="167" fontId="7" fillId="3" borderId="41">
      <alignment horizontal="center"/>
      <protection locked="0"/>
    </xf>
    <xf numFmtId="167" fontId="38" fillId="38" borderId="40" applyNumberFormat="0" applyAlignment="0"/>
    <xf numFmtId="167" fontId="7" fillId="3" borderId="41">
      <alignment horizontal="center"/>
      <protection locked="0"/>
    </xf>
    <xf numFmtId="167" fontId="7" fillId="3" borderId="41">
      <alignment horizontal="center"/>
      <protection locked="0"/>
    </xf>
    <xf numFmtId="167" fontId="38" fillId="38" borderId="40" applyNumberFormat="0" applyAlignment="0"/>
    <xf numFmtId="0" fontId="10" fillId="0" borderId="42" applyProtection="0">
      <alignment vertical="top" wrapText="1"/>
    </xf>
    <xf numFmtId="10" fontId="32" fillId="36" borderId="42" applyNumberFormat="0" applyBorder="0" applyAlignment="0" applyProtection="0"/>
    <xf numFmtId="10" fontId="32" fillId="36" borderId="42" applyNumberFormat="0" applyBorder="0" applyAlignment="0" applyProtection="0"/>
    <xf numFmtId="0" fontId="10" fillId="0" borderId="42" applyProtection="0">
      <alignment vertical="top" wrapText="1"/>
    </xf>
    <xf numFmtId="167" fontId="36" fillId="0" borderId="42">
      <alignment horizontal="left" vertical="center" wrapText="1"/>
    </xf>
    <xf numFmtId="167" fontId="7" fillId="3" borderId="41">
      <alignment horizontal="center"/>
      <protection locked="0"/>
    </xf>
    <xf numFmtId="167" fontId="7" fillId="3" borderId="41">
      <alignment horizontal="center"/>
      <protection locked="0"/>
    </xf>
    <xf numFmtId="167" fontId="38" fillId="38" borderId="40" applyNumberFormat="0" applyAlignment="0"/>
    <xf numFmtId="167" fontId="36" fillId="0" borderId="42">
      <alignment horizontal="left" vertical="center" wrapText="1"/>
    </xf>
    <xf numFmtId="167" fontId="7" fillId="3" borderId="41">
      <alignment horizontal="center"/>
      <protection locked="0"/>
    </xf>
    <xf numFmtId="167" fontId="7" fillId="3" borderId="41">
      <alignment horizontal="center"/>
      <protection locked="0"/>
    </xf>
    <xf numFmtId="167" fontId="38" fillId="38" borderId="40" applyNumberFormat="0" applyAlignment="0"/>
    <xf numFmtId="0" fontId="10" fillId="0" borderId="42" applyProtection="0">
      <alignment vertical="top" wrapText="1"/>
    </xf>
    <xf numFmtId="10" fontId="32" fillId="36" borderId="42" applyNumberFormat="0" applyBorder="0" applyAlignment="0" applyProtection="0"/>
    <xf numFmtId="10" fontId="32" fillId="36" borderId="42" applyNumberFormat="0" applyBorder="0" applyAlignment="0" applyProtection="0"/>
    <xf numFmtId="0" fontId="10" fillId="0" borderId="42" applyProtection="0">
      <alignment vertical="top" wrapText="1"/>
    </xf>
    <xf numFmtId="167" fontId="36" fillId="0" borderId="42">
      <alignment horizontal="left" vertical="center" wrapText="1"/>
    </xf>
    <xf numFmtId="167" fontId="7" fillId="3" borderId="41">
      <alignment horizontal="center"/>
      <protection locked="0"/>
    </xf>
    <xf numFmtId="167" fontId="7" fillId="3" borderId="41">
      <alignment horizontal="center"/>
      <protection locked="0"/>
    </xf>
    <xf numFmtId="167" fontId="38" fillId="38" borderId="40" applyNumberFormat="0" applyAlignment="0"/>
    <xf numFmtId="167" fontId="36" fillId="0" borderId="42">
      <alignment horizontal="left" vertical="center" wrapText="1"/>
    </xf>
    <xf numFmtId="167" fontId="7" fillId="3" borderId="41">
      <alignment horizontal="center"/>
      <protection locked="0"/>
    </xf>
    <xf numFmtId="167" fontId="7" fillId="3" borderId="41">
      <alignment horizontal="center"/>
      <protection locked="0"/>
    </xf>
    <xf numFmtId="167" fontId="38" fillId="38" borderId="40" applyNumberFormat="0" applyAlignment="0"/>
    <xf numFmtId="0" fontId="10" fillId="0" borderId="39" applyProtection="0">
      <alignment vertical="top" wrapText="1"/>
    </xf>
    <xf numFmtId="10" fontId="32" fillId="36" borderId="39" applyNumberFormat="0" applyBorder="0" applyAlignment="0" applyProtection="0"/>
    <xf numFmtId="167" fontId="36" fillId="0" borderId="39">
      <alignment horizontal="left" vertical="center" wrapText="1"/>
    </xf>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62" fillId="0" borderId="0"/>
    <xf numFmtId="167" fontId="7" fillId="3" borderId="46">
      <alignment horizontal="center"/>
      <protection locked="0"/>
    </xf>
    <xf numFmtId="0" fontId="10" fillId="0" borderId="33" applyProtection="0">
      <alignment vertical="top" wrapText="1"/>
    </xf>
    <xf numFmtId="167" fontId="36" fillId="0" borderId="33">
      <alignment horizontal="left" vertical="center" wrapText="1"/>
    </xf>
    <xf numFmtId="167" fontId="7" fillId="3" borderId="46">
      <alignment horizontal="center"/>
      <protection locked="0"/>
    </xf>
    <xf numFmtId="167" fontId="38" fillId="38" borderId="47" applyNumberFormat="0" applyAlignment="0"/>
    <xf numFmtId="10" fontId="32" fillId="36" borderId="33" applyNumberFormat="0" applyBorder="0" applyAlignment="0" applyProtection="0"/>
    <xf numFmtId="0" fontId="10" fillId="0" borderId="48" applyProtection="0">
      <alignment vertical="top" wrapText="1"/>
    </xf>
    <xf numFmtId="10" fontId="32" fillId="36" borderId="48" applyNumberFormat="0" applyBorder="0" applyAlignment="0" applyProtection="0"/>
    <xf numFmtId="167" fontId="36" fillId="0" borderId="48">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8" fillId="38" borderId="52" applyNumberFormat="0" applyAlignment="0"/>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38" fillId="38" borderId="52" applyNumberFormat="0" applyAlignment="0"/>
    <xf numFmtId="167" fontId="7" fillId="3" borderId="53">
      <alignment horizontal="center"/>
      <protection locked="0"/>
    </xf>
    <xf numFmtId="167" fontId="7" fillId="3" borderId="53">
      <alignment horizontal="center"/>
      <protection locked="0"/>
    </xf>
    <xf numFmtId="167" fontId="38" fillId="38" borderId="52" applyNumberFormat="0" applyAlignment="0"/>
    <xf numFmtId="0" fontId="10" fillId="0" borderId="54" applyProtection="0">
      <alignment vertical="top" wrapText="1"/>
    </xf>
    <xf numFmtId="10" fontId="32" fillId="36" borderId="54" applyNumberFormat="0" applyBorder="0" applyAlignment="0" applyProtection="0"/>
    <xf numFmtId="10" fontId="32" fillId="36" borderId="54" applyNumberFormat="0" applyBorder="0" applyAlignment="0" applyProtection="0"/>
    <xf numFmtId="0" fontId="10" fillId="0" borderId="54" applyProtection="0">
      <alignment vertical="top" wrapText="1"/>
    </xf>
    <xf numFmtId="167" fontId="36" fillId="0" borderId="54">
      <alignment horizontal="left" vertical="center" wrapText="1"/>
    </xf>
    <xf numFmtId="167" fontId="7" fillId="3" borderId="53">
      <alignment horizontal="center"/>
      <protection locked="0"/>
    </xf>
    <xf numFmtId="167" fontId="7" fillId="3" borderId="53">
      <alignment horizontal="center"/>
      <protection locked="0"/>
    </xf>
    <xf numFmtId="167" fontId="38" fillId="38" borderId="52" applyNumberFormat="0" applyAlignment="0"/>
    <xf numFmtId="167" fontId="36" fillId="0" borderId="54">
      <alignment horizontal="left" vertical="center" wrapText="1"/>
    </xf>
    <xf numFmtId="167" fontId="7" fillId="3" borderId="53">
      <alignment horizontal="center"/>
      <protection locked="0"/>
    </xf>
    <xf numFmtId="167" fontId="7" fillId="3" borderId="53">
      <alignment horizontal="center"/>
      <protection locked="0"/>
    </xf>
    <xf numFmtId="167" fontId="38" fillId="38" borderId="52" applyNumberFormat="0" applyAlignment="0"/>
    <xf numFmtId="0" fontId="10" fillId="0" borderId="54" applyProtection="0">
      <alignment vertical="top" wrapText="1"/>
    </xf>
    <xf numFmtId="10" fontId="32" fillId="36" borderId="54" applyNumberFormat="0" applyBorder="0" applyAlignment="0" applyProtection="0"/>
    <xf numFmtId="10" fontId="32" fillId="36" borderId="54" applyNumberFormat="0" applyBorder="0" applyAlignment="0" applyProtection="0"/>
    <xf numFmtId="0" fontId="10" fillId="0" borderId="54" applyProtection="0">
      <alignment vertical="top" wrapText="1"/>
    </xf>
    <xf numFmtId="167" fontId="36" fillId="0" borderId="54">
      <alignment horizontal="left" vertical="center" wrapText="1"/>
    </xf>
    <xf numFmtId="167" fontId="7" fillId="3" borderId="53">
      <alignment horizontal="center"/>
      <protection locked="0"/>
    </xf>
    <xf numFmtId="167" fontId="7" fillId="3" borderId="53">
      <alignment horizontal="center"/>
      <protection locked="0"/>
    </xf>
    <xf numFmtId="167" fontId="38" fillId="38" borderId="52" applyNumberFormat="0" applyAlignment="0"/>
    <xf numFmtId="167" fontId="36" fillId="0" borderId="54">
      <alignment horizontal="left" vertical="center" wrapText="1"/>
    </xf>
    <xf numFmtId="167" fontId="7" fillId="3" borderId="53">
      <alignment horizontal="center"/>
      <protection locked="0"/>
    </xf>
    <xf numFmtId="167" fontId="7" fillId="3" borderId="53">
      <alignment horizontal="center"/>
      <protection locked="0"/>
    </xf>
    <xf numFmtId="167" fontId="38" fillId="38" borderId="52" applyNumberFormat="0" applyAlignment="0"/>
    <xf numFmtId="0" fontId="10" fillId="0" borderId="51" applyProtection="0">
      <alignment vertical="top" wrapText="1"/>
    </xf>
    <xf numFmtId="10" fontId="32" fillId="36" borderId="51" applyNumberFormat="0" applyBorder="0" applyAlignment="0" applyProtection="0"/>
    <xf numFmtId="167" fontId="36" fillId="0" borderId="51">
      <alignment horizontal="left" vertical="center" wrapText="1"/>
    </xf>
    <xf numFmtId="167" fontId="7" fillId="3" borderId="49">
      <alignment horizontal="center"/>
      <protection locked="0"/>
    </xf>
    <xf numFmtId="10" fontId="32" fillId="36" borderId="51" applyNumberFormat="0" applyBorder="0" applyAlignment="0" applyProtection="0"/>
    <xf numFmtId="167" fontId="7" fillId="3" borderId="49">
      <alignment horizontal="center"/>
      <protection locked="0"/>
    </xf>
    <xf numFmtId="167" fontId="38" fillId="38" borderId="50" applyNumberFormat="0" applyAlignment="0"/>
    <xf numFmtId="0" fontId="10" fillId="0" borderId="51" applyProtection="0">
      <alignment vertical="top" wrapText="1"/>
    </xf>
    <xf numFmtId="167" fontId="7" fillId="3" borderId="49">
      <alignment horizontal="center"/>
      <protection locked="0"/>
    </xf>
    <xf numFmtId="167" fontId="38" fillId="38" borderId="50" applyNumberFormat="0" applyAlignment="0"/>
    <xf numFmtId="10" fontId="32" fillId="36" borderId="51" applyNumberFormat="0" applyBorder="0" applyAlignment="0" applyProtection="0"/>
    <xf numFmtId="167" fontId="38" fillId="38" borderId="50" applyNumberFormat="0" applyAlignment="0"/>
    <xf numFmtId="10" fontId="32" fillId="36" borderId="51" applyNumberFormat="0" applyBorder="0" applyAlignment="0" applyProtection="0"/>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7" fillId="3" borderId="49">
      <alignment horizontal="center"/>
      <protection locked="0"/>
    </xf>
    <xf numFmtId="167" fontId="7" fillId="3" borderId="49">
      <alignment horizontal="center"/>
      <protection locked="0"/>
    </xf>
    <xf numFmtId="10" fontId="32" fillId="36" borderId="51" applyNumberFormat="0" applyBorder="0" applyAlignment="0" applyProtection="0"/>
    <xf numFmtId="0" fontId="10" fillId="0" borderId="51" applyProtection="0">
      <alignment vertical="top" wrapText="1"/>
    </xf>
    <xf numFmtId="167" fontId="7" fillId="3" borderId="49">
      <alignment horizontal="center"/>
      <protection locked="0"/>
    </xf>
    <xf numFmtId="167" fontId="36" fillId="0" borderId="51">
      <alignment horizontal="left" vertical="center" wrapText="1"/>
    </xf>
    <xf numFmtId="167" fontId="36" fillId="0" borderId="51">
      <alignment horizontal="left" vertical="center" wrapText="1"/>
    </xf>
    <xf numFmtId="167" fontId="38" fillId="38" borderId="50" applyNumberFormat="0" applyAlignment="0"/>
    <xf numFmtId="167" fontId="36" fillId="0" borderId="51">
      <alignment horizontal="left" vertical="center" wrapText="1"/>
    </xf>
    <xf numFmtId="10" fontId="32" fillId="36" borderId="51" applyNumberFormat="0" applyBorder="0" applyAlignment="0" applyProtection="0"/>
    <xf numFmtId="167" fontId="7" fillId="3" borderId="49">
      <alignment horizontal="center"/>
      <protection locked="0"/>
    </xf>
    <xf numFmtId="0" fontId="10" fillId="0" borderId="51" applyProtection="0">
      <alignment vertical="top" wrapText="1"/>
    </xf>
    <xf numFmtId="167" fontId="36" fillId="0" borderId="51">
      <alignment horizontal="left" vertical="center" wrapText="1"/>
    </xf>
    <xf numFmtId="0" fontId="10" fillId="0" borderId="51" applyProtection="0">
      <alignment vertical="top" wrapText="1"/>
    </xf>
    <xf numFmtId="10" fontId="32" fillId="36" borderId="51" applyNumberFormat="0" applyBorder="0" applyAlignment="0" applyProtection="0"/>
    <xf numFmtId="0" fontId="10" fillId="0" borderId="51" applyProtection="0">
      <alignment vertical="top"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8" fillId="38" borderId="50" applyNumberFormat="0" applyAlignment="0"/>
    <xf numFmtId="167" fontId="7" fillId="3" borderId="49">
      <alignment horizontal="center"/>
      <protection locked="0"/>
    </xf>
    <xf numFmtId="167" fontId="7" fillId="3" borderId="49">
      <alignment horizontal="center"/>
      <protection locked="0"/>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67" fontId="36" fillId="0" borderId="51">
      <alignment horizontal="left" vertical="center" wrapText="1"/>
    </xf>
    <xf numFmtId="167" fontId="7" fillId="3" borderId="49">
      <alignment horizontal="center"/>
      <protection locked="0"/>
    </xf>
    <xf numFmtId="167" fontId="38" fillId="38" borderId="50" applyNumberFormat="0" applyAlignment="0"/>
    <xf numFmtId="0" fontId="10" fillId="0" borderId="51" applyProtection="0">
      <alignment vertical="top" wrapText="1"/>
    </xf>
    <xf numFmtId="167" fontId="38" fillId="38" borderId="50" applyNumberFormat="0" applyAlignment="0"/>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7" fillId="3" borderId="49">
      <alignment horizontal="center"/>
      <protection locked="0"/>
    </xf>
    <xf numFmtId="167" fontId="7" fillId="3" borderId="49">
      <alignment horizontal="center"/>
      <protection locked="0"/>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0" fontId="32" fillId="36" borderId="51" applyNumberFormat="0" applyBorder="0" applyAlignment="0" applyProtection="0"/>
    <xf numFmtId="0" fontId="10" fillId="0" borderId="51" applyProtection="0">
      <alignment vertical="top" wrapText="1"/>
    </xf>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167" fontId="36" fillId="0" borderId="51">
      <alignment horizontal="left" vertical="center" wrapText="1"/>
    </xf>
    <xf numFmtId="167" fontId="7" fillId="3" borderId="49">
      <alignment horizontal="center"/>
      <protection locked="0"/>
    </xf>
    <xf numFmtId="167" fontId="7" fillId="3" borderId="49">
      <alignment horizontal="center"/>
      <protection locked="0"/>
    </xf>
    <xf numFmtId="167" fontId="38" fillId="38" borderId="50" applyNumberFormat="0" applyAlignment="0"/>
    <xf numFmtId="0" fontId="10" fillId="0" borderId="51" applyProtection="0">
      <alignment vertical="top" wrapText="1"/>
    </xf>
    <xf numFmtId="10" fontId="32" fillId="36" borderId="51" applyNumberFormat="0" applyBorder="0" applyAlignment="0" applyProtection="0"/>
    <xf numFmtId="167" fontId="36" fillId="0" borderId="51">
      <alignment horizontal="left" vertical="center" wrapText="1"/>
    </xf>
    <xf numFmtId="167" fontId="36" fillId="0" borderId="33">
      <alignment horizontal="left" vertical="center" wrapText="1"/>
    </xf>
    <xf numFmtId="10" fontId="32" fillId="36" borderId="33" applyNumberFormat="0" applyBorder="0" applyAlignment="0" applyProtection="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0" fontId="10" fillId="0" borderId="33" applyProtection="0">
      <alignment vertical="top" wrapText="1"/>
    </xf>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0" fontId="32" fillId="36" borderId="45" applyNumberFormat="0" applyBorder="0" applyAlignment="0" applyProtection="0"/>
    <xf numFmtId="0" fontId="10" fillId="0" borderId="45" applyProtection="0">
      <alignment vertical="top"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167" fontId="7" fillId="3" borderId="44">
      <alignment horizontal="center"/>
      <protection locked="0"/>
    </xf>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38" fillId="38" borderId="43" applyNumberFormat="0" applyAlignment="0"/>
    <xf numFmtId="10" fontId="32" fillId="36" borderId="45" applyNumberFormat="0" applyBorder="0" applyAlignment="0" applyProtection="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167" fontId="7" fillId="3" borderId="44">
      <alignment horizontal="center"/>
      <protection locked="0"/>
    </xf>
    <xf numFmtId="10" fontId="32" fillId="36" borderId="45" applyNumberFormat="0" applyBorder="0" applyAlignment="0" applyProtection="0"/>
    <xf numFmtId="167" fontId="7" fillId="3" borderId="44">
      <alignment horizontal="center"/>
      <protection locked="0"/>
    </xf>
    <xf numFmtId="167" fontId="38" fillId="38" borderId="43" applyNumberFormat="0" applyAlignment="0"/>
    <xf numFmtId="0" fontId="10" fillId="0" borderId="45" applyProtection="0">
      <alignment vertical="top" wrapText="1"/>
    </xf>
    <xf numFmtId="167" fontId="7" fillId="3" borderId="44">
      <alignment horizontal="center"/>
      <protection locked="0"/>
    </xf>
    <xf numFmtId="167" fontId="38" fillId="38" borderId="43" applyNumberFormat="0" applyAlignment="0"/>
    <xf numFmtId="10" fontId="32" fillId="36" borderId="45" applyNumberFormat="0" applyBorder="0" applyAlignment="0" applyProtection="0"/>
    <xf numFmtId="167" fontId="38" fillId="38" borderId="43" applyNumberFormat="0" applyAlignment="0"/>
    <xf numFmtId="10" fontId="32" fillId="36" borderId="45" applyNumberFormat="0" applyBorder="0" applyAlignment="0" applyProtection="0"/>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0" fontId="32" fillId="36" borderId="45" applyNumberFormat="0" applyBorder="0" applyAlignment="0" applyProtection="0"/>
    <xf numFmtId="0" fontId="10" fillId="0" borderId="45" applyProtection="0">
      <alignment vertical="top" wrapText="1"/>
    </xf>
    <xf numFmtId="167" fontId="7" fillId="3" borderId="44">
      <alignment horizontal="center"/>
      <protection locked="0"/>
    </xf>
    <xf numFmtId="167" fontId="36" fillId="0" borderId="45">
      <alignment horizontal="left" vertical="center" wrapText="1"/>
    </xf>
    <xf numFmtId="167" fontId="36" fillId="0" borderId="45">
      <alignment horizontal="left" vertical="center" wrapText="1"/>
    </xf>
    <xf numFmtId="167" fontId="38" fillId="38" borderId="43" applyNumberFormat="0" applyAlignment="0"/>
    <xf numFmtId="167" fontId="36" fillId="0" borderId="45">
      <alignment horizontal="left" vertical="center" wrapText="1"/>
    </xf>
    <xf numFmtId="10" fontId="32" fillId="36" borderId="45" applyNumberFormat="0" applyBorder="0" applyAlignment="0" applyProtection="0"/>
    <xf numFmtId="167" fontId="7" fillId="3" borderId="44">
      <alignment horizontal="center"/>
      <protection locked="0"/>
    </xf>
    <xf numFmtId="0" fontId="10" fillId="0" borderId="45" applyProtection="0">
      <alignment vertical="top" wrapText="1"/>
    </xf>
    <xf numFmtId="167" fontId="36" fillId="0" borderId="45">
      <alignment horizontal="left" vertical="center" wrapText="1"/>
    </xf>
    <xf numFmtId="0" fontId="10" fillId="0" borderId="45" applyProtection="0">
      <alignment vertical="top" wrapText="1"/>
    </xf>
    <xf numFmtId="10" fontId="32" fillId="36" borderId="45" applyNumberFormat="0" applyBorder="0" applyAlignment="0" applyProtection="0"/>
    <xf numFmtId="0" fontId="10" fillId="0" borderId="45" applyProtection="0">
      <alignment vertical="top"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167" fontId="7" fillId="3" borderId="44">
      <alignment horizontal="center"/>
      <protection locked="0"/>
    </xf>
    <xf numFmtId="167" fontId="38" fillId="38" borderId="43" applyNumberFormat="0" applyAlignment="0"/>
    <xf numFmtId="0" fontId="10" fillId="0" borderId="45" applyProtection="0">
      <alignment vertical="top" wrapText="1"/>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0" fontId="32" fillId="36" borderId="45" applyNumberFormat="0" applyBorder="0" applyAlignment="0" applyProtection="0"/>
    <xf numFmtId="0" fontId="10" fillId="0" borderId="45" applyProtection="0">
      <alignment vertical="top" wrapText="1"/>
    </xf>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167" fontId="36" fillId="0" borderId="45">
      <alignment horizontal="left" vertical="center" wrapText="1"/>
    </xf>
    <xf numFmtId="167" fontId="7" fillId="3" borderId="44">
      <alignment horizontal="center"/>
      <protection locked="0"/>
    </xf>
    <xf numFmtId="167" fontId="7" fillId="3" borderId="44">
      <alignment horizontal="center"/>
      <protection locked="0"/>
    </xf>
    <xf numFmtId="167" fontId="38" fillId="38" borderId="43" applyNumberFormat="0" applyAlignment="0"/>
    <xf numFmtId="0" fontId="10" fillId="0" borderId="45" applyProtection="0">
      <alignment vertical="top" wrapText="1"/>
    </xf>
    <xf numFmtId="10" fontId="32" fillId="36" borderId="45" applyNumberFormat="0" applyBorder="0" applyAlignment="0" applyProtection="0"/>
    <xf numFmtId="167" fontId="36" fillId="0" borderId="45">
      <alignment horizontal="left" vertical="center" wrapText="1"/>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0" fontId="32" fillId="36" borderId="55" applyNumberFormat="0" applyBorder="0" applyAlignment="0" applyProtection="0"/>
    <xf numFmtId="167" fontId="7" fillId="3" borderId="53">
      <alignment horizontal="center"/>
      <protection locked="0"/>
    </xf>
    <xf numFmtId="0" fontId="10" fillId="0" borderId="55" applyProtection="0">
      <alignment vertical="top" wrapText="1"/>
    </xf>
    <xf numFmtId="167"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36" fillId="0" borderId="55">
      <alignment horizontal="left" vertical="center" wrapText="1"/>
    </xf>
    <xf numFmtId="167" fontId="36" fillId="0" borderId="55">
      <alignment horizontal="left" vertical="center" wrapText="1"/>
    </xf>
    <xf numFmtId="167" fontId="36" fillId="0" borderId="55">
      <alignment horizontal="left" vertical="center" wrapText="1"/>
    </xf>
    <xf numFmtId="10" fontId="32" fillId="36" borderId="55" applyNumberFormat="0" applyBorder="0" applyAlignment="0" applyProtection="0"/>
    <xf numFmtId="167" fontId="7" fillId="3" borderId="53">
      <alignment horizontal="center"/>
      <protection locked="0"/>
    </xf>
    <xf numFmtId="0" fontId="10" fillId="0" borderId="55" applyProtection="0">
      <alignment vertical="top"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0" fontId="32" fillId="36" borderId="55" applyNumberFormat="0" applyBorder="0" applyAlignment="0" applyProtection="0"/>
    <xf numFmtId="167" fontId="7" fillId="3" borderId="53">
      <alignment horizontal="center"/>
      <protection locked="0"/>
    </xf>
    <xf numFmtId="0" fontId="10" fillId="0" borderId="55" applyProtection="0">
      <alignment vertical="top" wrapText="1"/>
    </xf>
    <xf numFmtId="167"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36" fillId="0" borderId="55">
      <alignment horizontal="left" vertical="center" wrapText="1"/>
    </xf>
    <xf numFmtId="167" fontId="36" fillId="0" borderId="55">
      <alignment horizontal="left" vertical="center" wrapText="1"/>
    </xf>
    <xf numFmtId="167" fontId="36" fillId="0" borderId="55">
      <alignment horizontal="left" vertical="center" wrapText="1"/>
    </xf>
    <xf numFmtId="10" fontId="32" fillId="36" borderId="55" applyNumberFormat="0" applyBorder="0" applyAlignment="0" applyProtection="0"/>
    <xf numFmtId="167" fontId="7" fillId="3" borderId="53">
      <alignment horizontal="center"/>
      <protection locked="0"/>
    </xf>
    <xf numFmtId="0" fontId="10" fillId="0" borderId="55" applyProtection="0">
      <alignment vertical="top"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10" fontId="32" fillId="36" borderId="55" applyNumberFormat="0" applyBorder="0" applyAlignment="0" applyProtection="0"/>
    <xf numFmtId="167" fontId="7" fillId="3" borderId="53">
      <alignment horizontal="center"/>
      <protection locked="0"/>
    </xf>
    <xf numFmtId="0" fontId="10" fillId="0" borderId="55" applyProtection="0">
      <alignment vertical="top" wrapText="1"/>
    </xf>
    <xf numFmtId="167" fontId="7" fillId="3" borderId="53">
      <alignment horizontal="center"/>
      <protection locked="0"/>
    </xf>
    <xf numFmtId="10" fontId="32" fillId="36" borderId="55" applyNumberFormat="0" applyBorder="0" applyAlignment="0" applyProtection="0"/>
    <xf numFmtId="10" fontId="32" fillId="36" borderId="55" applyNumberFormat="0" applyBorder="0" applyAlignment="0" applyProtection="0"/>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36" fillId="0" borderId="55">
      <alignment horizontal="left" vertical="center" wrapText="1"/>
    </xf>
    <xf numFmtId="167" fontId="36" fillId="0" borderId="55">
      <alignment horizontal="left" vertical="center" wrapText="1"/>
    </xf>
    <xf numFmtId="167" fontId="36" fillId="0" borderId="55">
      <alignment horizontal="left" vertical="center" wrapText="1"/>
    </xf>
    <xf numFmtId="10" fontId="32" fillId="36" borderId="55" applyNumberFormat="0" applyBorder="0" applyAlignment="0" applyProtection="0"/>
    <xf numFmtId="167" fontId="7" fillId="3" borderId="53">
      <alignment horizontal="center"/>
      <protection locked="0"/>
    </xf>
    <xf numFmtId="0" fontId="10" fillId="0" borderId="55" applyProtection="0">
      <alignment vertical="top" wrapText="1"/>
    </xf>
    <xf numFmtId="167" fontId="36" fillId="0" borderId="55">
      <alignment horizontal="left" vertical="center" wrapText="1"/>
    </xf>
    <xf numFmtId="0" fontId="10" fillId="0" borderId="55" applyProtection="0">
      <alignment vertical="top" wrapText="1"/>
    </xf>
    <xf numFmtId="10" fontId="32" fillId="36" borderId="55" applyNumberFormat="0" applyBorder="0" applyAlignment="0" applyProtection="0"/>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167" fontId="7" fillId="3" borderId="53">
      <alignment horizontal="center"/>
      <protection locked="0"/>
    </xf>
    <xf numFmtId="0" fontId="10" fillId="0" borderId="55" applyProtection="0">
      <alignment vertical="top" wrapText="1"/>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0" fontId="32" fillId="36" borderId="55" applyNumberFormat="0" applyBorder="0" applyAlignment="0" applyProtection="0"/>
    <xf numFmtId="0" fontId="10" fillId="0" borderId="55" applyProtection="0">
      <alignment vertical="top" wrapText="1"/>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167" fontId="36" fillId="0" borderId="55">
      <alignment horizontal="left" vertical="center" wrapText="1"/>
    </xf>
    <xf numFmtId="167" fontId="7" fillId="3" borderId="53">
      <alignment horizontal="center"/>
      <protection locked="0"/>
    </xf>
    <xf numFmtId="167" fontId="7" fillId="3" borderId="53">
      <alignment horizontal="center"/>
      <protection locked="0"/>
    </xf>
    <xf numFmtId="0" fontId="10" fillId="0" borderId="55" applyProtection="0">
      <alignment vertical="top" wrapText="1"/>
    </xf>
    <xf numFmtId="10" fontId="32" fillId="36" borderId="55" applyNumberFormat="0" applyBorder="0" applyAlignment="0" applyProtection="0"/>
    <xf numFmtId="167" fontId="36" fillId="0" borderId="55">
      <alignment horizontal="left" vertical="center" wrapText="1"/>
    </xf>
    <xf numFmtId="0" fontId="7" fillId="0" borderId="0"/>
    <xf numFmtId="44" fontId="7" fillId="0" borderId="0" applyFont="0" applyFill="0" applyBorder="0" applyAlignment="0" applyProtection="0"/>
    <xf numFmtId="0" fontId="1" fillId="0" borderId="0"/>
    <xf numFmtId="0" fontId="1"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167" fontId="36" fillId="0" borderId="55">
      <alignment horizontal="left" vertical="center" wrapText="1"/>
    </xf>
    <xf numFmtId="10" fontId="32" fillId="36" borderId="55" applyNumberFormat="0" applyBorder="0" applyAlignment="0" applyProtection="0"/>
    <xf numFmtId="0" fontId="10" fillId="0" borderId="55" applyProtection="0">
      <alignment vertical="top" wrapText="1"/>
    </xf>
    <xf numFmtId="167" fontId="7" fillId="3" borderId="22">
      <alignment horizontal="center"/>
      <protection locked="0"/>
    </xf>
    <xf numFmtId="167" fontId="36" fillId="0" borderId="24">
      <alignment horizontal="left" vertical="center" wrapText="1"/>
    </xf>
    <xf numFmtId="167" fontId="36" fillId="0" borderId="24">
      <alignment horizontal="left" vertical="center" wrapText="1"/>
    </xf>
    <xf numFmtId="10" fontId="32" fillId="36" borderId="24" applyNumberFormat="0" applyBorder="0" applyAlignment="0" applyProtection="0"/>
    <xf numFmtId="167" fontId="7" fillId="3" borderId="22">
      <alignment horizontal="center"/>
      <protection locked="0"/>
    </xf>
    <xf numFmtId="167" fontId="7" fillId="3" borderId="22">
      <alignment horizontal="center"/>
      <protection locked="0"/>
    </xf>
    <xf numFmtId="167" fontId="7" fillId="3" borderId="22">
      <alignment horizontal="center"/>
      <protection locked="0"/>
    </xf>
    <xf numFmtId="0" fontId="10" fillId="0" borderId="24" applyProtection="0">
      <alignment vertical="top" wrapText="1"/>
    </xf>
    <xf numFmtId="167" fontId="38" fillId="38" borderId="23" applyNumberFormat="0" applyAlignment="0"/>
    <xf numFmtId="167" fontId="36" fillId="0" borderId="24">
      <alignment horizontal="left" vertical="center" wrapText="1"/>
    </xf>
    <xf numFmtId="167" fontId="36" fillId="0" borderId="24">
      <alignment horizontal="left" vertical="center" wrapText="1"/>
    </xf>
    <xf numFmtId="167" fontId="7" fillId="3" borderId="22">
      <alignment horizontal="center"/>
      <protection locked="0"/>
    </xf>
    <xf numFmtId="167" fontId="7" fillId="3" borderId="22">
      <alignment horizontal="center"/>
      <protection locked="0"/>
    </xf>
    <xf numFmtId="167" fontId="7" fillId="3" borderId="22">
      <alignment horizontal="center"/>
      <protection locked="0"/>
    </xf>
    <xf numFmtId="167" fontId="7" fillId="3" borderId="22">
      <alignment horizontal="center"/>
      <protection locked="0"/>
    </xf>
    <xf numFmtId="167" fontId="38" fillId="38" borderId="23" applyNumberFormat="0" applyAlignment="0"/>
    <xf numFmtId="0" fontId="10" fillId="0" borderId="24" applyProtection="0">
      <alignment vertical="top" wrapText="1"/>
    </xf>
    <xf numFmtId="0" fontId="10" fillId="0" borderId="24" applyProtection="0">
      <alignment vertical="top" wrapText="1"/>
    </xf>
    <xf numFmtId="10" fontId="32" fillId="36" borderId="24" applyNumberFormat="0" applyBorder="0" applyAlignment="0" applyProtection="0"/>
    <xf numFmtId="10" fontId="32" fillId="36" borderId="24" applyNumberFormat="0" applyBorder="0" applyAlignment="0" applyProtection="0"/>
    <xf numFmtId="167" fontId="7" fillId="3" borderId="22">
      <alignment horizontal="center"/>
      <protection locked="0"/>
    </xf>
    <xf numFmtId="167" fontId="38" fillId="38" borderId="23" applyNumberFormat="0" applyAlignment="0"/>
    <xf numFmtId="167" fontId="38" fillId="38" borderId="23" applyNumberFormat="0" applyAlignment="0"/>
    <xf numFmtId="10" fontId="32" fillId="36" borderId="24" applyNumberFormat="0" applyBorder="0" applyAlignment="0" applyProtection="0"/>
    <xf numFmtId="167" fontId="7" fillId="3" borderId="22">
      <alignment horizontal="center"/>
      <protection locked="0"/>
    </xf>
    <xf numFmtId="0" fontId="10" fillId="0" borderId="24" applyProtection="0">
      <alignment vertical="top" wrapText="1"/>
    </xf>
    <xf numFmtId="167" fontId="38" fillId="38" borderId="23" applyNumberFormat="0" applyAlignment="0"/>
    <xf numFmtId="167" fontId="7" fillId="3" borderId="22">
      <alignment horizontal="center"/>
      <protection locked="0"/>
    </xf>
    <xf numFmtId="167" fontId="38" fillId="38" borderId="23" applyNumberFormat="0" applyAlignment="0"/>
    <xf numFmtId="0" fontId="10" fillId="0" borderId="24" applyProtection="0">
      <alignment vertical="top" wrapText="1"/>
    </xf>
    <xf numFmtId="167" fontId="7" fillId="3" borderId="22">
      <alignment horizontal="center"/>
      <protection locked="0"/>
    </xf>
    <xf numFmtId="167" fontId="36" fillId="0" borderId="24">
      <alignment horizontal="left" vertical="center" wrapText="1"/>
    </xf>
    <xf numFmtId="167" fontId="7" fillId="3" borderId="22">
      <alignment horizontal="center"/>
      <protection locked="0"/>
    </xf>
    <xf numFmtId="0" fontId="10" fillId="0" borderId="24" applyProtection="0">
      <alignment vertical="top" wrapText="1"/>
    </xf>
    <xf numFmtId="167" fontId="38" fillId="38" borderId="23" applyNumberFormat="0" applyAlignment="0"/>
    <xf numFmtId="10" fontId="32" fillId="36" borderId="24" applyNumberFormat="0" applyBorder="0" applyAlignment="0" applyProtection="0"/>
    <xf numFmtId="167" fontId="7" fillId="3" borderId="22">
      <alignment horizontal="center"/>
      <protection locked="0"/>
    </xf>
    <xf numFmtId="167" fontId="7" fillId="3" borderId="22">
      <alignment horizontal="center"/>
      <protection locked="0"/>
    </xf>
    <xf numFmtId="167" fontId="7" fillId="3" borderId="22">
      <alignment horizontal="center"/>
      <protection locked="0"/>
    </xf>
    <xf numFmtId="10" fontId="32" fillId="36" borderId="24" applyNumberFormat="0" applyBorder="0" applyAlignment="0" applyProtection="0"/>
    <xf numFmtId="167" fontId="36" fillId="0" borderId="24">
      <alignment horizontal="left" vertical="center" wrapText="1"/>
    </xf>
    <xf numFmtId="167" fontId="38" fillId="38" borderId="23" applyNumberFormat="0" applyAlignment="0"/>
    <xf numFmtId="43" fontId="3" fillId="0" borderId="0" applyFont="0" applyFill="0" applyBorder="0" applyAlignment="0" applyProtection="0"/>
    <xf numFmtId="44" fontId="7" fillId="0" borderId="0" applyFont="0" applyFill="0" applyBorder="0" applyAlignment="0" applyProtection="0"/>
    <xf numFmtId="0" fontId="7" fillId="0" borderId="0"/>
    <xf numFmtId="43" fontId="7"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4" fontId="7" fillId="0" borderId="0" applyFont="0" applyFill="0" applyBorder="0" applyAlignment="0" applyProtection="0"/>
    <xf numFmtId="0" fontId="61" fillId="0" borderId="0"/>
    <xf numFmtId="0" fontId="66" fillId="0" borderId="0"/>
    <xf numFmtId="0" fontId="67" fillId="0" borderId="0"/>
    <xf numFmtId="43" fontId="67" fillId="0" borderId="0" applyFont="0" applyFill="0" applyBorder="0" applyAlignment="0" applyProtection="0"/>
    <xf numFmtId="0" fontId="68" fillId="0" borderId="0"/>
  </cellStyleXfs>
  <cellXfs count="116">
    <xf numFmtId="0" fontId="0" fillId="0" borderId="0" xfId="0"/>
    <xf numFmtId="0" fontId="8" fillId="0" borderId="0" xfId="0" applyFont="1" applyFill="1" applyAlignment="1"/>
    <xf numFmtId="0" fontId="8" fillId="0" borderId="0" xfId="0" applyFont="1"/>
    <xf numFmtId="0" fontId="8" fillId="0" borderId="0" xfId="0" applyFont="1" applyBorder="1"/>
    <xf numFmtId="0" fontId="16" fillId="0" borderId="0" xfId="0" applyFont="1" applyAlignment="1">
      <alignment horizontal="center"/>
    </xf>
    <xf numFmtId="0" fontId="8" fillId="0" borderId="0" xfId="0" applyFont="1" applyAlignment="1">
      <alignment horizontal="center"/>
    </xf>
    <xf numFmtId="0" fontId="8" fillId="0" borderId="0" xfId="0" applyFont="1" applyAlignment="1">
      <alignment horizontal="right"/>
    </xf>
    <xf numFmtId="0" fontId="8" fillId="0" borderId="0" xfId="0" applyFont="1" applyFill="1"/>
    <xf numFmtId="0" fontId="8" fillId="0" borderId="17" xfId="0" applyFont="1" applyBorder="1" applyAlignment="1">
      <alignment horizontal="center"/>
    </xf>
    <xf numFmtId="0" fontId="6" fillId="0" borderId="0" xfId="0" applyFont="1" applyBorder="1" applyAlignment="1">
      <alignment horizontal="center"/>
    </xf>
    <xf numFmtId="0" fontId="8" fillId="0" borderId="0" xfId="0" applyFont="1" applyBorder="1" applyAlignment="1">
      <alignment horizontal="right"/>
    </xf>
    <xf numFmtId="0" fontId="6" fillId="2" borderId="60" xfId="0" applyFont="1" applyFill="1" applyBorder="1" applyAlignment="1">
      <alignment horizontal="right"/>
    </xf>
    <xf numFmtId="0" fontId="8" fillId="0" borderId="0" xfId="150" applyFont="1"/>
    <xf numFmtId="0" fontId="8" fillId="0" borderId="17" xfId="0" applyFont="1" applyBorder="1" applyAlignment="1">
      <alignment horizontal="left"/>
    </xf>
    <xf numFmtId="0" fontId="8" fillId="0" borderId="0" xfId="0" applyFont="1" applyBorder="1" applyAlignment="1">
      <alignment horizontal="left"/>
    </xf>
    <xf numFmtId="0" fontId="8" fillId="0" borderId="0" xfId="0" applyFont="1" applyBorder="1" applyAlignment="1">
      <alignment horizontal="left" wrapText="1"/>
    </xf>
    <xf numFmtId="0" fontId="6" fillId="0" borderId="0" xfId="0" applyFont="1" applyBorder="1" applyAlignment="1">
      <alignment horizontal="left"/>
    </xf>
    <xf numFmtId="0" fontId="63" fillId="0" borderId="0" xfId="0" applyFont="1" applyBorder="1" applyAlignment="1">
      <alignment horizontal="left"/>
    </xf>
    <xf numFmtId="0" fontId="63" fillId="0" borderId="0" xfId="0" applyFont="1" applyBorder="1" applyAlignment="1">
      <alignment horizontal="center"/>
    </xf>
    <xf numFmtId="0" fontId="8" fillId="0" borderId="16" xfId="0" applyFont="1" applyBorder="1" applyAlignment="1">
      <alignment horizontal="left"/>
    </xf>
    <xf numFmtId="0" fontId="8" fillId="0" borderId="0" xfId="0" applyFont="1" applyAlignment="1">
      <alignment vertical="center"/>
    </xf>
    <xf numFmtId="0" fontId="63" fillId="0" borderId="0" xfId="0" applyFont="1" applyFill="1"/>
    <xf numFmtId="0" fontId="6" fillId="2" borderId="57" xfId="0" applyFont="1" applyFill="1" applyBorder="1" applyAlignment="1">
      <alignment horizontal="center" wrapText="1"/>
    </xf>
    <xf numFmtId="0" fontId="6" fillId="2" borderId="57" xfId="0" applyFont="1" applyFill="1" applyBorder="1" applyAlignment="1">
      <alignment horizontal="center"/>
    </xf>
    <xf numFmtId="164" fontId="5" fillId="3" borderId="15" xfId="0" applyNumberFormat="1" applyFont="1" applyFill="1" applyBorder="1" applyAlignment="1">
      <alignment horizontal="center" wrapText="1"/>
    </xf>
    <xf numFmtId="0" fontId="5" fillId="3" borderId="15" xfId="0" applyFont="1" applyFill="1" applyBorder="1" applyAlignment="1">
      <alignment horizontal="center" wrapText="1"/>
    </xf>
    <xf numFmtId="0" fontId="6" fillId="0" borderId="61" xfId="0" applyFont="1" applyFill="1" applyBorder="1" applyAlignment="1">
      <alignment horizontal="center"/>
    </xf>
    <xf numFmtId="0" fontId="6" fillId="0" borderId="59" xfId="0" applyFont="1" applyFill="1" applyBorder="1" applyAlignment="1">
      <alignment horizontal="center"/>
    </xf>
    <xf numFmtId="0" fontId="8" fillId="0" borderId="0" xfId="0" applyFont="1" applyBorder="1" applyAlignment="1">
      <alignment horizontal="center" vertical="center"/>
    </xf>
    <xf numFmtId="0" fontId="4" fillId="0" borderId="0" xfId="0" applyFont="1" applyFill="1"/>
    <xf numFmtId="0" fontId="6" fillId="2" borderId="33" xfId="0" applyFont="1" applyFill="1" applyBorder="1" applyAlignment="1">
      <alignment horizontal="center" wrapText="1"/>
    </xf>
    <xf numFmtId="0" fontId="8" fillId="0" borderId="33" xfId="0" applyFont="1" applyFill="1" applyBorder="1"/>
    <xf numFmtId="0" fontId="8" fillId="0" borderId="33" xfId="0" applyFont="1" applyFill="1" applyBorder="1" applyAlignment="1"/>
    <xf numFmtId="0" fontId="8" fillId="0" borderId="33" xfId="0" applyFont="1" applyFill="1" applyBorder="1" applyAlignment="1">
      <alignment horizontal="center"/>
    </xf>
    <xf numFmtId="44" fontId="8" fillId="0" borderId="33" xfId="1825" applyNumberFormat="1" applyFont="1" applyFill="1" applyBorder="1"/>
    <xf numFmtId="44" fontId="8" fillId="0" borderId="33" xfId="0" applyNumberFormat="1" applyFont="1" applyFill="1" applyBorder="1"/>
    <xf numFmtId="0" fontId="4" fillId="0" borderId="33" xfId="0" applyFont="1" applyFill="1" applyBorder="1" applyAlignment="1">
      <alignment horizontal="center"/>
    </xf>
    <xf numFmtId="0" fontId="8" fillId="0" borderId="33" xfId="0" applyFont="1" applyFill="1" applyBorder="1" applyAlignment="1">
      <alignment horizontal="left"/>
    </xf>
    <xf numFmtId="49" fontId="8" fillId="0" borderId="33" xfId="0" applyNumberFormat="1" applyFont="1" applyFill="1" applyBorder="1" applyAlignment="1">
      <alignment horizontal="center"/>
    </xf>
    <xf numFmtId="3" fontId="8" fillId="0" borderId="33" xfId="0" applyNumberFormat="1" applyFont="1" applyFill="1" applyBorder="1" applyAlignment="1">
      <alignment horizontal="center"/>
    </xf>
    <xf numFmtId="44" fontId="8" fillId="0" borderId="33" xfId="0" applyNumberFormat="1" applyFont="1" applyBorder="1"/>
    <xf numFmtId="3" fontId="6" fillId="3" borderId="33" xfId="0" applyNumberFormat="1" applyFont="1" applyFill="1" applyBorder="1" applyAlignment="1">
      <alignment horizontal="center" vertical="center" wrapText="1"/>
    </xf>
    <xf numFmtId="164" fontId="6" fillId="3" borderId="33" xfId="0" applyNumberFormat="1" applyFont="1" applyFill="1" applyBorder="1" applyAlignment="1">
      <alignment horizontal="center" vertical="center" wrapText="1"/>
    </xf>
    <xf numFmtId="0" fontId="6" fillId="3" borderId="33" xfId="0" applyFont="1" applyFill="1" applyBorder="1" applyAlignment="1">
      <alignment horizontal="center" vertical="center" wrapText="1"/>
    </xf>
    <xf numFmtId="0" fontId="8" fillId="0" borderId="33" xfId="0" applyFont="1" applyBorder="1" applyAlignment="1">
      <alignment horizontal="center" vertical="top"/>
    </xf>
    <xf numFmtId="0" fontId="8" fillId="0" borderId="33" xfId="0" applyFont="1" applyBorder="1" applyAlignment="1">
      <alignment horizontal="left" vertical="top" wrapText="1"/>
    </xf>
    <xf numFmtId="49" fontId="8" fillId="0" borderId="33" xfId="0" applyNumberFormat="1" applyFont="1" applyBorder="1" applyAlignment="1" applyProtection="1">
      <alignment horizontal="left" vertical="top" wrapText="1"/>
      <protection locked="0"/>
    </xf>
    <xf numFmtId="3" fontId="8" fillId="0" borderId="33" xfId="0" applyNumberFormat="1" applyFont="1" applyFill="1" applyBorder="1" applyAlignment="1">
      <alignment horizontal="right"/>
    </xf>
    <xf numFmtId="0" fontId="8" fillId="0" borderId="33" xfId="0" applyFont="1" applyFill="1" applyBorder="1" applyAlignment="1">
      <alignment horizontal="left" vertical="top" wrapText="1"/>
    </xf>
    <xf numFmtId="49" fontId="8" fillId="0" borderId="33" xfId="0" applyNumberFormat="1" applyFont="1" applyFill="1" applyBorder="1" applyAlignment="1" applyProtection="1">
      <alignment horizontal="left" vertical="top" wrapText="1"/>
      <protection locked="0"/>
    </xf>
    <xf numFmtId="44" fontId="8" fillId="0" borderId="33" xfId="1" applyFont="1" applyFill="1" applyBorder="1" applyAlignment="1">
      <alignment horizontal="right"/>
    </xf>
    <xf numFmtId="172" fontId="8" fillId="0" borderId="33" xfId="1821" applyNumberFormat="1" applyFont="1" applyFill="1" applyBorder="1" applyAlignment="1">
      <alignment horizontal="right" wrapText="1"/>
    </xf>
    <xf numFmtId="0" fontId="8" fillId="0" borderId="33" xfId="1820" applyFont="1" applyFill="1" applyBorder="1" applyAlignment="1">
      <alignment horizontal="center" wrapText="1"/>
    </xf>
    <xf numFmtId="164" fontId="8" fillId="0" borderId="33" xfId="0" applyNumberFormat="1" applyFont="1" applyFill="1" applyBorder="1" applyAlignment="1"/>
    <xf numFmtId="164" fontId="8" fillId="0" borderId="33" xfId="0" applyNumberFormat="1" applyFont="1" applyBorder="1" applyAlignment="1"/>
    <xf numFmtId="44" fontId="8" fillId="0" borderId="33" xfId="0" applyNumberFormat="1" applyFont="1" applyBorder="1" applyAlignment="1"/>
    <xf numFmtId="0" fontId="8" fillId="0" borderId="33" xfId="0" applyFont="1" applyBorder="1" applyAlignment="1">
      <alignment vertical="top" wrapText="1"/>
    </xf>
    <xf numFmtId="0" fontId="15" fillId="2" borderId="33" xfId="0" applyFont="1" applyFill="1" applyBorder="1" applyAlignment="1">
      <alignment horizontal="center" wrapText="1"/>
    </xf>
    <xf numFmtId="0" fontId="8" fillId="0" borderId="33" xfId="0" applyFont="1" applyFill="1" applyBorder="1" applyAlignment="1" applyProtection="1">
      <alignment horizontal="center"/>
      <protection locked="0"/>
    </xf>
    <xf numFmtId="0" fontId="8" fillId="0" borderId="33" xfId="0" applyFont="1" applyFill="1" applyBorder="1" applyAlignment="1" applyProtection="1">
      <alignment horizontal="left"/>
      <protection locked="0"/>
    </xf>
    <xf numFmtId="0" fontId="8" fillId="0" borderId="0" xfId="150" applyFont="1" applyFill="1"/>
    <xf numFmtId="0" fontId="8" fillId="0" borderId="0" xfId="0" applyFont="1" applyBorder="1" applyAlignment="1">
      <alignment horizontal="center"/>
    </xf>
    <xf numFmtId="0" fontId="8" fillId="0" borderId="63" xfId="0" applyFont="1" applyBorder="1" applyAlignment="1">
      <alignment horizontal="center"/>
    </xf>
    <xf numFmtId="0" fontId="6" fillId="0" borderId="63" xfId="0" applyFont="1" applyBorder="1" applyAlignment="1">
      <alignment horizontal="left"/>
    </xf>
    <xf numFmtId="0" fontId="8" fillId="0" borderId="63" xfId="0" applyFont="1" applyBorder="1" applyAlignment="1">
      <alignment horizontal="left" wrapText="1"/>
    </xf>
    <xf numFmtId="0" fontId="8" fillId="0" borderId="63" xfId="0" applyFont="1" applyBorder="1"/>
    <xf numFmtId="0" fontId="8" fillId="0" borderId="62" xfId="0" applyFont="1" applyFill="1" applyBorder="1" applyAlignment="1"/>
    <xf numFmtId="0" fontId="6" fillId="2" borderId="56" xfId="0" applyFont="1" applyFill="1" applyBorder="1" applyAlignment="1">
      <alignment horizontal="right" wrapText="1"/>
    </xf>
    <xf numFmtId="44" fontId="8" fillId="0" borderId="0" xfId="0" applyNumberFormat="1" applyFont="1"/>
    <xf numFmtId="0" fontId="15" fillId="0" borderId="0" xfId="0" applyFont="1" applyBorder="1" applyAlignment="1">
      <alignment horizontal="left"/>
    </xf>
    <xf numFmtId="0" fontId="16" fillId="0" borderId="0" xfId="0" applyFont="1" applyBorder="1" applyAlignment="1">
      <alignment horizontal="left"/>
    </xf>
    <xf numFmtId="0" fontId="16" fillId="0" borderId="17" xfId="0" applyFont="1" applyBorder="1" applyAlignment="1">
      <alignment horizontal="left"/>
    </xf>
    <xf numFmtId="0" fontId="16" fillId="0" borderId="33" xfId="0" applyFont="1" applyFill="1" applyBorder="1" applyAlignment="1">
      <alignment horizontal="center"/>
    </xf>
    <xf numFmtId="0" fontId="16" fillId="0" borderId="0" xfId="0" applyFont="1" applyBorder="1"/>
    <xf numFmtId="0" fontId="16" fillId="0" borderId="0" xfId="0" applyFont="1" applyAlignment="1">
      <alignment horizontal="right"/>
    </xf>
    <xf numFmtId="0" fontId="8" fillId="0" borderId="58" xfId="0" applyFont="1" applyFill="1" applyBorder="1" applyAlignment="1"/>
    <xf numFmtId="0" fontId="8" fillId="0" borderId="0" xfId="0" applyFont="1" applyBorder="1" applyAlignment="1">
      <alignment horizontal="center"/>
    </xf>
    <xf numFmtId="0" fontId="64" fillId="0" borderId="0" xfId="0" applyFont="1" applyFill="1"/>
    <xf numFmtId="43" fontId="8" fillId="0" borderId="0" xfId="1818" applyFont="1"/>
    <xf numFmtId="0" fontId="8" fillId="0" borderId="0" xfId="412" applyFont="1"/>
    <xf numFmtId="0" fontId="8" fillId="0" borderId="63" xfId="0" applyFont="1" applyBorder="1" applyAlignment="1">
      <alignment horizontal="center"/>
    </xf>
    <xf numFmtId="0" fontId="15" fillId="2" borderId="33" xfId="0" applyFont="1" applyFill="1" applyBorder="1" applyAlignment="1">
      <alignment horizontal="center"/>
    </xf>
    <xf numFmtId="0" fontId="6" fillId="0" borderId="0" xfId="0" applyFont="1"/>
    <xf numFmtId="0" fontId="8" fillId="0" borderId="0" xfId="0" applyFont="1" applyBorder="1" applyAlignment="1">
      <alignment horizontal="left" vertical="center"/>
    </xf>
    <xf numFmtId="0" fontId="8" fillId="0" borderId="61" xfId="0" applyFont="1" applyBorder="1" applyAlignment="1">
      <alignment horizontal="center" vertical="center"/>
    </xf>
    <xf numFmtId="0" fontId="8" fillId="0" borderId="0" xfId="0" applyFont="1" applyBorder="1" applyAlignment="1">
      <alignment horizontal="center"/>
    </xf>
    <xf numFmtId="0" fontId="15" fillId="2" borderId="33" xfId="0" applyFont="1" applyFill="1" applyBorder="1" applyAlignment="1">
      <alignment horizontal="center"/>
    </xf>
    <xf numFmtId="0" fontId="16" fillId="0" borderId="0" xfId="0" applyFont="1"/>
    <xf numFmtId="44" fontId="16" fillId="0" borderId="33" xfId="1825" applyNumberFormat="1" applyFont="1" applyFill="1" applyBorder="1"/>
    <xf numFmtId="0" fontId="16" fillId="0" borderId="57" xfId="0" applyFont="1" applyFill="1" applyBorder="1" applyAlignment="1">
      <alignment horizontal="center"/>
    </xf>
    <xf numFmtId="44" fontId="16" fillId="0" borderId="57" xfId="1" applyFont="1" applyFill="1" applyBorder="1" applyAlignment="1">
      <alignment horizontal="right"/>
    </xf>
    <xf numFmtId="0" fontId="16" fillId="0" borderId="33" xfId="1825" applyFont="1" applyFill="1" applyBorder="1" applyAlignment="1">
      <alignment horizontal="center"/>
    </xf>
    <xf numFmtId="3" fontId="16" fillId="0" borderId="33" xfId="0" applyNumberFormat="1" applyFont="1" applyFill="1" applyBorder="1" applyAlignment="1">
      <alignment horizontal="center"/>
    </xf>
    <xf numFmtId="44" fontId="16" fillId="0" borderId="33" xfId="1" applyFont="1" applyFill="1" applyBorder="1" applyAlignment="1">
      <alignment horizontal="right"/>
    </xf>
    <xf numFmtId="44" fontId="16" fillId="0" borderId="33" xfId="76" applyFont="1" applyFill="1" applyBorder="1"/>
    <xf numFmtId="44" fontId="16" fillId="0" borderId="33" xfId="76" applyFont="1" applyFill="1" applyBorder="1" applyAlignment="1">
      <alignment horizontal="right"/>
    </xf>
    <xf numFmtId="0" fontId="15" fillId="2" borderId="58" xfId="0" applyFont="1" applyFill="1" applyBorder="1" applyAlignment="1">
      <alignment horizontal="right"/>
    </xf>
    <xf numFmtId="44" fontId="64" fillId="0" borderId="0" xfId="0" applyNumberFormat="1" applyFont="1" applyFill="1"/>
    <xf numFmtId="0" fontId="15" fillId="0" borderId="0" xfId="0" applyFont="1" applyBorder="1" applyAlignment="1"/>
    <xf numFmtId="0" fontId="16" fillId="0" borderId="0" xfId="0" applyFont="1" applyBorder="1" applyAlignment="1"/>
    <xf numFmtId="0" fontId="16" fillId="0" borderId="17" xfId="0" applyFont="1" applyBorder="1" applyAlignment="1"/>
    <xf numFmtId="0" fontId="16" fillId="0" borderId="33" xfId="0" applyFont="1" applyFill="1" applyBorder="1" applyAlignment="1"/>
    <xf numFmtId="0" fontId="16" fillId="0" borderId="33" xfId="0" applyFont="1" applyFill="1" applyBorder="1" applyAlignment="1">
      <alignment vertical="center"/>
    </xf>
    <xf numFmtId="0" fontId="16" fillId="0" borderId="33" xfId="0" applyFont="1" applyFill="1" applyBorder="1" applyAlignment="1">
      <alignment wrapText="1"/>
    </xf>
    <xf numFmtId="0" fontId="15" fillId="0" borderId="33" xfId="0" applyFont="1" applyFill="1" applyBorder="1" applyAlignment="1"/>
    <xf numFmtId="0" fontId="16" fillId="0" borderId="0" xfId="0" applyFont="1" applyAlignment="1"/>
    <xf numFmtId="0" fontId="15" fillId="2" borderId="33" xfId="0" applyFont="1" applyFill="1" applyBorder="1" applyAlignment="1">
      <alignment horizontal="right"/>
    </xf>
    <xf numFmtId="44" fontId="15" fillId="2" borderId="33" xfId="0" applyNumberFormat="1" applyFont="1" applyFill="1" applyBorder="1" applyAlignment="1">
      <alignment horizontal="right"/>
    </xf>
    <xf numFmtId="9" fontId="8" fillId="0" borderId="0" xfId="1" applyNumberFormat="1" applyFont="1" applyFill="1"/>
    <xf numFmtId="0" fontId="8" fillId="0" borderId="33" xfId="0" applyNumberFormat="1" applyFont="1" applyBorder="1"/>
    <xf numFmtId="0" fontId="8" fillId="0" borderId="0" xfId="0" applyFont="1" applyBorder="1" applyAlignment="1">
      <alignment horizontal="center"/>
    </xf>
    <xf numFmtId="0" fontId="65" fillId="0" borderId="0" xfId="0" applyFont="1" applyBorder="1" applyAlignment="1"/>
    <xf numFmtId="0" fontId="11" fillId="0" borderId="0" xfId="0" applyFont="1" applyBorder="1" applyAlignment="1">
      <alignment horizontal="center"/>
    </xf>
    <xf numFmtId="0" fontId="8" fillId="0" borderId="63" xfId="0" applyFont="1" applyBorder="1" applyAlignment="1">
      <alignment horizontal="center"/>
    </xf>
    <xf numFmtId="0" fontId="0" fillId="0" borderId="0" xfId="0" applyAlignment="1"/>
    <xf numFmtId="0" fontId="0" fillId="0" borderId="0" xfId="0" applyAlignment="1">
      <alignment horizontal="center"/>
    </xf>
  </cellXfs>
  <cellStyles count="1832">
    <cellStyle name="20% - Accent1" xfId="547" builtinId="30" customBuiltin="1"/>
    <cellStyle name="20% - Accent1 2" xfId="8"/>
    <cellStyle name="20% - Accent2" xfId="551" builtinId="34" customBuiltin="1"/>
    <cellStyle name="20% - Accent2 2" xfId="9"/>
    <cellStyle name="20% - Accent3" xfId="555" builtinId="38" customBuiltin="1"/>
    <cellStyle name="20% - Accent3 2" xfId="10"/>
    <cellStyle name="20% - Accent4" xfId="559" builtinId="42" customBuiltin="1"/>
    <cellStyle name="20% - Accent4 2" xfId="11"/>
    <cellStyle name="20% - Accent5" xfId="563" builtinId="46" customBuiltin="1"/>
    <cellStyle name="20% - Accent5 2" xfId="12"/>
    <cellStyle name="20% - Accent6" xfId="567" builtinId="50" customBuiltin="1"/>
    <cellStyle name="20% - Accent6 2" xfId="13"/>
    <cellStyle name="40% - Accent1" xfId="548" builtinId="31" customBuiltin="1"/>
    <cellStyle name="40% - Accent1 2" xfId="14"/>
    <cellStyle name="40% - Accent2" xfId="552" builtinId="35" customBuiltin="1"/>
    <cellStyle name="40% - Accent2 2" xfId="15"/>
    <cellStyle name="40% - Accent3" xfId="556" builtinId="39" customBuiltin="1"/>
    <cellStyle name="40% - Accent3 2" xfId="16"/>
    <cellStyle name="40% - Accent4" xfId="560" builtinId="43" customBuiltin="1"/>
    <cellStyle name="40% - Accent4 2" xfId="17"/>
    <cellStyle name="40% - Accent5" xfId="564" builtinId="47" customBuiltin="1"/>
    <cellStyle name="40% - Accent5 2" xfId="18"/>
    <cellStyle name="40% - Accent6" xfId="568" builtinId="51" customBuiltin="1"/>
    <cellStyle name="40% - Accent6 2" xfId="19"/>
    <cellStyle name="60% - Accent1" xfId="549" builtinId="32" customBuiltin="1"/>
    <cellStyle name="60% - Accent1 2" xfId="20"/>
    <cellStyle name="60% - Accent2" xfId="553" builtinId="36" customBuiltin="1"/>
    <cellStyle name="60% - Accent2 2" xfId="21"/>
    <cellStyle name="60% - Accent3" xfId="557" builtinId="40" customBuiltin="1"/>
    <cellStyle name="60% - Accent3 2" xfId="22"/>
    <cellStyle name="60% - Accent4" xfId="561" builtinId="44" customBuiltin="1"/>
    <cellStyle name="60% - Accent4 2" xfId="23"/>
    <cellStyle name="60% - Accent5" xfId="565" builtinId="48" customBuiltin="1"/>
    <cellStyle name="60% - Accent5 2" xfId="24"/>
    <cellStyle name="60% - Accent6" xfId="569" builtinId="52" customBuiltin="1"/>
    <cellStyle name="60% - Accent6 2" xfId="25"/>
    <cellStyle name="Accent1" xfId="546" builtinId="29" customBuiltin="1"/>
    <cellStyle name="Accent1 2" xfId="26"/>
    <cellStyle name="Accent2" xfId="550" builtinId="33" customBuiltin="1"/>
    <cellStyle name="Accent2 2" xfId="27"/>
    <cellStyle name="Accent3" xfId="554" builtinId="37" customBuiltin="1"/>
    <cellStyle name="Accent3 2" xfId="28"/>
    <cellStyle name="Accent4" xfId="558" builtinId="41" customBuiltin="1"/>
    <cellStyle name="Accent4 2" xfId="29"/>
    <cellStyle name="Accent5" xfId="562" builtinId="45" customBuiltin="1"/>
    <cellStyle name="Accent5 2" xfId="30"/>
    <cellStyle name="Accent6" xfId="566" builtinId="49" customBuiltin="1"/>
    <cellStyle name="Accent6 2" xfId="31"/>
    <cellStyle name="addLine" xfId="32"/>
    <cellStyle name="Bad" xfId="535" builtinId="27" customBuiltin="1"/>
    <cellStyle name="Bad 2" xfId="33"/>
    <cellStyle name="Calculation" xfId="539" builtinId="22" customBuiltin="1"/>
    <cellStyle name="Calculation 2" xfId="34"/>
    <cellStyle name="Check Cell" xfId="541" builtinId="23" customBuiltin="1"/>
    <cellStyle name="Check Cell 2" xfId="35"/>
    <cellStyle name="Comma" xfId="1818" builtinId="3"/>
    <cellStyle name="Comma 10" xfId="36"/>
    <cellStyle name="Comma 11" xfId="37"/>
    <cellStyle name="Comma 12" xfId="38"/>
    <cellStyle name="Comma 13" xfId="627"/>
    <cellStyle name="Comma 16" xfId="1821"/>
    <cellStyle name="Comma 2" xfId="39"/>
    <cellStyle name="Comma 2 2" xfId="40"/>
    <cellStyle name="Comma 2 2 2" xfId="41"/>
    <cellStyle name="Comma 2 2 3" xfId="42"/>
    <cellStyle name="Comma 2 2 3 2" xfId="632"/>
    <cellStyle name="Comma 2 3" xfId="43"/>
    <cellStyle name="Comma 2 3 2" xfId="633"/>
    <cellStyle name="Comma 2 4" xfId="44"/>
    <cellStyle name="Comma 2 5" xfId="45"/>
    <cellStyle name="Comma 2 5 2" xfId="634"/>
    <cellStyle name="Comma 2 6" xfId="630"/>
    <cellStyle name="Comma 2 7" xfId="1830"/>
    <cellStyle name="Comma 3" xfId="46"/>
    <cellStyle name="Comma 3 2" xfId="47"/>
    <cellStyle name="Comma 3 2 2" xfId="48"/>
    <cellStyle name="Comma 3 3" xfId="49"/>
    <cellStyle name="Comma 3 3 2" xfId="635"/>
    <cellStyle name="Comma 4" xfId="50"/>
    <cellStyle name="Comma 4 2" xfId="51"/>
    <cellStyle name="Comma 4 2 2" xfId="52"/>
    <cellStyle name="Comma 4 2 2 2" xfId="53"/>
    <cellStyle name="Comma 4 2 3" xfId="54"/>
    <cellStyle name="Comma 4 3" xfId="55"/>
    <cellStyle name="Comma 4 3 2" xfId="637"/>
    <cellStyle name="Comma 4 3 3" xfId="638"/>
    <cellStyle name="Comma 4 3 4" xfId="636"/>
    <cellStyle name="Comma 4 4" xfId="639"/>
    <cellStyle name="Comma 5" xfId="56"/>
    <cellStyle name="Comma 5 2" xfId="57"/>
    <cellStyle name="Comma 5 2 2" xfId="640"/>
    <cellStyle name="Comma 5 3" xfId="58"/>
    <cellStyle name="Comma 6" xfId="59"/>
    <cellStyle name="Comma 6 2" xfId="60"/>
    <cellStyle name="Comma 6 2 2" xfId="643"/>
    <cellStyle name="Comma 6 2 3" xfId="642"/>
    <cellStyle name="Comma 6 3" xfId="61"/>
    <cellStyle name="Comma 6 3 2" xfId="644"/>
    <cellStyle name="Comma 6 4" xfId="62"/>
    <cellStyle name="Comma 6 4 2" xfId="645"/>
    <cellStyle name="Comma 6 5" xfId="641"/>
    <cellStyle name="Comma 7" xfId="63"/>
    <cellStyle name="Comma 7 2" xfId="64"/>
    <cellStyle name="Comma 8" xfId="65"/>
    <cellStyle name="Comma 8 2" xfId="66"/>
    <cellStyle name="Comma 8 3" xfId="646"/>
    <cellStyle name="Comma 9" xfId="67"/>
    <cellStyle name="Comma 9 2" xfId="68"/>
    <cellStyle name="Comma 9 2 2" xfId="69"/>
    <cellStyle name="Comma 9 3" xfId="70"/>
    <cellStyle name="Comma 9 4" xfId="71"/>
    <cellStyle name="Comma0" xfId="72"/>
    <cellStyle name="Currency" xfId="1" builtinId="4"/>
    <cellStyle name="Currency 10" xfId="74"/>
    <cellStyle name="Currency 10 2" xfId="1826"/>
    <cellStyle name="Currency 11" xfId="75"/>
    <cellStyle name="Currency 12" xfId="76"/>
    <cellStyle name="Currency 12 2" xfId="77"/>
    <cellStyle name="Currency 12 3" xfId="78"/>
    <cellStyle name="Currency 13" xfId="73"/>
    <cellStyle name="Currency 13 2" xfId="572"/>
    <cellStyle name="Currency 13 3" xfId="1766"/>
    <cellStyle name="Currency 14" xfId="628"/>
    <cellStyle name="Currency 2" xfId="3"/>
    <cellStyle name="Currency 2 2" xfId="79"/>
    <cellStyle name="Currency 2 2 2" xfId="80"/>
    <cellStyle name="Currency 2 2 2 2" xfId="81"/>
    <cellStyle name="Currency 2 2 2 2 2" xfId="1819"/>
    <cellStyle name="Currency 2 2 3" xfId="82"/>
    <cellStyle name="Currency 2 3" xfId="83"/>
    <cellStyle name="Currency 2 3 2" xfId="647"/>
    <cellStyle name="Currency 2 4" xfId="84"/>
    <cellStyle name="Currency 2 4 2" xfId="648"/>
    <cellStyle name="Currency 2 5" xfId="649"/>
    <cellStyle name="Currency 3" xfId="85"/>
    <cellStyle name="Currency 3 2" xfId="86"/>
    <cellStyle name="Currency 3 2 2" xfId="650"/>
    <cellStyle name="Currency 3 2 3" xfId="651"/>
    <cellStyle name="Currency 3 2 5 3 3 3 2" xfId="87"/>
    <cellStyle name="Currency 3 2 5 3 3 3 2 2" xfId="652"/>
    <cellStyle name="Currency 3 2 5 3 3 3 2 3" xfId="653"/>
    <cellStyle name="Currency 3 3" xfId="88"/>
    <cellStyle name="Currency 3 3 2" xfId="654"/>
    <cellStyle name="Currency 3 4" xfId="89"/>
    <cellStyle name="Currency 3 4 2" xfId="655"/>
    <cellStyle name="Currency 3 5" xfId="90"/>
    <cellStyle name="Currency 3 5 2" xfId="656"/>
    <cellStyle name="Currency 4" xfId="91"/>
    <cellStyle name="Currency 4 2" xfId="92"/>
    <cellStyle name="Currency 4 2 2" xfId="657"/>
    <cellStyle name="Currency 4 2 3" xfId="658"/>
    <cellStyle name="Currency 4 3" xfId="93"/>
    <cellStyle name="Currency 4 3 2" xfId="94"/>
    <cellStyle name="Currency 4 3 2 2" xfId="95"/>
    <cellStyle name="Currency 4 3 2 2 2" xfId="96"/>
    <cellStyle name="Currency 4 3 2 3" xfId="97"/>
    <cellStyle name="Currency 4 3 3" xfId="659"/>
    <cellStyle name="Currency 4 3 3 2" xfId="660"/>
    <cellStyle name="Currency 4 3 3 3" xfId="661"/>
    <cellStyle name="Currency 4 4" xfId="98"/>
    <cellStyle name="Currency 4 4 2" xfId="662"/>
    <cellStyle name="Currency 4 5" xfId="99"/>
    <cellStyle name="Currency 4 5 2 3" xfId="1824"/>
    <cellStyle name="Currency 4 6" xfId="100"/>
    <cellStyle name="Currency 4 7" xfId="101"/>
    <cellStyle name="Currency 4 8" xfId="631"/>
    <cellStyle name="Currency 5" xfId="102"/>
    <cellStyle name="Currency 5 2" xfId="103"/>
    <cellStyle name="Currency 5 2 2" xfId="104"/>
    <cellStyle name="Currency 5 2 2 2" xfId="663"/>
    <cellStyle name="Currency 5 2 2 3" xfId="664"/>
    <cellStyle name="Currency 5 2 3" xfId="665"/>
    <cellStyle name="Currency 5 2 4" xfId="666"/>
    <cellStyle name="Currency 5 3" xfId="105"/>
    <cellStyle name="Currency 5 4" xfId="106"/>
    <cellStyle name="Currency 5 4 2" xfId="668"/>
    <cellStyle name="Currency 5 4 3" xfId="667"/>
    <cellStyle name="Currency 5 5" xfId="669"/>
    <cellStyle name="Currency 5 6" xfId="670"/>
    <cellStyle name="Currency 6" xfId="107"/>
    <cellStyle name="Currency 6 2" xfId="108"/>
    <cellStyle name="Currency 6 2 2" xfId="109"/>
    <cellStyle name="Currency 6 2 2 2" xfId="110"/>
    <cellStyle name="Currency 6 2 2 2 2" xfId="674"/>
    <cellStyle name="Currency 6 2 2 3" xfId="673"/>
    <cellStyle name="Currency 6 2 3" xfId="111"/>
    <cellStyle name="Currency 6 2 3 2" xfId="675"/>
    <cellStyle name="Currency 6 2 4" xfId="672"/>
    <cellStyle name="Currency 6 3" xfId="112"/>
    <cellStyle name="Currency 6 3 2" xfId="113"/>
    <cellStyle name="Currency 6 3 3" xfId="676"/>
    <cellStyle name="Currency 6 4" xfId="114"/>
    <cellStyle name="Currency 6 5" xfId="671"/>
    <cellStyle name="Currency 7" xfId="115"/>
    <cellStyle name="Currency 7 2" xfId="116"/>
    <cellStyle name="Currency 7 2 2" xfId="677"/>
    <cellStyle name="Currency 7 3" xfId="117"/>
    <cellStyle name="Currency 8" xfId="118"/>
    <cellStyle name="Currency 8 2" xfId="119"/>
    <cellStyle name="Currency 8 2 2" xfId="680"/>
    <cellStyle name="Currency 8 2 3" xfId="679"/>
    <cellStyle name="Currency 8 3" xfId="681"/>
    <cellStyle name="Currency 8 4" xfId="682"/>
    <cellStyle name="Currency 8 5" xfId="735"/>
    <cellStyle name="Currency 8 6" xfId="678"/>
    <cellStyle name="Currency 9" xfId="120"/>
    <cellStyle name="Currency 9 2" xfId="121"/>
    <cellStyle name="Currency0" xfId="122"/>
    <cellStyle name="Date" xfId="123"/>
    <cellStyle name="DescriptionBody" xfId="4"/>
    <cellStyle name="DescriptionBody 2" xfId="578"/>
    <cellStyle name="DescriptionBody 2 2" xfId="599"/>
    <cellStyle name="DescriptionBody 2 2 2" xfId="785"/>
    <cellStyle name="DescriptionBody 2 2 2 2" xfId="971"/>
    <cellStyle name="DescriptionBody 2 2 2 2 2" xfId="1238"/>
    <cellStyle name="DescriptionBody 2 2 2 2 2 2" xfId="1709"/>
    <cellStyle name="DescriptionBody 2 2 2 2 3" xfId="1495"/>
    <cellStyle name="DescriptionBody 2 2 2 3" xfId="1067"/>
    <cellStyle name="DescriptionBody 2 2 2 3 2" xfId="1570"/>
    <cellStyle name="DescriptionBody 2 2 2 4" xfId="1369"/>
    <cellStyle name="DescriptionBody 2 2 3" xfId="827"/>
    <cellStyle name="DescriptionBody 2 2 3 2" xfId="1013"/>
    <cellStyle name="DescriptionBody 2 2 3 2 2" xfId="1280"/>
    <cellStyle name="DescriptionBody 2 2 3 2 2 2" xfId="1742"/>
    <cellStyle name="DescriptionBody 2 2 3 2 3" xfId="1528"/>
    <cellStyle name="DescriptionBody 2 2 3 3" xfId="1103"/>
    <cellStyle name="DescriptionBody 2 2 3 3 2" xfId="1599"/>
    <cellStyle name="DescriptionBody 2 2 3 4" xfId="1402"/>
    <cellStyle name="DescriptionBody 2 2 4" xfId="766"/>
    <cellStyle name="DescriptionBody 2 2 4 2" xfId="952"/>
    <cellStyle name="DescriptionBody 2 2 4 2 2" xfId="1219"/>
    <cellStyle name="DescriptionBody 2 2 4 2 2 2" xfId="1695"/>
    <cellStyle name="DescriptionBody 2 2 4 2 3" xfId="1481"/>
    <cellStyle name="DescriptionBody 2 2 4 3" xfId="1355"/>
    <cellStyle name="DescriptionBody 2 2 5" xfId="896"/>
    <cellStyle name="DescriptionBody 2 2 5 2" xfId="1163"/>
    <cellStyle name="DescriptionBody 2 2 5 2 2" xfId="1648"/>
    <cellStyle name="DescriptionBody 2 2 5 3" xfId="1442"/>
    <cellStyle name="DescriptionBody 2 2 6" xfId="1316"/>
    <cellStyle name="DescriptionBody 2 2 7" xfId="1792"/>
    <cellStyle name="DescriptionBody 2 3" xfId="611"/>
    <cellStyle name="DescriptionBody 2 3 2" xfId="797"/>
    <cellStyle name="DescriptionBody 2 3 2 2" xfId="983"/>
    <cellStyle name="DescriptionBody 2 3 2 2 2" xfId="1250"/>
    <cellStyle name="DescriptionBody 2 3 2 2 2 2" xfId="1719"/>
    <cellStyle name="DescriptionBody 2 3 2 2 3" xfId="1505"/>
    <cellStyle name="DescriptionBody 2 3 2 3" xfId="1079"/>
    <cellStyle name="DescriptionBody 2 3 2 3 2" xfId="1580"/>
    <cellStyle name="DescriptionBody 2 3 2 4" xfId="1379"/>
    <cellStyle name="DescriptionBody 2 3 3" xfId="839"/>
    <cellStyle name="DescriptionBody 2 3 3 2" xfId="1025"/>
    <cellStyle name="DescriptionBody 2 3 3 2 2" xfId="1292"/>
    <cellStyle name="DescriptionBody 2 3 3 2 2 2" xfId="1752"/>
    <cellStyle name="DescriptionBody 2 3 3 2 3" xfId="1538"/>
    <cellStyle name="DescriptionBody 2 3 3 3" xfId="1115"/>
    <cellStyle name="DescriptionBody 2 3 3 3 2" xfId="1609"/>
    <cellStyle name="DescriptionBody 2 3 3 4" xfId="1412"/>
    <cellStyle name="DescriptionBody 2 3 4" xfId="755"/>
    <cellStyle name="DescriptionBody 2 3 4 2" xfId="942"/>
    <cellStyle name="DescriptionBody 2 3 4 2 2" xfId="1209"/>
    <cellStyle name="DescriptionBody 2 3 4 2 2 2" xfId="1686"/>
    <cellStyle name="DescriptionBody 2 3 4 2 3" xfId="1472"/>
    <cellStyle name="DescriptionBody 2 3 4 3" xfId="1346"/>
    <cellStyle name="DescriptionBody 2 3 5" xfId="908"/>
    <cellStyle name="DescriptionBody 2 3 5 2" xfId="1175"/>
    <cellStyle name="DescriptionBody 2 3 5 2 2" xfId="1658"/>
    <cellStyle name="DescriptionBody 2 3 5 3" xfId="1448"/>
    <cellStyle name="DescriptionBody 2 3 6" xfId="1322"/>
    <cellStyle name="DescriptionBody 2 3 7" xfId="1793"/>
    <cellStyle name="DescriptionBody 2 4" xfId="875"/>
    <cellStyle name="DescriptionBody 2 4 2" xfId="1142"/>
    <cellStyle name="DescriptionBody 2 4 2 2" xfId="1632"/>
    <cellStyle name="DescriptionBody 2 4 3" xfId="1432"/>
    <cellStyle name="DescriptionBody 2 5" xfId="1045"/>
    <cellStyle name="DescriptionBody 2 5 2" xfId="1775"/>
    <cellStyle name="DescriptionBody 2 6" xfId="1310"/>
    <cellStyle name="DescriptionBody 2 7" xfId="1801"/>
    <cellStyle name="DescriptionBody 3" xfId="581"/>
    <cellStyle name="DescriptionBody 3 2" xfId="602"/>
    <cellStyle name="DescriptionBody 3 2 2" xfId="788"/>
    <cellStyle name="DescriptionBody 3 2 2 2" xfId="974"/>
    <cellStyle name="DescriptionBody 3 2 2 2 2" xfId="1241"/>
    <cellStyle name="DescriptionBody 3 2 2 2 2 2" xfId="1712"/>
    <cellStyle name="DescriptionBody 3 2 2 2 3" xfId="1498"/>
    <cellStyle name="DescriptionBody 3 2 2 3" xfId="1070"/>
    <cellStyle name="DescriptionBody 3 2 2 3 2" xfId="1573"/>
    <cellStyle name="DescriptionBody 3 2 2 4" xfId="1372"/>
    <cellStyle name="DescriptionBody 3 2 3" xfId="830"/>
    <cellStyle name="DescriptionBody 3 2 3 2" xfId="1016"/>
    <cellStyle name="DescriptionBody 3 2 3 2 2" xfId="1283"/>
    <cellStyle name="DescriptionBody 3 2 3 2 2 2" xfId="1745"/>
    <cellStyle name="DescriptionBody 3 2 3 2 3" xfId="1531"/>
    <cellStyle name="DescriptionBody 3 2 3 3" xfId="1106"/>
    <cellStyle name="DescriptionBody 3 2 3 3 2" xfId="1602"/>
    <cellStyle name="DescriptionBody 3 2 3 4" xfId="1405"/>
    <cellStyle name="DescriptionBody 3 2 4" xfId="738"/>
    <cellStyle name="DescriptionBody 3 2 4 2" xfId="927"/>
    <cellStyle name="DescriptionBody 3 2 4 2 2" xfId="1194"/>
    <cellStyle name="DescriptionBody 3 2 4 2 2 2" xfId="1674"/>
    <cellStyle name="DescriptionBody 3 2 4 2 3" xfId="1460"/>
    <cellStyle name="DescriptionBody 3 2 4 3" xfId="1334"/>
    <cellStyle name="DescriptionBody 3 2 5" xfId="899"/>
    <cellStyle name="DescriptionBody 3 2 5 2" xfId="1166"/>
    <cellStyle name="DescriptionBody 3 2 5 2 2" xfId="1651"/>
    <cellStyle name="DescriptionBody 3 2 5 3" xfId="1445"/>
    <cellStyle name="DescriptionBody 3 2 6" xfId="1319"/>
    <cellStyle name="DescriptionBody 3 2 7" xfId="1805"/>
    <cellStyle name="DescriptionBody 3 3" xfId="614"/>
    <cellStyle name="DescriptionBody 3 3 2" xfId="800"/>
    <cellStyle name="DescriptionBody 3 3 2 2" xfId="986"/>
    <cellStyle name="DescriptionBody 3 3 2 2 2" xfId="1253"/>
    <cellStyle name="DescriptionBody 3 3 2 2 2 2" xfId="1722"/>
    <cellStyle name="DescriptionBody 3 3 2 2 3" xfId="1508"/>
    <cellStyle name="DescriptionBody 3 3 2 3" xfId="1082"/>
    <cellStyle name="DescriptionBody 3 3 2 3 2" xfId="1583"/>
    <cellStyle name="DescriptionBody 3 3 2 4" xfId="1382"/>
    <cellStyle name="DescriptionBody 3 3 3" xfId="842"/>
    <cellStyle name="DescriptionBody 3 3 3 2" xfId="1028"/>
    <cellStyle name="DescriptionBody 3 3 3 2 2" xfId="1295"/>
    <cellStyle name="DescriptionBody 3 3 3 2 2 2" xfId="1755"/>
    <cellStyle name="DescriptionBody 3 3 3 2 3" xfId="1541"/>
    <cellStyle name="DescriptionBody 3 3 3 3" xfId="1118"/>
    <cellStyle name="DescriptionBody 3 3 3 3 2" xfId="1612"/>
    <cellStyle name="DescriptionBody 3 3 3 4" xfId="1415"/>
    <cellStyle name="DescriptionBody 3 3 4" xfId="814"/>
    <cellStyle name="DescriptionBody 3 3 4 2" xfId="1000"/>
    <cellStyle name="DescriptionBody 3 3 4 2 2" xfId="1267"/>
    <cellStyle name="DescriptionBody 3 3 4 2 2 2" xfId="1733"/>
    <cellStyle name="DescriptionBody 3 3 4 2 3" xfId="1519"/>
    <cellStyle name="DescriptionBody 3 3 4 3" xfId="1393"/>
    <cellStyle name="DescriptionBody 3 3 5" xfId="911"/>
    <cellStyle name="DescriptionBody 3 3 5 2" xfId="1178"/>
    <cellStyle name="DescriptionBody 3 3 5 2 2" xfId="1661"/>
    <cellStyle name="DescriptionBody 3 3 5 3" xfId="1451"/>
    <cellStyle name="DescriptionBody 3 3 6" xfId="1325"/>
    <cellStyle name="DescriptionBody 3 3 7" xfId="1809"/>
    <cellStyle name="DescriptionBody 3 4" xfId="768"/>
    <cellStyle name="DescriptionBody 3 4 2" xfId="954"/>
    <cellStyle name="DescriptionBody 3 4 2 2" xfId="1221"/>
    <cellStyle name="DescriptionBody 3 4 2 2 2" xfId="1697"/>
    <cellStyle name="DescriptionBody 3 4 2 3" xfId="1483"/>
    <cellStyle name="DescriptionBody 3 4 3" xfId="1050"/>
    <cellStyle name="DescriptionBody 3 4 3 2" xfId="1558"/>
    <cellStyle name="DescriptionBody 3 4 4" xfId="1357"/>
    <cellStyle name="DescriptionBody 3 5" xfId="878"/>
    <cellStyle name="DescriptionBody 3 5 2" xfId="1145"/>
    <cellStyle name="DescriptionBody 3 5 2 2" xfId="1635"/>
    <cellStyle name="DescriptionBody 3 5 3" xfId="1435"/>
    <cellStyle name="DescriptionBody 3 6" xfId="1313"/>
    <cellStyle name="DescriptionBody 3 7" xfId="1783"/>
    <cellStyle name="DescriptionBody 4" xfId="623"/>
    <cellStyle name="DescriptionBody 4 2" xfId="809"/>
    <cellStyle name="DescriptionBody 4 2 2" xfId="995"/>
    <cellStyle name="DescriptionBody 4 2 2 2" xfId="1262"/>
    <cellStyle name="DescriptionBody 4 2 2 2 2" xfId="1729"/>
    <cellStyle name="DescriptionBody 4 2 2 3" xfId="1515"/>
    <cellStyle name="DescriptionBody 4 2 3" xfId="1091"/>
    <cellStyle name="DescriptionBody 4 2 3 2" xfId="1590"/>
    <cellStyle name="DescriptionBody 4 2 4" xfId="1389"/>
    <cellStyle name="DescriptionBody 4 3" xfId="851"/>
    <cellStyle name="DescriptionBody 4 3 2" xfId="1037"/>
    <cellStyle name="DescriptionBody 4 3 2 2" xfId="1304"/>
    <cellStyle name="DescriptionBody 4 3 2 2 2" xfId="1762"/>
    <cellStyle name="DescriptionBody 4 3 2 3" xfId="1548"/>
    <cellStyle name="DescriptionBody 4 3 3" xfId="1127"/>
    <cellStyle name="DescriptionBody 4 3 3 2" xfId="1619"/>
    <cellStyle name="DescriptionBody 4 3 4" xfId="1422"/>
    <cellStyle name="DescriptionBody 4 4" xfId="764"/>
    <cellStyle name="DescriptionBody 4 4 2" xfId="950"/>
    <cellStyle name="DescriptionBody 4 4 2 2" xfId="1217"/>
    <cellStyle name="DescriptionBody 4 4 2 2 2" xfId="1693"/>
    <cellStyle name="DescriptionBody 4 4 2 3" xfId="1479"/>
    <cellStyle name="DescriptionBody 4 4 3" xfId="1047"/>
    <cellStyle name="DescriptionBody 4 4 3 2" xfId="1555"/>
    <cellStyle name="DescriptionBody 4 4 4" xfId="1353"/>
    <cellStyle name="DescriptionBody 4 5" xfId="920"/>
    <cellStyle name="DescriptionBody 4 5 2" xfId="1187"/>
    <cellStyle name="DescriptionBody 4 5 2 2" xfId="1668"/>
    <cellStyle name="DescriptionBody 4 5 3" xfId="1454"/>
    <cellStyle name="DescriptionBody 4 6" xfId="1042"/>
    <cellStyle name="DescriptionBody 4 6 2" xfId="1551"/>
    <cellStyle name="DescriptionBody 4 7" xfId="1328"/>
    <cellStyle name="DescriptionBody 5" xfId="864"/>
    <cellStyle name="DescriptionBody 5 2" xfId="1131"/>
    <cellStyle name="DescriptionBody 5 2 2" xfId="1623"/>
    <cellStyle name="DescriptionBody 6" xfId="869"/>
    <cellStyle name="DescriptionBody 6 2" xfId="1136"/>
    <cellStyle name="DescriptionBody 6 2 2" xfId="1627"/>
    <cellStyle name="DescriptionBody 6 3" xfId="1427"/>
    <cellStyle name="DescriptionBody 7" xfId="1307"/>
    <cellStyle name="Explanatory Text" xfId="544" builtinId="53" customBuiltin="1"/>
    <cellStyle name="Explanatory Text 2" xfId="124"/>
    <cellStyle name="Fixed" xfId="125"/>
    <cellStyle name="Good" xfId="534" builtinId="26" customBuiltin="1"/>
    <cellStyle name="Good 2" xfId="126"/>
    <cellStyle name="Grey" xfId="127"/>
    <cellStyle name="Heading 1" xfId="530" builtinId="16" customBuiltin="1"/>
    <cellStyle name="Heading 1 2" xfId="129"/>
    <cellStyle name="Heading 1 3" xfId="130"/>
    <cellStyle name="Heading 1 4" xfId="128"/>
    <cellStyle name="Heading 2" xfId="531" builtinId="17" customBuiltin="1"/>
    <cellStyle name="Heading 2 2" xfId="132"/>
    <cellStyle name="Heading 2 3" xfId="133"/>
    <cellStyle name="Heading 2 4" xfId="131"/>
    <cellStyle name="Heading 3" xfId="532" builtinId="18" customBuiltin="1"/>
    <cellStyle name="Heading 3 2" xfId="134"/>
    <cellStyle name="Heading 4" xfId="533" builtinId="19" customBuiltin="1"/>
    <cellStyle name="Heading 4 2" xfId="135"/>
    <cellStyle name="Hyperlink 2" xfId="136"/>
    <cellStyle name="Hyperlink 2 2" xfId="137"/>
    <cellStyle name="Hyperlink 2 3" xfId="683"/>
    <cellStyle name="Hyperlink 3" xfId="138"/>
    <cellStyle name="Hyperlink 4" xfId="139"/>
    <cellStyle name="Hyperlink 5" xfId="140"/>
    <cellStyle name="Hyperlink 6" xfId="141"/>
    <cellStyle name="Input" xfId="537" builtinId="20" customBuiltin="1"/>
    <cellStyle name="Input [yellow]" xfId="143"/>
    <cellStyle name="Input [yellow] 2" xfId="579"/>
    <cellStyle name="Input [yellow] 2 2" xfId="600"/>
    <cellStyle name="Input [yellow] 2 2 2" xfId="786"/>
    <cellStyle name="Input [yellow] 2 2 2 2" xfId="972"/>
    <cellStyle name="Input [yellow] 2 2 2 2 2" xfId="1239"/>
    <cellStyle name="Input [yellow] 2 2 2 2 2 2" xfId="1710"/>
    <cellStyle name="Input [yellow] 2 2 2 2 3" xfId="1496"/>
    <cellStyle name="Input [yellow] 2 2 2 3" xfId="1068"/>
    <cellStyle name="Input [yellow] 2 2 2 3 2" xfId="1571"/>
    <cellStyle name="Input [yellow] 2 2 2 4" xfId="1370"/>
    <cellStyle name="Input [yellow] 2 2 3" xfId="828"/>
    <cellStyle name="Input [yellow] 2 2 3 2" xfId="1014"/>
    <cellStyle name="Input [yellow] 2 2 3 2 2" xfId="1281"/>
    <cellStyle name="Input [yellow] 2 2 3 2 2 2" xfId="1743"/>
    <cellStyle name="Input [yellow] 2 2 3 2 3" xfId="1529"/>
    <cellStyle name="Input [yellow] 2 2 3 3" xfId="1104"/>
    <cellStyle name="Input [yellow] 2 2 3 3 2" xfId="1600"/>
    <cellStyle name="Input [yellow] 2 2 3 4" xfId="1403"/>
    <cellStyle name="Input [yellow] 2 2 4" xfId="726"/>
    <cellStyle name="Input [yellow] 2 2 4 2" xfId="924"/>
    <cellStyle name="Input [yellow] 2 2 4 2 2" xfId="1191"/>
    <cellStyle name="Input [yellow] 2 2 4 2 2 2" xfId="1672"/>
    <cellStyle name="Input [yellow] 2 2 4 2 3" xfId="1458"/>
    <cellStyle name="Input [yellow] 2 2 4 3" xfId="1332"/>
    <cellStyle name="Input [yellow] 2 2 5" xfId="897"/>
    <cellStyle name="Input [yellow] 2 2 5 2" xfId="1164"/>
    <cellStyle name="Input [yellow] 2 2 5 2 2" xfId="1649"/>
    <cellStyle name="Input [yellow] 2 2 5 3" xfId="1443"/>
    <cellStyle name="Input [yellow] 2 2 6" xfId="1317"/>
    <cellStyle name="Input [yellow] 2 2 7" xfId="1815"/>
    <cellStyle name="Input [yellow] 2 3" xfId="612"/>
    <cellStyle name="Input [yellow] 2 3 2" xfId="798"/>
    <cellStyle name="Input [yellow] 2 3 2 2" xfId="984"/>
    <cellStyle name="Input [yellow] 2 3 2 2 2" xfId="1251"/>
    <cellStyle name="Input [yellow] 2 3 2 2 2 2" xfId="1720"/>
    <cellStyle name="Input [yellow] 2 3 2 2 3" xfId="1506"/>
    <cellStyle name="Input [yellow] 2 3 2 3" xfId="1080"/>
    <cellStyle name="Input [yellow] 2 3 2 3 2" xfId="1581"/>
    <cellStyle name="Input [yellow] 2 3 2 4" xfId="1380"/>
    <cellStyle name="Input [yellow] 2 3 3" xfId="840"/>
    <cellStyle name="Input [yellow] 2 3 3 2" xfId="1026"/>
    <cellStyle name="Input [yellow] 2 3 3 2 2" xfId="1293"/>
    <cellStyle name="Input [yellow] 2 3 3 2 2 2" xfId="1753"/>
    <cellStyle name="Input [yellow] 2 3 3 2 3" xfId="1539"/>
    <cellStyle name="Input [yellow] 2 3 3 3" xfId="1116"/>
    <cellStyle name="Input [yellow] 2 3 3 3 2" xfId="1610"/>
    <cellStyle name="Input [yellow] 2 3 3 4" xfId="1413"/>
    <cellStyle name="Input [yellow] 2 3 4" xfId="741"/>
    <cellStyle name="Input [yellow] 2 3 4 2" xfId="930"/>
    <cellStyle name="Input [yellow] 2 3 4 2 2" xfId="1197"/>
    <cellStyle name="Input [yellow] 2 3 4 2 2 2" xfId="1676"/>
    <cellStyle name="Input [yellow] 2 3 4 2 3" xfId="1462"/>
    <cellStyle name="Input [yellow] 2 3 4 3" xfId="1336"/>
    <cellStyle name="Input [yellow] 2 3 5" xfId="909"/>
    <cellStyle name="Input [yellow] 2 3 5 2" xfId="1176"/>
    <cellStyle name="Input [yellow] 2 3 5 2 2" xfId="1659"/>
    <cellStyle name="Input [yellow] 2 3 5 3" xfId="1449"/>
    <cellStyle name="Input [yellow] 2 3 6" xfId="1323"/>
    <cellStyle name="Input [yellow] 2 3 7" xfId="1799"/>
    <cellStyle name="Input [yellow] 2 4" xfId="876"/>
    <cellStyle name="Input [yellow] 2 4 2" xfId="1143"/>
    <cellStyle name="Input [yellow] 2 4 2 2" xfId="1633"/>
    <cellStyle name="Input [yellow] 2 4 3" xfId="1433"/>
    <cellStyle name="Input [yellow] 2 5" xfId="1041"/>
    <cellStyle name="Input [yellow] 2 5 2" xfId="1774"/>
    <cellStyle name="Input [yellow] 2 6" xfId="1311"/>
    <cellStyle name="Input [yellow] 2 7" xfId="1779"/>
    <cellStyle name="Input [yellow] 3" xfId="580"/>
    <cellStyle name="Input [yellow] 3 2" xfId="601"/>
    <cellStyle name="Input [yellow] 3 2 2" xfId="787"/>
    <cellStyle name="Input [yellow] 3 2 2 2" xfId="973"/>
    <cellStyle name="Input [yellow] 3 2 2 2 2" xfId="1240"/>
    <cellStyle name="Input [yellow] 3 2 2 2 2 2" xfId="1711"/>
    <cellStyle name="Input [yellow] 3 2 2 2 3" xfId="1497"/>
    <cellStyle name="Input [yellow] 3 2 2 3" xfId="1069"/>
    <cellStyle name="Input [yellow] 3 2 2 3 2" xfId="1572"/>
    <cellStyle name="Input [yellow] 3 2 2 4" xfId="1371"/>
    <cellStyle name="Input [yellow] 3 2 3" xfId="829"/>
    <cellStyle name="Input [yellow] 3 2 3 2" xfId="1015"/>
    <cellStyle name="Input [yellow] 3 2 3 2 2" xfId="1282"/>
    <cellStyle name="Input [yellow] 3 2 3 2 2 2" xfId="1744"/>
    <cellStyle name="Input [yellow] 3 2 3 2 3" xfId="1530"/>
    <cellStyle name="Input [yellow] 3 2 3 3" xfId="1105"/>
    <cellStyle name="Input [yellow] 3 2 3 3 2" xfId="1601"/>
    <cellStyle name="Input [yellow] 3 2 3 4" xfId="1404"/>
    <cellStyle name="Input [yellow] 3 2 4" xfId="762"/>
    <cellStyle name="Input [yellow] 3 2 4 2" xfId="948"/>
    <cellStyle name="Input [yellow] 3 2 4 2 2" xfId="1215"/>
    <cellStyle name="Input [yellow] 3 2 4 2 2 2" xfId="1691"/>
    <cellStyle name="Input [yellow] 3 2 4 2 3" xfId="1477"/>
    <cellStyle name="Input [yellow] 3 2 4 3" xfId="1351"/>
    <cellStyle name="Input [yellow] 3 2 5" xfId="898"/>
    <cellStyle name="Input [yellow] 3 2 5 2" xfId="1165"/>
    <cellStyle name="Input [yellow] 3 2 5 2 2" xfId="1650"/>
    <cellStyle name="Input [yellow] 3 2 5 3" xfId="1444"/>
    <cellStyle name="Input [yellow] 3 2 6" xfId="1318"/>
    <cellStyle name="Input [yellow] 3 2 7" xfId="1794"/>
    <cellStyle name="Input [yellow] 3 3" xfId="613"/>
    <cellStyle name="Input [yellow] 3 3 2" xfId="799"/>
    <cellStyle name="Input [yellow] 3 3 2 2" xfId="985"/>
    <cellStyle name="Input [yellow] 3 3 2 2 2" xfId="1252"/>
    <cellStyle name="Input [yellow] 3 3 2 2 2 2" xfId="1721"/>
    <cellStyle name="Input [yellow] 3 3 2 2 3" xfId="1507"/>
    <cellStyle name="Input [yellow] 3 3 2 3" xfId="1081"/>
    <cellStyle name="Input [yellow] 3 3 2 3 2" xfId="1582"/>
    <cellStyle name="Input [yellow] 3 3 2 4" xfId="1381"/>
    <cellStyle name="Input [yellow] 3 3 3" xfId="841"/>
    <cellStyle name="Input [yellow] 3 3 3 2" xfId="1027"/>
    <cellStyle name="Input [yellow] 3 3 3 2 2" xfId="1294"/>
    <cellStyle name="Input [yellow] 3 3 3 2 2 2" xfId="1754"/>
    <cellStyle name="Input [yellow] 3 3 3 2 3" xfId="1540"/>
    <cellStyle name="Input [yellow] 3 3 3 3" xfId="1117"/>
    <cellStyle name="Input [yellow] 3 3 3 3 2" xfId="1611"/>
    <cellStyle name="Input [yellow] 3 3 3 4" xfId="1414"/>
    <cellStyle name="Input [yellow] 3 3 4" xfId="754"/>
    <cellStyle name="Input [yellow] 3 3 4 2" xfId="941"/>
    <cellStyle name="Input [yellow] 3 3 4 2 2" xfId="1208"/>
    <cellStyle name="Input [yellow] 3 3 4 2 2 2" xfId="1685"/>
    <cellStyle name="Input [yellow] 3 3 4 2 3" xfId="1471"/>
    <cellStyle name="Input [yellow] 3 3 4 3" xfId="1345"/>
    <cellStyle name="Input [yellow] 3 3 5" xfId="910"/>
    <cellStyle name="Input [yellow] 3 3 5 2" xfId="1177"/>
    <cellStyle name="Input [yellow] 3 3 5 2 2" xfId="1660"/>
    <cellStyle name="Input [yellow] 3 3 5 3" xfId="1450"/>
    <cellStyle name="Input [yellow] 3 3 6" xfId="1324"/>
    <cellStyle name="Input [yellow] 3 3 7" xfId="1795"/>
    <cellStyle name="Input [yellow] 3 4" xfId="767"/>
    <cellStyle name="Input [yellow] 3 4 2" xfId="953"/>
    <cellStyle name="Input [yellow] 3 4 2 2" xfId="1220"/>
    <cellStyle name="Input [yellow] 3 4 2 2 2" xfId="1696"/>
    <cellStyle name="Input [yellow] 3 4 2 3" xfId="1482"/>
    <cellStyle name="Input [yellow] 3 4 3" xfId="1049"/>
    <cellStyle name="Input [yellow] 3 4 3 2" xfId="1557"/>
    <cellStyle name="Input [yellow] 3 4 4" xfId="1356"/>
    <cellStyle name="Input [yellow] 3 5" xfId="877"/>
    <cellStyle name="Input [yellow] 3 5 2" xfId="1144"/>
    <cellStyle name="Input [yellow] 3 5 2 2" xfId="1634"/>
    <cellStyle name="Input [yellow] 3 5 3" xfId="1434"/>
    <cellStyle name="Input [yellow] 3 6" xfId="1312"/>
    <cellStyle name="Input [yellow] 3 7" xfId="1811"/>
    <cellStyle name="Input [yellow] 4" xfId="624"/>
    <cellStyle name="Input [yellow] 4 2" xfId="810"/>
    <cellStyle name="Input [yellow] 4 2 2" xfId="996"/>
    <cellStyle name="Input [yellow] 4 2 2 2" xfId="1263"/>
    <cellStyle name="Input [yellow] 4 2 2 2 2" xfId="1730"/>
    <cellStyle name="Input [yellow] 4 2 2 3" xfId="1516"/>
    <cellStyle name="Input [yellow] 4 2 3" xfId="1092"/>
    <cellStyle name="Input [yellow] 4 2 3 2" xfId="1591"/>
    <cellStyle name="Input [yellow] 4 2 4" xfId="1390"/>
    <cellStyle name="Input [yellow] 4 3" xfId="852"/>
    <cellStyle name="Input [yellow] 4 3 2" xfId="1038"/>
    <cellStyle name="Input [yellow] 4 3 2 2" xfId="1305"/>
    <cellStyle name="Input [yellow] 4 3 2 2 2" xfId="1763"/>
    <cellStyle name="Input [yellow] 4 3 2 3" xfId="1549"/>
    <cellStyle name="Input [yellow] 4 3 3" xfId="1128"/>
    <cellStyle name="Input [yellow] 4 3 3 2" xfId="1620"/>
    <cellStyle name="Input [yellow] 4 3 4" xfId="1423"/>
    <cellStyle name="Input [yellow] 4 4" xfId="743"/>
    <cellStyle name="Input [yellow] 4 4 2" xfId="932"/>
    <cellStyle name="Input [yellow] 4 4 2 2" xfId="1199"/>
    <cellStyle name="Input [yellow] 4 4 2 2 2" xfId="1677"/>
    <cellStyle name="Input [yellow] 4 4 2 3" xfId="1463"/>
    <cellStyle name="Input [yellow] 4 4 3" xfId="1046"/>
    <cellStyle name="Input [yellow] 4 4 3 2" xfId="1554"/>
    <cellStyle name="Input [yellow] 4 4 4" xfId="1337"/>
    <cellStyle name="Input [yellow] 4 5" xfId="921"/>
    <cellStyle name="Input [yellow] 4 5 2" xfId="1188"/>
    <cellStyle name="Input [yellow] 4 5 2 2" xfId="1669"/>
    <cellStyle name="Input [yellow] 4 5 3" xfId="1455"/>
    <cellStyle name="Input [yellow] 4 6" xfId="1043"/>
    <cellStyle name="Input [yellow] 4 6 2" xfId="1552"/>
    <cellStyle name="Input [yellow] 4 7" xfId="1329"/>
    <cellStyle name="Input [yellow] 5" xfId="868"/>
    <cellStyle name="Input [yellow] 5 2" xfId="1135"/>
    <cellStyle name="Input [yellow] 5 2 2" xfId="1626"/>
    <cellStyle name="Input [yellow] 6" xfId="870"/>
    <cellStyle name="Input [yellow] 6 2" xfId="1137"/>
    <cellStyle name="Input [yellow] 6 2 2" xfId="1628"/>
    <cellStyle name="Input [yellow] 6 3" xfId="1428"/>
    <cellStyle name="Input [yellow] 7" xfId="1308"/>
    <cellStyle name="Input 2" xfId="142"/>
    <cellStyle name="Input 3" xfId="528"/>
    <cellStyle name="Linked Cell" xfId="540" builtinId="24" customBuiltin="1"/>
    <cellStyle name="Linked Cell 2" xfId="144"/>
    <cellStyle name="Neutral" xfId="536" builtinId="28" customBuiltin="1"/>
    <cellStyle name="Neutral 2" xfId="145"/>
    <cellStyle name="Normal" xfId="0" builtinId="0"/>
    <cellStyle name="Normal - Style1" xfId="146"/>
    <cellStyle name="Normal 10" xfId="147"/>
    <cellStyle name="Normal 10 2" xfId="148"/>
    <cellStyle name="Normal 10 2 2" xfId="149"/>
    <cellStyle name="Normal 10 2 3" xfId="150"/>
    <cellStyle name="Normal 10 3" xfId="151"/>
    <cellStyle name="Normal 10 4" xfId="152"/>
    <cellStyle name="Normal 10 5" xfId="153"/>
    <cellStyle name="Normal 100" xfId="5"/>
    <cellStyle name="Normal 100 2" xfId="154"/>
    <cellStyle name="Normal 101" xfId="155"/>
    <cellStyle name="Normal 102" xfId="156"/>
    <cellStyle name="Normal 103" xfId="157"/>
    <cellStyle name="Normal 104" xfId="158"/>
    <cellStyle name="Normal 105" xfId="159"/>
    <cellStyle name="Normal 106" xfId="160"/>
    <cellStyle name="Normal 107" xfId="161"/>
    <cellStyle name="Normal 108" xfId="162"/>
    <cellStyle name="Normal 109" xfId="163"/>
    <cellStyle name="Normal 11" xfId="164"/>
    <cellStyle name="Normal 11 2" xfId="165"/>
    <cellStyle name="Normal 11 3" xfId="684"/>
    <cellStyle name="Normal 110" xfId="166"/>
    <cellStyle name="Normal 111" xfId="167"/>
    <cellStyle name="Normal 112" xfId="168"/>
    <cellStyle name="Normal 113" xfId="169"/>
    <cellStyle name="Normal 114" xfId="170"/>
    <cellStyle name="Normal 115" xfId="171"/>
    <cellStyle name="Normal 116" xfId="172"/>
    <cellStyle name="Normal 117" xfId="173"/>
    <cellStyle name="Normal 118" xfId="174"/>
    <cellStyle name="Normal 119" xfId="175"/>
    <cellStyle name="Normal 12" xfId="176"/>
    <cellStyle name="Normal 12 2" xfId="177"/>
    <cellStyle name="Normal 12 3" xfId="685"/>
    <cellStyle name="Normal 120" xfId="178"/>
    <cellStyle name="Normal 121" xfId="179"/>
    <cellStyle name="Normal 122" xfId="180"/>
    <cellStyle name="Normal 123" xfId="181"/>
    <cellStyle name="Normal 124" xfId="182"/>
    <cellStyle name="Normal 125" xfId="183"/>
    <cellStyle name="Normal 126" xfId="184"/>
    <cellStyle name="Normal 127" xfId="185"/>
    <cellStyle name="Normal 128" xfId="186"/>
    <cellStyle name="Normal 129" xfId="187"/>
    <cellStyle name="Normal 13" xfId="188"/>
    <cellStyle name="Normal 130" xfId="189"/>
    <cellStyle name="Normal 131" xfId="190"/>
    <cellStyle name="Normal 132" xfId="191"/>
    <cellStyle name="Normal 133" xfId="192"/>
    <cellStyle name="Normal 134" xfId="193"/>
    <cellStyle name="Normal 135" xfId="194"/>
    <cellStyle name="Normal 136" xfId="195"/>
    <cellStyle name="Normal 137" xfId="196"/>
    <cellStyle name="Normal 138" xfId="197"/>
    <cellStyle name="Normal 139" xfId="198"/>
    <cellStyle name="Normal 14" xfId="199"/>
    <cellStyle name="Normal 14 2" xfId="200"/>
    <cellStyle name="Normal 14 3" xfId="1822"/>
    <cellStyle name="Normal 140" xfId="201"/>
    <cellStyle name="Normal 141" xfId="202"/>
    <cellStyle name="Normal 142" xfId="203"/>
    <cellStyle name="Normal 143" xfId="204"/>
    <cellStyle name="Normal 144" xfId="205"/>
    <cellStyle name="Normal 145" xfId="206"/>
    <cellStyle name="Normal 146" xfId="207"/>
    <cellStyle name="Normal 147" xfId="208"/>
    <cellStyle name="Normal 148" xfId="209"/>
    <cellStyle name="Normal 149" xfId="210"/>
    <cellStyle name="Normal 15" xfId="211"/>
    <cellStyle name="Normal 150" xfId="212"/>
    <cellStyle name="Normal 151" xfId="213"/>
    <cellStyle name="Normal 152" xfId="214"/>
    <cellStyle name="Normal 153" xfId="215"/>
    <cellStyle name="Normal 154" xfId="216"/>
    <cellStyle name="Normal 155" xfId="217"/>
    <cellStyle name="Normal 156" xfId="218"/>
    <cellStyle name="Normal 157" xfId="219"/>
    <cellStyle name="Normal 158" xfId="220"/>
    <cellStyle name="Normal 159" xfId="221"/>
    <cellStyle name="Normal 16" xfId="222"/>
    <cellStyle name="Normal 160" xfId="223"/>
    <cellStyle name="Normal 161" xfId="224"/>
    <cellStyle name="Normal 162" xfId="225"/>
    <cellStyle name="Normal 163" xfId="226"/>
    <cellStyle name="Normal 164" xfId="227"/>
    <cellStyle name="Normal 165" xfId="228"/>
    <cellStyle name="Normal 166" xfId="229"/>
    <cellStyle name="Normal 167" xfId="230"/>
    <cellStyle name="Normal 168" xfId="231"/>
    <cellStyle name="Normal 169" xfId="232"/>
    <cellStyle name="Normal 17" xfId="233"/>
    <cellStyle name="Normal 170" xfId="234"/>
    <cellStyle name="Normal 171" xfId="235"/>
    <cellStyle name="Normal 172" xfId="236"/>
    <cellStyle name="Normal 173" xfId="237"/>
    <cellStyle name="Normal 174" xfId="238"/>
    <cellStyle name="Normal 175" xfId="239"/>
    <cellStyle name="Normal 176" xfId="240"/>
    <cellStyle name="Normal 177" xfId="241"/>
    <cellStyle name="Normal 178" xfId="242"/>
    <cellStyle name="Normal 179" xfId="243"/>
    <cellStyle name="Normal 18" xfId="244"/>
    <cellStyle name="Normal 18 2" xfId="1823"/>
    <cellStyle name="Normal 180" xfId="245"/>
    <cellStyle name="Normal 181" xfId="246"/>
    <cellStyle name="Normal 182" xfId="247"/>
    <cellStyle name="Normal 183" xfId="248"/>
    <cellStyle name="Normal 184" xfId="249"/>
    <cellStyle name="Normal 185" xfId="250"/>
    <cellStyle name="Normal 186" xfId="251"/>
    <cellStyle name="Normal 187" xfId="252"/>
    <cellStyle name="Normal 188" xfId="253"/>
    <cellStyle name="Normal 189" xfId="254"/>
    <cellStyle name="Normal 19" xfId="255"/>
    <cellStyle name="Normal 19 2" xfId="256"/>
    <cellStyle name="Normal 190" xfId="257"/>
    <cellStyle name="Normal 191" xfId="258"/>
    <cellStyle name="Normal 192" xfId="259"/>
    <cellStyle name="Normal 193" xfId="260"/>
    <cellStyle name="Normal 194" xfId="261"/>
    <cellStyle name="Normal 195" xfId="7"/>
    <cellStyle name="Normal 195 2" xfId="571"/>
    <cellStyle name="Normal 195 3" xfId="1765"/>
    <cellStyle name="Normal 196" xfId="523"/>
    <cellStyle name="Normal 196 2" xfId="576"/>
    <cellStyle name="Normal 196 3" xfId="1771"/>
    <cellStyle name="Normal 197" xfId="570"/>
    <cellStyle name="Normal 198" xfId="626"/>
    <cellStyle name="Normal 199" xfId="728"/>
    <cellStyle name="Normal 2" xfId="2"/>
    <cellStyle name="Normal 2 10" xfId="262"/>
    <cellStyle name="Normal 2 11" xfId="862"/>
    <cellStyle name="Normal 2 11 2" xfId="1769"/>
    <cellStyle name="Normal 2 2" xfId="263"/>
    <cellStyle name="Normal 2 2 2" xfId="264"/>
    <cellStyle name="Normal 2 2 2 2" xfId="686"/>
    <cellStyle name="Normal 2 2 2 2 2 2" xfId="1820"/>
    <cellStyle name="Normal 2 2 3" xfId="265"/>
    <cellStyle name="Normal 2 2 4" xfId="266"/>
    <cellStyle name="Normal 2 2 5" xfId="267"/>
    <cellStyle name="Normal 2 3" xfId="268"/>
    <cellStyle name="Normal 2 3 2" xfId="269"/>
    <cellStyle name="Normal 2 3 2 2" xfId="687"/>
    <cellStyle name="Normal 2 3 3" xfId="270"/>
    <cellStyle name="Normal 2 3 3 2" xfId="688"/>
    <cellStyle name="Normal 2 3 4" xfId="271"/>
    <cellStyle name="Normal 2 3 4 2" xfId="689"/>
    <cellStyle name="Normal 2 3 5" xfId="690"/>
    <cellStyle name="Normal 2 4" xfId="272"/>
    <cellStyle name="Normal 2 4 2" xfId="273"/>
    <cellStyle name="Normal 2 4 2 2" xfId="692"/>
    <cellStyle name="Normal 2 4 3" xfId="691"/>
    <cellStyle name="Normal 2 5" xfId="274"/>
    <cellStyle name="Normal 2 5 2" xfId="693"/>
    <cellStyle name="Normal 2 6" xfId="275"/>
    <cellStyle name="Normal 2 6 2" xfId="694"/>
    <cellStyle name="Normal 2 7" xfId="276"/>
    <cellStyle name="Normal 2 7 3 2" xfId="1825"/>
    <cellStyle name="Normal 2 8" xfId="277"/>
    <cellStyle name="Normal 2 9" xfId="278"/>
    <cellStyle name="Normal 20" xfId="279"/>
    <cellStyle name="Normal 200" xfId="717"/>
    <cellStyle name="Normal 201" xfId="752"/>
    <cellStyle name="Normal 202" xfId="855"/>
    <cellStyle name="Normal 203" xfId="856"/>
    <cellStyle name="Normal 204" xfId="861"/>
    <cellStyle name="Normal 205" xfId="857"/>
    <cellStyle name="Normal 206" xfId="1828"/>
    <cellStyle name="Normal 207" xfId="1831"/>
    <cellStyle name="Normal 21" xfId="280"/>
    <cellStyle name="Normal 22" xfId="281"/>
    <cellStyle name="Normal 22 2" xfId="282"/>
    <cellStyle name="Normal 23" xfId="283"/>
    <cellStyle name="Normal 24" xfId="284"/>
    <cellStyle name="Normal 24 3" xfId="1827"/>
    <cellStyle name="Normal 25" xfId="285"/>
    <cellStyle name="Normal 26" xfId="286"/>
    <cellStyle name="Normal 261" xfId="287"/>
    <cellStyle name="Normal 27" xfId="288"/>
    <cellStyle name="Normal 28" xfId="289"/>
    <cellStyle name="Normal 29" xfId="290"/>
    <cellStyle name="Normal 3" xfId="291"/>
    <cellStyle name="Normal 3 2" xfId="292"/>
    <cellStyle name="Normal 3 2 2" xfId="293"/>
    <cellStyle name="Normal 3 2 2 2" xfId="294"/>
    <cellStyle name="Normal 3 2 2 3" xfId="295"/>
    <cellStyle name="Normal 3 2 2 4" xfId="296"/>
    <cellStyle name="Normal 3 2 2 5" xfId="297"/>
    <cellStyle name="Normal 3 2 2 6" xfId="298"/>
    <cellStyle name="Normal 3 2 3" xfId="299"/>
    <cellStyle name="Normal 3 2 3 2" xfId="300"/>
    <cellStyle name="Normal 3 2 3 3" xfId="301"/>
    <cellStyle name="Normal 3 2 4" xfId="302"/>
    <cellStyle name="Normal 3 2 4 2" xfId="303"/>
    <cellStyle name="Normal 3 2 4 3" xfId="304"/>
    <cellStyle name="Normal 3 2 5" xfId="305"/>
    <cellStyle name="Normal 3 2 5 2" xfId="695"/>
    <cellStyle name="Normal 3 2 6" xfId="306"/>
    <cellStyle name="Normal 3 2 6 2" xfId="696"/>
    <cellStyle name="Normal 3 2 7" xfId="307"/>
    <cellStyle name="Normal 3 3" xfId="308"/>
    <cellStyle name="Normal 3 3 2" xfId="309"/>
    <cellStyle name="Normal 3 3 3" xfId="310"/>
    <cellStyle name="Normal 3 3 4" xfId="311"/>
    <cellStyle name="Normal 3 3 5" xfId="312"/>
    <cellStyle name="Normal 3 4" xfId="313"/>
    <cellStyle name="Normal 3 4 2" xfId="314"/>
    <cellStyle name="Normal 3 4 3" xfId="315"/>
    <cellStyle name="Normal 3 4 4" xfId="316"/>
    <cellStyle name="Normal 3 5" xfId="317"/>
    <cellStyle name="Normal 3 5 2" xfId="318"/>
    <cellStyle name="Normal 3 6" xfId="319"/>
    <cellStyle name="Normal 3 7" xfId="320"/>
    <cellStyle name="Normal 3 8" xfId="321"/>
    <cellStyle name="Normal 3 9" xfId="322"/>
    <cellStyle name="Normal 30" xfId="323"/>
    <cellStyle name="Normal 31" xfId="324"/>
    <cellStyle name="Normal 32" xfId="325"/>
    <cellStyle name="Normal 33" xfId="326"/>
    <cellStyle name="Normal 34" xfId="327"/>
    <cellStyle name="Normal 35" xfId="328"/>
    <cellStyle name="Normal 36" xfId="329"/>
    <cellStyle name="Normal 37" xfId="330"/>
    <cellStyle name="Normal 38" xfId="331"/>
    <cellStyle name="Normal 39" xfId="332"/>
    <cellStyle name="Normal 4" xfId="333"/>
    <cellStyle name="Normal 4 2" xfId="334"/>
    <cellStyle name="Normal 4 2 2" xfId="335"/>
    <cellStyle name="Normal 4 2 3" xfId="336"/>
    <cellStyle name="Normal 4 2 3 2" xfId="697"/>
    <cellStyle name="Normal 4 2 4" xfId="337"/>
    <cellStyle name="Normal 4 3" xfId="338"/>
    <cellStyle name="Normal 4 3 2" xfId="339"/>
    <cellStyle name="Normal 4 3 2 2" xfId="699"/>
    <cellStyle name="Normal 4 3 3" xfId="698"/>
    <cellStyle name="Normal 4 4" xfId="340"/>
    <cellStyle name="Normal 4 4 2" xfId="700"/>
    <cellStyle name="Normal 4 5" xfId="701"/>
    <cellStyle name="Normal 40" xfId="341"/>
    <cellStyle name="Normal 41" xfId="342"/>
    <cellStyle name="Normal 42" xfId="343"/>
    <cellStyle name="Normal 43" xfId="344"/>
    <cellStyle name="Normal 44" xfId="345"/>
    <cellStyle name="Normal 45" xfId="346"/>
    <cellStyle name="Normal 46" xfId="347"/>
    <cellStyle name="Normal 47" xfId="348"/>
    <cellStyle name="Normal 48" xfId="349"/>
    <cellStyle name="Normal 49" xfId="350"/>
    <cellStyle name="Normal 5" xfId="351"/>
    <cellStyle name="Normal 5 2" xfId="352"/>
    <cellStyle name="Normal 5 2 2" xfId="353"/>
    <cellStyle name="Normal 5 2 2 2" xfId="354"/>
    <cellStyle name="Normal 5 2 2 2 2" xfId="702"/>
    <cellStyle name="Normal 5 2 3" xfId="355"/>
    <cellStyle name="Normal 5 2 3 2" xfId="703"/>
    <cellStyle name="Normal 5 2 4" xfId="356"/>
    <cellStyle name="Normal 5 2 4 2" xfId="704"/>
    <cellStyle name="Normal 5 2 5" xfId="705"/>
    <cellStyle name="Normal 5 3" xfId="357"/>
    <cellStyle name="Normal 5 3 2" xfId="358"/>
    <cellStyle name="Normal 5 3 2 2" xfId="706"/>
    <cellStyle name="Normal 5 3 3" xfId="707"/>
    <cellStyle name="Normal 5 4" xfId="359"/>
    <cellStyle name="Normal 5 4 2" xfId="709"/>
    <cellStyle name="Normal 5 4 3" xfId="708"/>
    <cellStyle name="Normal 5 5" xfId="360"/>
    <cellStyle name="Normal 5 5 2" xfId="710"/>
    <cellStyle name="Normal 50" xfId="361"/>
    <cellStyle name="Normal 51" xfId="362"/>
    <cellStyle name="Normal 52" xfId="363"/>
    <cellStyle name="Normal 53" xfId="364"/>
    <cellStyle name="Normal 54" xfId="365"/>
    <cellStyle name="Normal 55" xfId="366"/>
    <cellStyle name="Normal 56" xfId="367"/>
    <cellStyle name="Normal 56 2" xfId="368"/>
    <cellStyle name="Normal 57" xfId="369"/>
    <cellStyle name="Normal 57 2" xfId="370"/>
    <cellStyle name="Normal 58" xfId="371"/>
    <cellStyle name="Normal 59" xfId="372"/>
    <cellStyle name="Normal 6" xfId="373"/>
    <cellStyle name="Normal 6 2" xfId="374"/>
    <cellStyle name="Normal 6 2 2" xfId="375"/>
    <cellStyle name="Normal 6 2 2 2" xfId="376"/>
    <cellStyle name="Normal 6 2 3" xfId="377"/>
    <cellStyle name="Normal 6 3" xfId="378"/>
    <cellStyle name="Normal 6 3 2" xfId="712"/>
    <cellStyle name="Normal 6 3 3" xfId="713"/>
    <cellStyle name="Normal 6 3 4" xfId="711"/>
    <cellStyle name="Normal 6 4" xfId="379"/>
    <cellStyle name="Normal 6 4 2" xfId="714"/>
    <cellStyle name="Normal 6 5" xfId="715"/>
    <cellStyle name="Normal 60" xfId="380"/>
    <cellStyle name="Normal 61" xfId="381"/>
    <cellStyle name="Normal 62" xfId="382"/>
    <cellStyle name="Normal 63" xfId="383"/>
    <cellStyle name="Normal 64" xfId="384"/>
    <cellStyle name="Normal 64 2" xfId="385"/>
    <cellStyle name="Normal 65" xfId="386"/>
    <cellStyle name="Normal 65 2" xfId="387"/>
    <cellStyle name="Normal 66" xfId="388"/>
    <cellStyle name="Normal 66 2" xfId="389"/>
    <cellStyle name="Normal 67" xfId="390"/>
    <cellStyle name="Normal 67 2" xfId="391"/>
    <cellStyle name="Normal 68" xfId="392"/>
    <cellStyle name="Normal 69" xfId="393"/>
    <cellStyle name="Normal 7" xfId="394"/>
    <cellStyle name="Normal 7 2" xfId="395"/>
    <cellStyle name="Normal 7 2 2" xfId="396"/>
    <cellStyle name="Normal 7 2 2 2" xfId="716"/>
    <cellStyle name="Normal 7 3" xfId="397"/>
    <cellStyle name="Normal 7 3 2" xfId="398"/>
    <cellStyle name="Normal 7 3 2 2" xfId="574"/>
    <cellStyle name="Normal 7 3 2 3" xfId="1768"/>
    <cellStyle name="Normal 7 3 3" xfId="573"/>
    <cellStyle name="Normal 7 3 4" xfId="1767"/>
    <cellStyle name="Normal 7 4" xfId="399"/>
    <cellStyle name="Normal 7 5" xfId="400"/>
    <cellStyle name="Normal 7 6" xfId="1829"/>
    <cellStyle name="Normal 70" xfId="401"/>
    <cellStyle name="Normal 71" xfId="402"/>
    <cellStyle name="Normal 72" xfId="403"/>
    <cellStyle name="Normal 73" xfId="404"/>
    <cellStyle name="Normal 74" xfId="405"/>
    <cellStyle name="Normal 75" xfId="406"/>
    <cellStyle name="Normal 76" xfId="407"/>
    <cellStyle name="Normal 76 2" xfId="408"/>
    <cellStyle name="Normal 77" xfId="409"/>
    <cellStyle name="Normal 78" xfId="410"/>
    <cellStyle name="Normal 79" xfId="411"/>
    <cellStyle name="Normal 8" xfId="412"/>
    <cellStyle name="Normal 8 2" xfId="413"/>
    <cellStyle name="Normal 8 2 2" xfId="718"/>
    <cellStyle name="Normal 8 3" xfId="414"/>
    <cellStyle name="Normal 80" xfId="415"/>
    <cellStyle name="Normal 81" xfId="416"/>
    <cellStyle name="Normal 82" xfId="417"/>
    <cellStyle name="Normal 83" xfId="418"/>
    <cellStyle name="Normal 84" xfId="419"/>
    <cellStyle name="Normal 85" xfId="420"/>
    <cellStyle name="Normal 86" xfId="421"/>
    <cellStyle name="Normal 87" xfId="422"/>
    <cellStyle name="Normal 88" xfId="423"/>
    <cellStyle name="Normal 89" xfId="424"/>
    <cellStyle name="Normal 89 2" xfId="425"/>
    <cellStyle name="Normal 89 3" xfId="426"/>
    <cellStyle name="Normal 9" xfId="427"/>
    <cellStyle name="Normal 9 2" xfId="428"/>
    <cellStyle name="Normal 9 2 2" xfId="721"/>
    <cellStyle name="Normal 9 2 3" xfId="720"/>
    <cellStyle name="Normal 9 3" xfId="429"/>
    <cellStyle name="Normal 9 3 2" xfId="722"/>
    <cellStyle name="Normal 9 4" xfId="723"/>
    <cellStyle name="Normal 9 5" xfId="734"/>
    <cellStyle name="Normal 9 6" xfId="719"/>
    <cellStyle name="Normal 90" xfId="430"/>
    <cellStyle name="Normal 91" xfId="431"/>
    <cellStyle name="Normal 92" xfId="432"/>
    <cellStyle name="Normal 92 2" xfId="433"/>
    <cellStyle name="Normal 92 3" xfId="434"/>
    <cellStyle name="Normal 93" xfId="435"/>
    <cellStyle name="Normal 94" xfId="436"/>
    <cellStyle name="Normal 95" xfId="437"/>
    <cellStyle name="Normal 95 2" xfId="438"/>
    <cellStyle name="Normal 95 3" xfId="439"/>
    <cellStyle name="Normal 96" xfId="440"/>
    <cellStyle name="Normal 97" xfId="441"/>
    <cellStyle name="Normal 98" xfId="442"/>
    <cellStyle name="Normal 99" xfId="443"/>
    <cellStyle name="Note" xfId="543" builtinId="10" customBuiltin="1"/>
    <cellStyle name="Note 2" xfId="444"/>
    <cellStyle name="Note 3" xfId="445"/>
    <cellStyle name="Output" xfId="538" builtinId="21" customBuiltin="1"/>
    <cellStyle name="Output 2" xfId="446"/>
    <cellStyle name="Percent [2]" xfId="448"/>
    <cellStyle name="Percent 10" xfId="449"/>
    <cellStyle name="Percent 11" xfId="450"/>
    <cellStyle name="Percent 12" xfId="451"/>
    <cellStyle name="Percent 13" xfId="452"/>
    <cellStyle name="Percent 14" xfId="453"/>
    <cellStyle name="Percent 15" xfId="454"/>
    <cellStyle name="Percent 16" xfId="455"/>
    <cellStyle name="Percent 17" xfId="456"/>
    <cellStyle name="Percent 18" xfId="457"/>
    <cellStyle name="Percent 19" xfId="458"/>
    <cellStyle name="Percent 2" xfId="459"/>
    <cellStyle name="Percent 2 2" xfId="460"/>
    <cellStyle name="Percent 2 2 2" xfId="461"/>
    <cellStyle name="Percent 2 3" xfId="462"/>
    <cellStyle name="Percent 2 3 2" xfId="463"/>
    <cellStyle name="Percent 2 4" xfId="464"/>
    <cellStyle name="Percent 2 4 2" xfId="465"/>
    <cellStyle name="Percent 2 5" xfId="466"/>
    <cellStyle name="Percent 2 6" xfId="725"/>
    <cellStyle name="Percent 20" xfId="467"/>
    <cellStyle name="Percent 21" xfId="468"/>
    <cellStyle name="Percent 22" xfId="469"/>
    <cellStyle name="Percent 23" xfId="470"/>
    <cellStyle name="Percent 24" xfId="471"/>
    <cellStyle name="Percent 25" xfId="472"/>
    <cellStyle name="Percent 26" xfId="473"/>
    <cellStyle name="Percent 27" xfId="474"/>
    <cellStyle name="Percent 28" xfId="475"/>
    <cellStyle name="Percent 29" xfId="476"/>
    <cellStyle name="Percent 3" xfId="477"/>
    <cellStyle name="Percent 3 2" xfId="478"/>
    <cellStyle name="Percent 30" xfId="479"/>
    <cellStyle name="Percent 31" xfId="480"/>
    <cellStyle name="Percent 32" xfId="481"/>
    <cellStyle name="Percent 33" xfId="482"/>
    <cellStyle name="Percent 34" xfId="483"/>
    <cellStyle name="Percent 35" xfId="484"/>
    <cellStyle name="Percent 36" xfId="485"/>
    <cellStyle name="Percent 37" xfId="486"/>
    <cellStyle name="Percent 38" xfId="487"/>
    <cellStyle name="Percent 39" xfId="488"/>
    <cellStyle name="Percent 4" xfId="489"/>
    <cellStyle name="Percent 4 2" xfId="490"/>
    <cellStyle name="Percent 4 3" xfId="729"/>
    <cellStyle name="Percent 40" xfId="491"/>
    <cellStyle name="Percent 41" xfId="492"/>
    <cellStyle name="Percent 42" xfId="493"/>
    <cellStyle name="Percent 43" xfId="494"/>
    <cellStyle name="Percent 44" xfId="495"/>
    <cellStyle name="Percent 45" xfId="496"/>
    <cellStyle name="Percent 46" xfId="497"/>
    <cellStyle name="Percent 47" xfId="498"/>
    <cellStyle name="Percent 48" xfId="499"/>
    <cellStyle name="Percent 49" xfId="500"/>
    <cellStyle name="Percent 5" xfId="501"/>
    <cellStyle name="Percent 5 2" xfId="502"/>
    <cellStyle name="Percent 5 2 2" xfId="503"/>
    <cellStyle name="Percent 5 2 2 2" xfId="731"/>
    <cellStyle name="Percent 5 2 3" xfId="730"/>
    <cellStyle name="Percent 5 3" xfId="504"/>
    <cellStyle name="Percent 5 3 2" xfId="732"/>
    <cellStyle name="Percent 5 4" xfId="505"/>
    <cellStyle name="Percent 5 4 2" xfId="733"/>
    <cellStyle name="Percent 50" xfId="506"/>
    <cellStyle name="Percent 51" xfId="507"/>
    <cellStyle name="Percent 52" xfId="508"/>
    <cellStyle name="Percent 53" xfId="509"/>
    <cellStyle name="Percent 54" xfId="510"/>
    <cellStyle name="Percent 55" xfId="511"/>
    <cellStyle name="Percent 56" xfId="447"/>
    <cellStyle name="Percent 56 2" xfId="575"/>
    <cellStyle name="Percent 56 3" xfId="1770"/>
    <cellStyle name="Percent 57" xfId="529"/>
    <cellStyle name="Percent 57 2" xfId="577"/>
    <cellStyle name="Percent 57 3" xfId="1772"/>
    <cellStyle name="Percent 58" xfId="629"/>
    <cellStyle name="Percent 59" xfId="727"/>
    <cellStyle name="Percent 6" xfId="512"/>
    <cellStyle name="Percent 60" xfId="758"/>
    <cellStyle name="Percent 61" xfId="751"/>
    <cellStyle name="Percent 62" xfId="854"/>
    <cellStyle name="Percent 63" xfId="858"/>
    <cellStyle name="Percent 64" xfId="860"/>
    <cellStyle name="Percent 65" xfId="859"/>
    <cellStyle name="Percent 7" xfId="513"/>
    <cellStyle name="Percent 8" xfId="514"/>
    <cellStyle name="Percent 9" xfId="515"/>
    <cellStyle name="sowPara" xfId="516"/>
    <cellStyle name="sowPara 2" xfId="582"/>
    <cellStyle name="sowPara 2 2" xfId="603"/>
    <cellStyle name="sowPara 2 2 2" xfId="789"/>
    <cellStyle name="sowPara 2 2 2 2" xfId="975"/>
    <cellStyle name="sowPara 2 2 2 2 2" xfId="1242"/>
    <cellStyle name="sowPara 2 2 2 2 2 2" xfId="1713"/>
    <cellStyle name="sowPara 2 2 2 2 3" xfId="1499"/>
    <cellStyle name="sowPara 2 2 2 3" xfId="1071"/>
    <cellStyle name="sowPara 2 2 2 3 2" xfId="1574"/>
    <cellStyle name="sowPara 2 2 2 4" xfId="1373"/>
    <cellStyle name="sowPara 2 2 3" xfId="831"/>
    <cellStyle name="sowPara 2 2 3 2" xfId="1017"/>
    <cellStyle name="sowPara 2 2 3 2 2" xfId="1284"/>
    <cellStyle name="sowPara 2 2 3 2 2 2" xfId="1746"/>
    <cellStyle name="sowPara 2 2 3 2 3" xfId="1532"/>
    <cellStyle name="sowPara 2 2 3 3" xfId="1107"/>
    <cellStyle name="sowPara 2 2 3 3 2" xfId="1603"/>
    <cellStyle name="sowPara 2 2 3 4" xfId="1406"/>
    <cellStyle name="sowPara 2 2 4" xfId="759"/>
    <cellStyle name="sowPara 2 2 4 2" xfId="945"/>
    <cellStyle name="sowPara 2 2 4 2 2" xfId="1212"/>
    <cellStyle name="sowPara 2 2 4 2 2 2" xfId="1689"/>
    <cellStyle name="sowPara 2 2 4 2 3" xfId="1475"/>
    <cellStyle name="sowPara 2 2 4 3" xfId="1349"/>
    <cellStyle name="sowPara 2 2 5" xfId="900"/>
    <cellStyle name="sowPara 2 2 5 2" xfId="1167"/>
    <cellStyle name="sowPara 2 2 5 2 2" xfId="1652"/>
    <cellStyle name="sowPara 2 2 5 3" xfId="1446"/>
    <cellStyle name="sowPara 2 2 6" xfId="1320"/>
    <cellStyle name="sowPara 2 2 7" xfId="1777"/>
    <cellStyle name="sowPara 2 3" xfId="615"/>
    <cellStyle name="sowPara 2 3 2" xfId="801"/>
    <cellStyle name="sowPara 2 3 2 2" xfId="987"/>
    <cellStyle name="sowPara 2 3 2 2 2" xfId="1254"/>
    <cellStyle name="sowPara 2 3 2 2 2 2" xfId="1723"/>
    <cellStyle name="sowPara 2 3 2 2 3" xfId="1509"/>
    <cellStyle name="sowPara 2 3 2 3" xfId="1083"/>
    <cellStyle name="sowPara 2 3 2 3 2" xfId="1584"/>
    <cellStyle name="sowPara 2 3 2 4" xfId="1383"/>
    <cellStyle name="sowPara 2 3 3" xfId="843"/>
    <cellStyle name="sowPara 2 3 3 2" xfId="1029"/>
    <cellStyle name="sowPara 2 3 3 2 2" xfId="1296"/>
    <cellStyle name="sowPara 2 3 3 2 2 2" xfId="1756"/>
    <cellStyle name="sowPara 2 3 3 2 3" xfId="1542"/>
    <cellStyle name="sowPara 2 3 3 3" xfId="1119"/>
    <cellStyle name="sowPara 2 3 3 3 2" xfId="1613"/>
    <cellStyle name="sowPara 2 3 3 4" xfId="1416"/>
    <cellStyle name="sowPara 2 3 4" xfId="761"/>
    <cellStyle name="sowPara 2 3 4 2" xfId="947"/>
    <cellStyle name="sowPara 2 3 4 2 2" xfId="1214"/>
    <cellStyle name="sowPara 2 3 4 2 2 2" xfId="1690"/>
    <cellStyle name="sowPara 2 3 4 2 3" xfId="1476"/>
    <cellStyle name="sowPara 2 3 4 3" xfId="1350"/>
    <cellStyle name="sowPara 2 3 5" xfId="912"/>
    <cellStyle name="sowPara 2 3 5 2" xfId="1179"/>
    <cellStyle name="sowPara 2 3 5 2 2" xfId="1662"/>
    <cellStyle name="sowPara 2 3 5 3" xfId="1452"/>
    <cellStyle name="sowPara 2 3 6" xfId="1326"/>
    <cellStyle name="sowPara 2 3 7" xfId="1778"/>
    <cellStyle name="sowPara 2 4" xfId="879"/>
    <cellStyle name="sowPara 2 4 2" xfId="1146"/>
    <cellStyle name="sowPara 2 4 2 2" xfId="1636"/>
    <cellStyle name="sowPara 2 4 3" xfId="1436"/>
    <cellStyle name="sowPara 2 5" xfId="1040"/>
    <cellStyle name="sowPara 2 5 2" xfId="1773"/>
    <cellStyle name="sowPara 2 6" xfId="1314"/>
    <cellStyle name="sowPara 2 7" xfId="1816"/>
    <cellStyle name="sowPara 3" xfId="586"/>
    <cellStyle name="sowPara 3 2" xfId="607"/>
    <cellStyle name="sowPara 3 2 2" xfId="793"/>
    <cellStyle name="sowPara 3 2 2 2" xfId="979"/>
    <cellStyle name="sowPara 3 2 2 2 2" xfId="1246"/>
    <cellStyle name="sowPara 3 2 2 2 2 2" xfId="1716"/>
    <cellStyle name="sowPara 3 2 2 2 3" xfId="1502"/>
    <cellStyle name="sowPara 3 2 2 3" xfId="1075"/>
    <cellStyle name="sowPara 3 2 2 3 2" xfId="1577"/>
    <cellStyle name="sowPara 3 2 2 4" xfId="1376"/>
    <cellStyle name="sowPara 3 2 3" xfId="835"/>
    <cellStyle name="sowPara 3 2 3 2" xfId="1021"/>
    <cellStyle name="sowPara 3 2 3 2 2" xfId="1288"/>
    <cellStyle name="sowPara 3 2 3 2 2 2" xfId="1749"/>
    <cellStyle name="sowPara 3 2 3 2 3" xfId="1535"/>
    <cellStyle name="sowPara 3 2 3 3" xfId="1111"/>
    <cellStyle name="sowPara 3 2 3 3 2" xfId="1606"/>
    <cellStyle name="sowPara 3 2 3 4" xfId="1409"/>
    <cellStyle name="sowPara 3 2 4" xfId="757"/>
    <cellStyle name="sowPara 3 2 4 2" xfId="944"/>
    <cellStyle name="sowPara 3 2 4 2 2" xfId="1211"/>
    <cellStyle name="sowPara 3 2 4 2 2 2" xfId="1688"/>
    <cellStyle name="sowPara 3 2 4 2 3" xfId="1474"/>
    <cellStyle name="sowPara 3 2 4 3" xfId="1348"/>
    <cellStyle name="sowPara 3 2 5" xfId="904"/>
    <cellStyle name="sowPara 3 2 5 2" xfId="1171"/>
    <cellStyle name="sowPara 3 2 5 2 2" xfId="1655"/>
    <cellStyle name="sowPara 3 2 5 3" xfId="1447"/>
    <cellStyle name="sowPara 3 2 6" xfId="1321"/>
    <cellStyle name="sowPara 3 2 7" xfId="1785"/>
    <cellStyle name="sowPara 3 3" xfId="619"/>
    <cellStyle name="sowPara 3 3 2" xfId="805"/>
    <cellStyle name="sowPara 3 3 2 2" xfId="991"/>
    <cellStyle name="sowPara 3 3 2 2 2" xfId="1258"/>
    <cellStyle name="sowPara 3 3 2 2 2 2" xfId="1726"/>
    <cellStyle name="sowPara 3 3 2 2 3" xfId="1512"/>
    <cellStyle name="sowPara 3 3 2 3" xfId="1087"/>
    <cellStyle name="sowPara 3 3 2 3 2" xfId="1587"/>
    <cellStyle name="sowPara 3 3 2 4" xfId="1386"/>
    <cellStyle name="sowPara 3 3 3" xfId="847"/>
    <cellStyle name="sowPara 3 3 3 2" xfId="1033"/>
    <cellStyle name="sowPara 3 3 3 2 2" xfId="1300"/>
    <cellStyle name="sowPara 3 3 3 2 2 2" xfId="1759"/>
    <cellStyle name="sowPara 3 3 3 2 3" xfId="1545"/>
    <cellStyle name="sowPara 3 3 3 3" xfId="1123"/>
    <cellStyle name="sowPara 3 3 3 3 2" xfId="1616"/>
    <cellStyle name="sowPara 3 3 3 4" xfId="1419"/>
    <cellStyle name="sowPara 3 3 4" xfId="747"/>
    <cellStyle name="sowPara 3 3 4 2" xfId="936"/>
    <cellStyle name="sowPara 3 3 4 2 2" xfId="1203"/>
    <cellStyle name="sowPara 3 3 4 2 2 2" xfId="1680"/>
    <cellStyle name="sowPara 3 3 4 2 3" xfId="1466"/>
    <cellStyle name="sowPara 3 3 4 3" xfId="1340"/>
    <cellStyle name="sowPara 3 3 5" xfId="916"/>
    <cellStyle name="sowPara 3 3 5 2" xfId="1183"/>
    <cellStyle name="sowPara 3 3 5 2 2" xfId="1665"/>
    <cellStyle name="sowPara 3 3 5 3" xfId="1453"/>
    <cellStyle name="sowPara 3 3 6" xfId="1327"/>
    <cellStyle name="sowPara 3 3 7" xfId="1786"/>
    <cellStyle name="sowPara 3 4" xfId="772"/>
    <cellStyle name="sowPara 3 4 2" xfId="958"/>
    <cellStyle name="sowPara 3 4 2 2" xfId="1225"/>
    <cellStyle name="sowPara 3 4 2 2 2" xfId="1700"/>
    <cellStyle name="sowPara 3 4 2 3" xfId="1486"/>
    <cellStyle name="sowPara 3 4 3" xfId="1054"/>
    <cellStyle name="sowPara 3 4 3 2" xfId="1561"/>
    <cellStyle name="sowPara 3 4 4" xfId="1360"/>
    <cellStyle name="sowPara 3 5" xfId="883"/>
    <cellStyle name="sowPara 3 5 2" xfId="1150"/>
    <cellStyle name="sowPara 3 5 2 2" xfId="1639"/>
    <cellStyle name="sowPara 3 5 3" xfId="1439"/>
    <cellStyle name="sowPara 3 6" xfId="1315"/>
    <cellStyle name="sowPara 3 7" xfId="1807"/>
    <cellStyle name="sowPara 4" xfId="625"/>
    <cellStyle name="sowPara 4 2" xfId="811"/>
    <cellStyle name="sowPara 4 2 2" xfId="997"/>
    <cellStyle name="sowPara 4 2 2 2" xfId="1264"/>
    <cellStyle name="sowPara 4 2 2 2 2" xfId="1731"/>
    <cellStyle name="sowPara 4 2 2 3" xfId="1517"/>
    <cellStyle name="sowPara 4 2 3" xfId="1093"/>
    <cellStyle name="sowPara 4 2 3 2" xfId="1592"/>
    <cellStyle name="sowPara 4 2 4" xfId="1391"/>
    <cellStyle name="sowPara 4 3" xfId="853"/>
    <cellStyle name="sowPara 4 3 2" xfId="1039"/>
    <cellStyle name="sowPara 4 3 2 2" xfId="1306"/>
    <cellStyle name="sowPara 4 3 2 2 2" xfId="1764"/>
    <cellStyle name="sowPara 4 3 2 3" xfId="1550"/>
    <cellStyle name="sowPara 4 3 3" xfId="1129"/>
    <cellStyle name="sowPara 4 3 3 2" xfId="1621"/>
    <cellStyle name="sowPara 4 3 4" xfId="1424"/>
    <cellStyle name="sowPara 4 4" xfId="765"/>
    <cellStyle name="sowPara 4 4 2" xfId="951"/>
    <cellStyle name="sowPara 4 4 2 2" xfId="1218"/>
    <cellStyle name="sowPara 4 4 2 2 2" xfId="1694"/>
    <cellStyle name="sowPara 4 4 2 3" xfId="1480"/>
    <cellStyle name="sowPara 4 4 3" xfId="1048"/>
    <cellStyle name="sowPara 4 4 3 2" xfId="1556"/>
    <cellStyle name="sowPara 4 4 4" xfId="1354"/>
    <cellStyle name="sowPara 4 5" xfId="922"/>
    <cellStyle name="sowPara 4 5 2" xfId="1189"/>
    <cellStyle name="sowPara 4 5 2 2" xfId="1670"/>
    <cellStyle name="sowPara 4 5 3" xfId="1456"/>
    <cellStyle name="sowPara 4 6" xfId="1044"/>
    <cellStyle name="sowPara 4 6 2" xfId="1553"/>
    <cellStyle name="sowPara 4 7" xfId="1330"/>
    <cellStyle name="sowPara 5" xfId="865"/>
    <cellStyle name="sowPara 5 2" xfId="1132"/>
    <cellStyle name="sowPara 5 2 2" xfId="1624"/>
    <cellStyle name="sowPara 6" xfId="871"/>
    <cellStyle name="sowPara 6 2" xfId="1138"/>
    <cellStyle name="sowPara 6 2 2" xfId="1629"/>
    <cellStyle name="sowPara 6 3" xfId="1429"/>
    <cellStyle name="sowPara 7" xfId="1309"/>
    <cellStyle name="tabackground" xfId="517"/>
    <cellStyle name="taParaContent" xfId="518"/>
    <cellStyle name="taParaContent 2" xfId="519"/>
    <cellStyle name="taParaContent 2 2" xfId="584"/>
    <cellStyle name="taParaContent 2 2 2" xfId="605"/>
    <cellStyle name="taParaContent 2 2 2 2" xfId="791"/>
    <cellStyle name="taParaContent 2 2 2 2 2" xfId="977"/>
    <cellStyle name="taParaContent 2 2 2 2 2 2" xfId="1244"/>
    <cellStyle name="taParaContent 2 2 2 2 2 2 2" xfId="1715"/>
    <cellStyle name="taParaContent 2 2 2 2 2 3" xfId="1501"/>
    <cellStyle name="taParaContent 2 2 2 2 3" xfId="1073"/>
    <cellStyle name="taParaContent 2 2 2 2 3 2" xfId="1576"/>
    <cellStyle name="taParaContent 2 2 2 2 4" xfId="1375"/>
    <cellStyle name="taParaContent 2 2 2 3" xfId="833"/>
    <cellStyle name="taParaContent 2 2 2 3 2" xfId="1019"/>
    <cellStyle name="taParaContent 2 2 2 3 2 2" xfId="1286"/>
    <cellStyle name="taParaContent 2 2 2 3 2 2 2" xfId="1748"/>
    <cellStyle name="taParaContent 2 2 2 3 2 3" xfId="1534"/>
    <cellStyle name="taParaContent 2 2 2 3 3" xfId="1109"/>
    <cellStyle name="taParaContent 2 2 2 3 3 2" xfId="1605"/>
    <cellStyle name="taParaContent 2 2 2 3 4" xfId="1408"/>
    <cellStyle name="taParaContent 2 2 2 4" xfId="753"/>
    <cellStyle name="taParaContent 2 2 2 4 2" xfId="940"/>
    <cellStyle name="taParaContent 2 2 2 4 2 2" xfId="1207"/>
    <cellStyle name="taParaContent 2 2 2 4 2 2 2" xfId="1684"/>
    <cellStyle name="taParaContent 2 2 2 4 2 3" xfId="1470"/>
    <cellStyle name="taParaContent 2 2 2 4 3" xfId="1344"/>
    <cellStyle name="taParaContent 2 2 2 5" xfId="902"/>
    <cellStyle name="taParaContent 2 2 2 5 2" xfId="1169"/>
    <cellStyle name="taParaContent 2 2 2 5 2 2" xfId="1654"/>
    <cellStyle name="taParaContent 2 2 2 6" xfId="1781"/>
    <cellStyle name="taParaContent 2 2 3" xfId="617"/>
    <cellStyle name="taParaContent 2 2 3 2" xfId="803"/>
    <cellStyle name="taParaContent 2 2 3 2 2" xfId="989"/>
    <cellStyle name="taParaContent 2 2 3 2 2 2" xfId="1256"/>
    <cellStyle name="taParaContent 2 2 3 2 2 2 2" xfId="1725"/>
    <cellStyle name="taParaContent 2 2 3 2 2 3" xfId="1511"/>
    <cellStyle name="taParaContent 2 2 3 2 3" xfId="1085"/>
    <cellStyle name="taParaContent 2 2 3 2 3 2" xfId="1586"/>
    <cellStyle name="taParaContent 2 2 3 2 4" xfId="1385"/>
    <cellStyle name="taParaContent 2 2 3 3" xfId="845"/>
    <cellStyle name="taParaContent 2 2 3 3 2" xfId="1031"/>
    <cellStyle name="taParaContent 2 2 3 3 2 2" xfId="1298"/>
    <cellStyle name="taParaContent 2 2 3 3 2 2 2" xfId="1758"/>
    <cellStyle name="taParaContent 2 2 3 3 2 3" xfId="1544"/>
    <cellStyle name="taParaContent 2 2 3 3 3" xfId="1121"/>
    <cellStyle name="taParaContent 2 2 3 3 3 2" xfId="1615"/>
    <cellStyle name="taParaContent 2 2 3 3 4" xfId="1418"/>
    <cellStyle name="taParaContent 2 2 3 4" xfId="745"/>
    <cellStyle name="taParaContent 2 2 3 4 2" xfId="934"/>
    <cellStyle name="taParaContent 2 2 3 4 2 2" xfId="1201"/>
    <cellStyle name="taParaContent 2 2 3 4 2 2 2" xfId="1679"/>
    <cellStyle name="taParaContent 2 2 3 4 2 3" xfId="1465"/>
    <cellStyle name="taParaContent 2 2 3 4 3" xfId="1339"/>
    <cellStyle name="taParaContent 2 2 3 5" xfId="914"/>
    <cellStyle name="taParaContent 2 2 3 5 2" xfId="1181"/>
    <cellStyle name="taParaContent 2 2 3 5 2 2" xfId="1664"/>
    <cellStyle name="taParaContent 2 2 3 6" xfId="1782"/>
    <cellStyle name="taParaContent 2 2 4" xfId="770"/>
    <cellStyle name="taParaContent 2 2 4 2" xfId="956"/>
    <cellStyle name="taParaContent 2 2 4 2 2" xfId="1223"/>
    <cellStyle name="taParaContent 2 2 4 2 2 2" xfId="1699"/>
    <cellStyle name="taParaContent 2 2 4 2 3" xfId="1485"/>
    <cellStyle name="taParaContent 2 2 4 3" xfId="1052"/>
    <cellStyle name="taParaContent 2 2 4 3 2" xfId="1560"/>
    <cellStyle name="taParaContent 2 2 4 4" xfId="1359"/>
    <cellStyle name="taParaContent 2 2 5" xfId="881"/>
    <cellStyle name="taParaContent 2 2 5 2" xfId="1148"/>
    <cellStyle name="taParaContent 2 2 5 2 2" xfId="1638"/>
    <cellStyle name="taParaContent 2 2 5 3" xfId="1438"/>
    <cellStyle name="taParaContent 2 2 6" xfId="1806"/>
    <cellStyle name="taParaContent 2 3" xfId="588"/>
    <cellStyle name="taParaContent 2 3 2" xfId="609"/>
    <cellStyle name="taParaContent 2 3 2 2" xfId="795"/>
    <cellStyle name="taParaContent 2 3 2 2 2" xfId="981"/>
    <cellStyle name="taParaContent 2 3 2 2 2 2" xfId="1248"/>
    <cellStyle name="taParaContent 2 3 2 2 2 2 2" xfId="1718"/>
    <cellStyle name="taParaContent 2 3 2 2 2 3" xfId="1504"/>
    <cellStyle name="taParaContent 2 3 2 2 3" xfId="1077"/>
    <cellStyle name="taParaContent 2 3 2 2 3 2" xfId="1579"/>
    <cellStyle name="taParaContent 2 3 2 2 4" xfId="1378"/>
    <cellStyle name="taParaContent 2 3 2 3" xfId="837"/>
    <cellStyle name="taParaContent 2 3 2 3 2" xfId="1023"/>
    <cellStyle name="taParaContent 2 3 2 3 2 2" xfId="1290"/>
    <cellStyle name="taParaContent 2 3 2 3 2 2 2" xfId="1751"/>
    <cellStyle name="taParaContent 2 3 2 3 2 3" xfId="1537"/>
    <cellStyle name="taParaContent 2 3 2 3 3" xfId="1113"/>
    <cellStyle name="taParaContent 2 3 2 3 3 2" xfId="1608"/>
    <cellStyle name="taParaContent 2 3 2 3 4" xfId="1411"/>
    <cellStyle name="taParaContent 2 3 2 4" xfId="756"/>
    <cellStyle name="taParaContent 2 3 2 4 2" xfId="943"/>
    <cellStyle name="taParaContent 2 3 2 4 2 2" xfId="1210"/>
    <cellStyle name="taParaContent 2 3 2 4 2 2 2" xfId="1687"/>
    <cellStyle name="taParaContent 2 3 2 4 2 3" xfId="1473"/>
    <cellStyle name="taParaContent 2 3 2 4 3" xfId="1347"/>
    <cellStyle name="taParaContent 2 3 2 5" xfId="906"/>
    <cellStyle name="taParaContent 2 3 2 5 2" xfId="1173"/>
    <cellStyle name="taParaContent 2 3 2 5 2 2" xfId="1657"/>
    <cellStyle name="taParaContent 2 3 2 6" xfId="1789"/>
    <cellStyle name="taParaContent 2 3 3" xfId="621"/>
    <cellStyle name="taParaContent 2 3 3 2" xfId="807"/>
    <cellStyle name="taParaContent 2 3 3 2 2" xfId="993"/>
    <cellStyle name="taParaContent 2 3 3 2 2 2" xfId="1260"/>
    <cellStyle name="taParaContent 2 3 3 2 2 2 2" xfId="1728"/>
    <cellStyle name="taParaContent 2 3 3 2 2 3" xfId="1514"/>
    <cellStyle name="taParaContent 2 3 3 2 3" xfId="1089"/>
    <cellStyle name="taParaContent 2 3 3 2 3 2" xfId="1589"/>
    <cellStyle name="taParaContent 2 3 3 2 4" xfId="1388"/>
    <cellStyle name="taParaContent 2 3 3 3" xfId="849"/>
    <cellStyle name="taParaContent 2 3 3 3 2" xfId="1035"/>
    <cellStyle name="taParaContent 2 3 3 3 2 2" xfId="1302"/>
    <cellStyle name="taParaContent 2 3 3 3 2 2 2" xfId="1761"/>
    <cellStyle name="taParaContent 2 3 3 3 2 3" xfId="1547"/>
    <cellStyle name="taParaContent 2 3 3 3 3" xfId="1125"/>
    <cellStyle name="taParaContent 2 3 3 3 3 2" xfId="1618"/>
    <cellStyle name="taParaContent 2 3 3 3 4" xfId="1421"/>
    <cellStyle name="taParaContent 2 3 3 4" xfId="749"/>
    <cellStyle name="taParaContent 2 3 3 4 2" xfId="938"/>
    <cellStyle name="taParaContent 2 3 3 4 2 2" xfId="1205"/>
    <cellStyle name="taParaContent 2 3 3 4 2 2 2" xfId="1682"/>
    <cellStyle name="taParaContent 2 3 3 4 2 3" xfId="1468"/>
    <cellStyle name="taParaContent 2 3 3 4 3" xfId="1342"/>
    <cellStyle name="taParaContent 2 3 3 5" xfId="918"/>
    <cellStyle name="taParaContent 2 3 3 5 2" xfId="1185"/>
    <cellStyle name="taParaContent 2 3 3 5 2 2" xfId="1667"/>
    <cellStyle name="taParaContent 2 3 3 6" xfId="1790"/>
    <cellStyle name="taParaContent 2 3 4" xfId="774"/>
    <cellStyle name="taParaContent 2 3 4 2" xfId="960"/>
    <cellStyle name="taParaContent 2 3 4 2 2" xfId="1227"/>
    <cellStyle name="taParaContent 2 3 4 2 2 2" xfId="1702"/>
    <cellStyle name="taParaContent 2 3 4 2 3" xfId="1488"/>
    <cellStyle name="taParaContent 2 3 4 3" xfId="1056"/>
    <cellStyle name="taParaContent 2 3 4 3 2" xfId="1563"/>
    <cellStyle name="taParaContent 2 3 4 4" xfId="1362"/>
    <cellStyle name="taParaContent 2 3 5" xfId="885"/>
    <cellStyle name="taParaContent 2 3 5 2" xfId="1152"/>
    <cellStyle name="taParaContent 2 3 5 2 2" xfId="1641"/>
    <cellStyle name="taParaContent 2 3 5 3" xfId="1441"/>
    <cellStyle name="taParaContent 2 4" xfId="594"/>
    <cellStyle name="taParaContent 2 4 2" xfId="780"/>
    <cellStyle name="taParaContent 2 4 2 2" xfId="966"/>
    <cellStyle name="taParaContent 2 4 2 2 2" xfId="1233"/>
    <cellStyle name="taParaContent 2 4 2 2 2 2" xfId="1706"/>
    <cellStyle name="taParaContent 2 4 2 2 3" xfId="1492"/>
    <cellStyle name="taParaContent 2 4 2 3" xfId="1062"/>
    <cellStyle name="taParaContent 2 4 2 3 2" xfId="1567"/>
    <cellStyle name="taParaContent 2 4 2 4" xfId="1366"/>
    <cellStyle name="taParaContent 2 4 3" xfId="822"/>
    <cellStyle name="taParaContent 2 4 3 2" xfId="1008"/>
    <cellStyle name="taParaContent 2 4 3 2 2" xfId="1275"/>
    <cellStyle name="taParaContent 2 4 3 2 2 2" xfId="1739"/>
    <cellStyle name="taParaContent 2 4 3 2 3" xfId="1525"/>
    <cellStyle name="taParaContent 2 4 3 3" xfId="1098"/>
    <cellStyle name="taParaContent 2 4 3 3 2" xfId="1596"/>
    <cellStyle name="taParaContent 2 4 3 4" xfId="1399"/>
    <cellStyle name="taParaContent 2 4 4" xfId="724"/>
    <cellStyle name="taParaContent 2 4 4 2" xfId="923"/>
    <cellStyle name="taParaContent 2 4 4 2 2" xfId="1190"/>
    <cellStyle name="taParaContent 2 4 4 2 2 2" xfId="1671"/>
    <cellStyle name="taParaContent 2 4 4 2 3" xfId="1457"/>
    <cellStyle name="taParaContent 2 4 4 3" xfId="1331"/>
    <cellStyle name="taParaContent 2 4 5" xfId="891"/>
    <cellStyle name="taParaContent 2 4 5 2" xfId="1158"/>
    <cellStyle name="taParaContent 2 4 5 2 2" xfId="1645"/>
    <cellStyle name="taParaContent 2 4 6" xfId="1813"/>
    <cellStyle name="taParaContent 2 5" xfId="596"/>
    <cellStyle name="taParaContent 2 5 2" xfId="782"/>
    <cellStyle name="taParaContent 2 5 2 2" xfId="968"/>
    <cellStyle name="taParaContent 2 5 2 2 2" xfId="1235"/>
    <cellStyle name="taParaContent 2 5 2 2 2 2" xfId="1707"/>
    <cellStyle name="taParaContent 2 5 2 2 3" xfId="1493"/>
    <cellStyle name="taParaContent 2 5 2 3" xfId="1064"/>
    <cellStyle name="taParaContent 2 5 2 3 2" xfId="1568"/>
    <cellStyle name="taParaContent 2 5 2 4" xfId="1367"/>
    <cellStyle name="taParaContent 2 5 3" xfId="824"/>
    <cellStyle name="taParaContent 2 5 3 2" xfId="1010"/>
    <cellStyle name="taParaContent 2 5 3 2 2" xfId="1277"/>
    <cellStyle name="taParaContent 2 5 3 2 2 2" xfId="1740"/>
    <cellStyle name="taParaContent 2 5 3 2 3" xfId="1526"/>
    <cellStyle name="taParaContent 2 5 3 3" xfId="1100"/>
    <cellStyle name="taParaContent 2 5 3 3 2" xfId="1597"/>
    <cellStyle name="taParaContent 2 5 3 4" xfId="1400"/>
    <cellStyle name="taParaContent 2 5 4" xfId="736"/>
    <cellStyle name="taParaContent 2 5 4 2" xfId="925"/>
    <cellStyle name="taParaContent 2 5 4 2 2" xfId="1192"/>
    <cellStyle name="taParaContent 2 5 4 2 2 2" xfId="1673"/>
    <cellStyle name="taParaContent 2 5 4 2 3" xfId="1459"/>
    <cellStyle name="taParaContent 2 5 4 3" xfId="1333"/>
    <cellStyle name="taParaContent 2 5 5" xfId="893"/>
    <cellStyle name="taParaContent 2 5 5 2" xfId="1160"/>
    <cellStyle name="taParaContent 2 5 5 2 2" xfId="1646"/>
    <cellStyle name="taParaContent 2 5 6" xfId="1800"/>
    <cellStyle name="taParaContent 2 6" xfId="597"/>
    <cellStyle name="taParaContent 2 6 2" xfId="783"/>
    <cellStyle name="taParaContent 2 6 2 2" xfId="969"/>
    <cellStyle name="taParaContent 2 6 2 2 2" xfId="1236"/>
    <cellStyle name="taParaContent 2 6 2 2 2 2" xfId="1708"/>
    <cellStyle name="taParaContent 2 6 2 2 3" xfId="1494"/>
    <cellStyle name="taParaContent 2 6 2 3" xfId="1065"/>
    <cellStyle name="taParaContent 2 6 2 3 2" xfId="1569"/>
    <cellStyle name="taParaContent 2 6 2 4" xfId="1368"/>
    <cellStyle name="taParaContent 2 6 3" xfId="825"/>
    <cellStyle name="taParaContent 2 6 3 2" xfId="1011"/>
    <cellStyle name="taParaContent 2 6 3 2 2" xfId="1278"/>
    <cellStyle name="taParaContent 2 6 3 2 2 2" xfId="1741"/>
    <cellStyle name="taParaContent 2 6 3 2 3" xfId="1527"/>
    <cellStyle name="taParaContent 2 6 3 3" xfId="1101"/>
    <cellStyle name="taParaContent 2 6 3 3 2" xfId="1598"/>
    <cellStyle name="taParaContent 2 6 3 4" xfId="1401"/>
    <cellStyle name="taParaContent 2 6 4" xfId="748"/>
    <cellStyle name="taParaContent 2 6 4 2" xfId="937"/>
    <cellStyle name="taParaContent 2 6 4 2 2" xfId="1204"/>
    <cellStyle name="taParaContent 2 6 4 2 2 2" xfId="1681"/>
    <cellStyle name="taParaContent 2 6 4 2 3" xfId="1467"/>
    <cellStyle name="taParaContent 2 6 4 3" xfId="1341"/>
    <cellStyle name="taParaContent 2 6 5" xfId="894"/>
    <cellStyle name="taParaContent 2 6 5 2" xfId="1161"/>
    <cellStyle name="taParaContent 2 6 5 2 2" xfId="1647"/>
    <cellStyle name="taParaContent 2 6 6" xfId="1788"/>
    <cellStyle name="taParaContent 2 7" xfId="866"/>
    <cellStyle name="taParaContent 2 7 2" xfId="1133"/>
    <cellStyle name="taParaContent 2 7 2 2" xfId="1625"/>
    <cellStyle name="taParaContent 2 7 3" xfId="1426"/>
    <cellStyle name="taParaContent 2 8" xfId="873"/>
    <cellStyle name="taParaContent 2 8 2" xfId="1140"/>
    <cellStyle name="taParaContent 2 8 2 2" xfId="1631"/>
    <cellStyle name="taParaContent 2 8 3" xfId="1431"/>
    <cellStyle name="taParaContent 3" xfId="583"/>
    <cellStyle name="taParaContent 3 2" xfId="604"/>
    <cellStyle name="taParaContent 3 2 2" xfId="790"/>
    <cellStyle name="taParaContent 3 2 2 2" xfId="976"/>
    <cellStyle name="taParaContent 3 2 2 2 2" xfId="1243"/>
    <cellStyle name="taParaContent 3 2 2 2 2 2" xfId="1714"/>
    <cellStyle name="taParaContent 3 2 2 2 3" xfId="1500"/>
    <cellStyle name="taParaContent 3 2 2 3" xfId="1072"/>
    <cellStyle name="taParaContent 3 2 2 3 2" xfId="1575"/>
    <cellStyle name="taParaContent 3 2 2 4" xfId="1374"/>
    <cellStyle name="taParaContent 3 2 3" xfId="832"/>
    <cellStyle name="taParaContent 3 2 3 2" xfId="1018"/>
    <cellStyle name="taParaContent 3 2 3 2 2" xfId="1285"/>
    <cellStyle name="taParaContent 3 2 3 2 2 2" xfId="1747"/>
    <cellStyle name="taParaContent 3 2 3 2 3" xfId="1533"/>
    <cellStyle name="taParaContent 3 2 3 3" xfId="1108"/>
    <cellStyle name="taParaContent 3 2 3 3 2" xfId="1604"/>
    <cellStyle name="taParaContent 3 2 3 4" xfId="1407"/>
    <cellStyle name="taParaContent 3 2 4" xfId="812"/>
    <cellStyle name="taParaContent 3 2 4 2" xfId="998"/>
    <cellStyle name="taParaContent 3 2 4 2 2" xfId="1265"/>
    <cellStyle name="taParaContent 3 2 4 2 2 2" xfId="1732"/>
    <cellStyle name="taParaContent 3 2 4 2 3" xfId="1518"/>
    <cellStyle name="taParaContent 3 2 4 3" xfId="1392"/>
    <cellStyle name="taParaContent 3 2 5" xfId="901"/>
    <cellStyle name="taParaContent 3 2 5 2" xfId="1168"/>
    <cellStyle name="taParaContent 3 2 5 2 2" xfId="1653"/>
    <cellStyle name="taParaContent 3 2 6" xfId="1803"/>
    <cellStyle name="taParaContent 3 3" xfId="616"/>
    <cellStyle name="taParaContent 3 3 2" xfId="802"/>
    <cellStyle name="taParaContent 3 3 2 2" xfId="988"/>
    <cellStyle name="taParaContent 3 3 2 2 2" xfId="1255"/>
    <cellStyle name="taParaContent 3 3 2 2 2 2" xfId="1724"/>
    <cellStyle name="taParaContent 3 3 2 2 3" xfId="1510"/>
    <cellStyle name="taParaContent 3 3 2 3" xfId="1084"/>
    <cellStyle name="taParaContent 3 3 2 3 2" xfId="1585"/>
    <cellStyle name="taParaContent 3 3 2 4" xfId="1384"/>
    <cellStyle name="taParaContent 3 3 3" xfId="844"/>
    <cellStyle name="taParaContent 3 3 3 2" xfId="1030"/>
    <cellStyle name="taParaContent 3 3 3 2 2" xfId="1297"/>
    <cellStyle name="taParaContent 3 3 3 2 2 2" xfId="1757"/>
    <cellStyle name="taParaContent 3 3 3 2 3" xfId="1543"/>
    <cellStyle name="taParaContent 3 3 3 3" xfId="1120"/>
    <cellStyle name="taParaContent 3 3 3 3 2" xfId="1614"/>
    <cellStyle name="taParaContent 3 3 3 4" xfId="1417"/>
    <cellStyle name="taParaContent 3 3 4" xfId="817"/>
    <cellStyle name="taParaContent 3 3 4 2" xfId="1003"/>
    <cellStyle name="taParaContent 3 3 4 2 2" xfId="1270"/>
    <cellStyle name="taParaContent 3 3 4 2 2 2" xfId="1735"/>
    <cellStyle name="taParaContent 3 3 4 2 3" xfId="1521"/>
    <cellStyle name="taParaContent 3 3 4 3" xfId="1395"/>
    <cellStyle name="taParaContent 3 3 5" xfId="913"/>
    <cellStyle name="taParaContent 3 3 5 2" xfId="1180"/>
    <cellStyle name="taParaContent 3 3 5 2 2" xfId="1663"/>
    <cellStyle name="taParaContent 3 3 6" xfId="1814"/>
    <cellStyle name="taParaContent 3 4" xfId="769"/>
    <cellStyle name="taParaContent 3 4 2" xfId="955"/>
    <cellStyle name="taParaContent 3 4 2 2" xfId="1222"/>
    <cellStyle name="taParaContent 3 4 2 2 2" xfId="1698"/>
    <cellStyle name="taParaContent 3 4 2 3" xfId="1484"/>
    <cellStyle name="taParaContent 3 4 3" xfId="1051"/>
    <cellStyle name="taParaContent 3 4 3 2" xfId="1559"/>
    <cellStyle name="taParaContent 3 4 4" xfId="1358"/>
    <cellStyle name="taParaContent 3 5" xfId="880"/>
    <cellStyle name="taParaContent 3 5 2" xfId="1147"/>
    <cellStyle name="taParaContent 3 5 2 2" xfId="1637"/>
    <cellStyle name="taParaContent 3 5 3" xfId="1437"/>
    <cellStyle name="taParaContent 3 6" xfId="1787"/>
    <cellStyle name="taParaContent 4" xfId="587"/>
    <cellStyle name="taParaContent 4 2" xfId="608"/>
    <cellStyle name="taParaContent 4 2 2" xfId="794"/>
    <cellStyle name="taParaContent 4 2 2 2" xfId="980"/>
    <cellStyle name="taParaContent 4 2 2 2 2" xfId="1247"/>
    <cellStyle name="taParaContent 4 2 2 2 2 2" xfId="1717"/>
    <cellStyle name="taParaContent 4 2 2 2 3" xfId="1503"/>
    <cellStyle name="taParaContent 4 2 2 3" xfId="1076"/>
    <cellStyle name="taParaContent 4 2 2 3 2" xfId="1578"/>
    <cellStyle name="taParaContent 4 2 2 4" xfId="1377"/>
    <cellStyle name="taParaContent 4 2 3" xfId="836"/>
    <cellStyle name="taParaContent 4 2 3 2" xfId="1022"/>
    <cellStyle name="taParaContent 4 2 3 2 2" xfId="1289"/>
    <cellStyle name="taParaContent 4 2 3 2 2 2" xfId="1750"/>
    <cellStyle name="taParaContent 4 2 3 2 3" xfId="1536"/>
    <cellStyle name="taParaContent 4 2 3 3" xfId="1112"/>
    <cellStyle name="taParaContent 4 2 3 3 2" xfId="1607"/>
    <cellStyle name="taParaContent 4 2 3 4" xfId="1410"/>
    <cellStyle name="taParaContent 4 2 4" xfId="739"/>
    <cellStyle name="taParaContent 4 2 4 2" xfId="928"/>
    <cellStyle name="taParaContent 4 2 4 2 2" xfId="1195"/>
    <cellStyle name="taParaContent 4 2 4 2 2 2" xfId="1675"/>
    <cellStyle name="taParaContent 4 2 4 2 3" xfId="1461"/>
    <cellStyle name="taParaContent 4 2 4 3" xfId="1335"/>
    <cellStyle name="taParaContent 4 2 5" xfId="905"/>
    <cellStyle name="taParaContent 4 2 5 2" xfId="1172"/>
    <cellStyle name="taParaContent 4 2 5 2 2" xfId="1656"/>
    <cellStyle name="taParaContent 4 2 6" xfId="1796"/>
    <cellStyle name="taParaContent 4 3" xfId="620"/>
    <cellStyle name="taParaContent 4 3 2" xfId="806"/>
    <cellStyle name="taParaContent 4 3 2 2" xfId="992"/>
    <cellStyle name="taParaContent 4 3 2 2 2" xfId="1259"/>
    <cellStyle name="taParaContent 4 3 2 2 2 2" xfId="1727"/>
    <cellStyle name="taParaContent 4 3 2 2 3" xfId="1513"/>
    <cellStyle name="taParaContent 4 3 2 3" xfId="1088"/>
    <cellStyle name="taParaContent 4 3 2 3 2" xfId="1588"/>
    <cellStyle name="taParaContent 4 3 2 4" xfId="1387"/>
    <cellStyle name="taParaContent 4 3 3" xfId="848"/>
    <cellStyle name="taParaContent 4 3 3 2" xfId="1034"/>
    <cellStyle name="taParaContent 4 3 3 2 2" xfId="1301"/>
    <cellStyle name="taParaContent 4 3 3 2 2 2" xfId="1760"/>
    <cellStyle name="taParaContent 4 3 3 2 3" xfId="1546"/>
    <cellStyle name="taParaContent 4 3 3 3" xfId="1124"/>
    <cellStyle name="taParaContent 4 3 3 3 2" xfId="1617"/>
    <cellStyle name="taParaContent 4 3 3 4" xfId="1420"/>
    <cellStyle name="taParaContent 4 3 4" xfId="816"/>
    <cellStyle name="taParaContent 4 3 4 2" xfId="1002"/>
    <cellStyle name="taParaContent 4 3 4 2 2" xfId="1269"/>
    <cellStyle name="taParaContent 4 3 4 2 2 2" xfId="1734"/>
    <cellStyle name="taParaContent 4 3 4 2 3" xfId="1520"/>
    <cellStyle name="taParaContent 4 3 4 3" xfId="1394"/>
    <cellStyle name="taParaContent 4 3 5" xfId="917"/>
    <cellStyle name="taParaContent 4 3 5 2" xfId="1184"/>
    <cellStyle name="taParaContent 4 3 5 2 2" xfId="1666"/>
    <cellStyle name="taParaContent 4 3 6" xfId="1812"/>
    <cellStyle name="taParaContent 4 4" xfId="773"/>
    <cellStyle name="taParaContent 4 4 2" xfId="959"/>
    <cellStyle name="taParaContent 4 4 2 2" xfId="1226"/>
    <cellStyle name="taParaContent 4 4 2 2 2" xfId="1701"/>
    <cellStyle name="taParaContent 4 4 2 3" xfId="1487"/>
    <cellStyle name="taParaContent 4 4 3" xfId="1055"/>
    <cellStyle name="taParaContent 4 4 3 2" xfId="1562"/>
    <cellStyle name="taParaContent 4 4 4" xfId="1361"/>
    <cellStyle name="taParaContent 4 5" xfId="884"/>
    <cellStyle name="taParaContent 4 5 2" xfId="1151"/>
    <cellStyle name="taParaContent 4 5 2 2" xfId="1640"/>
    <cellStyle name="taParaContent 4 5 3" xfId="1440"/>
    <cellStyle name="taParaContent 5" xfId="593"/>
    <cellStyle name="taParaContent 5 2" xfId="779"/>
    <cellStyle name="taParaContent 5 2 2" xfId="965"/>
    <cellStyle name="taParaContent 5 2 2 2" xfId="1232"/>
    <cellStyle name="taParaContent 5 2 2 2 2" xfId="1705"/>
    <cellStyle name="taParaContent 5 2 2 3" xfId="1491"/>
    <cellStyle name="taParaContent 5 2 3" xfId="1061"/>
    <cellStyle name="taParaContent 5 2 3 2" xfId="1566"/>
    <cellStyle name="taParaContent 5 2 4" xfId="1365"/>
    <cellStyle name="taParaContent 5 3" xfId="821"/>
    <cellStyle name="taParaContent 5 3 2" xfId="1007"/>
    <cellStyle name="taParaContent 5 3 2 2" xfId="1274"/>
    <cellStyle name="taParaContent 5 3 2 2 2" xfId="1738"/>
    <cellStyle name="taParaContent 5 3 2 3" xfId="1524"/>
    <cellStyle name="taParaContent 5 3 3" xfId="1097"/>
    <cellStyle name="taParaContent 5 3 3 2" xfId="1595"/>
    <cellStyle name="taParaContent 5 3 4" xfId="1398"/>
    <cellStyle name="taParaContent 5 4" xfId="744"/>
    <cellStyle name="taParaContent 5 4 2" xfId="933"/>
    <cellStyle name="taParaContent 5 4 2 2" xfId="1200"/>
    <cellStyle name="taParaContent 5 4 2 2 2" xfId="1678"/>
    <cellStyle name="taParaContent 5 4 2 3" xfId="1464"/>
    <cellStyle name="taParaContent 5 4 3" xfId="1338"/>
    <cellStyle name="taParaContent 5 5" xfId="890"/>
    <cellStyle name="taParaContent 5 5 2" xfId="1157"/>
    <cellStyle name="taParaContent 5 5 2 2" xfId="1644"/>
    <cellStyle name="taParaContent 5 6" xfId="1780"/>
    <cellStyle name="taParaContent 6" xfId="591"/>
    <cellStyle name="taParaContent 6 2" xfId="777"/>
    <cellStyle name="taParaContent 6 2 2" xfId="963"/>
    <cellStyle name="taParaContent 6 2 2 2" xfId="1230"/>
    <cellStyle name="taParaContent 6 2 2 2 2" xfId="1703"/>
    <cellStyle name="taParaContent 6 2 2 3" xfId="1489"/>
    <cellStyle name="taParaContent 6 2 3" xfId="1059"/>
    <cellStyle name="taParaContent 6 2 3 2" xfId="1564"/>
    <cellStyle name="taParaContent 6 2 4" xfId="1363"/>
    <cellStyle name="taParaContent 6 3" xfId="819"/>
    <cellStyle name="taParaContent 6 3 2" xfId="1005"/>
    <cellStyle name="taParaContent 6 3 2 2" xfId="1272"/>
    <cellStyle name="taParaContent 6 3 2 2 2" xfId="1736"/>
    <cellStyle name="taParaContent 6 3 2 3" xfId="1522"/>
    <cellStyle name="taParaContent 6 3 3" xfId="1095"/>
    <cellStyle name="taParaContent 6 3 3 2" xfId="1593"/>
    <cellStyle name="taParaContent 6 3 4" xfId="1396"/>
    <cellStyle name="taParaContent 6 4" xfId="763"/>
    <cellStyle name="taParaContent 6 4 2" xfId="949"/>
    <cellStyle name="taParaContent 6 4 2 2" xfId="1216"/>
    <cellStyle name="taParaContent 6 4 2 2 2" xfId="1692"/>
    <cellStyle name="taParaContent 6 4 2 3" xfId="1478"/>
    <cellStyle name="taParaContent 6 4 3" xfId="1352"/>
    <cellStyle name="taParaContent 6 5" xfId="888"/>
    <cellStyle name="taParaContent 6 5 2" xfId="1155"/>
    <cellStyle name="taParaContent 6 5 2 2" xfId="1642"/>
    <cellStyle name="taParaContent 6 6" xfId="1776"/>
    <cellStyle name="taParaContent 7" xfId="592"/>
    <cellStyle name="taParaContent 7 2" xfId="778"/>
    <cellStyle name="taParaContent 7 2 2" xfId="964"/>
    <cellStyle name="taParaContent 7 2 2 2" xfId="1231"/>
    <cellStyle name="taParaContent 7 2 2 2 2" xfId="1704"/>
    <cellStyle name="taParaContent 7 2 2 3" xfId="1490"/>
    <cellStyle name="taParaContent 7 2 3" xfId="1060"/>
    <cellStyle name="taParaContent 7 2 3 2" xfId="1565"/>
    <cellStyle name="taParaContent 7 2 4" xfId="1364"/>
    <cellStyle name="taParaContent 7 3" xfId="820"/>
    <cellStyle name="taParaContent 7 3 2" xfId="1006"/>
    <cellStyle name="taParaContent 7 3 2 2" xfId="1273"/>
    <cellStyle name="taParaContent 7 3 2 2 2" xfId="1737"/>
    <cellStyle name="taParaContent 7 3 2 3" xfId="1523"/>
    <cellStyle name="taParaContent 7 3 3" xfId="1096"/>
    <cellStyle name="taParaContent 7 3 3 2" xfId="1594"/>
    <cellStyle name="taParaContent 7 3 4" xfId="1397"/>
    <cellStyle name="taParaContent 7 4" xfId="750"/>
    <cellStyle name="taParaContent 7 4 2" xfId="939"/>
    <cellStyle name="taParaContent 7 4 2 2" xfId="1206"/>
    <cellStyle name="taParaContent 7 4 2 2 2" xfId="1683"/>
    <cellStyle name="taParaContent 7 4 2 3" xfId="1469"/>
    <cellStyle name="taParaContent 7 4 3" xfId="1343"/>
    <cellStyle name="taParaContent 7 5" xfId="889"/>
    <cellStyle name="taParaContent 7 5 2" xfId="1156"/>
    <cellStyle name="taParaContent 7 5 2 2" xfId="1643"/>
    <cellStyle name="taParaContent 7 6" xfId="1808"/>
    <cellStyle name="taParaContent 8" xfId="863"/>
    <cellStyle name="taParaContent 8 2" xfId="1130"/>
    <cellStyle name="taParaContent 8 2 2" xfId="1622"/>
    <cellStyle name="taParaContent 8 3" xfId="1425"/>
    <cellStyle name="taParaContent 9" xfId="872"/>
    <cellStyle name="taParaContent 9 2" xfId="1139"/>
    <cellStyle name="taParaContent 9 2 2" xfId="1630"/>
    <cellStyle name="taParaContent 9 3" xfId="1430"/>
    <cellStyle name="taSralSubTotalTOP" xfId="520"/>
    <cellStyle name="taSralTotal" xfId="521"/>
    <cellStyle name="taSralTotal 2" xfId="585"/>
    <cellStyle name="taSralTotal 2 2" xfId="606"/>
    <cellStyle name="taSralTotal 2 2 2" xfId="792"/>
    <cellStyle name="taSralTotal 2 2 2 2" xfId="978"/>
    <cellStyle name="taSralTotal 2 2 2 2 2" xfId="1245"/>
    <cellStyle name="taSralTotal 2 2 2 3" xfId="1074"/>
    <cellStyle name="taSralTotal 2 2 3" xfId="834"/>
    <cellStyle name="taSralTotal 2 2 3 2" xfId="1020"/>
    <cellStyle name="taSralTotal 2 2 3 2 2" xfId="1287"/>
    <cellStyle name="taSralTotal 2 2 3 3" xfId="1110"/>
    <cellStyle name="taSralTotal 2 2 4" xfId="815"/>
    <cellStyle name="taSralTotal 2 2 4 2" xfId="1001"/>
    <cellStyle name="taSralTotal 2 2 4 2 2" xfId="1268"/>
    <cellStyle name="taSralTotal 2 2 5" xfId="903"/>
    <cellStyle name="taSralTotal 2 2 5 2" xfId="1170"/>
    <cellStyle name="taSralTotal 2 2 6" xfId="1804"/>
    <cellStyle name="taSralTotal 2 3" xfId="618"/>
    <cellStyle name="taSralTotal 2 3 2" xfId="804"/>
    <cellStyle name="taSralTotal 2 3 2 2" xfId="990"/>
    <cellStyle name="taSralTotal 2 3 2 2 2" xfId="1257"/>
    <cellStyle name="taSralTotal 2 3 2 3" xfId="1086"/>
    <cellStyle name="taSralTotal 2 3 3" xfId="846"/>
    <cellStyle name="taSralTotal 2 3 3 2" xfId="1032"/>
    <cellStyle name="taSralTotal 2 3 3 2 2" xfId="1299"/>
    <cellStyle name="taSralTotal 2 3 3 3" xfId="1122"/>
    <cellStyle name="taSralTotal 2 3 4" xfId="813"/>
    <cellStyle name="taSralTotal 2 3 4 2" xfId="999"/>
    <cellStyle name="taSralTotal 2 3 4 2 2" xfId="1266"/>
    <cellStyle name="taSralTotal 2 3 5" xfId="915"/>
    <cellStyle name="taSralTotal 2 3 5 2" xfId="1182"/>
    <cellStyle name="taSralTotal 2 3 6" xfId="1802"/>
    <cellStyle name="taSralTotal 2 4" xfId="771"/>
    <cellStyle name="taSralTotal 2 4 2" xfId="957"/>
    <cellStyle name="taSralTotal 2 4 2 2" xfId="1224"/>
    <cellStyle name="taSralTotal 2 4 3" xfId="1053"/>
    <cellStyle name="taSralTotal 2 5" xfId="882"/>
    <cellStyle name="taSralTotal 2 5 2" xfId="1149"/>
    <cellStyle name="taSralTotal 2 6" xfId="1791"/>
    <cellStyle name="taSralTotal 3" xfId="589"/>
    <cellStyle name="taSralTotal 3 2" xfId="610"/>
    <cellStyle name="taSralTotal 3 2 2" xfId="796"/>
    <cellStyle name="taSralTotal 3 2 2 2" xfId="982"/>
    <cellStyle name="taSralTotal 3 2 2 2 2" xfId="1249"/>
    <cellStyle name="taSralTotal 3 2 2 3" xfId="1078"/>
    <cellStyle name="taSralTotal 3 2 3" xfId="838"/>
    <cellStyle name="taSralTotal 3 2 3 2" xfId="1024"/>
    <cellStyle name="taSralTotal 3 2 3 2 2" xfId="1291"/>
    <cellStyle name="taSralTotal 3 2 3 3" xfId="1114"/>
    <cellStyle name="taSralTotal 3 2 4" xfId="740"/>
    <cellStyle name="taSralTotal 3 2 4 2" xfId="929"/>
    <cellStyle name="taSralTotal 3 2 4 2 2" xfId="1196"/>
    <cellStyle name="taSralTotal 3 2 5" xfId="907"/>
    <cellStyle name="taSralTotal 3 2 5 2" xfId="1174"/>
    <cellStyle name="taSralTotal 3 2 6" xfId="1797"/>
    <cellStyle name="taSralTotal 3 3" xfId="622"/>
    <cellStyle name="taSralTotal 3 3 2" xfId="808"/>
    <cellStyle name="taSralTotal 3 3 2 2" xfId="994"/>
    <cellStyle name="taSralTotal 3 3 2 2 2" xfId="1261"/>
    <cellStyle name="taSralTotal 3 3 2 3" xfId="1090"/>
    <cellStyle name="taSralTotal 3 3 3" xfId="850"/>
    <cellStyle name="taSralTotal 3 3 3 2" xfId="1036"/>
    <cellStyle name="taSralTotal 3 3 3 2 2" xfId="1303"/>
    <cellStyle name="taSralTotal 3 3 3 3" xfId="1126"/>
    <cellStyle name="taSralTotal 3 3 4" xfId="742"/>
    <cellStyle name="taSralTotal 3 3 4 2" xfId="931"/>
    <cellStyle name="taSralTotal 3 3 4 2 2" xfId="1198"/>
    <cellStyle name="taSralTotal 3 3 5" xfId="919"/>
    <cellStyle name="taSralTotal 3 3 5 2" xfId="1186"/>
    <cellStyle name="taSralTotal 3 3 6" xfId="1817"/>
    <cellStyle name="taSralTotal 3 4" xfId="775"/>
    <cellStyle name="taSralTotal 3 4 2" xfId="961"/>
    <cellStyle name="taSralTotal 3 4 2 2" xfId="1228"/>
    <cellStyle name="taSralTotal 3 4 3" xfId="1057"/>
    <cellStyle name="taSralTotal 3 5" xfId="886"/>
    <cellStyle name="taSralTotal 3 5 2" xfId="1153"/>
    <cellStyle name="taSralTotal 4" xfId="595"/>
    <cellStyle name="taSralTotal 4 2" xfId="781"/>
    <cellStyle name="taSralTotal 4 2 2" xfId="967"/>
    <cellStyle name="taSralTotal 4 2 2 2" xfId="1234"/>
    <cellStyle name="taSralTotal 4 2 3" xfId="1063"/>
    <cellStyle name="taSralTotal 4 3" xfId="823"/>
    <cellStyle name="taSralTotal 4 3 2" xfId="1009"/>
    <cellStyle name="taSralTotal 4 3 2 2" xfId="1276"/>
    <cellStyle name="taSralTotal 4 3 3" xfId="1099"/>
    <cellStyle name="taSralTotal 4 4" xfId="746"/>
    <cellStyle name="taSralTotal 4 4 2" xfId="935"/>
    <cellStyle name="taSralTotal 4 4 2 2" xfId="1202"/>
    <cellStyle name="taSralTotal 4 5" xfId="892"/>
    <cellStyle name="taSralTotal 4 5 2" xfId="1159"/>
    <cellStyle name="taSralTotal 4 6" xfId="1784"/>
    <cellStyle name="taSralTotal 5" xfId="590"/>
    <cellStyle name="taSralTotal 5 2" xfId="776"/>
    <cellStyle name="taSralTotal 5 2 2" xfId="962"/>
    <cellStyle name="taSralTotal 5 2 2 2" xfId="1229"/>
    <cellStyle name="taSralTotal 5 2 3" xfId="1058"/>
    <cellStyle name="taSralTotal 5 3" xfId="818"/>
    <cellStyle name="taSralTotal 5 3 2" xfId="1004"/>
    <cellStyle name="taSralTotal 5 3 2 2" xfId="1271"/>
    <cellStyle name="taSralTotal 5 3 3" xfId="1094"/>
    <cellStyle name="taSralTotal 5 4" xfId="760"/>
    <cellStyle name="taSralTotal 5 4 2" xfId="946"/>
    <cellStyle name="taSralTotal 5 4 2 2" xfId="1213"/>
    <cellStyle name="taSralTotal 5 5" xfId="887"/>
    <cellStyle name="taSralTotal 5 5 2" xfId="1154"/>
    <cellStyle name="taSralTotal 5 6" xfId="1798"/>
    <cellStyle name="taSralTotal 6" xfId="598"/>
    <cellStyle name="taSralTotal 6 2" xfId="784"/>
    <cellStyle name="taSralTotal 6 2 2" xfId="970"/>
    <cellStyle name="taSralTotal 6 2 2 2" xfId="1237"/>
    <cellStyle name="taSralTotal 6 2 3" xfId="1066"/>
    <cellStyle name="taSralTotal 6 3" xfId="826"/>
    <cellStyle name="taSralTotal 6 3 2" xfId="1012"/>
    <cellStyle name="taSralTotal 6 3 2 2" xfId="1279"/>
    <cellStyle name="taSralTotal 6 3 3" xfId="1102"/>
    <cellStyle name="taSralTotal 6 4" xfId="737"/>
    <cellStyle name="taSralTotal 6 4 2" xfId="926"/>
    <cellStyle name="taSralTotal 6 4 2 2" xfId="1193"/>
    <cellStyle name="taSralTotal 6 5" xfId="895"/>
    <cellStyle name="taSralTotal 6 5 2" xfId="1162"/>
    <cellStyle name="taSralTotal 6 6" xfId="1810"/>
    <cellStyle name="taSralTotal 7" xfId="867"/>
    <cellStyle name="taSralTotal 7 2" xfId="1134"/>
    <cellStyle name="taSralTotal 8" xfId="874"/>
    <cellStyle name="taSralTotal 8 2" xfId="1141"/>
    <cellStyle name="Times New Roman" xfId="522"/>
    <cellStyle name="Title" xfId="6" builtinId="15" customBuiltin="1"/>
    <cellStyle name="Total" xfId="545" builtinId="25" customBuiltin="1"/>
    <cellStyle name="Total 2" xfId="525"/>
    <cellStyle name="Total 3" xfId="526"/>
    <cellStyle name="Total 4" xfId="524"/>
    <cellStyle name="Warning Text" xfId="542" builtinId="11" customBuiltin="1"/>
    <cellStyle name="Warning Text 2" xfId="527"/>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externalLink" Target="externalLinks/externalLink13.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orary%20Internet%20Files\Content.IE5\C3EHYB2V\9007J.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ynwood.taylor\OneDrive%20-%20US%20Navy-flankspeed\N6945023R0000%20NSGB%20BOS%20Reprocurement\03%20IGE\NSGB-N6945020R0010IGEamend0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nyx\GacBusMan\Pricing%20-%20Peace%20Shield%20Program\P%20Shield%20-%2031%20Jul%20'02(with%20Fin%20co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DIVERSIFIED%20INDUSTRIES\Pitches\Active%20Pitches\U.S.%20Security%20Associates\Model%20US%20Sec%20$85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mcewan\Desktop\Data%20Files\G4S%20IFS%20Projects\PROJECTS%20Active\Guantanamo%20Bay%20Mod%2015-0119\GTMO_Price%20Template_MOD15-01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AVFAC_JAXS_N69450_16AA\PWBL\PW\PW2-FMFS\ANDERSON\NSGB%20BOS\N6945023R0000%20NSGB%20BOS%20Reprocurement\01%20Conformed\RFP\N6945022R0032_SectionJ_Technical_Attachment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ntel.com\HQ\Cost%20Proposals\FY2013\2013-006%20Ft.%20Benning%20(Young,%20Q)\Pricing\EAGLE-Ft%20Benning%20Cost%20Plus%20-%20FP%20Pricing-R24.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ites\Growth\Proposals\FLS\NSGB%20BOSS\Engine%20Room\ODC\ODCs%20-%20NSBG%20%20(Submitted%20July%202020)%20EN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ohn.r.anderson9\Desktop\ECM%2005_FFC_LightFixtureTable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Z:\Users\1096127\AppData\Local\Temp\notes6EDF7A\+%20Copy%20of%20Raytheon%20SubK%20Re-Price%20Cost%20Propos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ocuments%20and%20Settings\EMaevsky\Local%20Settings\Temporary%20Internet%20Files\OLK144\PPV%20April%202002%20JV%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vectrus.sharepoint.com/sites/Growth/Proposals/FLS/NSGB%20BOSS/Post%20Submission/FPR/FPR%20Submittal%20-%2030Aug21/Pricing/1_NSGB%20BOS%20Pricing%20Model_Post%20MS4a.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aeajaxsfs101v.nadsusea.nads.navy.mil\NAVFAC_01$\Users\JLL-Admin\AppData\Roaming\Microsoft\Excel\JLL_MST%20Internal%20Price%20Proposal_ACQR5630423_r0%20(002)%20(version%201).xlsb"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Users\karen.trzcienski.SALIENTFED\AppData\Local\Microsoft\Windows\Temporary%20Internet%20Files\Content.Outlook\5XZ0HNLH\SGIS%20SubK%20Cost%20Proposal%20Template%20OY4-OY9%20Davi%20Richardso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ersonal\john_r_anderson3_civ_us_navy_mil\Documents\ANDERSON\N6945025R000X%20Mayport%20BOS\01%20Conformed\Pre-Final\Section%20J\J-1502000-19%20WHE.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lncre01\group%20controlling\Planungsrunden\PR50\Budget%202002\Ausladungen%20Berichte%20Budget%202002\Wesentliche%20Zahlen%20EM\u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rphq.net\Vectrus\Dokumente%20und%20Einstellungen\MKLing\Desktop\Gedas\Planung\Documentation%20-%20Extract\10.Draft_30-08-2005\EUR%20Ess.%20Figures%2030-08-20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pmev2.bah.com@SSL\DavWWWRoot\550968\Local%20Settings\Temp\wz17bd\0973-0010-00%20Profit%20Analysis_v9.xlsb"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Documents%20and%20Settings\537591\Local%20Settings\Temporary%20Internet%20Files\Content.Outlook\YFSUDHUF\Chinn%20Ridge%20Info%20to%20USG%202011-08-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O:\data\CLOSING%20WORKBOOKS\JV%20GRE%20CLOSE\2008\GRE%20JV'S%202008-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Schedule,4th Opt"/>
      <sheetName val="J-SEC"/>
      <sheetName val="A (2)"/>
      <sheetName val="J-Schedule,4th_Opt"/>
      <sheetName val="A_(2)"/>
      <sheetName val="Rate_Sheet_"/>
      <sheetName val="HIDE_if_not_used~H&amp;L_Plan_A_B_C"/>
      <sheetName val="H&amp;LExempt"/>
      <sheetName val="H&amp;L_Plan_1"/>
      <sheetName val="Rate_Sheet"/>
      <sheetName val="Labor_Related_Cost_Detail"/>
      <sheetName val="VARIABLES"/>
      <sheetName val="Total_Staff"/>
      <sheetName val="Pull_down"/>
      <sheetName val="Labor Reference"/>
      <sheetName val="Lookup Table"/>
      <sheetName val="Positions"/>
      <sheetName val="ELINs"/>
      <sheetName val="BOE_INPUT"/>
      <sheetName val="Salary Ranges"/>
      <sheetName val="CITI Timesheets Base"/>
      <sheetName val="Indirect Rates"/>
      <sheetName val="Z1034"/>
      <sheetName val="CLIN Structure"/>
      <sheetName val="Labor Lookup"/>
      <sheetName val="J-Schedule,4th_Opt1"/>
      <sheetName val="A_(2)1"/>
      <sheetName val="Labor_Reference"/>
      <sheetName val="Lookup_Table"/>
      <sheetName val="Labor_Lookup"/>
      <sheetName val="Salary_Ranges"/>
      <sheetName val="Summary"/>
      <sheetName val="Labor Related Cost Detail"/>
      <sheetName val="Drop Downs"/>
      <sheetName val="Standard Labor Categories"/>
      <sheetName val="CLIN_Structure"/>
      <sheetName val="W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E"/>
      <sheetName val="SUMMARY"/>
      <sheetName val="JB-1 FTE"/>
      <sheetName val="Customer Breakdown Recurring"/>
      <sheetName val="CLIN 0001 - Base Period"/>
      <sheetName val="CLIN 0002 - Base Period"/>
      <sheetName val="CLIN 0003 - 1st Option Period"/>
      <sheetName val="CLIN 0004 - 1st Option Period"/>
      <sheetName val="CLIN 0005 - 2nd Option Period"/>
      <sheetName val="CLIN 0006 - 2nd Option Period"/>
      <sheetName val="CLIN 0007 - 3rd Option Period"/>
      <sheetName val="CLIN 0008 - 3rd Option Period"/>
      <sheetName val="CLIN 0009 - 4th Option Period"/>
      <sheetName val="CLIN 0010 - 4th Option Period"/>
      <sheetName val="CLIN 0011 - 52.217-8 Option"/>
      <sheetName val="CLIN 0012 - 52.217-8 Option"/>
      <sheetName val="CLIN 0013 - Base Period OPTION"/>
      <sheetName val="0200000 M&amp;A"/>
      <sheetName val="1401000 FH"/>
      <sheetName val="1501000 FM"/>
      <sheetName val="1502000 FX"/>
      <sheetName val="J-1502000-08 HVAC"/>
      <sheetName val="1502000 FX (DHA)"/>
      <sheetName val="1502000 FX (JTF)"/>
      <sheetName val="1503010 Custodial"/>
      <sheetName val="1503020 PC"/>
      <sheetName val="1503030 ISWM"/>
      <sheetName val="1503040 Other"/>
      <sheetName val="1503050 Grounds"/>
      <sheetName val="1601000 UM"/>
      <sheetName val="1602000 ELEC"/>
      <sheetName val="1604000 WW"/>
      <sheetName val="1606000 Water"/>
      <sheetName val="1700000 BS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sheetName val="PREMISES"/>
      <sheetName val="SSA GOSI"/>
      <sheetName val="SALARIES SN"/>
      <sheetName val="SAL US TCN"/>
      <sheetName val="SUMMARY"/>
      <sheetName val="SIGN_OFF"/>
      <sheetName val="BDATA_SALS_MED"/>
      <sheetName val="OT_TDY"/>
      <sheetName val="REC_MOB_DEMOB"/>
      <sheetName val="VACATION"/>
      <sheetName val="EDUCATION"/>
      <sheetName val="HOUSING"/>
      <sheetName val="INDIRECTS"/>
      <sheetName val="OPEX_MISC"/>
      <sheetName val="Sheet1"/>
      <sheetName val="SITES"/>
      <sheetName val="GEN ADMIN"/>
      <sheetName val="VEHICLES"/>
      <sheetName val="TPORT"/>
      <sheetName val="TPORT (2)"/>
      <sheetName val="CASHFLOW"/>
      <sheetName val="200paa"/>
      <sheetName val="Labor"/>
      <sheetName val="PMO2"/>
      <sheetName val="SSA_GOSI"/>
      <sheetName val="SALARIES_SN"/>
      <sheetName val="SAL_US_TCN"/>
      <sheetName val="GEN_ADMIN"/>
      <sheetName val="TPORT_(2)"/>
      <sheetName val="VALIDATION LISTS"/>
      <sheetName val="Staffing Profile "/>
      <sheetName val="Sheet2"/>
      <sheetName val="Drop Down List"/>
      <sheetName val="Values"/>
      <sheetName val="CoverSheet "/>
      <sheetName val="PAC12"/>
      <sheetName val="Lookups"/>
      <sheetName val="Sheet1 (2)"/>
      <sheetName val="List Info"/>
      <sheetName val="Data"/>
      <sheetName val="CP Rates"/>
      <sheetName val="GSA IT70 LCATS (2)"/>
      <sheetName val="LABOR SOURCE (B)"/>
      <sheetName val="Midpoints"/>
      <sheetName val="Avenger"/>
      <sheetName val="List-Maps"/>
      <sheetName val="EAC Start-End Current Opt"/>
      <sheetName val="dropdowns"/>
      <sheetName val="Drop-down Menus"/>
      <sheetName val="Reference"/>
      <sheetName val="SV - Prior OL"/>
      <sheetName val="drop downs"/>
      <sheetName val="Lists"/>
      <sheetName val="Wages"/>
      <sheetName val="SSA_GOSI1"/>
      <sheetName val="SALARIES_SN1"/>
      <sheetName val="SAL_US_TCN1"/>
      <sheetName val="GEN_ADMIN1"/>
      <sheetName val="TPORT_(2)1"/>
      <sheetName val="VALIDATION_LISTS"/>
      <sheetName val="Drop_Down_List"/>
      <sheetName val="Staffing_Profile_"/>
      <sheetName val="EAC_Start-End_Current_Opt"/>
      <sheetName val="Sheet1_(2)"/>
      <sheetName val="Drop-down_Menus"/>
      <sheetName val="List_Info"/>
      <sheetName val="SV_-_Prior_OL"/>
      <sheetName val="drop_downs"/>
      <sheetName val="1.  A140438 - Indo"/>
      <sheetName val="1a - Reserve Supporting Docs"/>
      <sheetName val="3.  A108110 - UAE AMMROC"/>
      <sheetName val="3d. Net Contract Position Calc"/>
      <sheetName val="2.  A145316 &amp; A140524-Singapore"/>
      <sheetName val="3a. Excluded Billings in CY"/>
      <sheetName val="3b.  2019 Billing Selections"/>
      <sheetName val="3c. Questionnaire - CRW"/>
      <sheetName val="4.  A1B0590 - France"/>
      <sheetName val="lookup"/>
      <sheetName val="ValueList_Helper"/>
      <sheetName val="P&amp;L Summary Page"/>
      <sheetName val="Input"/>
      <sheetName val="SPICPI"/>
      <sheetName val="Current Revision Changes"/>
      <sheetName val="General Instructions"/>
      <sheetName val="Fomulas"/>
      <sheetName val="EOC-PL2 (data tab)"/>
      <sheetName val="NOCS"/>
      <sheetName val="Copy Paste Macro"/>
      <sheetName val="PF Inputs - Current Qtr"/>
      <sheetName val="Actuals Recon"/>
      <sheetName val="Combined MAO"/>
      <sheetName val="EAC History"/>
      <sheetName val="PF Inputs - Prior Qtr"/>
      <sheetName val="Fin Recon"/>
      <sheetName val="P&amp;L EAC Chklst - PFA"/>
      <sheetName val="P&amp;L EAC Chklst - PFM"/>
      <sheetName val="MAO"/>
      <sheetName val="CSR Rate Impact"/>
      <sheetName val="Contract PO Summary"/>
      <sheetName val="Example Audit Checklist"/>
      <sheetName val="Parameters"/>
      <sheetName val="PEnAM E&amp;T Consolid"/>
      <sheetName val="C6ISRnTLS"/>
      <sheetName val="Akron"/>
      <sheetName val="Manassas"/>
      <sheetName val="Marion"/>
      <sheetName val=" Train Ft Worth"/>
      <sheetName val="Train Orlando"/>
      <sheetName val="PEnAM E&amp;T Manuf"/>
      <sheetName val="Pool A Overtime"/>
      <sheetName val="Cost Centers"/>
      <sheetName val="Settings"/>
      <sheetName val="RMS Total Tech Ops"/>
      <sheetName val="Discipline"/>
      <sheetName val="Monthly Trend"/>
      <sheetName val="DCI Summary"/>
      <sheetName val="DCI Draw"/>
      <sheetName val="Account Detail"/>
      <sheetName val="Misc Detail"/>
      <sheetName val="Headcount"/>
      <sheetName val="Travel"/>
      <sheetName val="Hi-Lo Travelers"/>
      <sheetName val="ECT Summary"/>
      <sheetName val="Device Cost"/>
      <sheetName val="ECT Hi-LO Users"/>
      <sheetName val="Misc Detail Tech Ops"/>
      <sheetName val="Accounts"/>
      <sheetName val="Monthly FPR (Plan)"/>
      <sheetName val="HC by Cost Ctr"/>
      <sheetName val="EnT Headcount"/>
      <sheetName val="July Freight"/>
      <sheetName val="Fin Recon - Curr Qtr"/>
      <sheetName val="MAO - Curr Qtr"/>
      <sheetName val="PF Inputs - Prior Qtr - Locked"/>
      <sheetName val="Fin Recon - Prior Qtr - Locked"/>
      <sheetName val="MAO - Prior Qtr - Locked"/>
      <sheetName val="CSR Rate Reserve"/>
      <sheetName val="Margin Step-up Plan"/>
      <sheetName val="KKA2 Screenshot"/>
      <sheetName val="EVM Report"/>
      <sheetName val="ECE Screenshot"/>
      <sheetName val="ACWP to SAP Recon"/>
      <sheetName val="Risk Report"/>
      <sheetName val="Cobra Screenshots"/>
      <sheetName val="Risk Chklst"/>
      <sheetName val="Formulas"/>
      <sheetName val="Prog Pay (If Applicable)"/>
      <sheetName val="PM Approval"/>
      <sheetName val="SSA_GOSI2"/>
      <sheetName val="SALARIES_SN2"/>
      <sheetName val="SAL_US_TCN2"/>
      <sheetName val="GEN_ADMIN2"/>
      <sheetName val="TPORT_(2)2"/>
      <sheetName val="VALIDATION_LISTS1"/>
      <sheetName val="Drop_Down_List1"/>
      <sheetName val="Staffing_Profile_1"/>
      <sheetName val="EAC_Start-End_Current_Opt1"/>
      <sheetName val="Sheet1_(2)1"/>
      <sheetName val="Drop-down_Menus1"/>
      <sheetName val="List_Info1"/>
      <sheetName val="SV_-_Prior_OL1"/>
      <sheetName val="drop_downs1"/>
      <sheetName val="CP_Rates"/>
      <sheetName val="GSA_IT70_LCATS_(2)"/>
      <sheetName val="LABOR_SOURCE_(B)"/>
      <sheetName val="1___A140438_-_Indo"/>
      <sheetName val="1a_-_Reserve_Supporting_Docs"/>
      <sheetName val="3___A108110_-_UAE_AMMROC"/>
      <sheetName val="3d__Net_Contract_Position_Calc"/>
      <sheetName val="2___A145316_&amp;_A140524-Singapore"/>
      <sheetName val="3a__Excluded_Billings_in_CY"/>
      <sheetName val="3b___2019_Billing_Selections"/>
      <sheetName val="3c__Questionnaire_-_CRW"/>
      <sheetName val="4___A1B0590_-_France"/>
      <sheetName val="CoverSheet_"/>
      <sheetName val="Quick Reference"/>
      <sheetName val="SSA_GOSI3"/>
      <sheetName val="SALARIES_SN3"/>
      <sheetName val="SAL_US_TCN3"/>
      <sheetName val="GEN_ADMIN3"/>
      <sheetName val="TPORT_(2)3"/>
      <sheetName val="VALIDATION_LISTS2"/>
      <sheetName val="Drop_Down_List2"/>
      <sheetName val="Staffing_Profile_2"/>
      <sheetName val="EAC_Start-End_Current_Opt2"/>
      <sheetName val="Sheet1_(2)2"/>
      <sheetName val="Drop-down_Menus2"/>
      <sheetName val="List_Info2"/>
      <sheetName val="SV_-_Prior_OL2"/>
      <sheetName val="drop_downs2"/>
      <sheetName val="CP_Rates1"/>
      <sheetName val="GSA_IT70_LCATS_(2)1"/>
      <sheetName val="LABOR_SOURCE_(B)1"/>
      <sheetName val="1___A140438_-_Indo1"/>
      <sheetName val="1a_-_Reserve_Supporting_Docs1"/>
      <sheetName val="3___A108110_-_UAE_AMMROC1"/>
      <sheetName val="3d__Net_Contract_Position_Calc1"/>
      <sheetName val="2___A145316_&amp;_A140524-Singapor1"/>
      <sheetName val="3a__Excluded_Billings_in_CY1"/>
      <sheetName val="3b___2019_Billing_Selections1"/>
      <sheetName val="3c__Questionnaire_-_CRW1"/>
      <sheetName val="4___A1B0590_-_France1"/>
      <sheetName val="CoverSheet_1"/>
      <sheetName val="Quick_Reference"/>
    </sheetNames>
    <sheetDataSet>
      <sheetData sheetId="0" refreshError="1"/>
      <sheetData sheetId="1" refreshError="1"/>
      <sheetData sheetId="2"/>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Menu"/>
      <sheetName val="Historical"/>
      <sheetName val="Overview"/>
      <sheetName val="Summary"/>
      <sheetName val="Valuation "/>
      <sheetName val="Model"/>
      <sheetName val="Assumptions"/>
      <sheetName val="Sources and Uses"/>
      <sheetName val="Valuation_Old"/>
      <sheetName val="3 Yr. % Return"/>
      <sheetName val="5 Yr. % Return"/>
      <sheetName val="Information"/>
      <sheetName val="LTM 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INDEX"/>
      <sheetName val="MODIFICATION 15-0119"/>
      <sheetName val="PRICE NARRATIVE"/>
      <sheetName val="SECTION B"/>
      <sheetName val="STAFFING PLAN"/>
      <sheetName val="PRICE SUMMARY"/>
      <sheetName val="SECTION B PRICING TABLE"/>
      <sheetName val="CONSOLIDATED FFP ELIN PRICING"/>
      <sheetName val="LABOR ST BASE YR"/>
      <sheetName val="LABOR ST OPT YR 1"/>
      <sheetName val="LABOR ST OPT YR 2"/>
      <sheetName val="LABOR ST OPT YR 3"/>
      <sheetName val="LABOR ST OPT YR 4"/>
      <sheetName val="LABOR ST OPT to EXT"/>
      <sheetName val="O&amp;M MATERIALS - BASE"/>
      <sheetName val="O&amp;M MATERIALS - OPT 1"/>
      <sheetName val="O&amp;M MATERIALS - OPT 2"/>
      <sheetName val="O&amp;M MATERIALS - OPT 3"/>
      <sheetName val="O&amp;M MATERIALS - OPT 4"/>
      <sheetName val="O&amp;M MATERIALS - OPT to EXT"/>
      <sheetName val="CUSTODIAL MATERIALS - BASE"/>
      <sheetName val="CUSTODIAL MATERIALS - OPT 1"/>
      <sheetName val="CUSTODIAL MATERIALS - OPT 2"/>
      <sheetName val="CUSTODIAL MATERIALS - OPT 3"/>
      <sheetName val="CUSTODIAL MATERIALS - OPT 4"/>
      <sheetName val="CUSTODIAL MATERIALS - OPTtoEXT"/>
      <sheetName val="OTHER DIRECT COSTS - BASE"/>
      <sheetName val="OTHER DIRECT COSTS - OPT 1"/>
      <sheetName val="OTHER DIRECT COSTS - OPT 2"/>
      <sheetName val="OTHER DIRECT COSTS - OPT 3"/>
      <sheetName val="OTHER DIRECT COSTS - OPT 4"/>
      <sheetName val="OTHER DIRECT COSTS - OPTtoEXT"/>
      <sheetName val="COBF"/>
      <sheetName val="Docking Services"/>
      <sheetName val="General Safety Equipment"/>
      <sheetName val="Housing"/>
      <sheetName val="Information Technology"/>
      <sheetName val="Janitorial Equipment"/>
      <sheetName val="Landscaping Equipment"/>
      <sheetName val="Meals"/>
      <sheetName val="Medevac"/>
      <sheetName val="Partnering"/>
      <sheetName val="POL"/>
      <sheetName val="PPE"/>
      <sheetName val="Schools"/>
      <sheetName val="Self Help Store"/>
      <sheetName val="Shipping"/>
      <sheetName val="Startup"/>
      <sheetName val="Tools &amp; Equipment"/>
      <sheetName val="Training-Licensing"/>
      <sheetName val="Travel &amp; Perdiem"/>
      <sheetName val="Uniforms"/>
      <sheetName val="Utilities"/>
      <sheetName val="Vehicles"/>
      <sheetName val="SUBCONTRACTORS - BASE"/>
      <sheetName val="SUBCONTRACTORS - OPT 1"/>
      <sheetName val="SUBCONTRACTORS - OPT 2"/>
      <sheetName val="SUBCONTRACTORS - OPT 3"/>
      <sheetName val="SUBCONTRACTORS - OPT 4"/>
      <sheetName val="SUBCONTRACTORS - OPTtoEXT"/>
      <sheetName val="BASE WAGES &amp; BENEFITS - ST"/>
      <sheetName val="OPT1 WAGES &amp; BENEFITS - ST"/>
      <sheetName val="OPT2 WAGES &amp; BENEFITS - ST"/>
      <sheetName val="OPT3 WAGES &amp; BENEFITS - ST"/>
      <sheetName val="OPT4 WAGES &amp; BENEFITS - ST"/>
      <sheetName val="RATES &amp; TABLES"/>
      <sheetName val="HISTORICAL COSTS"/>
      <sheetName val="IDIQ RATES"/>
      <sheetName val="IDIQ Worksheet"/>
      <sheetName val="IDIQ SUMMARY - BASE"/>
      <sheetName val="IDIQ SUMMARY - OPT 1"/>
      <sheetName val="IDIQ SUMMARY - OPT 2"/>
      <sheetName val="IDIQ SUMMARY - OPT 3"/>
      <sheetName val="IDIQ SUMMARY - OPT 4"/>
      <sheetName val="IDIQ SUMMARY - OPT to EXT"/>
      <sheetName val="IDIQ SUMMARY - W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1401000-03 Housing Inventory"/>
      <sheetName val="J-1401000-11 HVAC"/>
      <sheetName val="J-1501000-03 Facility Property"/>
      <sheetName val="J-1502000-08 HVAC"/>
      <sheetName val="J-1502000-30-01 ECM 13 Summary"/>
      <sheetName val="J-1502000-30-02 ECM 13 Detail"/>
      <sheetName val="J-1502000-31-01 ECM 5 Summary"/>
      <sheetName val="J-1502000-31-02 ECM 5 Material"/>
      <sheetName val="J-1502000-31-03 ECM 5 by Bldg"/>
      <sheetName val="J-1502000-31-04 ECM 5 by Room"/>
      <sheetName val="1502000 CNRSE UH Inventory"/>
      <sheetName val="J-1502000-04(JTF) HVAC"/>
      <sheetName val="J-1502000-21(JTF) UH Inventory"/>
      <sheetName val="J-1502000-03-01(OMC) Controlled"/>
      <sheetName val="J-1502000-03-02(OMC) Critical"/>
      <sheetName val="J-1502000-03-03(OMC) Sensitive"/>
      <sheetName val="J-1502000-03-04(OMC) UH Invntry"/>
      <sheetName val="J-1502000-04(OMC) HVAC"/>
      <sheetName val="J-1601000-06 Elec Utility"/>
      <sheetName val="J-1601000-07 WasteWater Utility"/>
      <sheetName val="J-1601000-08 Water Utility"/>
      <sheetName val="J-1700000-02 Fleet Inventory"/>
      <sheetName val="J-1700000-03 MHE WHE"/>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BGA FTE TEMPLATE (2)"/>
      <sheetName val="Salary.com Analysis (2)"/>
      <sheetName val="To Do"/>
      <sheetName val="Change log"/>
      <sheetName val="General Inputs"/>
      <sheetName val="Bid Combo"/>
      <sheetName val="Control Panel"/>
      <sheetName val="Subs Scorecard"/>
      <sheetName val="Estimating Worksheet"/>
      <sheetName val="BOE-dBASE"/>
      <sheetName val="SENTEL DL Dev"/>
      <sheetName val="Attach 0005 - Price Matrix"/>
      <sheetName val="FBGA FTE TEMPLATE"/>
      <sheetName val="Top Level Summary"/>
      <sheetName val="RDBMergeSheet"/>
      <sheetName val="CEB-Total"/>
      <sheetName val="CEB-CLIN"/>
      <sheetName val="CEB-All"/>
      <sheetName val="Rollup-PD1"/>
      <sheetName val="Rollup-PD2"/>
      <sheetName val="Rollup-PD3"/>
      <sheetName val="Rollup-PD4"/>
      <sheetName val="Rollup-PD5"/>
      <sheetName val="Rollup-PD6"/>
      <sheetName val="Rollup-PD7"/>
      <sheetName val="Rollup-PD8"/>
      <sheetName val="Subcontract Pricing"/>
      <sheetName val="Subcontract Rates"/>
      <sheetName val="Material"/>
      <sheetName val="Misc ODC"/>
      <sheetName val="Travel"/>
      <sheetName val="Indirect Rate Table"/>
      <sheetName val="chart_smallbus"/>
      <sheetName val="Current Indirects"/>
      <sheetName val="Pivot Table-FTEs"/>
      <sheetName val="Pivot Table-Hours"/>
      <sheetName val="CBA vs WD Rates"/>
      <sheetName val="Internal Summ"/>
      <sheetName val="Prelim pricing"/>
      <sheetName val="PMO Dev+Alloc Rate"/>
      <sheetName val="CV Stuff"/>
      <sheetName val="Fringe Dev"/>
      <sheetName val="Award Fee"/>
      <sheetName val="Log2020"/>
      <sheetName val="Salary.com Analysis"/>
      <sheetName val="Exempts"/>
      <sheetName val="Hist_Fund_Top_Down_Sum By CY"/>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DC Summary"/>
      <sheetName val="Material MS-3"/>
      <sheetName val="Equipment MS-3"/>
      <sheetName val="ODC Pivots"/>
      <sheetName val="Sheet3"/>
      <sheetName val="ODCs - Initial Material"/>
      <sheetName val="ODCs - Initial Equipment"/>
      <sheetName val="ODCs - Annual Material"/>
      <sheetName val="ODCs - Annual Equipment"/>
      <sheetName val="Initial Kits"/>
      <sheetName val="Annual Kits"/>
      <sheetName val="IMP PM Materials (Annual)"/>
      <sheetName val="Initial Vehicle Cost Analysis"/>
      <sheetName val="Initial Vehicle Maint-Fuel Cost"/>
      <sheetName val="Annual Vehicle Cost Analysis"/>
      <sheetName val="Annual Vehicle Maint-Fuel Cost"/>
      <sheetName val="Sheet1"/>
      <sheetName val="Sheet2"/>
      <sheetName val="Combined Price List"/>
      <sheetName val="Pelican-Grainger Price List"/>
      <sheetName val="BO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Lists"/>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PPV APRIL"/>
      <sheetName val="DIS FREIGHT"/>
      <sheetName val="121101"/>
      <sheetName val="PPV_APRIL"/>
      <sheetName val="DIS_FREIGHT"/>
      <sheetName val="Labor Base"/>
      <sheetName val="Labor OP1"/>
      <sheetName val="Labor OP2"/>
      <sheetName val="Labor OP3"/>
      <sheetName val="Labor 6 Mo Ext"/>
      <sheetName val="Labor BOE"/>
      <sheetName val="Fringe - CONUS"/>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or CV"/>
      <sheetName val="Sheet3"/>
      <sheetName val="Ken Analysis Recurr Summary"/>
      <sheetName val="EN Table-Recurring (detail)"/>
      <sheetName val="Ken Analysis (Recurring)"/>
      <sheetName val="Ken Analysis NR"/>
      <sheetName val="Sheet2"/>
      <sheetName val="Ken Analysis (Recurring) (2)"/>
      <sheetName val="Price build for Ken"/>
      <sheetName val="Pivot for EN"/>
      <sheetName val="Overall Change Summary"/>
      <sheetName val="EN Table-Recurring"/>
      <sheetName val="EN Table-Non Recurring"/>
      <sheetName val="Amendment 10 Staffing"/>
      <sheetName val="2. BOE Rec Pivot (2)"/>
      <sheetName val="TOC"/>
      <sheetName val="KEY NOTES AND ASSUMPTIONS"/>
      <sheetName val="1. Bid Summary"/>
      <sheetName val="2. Cost Element Sum-Rec"/>
      <sheetName val="3. Cost Element Sum-NR"/>
      <sheetName val="4. Pivot $ by Annex"/>
      <sheetName val="5. Pivot Staffing by Annex&amp;LC"/>
      <sheetName val="6. Pivot $ by Dept"/>
      <sheetName val="7. Pivot LB"/>
      <sheetName val="8. VC-QC"/>
      <sheetName val="EN Walkdown"/>
      <sheetName val="9. CONTROL PANEL-VALIDATION"/>
      <sheetName val="10. ODC Summary"/>
      <sheetName val="10a.ODC Table (old)"/>
      <sheetName val="1. Data (Recurring Labor)"/>
      <sheetName val="2. Data (Non Recurring)"/>
      <sheetName val="3.PhaseIn(not included in price"/>
      <sheetName val="1. Rec BOE"/>
      <sheetName val="60hrww"/>
      <sheetName val="2. BOE Rec Pivot"/>
      <sheetName val="3. NR BOE"/>
      <sheetName val="4. ODC Pivots"/>
      <sheetName val="NSGB Balances"/>
      <sheetName val="5. Depreciation"/>
      <sheetName val="Sheet5"/>
      <sheetName val="1. Vectrus AN Labor Rates"/>
      <sheetName val="2. SubK Rates"/>
      <sheetName val="2a. L.Berger FFP"/>
      <sheetName val="2b.Planate Rates"/>
      <sheetName val="2c. J&amp;J PropLaborRates(not used"/>
      <sheetName val="2d. J&amp;J-Vectrus FN Adj Bid Rate"/>
      <sheetName val="3. FPRP Indirect Rates"/>
      <sheetName val="4. Productive Hours"/>
      <sheetName val="10. ODCs - Meals,Housing,R&amp;R"/>
      <sheetName val="10a. Utilities AN Historical"/>
      <sheetName val="11. FPRP Fringe backup"/>
      <sheetName val="IHO FPRP Service Center Rates"/>
      <sheetName val="12. FPRP Service Center Rates"/>
      <sheetName val="15. Onboarding"/>
      <sheetName val="Section B - GB"/>
      <sheetName val="Gov't Provided Rates"/>
      <sheetName val="Walkdown"/>
      <sheetName val="Setup"/>
      <sheetName val="CLIN 0001 - Base Period (3)"/>
      <sheetName val="CLIN 0002 - Base Period (3)"/>
      <sheetName val="CLIN 0003 - 1st Option Peri (3)"/>
      <sheetName val="CLIN 0004 - 1st Option Peri (3)"/>
      <sheetName val="CLIN 0005 - 2nd Option Peri (3)"/>
      <sheetName val="CLIN 0006 - 2nd Option Peri (3)"/>
      <sheetName val="CLIN 0007 - 3rd Option Peri (3)"/>
      <sheetName val="CLIN 0008 - 3rd Option Peri (3)"/>
      <sheetName val="CLIN 0009 - 4th Option Peri (3)"/>
      <sheetName val="CLIN 0010 - 4th Option Peri (3)"/>
      <sheetName val="CLIN 0011 - 52.217-8 Option (3)"/>
      <sheetName val="CLIN 0012 - 52.217-8 Option (3)"/>
      <sheetName val="CLIN 0013 - Base Period OPT (2)"/>
      <sheetName val="CLIN 0001 - Base Period"/>
      <sheetName val="CLIN 0002 - Base Period"/>
      <sheetName val="CLIN 0003 - 1st Option Period"/>
      <sheetName val="CLIN 0004 - 1st Option Period"/>
      <sheetName val="CLIN 0005 - 2nd Option Period"/>
      <sheetName val="CLIN 0006 - 2nd Option Period"/>
      <sheetName val="CLIN 0007 - 3rd Option Period"/>
      <sheetName val="CLIN 0008 - 3rd Option Period"/>
      <sheetName val="CLIN 0009 - 4th Option Period"/>
      <sheetName val="CLIN 0010 - 4th Option Period"/>
      <sheetName val="CLIN 0011 - 52.217-8 Option"/>
      <sheetName val="CLIN 0012 - 52.217-8 Option"/>
      <sheetName val="CLIN 0013 - Base Period OP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B-1 Staffing"/>
      <sheetName val="JB-2 Pricing"/>
      <sheetName val="Summary All Periods"/>
      <sheetName val="Recurring Base Pd_Mod"/>
      <sheetName val="Recurring Opt 1_Mod"/>
      <sheetName val="Recurring Opt 2_Mod"/>
      <sheetName val="Recurring Opt 3_Mod"/>
      <sheetName val="Recurring Opt 4_Mod"/>
      <sheetName val="Recurring Opt 5_Mod"/>
      <sheetName val="Recurring Opt 6_Mod"/>
      <sheetName val="Recurring Opt 7_Mod"/>
      <sheetName val="Recurring Opt FAR 52.217_Mod"/>
      <sheetName val="Sch 1.0-Master Cost Sum (All)"/>
      <sheetName val="Sch 1.1-Master Cost Sum (FFP)"/>
      <sheetName val="Sch 1.2-Master Cost Sum (CPFF)"/>
      <sheetName val="Sch. 1.1B-MSC FFP-MST"/>
      <sheetName val="Sch. 1.1A-MSC FFP-JLL"/>
      <sheetName val="Sch 1.3-Master Cost Sum (IDIQ)"/>
      <sheetName val="CLIN Sum-Phase In"/>
      <sheetName val="Sch. 1.3A-MSC IDIQ-MST"/>
      <sheetName val="Sch. 1.3-MSC IDIQ-JLL"/>
      <sheetName val="Overhead Calculation (JB-2)"/>
      <sheetName val="CLIN Sum-Base Pd"/>
      <sheetName val="CLIN Sum-Opt 1"/>
      <sheetName val="CLIN Sum-Opt 2"/>
      <sheetName val="CLIN Sum-Opt 3"/>
      <sheetName val="CLIN Sum-Opt 4"/>
      <sheetName val="CLIN Sum-Opt 5"/>
      <sheetName val="CLIN Sum-Opt 6"/>
      <sheetName val="Labor-Phase In"/>
      <sheetName val="CLIN Sum-Opt 7"/>
      <sheetName val="CLIN Sum-52.217-8"/>
      <sheetName val="Labor-Base Pd"/>
      <sheetName val="Labor-Opt 1"/>
      <sheetName val="Labor-Opt 2"/>
      <sheetName val="Labor-Opt 3"/>
      <sheetName val="Labor-Opt 4"/>
      <sheetName val="Labor-Opt 5"/>
      <sheetName val="Labor-Opt 6"/>
      <sheetName val="Labor-Opt 7"/>
      <sheetName val="Labor-52.217-8"/>
      <sheetName val="Sch 4.0-Other Direct Cost"/>
      <sheetName val="Exhibit 7.0-Staffing Analysis"/>
      <sheetName val="Exhibit 1.0-Labor Table"/>
      <sheetName val="Exhibit 1.2 - CBA Blended Rates"/>
      <sheetName val="Exhibit 2.0-Hours Table"/>
      <sheetName val="Exhibit 4.0-Uniforms-PPE"/>
      <sheetName val="Exhibit 5.0-Hand Tools"/>
      <sheetName val="Exhibit 6.0-PPE"/>
      <sheetName val="Exhibit 8.0-Indirect Margin"/>
      <sheetName val="Exh 9.0 Workers Compensation"/>
      <sheetName val="Vehicle Est_Allo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4">
          <cell r="C4" t="str">
            <v>JLL-Midnight Sun IFMS, LLC</v>
          </cell>
        </row>
        <row r="17">
          <cell r="C17" t="str">
            <v>Job No.</v>
          </cell>
          <cell r="D17" t="str">
            <v>W/C Code</v>
          </cell>
          <cell r="E17" t="str">
            <v>Labor Title</v>
          </cell>
          <cell r="F17" t="str">
            <v>Company</v>
          </cell>
          <cell r="G17" t="str">
            <v>Type</v>
          </cell>
          <cell r="H17" t="str">
            <v>Source</v>
          </cell>
          <cell r="I17" t="str">
            <v>Annual Salary</v>
          </cell>
          <cell r="J17" t="str">
            <v>First Year Wage</v>
          </cell>
          <cell r="K17" t="str">
            <v>Pension/ 401(k)</v>
          </cell>
          <cell r="L17" t="str">
            <v>Phase-In</v>
          </cell>
          <cell r="M17" t="str">
            <v>Base Year</v>
          </cell>
          <cell r="N17" t="str">
            <v>Opt Yr 1</v>
          </cell>
          <cell r="O17" t="str">
            <v>Opt Yr 2</v>
          </cell>
          <cell r="P17" t="str">
            <v>Opt Yr 3</v>
          </cell>
          <cell r="Q17" t="str">
            <v>Opt Yr 4</v>
          </cell>
          <cell r="R17" t="str">
            <v>Opt Yr 5</v>
          </cell>
          <cell r="S17" t="str">
            <v>Opt Yr 6</v>
          </cell>
          <cell r="T17" t="str">
            <v>Opt Yr 7</v>
          </cell>
          <cell r="U17" t="str">
            <v>Opt Yr 8</v>
          </cell>
          <cell r="V17" t="str">
            <v>Opt Yr 9</v>
          </cell>
          <cell r="W17" t="str">
            <v>Phase-In</v>
          </cell>
          <cell r="X17" t="str">
            <v>Base Year</v>
          </cell>
          <cell r="Y17" t="str">
            <v>Opt Yr 1</v>
          </cell>
          <cell r="Z17" t="str">
            <v>Opt Yr 2</v>
          </cell>
          <cell r="AA17" t="str">
            <v>Opt Yr 3</v>
          </cell>
          <cell r="AB17" t="str">
            <v>Opt Yr 4</v>
          </cell>
          <cell r="AC17" t="str">
            <v>Opt Yr 5</v>
          </cell>
          <cell r="AD17" t="str">
            <v>Opt Yr 6</v>
          </cell>
          <cell r="AE17" t="str">
            <v>Opt Yr 7</v>
          </cell>
          <cell r="AF17" t="str">
            <v>Opt Yr 8</v>
          </cell>
          <cell r="AG17" t="str">
            <v>Opt Yr 9</v>
          </cell>
          <cell r="AH17" t="str">
            <v>Phase-In</v>
          </cell>
          <cell r="AI17" t="str">
            <v>Base Year</v>
          </cell>
          <cell r="AJ17" t="str">
            <v>Opt Yr 1</v>
          </cell>
          <cell r="AK17" t="str">
            <v>Opt Yr 2</v>
          </cell>
          <cell r="AL17" t="str">
            <v>Opt Yr 3</v>
          </cell>
          <cell r="AM17" t="str">
            <v>Opt Yr 4</v>
          </cell>
          <cell r="AN17" t="str">
            <v>Opt Yr 5</v>
          </cell>
          <cell r="AO17" t="str">
            <v>Opt Yr 6</v>
          </cell>
          <cell r="AP17" t="str">
            <v>Opt Yr 7</v>
          </cell>
          <cell r="AQ17" t="str">
            <v>Opt Yr 8</v>
          </cell>
          <cell r="AR17" t="str">
            <v>Opt Yr 9</v>
          </cell>
          <cell r="AS17" t="str">
            <v>SUTA New Employer Rate</v>
          </cell>
          <cell r="AT17" t="str">
            <v>SUTA Wage Subject to Tax</v>
          </cell>
          <cell r="AU17" t="str">
            <v>SUTA Cost/ FTE</v>
          </cell>
          <cell r="AV17" t="str">
            <v>Phase-In</v>
          </cell>
          <cell r="AW17" t="str">
            <v>Base Year</v>
          </cell>
          <cell r="AX17" t="str">
            <v>Opt Yr 1</v>
          </cell>
          <cell r="AY17" t="str">
            <v>Opt Yr 2</v>
          </cell>
          <cell r="AZ17" t="str">
            <v>Opt Yr 3</v>
          </cell>
          <cell r="BA17" t="str">
            <v>Opt Yr 4</v>
          </cell>
          <cell r="BB17" t="str">
            <v>Opt Yr 5</v>
          </cell>
          <cell r="BC17" t="str">
            <v>Opt Yr 6</v>
          </cell>
          <cell r="BD17" t="str">
            <v>Opt Yr 7</v>
          </cell>
          <cell r="BE17" t="str">
            <v>Opt Yr 8</v>
          </cell>
          <cell r="BF17" t="str">
            <v>Opt Yr 9</v>
          </cell>
          <cell r="BG17" t="str">
            <v>Phase-In</v>
          </cell>
          <cell r="BH17" t="str">
            <v>Base Year</v>
          </cell>
          <cell r="BI17" t="str">
            <v>Opt Yr 1</v>
          </cell>
          <cell r="BJ17" t="str">
            <v>Opt Yr 2</v>
          </cell>
          <cell r="BK17" t="str">
            <v>Opt Yr 3</v>
          </cell>
          <cell r="BL17" t="str">
            <v>Opt Yr 4</v>
          </cell>
          <cell r="BM17" t="str">
            <v>Opt Yr 5</v>
          </cell>
          <cell r="BN17" t="str">
            <v>Opt Yr 6</v>
          </cell>
          <cell r="BO17" t="str">
            <v>Opt Yr 7</v>
          </cell>
          <cell r="BP17" t="str">
            <v>Opt Yr 8</v>
          </cell>
          <cell r="BQ17" t="str">
            <v>Opt Yr 9</v>
          </cell>
          <cell r="BR17" t="str">
            <v>Phase-In</v>
          </cell>
          <cell r="BS17" t="str">
            <v>Base Year</v>
          </cell>
          <cell r="BT17" t="str">
            <v>Opt Yr 1</v>
          </cell>
          <cell r="BU17" t="str">
            <v>Opt Yr 2</v>
          </cell>
          <cell r="BV17" t="str">
            <v>Opt Yr 3</v>
          </cell>
          <cell r="BW17" t="str">
            <v>Opt Yr 4</v>
          </cell>
          <cell r="BX17" t="str">
            <v>Opt Yr 5</v>
          </cell>
          <cell r="BY17" t="str">
            <v>Opt Yr 6</v>
          </cell>
          <cell r="BZ17" t="str">
            <v>Opt Yr 7</v>
          </cell>
          <cell r="CA17" t="str">
            <v>Opt Yr 8</v>
          </cell>
          <cell r="CB17" t="str">
            <v>Opt Yr 9</v>
          </cell>
          <cell r="CC17" t="str">
            <v>Phase-In</v>
          </cell>
          <cell r="CD17" t="str">
            <v>Base Year</v>
          </cell>
          <cell r="CE17" t="str">
            <v>Opt Yr 1</v>
          </cell>
          <cell r="CF17" t="str">
            <v>Opt Yr 2</v>
          </cell>
          <cell r="CG17" t="str">
            <v>Opt Yr 3</v>
          </cell>
          <cell r="CH17" t="str">
            <v>Opt Yr 4</v>
          </cell>
          <cell r="CI17" t="str">
            <v>Opt Yr 5</v>
          </cell>
          <cell r="CJ17" t="str">
            <v>Opt Yr 6</v>
          </cell>
          <cell r="CK17" t="str">
            <v>Opt Yr 7</v>
          </cell>
          <cell r="CL17" t="str">
            <v>Opt Yr 8</v>
          </cell>
          <cell r="CM17" t="str">
            <v>Opt Yr 9</v>
          </cell>
          <cell r="CN17" t="str">
            <v>Code</v>
          </cell>
          <cell r="CO17" t="str">
            <v>Phase-In</v>
          </cell>
          <cell r="CP17" t="str">
            <v>Base Year</v>
          </cell>
          <cell r="CQ17" t="str">
            <v>Opt Yr 1</v>
          </cell>
          <cell r="CR17" t="str">
            <v>Opt Yr 2</v>
          </cell>
          <cell r="CS17" t="str">
            <v>Opt Yr 3</v>
          </cell>
          <cell r="CT17" t="str">
            <v>Opt Yr 4</v>
          </cell>
          <cell r="CU17" t="str">
            <v>Opt Yr 5</v>
          </cell>
          <cell r="CV17" t="str">
            <v>Opt Yr 6</v>
          </cell>
          <cell r="CW17" t="str">
            <v>Opt Yr 7</v>
          </cell>
          <cell r="CX17" t="str">
            <v>Opt Yr 8</v>
          </cell>
          <cell r="CY17" t="str">
            <v>Opt Yr 9</v>
          </cell>
          <cell r="CZ17" t="str">
            <v>Phase-In</v>
          </cell>
          <cell r="DA17" t="str">
            <v>Base Year</v>
          </cell>
          <cell r="DB17" t="str">
            <v>Opt Yr 1</v>
          </cell>
          <cell r="DC17" t="str">
            <v>Opt Yr 2</v>
          </cell>
          <cell r="DD17" t="str">
            <v>Opt Yr 3</v>
          </cell>
          <cell r="DE17" t="str">
            <v>Opt Yr 4</v>
          </cell>
          <cell r="DF17" t="str">
            <v>Opt Yr 5</v>
          </cell>
          <cell r="DG17" t="str">
            <v>Opt Yr 6</v>
          </cell>
          <cell r="DH17" t="str">
            <v>Opt Yr 7</v>
          </cell>
          <cell r="DI17" t="str">
            <v>Opt Yr 8</v>
          </cell>
          <cell r="DJ17" t="str">
            <v>Opt Yr 9</v>
          </cell>
        </row>
        <row r="19">
          <cell r="C19" t="str">
            <v>Exempt Labor Categories</v>
          </cell>
        </row>
        <row r="21">
          <cell r="C21">
            <v>1000</v>
          </cell>
          <cell r="D21">
            <v>8810</v>
          </cell>
          <cell r="E21" t="str">
            <v>Project Manager</v>
          </cell>
          <cell r="F21" t="str">
            <v>MST</v>
          </cell>
          <cell r="G21" t="str">
            <v>Exempt</v>
          </cell>
          <cell r="H21" t="str">
            <v>salary.com</v>
          </cell>
          <cell r="I21">
            <v>160726.12</v>
          </cell>
          <cell r="J21">
            <v>77.272173076923082</v>
          </cell>
          <cell r="K21">
            <v>2.5000000000000001E-2</v>
          </cell>
          <cell r="L21">
            <v>77.272173076923082</v>
          </cell>
          <cell r="M21">
            <v>77.272173076923082</v>
          </cell>
          <cell r="N21">
            <v>78.840798190384618</v>
          </cell>
          <cell r="O21">
            <v>80.441266393649428</v>
          </cell>
          <cell r="P21">
            <v>82.074224101440507</v>
          </cell>
          <cell r="Q21">
            <v>83.740330850699749</v>
          </cell>
          <cell r="R21">
            <v>85.440259566968948</v>
          </cell>
          <cell r="S21">
            <v>87.174696836178413</v>
          </cell>
          <cell r="T21">
            <v>88.944343181952831</v>
          </cell>
          <cell r="U21">
            <v>90.749913348546471</v>
          </cell>
          <cell r="V21">
            <v>92.655661528865934</v>
          </cell>
          <cell r="W21">
            <v>4.75</v>
          </cell>
          <cell r="X21">
            <v>4.75</v>
          </cell>
          <cell r="Y21">
            <v>4.9874999999999998</v>
          </cell>
          <cell r="Z21">
            <v>5.2368750000000004</v>
          </cell>
          <cell r="AA21">
            <v>5.498718750000001</v>
          </cell>
          <cell r="AB21">
            <v>5.7736546875000014</v>
          </cell>
          <cell r="AC21">
            <v>6.0623374218750019</v>
          </cell>
          <cell r="AD21">
            <v>6.3654542929687521</v>
          </cell>
          <cell r="AE21">
            <v>6.6837270076171897</v>
          </cell>
          <cell r="AF21">
            <v>7.0179133579980499</v>
          </cell>
          <cell r="AG21">
            <v>7.3688090258979528</v>
          </cell>
          <cell r="AH21">
            <v>2.5000000000000001E-2</v>
          </cell>
          <cell r="AI21">
            <v>2.5000000000000001E-2</v>
          </cell>
          <cell r="AJ21">
            <v>2.5524999999999999E-2</v>
          </cell>
          <cell r="AK21">
            <v>2.6061024999999998E-2</v>
          </cell>
          <cell r="AL21">
            <v>2.6608306524999997E-2</v>
          </cell>
          <cell r="AM21">
            <v>2.7167080962024994E-2</v>
          </cell>
          <cell r="AN21">
            <v>2.7737589662227516E-2</v>
          </cell>
          <cell r="AO21">
            <v>2.832007904513429E-2</v>
          </cell>
          <cell r="AP21">
            <v>2.8914800705082108E-2</v>
          </cell>
          <cell r="AQ21">
            <v>2.9522011519888831E-2</v>
          </cell>
          <cell r="AR21">
            <v>3.0141973761806492E-2</v>
          </cell>
          <cell r="AS21">
            <v>2.7E-2</v>
          </cell>
          <cell r="AT21">
            <v>8000</v>
          </cell>
          <cell r="AU21">
            <v>216</v>
          </cell>
          <cell r="AV21">
            <v>1.52E-2</v>
          </cell>
          <cell r="AW21">
            <v>1.52E-2</v>
          </cell>
          <cell r="AX21">
            <v>1.5275999999999998E-2</v>
          </cell>
          <cell r="AY21">
            <v>1.5352379999999997E-2</v>
          </cell>
          <cell r="AZ21">
            <v>1.5429141899999995E-2</v>
          </cell>
          <cell r="BA21">
            <v>1.5506287609499993E-2</v>
          </cell>
          <cell r="BB21">
            <v>1.5583819047547491E-2</v>
          </cell>
          <cell r="BC21">
            <v>1.5661738142785226E-2</v>
          </cell>
          <cell r="BD21">
            <v>1.5740046833499152E-2</v>
          </cell>
          <cell r="BE21">
            <v>1.5740046833499152E-2</v>
          </cell>
          <cell r="BF21">
            <v>1.5740046833499152E-2</v>
          </cell>
          <cell r="BG21">
            <v>337.52485199999995</v>
          </cell>
          <cell r="BH21">
            <v>337.52485199999995</v>
          </cell>
          <cell r="BI21">
            <v>354.40109459999996</v>
          </cell>
          <cell r="BJ21">
            <v>372.12114932999998</v>
          </cell>
          <cell r="BK21">
            <v>390.72720679650001</v>
          </cell>
          <cell r="BL21">
            <v>410.26356713632504</v>
          </cell>
          <cell r="BM21">
            <v>430.77674549314133</v>
          </cell>
          <cell r="BN21">
            <v>452.31558276779845</v>
          </cell>
          <cell r="BO21">
            <v>474.93136190618839</v>
          </cell>
          <cell r="BP21">
            <v>498.67793000149783</v>
          </cell>
          <cell r="BQ21">
            <v>523.61182650157275</v>
          </cell>
          <cell r="BR21">
            <v>33.72</v>
          </cell>
          <cell r="BS21">
            <v>33.72</v>
          </cell>
          <cell r="BT21">
            <v>34.428119999999993</v>
          </cell>
          <cell r="BU21">
            <v>35.151110519999989</v>
          </cell>
          <cell r="BV21">
            <v>35.889283840919987</v>
          </cell>
          <cell r="BW21">
            <v>36.642958801579304</v>
          </cell>
          <cell r="BX21">
            <v>37.412460936412465</v>
          </cell>
          <cell r="BY21">
            <v>38.198122616077121</v>
          </cell>
          <cell r="BZ21">
            <v>39.000283191014738</v>
          </cell>
          <cell r="CA21">
            <v>39.819289138026043</v>
          </cell>
          <cell r="CB21">
            <v>40.655494209924584</v>
          </cell>
          <cell r="CC21">
            <v>165.54790359999998</v>
          </cell>
          <cell r="CD21">
            <v>165.54790359999998</v>
          </cell>
          <cell r="CE21">
            <v>173.82529878</v>
          </cell>
          <cell r="CF21">
            <v>182.516563719</v>
          </cell>
          <cell r="CG21">
            <v>191.64239190495002</v>
          </cell>
          <cell r="CH21">
            <v>201.22451150019754</v>
          </cell>
          <cell r="CI21">
            <v>211.28573707520744</v>
          </cell>
          <cell r="CJ21">
            <v>221.85002392896783</v>
          </cell>
          <cell r="CK21">
            <v>232.94252512541624</v>
          </cell>
          <cell r="CL21">
            <v>244.58965138168705</v>
          </cell>
          <cell r="CM21">
            <v>256.8191339507714</v>
          </cell>
          <cell r="CO21">
            <v>5.25</v>
          </cell>
          <cell r="CP21">
            <v>5.25</v>
          </cell>
          <cell r="CQ21">
            <v>5.5125000000000002</v>
          </cell>
          <cell r="CR21">
            <v>5.7881250000000009</v>
          </cell>
          <cell r="CS21">
            <v>6.0775312500000007</v>
          </cell>
          <cell r="CT21">
            <v>6.3814078125000009</v>
          </cell>
          <cell r="CU21">
            <v>6.7004782031250016</v>
          </cell>
          <cell r="CV21">
            <v>7.0355021132812521</v>
          </cell>
          <cell r="CW21">
            <v>7.3872772189453153</v>
          </cell>
          <cell r="CX21">
            <v>7.7566410798925816</v>
          </cell>
          <cell r="CY21">
            <v>8.1444731338872103</v>
          </cell>
          <cell r="CZ21">
            <v>1.52E-2</v>
          </cell>
          <cell r="DA21">
            <v>1.52E-2</v>
          </cell>
          <cell r="DB21">
            <v>1.5275999999999998E-2</v>
          </cell>
          <cell r="DC21">
            <v>1.5352379999999997E-2</v>
          </cell>
          <cell r="DD21">
            <v>1.5429141899999995E-2</v>
          </cell>
          <cell r="DE21">
            <v>1.5506287609499993E-2</v>
          </cell>
          <cell r="DF21">
            <v>1.5583819047547491E-2</v>
          </cell>
          <cell r="DG21">
            <v>1.5661738142785226E-2</v>
          </cell>
          <cell r="DH21">
            <v>1.5740046833499152E-2</v>
          </cell>
          <cell r="DI21">
            <v>1.5740046833499152E-2</v>
          </cell>
          <cell r="DJ21">
            <v>1.5740046833499152E-2</v>
          </cell>
        </row>
        <row r="22">
          <cell r="C22">
            <v>1005</v>
          </cell>
          <cell r="D22">
            <v>8810</v>
          </cell>
          <cell r="E22" t="str">
            <v>Quality Manager</v>
          </cell>
          <cell r="G22" t="str">
            <v>Exempt</v>
          </cell>
          <cell r="H22" t="str">
            <v>salary.com</v>
          </cell>
          <cell r="I22">
            <v>112685</v>
          </cell>
          <cell r="J22">
            <v>54.175480769230766</v>
          </cell>
          <cell r="K22">
            <v>2.5000000000000001E-2</v>
          </cell>
          <cell r="L22">
            <v>54.175480769230766</v>
          </cell>
          <cell r="M22">
            <v>54.175480769230766</v>
          </cell>
          <cell r="N22">
            <v>55.275243028846148</v>
          </cell>
          <cell r="O22">
            <v>56.397330462331723</v>
          </cell>
          <cell r="P22">
            <v>57.542196270717056</v>
          </cell>
          <cell r="Q22">
            <v>58.710302855012614</v>
          </cell>
          <cell r="R22">
            <v>59.902122002969371</v>
          </cell>
          <cell r="S22">
            <v>61.118135079629646</v>
          </cell>
          <cell r="T22">
            <v>62.358833221746124</v>
          </cell>
          <cell r="U22">
            <v>63.624717536147571</v>
          </cell>
          <cell r="V22">
            <v>64.960836604406666</v>
          </cell>
          <cell r="W22">
            <v>4.75</v>
          </cell>
          <cell r="X22">
            <v>4.75</v>
          </cell>
          <cell r="Y22">
            <v>4.9874999999999998</v>
          </cell>
          <cell r="Z22">
            <v>5.2368750000000004</v>
          </cell>
          <cell r="AA22">
            <v>5.498718750000001</v>
          </cell>
          <cell r="AB22">
            <v>5.7736546875000014</v>
          </cell>
          <cell r="AC22">
            <v>6.0623374218750019</v>
          </cell>
          <cell r="AD22">
            <v>6.3654542929687521</v>
          </cell>
          <cell r="AE22">
            <v>6.6837270076171897</v>
          </cell>
          <cell r="AF22">
            <v>7.0179133579980499</v>
          </cell>
          <cell r="AG22">
            <v>7.3688090258979528</v>
          </cell>
          <cell r="AH22">
            <v>2.5000000000000001E-2</v>
          </cell>
          <cell r="AI22">
            <v>2.5000000000000001E-2</v>
          </cell>
          <cell r="AJ22">
            <v>2.5524999999999999E-2</v>
          </cell>
          <cell r="AK22">
            <v>2.6061024999999998E-2</v>
          </cell>
          <cell r="AL22">
            <v>2.6608306524999997E-2</v>
          </cell>
          <cell r="AM22">
            <v>2.7167080962024994E-2</v>
          </cell>
          <cell r="AN22">
            <v>2.7737589662227516E-2</v>
          </cell>
          <cell r="AO22">
            <v>2.832007904513429E-2</v>
          </cell>
          <cell r="AP22">
            <v>2.8914800705082108E-2</v>
          </cell>
          <cell r="AQ22">
            <v>2.9522011519888831E-2</v>
          </cell>
          <cell r="AR22">
            <v>3.0141973761806492E-2</v>
          </cell>
          <cell r="AS22">
            <v>2.7E-2</v>
          </cell>
          <cell r="AT22">
            <v>8000</v>
          </cell>
          <cell r="AU22">
            <v>216</v>
          </cell>
          <cell r="AV22">
            <v>1.52E-2</v>
          </cell>
          <cell r="AW22">
            <v>1.52E-2</v>
          </cell>
          <cell r="AX22">
            <v>1.5275999999999998E-2</v>
          </cell>
          <cell r="AY22">
            <v>1.5352379999999997E-2</v>
          </cell>
          <cell r="AZ22">
            <v>1.5429141899999995E-2</v>
          </cell>
          <cell r="BA22">
            <v>1.5506287609499993E-2</v>
          </cell>
          <cell r="BB22">
            <v>1.5583819047547491E-2</v>
          </cell>
          <cell r="BC22">
            <v>1.5661738142785226E-2</v>
          </cell>
          <cell r="BD22">
            <v>1.5740046833499152E-2</v>
          </cell>
          <cell r="BE22">
            <v>1.5740046833499152E-2</v>
          </cell>
          <cell r="BF22">
            <v>1.5740046833499152E-2</v>
          </cell>
          <cell r="BG22">
            <v>236.63849999999996</v>
          </cell>
          <cell r="BH22">
            <v>236.63849999999996</v>
          </cell>
          <cell r="BI22">
            <v>248.47042499999998</v>
          </cell>
          <cell r="BJ22">
            <v>260.89394625</v>
          </cell>
          <cell r="BK22">
            <v>273.93864356250003</v>
          </cell>
          <cell r="BL22">
            <v>287.63557574062503</v>
          </cell>
          <cell r="BM22">
            <v>302.01735452765627</v>
          </cell>
          <cell r="BN22">
            <v>317.1182222540391</v>
          </cell>
          <cell r="BO22">
            <v>332.97413336674106</v>
          </cell>
          <cell r="BP22">
            <v>349.62284003507813</v>
          </cell>
          <cell r="BQ22">
            <v>367.10398203683206</v>
          </cell>
          <cell r="BR22">
            <v>33.72</v>
          </cell>
          <cell r="BS22">
            <v>33.72</v>
          </cell>
          <cell r="BT22">
            <v>34.428119999999993</v>
          </cell>
          <cell r="BU22">
            <v>35.151110519999989</v>
          </cell>
          <cell r="BV22">
            <v>35.889283840919987</v>
          </cell>
          <cell r="BW22">
            <v>36.642958801579304</v>
          </cell>
          <cell r="BX22">
            <v>37.412460936412465</v>
          </cell>
          <cell r="BY22">
            <v>38.198122616077121</v>
          </cell>
          <cell r="BZ22">
            <v>39.000283191014738</v>
          </cell>
          <cell r="CA22">
            <v>39.819289138026043</v>
          </cell>
          <cell r="CB22">
            <v>40.655494209924584</v>
          </cell>
          <cell r="CC22">
            <v>116.06554999999999</v>
          </cell>
          <cell r="CD22">
            <v>116.06554999999999</v>
          </cell>
          <cell r="CE22">
            <v>121.86882749999999</v>
          </cell>
          <cell r="CF22">
            <v>127.96226887500001</v>
          </cell>
          <cell r="CG22">
            <v>134.36038231875</v>
          </cell>
          <cell r="CH22">
            <v>141.07840143468749</v>
          </cell>
          <cell r="CI22">
            <v>148.13232150642187</v>
          </cell>
          <cell r="CJ22">
            <v>155.53893758174297</v>
          </cell>
          <cell r="CK22">
            <v>163.31588446083012</v>
          </cell>
          <cell r="CL22">
            <v>171.48167868387162</v>
          </cell>
          <cell r="CM22">
            <v>180.05576261806522</v>
          </cell>
          <cell r="CO22">
            <v>5.25</v>
          </cell>
          <cell r="CP22">
            <v>5.25</v>
          </cell>
          <cell r="CQ22">
            <v>5.5125000000000002</v>
          </cell>
          <cell r="CR22">
            <v>5.7881250000000009</v>
          </cell>
          <cell r="CS22">
            <v>6.0775312500000007</v>
          </cell>
          <cell r="CT22">
            <v>6.3814078125000009</v>
          </cell>
          <cell r="CU22">
            <v>6.7004782031250016</v>
          </cell>
          <cell r="CV22">
            <v>7.0355021132812521</v>
          </cell>
          <cell r="CW22">
            <v>7.3872772189453153</v>
          </cell>
          <cell r="CX22">
            <v>7.7566410798925816</v>
          </cell>
          <cell r="CY22">
            <v>8.1444731338872103</v>
          </cell>
          <cell r="CZ22">
            <v>1.52E-2</v>
          </cell>
          <cell r="DA22">
            <v>1.52E-2</v>
          </cell>
          <cell r="DB22">
            <v>1.5275999999999998E-2</v>
          </cell>
          <cell r="DC22">
            <v>1.5352379999999997E-2</v>
          </cell>
          <cell r="DD22">
            <v>1.5429141899999995E-2</v>
          </cell>
          <cell r="DE22">
            <v>1.5506287609499993E-2</v>
          </cell>
          <cell r="DF22">
            <v>1.5583819047547491E-2</v>
          </cell>
          <cell r="DG22">
            <v>1.5661738142785226E-2</v>
          </cell>
          <cell r="DH22">
            <v>1.5740046833499152E-2</v>
          </cell>
          <cell r="DI22">
            <v>1.5740046833499152E-2</v>
          </cell>
          <cell r="DJ22">
            <v>1.5740046833499152E-2</v>
          </cell>
        </row>
        <row r="23">
          <cell r="C23">
            <v>1010</v>
          </cell>
          <cell r="D23">
            <v>8810</v>
          </cell>
          <cell r="E23" t="str">
            <v>Site Safety and Health Officer (SSHO)</v>
          </cell>
          <cell r="G23" t="str">
            <v>Exempt</v>
          </cell>
          <cell r="H23" t="str">
            <v>salary.com</v>
          </cell>
          <cell r="I23">
            <v>110192.50000000001</v>
          </cell>
          <cell r="J23">
            <v>52.977163461538467</v>
          </cell>
          <cell r="K23">
            <v>2.5000000000000001E-2</v>
          </cell>
          <cell r="L23">
            <v>52.977163461538467</v>
          </cell>
          <cell r="M23">
            <v>52.977163461538467</v>
          </cell>
          <cell r="N23">
            <v>54.052599879807694</v>
          </cell>
          <cell r="O23">
            <v>55.149867657367793</v>
          </cell>
          <cell r="P23">
            <v>56.269409970812355</v>
          </cell>
          <cell r="Q23">
            <v>57.411678993219844</v>
          </cell>
          <cell r="R23">
            <v>58.577136076782203</v>
          </cell>
          <cell r="S23">
            <v>59.766251939140879</v>
          </cell>
          <cell r="T23">
            <v>60.979506853505441</v>
          </cell>
          <cell r="U23">
            <v>62.217390842631602</v>
          </cell>
          <cell r="V23">
            <v>63.523956050326859</v>
          </cell>
          <cell r="W23">
            <v>4.75</v>
          </cell>
          <cell r="X23">
            <v>4.75</v>
          </cell>
          <cell r="Y23">
            <v>4.9874999999999998</v>
          </cell>
          <cell r="Z23">
            <v>5.2368750000000004</v>
          </cell>
          <cell r="AA23">
            <v>5.498718750000001</v>
          </cell>
          <cell r="AB23">
            <v>5.7736546875000014</v>
          </cell>
          <cell r="AC23">
            <v>6.0623374218750019</v>
          </cell>
          <cell r="AD23">
            <v>6.3654542929687521</v>
          </cell>
          <cell r="AE23">
            <v>6.6837270076171897</v>
          </cell>
          <cell r="AF23">
            <v>7.0179133579980499</v>
          </cell>
          <cell r="AG23">
            <v>7.3688090258979528</v>
          </cell>
          <cell r="AH23">
            <v>2.5000000000000001E-2</v>
          </cell>
          <cell r="AI23">
            <v>2.5000000000000001E-2</v>
          </cell>
          <cell r="AJ23">
            <v>2.5524999999999999E-2</v>
          </cell>
          <cell r="AK23">
            <v>2.6061024999999998E-2</v>
          </cell>
          <cell r="AL23">
            <v>2.6608306524999997E-2</v>
          </cell>
          <cell r="AM23">
            <v>2.7167080962024994E-2</v>
          </cell>
          <cell r="AN23">
            <v>2.7737589662227516E-2</v>
          </cell>
          <cell r="AO23">
            <v>2.832007904513429E-2</v>
          </cell>
          <cell r="AP23">
            <v>2.8914800705082108E-2</v>
          </cell>
          <cell r="AQ23">
            <v>2.9522011519888831E-2</v>
          </cell>
          <cell r="AR23">
            <v>3.0141973761806492E-2</v>
          </cell>
          <cell r="AS23">
            <v>2.7E-2</v>
          </cell>
          <cell r="AT23">
            <v>8000</v>
          </cell>
          <cell r="AU23">
            <v>216</v>
          </cell>
          <cell r="AV23">
            <v>1.52E-2</v>
          </cell>
          <cell r="AW23">
            <v>1.52E-2</v>
          </cell>
          <cell r="AX23">
            <v>1.5275999999999998E-2</v>
          </cell>
          <cell r="AY23">
            <v>1.5352379999999997E-2</v>
          </cell>
          <cell r="AZ23">
            <v>1.5429141899999995E-2</v>
          </cell>
          <cell r="BA23">
            <v>1.5506287609499993E-2</v>
          </cell>
          <cell r="BB23">
            <v>1.5583819047547491E-2</v>
          </cell>
          <cell r="BC23">
            <v>1.5661738142785226E-2</v>
          </cell>
          <cell r="BD23">
            <v>1.5740046833499152E-2</v>
          </cell>
          <cell r="BE23">
            <v>1.5740046833499152E-2</v>
          </cell>
          <cell r="BF23">
            <v>1.5740046833499152E-2</v>
          </cell>
          <cell r="BG23">
            <v>231.40425000000002</v>
          </cell>
          <cell r="BH23">
            <v>231.40425000000002</v>
          </cell>
          <cell r="BI23">
            <v>242.97446250000004</v>
          </cell>
          <cell r="BJ23">
            <v>255.12318562500005</v>
          </cell>
          <cell r="BK23">
            <v>267.87934490625008</v>
          </cell>
          <cell r="BL23">
            <v>281.27331215156261</v>
          </cell>
          <cell r="BM23">
            <v>295.33697775914072</v>
          </cell>
          <cell r="BN23">
            <v>310.10382664709778</v>
          </cell>
          <cell r="BO23">
            <v>325.60901797945269</v>
          </cell>
          <cell r="BP23">
            <v>341.88946887842536</v>
          </cell>
          <cell r="BQ23">
            <v>358.98394232234665</v>
          </cell>
          <cell r="BR23">
            <v>33.72</v>
          </cell>
          <cell r="BS23">
            <v>33.72</v>
          </cell>
          <cell r="BT23">
            <v>34.428119999999993</v>
          </cell>
          <cell r="BU23">
            <v>35.151110519999989</v>
          </cell>
          <cell r="BV23">
            <v>35.889283840919987</v>
          </cell>
          <cell r="BW23">
            <v>36.642958801579304</v>
          </cell>
          <cell r="BX23">
            <v>37.412460936412465</v>
          </cell>
          <cell r="BY23">
            <v>38.198122616077121</v>
          </cell>
          <cell r="BZ23">
            <v>39.000283191014738</v>
          </cell>
          <cell r="CA23">
            <v>39.819289138026043</v>
          </cell>
          <cell r="CB23">
            <v>40.655494209924584</v>
          </cell>
          <cell r="CC23">
            <v>113.49827500000001</v>
          </cell>
          <cell r="CD23">
            <v>113.49827500000001</v>
          </cell>
          <cell r="CE23">
            <v>119.17318875000001</v>
          </cell>
          <cell r="CF23">
            <v>125.13184818750001</v>
          </cell>
          <cell r="CG23">
            <v>131.38844059687503</v>
          </cell>
          <cell r="CH23">
            <v>137.95786262671879</v>
          </cell>
          <cell r="CI23">
            <v>144.85575575805473</v>
          </cell>
          <cell r="CJ23">
            <v>152.09854354595748</v>
          </cell>
          <cell r="CK23">
            <v>159.70347072325535</v>
          </cell>
          <cell r="CL23">
            <v>167.68864425941811</v>
          </cell>
          <cell r="CM23">
            <v>176.07307647238903</v>
          </cell>
          <cell r="CO23">
            <v>5.25</v>
          </cell>
          <cell r="CP23">
            <v>5.25</v>
          </cell>
          <cell r="CQ23">
            <v>5.5125000000000002</v>
          </cell>
          <cell r="CR23">
            <v>5.7881250000000009</v>
          </cell>
          <cell r="CS23">
            <v>6.0775312500000007</v>
          </cell>
          <cell r="CT23">
            <v>6.3814078125000009</v>
          </cell>
          <cell r="CU23">
            <v>6.7004782031250016</v>
          </cell>
          <cell r="CV23">
            <v>7.0355021132812521</v>
          </cell>
          <cell r="CW23">
            <v>7.3872772189453153</v>
          </cell>
          <cell r="CX23">
            <v>7.7566410798925816</v>
          </cell>
          <cell r="CY23">
            <v>8.1444731338872103</v>
          </cell>
          <cell r="CZ23">
            <v>1.52E-2</v>
          </cell>
          <cell r="DA23">
            <v>1.52E-2</v>
          </cell>
          <cell r="DB23">
            <v>1.5275999999999998E-2</v>
          </cell>
          <cell r="DC23">
            <v>1.5352379999999997E-2</v>
          </cell>
          <cell r="DD23">
            <v>1.5429141899999995E-2</v>
          </cell>
          <cell r="DE23">
            <v>1.5506287609499993E-2</v>
          </cell>
          <cell r="DF23">
            <v>1.5583819047547491E-2</v>
          </cell>
          <cell r="DG23">
            <v>1.5661738142785226E-2</v>
          </cell>
          <cell r="DH23">
            <v>1.5740046833499152E-2</v>
          </cell>
          <cell r="DI23">
            <v>1.5740046833499152E-2</v>
          </cell>
          <cell r="DJ23">
            <v>1.5740046833499152E-2</v>
          </cell>
        </row>
        <row r="24">
          <cell r="C24">
            <v>1015</v>
          </cell>
          <cell r="D24">
            <v>8810</v>
          </cell>
          <cell r="E24" t="str">
            <v>Environmental/Energy Manager</v>
          </cell>
          <cell r="G24" t="str">
            <v>Exempt</v>
          </cell>
          <cell r="H24" t="str">
            <v>salary.com</v>
          </cell>
          <cell r="I24">
            <v>112274.155</v>
          </cell>
          <cell r="J24">
            <v>53.977959134615382</v>
          </cell>
          <cell r="K24">
            <v>2.5000000000000001E-2</v>
          </cell>
          <cell r="L24">
            <v>53.977959134615382</v>
          </cell>
          <cell r="M24">
            <v>53.977959134615382</v>
          </cell>
          <cell r="N24">
            <v>55.073711705048076</v>
          </cell>
          <cell r="O24">
            <v>56.191708052660552</v>
          </cell>
          <cell r="P24">
            <v>57.332399726129559</v>
          </cell>
          <cell r="Q24">
            <v>58.496247440569988</v>
          </cell>
          <cell r="R24">
            <v>59.683721263613556</v>
          </cell>
          <cell r="S24">
            <v>60.89530080526491</v>
          </cell>
          <cell r="T24">
            <v>62.131475411611788</v>
          </cell>
          <cell r="U24">
            <v>63.392744362467504</v>
          </cell>
          <cell r="V24">
            <v>64.723991994079313</v>
          </cell>
          <cell r="W24">
            <v>4.75</v>
          </cell>
          <cell r="X24">
            <v>4.75</v>
          </cell>
          <cell r="Y24">
            <v>4.9874999999999998</v>
          </cell>
          <cell r="Z24">
            <v>5.2368750000000004</v>
          </cell>
          <cell r="AA24">
            <v>5.498718750000001</v>
          </cell>
          <cell r="AB24">
            <v>5.7736546875000014</v>
          </cell>
          <cell r="AC24">
            <v>6.0623374218750019</v>
          </cell>
          <cell r="AD24">
            <v>6.3654542929687521</v>
          </cell>
          <cell r="AE24">
            <v>6.6837270076171897</v>
          </cell>
          <cell r="AF24">
            <v>7.0179133579980499</v>
          </cell>
          <cell r="AG24">
            <v>7.3688090258979528</v>
          </cell>
          <cell r="AH24">
            <v>2.5000000000000001E-2</v>
          </cell>
          <cell r="AI24">
            <v>2.5000000000000001E-2</v>
          </cell>
          <cell r="AJ24">
            <v>2.5524999999999999E-2</v>
          </cell>
          <cell r="AK24">
            <v>2.6061024999999998E-2</v>
          </cell>
          <cell r="AL24">
            <v>2.6608306524999997E-2</v>
          </cell>
          <cell r="AM24">
            <v>2.7167080962024994E-2</v>
          </cell>
          <cell r="AN24">
            <v>2.7737589662227516E-2</v>
          </cell>
          <cell r="AO24">
            <v>2.832007904513429E-2</v>
          </cell>
          <cell r="AP24">
            <v>2.8914800705082108E-2</v>
          </cell>
          <cell r="AQ24">
            <v>2.9522011519888831E-2</v>
          </cell>
          <cell r="AR24">
            <v>3.0141973761806492E-2</v>
          </cell>
          <cell r="AS24">
            <v>2.7E-2</v>
          </cell>
          <cell r="AT24">
            <v>8000</v>
          </cell>
          <cell r="AU24">
            <v>216</v>
          </cell>
          <cell r="AV24">
            <v>1.52E-2</v>
          </cell>
          <cell r="AW24">
            <v>1.52E-2</v>
          </cell>
          <cell r="AX24">
            <v>1.5275999999999998E-2</v>
          </cell>
          <cell r="AY24">
            <v>1.5352379999999997E-2</v>
          </cell>
          <cell r="AZ24">
            <v>1.5429141899999995E-2</v>
          </cell>
          <cell r="BA24">
            <v>1.5506287609499993E-2</v>
          </cell>
          <cell r="BB24">
            <v>1.5583819047547491E-2</v>
          </cell>
          <cell r="BC24">
            <v>1.5661738142785226E-2</v>
          </cell>
          <cell r="BD24">
            <v>1.5740046833499152E-2</v>
          </cell>
          <cell r="BE24">
            <v>1.5740046833499152E-2</v>
          </cell>
          <cell r="BF24">
            <v>1.5740046833499152E-2</v>
          </cell>
          <cell r="BG24">
            <v>235.77572549999999</v>
          </cell>
          <cell r="BH24">
            <v>235.77572549999999</v>
          </cell>
          <cell r="BI24">
            <v>247.564511775</v>
          </cell>
          <cell r="BJ24">
            <v>259.94273736374998</v>
          </cell>
          <cell r="BK24">
            <v>272.93987423193749</v>
          </cell>
          <cell r="BL24">
            <v>286.5868679435344</v>
          </cell>
          <cell r="BM24">
            <v>300.91621134071113</v>
          </cell>
          <cell r="BN24">
            <v>315.9620219077467</v>
          </cell>
          <cell r="BO24">
            <v>331.76012300313403</v>
          </cell>
          <cell r="BP24">
            <v>348.34812915329076</v>
          </cell>
          <cell r="BQ24">
            <v>365.76553561095528</v>
          </cell>
          <cell r="BR24">
            <v>33.72</v>
          </cell>
          <cell r="BS24">
            <v>33.72</v>
          </cell>
          <cell r="BT24">
            <v>34.428119999999993</v>
          </cell>
          <cell r="BU24">
            <v>35.151110519999989</v>
          </cell>
          <cell r="BV24">
            <v>35.889283840919987</v>
          </cell>
          <cell r="BW24">
            <v>36.642958801579304</v>
          </cell>
          <cell r="BX24">
            <v>37.412460936412465</v>
          </cell>
          <cell r="BY24">
            <v>38.198122616077121</v>
          </cell>
          <cell r="BZ24">
            <v>39.000283191014738</v>
          </cell>
          <cell r="CA24">
            <v>39.819289138026043</v>
          </cell>
          <cell r="CB24">
            <v>40.655494209924584</v>
          </cell>
          <cell r="CC24">
            <v>115.64237965</v>
          </cell>
          <cell r="CD24">
            <v>115.64237965</v>
          </cell>
          <cell r="CE24">
            <v>121.4244986325</v>
          </cell>
          <cell r="CF24">
            <v>127.49572356412502</v>
          </cell>
          <cell r="CG24">
            <v>133.87050974233128</v>
          </cell>
          <cell r="CH24">
            <v>140.56403522944785</v>
          </cell>
          <cell r="CI24">
            <v>147.59223699092024</v>
          </cell>
          <cell r="CJ24">
            <v>154.97184884046627</v>
          </cell>
          <cell r="CK24">
            <v>162.72044128248959</v>
          </cell>
          <cell r="CL24">
            <v>170.85646334661408</v>
          </cell>
          <cell r="CM24">
            <v>179.39928651394479</v>
          </cell>
          <cell r="CO24">
            <v>5.25</v>
          </cell>
          <cell r="CP24">
            <v>5.25</v>
          </cell>
          <cell r="CQ24">
            <v>5.5125000000000002</v>
          </cell>
          <cell r="CR24">
            <v>5.7881250000000009</v>
          </cell>
          <cell r="CS24">
            <v>6.0775312500000007</v>
          </cell>
          <cell r="CT24">
            <v>6.3814078125000009</v>
          </cell>
          <cell r="CU24">
            <v>6.7004782031250016</v>
          </cell>
          <cell r="CV24">
            <v>7.0355021132812521</v>
          </cell>
          <cell r="CW24">
            <v>7.3872772189453153</v>
          </cell>
          <cell r="CX24">
            <v>7.7566410798925816</v>
          </cell>
          <cell r="CY24">
            <v>8.1444731338872103</v>
          </cell>
          <cell r="CZ24">
            <v>1.52E-2</v>
          </cell>
          <cell r="DA24">
            <v>1.52E-2</v>
          </cell>
          <cell r="DB24">
            <v>1.5275999999999998E-2</v>
          </cell>
          <cell r="DC24">
            <v>1.5352379999999997E-2</v>
          </cell>
          <cell r="DD24">
            <v>1.5429141899999995E-2</v>
          </cell>
          <cell r="DE24">
            <v>1.5506287609499993E-2</v>
          </cell>
          <cell r="DF24">
            <v>1.5583819047547491E-2</v>
          </cell>
          <cell r="DG24">
            <v>1.5661738142785226E-2</v>
          </cell>
          <cell r="DH24">
            <v>1.5740046833499152E-2</v>
          </cell>
          <cell r="DI24">
            <v>1.5740046833499152E-2</v>
          </cell>
          <cell r="DJ24">
            <v>1.5740046833499152E-2</v>
          </cell>
        </row>
        <row r="25">
          <cell r="C25">
            <v>1020</v>
          </cell>
          <cell r="D25">
            <v>8810</v>
          </cell>
          <cell r="E25" t="str">
            <v>Transportation Manager</v>
          </cell>
          <cell r="G25" t="str">
            <v>Exempt</v>
          </cell>
          <cell r="H25" t="str">
            <v>salary.com</v>
          </cell>
          <cell r="I25">
            <v>85000</v>
          </cell>
          <cell r="J25">
            <v>40.865384615384613</v>
          </cell>
          <cell r="K25">
            <v>2.5000000000000001E-2</v>
          </cell>
          <cell r="L25">
            <v>40.865384615384613</v>
          </cell>
          <cell r="M25">
            <v>40.865384615384613</v>
          </cell>
          <cell r="N25">
            <v>41.694951923076921</v>
          </cell>
          <cell r="O25">
            <v>42.541359447115383</v>
          </cell>
          <cell r="P25">
            <v>43.404949043891826</v>
          </cell>
          <cell r="Q25">
            <v>44.286069509482829</v>
          </cell>
          <cell r="R25">
            <v>45.185076720525331</v>
          </cell>
          <cell r="S25">
            <v>46.102333777951991</v>
          </cell>
          <cell r="T25">
            <v>47.038211153644419</v>
          </cell>
          <cell r="U25">
            <v>47.993086840063398</v>
          </cell>
          <cell r="V25">
            <v>49.000941663704722</v>
          </cell>
          <cell r="W25">
            <v>4.75</v>
          </cell>
          <cell r="X25">
            <v>4.75</v>
          </cell>
          <cell r="Y25">
            <v>4.9874999999999998</v>
          </cell>
          <cell r="Z25">
            <v>5.2368750000000004</v>
          </cell>
          <cell r="AA25">
            <v>5.498718750000001</v>
          </cell>
          <cell r="AB25">
            <v>5.7736546875000014</v>
          </cell>
          <cell r="AC25">
            <v>6.0623374218750019</v>
          </cell>
          <cell r="AD25">
            <v>6.3654542929687521</v>
          </cell>
          <cell r="AE25">
            <v>6.6837270076171897</v>
          </cell>
          <cell r="AF25">
            <v>7.0179133579980499</v>
          </cell>
          <cell r="AG25">
            <v>7.3688090258979528</v>
          </cell>
          <cell r="AH25">
            <v>2.5000000000000001E-2</v>
          </cell>
          <cell r="AI25">
            <v>2.5000000000000001E-2</v>
          </cell>
          <cell r="AJ25">
            <v>2.5524999999999999E-2</v>
          </cell>
          <cell r="AK25">
            <v>2.6061024999999998E-2</v>
          </cell>
          <cell r="AL25">
            <v>2.6608306524999997E-2</v>
          </cell>
          <cell r="AM25">
            <v>2.7167080962024994E-2</v>
          </cell>
          <cell r="AN25">
            <v>2.7737589662227516E-2</v>
          </cell>
          <cell r="AO25">
            <v>2.832007904513429E-2</v>
          </cell>
          <cell r="AP25">
            <v>2.8914800705082108E-2</v>
          </cell>
          <cell r="AQ25">
            <v>2.9522011519888831E-2</v>
          </cell>
          <cell r="AR25">
            <v>3.0141973761806492E-2</v>
          </cell>
          <cell r="AS25">
            <v>2.7E-2</v>
          </cell>
          <cell r="AT25">
            <v>8000</v>
          </cell>
          <cell r="AU25">
            <v>216</v>
          </cell>
          <cell r="AV25">
            <v>1.52E-2</v>
          </cell>
          <cell r="AW25">
            <v>1.52E-2</v>
          </cell>
          <cell r="AX25">
            <v>1.5275999999999998E-2</v>
          </cell>
          <cell r="AY25">
            <v>1.5352379999999997E-2</v>
          </cell>
          <cell r="AZ25">
            <v>1.5429141899999995E-2</v>
          </cell>
          <cell r="BA25">
            <v>1.5506287609499993E-2</v>
          </cell>
          <cell r="BB25">
            <v>1.5583819047547491E-2</v>
          </cell>
          <cell r="BC25">
            <v>1.5661738142785226E-2</v>
          </cell>
          <cell r="BD25">
            <v>1.5740046833499152E-2</v>
          </cell>
          <cell r="BE25">
            <v>1.5740046833499152E-2</v>
          </cell>
          <cell r="BF25">
            <v>1.5740046833499152E-2</v>
          </cell>
          <cell r="BG25">
            <v>178.5</v>
          </cell>
          <cell r="BH25">
            <v>178.5</v>
          </cell>
          <cell r="BI25">
            <v>187.42500000000001</v>
          </cell>
          <cell r="BJ25">
            <v>196.79625000000001</v>
          </cell>
          <cell r="BK25">
            <v>206.63606250000004</v>
          </cell>
          <cell r="BL25">
            <v>216.96786562500006</v>
          </cell>
          <cell r="BM25">
            <v>227.81625890625008</v>
          </cell>
          <cell r="BN25">
            <v>239.2070718515626</v>
          </cell>
          <cell r="BO25">
            <v>251.16742544414075</v>
          </cell>
          <cell r="BP25">
            <v>263.72579671634782</v>
          </cell>
          <cell r="BQ25">
            <v>276.91208655216519</v>
          </cell>
          <cell r="BR25">
            <v>33.72</v>
          </cell>
          <cell r="BS25">
            <v>33.72</v>
          </cell>
          <cell r="BT25">
            <v>34.428119999999993</v>
          </cell>
          <cell r="BU25">
            <v>35.151110519999989</v>
          </cell>
          <cell r="BV25">
            <v>35.889283840919987</v>
          </cell>
          <cell r="BW25">
            <v>36.642958801579304</v>
          </cell>
          <cell r="BX25">
            <v>37.412460936412465</v>
          </cell>
          <cell r="BY25">
            <v>38.198122616077121</v>
          </cell>
          <cell r="BZ25">
            <v>39.000283191014738</v>
          </cell>
          <cell r="CA25">
            <v>39.819289138026043</v>
          </cell>
          <cell r="CB25">
            <v>40.655494209924584</v>
          </cell>
          <cell r="CC25">
            <v>87.55</v>
          </cell>
          <cell r="CD25">
            <v>87.55</v>
          </cell>
          <cell r="CE25">
            <v>91.927499999999995</v>
          </cell>
          <cell r="CF25">
            <v>96.523875000000004</v>
          </cell>
          <cell r="CG25">
            <v>101.35006875000001</v>
          </cell>
          <cell r="CH25">
            <v>106.41757218750001</v>
          </cell>
          <cell r="CI25">
            <v>111.73845079687501</v>
          </cell>
          <cell r="CJ25">
            <v>117.32537333671877</v>
          </cell>
          <cell r="CK25">
            <v>123.19164200355472</v>
          </cell>
          <cell r="CL25">
            <v>129.35122410373245</v>
          </cell>
          <cell r="CM25">
            <v>135.81878530891908</v>
          </cell>
          <cell r="CO25">
            <v>5.25</v>
          </cell>
          <cell r="CP25">
            <v>5.25</v>
          </cell>
          <cell r="CQ25">
            <v>5.5125000000000002</v>
          </cell>
          <cell r="CR25">
            <v>5.7881250000000009</v>
          </cell>
          <cell r="CS25">
            <v>6.0775312500000007</v>
          </cell>
          <cell r="CT25">
            <v>6.3814078125000009</v>
          </cell>
          <cell r="CU25">
            <v>6.7004782031250016</v>
          </cell>
          <cell r="CV25">
            <v>7.0355021132812521</v>
          </cell>
          <cell r="CW25">
            <v>7.3872772189453153</v>
          </cell>
          <cell r="CX25">
            <v>7.7566410798925816</v>
          </cell>
          <cell r="CY25">
            <v>8.1444731338872103</v>
          </cell>
          <cell r="CZ25">
            <v>1.52E-2</v>
          </cell>
          <cell r="DA25">
            <v>1.52E-2</v>
          </cell>
          <cell r="DB25">
            <v>1.5275999999999998E-2</v>
          </cell>
          <cell r="DC25">
            <v>1.5352379999999997E-2</v>
          </cell>
          <cell r="DD25">
            <v>1.5429141899999995E-2</v>
          </cell>
          <cell r="DE25">
            <v>1.5506287609499993E-2</v>
          </cell>
          <cell r="DF25">
            <v>1.5583819047547491E-2</v>
          </cell>
          <cell r="DG25">
            <v>1.5661738142785226E-2</v>
          </cell>
          <cell r="DH25">
            <v>1.5740046833499152E-2</v>
          </cell>
          <cell r="DI25">
            <v>1.5740046833499152E-2</v>
          </cell>
          <cell r="DJ25">
            <v>1.5740046833499152E-2</v>
          </cell>
        </row>
        <row r="26">
          <cell r="C26">
            <v>1025</v>
          </cell>
          <cell r="D26">
            <v>8810</v>
          </cell>
          <cell r="E26" t="str">
            <v>WHE Operation and Maintenance Manager</v>
          </cell>
          <cell r="G26" t="str">
            <v>Exempt</v>
          </cell>
          <cell r="H26" t="str">
            <v>salary.com</v>
          </cell>
          <cell r="I26">
            <v>85000</v>
          </cell>
          <cell r="J26">
            <v>40.865384615384613</v>
          </cell>
          <cell r="K26">
            <v>2.5000000000000001E-2</v>
          </cell>
          <cell r="L26">
            <v>40.865384615384613</v>
          </cell>
          <cell r="M26">
            <v>40.865384615384613</v>
          </cell>
          <cell r="N26">
            <v>41.694951923076921</v>
          </cell>
          <cell r="O26">
            <v>42.541359447115383</v>
          </cell>
          <cell r="P26">
            <v>43.404949043891826</v>
          </cell>
          <cell r="Q26">
            <v>44.286069509482829</v>
          </cell>
          <cell r="R26">
            <v>45.185076720525331</v>
          </cell>
          <cell r="S26">
            <v>46.102333777951991</v>
          </cell>
          <cell r="T26">
            <v>47.038211153644419</v>
          </cell>
          <cell r="U26">
            <v>47.993086840063398</v>
          </cell>
          <cell r="V26">
            <v>49.000941663704722</v>
          </cell>
          <cell r="W26">
            <v>4.75</v>
          </cell>
          <cell r="X26">
            <v>4.75</v>
          </cell>
          <cell r="Y26">
            <v>4.9874999999999998</v>
          </cell>
          <cell r="Z26">
            <v>5.2368750000000004</v>
          </cell>
          <cell r="AA26">
            <v>5.498718750000001</v>
          </cell>
          <cell r="AB26">
            <v>5.7736546875000014</v>
          </cell>
          <cell r="AC26">
            <v>6.0623374218750019</v>
          </cell>
          <cell r="AD26">
            <v>6.3654542929687521</v>
          </cell>
          <cell r="AE26">
            <v>6.6837270076171897</v>
          </cell>
          <cell r="AF26">
            <v>7.0179133579980499</v>
          </cell>
          <cell r="AG26">
            <v>7.3688090258979528</v>
          </cell>
          <cell r="AH26">
            <v>2.5000000000000001E-2</v>
          </cell>
          <cell r="AI26">
            <v>2.5000000000000001E-2</v>
          </cell>
          <cell r="AJ26">
            <v>2.5524999999999999E-2</v>
          </cell>
          <cell r="AK26">
            <v>2.6061024999999998E-2</v>
          </cell>
          <cell r="AL26">
            <v>2.6608306524999997E-2</v>
          </cell>
          <cell r="AM26">
            <v>2.7167080962024994E-2</v>
          </cell>
          <cell r="AN26">
            <v>2.7737589662227516E-2</v>
          </cell>
          <cell r="AO26">
            <v>2.832007904513429E-2</v>
          </cell>
          <cell r="AP26">
            <v>2.8914800705082108E-2</v>
          </cell>
          <cell r="AQ26">
            <v>2.9522011519888831E-2</v>
          </cell>
          <cell r="AR26">
            <v>3.0141973761806492E-2</v>
          </cell>
          <cell r="AS26">
            <v>2.7E-2</v>
          </cell>
          <cell r="AT26">
            <v>8000</v>
          </cell>
          <cell r="AU26">
            <v>216</v>
          </cell>
          <cell r="AV26">
            <v>1.52E-2</v>
          </cell>
          <cell r="AW26">
            <v>1.52E-2</v>
          </cell>
          <cell r="AX26">
            <v>1.5275999999999998E-2</v>
          </cell>
          <cell r="AY26">
            <v>1.5352379999999997E-2</v>
          </cell>
          <cell r="AZ26">
            <v>1.5429141899999995E-2</v>
          </cell>
          <cell r="BA26">
            <v>1.5506287609499993E-2</v>
          </cell>
          <cell r="BB26">
            <v>1.5583819047547491E-2</v>
          </cell>
          <cell r="BC26">
            <v>1.5661738142785226E-2</v>
          </cell>
          <cell r="BD26">
            <v>1.5740046833499152E-2</v>
          </cell>
          <cell r="BE26">
            <v>1.5740046833499152E-2</v>
          </cell>
          <cell r="BF26">
            <v>1.5740046833499152E-2</v>
          </cell>
          <cell r="BG26">
            <v>178.5</v>
          </cell>
          <cell r="BH26">
            <v>178.5</v>
          </cell>
          <cell r="BI26">
            <v>187.42500000000001</v>
          </cell>
          <cell r="BJ26">
            <v>196.79625000000001</v>
          </cell>
          <cell r="BK26">
            <v>206.63606250000004</v>
          </cell>
          <cell r="BL26">
            <v>216.96786562500006</v>
          </cell>
          <cell r="BM26">
            <v>227.81625890625008</v>
          </cell>
          <cell r="BN26">
            <v>239.2070718515626</v>
          </cell>
          <cell r="BO26">
            <v>251.16742544414075</v>
          </cell>
          <cell r="BP26">
            <v>263.72579671634782</v>
          </cell>
          <cell r="BQ26">
            <v>276.91208655216519</v>
          </cell>
          <cell r="BR26">
            <v>33.72</v>
          </cell>
          <cell r="BS26">
            <v>33.72</v>
          </cell>
          <cell r="BT26">
            <v>34.428119999999993</v>
          </cell>
          <cell r="BU26">
            <v>35.151110519999989</v>
          </cell>
          <cell r="BV26">
            <v>35.889283840919987</v>
          </cell>
          <cell r="BW26">
            <v>36.642958801579304</v>
          </cell>
          <cell r="BX26">
            <v>37.412460936412465</v>
          </cell>
          <cell r="BY26">
            <v>38.198122616077121</v>
          </cell>
          <cell r="BZ26">
            <v>39.000283191014738</v>
          </cell>
          <cell r="CA26">
            <v>39.819289138026043</v>
          </cell>
          <cell r="CB26">
            <v>40.655494209924584</v>
          </cell>
          <cell r="CC26">
            <v>87.55</v>
          </cell>
          <cell r="CD26">
            <v>87.55</v>
          </cell>
          <cell r="CE26">
            <v>91.927499999999995</v>
          </cell>
          <cell r="CF26">
            <v>96.523875000000004</v>
          </cell>
          <cell r="CG26">
            <v>101.35006875000001</v>
          </cell>
          <cell r="CH26">
            <v>106.41757218750001</v>
          </cell>
          <cell r="CI26">
            <v>111.73845079687501</v>
          </cell>
          <cell r="CJ26">
            <v>117.32537333671877</v>
          </cell>
          <cell r="CK26">
            <v>123.19164200355472</v>
          </cell>
          <cell r="CL26">
            <v>129.35122410373245</v>
          </cell>
          <cell r="CM26">
            <v>135.81878530891908</v>
          </cell>
          <cell r="CO26">
            <v>5.25</v>
          </cell>
          <cell r="CP26">
            <v>5.25</v>
          </cell>
          <cell r="CQ26">
            <v>5.5125000000000002</v>
          </cell>
          <cell r="CR26">
            <v>5.7881250000000009</v>
          </cell>
          <cell r="CS26">
            <v>6.0775312500000007</v>
          </cell>
          <cell r="CT26">
            <v>6.3814078125000009</v>
          </cell>
          <cell r="CU26">
            <v>6.7004782031250016</v>
          </cell>
          <cell r="CV26">
            <v>7.0355021132812521</v>
          </cell>
          <cell r="CW26">
            <v>7.3872772189453153</v>
          </cell>
          <cell r="CX26">
            <v>7.7566410798925816</v>
          </cell>
          <cell r="CY26">
            <v>8.1444731338872103</v>
          </cell>
          <cell r="CZ26">
            <v>1.52E-2</v>
          </cell>
          <cell r="DA26">
            <v>1.52E-2</v>
          </cell>
          <cell r="DB26">
            <v>1.5275999999999998E-2</v>
          </cell>
          <cell r="DC26">
            <v>1.5352379999999997E-2</v>
          </cell>
          <cell r="DD26">
            <v>1.5429141899999995E-2</v>
          </cell>
          <cell r="DE26">
            <v>1.5506287609499993E-2</v>
          </cell>
          <cell r="DF26">
            <v>1.5583819047547491E-2</v>
          </cell>
          <cell r="DG26">
            <v>1.5661738142785226E-2</v>
          </cell>
          <cell r="DH26">
            <v>1.5740046833499152E-2</v>
          </cell>
          <cell r="DI26">
            <v>1.5740046833499152E-2</v>
          </cell>
          <cell r="DJ26">
            <v>1.5740046833499152E-2</v>
          </cell>
        </row>
        <row r="27">
          <cell r="C27">
            <v>1030</v>
          </cell>
          <cell r="D27">
            <v>8810</v>
          </cell>
          <cell r="E27" t="str">
            <v>Fleet Readiness Center Southeast Supervisor</v>
          </cell>
          <cell r="G27" t="str">
            <v>Exempt</v>
          </cell>
          <cell r="H27" t="str">
            <v>salary.com</v>
          </cell>
          <cell r="I27">
            <v>85000</v>
          </cell>
          <cell r="J27">
            <v>40.865384615384613</v>
          </cell>
          <cell r="K27">
            <v>2.5000000000000001E-2</v>
          </cell>
          <cell r="L27">
            <v>40.865384615384613</v>
          </cell>
          <cell r="M27">
            <v>40.865384615384613</v>
          </cell>
          <cell r="N27">
            <v>41.694951923076921</v>
          </cell>
          <cell r="O27">
            <v>42.541359447115383</v>
          </cell>
          <cell r="P27">
            <v>43.404949043891826</v>
          </cell>
          <cell r="Q27">
            <v>44.286069509482829</v>
          </cell>
          <cell r="R27">
            <v>45.185076720525331</v>
          </cell>
          <cell r="S27">
            <v>46.102333777951991</v>
          </cell>
          <cell r="T27">
            <v>47.038211153644419</v>
          </cell>
          <cell r="U27">
            <v>47.993086840063398</v>
          </cell>
          <cell r="V27">
            <v>49.000941663704722</v>
          </cell>
          <cell r="W27">
            <v>4.75</v>
          </cell>
          <cell r="X27">
            <v>4.75</v>
          </cell>
          <cell r="Y27">
            <v>4.9874999999999998</v>
          </cell>
          <cell r="Z27">
            <v>5.2368750000000004</v>
          </cell>
          <cell r="AA27">
            <v>5.498718750000001</v>
          </cell>
          <cell r="AB27">
            <v>5.7736546875000014</v>
          </cell>
          <cell r="AC27">
            <v>6.0623374218750019</v>
          </cell>
          <cell r="AD27">
            <v>6.3654542929687521</v>
          </cell>
          <cell r="AE27">
            <v>6.6837270076171897</v>
          </cell>
          <cell r="AF27">
            <v>7.0179133579980499</v>
          </cell>
          <cell r="AG27">
            <v>7.3688090258979528</v>
          </cell>
          <cell r="AH27">
            <v>2.5000000000000001E-2</v>
          </cell>
          <cell r="AI27">
            <v>2.5000000000000001E-2</v>
          </cell>
          <cell r="AJ27">
            <v>2.5524999999999999E-2</v>
          </cell>
          <cell r="AK27">
            <v>2.6061024999999998E-2</v>
          </cell>
          <cell r="AL27">
            <v>2.6608306524999997E-2</v>
          </cell>
          <cell r="AM27">
            <v>2.7167080962024994E-2</v>
          </cell>
          <cell r="AN27">
            <v>2.7737589662227516E-2</v>
          </cell>
          <cell r="AO27">
            <v>2.832007904513429E-2</v>
          </cell>
          <cell r="AP27">
            <v>2.8914800705082108E-2</v>
          </cell>
          <cell r="AQ27">
            <v>2.9522011519888831E-2</v>
          </cell>
          <cell r="AR27">
            <v>3.0141973761806492E-2</v>
          </cell>
          <cell r="AS27">
            <v>2.7E-2</v>
          </cell>
          <cell r="AT27">
            <v>8000</v>
          </cell>
          <cell r="AU27">
            <v>216</v>
          </cell>
          <cell r="AV27">
            <v>1.52E-2</v>
          </cell>
          <cell r="AW27">
            <v>1.52E-2</v>
          </cell>
          <cell r="AX27">
            <v>1.5275999999999998E-2</v>
          </cell>
          <cell r="AY27">
            <v>1.5352379999999997E-2</v>
          </cell>
          <cell r="AZ27">
            <v>1.5429141899999995E-2</v>
          </cell>
          <cell r="BA27">
            <v>1.5506287609499993E-2</v>
          </cell>
          <cell r="BB27">
            <v>1.5583819047547491E-2</v>
          </cell>
          <cell r="BC27">
            <v>1.5661738142785226E-2</v>
          </cell>
          <cell r="BD27">
            <v>1.5740046833499152E-2</v>
          </cell>
          <cell r="BE27">
            <v>1.5740046833499152E-2</v>
          </cell>
          <cell r="BF27">
            <v>1.5740046833499152E-2</v>
          </cell>
          <cell r="BG27">
            <v>178.5</v>
          </cell>
          <cell r="BH27">
            <v>178.5</v>
          </cell>
          <cell r="BI27">
            <v>187.42500000000001</v>
          </cell>
          <cell r="BJ27">
            <v>196.79625000000001</v>
          </cell>
          <cell r="BK27">
            <v>206.63606250000004</v>
          </cell>
          <cell r="BL27">
            <v>216.96786562500006</v>
          </cell>
          <cell r="BM27">
            <v>227.81625890625008</v>
          </cell>
          <cell r="BN27">
            <v>239.2070718515626</v>
          </cell>
          <cell r="BO27">
            <v>251.16742544414075</v>
          </cell>
          <cell r="BP27">
            <v>263.72579671634782</v>
          </cell>
          <cell r="BQ27">
            <v>276.91208655216519</v>
          </cell>
          <cell r="BR27">
            <v>33.72</v>
          </cell>
          <cell r="BS27">
            <v>33.72</v>
          </cell>
          <cell r="BT27">
            <v>34.428119999999993</v>
          </cell>
          <cell r="BU27">
            <v>35.151110519999989</v>
          </cell>
          <cell r="BV27">
            <v>35.889283840919987</v>
          </cell>
          <cell r="BW27">
            <v>36.642958801579304</v>
          </cell>
          <cell r="BX27">
            <v>37.412460936412465</v>
          </cell>
          <cell r="BY27">
            <v>38.198122616077121</v>
          </cell>
          <cell r="BZ27">
            <v>39.000283191014738</v>
          </cell>
          <cell r="CA27">
            <v>39.819289138026043</v>
          </cell>
          <cell r="CB27">
            <v>40.655494209924584</v>
          </cell>
          <cell r="CC27">
            <v>87.55</v>
          </cell>
          <cell r="CD27">
            <v>87.55</v>
          </cell>
          <cell r="CE27">
            <v>91.927499999999995</v>
          </cell>
          <cell r="CF27">
            <v>96.523875000000004</v>
          </cell>
          <cell r="CG27">
            <v>101.35006875000001</v>
          </cell>
          <cell r="CH27">
            <v>106.41757218750001</v>
          </cell>
          <cell r="CI27">
            <v>111.73845079687501</v>
          </cell>
          <cell r="CJ27">
            <v>117.32537333671877</v>
          </cell>
          <cell r="CK27">
            <v>123.19164200355472</v>
          </cell>
          <cell r="CL27">
            <v>129.35122410373245</v>
          </cell>
          <cell r="CM27">
            <v>135.81878530891908</v>
          </cell>
          <cell r="CO27">
            <v>5.25</v>
          </cell>
          <cell r="CP27">
            <v>5.25</v>
          </cell>
          <cell r="CQ27">
            <v>5.5125000000000002</v>
          </cell>
          <cell r="CR27">
            <v>5.7881250000000009</v>
          </cell>
          <cell r="CS27">
            <v>6.0775312500000007</v>
          </cell>
          <cell r="CT27">
            <v>6.3814078125000009</v>
          </cell>
          <cell r="CU27">
            <v>6.7004782031250016</v>
          </cell>
          <cell r="CV27">
            <v>7.0355021132812521</v>
          </cell>
          <cell r="CW27">
            <v>7.3872772189453153</v>
          </cell>
          <cell r="CX27">
            <v>7.7566410798925816</v>
          </cell>
          <cell r="CY27">
            <v>8.1444731338872103</v>
          </cell>
          <cell r="CZ27">
            <v>1.52E-2</v>
          </cell>
          <cell r="DA27">
            <v>1.52E-2</v>
          </cell>
          <cell r="DB27">
            <v>1.5275999999999998E-2</v>
          </cell>
          <cell r="DC27">
            <v>1.5352379999999997E-2</v>
          </cell>
          <cell r="DD27">
            <v>1.5429141899999995E-2</v>
          </cell>
          <cell r="DE27">
            <v>1.5506287609499993E-2</v>
          </cell>
          <cell r="DF27">
            <v>1.5583819047547491E-2</v>
          </cell>
          <cell r="DG27">
            <v>1.5661738142785226E-2</v>
          </cell>
          <cell r="DH27">
            <v>1.5740046833499152E-2</v>
          </cell>
          <cell r="DI27">
            <v>1.5740046833499152E-2</v>
          </cell>
          <cell r="DJ27">
            <v>1.5740046833499152E-2</v>
          </cell>
        </row>
        <row r="28">
          <cell r="C28">
            <v>1035</v>
          </cell>
          <cell r="D28">
            <v>8810</v>
          </cell>
          <cell r="E28" t="str">
            <v>Utilities Supervisor</v>
          </cell>
          <cell r="G28" t="str">
            <v>Exempt</v>
          </cell>
          <cell r="H28" t="str">
            <v>salary.com</v>
          </cell>
          <cell r="I28">
            <v>107459</v>
          </cell>
          <cell r="J28">
            <v>51.662980769230771</v>
          </cell>
          <cell r="K28">
            <v>2.5000000000000001E-2</v>
          </cell>
          <cell r="L28">
            <v>51.662980769230771</v>
          </cell>
          <cell r="M28">
            <v>51.662980769230771</v>
          </cell>
          <cell r="N28">
            <v>52.711739278846153</v>
          </cell>
          <cell r="O28">
            <v>53.781787586206732</v>
          </cell>
          <cell r="P28">
            <v>54.873557874206732</v>
          </cell>
          <cell r="Q28">
            <v>55.98749109905313</v>
          </cell>
          <cell r="R28">
            <v>57.124037168363905</v>
          </cell>
          <cell r="S28">
            <v>58.28365512288169</v>
          </cell>
          <cell r="T28">
            <v>59.466813321876188</v>
          </cell>
          <cell r="U28">
            <v>60.673989632310274</v>
          </cell>
          <cell r="V28">
            <v>61.948143414588785</v>
          </cell>
          <cell r="W28">
            <v>4.75</v>
          </cell>
          <cell r="X28">
            <v>4.75</v>
          </cell>
          <cell r="Y28">
            <v>4.9874999999999998</v>
          </cell>
          <cell r="Z28">
            <v>5.2368750000000004</v>
          </cell>
          <cell r="AA28">
            <v>5.498718750000001</v>
          </cell>
          <cell r="AB28">
            <v>5.7736546875000014</v>
          </cell>
          <cell r="AC28">
            <v>6.0623374218750019</v>
          </cell>
          <cell r="AD28">
            <v>6.3654542929687521</v>
          </cell>
          <cell r="AE28">
            <v>6.6837270076171897</v>
          </cell>
          <cell r="AF28">
            <v>7.0179133579980499</v>
          </cell>
          <cell r="AG28">
            <v>7.3688090258979528</v>
          </cell>
          <cell r="AH28">
            <v>2.5000000000000001E-2</v>
          </cell>
          <cell r="AI28">
            <v>2.5000000000000001E-2</v>
          </cell>
          <cell r="AJ28">
            <v>2.5524999999999999E-2</v>
          </cell>
          <cell r="AK28">
            <v>2.6061024999999998E-2</v>
          </cell>
          <cell r="AL28">
            <v>2.6608306524999997E-2</v>
          </cell>
          <cell r="AM28">
            <v>2.7167080962024994E-2</v>
          </cell>
          <cell r="AN28">
            <v>2.7737589662227516E-2</v>
          </cell>
          <cell r="AO28">
            <v>2.832007904513429E-2</v>
          </cell>
          <cell r="AP28">
            <v>2.8914800705082108E-2</v>
          </cell>
          <cell r="AQ28">
            <v>2.9522011519888831E-2</v>
          </cell>
          <cell r="AR28">
            <v>3.0141973761806492E-2</v>
          </cell>
          <cell r="AS28">
            <v>2.7E-2</v>
          </cell>
          <cell r="AT28">
            <v>8000</v>
          </cell>
          <cell r="AU28">
            <v>216</v>
          </cell>
          <cell r="AV28">
            <v>1.52E-2</v>
          </cell>
          <cell r="AW28">
            <v>1.52E-2</v>
          </cell>
          <cell r="AX28">
            <v>1.5275999999999998E-2</v>
          </cell>
          <cell r="AY28">
            <v>1.5352379999999997E-2</v>
          </cell>
          <cell r="AZ28">
            <v>1.5429141899999995E-2</v>
          </cell>
          <cell r="BA28">
            <v>1.5506287609499993E-2</v>
          </cell>
          <cell r="BB28">
            <v>1.5583819047547491E-2</v>
          </cell>
          <cell r="BC28">
            <v>1.5661738142785226E-2</v>
          </cell>
          <cell r="BD28">
            <v>1.5740046833499152E-2</v>
          </cell>
          <cell r="BE28">
            <v>1.5740046833499152E-2</v>
          </cell>
          <cell r="BF28">
            <v>1.5740046833499152E-2</v>
          </cell>
          <cell r="BG28">
            <v>225.66389999999998</v>
          </cell>
          <cell r="BH28">
            <v>225.66389999999998</v>
          </cell>
          <cell r="BI28">
            <v>236.94709499999999</v>
          </cell>
          <cell r="BJ28">
            <v>248.79444975000001</v>
          </cell>
          <cell r="BK28">
            <v>261.23417223750005</v>
          </cell>
          <cell r="BL28">
            <v>274.29588084937507</v>
          </cell>
          <cell r="BM28">
            <v>288.01067489184385</v>
          </cell>
          <cell r="BN28">
            <v>302.41120863643607</v>
          </cell>
          <cell r="BO28">
            <v>317.53176906825792</v>
          </cell>
          <cell r="BP28">
            <v>333.40835752167084</v>
          </cell>
          <cell r="BQ28">
            <v>350.07877539775438</v>
          </cell>
          <cell r="BR28">
            <v>33.72</v>
          </cell>
          <cell r="BS28">
            <v>33.72</v>
          </cell>
          <cell r="BT28">
            <v>34.428119999999993</v>
          </cell>
          <cell r="BU28">
            <v>35.151110519999989</v>
          </cell>
          <cell r="BV28">
            <v>35.889283840919987</v>
          </cell>
          <cell r="BW28">
            <v>36.642958801579304</v>
          </cell>
          <cell r="BX28">
            <v>37.412460936412465</v>
          </cell>
          <cell r="BY28">
            <v>38.198122616077121</v>
          </cell>
          <cell r="BZ28">
            <v>39.000283191014738</v>
          </cell>
          <cell r="CA28">
            <v>39.819289138026043</v>
          </cell>
          <cell r="CB28">
            <v>40.655494209924584</v>
          </cell>
          <cell r="CC28">
            <v>110.68276999999999</v>
          </cell>
          <cell r="CD28">
            <v>110.68276999999999</v>
          </cell>
          <cell r="CE28">
            <v>116.21690849999999</v>
          </cell>
          <cell r="CF28">
            <v>122.027753925</v>
          </cell>
          <cell r="CG28">
            <v>128.12914162125</v>
          </cell>
          <cell r="CH28">
            <v>134.53559870231251</v>
          </cell>
          <cell r="CI28">
            <v>141.26237863742816</v>
          </cell>
          <cell r="CJ28">
            <v>148.32549756929956</v>
          </cell>
          <cell r="CK28">
            <v>155.74177244776453</v>
          </cell>
          <cell r="CL28">
            <v>163.52886107015277</v>
          </cell>
          <cell r="CM28">
            <v>171.70530412366043</v>
          </cell>
          <cell r="CO28">
            <v>5.25</v>
          </cell>
          <cell r="CP28">
            <v>5.25</v>
          </cell>
          <cell r="CQ28">
            <v>5.5125000000000002</v>
          </cell>
          <cell r="CR28">
            <v>5.7881250000000009</v>
          </cell>
          <cell r="CS28">
            <v>6.0775312500000007</v>
          </cell>
          <cell r="CT28">
            <v>6.3814078125000009</v>
          </cell>
          <cell r="CU28">
            <v>6.7004782031250016</v>
          </cell>
          <cell r="CV28">
            <v>7.0355021132812521</v>
          </cell>
          <cell r="CW28">
            <v>7.3872772189453153</v>
          </cell>
          <cell r="CX28">
            <v>7.7566410798925816</v>
          </cell>
          <cell r="CY28">
            <v>8.1444731338872103</v>
          </cell>
          <cell r="CZ28">
            <v>1.52E-2</v>
          </cell>
          <cell r="DA28">
            <v>1.52E-2</v>
          </cell>
          <cell r="DB28">
            <v>1.5275999999999998E-2</v>
          </cell>
          <cell r="DC28">
            <v>1.5352379999999997E-2</v>
          </cell>
          <cell r="DD28">
            <v>1.5429141899999995E-2</v>
          </cell>
          <cell r="DE28">
            <v>1.5506287609499993E-2</v>
          </cell>
          <cell r="DF28">
            <v>1.5583819047547491E-2</v>
          </cell>
          <cell r="DG28">
            <v>1.5661738142785226E-2</v>
          </cell>
          <cell r="DH28">
            <v>1.5740046833499152E-2</v>
          </cell>
          <cell r="DI28">
            <v>1.5740046833499152E-2</v>
          </cell>
          <cell r="DJ28">
            <v>1.5740046833499152E-2</v>
          </cell>
        </row>
        <row r="29">
          <cell r="C29">
            <v>1040</v>
          </cell>
          <cell r="D29">
            <v>8810</v>
          </cell>
          <cell r="E29" t="str">
            <v>QC Specialist, Electrical/Fire Alarm</v>
          </cell>
          <cell r="G29" t="str">
            <v>Exempt</v>
          </cell>
          <cell r="H29" t="str">
            <v>salary.com</v>
          </cell>
          <cell r="I29">
            <v>72281</v>
          </cell>
          <cell r="J29">
            <v>34.750480769230769</v>
          </cell>
          <cell r="K29">
            <v>2.5000000000000001E-2</v>
          </cell>
          <cell r="L29">
            <v>34.750480769230769</v>
          </cell>
          <cell r="M29">
            <v>34.750480769230769</v>
          </cell>
          <cell r="N29">
            <v>35.455915528846155</v>
          </cell>
          <cell r="O29">
            <v>36.175670614081731</v>
          </cell>
          <cell r="P29">
            <v>36.910036727547592</v>
          </cell>
          <cell r="Q29">
            <v>37.659310473116804</v>
          </cell>
          <cell r="R29">
            <v>38.423794475721074</v>
          </cell>
          <cell r="S29">
            <v>39.203797503578208</v>
          </cell>
          <cell r="T29">
            <v>39.999634592900847</v>
          </cell>
          <cell r="U29">
            <v>40.811627175136735</v>
          </cell>
          <cell r="V29">
            <v>41.668671345814602</v>
          </cell>
          <cell r="W29">
            <v>4.75</v>
          </cell>
          <cell r="X29">
            <v>4.75</v>
          </cell>
          <cell r="Y29">
            <v>4.9874999999999998</v>
          </cell>
          <cell r="Z29">
            <v>5.2368750000000004</v>
          </cell>
          <cell r="AA29">
            <v>5.498718750000001</v>
          </cell>
          <cell r="AB29">
            <v>5.7736546875000014</v>
          </cell>
          <cell r="AC29">
            <v>6.0623374218750019</v>
          </cell>
          <cell r="AD29">
            <v>6.3654542929687521</v>
          </cell>
          <cell r="AE29">
            <v>6.6837270076171897</v>
          </cell>
          <cell r="AF29">
            <v>7.0179133579980499</v>
          </cell>
          <cell r="AG29">
            <v>7.3688090258979528</v>
          </cell>
          <cell r="AH29">
            <v>2.5000000000000001E-2</v>
          </cell>
          <cell r="AI29">
            <v>2.5000000000000001E-2</v>
          </cell>
          <cell r="AJ29">
            <v>2.5524999999999999E-2</v>
          </cell>
          <cell r="AK29">
            <v>2.6061024999999998E-2</v>
          </cell>
          <cell r="AL29">
            <v>2.6608306524999997E-2</v>
          </cell>
          <cell r="AM29">
            <v>2.7167080962024994E-2</v>
          </cell>
          <cell r="AN29">
            <v>2.7737589662227516E-2</v>
          </cell>
          <cell r="AO29">
            <v>2.832007904513429E-2</v>
          </cell>
          <cell r="AP29">
            <v>2.8914800705082108E-2</v>
          </cell>
          <cell r="AQ29">
            <v>2.9522011519888831E-2</v>
          </cell>
          <cell r="AR29">
            <v>3.0141973761806492E-2</v>
          </cell>
          <cell r="AS29">
            <v>2.7E-2</v>
          </cell>
          <cell r="AT29">
            <v>8000</v>
          </cell>
          <cell r="AU29">
            <v>216</v>
          </cell>
          <cell r="AV29">
            <v>1.52E-2</v>
          </cell>
          <cell r="AW29">
            <v>1.52E-2</v>
          </cell>
          <cell r="AX29">
            <v>1.5275999999999998E-2</v>
          </cell>
          <cell r="AY29">
            <v>1.5352379999999997E-2</v>
          </cell>
          <cell r="AZ29">
            <v>1.5429141899999995E-2</v>
          </cell>
          <cell r="BA29">
            <v>1.5506287609499993E-2</v>
          </cell>
          <cell r="BB29">
            <v>1.5583819047547491E-2</v>
          </cell>
          <cell r="BC29">
            <v>1.5661738142785226E-2</v>
          </cell>
          <cell r="BD29">
            <v>1.5740046833499152E-2</v>
          </cell>
          <cell r="BE29">
            <v>1.5740046833499152E-2</v>
          </cell>
          <cell r="BF29">
            <v>1.5740046833499152E-2</v>
          </cell>
          <cell r="BG29">
            <v>151.7901</v>
          </cell>
          <cell r="BH29">
            <v>151.7901</v>
          </cell>
          <cell r="BI29">
            <v>159.379605</v>
          </cell>
          <cell r="BJ29">
            <v>167.34858525000001</v>
          </cell>
          <cell r="BK29">
            <v>175.71601451250001</v>
          </cell>
          <cell r="BL29">
            <v>184.501815238125</v>
          </cell>
          <cell r="BM29">
            <v>193.72690600003125</v>
          </cell>
          <cell r="BN29">
            <v>203.41325130003281</v>
          </cell>
          <cell r="BO29">
            <v>213.58391386503448</v>
          </cell>
          <cell r="BP29">
            <v>224.2631095582862</v>
          </cell>
          <cell r="BQ29">
            <v>235.47626503620052</v>
          </cell>
          <cell r="BR29">
            <v>33.72</v>
          </cell>
          <cell r="BS29">
            <v>33.72</v>
          </cell>
          <cell r="BT29">
            <v>34.428119999999993</v>
          </cell>
          <cell r="BU29">
            <v>35.151110519999989</v>
          </cell>
          <cell r="BV29">
            <v>35.889283840919987</v>
          </cell>
          <cell r="BW29">
            <v>36.642958801579304</v>
          </cell>
          <cell r="BX29">
            <v>37.412460936412465</v>
          </cell>
          <cell r="BY29">
            <v>38.198122616077121</v>
          </cell>
          <cell r="BZ29">
            <v>39.000283191014738</v>
          </cell>
          <cell r="CA29">
            <v>39.819289138026043</v>
          </cell>
          <cell r="CB29">
            <v>40.655494209924584</v>
          </cell>
          <cell r="CC29">
            <v>74.449429999999992</v>
          </cell>
          <cell r="CD29">
            <v>74.449429999999992</v>
          </cell>
          <cell r="CE29">
            <v>78.17190149999999</v>
          </cell>
          <cell r="CF29">
            <v>82.080496574999998</v>
          </cell>
          <cell r="CG29">
            <v>86.184521403749997</v>
          </cell>
          <cell r="CH29">
            <v>90.493747473937503</v>
          </cell>
          <cell r="CI29">
            <v>95.018434847634381</v>
          </cell>
          <cell r="CJ29">
            <v>99.769356590016102</v>
          </cell>
          <cell r="CK29">
            <v>104.75782441951691</v>
          </cell>
          <cell r="CL29">
            <v>109.99571564049276</v>
          </cell>
          <cell r="CM29">
            <v>115.49550142251741</v>
          </cell>
          <cell r="CO29">
            <v>5.25</v>
          </cell>
          <cell r="CP29">
            <v>5.25</v>
          </cell>
          <cell r="CQ29">
            <v>5.5125000000000002</v>
          </cell>
          <cell r="CR29">
            <v>5.7881250000000009</v>
          </cell>
          <cell r="CS29">
            <v>6.0775312500000007</v>
          </cell>
          <cell r="CT29">
            <v>6.3814078125000009</v>
          </cell>
          <cell r="CU29">
            <v>6.7004782031250016</v>
          </cell>
          <cell r="CV29">
            <v>7.0355021132812521</v>
          </cell>
          <cell r="CW29">
            <v>7.3872772189453153</v>
          </cell>
          <cell r="CX29">
            <v>7.7566410798925816</v>
          </cell>
          <cell r="CY29">
            <v>8.1444731338872103</v>
          </cell>
          <cell r="CZ29">
            <v>1.52E-2</v>
          </cell>
          <cell r="DA29">
            <v>1.52E-2</v>
          </cell>
          <cell r="DB29">
            <v>1.5275999999999998E-2</v>
          </cell>
          <cell r="DC29">
            <v>1.5352379999999997E-2</v>
          </cell>
          <cell r="DD29">
            <v>1.5429141899999995E-2</v>
          </cell>
          <cell r="DE29">
            <v>1.5506287609499993E-2</v>
          </cell>
          <cell r="DF29">
            <v>1.5583819047547491E-2</v>
          </cell>
          <cell r="DG29">
            <v>1.5661738142785226E-2</v>
          </cell>
          <cell r="DH29">
            <v>1.5740046833499152E-2</v>
          </cell>
          <cell r="DI29">
            <v>1.5740046833499152E-2</v>
          </cell>
          <cell r="DJ29">
            <v>1.5740046833499152E-2</v>
          </cell>
        </row>
        <row r="30">
          <cell r="C30">
            <v>1045</v>
          </cell>
          <cell r="D30">
            <v>8810</v>
          </cell>
          <cell r="E30" t="str">
            <v>QC Specialist, Facilities Maintenance</v>
          </cell>
          <cell r="G30" t="str">
            <v>Exempt</v>
          </cell>
          <cell r="H30" t="str">
            <v>salary.com</v>
          </cell>
          <cell r="I30">
            <v>72281</v>
          </cell>
          <cell r="J30">
            <v>34.750480769230769</v>
          </cell>
          <cell r="K30">
            <v>2.5000000000000001E-2</v>
          </cell>
          <cell r="L30">
            <v>34.750480769230769</v>
          </cell>
          <cell r="M30">
            <v>34.750480769230769</v>
          </cell>
          <cell r="N30">
            <v>35.455915528846155</v>
          </cell>
          <cell r="O30">
            <v>36.175670614081731</v>
          </cell>
          <cell r="P30">
            <v>36.910036727547592</v>
          </cell>
          <cell r="Q30">
            <v>37.659310473116804</v>
          </cell>
          <cell r="R30">
            <v>38.423794475721074</v>
          </cell>
          <cell r="S30">
            <v>39.203797503578208</v>
          </cell>
          <cell r="T30">
            <v>39.999634592900847</v>
          </cell>
          <cell r="U30">
            <v>40.811627175136735</v>
          </cell>
          <cell r="V30">
            <v>41.668671345814602</v>
          </cell>
          <cell r="W30">
            <v>4.75</v>
          </cell>
          <cell r="X30">
            <v>4.75</v>
          </cell>
          <cell r="Y30">
            <v>4.9874999999999998</v>
          </cell>
          <cell r="Z30">
            <v>5.2368750000000004</v>
          </cell>
          <cell r="AA30">
            <v>5.498718750000001</v>
          </cell>
          <cell r="AB30">
            <v>5.7736546875000014</v>
          </cell>
          <cell r="AC30">
            <v>6.0623374218750019</v>
          </cell>
          <cell r="AD30">
            <v>6.3654542929687521</v>
          </cell>
          <cell r="AE30">
            <v>6.6837270076171897</v>
          </cell>
          <cell r="AF30">
            <v>7.0179133579980499</v>
          </cell>
          <cell r="AG30">
            <v>7.3688090258979528</v>
          </cell>
          <cell r="AH30">
            <v>2.5000000000000001E-2</v>
          </cell>
          <cell r="AI30">
            <v>2.5000000000000001E-2</v>
          </cell>
          <cell r="AJ30">
            <v>2.5524999999999999E-2</v>
          </cell>
          <cell r="AK30">
            <v>2.6061024999999998E-2</v>
          </cell>
          <cell r="AL30">
            <v>2.6608306524999997E-2</v>
          </cell>
          <cell r="AM30">
            <v>2.7167080962024994E-2</v>
          </cell>
          <cell r="AN30">
            <v>2.7737589662227516E-2</v>
          </cell>
          <cell r="AO30">
            <v>2.832007904513429E-2</v>
          </cell>
          <cell r="AP30">
            <v>2.8914800705082108E-2</v>
          </cell>
          <cell r="AQ30">
            <v>2.9522011519888831E-2</v>
          </cell>
          <cell r="AR30">
            <v>3.0141973761806492E-2</v>
          </cell>
          <cell r="AS30">
            <v>2.7E-2</v>
          </cell>
          <cell r="AT30">
            <v>8000</v>
          </cell>
          <cell r="AU30">
            <v>216</v>
          </cell>
          <cell r="AV30">
            <v>1.52E-2</v>
          </cell>
          <cell r="AW30">
            <v>1.52E-2</v>
          </cell>
          <cell r="AX30">
            <v>1.5275999999999998E-2</v>
          </cell>
          <cell r="AY30">
            <v>1.5352379999999997E-2</v>
          </cell>
          <cell r="AZ30">
            <v>1.5429141899999995E-2</v>
          </cell>
          <cell r="BA30">
            <v>1.5506287609499993E-2</v>
          </cell>
          <cell r="BB30">
            <v>1.5583819047547491E-2</v>
          </cell>
          <cell r="BC30">
            <v>1.5661738142785226E-2</v>
          </cell>
          <cell r="BD30">
            <v>1.5740046833499152E-2</v>
          </cell>
          <cell r="BE30">
            <v>1.5740046833499152E-2</v>
          </cell>
          <cell r="BF30">
            <v>1.5740046833499152E-2</v>
          </cell>
          <cell r="BG30">
            <v>151.7901</v>
          </cell>
          <cell r="BH30">
            <v>151.7901</v>
          </cell>
          <cell r="BI30">
            <v>159.379605</v>
          </cell>
          <cell r="BJ30">
            <v>167.34858525000001</v>
          </cell>
          <cell r="BK30">
            <v>175.71601451250001</v>
          </cell>
          <cell r="BL30">
            <v>184.501815238125</v>
          </cell>
          <cell r="BM30">
            <v>193.72690600003125</v>
          </cell>
          <cell r="BN30">
            <v>203.41325130003281</v>
          </cell>
          <cell r="BO30">
            <v>213.58391386503448</v>
          </cell>
          <cell r="BP30">
            <v>224.2631095582862</v>
          </cell>
          <cell r="BQ30">
            <v>235.47626503620052</v>
          </cell>
          <cell r="BR30">
            <v>33.72</v>
          </cell>
          <cell r="BS30">
            <v>33.72</v>
          </cell>
          <cell r="BT30">
            <v>34.428119999999993</v>
          </cell>
          <cell r="BU30">
            <v>35.151110519999989</v>
          </cell>
          <cell r="BV30">
            <v>35.889283840919987</v>
          </cell>
          <cell r="BW30">
            <v>36.642958801579304</v>
          </cell>
          <cell r="BX30">
            <v>37.412460936412465</v>
          </cell>
          <cell r="BY30">
            <v>38.198122616077121</v>
          </cell>
          <cell r="BZ30">
            <v>39.000283191014738</v>
          </cell>
          <cell r="CA30">
            <v>39.819289138026043</v>
          </cell>
          <cell r="CB30">
            <v>40.655494209924584</v>
          </cell>
          <cell r="CC30">
            <v>74.449429999999992</v>
          </cell>
          <cell r="CD30">
            <v>74.449429999999992</v>
          </cell>
          <cell r="CE30">
            <v>78.17190149999999</v>
          </cell>
          <cell r="CF30">
            <v>82.080496574999998</v>
          </cell>
          <cell r="CG30">
            <v>86.184521403749997</v>
          </cell>
          <cell r="CH30">
            <v>90.493747473937503</v>
          </cell>
          <cell r="CI30">
            <v>95.018434847634381</v>
          </cell>
          <cell r="CJ30">
            <v>99.769356590016102</v>
          </cell>
          <cell r="CK30">
            <v>104.75782441951691</v>
          </cell>
          <cell r="CL30">
            <v>109.99571564049276</v>
          </cell>
          <cell r="CM30">
            <v>115.49550142251741</v>
          </cell>
          <cell r="CO30">
            <v>5.25</v>
          </cell>
          <cell r="CP30">
            <v>5.25</v>
          </cell>
          <cell r="CQ30">
            <v>5.5125000000000002</v>
          </cell>
          <cell r="CR30">
            <v>5.7881250000000009</v>
          </cell>
          <cell r="CS30">
            <v>6.0775312500000007</v>
          </cell>
          <cell r="CT30">
            <v>6.3814078125000009</v>
          </cell>
          <cell r="CU30">
            <v>6.7004782031250016</v>
          </cell>
          <cell r="CV30">
            <v>7.0355021132812521</v>
          </cell>
          <cell r="CW30">
            <v>7.3872772189453153</v>
          </cell>
          <cell r="CX30">
            <v>7.7566410798925816</v>
          </cell>
          <cell r="CY30">
            <v>8.1444731338872103</v>
          </cell>
          <cell r="CZ30">
            <v>1.52E-2</v>
          </cell>
          <cell r="DA30">
            <v>1.52E-2</v>
          </cell>
          <cell r="DB30">
            <v>1.5275999999999998E-2</v>
          </cell>
          <cell r="DC30">
            <v>1.5352379999999997E-2</v>
          </cell>
          <cell r="DD30">
            <v>1.5429141899999995E-2</v>
          </cell>
          <cell r="DE30">
            <v>1.5506287609499993E-2</v>
          </cell>
          <cell r="DF30">
            <v>1.5583819047547491E-2</v>
          </cell>
          <cell r="DG30">
            <v>1.5661738142785226E-2</v>
          </cell>
          <cell r="DH30">
            <v>1.5740046833499152E-2</v>
          </cell>
          <cell r="DI30">
            <v>1.5740046833499152E-2</v>
          </cell>
          <cell r="DJ30">
            <v>1.5740046833499152E-2</v>
          </cell>
        </row>
        <row r="31">
          <cell r="C31">
            <v>1050</v>
          </cell>
          <cell r="D31">
            <v>8810</v>
          </cell>
          <cell r="E31" t="str">
            <v>Business Manager</v>
          </cell>
          <cell r="G31" t="str">
            <v>Exempt</v>
          </cell>
          <cell r="H31" t="str">
            <v>salary.com</v>
          </cell>
          <cell r="I31">
            <v>0</v>
          </cell>
          <cell r="J31">
            <v>0</v>
          </cell>
          <cell r="K31">
            <v>2.5000000000000001E-2</v>
          </cell>
          <cell r="L31">
            <v>0</v>
          </cell>
          <cell r="M31">
            <v>0</v>
          </cell>
          <cell r="N31">
            <v>0</v>
          </cell>
          <cell r="O31">
            <v>0</v>
          </cell>
          <cell r="P31">
            <v>0</v>
          </cell>
          <cell r="Q31">
            <v>0</v>
          </cell>
          <cell r="R31">
            <v>0</v>
          </cell>
          <cell r="S31">
            <v>0</v>
          </cell>
          <cell r="T31">
            <v>0</v>
          </cell>
          <cell r="U31">
            <v>0</v>
          </cell>
          <cell r="V31">
            <v>0</v>
          </cell>
          <cell r="W31">
            <v>4.75</v>
          </cell>
          <cell r="X31">
            <v>4.75</v>
          </cell>
          <cell r="Y31">
            <v>4.9874999999999998</v>
          </cell>
          <cell r="Z31">
            <v>5.2368750000000004</v>
          </cell>
          <cell r="AA31">
            <v>5.498718750000001</v>
          </cell>
          <cell r="AB31">
            <v>5.7736546875000014</v>
          </cell>
          <cell r="AC31">
            <v>6.0623374218750019</v>
          </cell>
          <cell r="AD31">
            <v>6.3654542929687521</v>
          </cell>
          <cell r="AE31">
            <v>6.6837270076171897</v>
          </cell>
          <cell r="AF31">
            <v>7.0179133579980499</v>
          </cell>
          <cell r="AG31">
            <v>7.3688090258979528</v>
          </cell>
          <cell r="AH31">
            <v>2.5000000000000001E-2</v>
          </cell>
          <cell r="AI31">
            <v>2.5000000000000001E-2</v>
          </cell>
          <cell r="AJ31">
            <v>2.5524999999999999E-2</v>
          </cell>
          <cell r="AK31">
            <v>2.6061024999999998E-2</v>
          </cell>
          <cell r="AL31">
            <v>2.6608306524999997E-2</v>
          </cell>
          <cell r="AM31">
            <v>2.7167080962024994E-2</v>
          </cell>
          <cell r="AN31">
            <v>2.7737589662227516E-2</v>
          </cell>
          <cell r="AO31">
            <v>2.832007904513429E-2</v>
          </cell>
          <cell r="AP31">
            <v>2.8914800705082108E-2</v>
          </cell>
          <cell r="AQ31">
            <v>2.9522011519888831E-2</v>
          </cell>
          <cell r="AR31">
            <v>3.0141973761806492E-2</v>
          </cell>
          <cell r="AS31">
            <v>2.7E-2</v>
          </cell>
          <cell r="AT31">
            <v>8000</v>
          </cell>
          <cell r="AU31">
            <v>216</v>
          </cell>
          <cell r="AV31">
            <v>1.52E-2</v>
          </cell>
          <cell r="AW31">
            <v>1.52E-2</v>
          </cell>
          <cell r="AX31">
            <v>1.5275999999999998E-2</v>
          </cell>
          <cell r="AY31">
            <v>1.5352379999999997E-2</v>
          </cell>
          <cell r="AZ31">
            <v>1.5429141899999995E-2</v>
          </cell>
          <cell r="BA31">
            <v>1.5506287609499993E-2</v>
          </cell>
          <cell r="BB31">
            <v>1.5583819047547491E-2</v>
          </cell>
          <cell r="BC31">
            <v>1.5661738142785226E-2</v>
          </cell>
          <cell r="BD31">
            <v>1.5740046833499152E-2</v>
          </cell>
          <cell r="BE31">
            <v>1.5740046833499152E-2</v>
          </cell>
          <cell r="BF31">
            <v>1.5740046833499152E-2</v>
          </cell>
          <cell r="BG31">
            <v>0</v>
          </cell>
          <cell r="BH31">
            <v>0</v>
          </cell>
          <cell r="BI31">
            <v>0</v>
          </cell>
          <cell r="BJ31">
            <v>0</v>
          </cell>
          <cell r="BK31">
            <v>0</v>
          </cell>
          <cell r="BL31">
            <v>0</v>
          </cell>
          <cell r="BM31">
            <v>0</v>
          </cell>
          <cell r="BN31">
            <v>0</v>
          </cell>
          <cell r="BO31">
            <v>0</v>
          </cell>
          <cell r="BP31">
            <v>0</v>
          </cell>
          <cell r="BQ31">
            <v>0</v>
          </cell>
          <cell r="BR31">
            <v>33.72</v>
          </cell>
          <cell r="BS31">
            <v>33.72</v>
          </cell>
          <cell r="BT31">
            <v>34.428119999999993</v>
          </cell>
          <cell r="BU31">
            <v>35.151110519999989</v>
          </cell>
          <cell r="BV31">
            <v>35.889283840919987</v>
          </cell>
          <cell r="BW31">
            <v>36.642958801579304</v>
          </cell>
          <cell r="BX31">
            <v>37.412460936412465</v>
          </cell>
          <cell r="BY31">
            <v>38.198122616077121</v>
          </cell>
          <cell r="BZ31">
            <v>39.000283191014738</v>
          </cell>
          <cell r="CA31">
            <v>39.819289138026043</v>
          </cell>
          <cell r="CB31">
            <v>40.655494209924584</v>
          </cell>
          <cell r="CC31">
            <v>0</v>
          </cell>
          <cell r="CD31">
            <v>0</v>
          </cell>
          <cell r="CE31">
            <v>0</v>
          </cell>
          <cell r="CF31">
            <v>0</v>
          </cell>
          <cell r="CG31">
            <v>0</v>
          </cell>
          <cell r="CH31">
            <v>0</v>
          </cell>
          <cell r="CI31">
            <v>0</v>
          </cell>
          <cell r="CJ31">
            <v>0</v>
          </cell>
          <cell r="CK31">
            <v>0</v>
          </cell>
          <cell r="CL31">
            <v>0</v>
          </cell>
          <cell r="CM31">
            <v>0</v>
          </cell>
          <cell r="CO31">
            <v>5.25</v>
          </cell>
          <cell r="CP31">
            <v>5.25</v>
          </cell>
          <cell r="CQ31">
            <v>5.5125000000000002</v>
          </cell>
          <cell r="CR31">
            <v>5.7881250000000009</v>
          </cell>
          <cell r="CS31">
            <v>6.0775312500000007</v>
          </cell>
          <cell r="CT31">
            <v>6.3814078125000009</v>
          </cell>
          <cell r="CU31">
            <v>6.7004782031250016</v>
          </cell>
          <cell r="CV31">
            <v>7.0355021132812521</v>
          </cell>
          <cell r="CW31">
            <v>7.3872772189453153</v>
          </cell>
          <cell r="CX31">
            <v>7.7566410798925816</v>
          </cell>
          <cell r="CY31">
            <v>8.1444731338872103</v>
          </cell>
          <cell r="CZ31">
            <v>1.52E-2</v>
          </cell>
          <cell r="DA31">
            <v>1.52E-2</v>
          </cell>
          <cell r="DB31">
            <v>1.5275999999999998E-2</v>
          </cell>
          <cell r="DC31">
            <v>1.5352379999999997E-2</v>
          </cell>
          <cell r="DD31">
            <v>1.5429141899999995E-2</v>
          </cell>
          <cell r="DE31">
            <v>1.5506287609499993E-2</v>
          </cell>
          <cell r="DF31">
            <v>1.5583819047547491E-2</v>
          </cell>
          <cell r="DG31">
            <v>1.5661738142785226E-2</v>
          </cell>
          <cell r="DH31">
            <v>1.5740046833499152E-2</v>
          </cell>
          <cell r="DI31">
            <v>1.5740046833499152E-2</v>
          </cell>
          <cell r="DJ31">
            <v>1.5740046833499152E-2</v>
          </cell>
        </row>
        <row r="32">
          <cell r="C32">
            <v>1055</v>
          </cell>
          <cell r="D32">
            <v>8810</v>
          </cell>
          <cell r="E32" t="str">
            <v>Project Estimator</v>
          </cell>
          <cell r="G32" t="str">
            <v>Exempt</v>
          </cell>
          <cell r="H32" t="str">
            <v>salary.com</v>
          </cell>
          <cell r="I32">
            <v>89250</v>
          </cell>
          <cell r="J32">
            <v>42.908653846153847</v>
          </cell>
          <cell r="K32">
            <v>2.5000000000000001E-2</v>
          </cell>
          <cell r="L32">
            <v>42.908653846153847</v>
          </cell>
          <cell r="M32">
            <v>42.908653846153847</v>
          </cell>
          <cell r="N32">
            <v>43.779699519230768</v>
          </cell>
          <cell r="O32">
            <v>44.668427419471151</v>
          </cell>
          <cell r="P32">
            <v>45.575196496086413</v>
          </cell>
          <cell r="Q32">
            <v>46.500372984956968</v>
          </cell>
          <cell r="R32">
            <v>47.444330556551591</v>
          </cell>
          <cell r="S32">
            <v>48.407450466849589</v>
          </cell>
          <cell r="T32">
            <v>49.390121711326636</v>
          </cell>
          <cell r="U32">
            <v>50.392741182066565</v>
          </cell>
          <cell r="V32">
            <v>51.450988746889962</v>
          </cell>
          <cell r="W32">
            <v>4.75</v>
          </cell>
          <cell r="X32">
            <v>4.75</v>
          </cell>
          <cell r="Y32">
            <v>4.9874999999999998</v>
          </cell>
          <cell r="Z32">
            <v>5.2368750000000004</v>
          </cell>
          <cell r="AA32">
            <v>5.498718750000001</v>
          </cell>
          <cell r="AB32">
            <v>5.7736546875000014</v>
          </cell>
          <cell r="AC32">
            <v>6.0623374218750019</v>
          </cell>
          <cell r="AD32">
            <v>6.3654542929687521</v>
          </cell>
          <cell r="AE32">
            <v>6.6837270076171897</v>
          </cell>
          <cell r="AF32">
            <v>7.0179133579980499</v>
          </cell>
          <cell r="AG32">
            <v>7.3688090258979528</v>
          </cell>
          <cell r="AH32">
            <v>2.5000000000000001E-2</v>
          </cell>
          <cell r="AI32">
            <v>2.5000000000000001E-2</v>
          </cell>
          <cell r="AJ32">
            <v>2.5524999999999999E-2</v>
          </cell>
          <cell r="AK32">
            <v>2.6061024999999998E-2</v>
          </cell>
          <cell r="AL32">
            <v>2.6608306524999997E-2</v>
          </cell>
          <cell r="AM32">
            <v>2.7167080962024994E-2</v>
          </cell>
          <cell r="AN32">
            <v>2.7737589662227516E-2</v>
          </cell>
          <cell r="AO32">
            <v>2.832007904513429E-2</v>
          </cell>
          <cell r="AP32">
            <v>2.8914800705082108E-2</v>
          </cell>
          <cell r="AQ32">
            <v>2.9522011519888831E-2</v>
          </cell>
          <cell r="AR32">
            <v>3.0141973761806492E-2</v>
          </cell>
          <cell r="AS32">
            <v>2.7E-2</v>
          </cell>
          <cell r="AT32">
            <v>8000</v>
          </cell>
          <cell r="AU32">
            <v>216</v>
          </cell>
          <cell r="AV32">
            <v>1.52E-2</v>
          </cell>
          <cell r="AW32">
            <v>1.52E-2</v>
          </cell>
          <cell r="AX32">
            <v>1.5275999999999998E-2</v>
          </cell>
          <cell r="AY32">
            <v>1.5352379999999997E-2</v>
          </cell>
          <cell r="AZ32">
            <v>1.5429141899999995E-2</v>
          </cell>
          <cell r="BA32">
            <v>1.5506287609499993E-2</v>
          </cell>
          <cell r="BB32">
            <v>1.5583819047547491E-2</v>
          </cell>
          <cell r="BC32">
            <v>1.5661738142785226E-2</v>
          </cell>
          <cell r="BD32">
            <v>1.5740046833499152E-2</v>
          </cell>
          <cell r="BE32">
            <v>1.5740046833499152E-2</v>
          </cell>
          <cell r="BF32">
            <v>1.5740046833499152E-2</v>
          </cell>
          <cell r="BG32">
            <v>187.42499999999998</v>
          </cell>
          <cell r="BH32">
            <v>187.42499999999998</v>
          </cell>
          <cell r="BI32">
            <v>196.79624999999999</v>
          </cell>
          <cell r="BJ32">
            <v>206.63606250000001</v>
          </cell>
          <cell r="BK32">
            <v>216.96786562500003</v>
          </cell>
          <cell r="BL32">
            <v>227.81625890625003</v>
          </cell>
          <cell r="BM32">
            <v>239.20707185156255</v>
          </cell>
          <cell r="BN32">
            <v>251.16742544414069</v>
          </cell>
          <cell r="BO32">
            <v>263.72579671634776</v>
          </cell>
          <cell r="BP32">
            <v>276.91208655216514</v>
          </cell>
          <cell r="BQ32">
            <v>290.75769087977341</v>
          </cell>
          <cell r="BR32">
            <v>33.72</v>
          </cell>
          <cell r="BS32">
            <v>33.72</v>
          </cell>
          <cell r="BT32">
            <v>34.428119999999993</v>
          </cell>
          <cell r="BU32">
            <v>35.151110519999989</v>
          </cell>
          <cell r="BV32">
            <v>35.889283840919987</v>
          </cell>
          <cell r="BW32">
            <v>36.642958801579304</v>
          </cell>
          <cell r="BX32">
            <v>37.412460936412465</v>
          </cell>
          <cell r="BY32">
            <v>38.198122616077121</v>
          </cell>
          <cell r="BZ32">
            <v>39.000283191014738</v>
          </cell>
          <cell r="CA32">
            <v>39.819289138026043</v>
          </cell>
          <cell r="CB32">
            <v>40.655494209924584</v>
          </cell>
          <cell r="CC32">
            <v>91.927499999999995</v>
          </cell>
          <cell r="CD32">
            <v>91.927499999999995</v>
          </cell>
          <cell r="CE32">
            <v>96.523875000000004</v>
          </cell>
          <cell r="CF32">
            <v>101.35006875000001</v>
          </cell>
          <cell r="CG32">
            <v>106.41757218750001</v>
          </cell>
          <cell r="CH32">
            <v>111.73845079687501</v>
          </cell>
          <cell r="CI32">
            <v>117.32537333671877</v>
          </cell>
          <cell r="CJ32">
            <v>123.19164200355472</v>
          </cell>
          <cell r="CK32">
            <v>129.35122410373245</v>
          </cell>
          <cell r="CL32">
            <v>135.81878530891908</v>
          </cell>
          <cell r="CM32">
            <v>142.60972457436503</v>
          </cell>
          <cell r="CO32">
            <v>5.25</v>
          </cell>
          <cell r="CP32">
            <v>5.25</v>
          </cell>
          <cell r="CQ32">
            <v>5.5125000000000002</v>
          </cell>
          <cell r="CR32">
            <v>5.7881250000000009</v>
          </cell>
          <cell r="CS32">
            <v>6.0775312500000007</v>
          </cell>
          <cell r="CT32">
            <v>6.3814078125000009</v>
          </cell>
          <cell r="CU32">
            <v>6.7004782031250016</v>
          </cell>
          <cell r="CV32">
            <v>7.0355021132812521</v>
          </cell>
          <cell r="CW32">
            <v>7.3872772189453153</v>
          </cell>
          <cell r="CX32">
            <v>7.7566410798925816</v>
          </cell>
          <cell r="CY32">
            <v>8.1444731338872103</v>
          </cell>
          <cell r="CZ32">
            <v>1.52E-2</v>
          </cell>
          <cell r="DA32">
            <v>1.52E-2</v>
          </cell>
          <cell r="DB32">
            <v>1.5275999999999998E-2</v>
          </cell>
          <cell r="DC32">
            <v>1.5352379999999997E-2</v>
          </cell>
          <cell r="DD32">
            <v>1.5429141899999995E-2</v>
          </cell>
          <cell r="DE32">
            <v>1.5506287609499993E-2</v>
          </cell>
          <cell r="DF32">
            <v>1.5583819047547491E-2</v>
          </cell>
          <cell r="DG32">
            <v>1.5661738142785226E-2</v>
          </cell>
          <cell r="DH32">
            <v>1.5740046833499152E-2</v>
          </cell>
          <cell r="DI32">
            <v>1.5740046833499152E-2</v>
          </cell>
          <cell r="DJ32">
            <v>1.5740046833499152E-2</v>
          </cell>
        </row>
        <row r="33">
          <cell r="C33">
            <v>1060</v>
          </cell>
          <cell r="D33">
            <v>8810</v>
          </cell>
          <cell r="E33" t="str">
            <v>Maintenance Supervisor</v>
          </cell>
          <cell r="G33" t="str">
            <v>Exempt</v>
          </cell>
          <cell r="H33" t="str">
            <v>salary.com</v>
          </cell>
          <cell r="I33">
            <v>75000</v>
          </cell>
          <cell r="J33">
            <v>36.057692307692307</v>
          </cell>
          <cell r="K33">
            <v>2.5000000000000001E-2</v>
          </cell>
          <cell r="L33">
            <v>36.057692307692307</v>
          </cell>
          <cell r="M33">
            <v>36.057692307692307</v>
          </cell>
          <cell r="N33">
            <v>36.78966346153846</v>
          </cell>
          <cell r="O33">
            <v>37.536493629807687</v>
          </cell>
          <cell r="P33">
            <v>38.298484450492779</v>
          </cell>
          <cell r="Q33">
            <v>39.075943684837782</v>
          </cell>
          <cell r="R33">
            <v>39.869185341639991</v>
          </cell>
          <cell r="S33">
            <v>40.678529804075282</v>
          </cell>
          <cell r="T33">
            <v>41.50430395909801</v>
          </cell>
          <cell r="U33">
            <v>42.346841329467701</v>
          </cell>
          <cell r="V33">
            <v>43.236124997386518</v>
          </cell>
          <cell r="W33">
            <v>4.75</v>
          </cell>
          <cell r="X33">
            <v>4.75</v>
          </cell>
          <cell r="Y33">
            <v>4.9874999999999998</v>
          </cell>
          <cell r="Z33">
            <v>5.2368750000000004</v>
          </cell>
          <cell r="AA33">
            <v>5.498718750000001</v>
          </cell>
          <cell r="AB33">
            <v>5.7736546875000014</v>
          </cell>
          <cell r="AC33">
            <v>6.0623374218750019</v>
          </cell>
          <cell r="AD33">
            <v>6.3654542929687521</v>
          </cell>
          <cell r="AE33">
            <v>6.6837270076171897</v>
          </cell>
          <cell r="AF33">
            <v>7.0179133579980499</v>
          </cell>
          <cell r="AG33">
            <v>7.3688090258979528</v>
          </cell>
          <cell r="AH33">
            <v>2.5000000000000001E-2</v>
          </cell>
          <cell r="AI33">
            <v>2.5000000000000001E-2</v>
          </cell>
          <cell r="AJ33">
            <v>2.5524999999999999E-2</v>
          </cell>
          <cell r="AK33">
            <v>2.6061024999999998E-2</v>
          </cell>
          <cell r="AL33">
            <v>2.6608306524999997E-2</v>
          </cell>
          <cell r="AM33">
            <v>2.7167080962024994E-2</v>
          </cell>
          <cell r="AN33">
            <v>2.7737589662227516E-2</v>
          </cell>
          <cell r="AO33">
            <v>2.832007904513429E-2</v>
          </cell>
          <cell r="AP33">
            <v>2.8914800705082108E-2</v>
          </cell>
          <cell r="AQ33">
            <v>2.9522011519888831E-2</v>
          </cell>
          <cell r="AR33">
            <v>3.0141973761806492E-2</v>
          </cell>
          <cell r="AS33">
            <v>2.7E-2</v>
          </cell>
          <cell r="AT33">
            <v>8000</v>
          </cell>
          <cell r="AU33">
            <v>216</v>
          </cell>
          <cell r="AV33">
            <v>1.52E-2</v>
          </cell>
          <cell r="AW33">
            <v>1.52E-2</v>
          </cell>
          <cell r="AX33">
            <v>1.5275999999999998E-2</v>
          </cell>
          <cell r="AY33">
            <v>1.5352379999999997E-2</v>
          </cell>
          <cell r="AZ33">
            <v>1.5429141899999995E-2</v>
          </cell>
          <cell r="BA33">
            <v>1.5506287609499993E-2</v>
          </cell>
          <cell r="BB33">
            <v>1.5583819047547491E-2</v>
          </cell>
          <cell r="BC33">
            <v>1.5661738142785226E-2</v>
          </cell>
          <cell r="BD33">
            <v>1.5740046833499152E-2</v>
          </cell>
          <cell r="BE33">
            <v>1.5740046833499152E-2</v>
          </cell>
          <cell r="BF33">
            <v>1.5740046833499152E-2</v>
          </cell>
          <cell r="BG33">
            <v>157.5</v>
          </cell>
          <cell r="BH33">
            <v>157.5</v>
          </cell>
          <cell r="BI33">
            <v>165.375</v>
          </cell>
          <cell r="BJ33">
            <v>173.64375000000001</v>
          </cell>
          <cell r="BK33">
            <v>182.32593750000001</v>
          </cell>
          <cell r="BL33">
            <v>191.44223437500003</v>
          </cell>
          <cell r="BM33">
            <v>201.01434609375005</v>
          </cell>
          <cell r="BN33">
            <v>211.06506339843756</v>
          </cell>
          <cell r="BO33">
            <v>221.61831656835943</v>
          </cell>
          <cell r="BP33">
            <v>232.6992323967774</v>
          </cell>
          <cell r="BQ33">
            <v>244.33419401661629</v>
          </cell>
          <cell r="BR33">
            <v>33.72</v>
          </cell>
          <cell r="BS33">
            <v>33.72</v>
          </cell>
          <cell r="BT33">
            <v>34.428119999999993</v>
          </cell>
          <cell r="BU33">
            <v>35.151110519999989</v>
          </cell>
          <cell r="BV33">
            <v>35.889283840919987</v>
          </cell>
          <cell r="BW33">
            <v>36.642958801579304</v>
          </cell>
          <cell r="BX33">
            <v>37.412460936412465</v>
          </cell>
          <cell r="BY33">
            <v>38.198122616077121</v>
          </cell>
          <cell r="BZ33">
            <v>39.000283191014738</v>
          </cell>
          <cell r="CA33">
            <v>39.819289138026043</v>
          </cell>
          <cell r="CB33">
            <v>40.655494209924584</v>
          </cell>
          <cell r="CC33">
            <v>77.25</v>
          </cell>
          <cell r="CD33">
            <v>77.25</v>
          </cell>
          <cell r="CE33">
            <v>81.112499999999997</v>
          </cell>
          <cell r="CF33">
            <v>85.168125000000003</v>
          </cell>
          <cell r="CG33">
            <v>89.426531250000011</v>
          </cell>
          <cell r="CH33">
            <v>93.897857812500021</v>
          </cell>
          <cell r="CI33">
            <v>98.59275070312502</v>
          </cell>
          <cell r="CJ33">
            <v>103.52238823828128</v>
          </cell>
          <cell r="CK33">
            <v>108.69850765019535</v>
          </cell>
          <cell r="CL33">
            <v>114.13343303270513</v>
          </cell>
          <cell r="CM33">
            <v>119.84010468434039</v>
          </cell>
          <cell r="CO33">
            <v>5.25</v>
          </cell>
          <cell r="CP33">
            <v>5.25</v>
          </cell>
          <cell r="CQ33">
            <v>5.5125000000000002</v>
          </cell>
          <cell r="CR33">
            <v>5.7881250000000009</v>
          </cell>
          <cell r="CS33">
            <v>6.0775312500000007</v>
          </cell>
          <cell r="CT33">
            <v>6.3814078125000009</v>
          </cell>
          <cell r="CU33">
            <v>6.7004782031250016</v>
          </cell>
          <cell r="CV33">
            <v>7.0355021132812521</v>
          </cell>
          <cell r="CW33">
            <v>7.3872772189453153</v>
          </cell>
          <cell r="CX33">
            <v>7.7566410798925816</v>
          </cell>
          <cell r="CY33">
            <v>8.1444731338872103</v>
          </cell>
          <cell r="CZ33">
            <v>1.52E-2</v>
          </cell>
          <cell r="DA33">
            <v>1.52E-2</v>
          </cell>
          <cell r="DB33">
            <v>1.5275999999999998E-2</v>
          </cell>
          <cell r="DC33">
            <v>1.5352379999999997E-2</v>
          </cell>
          <cell r="DD33">
            <v>1.5429141899999995E-2</v>
          </cell>
          <cell r="DE33">
            <v>1.5506287609499993E-2</v>
          </cell>
          <cell r="DF33">
            <v>1.5583819047547491E-2</v>
          </cell>
          <cell r="DG33">
            <v>1.5661738142785226E-2</v>
          </cell>
          <cell r="DH33">
            <v>1.5740046833499152E-2</v>
          </cell>
          <cell r="DI33">
            <v>1.5740046833499152E-2</v>
          </cell>
          <cell r="DJ33">
            <v>1.5740046833499152E-2</v>
          </cell>
        </row>
        <row r="34">
          <cell r="C34">
            <v>1065</v>
          </cell>
          <cell r="D34">
            <v>8810</v>
          </cell>
          <cell r="E34" t="str">
            <v>Mechanical Engineer</v>
          </cell>
          <cell r="G34" t="str">
            <v>Exempt</v>
          </cell>
          <cell r="H34" t="str">
            <v>salary.com</v>
          </cell>
          <cell r="I34">
            <v>106141.35</v>
          </cell>
          <cell r="J34">
            <v>51.029495192307692</v>
          </cell>
          <cell r="K34">
            <v>2.5000000000000001E-2</v>
          </cell>
          <cell r="L34">
            <v>51.029495192307692</v>
          </cell>
          <cell r="M34">
            <v>51.029495192307692</v>
          </cell>
          <cell r="N34">
            <v>52.065393944711538</v>
          </cell>
          <cell r="O34">
            <v>53.122321441789182</v>
          </cell>
          <cell r="P34">
            <v>54.2007045670575</v>
          </cell>
          <cell r="Q34">
            <v>55.300978869768763</v>
          </cell>
          <cell r="R34">
            <v>56.423588740825068</v>
          </cell>
          <cell r="S34">
            <v>57.568987592263817</v>
          </cell>
          <cell r="T34">
            <v>58.73763804038677</v>
          </cell>
          <cell r="U34">
            <v>59.930012092606617</v>
          </cell>
          <cell r="V34">
            <v>61.188542346551351</v>
          </cell>
          <cell r="W34">
            <v>4.75</v>
          </cell>
          <cell r="X34">
            <v>4.75</v>
          </cell>
          <cell r="Y34">
            <v>4.9874999999999998</v>
          </cell>
          <cell r="Z34">
            <v>5.2368750000000004</v>
          </cell>
          <cell r="AA34">
            <v>5.498718750000001</v>
          </cell>
          <cell r="AB34">
            <v>5.7736546875000014</v>
          </cell>
          <cell r="AC34">
            <v>6.0623374218750019</v>
          </cell>
          <cell r="AD34">
            <v>6.3654542929687521</v>
          </cell>
          <cell r="AE34">
            <v>6.6837270076171897</v>
          </cell>
          <cell r="AF34">
            <v>7.0179133579980499</v>
          </cell>
          <cell r="AG34">
            <v>7.3688090258979528</v>
          </cell>
          <cell r="AH34">
            <v>2.5000000000000001E-2</v>
          </cell>
          <cell r="AI34">
            <v>2.5000000000000001E-2</v>
          </cell>
          <cell r="AJ34">
            <v>2.5524999999999999E-2</v>
          </cell>
          <cell r="AK34">
            <v>2.6061024999999998E-2</v>
          </cell>
          <cell r="AL34">
            <v>2.6608306524999997E-2</v>
          </cell>
          <cell r="AM34">
            <v>2.7167080962024994E-2</v>
          </cell>
          <cell r="AN34">
            <v>2.7737589662227516E-2</v>
          </cell>
          <cell r="AO34">
            <v>2.832007904513429E-2</v>
          </cell>
          <cell r="AP34">
            <v>2.8914800705082108E-2</v>
          </cell>
          <cell r="AQ34">
            <v>2.9522011519888831E-2</v>
          </cell>
          <cell r="AR34">
            <v>3.0141973761806492E-2</v>
          </cell>
          <cell r="AS34">
            <v>2.7E-2</v>
          </cell>
          <cell r="AT34">
            <v>8000</v>
          </cell>
          <cell r="AU34">
            <v>216</v>
          </cell>
          <cell r="AV34">
            <v>1.52E-2</v>
          </cell>
          <cell r="AW34">
            <v>1.52E-2</v>
          </cell>
          <cell r="AX34">
            <v>1.5275999999999998E-2</v>
          </cell>
          <cell r="AY34">
            <v>1.5352379999999997E-2</v>
          </cell>
          <cell r="AZ34">
            <v>1.5429141899999995E-2</v>
          </cell>
          <cell r="BA34">
            <v>1.5506287609499993E-2</v>
          </cell>
          <cell r="BB34">
            <v>1.5583819047547491E-2</v>
          </cell>
          <cell r="BC34">
            <v>1.5661738142785226E-2</v>
          </cell>
          <cell r="BD34">
            <v>1.5740046833499152E-2</v>
          </cell>
          <cell r="BE34">
            <v>1.5740046833499152E-2</v>
          </cell>
          <cell r="BF34">
            <v>1.5740046833499152E-2</v>
          </cell>
          <cell r="BG34">
            <v>222.89683500000001</v>
          </cell>
          <cell r="BH34">
            <v>222.89683500000001</v>
          </cell>
          <cell r="BI34">
            <v>234.04167675000002</v>
          </cell>
          <cell r="BJ34">
            <v>245.74376058750002</v>
          </cell>
          <cell r="BK34">
            <v>258.03094861687504</v>
          </cell>
          <cell r="BL34">
            <v>270.93249604771881</v>
          </cell>
          <cell r="BM34">
            <v>284.47912085010478</v>
          </cell>
          <cell r="BN34">
            <v>298.70307689261006</v>
          </cell>
          <cell r="BO34">
            <v>313.63823073724058</v>
          </cell>
          <cell r="BP34">
            <v>329.32014227410264</v>
          </cell>
          <cell r="BQ34">
            <v>345.78614938780777</v>
          </cell>
          <cell r="BR34">
            <v>33.72</v>
          </cell>
          <cell r="BS34">
            <v>33.72</v>
          </cell>
          <cell r="BT34">
            <v>34.428119999999993</v>
          </cell>
          <cell r="BU34">
            <v>35.151110519999989</v>
          </cell>
          <cell r="BV34">
            <v>35.889283840919987</v>
          </cell>
          <cell r="BW34">
            <v>36.642958801579304</v>
          </cell>
          <cell r="BX34">
            <v>37.412460936412465</v>
          </cell>
          <cell r="BY34">
            <v>38.198122616077121</v>
          </cell>
          <cell r="BZ34">
            <v>39.000283191014738</v>
          </cell>
          <cell r="CA34">
            <v>39.819289138026043</v>
          </cell>
          <cell r="CB34">
            <v>40.655494209924584</v>
          </cell>
          <cell r="CC34">
            <v>109.3255905</v>
          </cell>
          <cell r="CD34">
            <v>109.3255905</v>
          </cell>
          <cell r="CE34">
            <v>114.79187002500001</v>
          </cell>
          <cell r="CF34">
            <v>120.53146352625001</v>
          </cell>
          <cell r="CG34">
            <v>126.55803670256252</v>
          </cell>
          <cell r="CH34">
            <v>132.88593853769066</v>
          </cell>
          <cell r="CI34">
            <v>139.53023546457521</v>
          </cell>
          <cell r="CJ34">
            <v>146.50674723780398</v>
          </cell>
          <cell r="CK34">
            <v>153.83208459969418</v>
          </cell>
          <cell r="CL34">
            <v>161.52368882967889</v>
          </cell>
          <cell r="CM34">
            <v>169.59987327116283</v>
          </cell>
          <cell r="CO34">
            <v>5.25</v>
          </cell>
          <cell r="CP34">
            <v>5.25</v>
          </cell>
          <cell r="CQ34">
            <v>5.5125000000000002</v>
          </cell>
          <cell r="CR34">
            <v>5.7881250000000009</v>
          </cell>
          <cell r="CS34">
            <v>6.0775312500000007</v>
          </cell>
          <cell r="CT34">
            <v>6.3814078125000009</v>
          </cell>
          <cell r="CU34">
            <v>6.7004782031250016</v>
          </cell>
          <cell r="CV34">
            <v>7.0355021132812521</v>
          </cell>
          <cell r="CW34">
            <v>7.3872772189453153</v>
          </cell>
          <cell r="CX34">
            <v>7.7566410798925816</v>
          </cell>
          <cell r="CY34">
            <v>8.1444731338872103</v>
          </cell>
          <cell r="CZ34">
            <v>1.52E-2</v>
          </cell>
          <cell r="DA34">
            <v>1.52E-2</v>
          </cell>
          <cell r="DB34">
            <v>1.5275999999999998E-2</v>
          </cell>
          <cell r="DC34">
            <v>1.5352379999999997E-2</v>
          </cell>
          <cell r="DD34">
            <v>1.5429141899999995E-2</v>
          </cell>
          <cell r="DE34">
            <v>1.5506287609499993E-2</v>
          </cell>
          <cell r="DF34">
            <v>1.5583819047547491E-2</v>
          </cell>
          <cell r="DG34">
            <v>1.5661738142785226E-2</v>
          </cell>
          <cell r="DH34">
            <v>1.5740046833499152E-2</v>
          </cell>
          <cell r="DI34">
            <v>1.5740046833499152E-2</v>
          </cell>
          <cell r="DJ34">
            <v>1.5740046833499152E-2</v>
          </cell>
        </row>
        <row r="35">
          <cell r="C35">
            <v>1070</v>
          </cell>
          <cell r="D35">
            <v>8810</v>
          </cell>
          <cell r="E35" t="str">
            <v>Buyer</v>
          </cell>
          <cell r="G35" t="str">
            <v>Exempt</v>
          </cell>
          <cell r="H35" t="str">
            <v>salary.com</v>
          </cell>
          <cell r="I35">
            <v>70429.8</v>
          </cell>
          <cell r="J35">
            <v>33.860480769230769</v>
          </cell>
          <cell r="K35">
            <v>2.5000000000000001E-2</v>
          </cell>
          <cell r="L35">
            <v>33.860480769230769</v>
          </cell>
          <cell r="M35">
            <v>33.860480769230769</v>
          </cell>
          <cell r="N35">
            <v>34.547848528846153</v>
          </cell>
          <cell r="O35">
            <v>35.249169853981726</v>
          </cell>
          <cell r="P35">
            <v>35.964728002017551</v>
          </cell>
          <cell r="Q35">
            <v>36.69481198045851</v>
          </cell>
          <cell r="R35">
            <v>37.439716663661819</v>
          </cell>
          <cell r="S35">
            <v>38.199742911934152</v>
          </cell>
          <cell r="T35">
            <v>38.975197693046411</v>
          </cell>
          <cell r="U35">
            <v>39.766394206215253</v>
          </cell>
          <cell r="V35">
            <v>40.601488484545769</v>
          </cell>
          <cell r="W35">
            <v>4.75</v>
          </cell>
          <cell r="X35">
            <v>4.75</v>
          </cell>
          <cell r="Y35">
            <v>4.9874999999999998</v>
          </cell>
          <cell r="Z35">
            <v>5.2368750000000004</v>
          </cell>
          <cell r="AA35">
            <v>5.498718750000001</v>
          </cell>
          <cell r="AB35">
            <v>5.7736546875000014</v>
          </cell>
          <cell r="AC35">
            <v>6.0623374218750019</v>
          </cell>
          <cell r="AD35">
            <v>6.3654542929687521</v>
          </cell>
          <cell r="AE35">
            <v>6.6837270076171897</v>
          </cell>
          <cell r="AF35">
            <v>7.0179133579980499</v>
          </cell>
          <cell r="AG35">
            <v>7.3688090258979528</v>
          </cell>
          <cell r="AH35">
            <v>2.5000000000000001E-2</v>
          </cell>
          <cell r="AI35">
            <v>2.5000000000000001E-2</v>
          </cell>
          <cell r="AJ35">
            <v>2.5524999999999999E-2</v>
          </cell>
          <cell r="AK35">
            <v>2.6061024999999998E-2</v>
          </cell>
          <cell r="AL35">
            <v>2.6608306524999997E-2</v>
          </cell>
          <cell r="AM35">
            <v>2.7167080962024994E-2</v>
          </cell>
          <cell r="AN35">
            <v>2.7737589662227516E-2</v>
          </cell>
          <cell r="AO35">
            <v>2.832007904513429E-2</v>
          </cell>
          <cell r="AP35">
            <v>2.8914800705082108E-2</v>
          </cell>
          <cell r="AQ35">
            <v>2.9522011519888831E-2</v>
          </cell>
          <cell r="AR35">
            <v>3.0141973761806492E-2</v>
          </cell>
          <cell r="AS35">
            <v>2.7E-2</v>
          </cell>
          <cell r="AT35">
            <v>8000</v>
          </cell>
          <cell r="AU35">
            <v>216</v>
          </cell>
          <cell r="AV35">
            <v>1.52E-2</v>
          </cell>
          <cell r="AW35">
            <v>1.52E-2</v>
          </cell>
          <cell r="AX35">
            <v>1.5275999999999998E-2</v>
          </cell>
          <cell r="AY35">
            <v>1.5352379999999997E-2</v>
          </cell>
          <cell r="AZ35">
            <v>1.5429141899999995E-2</v>
          </cell>
          <cell r="BA35">
            <v>1.5506287609499993E-2</v>
          </cell>
          <cell r="BB35">
            <v>1.5583819047547491E-2</v>
          </cell>
          <cell r="BC35">
            <v>1.5661738142785226E-2</v>
          </cell>
          <cell r="BD35">
            <v>1.5740046833499152E-2</v>
          </cell>
          <cell r="BE35">
            <v>1.5740046833499152E-2</v>
          </cell>
          <cell r="BF35">
            <v>1.5740046833499152E-2</v>
          </cell>
          <cell r="BG35">
            <v>147.90258</v>
          </cell>
          <cell r="BH35">
            <v>147.90258</v>
          </cell>
          <cell r="BI35">
            <v>155.297709</v>
          </cell>
          <cell r="BJ35">
            <v>163.06259445000001</v>
          </cell>
          <cell r="BK35">
            <v>171.21572417250002</v>
          </cell>
          <cell r="BL35">
            <v>179.77651038112504</v>
          </cell>
          <cell r="BM35">
            <v>188.7653359001813</v>
          </cell>
          <cell r="BN35">
            <v>198.20360269519037</v>
          </cell>
          <cell r="BO35">
            <v>208.11378282994988</v>
          </cell>
          <cell r="BP35">
            <v>218.51947197144739</v>
          </cell>
          <cell r="BQ35">
            <v>229.44544557001976</v>
          </cell>
          <cell r="BR35">
            <v>33.72</v>
          </cell>
          <cell r="BS35">
            <v>33.72</v>
          </cell>
          <cell r="BT35">
            <v>34.428119999999993</v>
          </cell>
          <cell r="BU35">
            <v>35.151110519999989</v>
          </cell>
          <cell r="BV35">
            <v>35.889283840919987</v>
          </cell>
          <cell r="BW35">
            <v>36.642958801579304</v>
          </cell>
          <cell r="BX35">
            <v>37.412460936412465</v>
          </cell>
          <cell r="BY35">
            <v>38.198122616077121</v>
          </cell>
          <cell r="BZ35">
            <v>39.000283191014738</v>
          </cell>
          <cell r="CA35">
            <v>39.819289138026043</v>
          </cell>
          <cell r="CB35">
            <v>40.655494209924584</v>
          </cell>
          <cell r="CC35">
            <v>72.542693999999997</v>
          </cell>
          <cell r="CD35">
            <v>72.542693999999997</v>
          </cell>
          <cell r="CE35">
            <v>76.169828699999997</v>
          </cell>
          <cell r="CF35">
            <v>79.978320135000004</v>
          </cell>
          <cell r="CG35">
            <v>83.977236141750012</v>
          </cell>
          <cell r="CH35">
            <v>88.176097948837523</v>
          </cell>
          <cell r="CI35">
            <v>92.584902846279405</v>
          </cell>
          <cell r="CJ35">
            <v>97.214147988593382</v>
          </cell>
          <cell r="CK35">
            <v>102.07485538802305</v>
          </cell>
          <cell r="CL35">
            <v>107.1785981574242</v>
          </cell>
          <cell r="CM35">
            <v>112.53752806529542</v>
          </cell>
          <cell r="CO35">
            <v>5.25</v>
          </cell>
          <cell r="CP35">
            <v>5.25</v>
          </cell>
          <cell r="CQ35">
            <v>5.5125000000000002</v>
          </cell>
          <cell r="CR35">
            <v>5.7881250000000009</v>
          </cell>
          <cell r="CS35">
            <v>6.0775312500000007</v>
          </cell>
          <cell r="CT35">
            <v>6.3814078125000009</v>
          </cell>
          <cell r="CU35">
            <v>6.7004782031250016</v>
          </cell>
          <cell r="CV35">
            <v>7.0355021132812521</v>
          </cell>
          <cell r="CW35">
            <v>7.3872772189453153</v>
          </cell>
          <cell r="CX35">
            <v>7.7566410798925816</v>
          </cell>
          <cell r="CY35">
            <v>8.1444731338872103</v>
          </cell>
          <cell r="CZ35">
            <v>1.52E-2</v>
          </cell>
          <cell r="DA35">
            <v>1.52E-2</v>
          </cell>
          <cell r="DB35">
            <v>1.5275999999999998E-2</v>
          </cell>
          <cell r="DC35">
            <v>1.5352379999999997E-2</v>
          </cell>
          <cell r="DD35">
            <v>1.5429141899999995E-2</v>
          </cell>
          <cell r="DE35">
            <v>1.5506287609499993E-2</v>
          </cell>
          <cell r="DF35">
            <v>1.5583819047547491E-2</v>
          </cell>
          <cell r="DG35">
            <v>1.5661738142785226E-2</v>
          </cell>
          <cell r="DH35">
            <v>1.5740046833499152E-2</v>
          </cell>
          <cell r="DI35">
            <v>1.5740046833499152E-2</v>
          </cell>
          <cell r="DJ35">
            <v>1.5740046833499152E-2</v>
          </cell>
        </row>
        <row r="36">
          <cell r="C36">
            <v>1075</v>
          </cell>
          <cell r="D36">
            <v>8810</v>
          </cell>
          <cell r="E36" t="str">
            <v>Building Services Supervisor</v>
          </cell>
          <cell r="G36" t="str">
            <v>Exempt</v>
          </cell>
          <cell r="H36" t="str">
            <v>salary.com</v>
          </cell>
          <cell r="I36">
            <v>129800.00000000001</v>
          </cell>
          <cell r="J36">
            <v>62.40384615384616</v>
          </cell>
          <cell r="K36">
            <v>2.5000000000000001E-2</v>
          </cell>
          <cell r="L36">
            <v>62.40384615384616</v>
          </cell>
          <cell r="M36">
            <v>62.40384615384616</v>
          </cell>
          <cell r="N36">
            <v>63.670644230769234</v>
          </cell>
          <cell r="O36">
            <v>64.963158308653846</v>
          </cell>
          <cell r="P36">
            <v>66.281910422319513</v>
          </cell>
          <cell r="Q36">
            <v>67.627433203892593</v>
          </cell>
          <cell r="R36">
            <v>69.000270097931619</v>
          </cell>
          <cell r="S36">
            <v>70.400975580919635</v>
          </cell>
          <cell r="T36">
            <v>71.830115385212309</v>
          </cell>
          <cell r="U36">
            <v>73.288266727532118</v>
          </cell>
          <cell r="V36">
            <v>74.827320328810288</v>
          </cell>
          <cell r="W36">
            <v>4.75</v>
          </cell>
          <cell r="X36">
            <v>4.75</v>
          </cell>
          <cell r="Y36">
            <v>4.9874999999999998</v>
          </cell>
          <cell r="Z36">
            <v>5.2368750000000004</v>
          </cell>
          <cell r="AA36">
            <v>5.498718750000001</v>
          </cell>
          <cell r="AB36">
            <v>5.7736546875000014</v>
          </cell>
          <cell r="AC36">
            <v>6.0623374218750019</v>
          </cell>
          <cell r="AD36">
            <v>6.3654542929687521</v>
          </cell>
          <cell r="AE36">
            <v>6.6837270076171897</v>
          </cell>
          <cell r="AF36">
            <v>7.0179133579980499</v>
          </cell>
          <cell r="AG36">
            <v>7.3688090258979528</v>
          </cell>
          <cell r="AH36">
            <v>2.5000000000000001E-2</v>
          </cell>
          <cell r="AI36">
            <v>2.5000000000000001E-2</v>
          </cell>
          <cell r="AJ36">
            <v>2.5524999999999999E-2</v>
          </cell>
          <cell r="AK36">
            <v>2.6061024999999998E-2</v>
          </cell>
          <cell r="AL36">
            <v>2.6608306524999997E-2</v>
          </cell>
          <cell r="AM36">
            <v>2.7167080962024994E-2</v>
          </cell>
          <cell r="AN36">
            <v>2.7737589662227516E-2</v>
          </cell>
          <cell r="AO36">
            <v>2.832007904513429E-2</v>
          </cell>
          <cell r="AP36">
            <v>2.8914800705082108E-2</v>
          </cell>
          <cell r="AQ36">
            <v>2.9522011519888831E-2</v>
          </cell>
          <cell r="AR36">
            <v>3.0141973761806492E-2</v>
          </cell>
          <cell r="AS36">
            <v>2.7E-2</v>
          </cell>
          <cell r="AT36">
            <v>8000</v>
          </cell>
          <cell r="AU36">
            <v>216</v>
          </cell>
          <cell r="AV36">
            <v>1.52E-2</v>
          </cell>
          <cell r="AW36">
            <v>1.52E-2</v>
          </cell>
          <cell r="AX36">
            <v>1.5275999999999998E-2</v>
          </cell>
          <cell r="AY36">
            <v>1.5352379999999997E-2</v>
          </cell>
          <cell r="AZ36">
            <v>1.5429141899999995E-2</v>
          </cell>
          <cell r="BA36">
            <v>1.5506287609499993E-2</v>
          </cell>
          <cell r="BB36">
            <v>1.5583819047547491E-2</v>
          </cell>
          <cell r="BC36">
            <v>1.5661738142785226E-2</v>
          </cell>
          <cell r="BD36">
            <v>1.5740046833499152E-2</v>
          </cell>
          <cell r="BE36">
            <v>1.5740046833499152E-2</v>
          </cell>
          <cell r="BF36">
            <v>1.5740046833499152E-2</v>
          </cell>
          <cell r="BG36">
            <v>272.58000000000004</v>
          </cell>
          <cell r="BH36">
            <v>272.58000000000004</v>
          </cell>
          <cell r="BI36">
            <v>286.20900000000006</v>
          </cell>
          <cell r="BJ36">
            <v>300.51945000000006</v>
          </cell>
          <cell r="BK36">
            <v>315.54542250000009</v>
          </cell>
          <cell r="BL36">
            <v>331.32269362500011</v>
          </cell>
          <cell r="BM36">
            <v>347.88882830625016</v>
          </cell>
          <cell r="BN36">
            <v>365.2832697215627</v>
          </cell>
          <cell r="BO36">
            <v>383.54743320764084</v>
          </cell>
          <cell r="BP36">
            <v>402.72480486802289</v>
          </cell>
          <cell r="BQ36">
            <v>422.86104511142406</v>
          </cell>
          <cell r="BR36">
            <v>33.72</v>
          </cell>
          <cell r="BS36">
            <v>33.72</v>
          </cell>
          <cell r="BT36">
            <v>34.428119999999993</v>
          </cell>
          <cell r="BU36">
            <v>35.151110519999989</v>
          </cell>
          <cell r="BV36">
            <v>35.889283840919987</v>
          </cell>
          <cell r="BW36">
            <v>36.642958801579304</v>
          </cell>
          <cell r="BX36">
            <v>37.412460936412465</v>
          </cell>
          <cell r="BY36">
            <v>38.198122616077121</v>
          </cell>
          <cell r="BZ36">
            <v>39.000283191014738</v>
          </cell>
          <cell r="CA36">
            <v>39.819289138026043</v>
          </cell>
          <cell r="CB36">
            <v>40.655494209924584</v>
          </cell>
          <cell r="CC36">
            <v>133.69400000000002</v>
          </cell>
          <cell r="CD36">
            <v>133.69400000000002</v>
          </cell>
          <cell r="CE36">
            <v>140.37870000000004</v>
          </cell>
          <cell r="CF36">
            <v>147.39763500000004</v>
          </cell>
          <cell r="CG36">
            <v>154.76751675000006</v>
          </cell>
          <cell r="CH36">
            <v>162.50589258750006</v>
          </cell>
          <cell r="CI36">
            <v>170.63118721687508</v>
          </cell>
          <cell r="CJ36">
            <v>179.16274657771885</v>
          </cell>
          <cell r="CK36">
            <v>188.1208839066048</v>
          </cell>
          <cell r="CL36">
            <v>197.52692810193506</v>
          </cell>
          <cell r="CM36">
            <v>207.40327450703182</v>
          </cell>
          <cell r="CO36">
            <v>5.25</v>
          </cell>
          <cell r="CP36">
            <v>5.25</v>
          </cell>
          <cell r="CQ36">
            <v>5.5125000000000002</v>
          </cell>
          <cell r="CR36">
            <v>5.7881250000000009</v>
          </cell>
          <cell r="CS36">
            <v>6.0775312500000007</v>
          </cell>
          <cell r="CT36">
            <v>6.3814078125000009</v>
          </cell>
          <cell r="CU36">
            <v>6.7004782031250016</v>
          </cell>
          <cell r="CV36">
            <v>7.0355021132812521</v>
          </cell>
          <cell r="CW36">
            <v>7.3872772189453153</v>
          </cell>
          <cell r="CX36">
            <v>7.7566410798925816</v>
          </cell>
          <cell r="CY36">
            <v>8.1444731338872103</v>
          </cell>
          <cell r="CZ36">
            <v>1.52E-2</v>
          </cell>
          <cell r="DA36">
            <v>1.52E-2</v>
          </cell>
          <cell r="DB36">
            <v>1.5275999999999998E-2</v>
          </cell>
          <cell r="DC36">
            <v>1.5352379999999997E-2</v>
          </cell>
          <cell r="DD36">
            <v>1.5429141899999995E-2</v>
          </cell>
          <cell r="DE36">
            <v>1.5506287609499993E-2</v>
          </cell>
          <cell r="DF36">
            <v>1.5583819047547491E-2</v>
          </cell>
          <cell r="DG36">
            <v>1.5661738142785226E-2</v>
          </cell>
          <cell r="DH36">
            <v>1.5740046833499152E-2</v>
          </cell>
          <cell r="DI36">
            <v>1.5740046833499152E-2</v>
          </cell>
          <cell r="DJ36">
            <v>1.5740046833499152E-2</v>
          </cell>
        </row>
        <row r="37">
          <cell r="C37">
            <v>1080</v>
          </cell>
          <cell r="D37">
            <v>8810</v>
          </cell>
          <cell r="E37" t="str">
            <v>JLL Healthcare Engineer</v>
          </cell>
          <cell r="G37" t="str">
            <v>Exempt</v>
          </cell>
          <cell r="H37" t="str">
            <v>salary.com</v>
          </cell>
          <cell r="I37">
            <v>125000</v>
          </cell>
          <cell r="J37">
            <v>60.096153846153847</v>
          </cell>
          <cell r="K37">
            <v>2.5000000000000001E-2</v>
          </cell>
          <cell r="L37">
            <v>60.096153846153847</v>
          </cell>
          <cell r="M37">
            <v>60.096153846153847</v>
          </cell>
          <cell r="N37">
            <v>61.316105769230766</v>
          </cell>
          <cell r="O37">
            <v>62.560822716346152</v>
          </cell>
          <cell r="P37">
            <v>63.830807417487975</v>
          </cell>
          <cell r="Q37">
            <v>65.126572808062974</v>
          </cell>
          <cell r="R37">
            <v>66.448642236066647</v>
          </cell>
          <cell r="S37">
            <v>67.797549673458803</v>
          </cell>
          <cell r="T37">
            <v>69.173839931830017</v>
          </cell>
          <cell r="U37">
            <v>70.578068882446161</v>
          </cell>
          <cell r="V37">
            <v>72.060208328977524</v>
          </cell>
          <cell r="W37">
            <v>4.75</v>
          </cell>
          <cell r="X37">
            <v>4.75</v>
          </cell>
          <cell r="Y37">
            <v>4.9874999999999998</v>
          </cell>
          <cell r="Z37">
            <v>5.2368750000000004</v>
          </cell>
          <cell r="AA37">
            <v>5.498718750000001</v>
          </cell>
          <cell r="AB37">
            <v>5.7736546875000014</v>
          </cell>
          <cell r="AC37">
            <v>6.0623374218750019</v>
          </cell>
          <cell r="AD37">
            <v>6.3654542929687521</v>
          </cell>
          <cell r="AE37">
            <v>6.6837270076171897</v>
          </cell>
          <cell r="AF37">
            <v>7.0179133579980499</v>
          </cell>
          <cell r="AG37">
            <v>7.3688090258979528</v>
          </cell>
          <cell r="AH37">
            <v>2.5000000000000001E-2</v>
          </cell>
          <cell r="AI37">
            <v>2.5000000000000001E-2</v>
          </cell>
          <cell r="AJ37">
            <v>2.5524999999999999E-2</v>
          </cell>
          <cell r="AK37">
            <v>2.6061024999999998E-2</v>
          </cell>
          <cell r="AL37">
            <v>2.6608306524999997E-2</v>
          </cell>
          <cell r="AM37">
            <v>2.7167080962024994E-2</v>
          </cell>
          <cell r="AN37">
            <v>2.7737589662227516E-2</v>
          </cell>
          <cell r="AO37">
            <v>2.832007904513429E-2</v>
          </cell>
          <cell r="AP37">
            <v>2.8914800705082108E-2</v>
          </cell>
          <cell r="AQ37">
            <v>2.9522011519888831E-2</v>
          </cell>
          <cell r="AR37">
            <v>3.0141973761806492E-2</v>
          </cell>
          <cell r="AS37">
            <v>2.7E-2</v>
          </cell>
          <cell r="AT37">
            <v>8000</v>
          </cell>
          <cell r="AU37">
            <v>216</v>
          </cell>
          <cell r="AV37">
            <v>1.52E-2</v>
          </cell>
          <cell r="AW37">
            <v>1.52E-2</v>
          </cell>
          <cell r="AX37">
            <v>1.5275999999999998E-2</v>
          </cell>
          <cell r="AY37">
            <v>1.5352379999999997E-2</v>
          </cell>
          <cell r="AZ37">
            <v>1.5429141899999995E-2</v>
          </cell>
          <cell r="BA37">
            <v>1.5506287609499993E-2</v>
          </cell>
          <cell r="BB37">
            <v>1.5583819047547491E-2</v>
          </cell>
          <cell r="BC37">
            <v>1.5661738142785226E-2</v>
          </cell>
          <cell r="BD37">
            <v>1.5740046833499152E-2</v>
          </cell>
          <cell r="BE37">
            <v>1.5740046833499152E-2</v>
          </cell>
          <cell r="BF37">
            <v>1.5740046833499152E-2</v>
          </cell>
          <cell r="BG37">
            <v>262.5</v>
          </cell>
          <cell r="BH37">
            <v>262.5</v>
          </cell>
          <cell r="BI37">
            <v>275.625</v>
          </cell>
          <cell r="BJ37">
            <v>289.40625</v>
          </cell>
          <cell r="BK37">
            <v>303.87656250000003</v>
          </cell>
          <cell r="BL37">
            <v>319.07039062500007</v>
          </cell>
          <cell r="BM37">
            <v>335.02391015625011</v>
          </cell>
          <cell r="BN37">
            <v>351.77510566406261</v>
          </cell>
          <cell r="BO37">
            <v>369.36386094726578</v>
          </cell>
          <cell r="BP37">
            <v>387.83205399462906</v>
          </cell>
          <cell r="BQ37">
            <v>407.22365669436056</v>
          </cell>
          <cell r="BR37">
            <v>33.72</v>
          </cell>
          <cell r="BS37">
            <v>33.72</v>
          </cell>
          <cell r="BT37">
            <v>34.428119999999993</v>
          </cell>
          <cell r="BU37">
            <v>35.151110519999989</v>
          </cell>
          <cell r="BV37">
            <v>35.889283840919987</v>
          </cell>
          <cell r="BW37">
            <v>36.642958801579304</v>
          </cell>
          <cell r="BX37">
            <v>37.412460936412465</v>
          </cell>
          <cell r="BY37">
            <v>38.198122616077121</v>
          </cell>
          <cell r="BZ37">
            <v>39.000283191014738</v>
          </cell>
          <cell r="CA37">
            <v>39.819289138026043</v>
          </cell>
          <cell r="CB37">
            <v>40.655494209924584</v>
          </cell>
          <cell r="CC37">
            <v>128.75</v>
          </cell>
          <cell r="CD37">
            <v>128.75</v>
          </cell>
          <cell r="CE37">
            <v>135.1875</v>
          </cell>
          <cell r="CF37">
            <v>141.94687500000001</v>
          </cell>
          <cell r="CG37">
            <v>149.04421875</v>
          </cell>
          <cell r="CH37">
            <v>156.49642968750001</v>
          </cell>
          <cell r="CI37">
            <v>164.32125117187502</v>
          </cell>
          <cell r="CJ37">
            <v>172.53731373046878</v>
          </cell>
          <cell r="CK37">
            <v>181.16417941699223</v>
          </cell>
          <cell r="CL37">
            <v>190.22238838784185</v>
          </cell>
          <cell r="CM37">
            <v>199.73350780723393</v>
          </cell>
          <cell r="CO37">
            <v>5.25</v>
          </cell>
          <cell r="CP37">
            <v>5.25</v>
          </cell>
          <cell r="CQ37">
            <v>5.5125000000000002</v>
          </cell>
          <cell r="CR37">
            <v>5.7881250000000009</v>
          </cell>
          <cell r="CS37">
            <v>6.0775312500000007</v>
          </cell>
          <cell r="CT37">
            <v>6.3814078125000009</v>
          </cell>
          <cell r="CU37">
            <v>6.7004782031250016</v>
          </cell>
          <cell r="CV37">
            <v>7.0355021132812521</v>
          </cell>
          <cell r="CW37">
            <v>7.3872772189453153</v>
          </cell>
          <cell r="CX37">
            <v>7.7566410798925816</v>
          </cell>
          <cell r="CY37">
            <v>8.1444731338872103</v>
          </cell>
          <cell r="CZ37">
            <v>1.52E-2</v>
          </cell>
          <cell r="DA37">
            <v>1.52E-2</v>
          </cell>
          <cell r="DB37">
            <v>1.5275999999999998E-2</v>
          </cell>
          <cell r="DC37">
            <v>1.5352379999999997E-2</v>
          </cell>
          <cell r="DD37">
            <v>1.5429141899999995E-2</v>
          </cell>
          <cell r="DE37">
            <v>1.5506287609499993E-2</v>
          </cell>
          <cell r="DF37">
            <v>1.5583819047547491E-2</v>
          </cell>
          <cell r="DG37">
            <v>1.5661738142785226E-2</v>
          </cell>
          <cell r="DH37">
            <v>1.5740046833499152E-2</v>
          </cell>
          <cell r="DI37">
            <v>1.5740046833499152E-2</v>
          </cell>
          <cell r="DJ37">
            <v>1.5740046833499152E-2</v>
          </cell>
        </row>
        <row r="38">
          <cell r="C38">
            <v>1085</v>
          </cell>
          <cell r="D38">
            <v>9015</v>
          </cell>
          <cell r="E38" t="str">
            <v>Fire Protection Services Manager</v>
          </cell>
          <cell r="G38" t="str">
            <v>Exempt</v>
          </cell>
          <cell r="H38" t="str">
            <v>salary.com</v>
          </cell>
          <cell r="I38">
            <v>95000</v>
          </cell>
          <cell r="J38">
            <v>45.67307692307692</v>
          </cell>
          <cell r="K38">
            <v>2.5000000000000001E-2</v>
          </cell>
          <cell r="L38">
            <v>45.67307692307692</v>
          </cell>
          <cell r="M38">
            <v>45.67307692307692</v>
          </cell>
          <cell r="N38">
            <v>46.600240384615383</v>
          </cell>
          <cell r="O38">
            <v>47.546225264423072</v>
          </cell>
          <cell r="P38">
            <v>48.511413637290858</v>
          </cell>
          <cell r="Q38">
            <v>49.496195334127862</v>
          </cell>
          <cell r="R38">
            <v>50.500968099410656</v>
          </cell>
          <cell r="S38">
            <v>51.526137751828692</v>
          </cell>
          <cell r="T38">
            <v>52.572118348190813</v>
          </cell>
          <cell r="U38">
            <v>53.639332350659089</v>
          </cell>
          <cell r="V38">
            <v>54.765758330022926</v>
          </cell>
          <cell r="W38">
            <v>4.75</v>
          </cell>
          <cell r="X38">
            <v>4.75</v>
          </cell>
          <cell r="Y38">
            <v>4.9874999999999998</v>
          </cell>
          <cell r="Z38">
            <v>5.2368750000000004</v>
          </cell>
          <cell r="AA38">
            <v>5.498718750000001</v>
          </cell>
          <cell r="AB38">
            <v>5.7736546875000014</v>
          </cell>
          <cell r="AC38">
            <v>6.0623374218750019</v>
          </cell>
          <cell r="AD38">
            <v>6.3654542929687521</v>
          </cell>
          <cell r="AE38">
            <v>6.6837270076171897</v>
          </cell>
          <cell r="AF38">
            <v>7.0179133579980499</v>
          </cell>
          <cell r="AG38">
            <v>7.3688090258979528</v>
          </cell>
          <cell r="AH38">
            <v>2.5000000000000001E-2</v>
          </cell>
          <cell r="AI38">
            <v>2.5000000000000001E-2</v>
          </cell>
          <cell r="AJ38">
            <v>2.5524999999999999E-2</v>
          </cell>
          <cell r="AK38">
            <v>2.6061024999999998E-2</v>
          </cell>
          <cell r="AL38">
            <v>2.6608306524999997E-2</v>
          </cell>
          <cell r="AM38">
            <v>2.7167080962024994E-2</v>
          </cell>
          <cell r="AN38">
            <v>2.7737589662227516E-2</v>
          </cell>
          <cell r="AO38">
            <v>2.832007904513429E-2</v>
          </cell>
          <cell r="AP38">
            <v>2.8914800705082108E-2</v>
          </cell>
          <cell r="AQ38">
            <v>2.9522011519888831E-2</v>
          </cell>
          <cell r="AR38">
            <v>3.0141973761806492E-2</v>
          </cell>
          <cell r="AS38">
            <v>2.7E-2</v>
          </cell>
          <cell r="AT38">
            <v>8000</v>
          </cell>
          <cell r="AU38">
            <v>216</v>
          </cell>
          <cell r="AV38">
            <v>4.6300000000000001E-2</v>
          </cell>
          <cell r="AW38">
            <v>4.6300000000000001E-2</v>
          </cell>
          <cell r="AX38">
            <v>4.6531499999999996E-2</v>
          </cell>
          <cell r="AY38">
            <v>4.6764157499999993E-2</v>
          </cell>
          <cell r="AZ38">
            <v>4.6997978287499992E-2</v>
          </cell>
          <cell r="BA38">
            <v>4.723296817893749E-2</v>
          </cell>
          <cell r="BB38">
            <v>4.7469133019832174E-2</v>
          </cell>
          <cell r="BC38">
            <v>4.770647868493133E-2</v>
          </cell>
          <cell r="BD38">
            <v>4.7945011078355984E-2</v>
          </cell>
          <cell r="BE38">
            <v>4.7945011078355984E-2</v>
          </cell>
          <cell r="BF38">
            <v>4.7945011078355984E-2</v>
          </cell>
          <cell r="BG38">
            <v>199.5</v>
          </cell>
          <cell r="BH38">
            <v>199.5</v>
          </cell>
          <cell r="BI38">
            <v>209.47500000000002</v>
          </cell>
          <cell r="BJ38">
            <v>219.94875000000005</v>
          </cell>
          <cell r="BK38">
            <v>230.94618750000006</v>
          </cell>
          <cell r="BL38">
            <v>242.49349687500009</v>
          </cell>
          <cell r="BM38">
            <v>254.61817171875012</v>
          </cell>
          <cell r="BN38">
            <v>267.34908030468762</v>
          </cell>
          <cell r="BO38">
            <v>280.716534319922</v>
          </cell>
          <cell r="BP38">
            <v>294.75236103591811</v>
          </cell>
          <cell r="BQ38">
            <v>309.489979087714</v>
          </cell>
          <cell r="BR38">
            <v>33.72</v>
          </cell>
          <cell r="BS38">
            <v>33.72</v>
          </cell>
          <cell r="BT38">
            <v>34.428119999999993</v>
          </cell>
          <cell r="BU38">
            <v>35.151110519999989</v>
          </cell>
          <cell r="BV38">
            <v>35.889283840919987</v>
          </cell>
          <cell r="BW38">
            <v>36.642958801579304</v>
          </cell>
          <cell r="BX38">
            <v>37.412460936412465</v>
          </cell>
          <cell r="BY38">
            <v>38.198122616077121</v>
          </cell>
          <cell r="BZ38">
            <v>39.000283191014738</v>
          </cell>
          <cell r="CA38">
            <v>39.819289138026043</v>
          </cell>
          <cell r="CB38">
            <v>40.655494209924584</v>
          </cell>
          <cell r="CC38">
            <v>97.85</v>
          </cell>
          <cell r="CD38">
            <v>97.85</v>
          </cell>
          <cell r="CE38">
            <v>102.74249999999999</v>
          </cell>
          <cell r="CF38">
            <v>107.87962499999999</v>
          </cell>
          <cell r="CG38">
            <v>113.27360625</v>
          </cell>
          <cell r="CH38">
            <v>118.93728656250001</v>
          </cell>
          <cell r="CI38">
            <v>124.88415089062501</v>
          </cell>
          <cell r="CJ38">
            <v>131.12835843515626</v>
          </cell>
          <cell r="CK38">
            <v>137.68477635691409</v>
          </cell>
          <cell r="CL38">
            <v>144.56901517475978</v>
          </cell>
          <cell r="CM38">
            <v>151.79746593349779</v>
          </cell>
          <cell r="CO38">
            <v>5.25</v>
          </cell>
          <cell r="CP38">
            <v>5.25</v>
          </cell>
          <cell r="CQ38">
            <v>5.5125000000000002</v>
          </cell>
          <cell r="CR38">
            <v>5.7881250000000009</v>
          </cell>
          <cell r="CS38">
            <v>6.0775312500000007</v>
          </cell>
          <cell r="CT38">
            <v>6.3814078125000009</v>
          </cell>
          <cell r="CU38">
            <v>6.7004782031250016</v>
          </cell>
          <cell r="CV38">
            <v>7.0355021132812521</v>
          </cell>
          <cell r="CW38">
            <v>7.3872772189453153</v>
          </cell>
          <cell r="CX38">
            <v>7.7566410798925816</v>
          </cell>
          <cell r="CY38">
            <v>8.1444731338872103</v>
          </cell>
          <cell r="CZ38">
            <v>4.6300000000000001E-2</v>
          </cell>
          <cell r="DA38">
            <v>4.6300000000000001E-2</v>
          </cell>
          <cell r="DB38">
            <v>4.6531499999999996E-2</v>
          </cell>
          <cell r="DC38">
            <v>4.6764157499999993E-2</v>
          </cell>
          <cell r="DD38">
            <v>4.6997978287499992E-2</v>
          </cell>
          <cell r="DE38">
            <v>4.723296817893749E-2</v>
          </cell>
          <cell r="DF38">
            <v>4.7469133019832174E-2</v>
          </cell>
          <cell r="DG38">
            <v>4.770647868493133E-2</v>
          </cell>
          <cell r="DH38">
            <v>4.7945011078355984E-2</v>
          </cell>
          <cell r="DI38">
            <v>4.7945011078355984E-2</v>
          </cell>
          <cell r="DJ38">
            <v>4.7945011078355984E-2</v>
          </cell>
        </row>
        <row r="39">
          <cell r="C39">
            <v>1090</v>
          </cell>
          <cell r="D39">
            <v>8810</v>
          </cell>
          <cell r="E39" t="str">
            <v>Work Control Supevisor</v>
          </cell>
          <cell r="G39" t="str">
            <v>Exempt</v>
          </cell>
          <cell r="H39" t="str">
            <v>salary.com</v>
          </cell>
          <cell r="I39">
            <v>65000</v>
          </cell>
          <cell r="J39">
            <v>31.25</v>
          </cell>
          <cell r="K39">
            <v>2.5000000000000001E-2</v>
          </cell>
          <cell r="L39">
            <v>31.25</v>
          </cell>
          <cell r="M39">
            <v>31.25</v>
          </cell>
          <cell r="N39">
            <v>31.884374999999999</v>
          </cell>
          <cell r="O39">
            <v>32.531627812499998</v>
          </cell>
          <cell r="P39">
            <v>33.192019857093747</v>
          </cell>
          <cell r="Q39">
            <v>33.865817860192749</v>
          </cell>
          <cell r="R39">
            <v>34.553293962754658</v>
          </cell>
          <cell r="S39">
            <v>35.254725830198581</v>
          </cell>
          <cell r="T39">
            <v>35.970396764551609</v>
          </cell>
          <cell r="U39">
            <v>36.700595818872003</v>
          </cell>
          <cell r="V39">
            <v>37.471308331068315</v>
          </cell>
          <cell r="W39">
            <v>4.75</v>
          </cell>
          <cell r="X39">
            <v>4.75</v>
          </cell>
          <cell r="Y39">
            <v>4.9874999999999998</v>
          </cell>
          <cell r="Z39">
            <v>5.2368750000000004</v>
          </cell>
          <cell r="AA39">
            <v>5.498718750000001</v>
          </cell>
          <cell r="AB39">
            <v>5.7736546875000014</v>
          </cell>
          <cell r="AC39">
            <v>6.0623374218750019</v>
          </cell>
          <cell r="AD39">
            <v>6.3654542929687521</v>
          </cell>
          <cell r="AE39">
            <v>6.6837270076171897</v>
          </cell>
          <cell r="AF39">
            <v>7.0179133579980499</v>
          </cell>
          <cell r="AG39">
            <v>7.3688090258979528</v>
          </cell>
          <cell r="AH39">
            <v>2.5000000000000001E-2</v>
          </cell>
          <cell r="AI39">
            <v>2.5000000000000001E-2</v>
          </cell>
          <cell r="AJ39">
            <v>2.5524999999999999E-2</v>
          </cell>
          <cell r="AK39">
            <v>2.6061024999999998E-2</v>
          </cell>
          <cell r="AL39">
            <v>2.6608306524999997E-2</v>
          </cell>
          <cell r="AM39">
            <v>2.7167080962024994E-2</v>
          </cell>
          <cell r="AN39">
            <v>2.7737589662227516E-2</v>
          </cell>
          <cell r="AO39">
            <v>2.832007904513429E-2</v>
          </cell>
          <cell r="AP39">
            <v>2.8914800705082108E-2</v>
          </cell>
          <cell r="AQ39">
            <v>2.9522011519888831E-2</v>
          </cell>
          <cell r="AR39">
            <v>3.0141973761806492E-2</v>
          </cell>
          <cell r="AS39">
            <v>2.7E-2</v>
          </cell>
          <cell r="AT39">
            <v>8000</v>
          </cell>
          <cell r="AU39">
            <v>216</v>
          </cell>
          <cell r="AV39">
            <v>1.52E-2</v>
          </cell>
          <cell r="AW39">
            <v>1.52E-2</v>
          </cell>
          <cell r="AX39">
            <v>1.5275999999999998E-2</v>
          </cell>
          <cell r="AY39">
            <v>1.5352379999999997E-2</v>
          </cell>
          <cell r="AZ39">
            <v>1.5429141899999995E-2</v>
          </cell>
          <cell r="BA39">
            <v>1.5506287609499993E-2</v>
          </cell>
          <cell r="BB39">
            <v>1.5583819047547491E-2</v>
          </cell>
          <cell r="BC39">
            <v>1.5661738142785226E-2</v>
          </cell>
          <cell r="BD39">
            <v>1.5740046833499152E-2</v>
          </cell>
          <cell r="BE39">
            <v>1.5740046833499152E-2</v>
          </cell>
          <cell r="BF39">
            <v>1.5740046833499152E-2</v>
          </cell>
          <cell r="BG39">
            <v>136.5</v>
          </cell>
          <cell r="BH39">
            <v>136.5</v>
          </cell>
          <cell r="BI39">
            <v>143.32500000000002</v>
          </cell>
          <cell r="BJ39">
            <v>150.49125000000004</v>
          </cell>
          <cell r="BK39">
            <v>158.01581250000004</v>
          </cell>
          <cell r="BL39">
            <v>165.91660312500005</v>
          </cell>
          <cell r="BM39">
            <v>174.21243328125007</v>
          </cell>
          <cell r="BN39">
            <v>182.92305494531257</v>
          </cell>
          <cell r="BO39">
            <v>192.0692076925782</v>
          </cell>
          <cell r="BP39">
            <v>201.67266807720713</v>
          </cell>
          <cell r="BQ39">
            <v>211.75630148106751</v>
          </cell>
          <cell r="BR39">
            <v>33.72</v>
          </cell>
          <cell r="BS39">
            <v>33.72</v>
          </cell>
          <cell r="BT39">
            <v>34.428119999999993</v>
          </cell>
          <cell r="BU39">
            <v>35.151110519999989</v>
          </cell>
          <cell r="BV39">
            <v>35.889283840919987</v>
          </cell>
          <cell r="BW39">
            <v>36.642958801579304</v>
          </cell>
          <cell r="BX39">
            <v>37.412460936412465</v>
          </cell>
          <cell r="BY39">
            <v>38.198122616077121</v>
          </cell>
          <cell r="BZ39">
            <v>39.000283191014738</v>
          </cell>
          <cell r="CA39">
            <v>39.819289138026043</v>
          </cell>
          <cell r="CB39">
            <v>40.655494209924584</v>
          </cell>
          <cell r="CC39">
            <v>66.95</v>
          </cell>
          <cell r="CD39">
            <v>66.95</v>
          </cell>
          <cell r="CE39">
            <v>70.297499999999999</v>
          </cell>
          <cell r="CF39">
            <v>73.812375000000003</v>
          </cell>
          <cell r="CG39">
            <v>77.502993750000002</v>
          </cell>
          <cell r="CH39">
            <v>81.3781434375</v>
          </cell>
          <cell r="CI39">
            <v>85.447050609374998</v>
          </cell>
          <cell r="CJ39">
            <v>89.719403139843749</v>
          </cell>
          <cell r="CK39">
            <v>94.205373296835944</v>
          </cell>
          <cell r="CL39">
            <v>98.91564196167775</v>
          </cell>
          <cell r="CM39">
            <v>103.86142405976165</v>
          </cell>
          <cell r="CO39">
            <v>5.25</v>
          </cell>
          <cell r="CP39">
            <v>5.25</v>
          </cell>
          <cell r="CQ39">
            <v>5.5125000000000002</v>
          </cell>
          <cell r="CR39">
            <v>5.7881250000000009</v>
          </cell>
          <cell r="CS39">
            <v>6.0775312500000007</v>
          </cell>
          <cell r="CT39">
            <v>6.3814078125000009</v>
          </cell>
          <cell r="CU39">
            <v>6.7004782031250016</v>
          </cell>
          <cell r="CV39">
            <v>7.0355021132812521</v>
          </cell>
          <cell r="CW39">
            <v>7.3872772189453153</v>
          </cell>
          <cell r="CX39">
            <v>7.7566410798925816</v>
          </cell>
          <cell r="CY39">
            <v>8.1444731338872103</v>
          </cell>
          <cell r="CZ39">
            <v>1.52E-2</v>
          </cell>
          <cell r="DA39">
            <v>1.52E-2</v>
          </cell>
          <cell r="DB39">
            <v>1.5275999999999998E-2</v>
          </cell>
          <cell r="DC39">
            <v>1.5352379999999997E-2</v>
          </cell>
          <cell r="DD39">
            <v>1.5429141899999995E-2</v>
          </cell>
          <cell r="DE39">
            <v>1.5506287609499993E-2</v>
          </cell>
          <cell r="DF39">
            <v>1.5583819047547491E-2</v>
          </cell>
          <cell r="DG39">
            <v>1.5661738142785226E-2</v>
          </cell>
          <cell r="DH39">
            <v>1.5740046833499152E-2</v>
          </cell>
          <cell r="DI39">
            <v>1.5740046833499152E-2</v>
          </cell>
          <cell r="DJ39">
            <v>1.5740046833499152E-2</v>
          </cell>
        </row>
        <row r="42">
          <cell r="C42" t="str">
            <v>Service Contract Act Labor Categories</v>
          </cell>
        </row>
        <row r="44">
          <cell r="C44">
            <v>2000</v>
          </cell>
          <cell r="D44">
            <v>8810</v>
          </cell>
          <cell r="E44" t="str">
            <v>Material Expeditor</v>
          </cell>
          <cell r="G44" t="str">
            <v>SCA</v>
          </cell>
          <cell r="H44" t="str">
            <v>2005-2006</v>
          </cell>
          <cell r="I44">
            <v>47257.599999999999</v>
          </cell>
          <cell r="J44">
            <v>22.72</v>
          </cell>
          <cell r="K44">
            <v>0</v>
          </cell>
          <cell r="L44">
            <v>22.72</v>
          </cell>
          <cell r="M44">
            <v>22.72</v>
          </cell>
          <cell r="N44">
            <v>22.72</v>
          </cell>
          <cell r="O44">
            <v>22.72</v>
          </cell>
          <cell r="P44">
            <v>22.72</v>
          </cell>
          <cell r="Q44">
            <v>22.72</v>
          </cell>
          <cell r="R44">
            <v>22.72</v>
          </cell>
          <cell r="S44">
            <v>22.72</v>
          </cell>
          <cell r="T44">
            <v>22.72</v>
          </cell>
          <cell r="U44">
            <v>22.72</v>
          </cell>
          <cell r="V44">
            <v>22.72</v>
          </cell>
          <cell r="W44">
            <v>4.41</v>
          </cell>
          <cell r="X44">
            <v>4.41</v>
          </cell>
          <cell r="Y44">
            <v>4.41</v>
          </cell>
          <cell r="Z44">
            <v>4.41</v>
          </cell>
          <cell r="AA44">
            <v>4.41</v>
          </cell>
          <cell r="AB44">
            <v>4.41</v>
          </cell>
          <cell r="AC44">
            <v>4.41</v>
          </cell>
          <cell r="AD44">
            <v>4.41</v>
          </cell>
          <cell r="AE44">
            <v>4.41</v>
          </cell>
          <cell r="AF44">
            <v>4.41</v>
          </cell>
          <cell r="AG44">
            <v>4.41</v>
          </cell>
          <cell r="AH44">
            <v>0</v>
          </cell>
          <cell r="AI44">
            <v>0</v>
          </cell>
          <cell r="AJ44">
            <v>0</v>
          </cell>
          <cell r="AK44">
            <v>0</v>
          </cell>
          <cell r="AL44">
            <v>0</v>
          </cell>
          <cell r="AM44">
            <v>0</v>
          </cell>
          <cell r="AN44">
            <v>0</v>
          </cell>
          <cell r="AO44">
            <v>0</v>
          </cell>
          <cell r="AP44">
            <v>0</v>
          </cell>
          <cell r="AQ44">
            <v>0</v>
          </cell>
          <cell r="AR44">
            <v>0</v>
          </cell>
          <cell r="AS44">
            <v>2.7E-2</v>
          </cell>
          <cell r="AT44">
            <v>8000</v>
          </cell>
          <cell r="AU44">
            <v>216</v>
          </cell>
          <cell r="AV44">
            <v>1.52E-2</v>
          </cell>
          <cell r="AW44">
            <v>1.52E-2</v>
          </cell>
          <cell r="AX44">
            <v>1.52E-2</v>
          </cell>
          <cell r="AY44">
            <v>1.52E-2</v>
          </cell>
          <cell r="AZ44">
            <v>1.52E-2</v>
          </cell>
          <cell r="BA44">
            <v>1.52E-2</v>
          </cell>
          <cell r="BB44">
            <v>1.52E-2</v>
          </cell>
          <cell r="BC44">
            <v>1.52E-2</v>
          </cell>
          <cell r="BD44">
            <v>1.52E-2</v>
          </cell>
          <cell r="BE44">
            <v>1.52E-2</v>
          </cell>
          <cell r="BF44">
            <v>1.52E-2</v>
          </cell>
          <cell r="BG44">
            <v>99.240959999999987</v>
          </cell>
          <cell r="BH44">
            <v>99.240959999999987</v>
          </cell>
          <cell r="BI44">
            <v>99.240959999999987</v>
          </cell>
          <cell r="BJ44">
            <v>99.240959999999987</v>
          </cell>
          <cell r="BK44">
            <v>99.240959999999987</v>
          </cell>
          <cell r="BL44">
            <v>99.240959999999987</v>
          </cell>
          <cell r="BM44">
            <v>99.240959999999987</v>
          </cell>
          <cell r="BN44">
            <v>99.240959999999987</v>
          </cell>
          <cell r="BO44">
            <v>99.240959999999987</v>
          </cell>
          <cell r="BP44">
            <v>99.240959999999987</v>
          </cell>
          <cell r="BQ44">
            <v>99.240959999999987</v>
          </cell>
          <cell r="BR44">
            <v>33.72</v>
          </cell>
          <cell r="BS44">
            <v>33.72</v>
          </cell>
          <cell r="BT44">
            <v>33.72</v>
          </cell>
          <cell r="BU44">
            <v>33.72</v>
          </cell>
          <cell r="BV44">
            <v>33.72</v>
          </cell>
          <cell r="BW44">
            <v>33.72</v>
          </cell>
          <cell r="BX44">
            <v>33.72</v>
          </cell>
          <cell r="BY44">
            <v>33.72</v>
          </cell>
          <cell r="BZ44">
            <v>33.72</v>
          </cell>
          <cell r="CA44">
            <v>33.72</v>
          </cell>
          <cell r="CB44">
            <v>33.72</v>
          </cell>
          <cell r="CC44">
            <v>48.675327999999993</v>
          </cell>
          <cell r="CD44">
            <v>48.675327999999993</v>
          </cell>
          <cell r="CE44">
            <v>48.675327999999993</v>
          </cell>
          <cell r="CF44">
            <v>48.675327999999993</v>
          </cell>
          <cell r="CG44">
            <v>48.675327999999993</v>
          </cell>
          <cell r="CH44">
            <v>48.675327999999993</v>
          </cell>
          <cell r="CI44">
            <v>48.675327999999993</v>
          </cell>
          <cell r="CJ44">
            <v>48.675327999999993</v>
          </cell>
          <cell r="CK44">
            <v>48.675327999999993</v>
          </cell>
          <cell r="CL44">
            <v>48.675327999999993</v>
          </cell>
          <cell r="CM44">
            <v>48.675327999999993</v>
          </cell>
          <cell r="CO44">
            <v>4.2699999999999996</v>
          </cell>
          <cell r="CP44">
            <v>4.2699999999999996</v>
          </cell>
          <cell r="CQ44">
            <v>4.2699999999999996</v>
          </cell>
          <cell r="CR44">
            <v>4.2699999999999996</v>
          </cell>
          <cell r="CS44">
            <v>4.2699999999999996</v>
          </cell>
          <cell r="CT44">
            <v>4.2699999999999996</v>
          </cell>
          <cell r="CU44">
            <v>4.2699999999999996</v>
          </cell>
          <cell r="CV44">
            <v>4.2699999999999996</v>
          </cell>
          <cell r="CW44">
            <v>4.2699999999999996</v>
          </cell>
          <cell r="CX44">
            <v>4.2699999999999996</v>
          </cell>
          <cell r="CY44">
            <v>4.2699999999999996</v>
          </cell>
          <cell r="CZ44">
            <v>1.52E-2</v>
          </cell>
          <cell r="DA44">
            <v>1.52E-2</v>
          </cell>
          <cell r="DB44">
            <v>1.52E-2</v>
          </cell>
          <cell r="DC44">
            <v>1.52E-2</v>
          </cell>
          <cell r="DD44">
            <v>1.52E-2</v>
          </cell>
          <cell r="DE44">
            <v>1.52E-2</v>
          </cell>
          <cell r="DF44">
            <v>1.52E-2</v>
          </cell>
          <cell r="DG44">
            <v>1.52E-2</v>
          </cell>
          <cell r="DH44">
            <v>1.52E-2</v>
          </cell>
          <cell r="DI44">
            <v>1.52E-2</v>
          </cell>
          <cell r="DJ44">
            <v>1.52E-2</v>
          </cell>
        </row>
        <row r="45">
          <cell r="C45">
            <v>2005</v>
          </cell>
          <cell r="D45">
            <v>8810</v>
          </cell>
          <cell r="E45" t="str">
            <v>General Clerk II</v>
          </cell>
          <cell r="G45" t="str">
            <v>SCA</v>
          </cell>
          <cell r="H45" t="str">
            <v>2005-2012</v>
          </cell>
          <cell r="I45">
            <v>26707.200000000001</v>
          </cell>
          <cell r="J45">
            <v>12.84</v>
          </cell>
          <cell r="K45">
            <v>0</v>
          </cell>
          <cell r="L45">
            <v>12.84</v>
          </cell>
          <cell r="M45">
            <v>12.84</v>
          </cell>
          <cell r="N45">
            <v>12.84</v>
          </cell>
          <cell r="O45">
            <v>12.84</v>
          </cell>
          <cell r="P45">
            <v>12.84</v>
          </cell>
          <cell r="Q45">
            <v>12.84</v>
          </cell>
          <cell r="R45">
            <v>12.84</v>
          </cell>
          <cell r="S45">
            <v>12.84</v>
          </cell>
          <cell r="T45">
            <v>12.84</v>
          </cell>
          <cell r="U45">
            <v>12.84</v>
          </cell>
          <cell r="V45">
            <v>12.84</v>
          </cell>
          <cell r="W45">
            <v>4.41</v>
          </cell>
          <cell r="X45">
            <v>4.41</v>
          </cell>
          <cell r="Y45">
            <v>4.41</v>
          </cell>
          <cell r="Z45">
            <v>4.41</v>
          </cell>
          <cell r="AA45">
            <v>4.41</v>
          </cell>
          <cell r="AB45">
            <v>4.41</v>
          </cell>
          <cell r="AC45">
            <v>4.41</v>
          </cell>
          <cell r="AD45">
            <v>4.41</v>
          </cell>
          <cell r="AE45">
            <v>4.41</v>
          </cell>
          <cell r="AF45">
            <v>4.41</v>
          </cell>
          <cell r="AG45">
            <v>4.41</v>
          </cell>
          <cell r="AH45">
            <v>0</v>
          </cell>
          <cell r="AI45">
            <v>0</v>
          </cell>
          <cell r="AJ45">
            <v>0</v>
          </cell>
          <cell r="AK45">
            <v>0</v>
          </cell>
          <cell r="AL45">
            <v>0</v>
          </cell>
          <cell r="AM45">
            <v>0</v>
          </cell>
          <cell r="AN45">
            <v>0</v>
          </cell>
          <cell r="AO45">
            <v>0</v>
          </cell>
          <cell r="AP45">
            <v>0</v>
          </cell>
          <cell r="AQ45">
            <v>0</v>
          </cell>
          <cell r="AR45">
            <v>0</v>
          </cell>
          <cell r="AS45">
            <v>2.7E-2</v>
          </cell>
          <cell r="AT45">
            <v>8000</v>
          </cell>
          <cell r="AU45">
            <v>216</v>
          </cell>
          <cell r="AV45">
            <v>1.52E-2</v>
          </cell>
          <cell r="AW45">
            <v>1.52E-2</v>
          </cell>
          <cell r="AX45">
            <v>1.52E-2</v>
          </cell>
          <cell r="AY45">
            <v>1.52E-2</v>
          </cell>
          <cell r="AZ45">
            <v>1.52E-2</v>
          </cell>
          <cell r="BA45">
            <v>1.52E-2</v>
          </cell>
          <cell r="BB45">
            <v>1.52E-2</v>
          </cell>
          <cell r="BC45">
            <v>1.52E-2</v>
          </cell>
          <cell r="BD45">
            <v>1.52E-2</v>
          </cell>
          <cell r="BE45">
            <v>1.52E-2</v>
          </cell>
          <cell r="BF45">
            <v>1.52E-2</v>
          </cell>
          <cell r="BG45">
            <v>56.085119999999996</v>
          </cell>
          <cell r="BH45">
            <v>56.085119999999996</v>
          </cell>
          <cell r="BI45">
            <v>56.085119999999996</v>
          </cell>
          <cell r="BJ45">
            <v>56.085119999999996</v>
          </cell>
          <cell r="BK45">
            <v>56.085119999999996</v>
          </cell>
          <cell r="BL45">
            <v>56.085119999999996</v>
          </cell>
          <cell r="BM45">
            <v>56.085119999999996</v>
          </cell>
          <cell r="BN45">
            <v>56.085119999999996</v>
          </cell>
          <cell r="BO45">
            <v>56.085119999999996</v>
          </cell>
          <cell r="BP45">
            <v>56.085119999999996</v>
          </cell>
          <cell r="BQ45">
            <v>56.085119999999996</v>
          </cell>
          <cell r="BR45">
            <v>33.72</v>
          </cell>
          <cell r="BS45">
            <v>33.72</v>
          </cell>
          <cell r="BT45">
            <v>33.72</v>
          </cell>
          <cell r="BU45">
            <v>33.72</v>
          </cell>
          <cell r="BV45">
            <v>33.72</v>
          </cell>
          <cell r="BW45">
            <v>33.72</v>
          </cell>
          <cell r="BX45">
            <v>33.72</v>
          </cell>
          <cell r="BY45">
            <v>33.72</v>
          </cell>
          <cell r="BZ45">
            <v>33.72</v>
          </cell>
          <cell r="CA45">
            <v>33.72</v>
          </cell>
          <cell r="CB45">
            <v>33.72</v>
          </cell>
          <cell r="CC45">
            <v>27.508416</v>
          </cell>
          <cell r="CD45">
            <v>27.508416</v>
          </cell>
          <cell r="CE45">
            <v>27.508416</v>
          </cell>
          <cell r="CF45">
            <v>27.508416</v>
          </cell>
          <cell r="CG45">
            <v>27.508416</v>
          </cell>
          <cell r="CH45">
            <v>27.508416</v>
          </cell>
          <cell r="CI45">
            <v>27.508416</v>
          </cell>
          <cell r="CJ45">
            <v>27.508416</v>
          </cell>
          <cell r="CK45">
            <v>27.508416</v>
          </cell>
          <cell r="CL45">
            <v>27.508416</v>
          </cell>
          <cell r="CM45">
            <v>27.508416</v>
          </cell>
          <cell r="CO45">
            <v>4.2699999999999996</v>
          </cell>
          <cell r="CP45">
            <v>4.2699999999999996</v>
          </cell>
          <cell r="CQ45">
            <v>4.2699999999999996</v>
          </cell>
          <cell r="CR45">
            <v>4.2699999999999996</v>
          </cell>
          <cell r="CS45">
            <v>4.2699999999999996</v>
          </cell>
          <cell r="CT45">
            <v>4.2699999999999996</v>
          </cell>
          <cell r="CU45">
            <v>4.2699999999999996</v>
          </cell>
          <cell r="CV45">
            <v>4.2699999999999996</v>
          </cell>
          <cell r="CW45">
            <v>4.2699999999999996</v>
          </cell>
          <cell r="CX45">
            <v>4.2699999999999996</v>
          </cell>
          <cell r="CY45">
            <v>4.2699999999999996</v>
          </cell>
          <cell r="CZ45">
            <v>1.52E-2</v>
          </cell>
          <cell r="DA45">
            <v>1.52E-2</v>
          </cell>
          <cell r="DB45">
            <v>1.52E-2</v>
          </cell>
          <cell r="DC45">
            <v>1.52E-2</v>
          </cell>
          <cell r="DD45">
            <v>1.52E-2</v>
          </cell>
          <cell r="DE45">
            <v>1.52E-2</v>
          </cell>
          <cell r="DF45">
            <v>1.52E-2</v>
          </cell>
          <cell r="DG45">
            <v>1.52E-2</v>
          </cell>
          <cell r="DH45">
            <v>1.52E-2</v>
          </cell>
          <cell r="DI45">
            <v>1.52E-2</v>
          </cell>
          <cell r="DJ45">
            <v>1.52E-2</v>
          </cell>
        </row>
        <row r="46">
          <cell r="C46">
            <v>2010</v>
          </cell>
          <cell r="D46">
            <v>8810</v>
          </cell>
          <cell r="E46" t="str">
            <v>Accounting Clerk II</v>
          </cell>
          <cell r="G46" t="str">
            <v>SCA</v>
          </cell>
          <cell r="H46" t="str">
            <v>2005-2012</v>
          </cell>
          <cell r="I46">
            <v>36088</v>
          </cell>
          <cell r="J46">
            <v>17.350000000000001</v>
          </cell>
          <cell r="K46">
            <v>0</v>
          </cell>
          <cell r="L46">
            <v>17.350000000000001</v>
          </cell>
          <cell r="M46">
            <v>17.350000000000001</v>
          </cell>
          <cell r="N46">
            <v>17.350000000000001</v>
          </cell>
          <cell r="O46">
            <v>17.350000000000001</v>
          </cell>
          <cell r="P46">
            <v>17.350000000000001</v>
          </cell>
          <cell r="Q46">
            <v>17.350000000000001</v>
          </cell>
          <cell r="R46">
            <v>17.350000000000001</v>
          </cell>
          <cell r="S46">
            <v>17.350000000000001</v>
          </cell>
          <cell r="T46">
            <v>17.350000000000001</v>
          </cell>
          <cell r="U46">
            <v>17.350000000000001</v>
          </cell>
          <cell r="V46">
            <v>17.350000000000001</v>
          </cell>
          <cell r="W46">
            <v>4.41</v>
          </cell>
          <cell r="X46">
            <v>4.41</v>
          </cell>
          <cell r="Y46">
            <v>4.41</v>
          </cell>
          <cell r="Z46">
            <v>4.41</v>
          </cell>
          <cell r="AA46">
            <v>4.41</v>
          </cell>
          <cell r="AB46">
            <v>4.41</v>
          </cell>
          <cell r="AC46">
            <v>4.41</v>
          </cell>
          <cell r="AD46">
            <v>4.41</v>
          </cell>
          <cell r="AE46">
            <v>4.41</v>
          </cell>
          <cell r="AF46">
            <v>4.41</v>
          </cell>
          <cell r="AG46">
            <v>4.41</v>
          </cell>
          <cell r="AH46">
            <v>0</v>
          </cell>
          <cell r="AI46">
            <v>0</v>
          </cell>
          <cell r="AJ46">
            <v>0</v>
          </cell>
          <cell r="AK46">
            <v>0</v>
          </cell>
          <cell r="AL46">
            <v>0</v>
          </cell>
          <cell r="AM46">
            <v>0</v>
          </cell>
          <cell r="AN46">
            <v>0</v>
          </cell>
          <cell r="AO46">
            <v>0</v>
          </cell>
          <cell r="AP46">
            <v>0</v>
          </cell>
          <cell r="AQ46">
            <v>0</v>
          </cell>
          <cell r="AR46">
            <v>0</v>
          </cell>
          <cell r="AS46">
            <v>2.7E-2</v>
          </cell>
          <cell r="AT46">
            <v>8000</v>
          </cell>
          <cell r="AU46">
            <v>216</v>
          </cell>
          <cell r="AV46">
            <v>1.52E-2</v>
          </cell>
          <cell r="AW46">
            <v>1.52E-2</v>
          </cell>
          <cell r="AX46">
            <v>1.52E-2</v>
          </cell>
          <cell r="AY46">
            <v>1.52E-2</v>
          </cell>
          <cell r="AZ46">
            <v>1.52E-2</v>
          </cell>
          <cell r="BA46">
            <v>1.52E-2</v>
          </cell>
          <cell r="BB46">
            <v>1.52E-2</v>
          </cell>
          <cell r="BC46">
            <v>1.52E-2</v>
          </cell>
          <cell r="BD46">
            <v>1.52E-2</v>
          </cell>
          <cell r="BE46">
            <v>1.52E-2</v>
          </cell>
          <cell r="BF46">
            <v>1.52E-2</v>
          </cell>
          <cell r="BG46">
            <v>75.78479999999999</v>
          </cell>
          <cell r="BH46">
            <v>75.78479999999999</v>
          </cell>
          <cell r="BI46">
            <v>75.78479999999999</v>
          </cell>
          <cell r="BJ46">
            <v>75.78479999999999</v>
          </cell>
          <cell r="BK46">
            <v>75.78479999999999</v>
          </cell>
          <cell r="BL46">
            <v>75.78479999999999</v>
          </cell>
          <cell r="BM46">
            <v>75.78479999999999</v>
          </cell>
          <cell r="BN46">
            <v>75.78479999999999</v>
          </cell>
          <cell r="BO46">
            <v>75.78479999999999</v>
          </cell>
          <cell r="BP46">
            <v>75.78479999999999</v>
          </cell>
          <cell r="BQ46">
            <v>75.78479999999999</v>
          </cell>
          <cell r="BR46">
            <v>33.72</v>
          </cell>
          <cell r="BS46">
            <v>33.72</v>
          </cell>
          <cell r="BT46">
            <v>33.72</v>
          </cell>
          <cell r="BU46">
            <v>33.72</v>
          </cell>
          <cell r="BV46">
            <v>33.72</v>
          </cell>
          <cell r="BW46">
            <v>33.72</v>
          </cell>
          <cell r="BX46">
            <v>33.72</v>
          </cell>
          <cell r="BY46">
            <v>33.72</v>
          </cell>
          <cell r="BZ46">
            <v>33.72</v>
          </cell>
          <cell r="CA46">
            <v>33.72</v>
          </cell>
          <cell r="CB46">
            <v>33.72</v>
          </cell>
          <cell r="CC46">
            <v>37.170639999999999</v>
          </cell>
          <cell r="CD46">
            <v>37.170639999999999</v>
          </cell>
          <cell r="CE46">
            <v>37.170639999999999</v>
          </cell>
          <cell r="CF46">
            <v>37.170639999999999</v>
          </cell>
          <cell r="CG46">
            <v>37.170639999999999</v>
          </cell>
          <cell r="CH46">
            <v>37.170639999999999</v>
          </cell>
          <cell r="CI46">
            <v>37.170639999999999</v>
          </cell>
          <cell r="CJ46">
            <v>37.170639999999999</v>
          </cell>
          <cell r="CK46">
            <v>37.170639999999999</v>
          </cell>
          <cell r="CL46">
            <v>37.170639999999999</v>
          </cell>
          <cell r="CM46">
            <v>37.170639999999999</v>
          </cell>
          <cell r="CO46">
            <v>4.2699999999999996</v>
          </cell>
          <cell r="CP46">
            <v>4.2699999999999996</v>
          </cell>
          <cell r="CQ46">
            <v>4.2699999999999996</v>
          </cell>
          <cell r="CR46">
            <v>4.2699999999999996</v>
          </cell>
          <cell r="CS46">
            <v>4.2699999999999996</v>
          </cell>
          <cell r="CT46">
            <v>4.2699999999999996</v>
          </cell>
          <cell r="CU46">
            <v>4.2699999999999996</v>
          </cell>
          <cell r="CV46">
            <v>4.2699999999999996</v>
          </cell>
          <cell r="CW46">
            <v>4.2699999999999996</v>
          </cell>
          <cell r="CX46">
            <v>4.2699999999999996</v>
          </cell>
          <cell r="CY46">
            <v>4.2699999999999996</v>
          </cell>
          <cell r="CZ46">
            <v>1.52E-2</v>
          </cell>
          <cell r="DA46">
            <v>1.52E-2</v>
          </cell>
          <cell r="DB46">
            <v>1.52E-2</v>
          </cell>
          <cell r="DC46">
            <v>1.52E-2</v>
          </cell>
          <cell r="DD46">
            <v>1.52E-2</v>
          </cell>
          <cell r="DE46">
            <v>1.52E-2</v>
          </cell>
          <cell r="DF46">
            <v>1.52E-2</v>
          </cell>
          <cell r="DG46">
            <v>1.52E-2</v>
          </cell>
          <cell r="DH46">
            <v>1.52E-2</v>
          </cell>
          <cell r="DI46">
            <v>1.52E-2</v>
          </cell>
          <cell r="DJ46">
            <v>1.52E-2</v>
          </cell>
        </row>
        <row r="47">
          <cell r="C47">
            <v>2015</v>
          </cell>
          <cell r="D47">
            <v>9015</v>
          </cell>
          <cell r="G47" t="str">
            <v>SCA</v>
          </cell>
          <cell r="H47" t="str">
            <v>2005-2012</v>
          </cell>
          <cell r="I47">
            <v>0</v>
          </cell>
          <cell r="J47">
            <v>0</v>
          </cell>
          <cell r="K47">
            <v>2.5000000000000001E-2</v>
          </cell>
          <cell r="L47">
            <v>0</v>
          </cell>
          <cell r="M47">
            <v>0</v>
          </cell>
          <cell r="N47">
            <v>0</v>
          </cell>
          <cell r="O47">
            <v>0</v>
          </cell>
          <cell r="P47">
            <v>0</v>
          </cell>
          <cell r="Q47">
            <v>0</v>
          </cell>
          <cell r="R47">
            <v>0</v>
          </cell>
          <cell r="S47">
            <v>0</v>
          </cell>
          <cell r="T47">
            <v>0</v>
          </cell>
          <cell r="U47">
            <v>0</v>
          </cell>
          <cell r="V47">
            <v>0</v>
          </cell>
          <cell r="W47">
            <v>4.41</v>
          </cell>
          <cell r="X47">
            <v>4.41</v>
          </cell>
          <cell r="Y47">
            <v>4.41</v>
          </cell>
          <cell r="Z47">
            <v>4.41</v>
          </cell>
          <cell r="AA47">
            <v>4.41</v>
          </cell>
          <cell r="AB47">
            <v>4.41</v>
          </cell>
          <cell r="AC47">
            <v>4.41</v>
          </cell>
          <cell r="AD47">
            <v>4.41</v>
          </cell>
          <cell r="AE47">
            <v>4.41</v>
          </cell>
          <cell r="AF47">
            <v>4.41</v>
          </cell>
          <cell r="AG47">
            <v>4.41</v>
          </cell>
          <cell r="AH47">
            <v>2.5000000000000001E-2</v>
          </cell>
          <cell r="AI47">
            <v>2.5000000000000001E-2</v>
          </cell>
          <cell r="AJ47">
            <v>2.5000000000000001E-2</v>
          </cell>
          <cell r="AK47">
            <v>2.5000000000000001E-2</v>
          </cell>
          <cell r="AL47">
            <v>2.5000000000000001E-2</v>
          </cell>
          <cell r="AM47">
            <v>2.5000000000000001E-2</v>
          </cell>
          <cell r="AN47">
            <v>2.5000000000000001E-2</v>
          </cell>
          <cell r="AO47">
            <v>2.5000000000000001E-2</v>
          </cell>
          <cell r="AP47">
            <v>2.5000000000000001E-2</v>
          </cell>
          <cell r="AQ47">
            <v>2.5000000000000001E-2</v>
          </cell>
          <cell r="AR47">
            <v>2.5000000000000001E-2</v>
          </cell>
          <cell r="AS47">
            <v>2.7E-2</v>
          </cell>
          <cell r="AT47">
            <v>8000</v>
          </cell>
          <cell r="AU47">
            <v>216</v>
          </cell>
          <cell r="AV47">
            <v>4.6300000000000001E-2</v>
          </cell>
          <cell r="AW47">
            <v>4.6300000000000001E-2</v>
          </cell>
          <cell r="AX47">
            <v>4.6300000000000001E-2</v>
          </cell>
          <cell r="AY47">
            <v>4.6300000000000001E-2</v>
          </cell>
          <cell r="AZ47">
            <v>4.6300000000000001E-2</v>
          </cell>
          <cell r="BA47">
            <v>4.6300000000000001E-2</v>
          </cell>
          <cell r="BB47">
            <v>4.6300000000000001E-2</v>
          </cell>
          <cell r="BC47">
            <v>4.6300000000000001E-2</v>
          </cell>
          <cell r="BD47">
            <v>4.6300000000000001E-2</v>
          </cell>
          <cell r="BE47">
            <v>4.6300000000000001E-2</v>
          </cell>
          <cell r="BF47">
            <v>4.6300000000000001E-2</v>
          </cell>
          <cell r="BG47">
            <v>0</v>
          </cell>
          <cell r="BH47">
            <v>0</v>
          </cell>
          <cell r="BI47">
            <v>0</v>
          </cell>
          <cell r="BJ47">
            <v>0</v>
          </cell>
          <cell r="BK47">
            <v>0</v>
          </cell>
          <cell r="BL47">
            <v>0</v>
          </cell>
          <cell r="BM47">
            <v>0</v>
          </cell>
          <cell r="BN47">
            <v>0</v>
          </cell>
          <cell r="BO47">
            <v>0</v>
          </cell>
          <cell r="BP47">
            <v>0</v>
          </cell>
          <cell r="BQ47">
            <v>0</v>
          </cell>
          <cell r="BR47">
            <v>33.72</v>
          </cell>
          <cell r="BS47">
            <v>33.72</v>
          </cell>
          <cell r="BT47">
            <v>33.72</v>
          </cell>
          <cell r="BU47">
            <v>33.72</v>
          </cell>
          <cell r="BV47">
            <v>33.72</v>
          </cell>
          <cell r="BW47">
            <v>33.72</v>
          </cell>
          <cell r="BX47">
            <v>33.72</v>
          </cell>
          <cell r="BY47">
            <v>33.72</v>
          </cell>
          <cell r="BZ47">
            <v>33.72</v>
          </cell>
          <cell r="CA47">
            <v>33.72</v>
          </cell>
          <cell r="CB47">
            <v>33.72</v>
          </cell>
          <cell r="CC47">
            <v>0</v>
          </cell>
          <cell r="CD47">
            <v>0</v>
          </cell>
          <cell r="CE47">
            <v>0</v>
          </cell>
          <cell r="CF47">
            <v>0</v>
          </cell>
          <cell r="CG47">
            <v>0</v>
          </cell>
          <cell r="CH47">
            <v>0</v>
          </cell>
          <cell r="CI47">
            <v>0</v>
          </cell>
          <cell r="CJ47">
            <v>0</v>
          </cell>
          <cell r="CK47">
            <v>0</v>
          </cell>
          <cell r="CL47">
            <v>0</v>
          </cell>
          <cell r="CM47">
            <v>0</v>
          </cell>
          <cell r="CO47">
            <v>4.2699999999999996</v>
          </cell>
          <cell r="CP47">
            <v>4.2699999999999996</v>
          </cell>
          <cell r="CQ47">
            <v>4.2699999999999996</v>
          </cell>
          <cell r="CR47">
            <v>4.2699999999999996</v>
          </cell>
          <cell r="CS47">
            <v>4.2699999999999996</v>
          </cell>
          <cell r="CT47">
            <v>4.2699999999999996</v>
          </cell>
          <cell r="CU47">
            <v>4.2699999999999996</v>
          </cell>
          <cell r="CV47">
            <v>4.2699999999999996</v>
          </cell>
          <cell r="CW47">
            <v>4.2699999999999996</v>
          </cell>
          <cell r="CX47">
            <v>4.2699999999999996</v>
          </cell>
          <cell r="CY47">
            <v>4.2699999999999996</v>
          </cell>
          <cell r="CZ47">
            <v>4.6300000000000001E-2</v>
          </cell>
          <cell r="DA47">
            <v>4.6300000000000001E-2</v>
          </cell>
          <cell r="DB47">
            <v>4.6300000000000001E-2</v>
          </cell>
          <cell r="DC47">
            <v>4.6300000000000001E-2</v>
          </cell>
          <cell r="DD47">
            <v>4.6300000000000001E-2</v>
          </cell>
          <cell r="DE47">
            <v>4.6300000000000001E-2</v>
          </cell>
          <cell r="DF47">
            <v>4.6300000000000001E-2</v>
          </cell>
          <cell r="DG47">
            <v>4.6300000000000001E-2</v>
          </cell>
          <cell r="DH47">
            <v>4.6300000000000001E-2</v>
          </cell>
          <cell r="DI47">
            <v>4.6300000000000001E-2</v>
          </cell>
          <cell r="DJ47">
            <v>4.6300000000000001E-2</v>
          </cell>
        </row>
        <row r="48">
          <cell r="C48">
            <v>2020</v>
          </cell>
          <cell r="D48">
            <v>9015</v>
          </cell>
          <cell r="G48" t="str">
            <v>SCA</v>
          </cell>
          <cell r="H48" t="str">
            <v>2005-2012</v>
          </cell>
          <cell r="I48">
            <v>0</v>
          </cell>
          <cell r="J48">
            <v>0</v>
          </cell>
          <cell r="K48">
            <v>2.5000000000000001E-2</v>
          </cell>
          <cell r="L48">
            <v>0</v>
          </cell>
          <cell r="M48">
            <v>0</v>
          </cell>
          <cell r="N48">
            <v>0</v>
          </cell>
          <cell r="O48">
            <v>0</v>
          </cell>
          <cell r="P48">
            <v>0</v>
          </cell>
          <cell r="Q48">
            <v>0</v>
          </cell>
          <cell r="R48">
            <v>0</v>
          </cell>
          <cell r="S48">
            <v>0</v>
          </cell>
          <cell r="T48">
            <v>0</v>
          </cell>
          <cell r="U48">
            <v>0</v>
          </cell>
          <cell r="V48">
            <v>0</v>
          </cell>
          <cell r="W48">
            <v>4.41</v>
          </cell>
          <cell r="X48">
            <v>4.41</v>
          </cell>
          <cell r="Y48">
            <v>4.41</v>
          </cell>
          <cell r="Z48">
            <v>4.41</v>
          </cell>
          <cell r="AA48">
            <v>4.41</v>
          </cell>
          <cell r="AB48">
            <v>4.41</v>
          </cell>
          <cell r="AC48">
            <v>4.41</v>
          </cell>
          <cell r="AD48">
            <v>4.41</v>
          </cell>
          <cell r="AE48">
            <v>4.41</v>
          </cell>
          <cell r="AF48">
            <v>4.41</v>
          </cell>
          <cell r="AG48">
            <v>4.41</v>
          </cell>
          <cell r="AH48">
            <v>2.5000000000000001E-2</v>
          </cell>
          <cell r="AI48">
            <v>2.5000000000000001E-2</v>
          </cell>
          <cell r="AJ48">
            <v>2.5000000000000001E-2</v>
          </cell>
          <cell r="AK48">
            <v>2.5000000000000001E-2</v>
          </cell>
          <cell r="AL48">
            <v>2.5000000000000001E-2</v>
          </cell>
          <cell r="AM48">
            <v>2.5000000000000001E-2</v>
          </cell>
          <cell r="AN48">
            <v>2.5000000000000001E-2</v>
          </cell>
          <cell r="AO48">
            <v>2.5000000000000001E-2</v>
          </cell>
          <cell r="AP48">
            <v>2.5000000000000001E-2</v>
          </cell>
          <cell r="AQ48">
            <v>2.5000000000000001E-2</v>
          </cell>
          <cell r="AR48">
            <v>2.5000000000000001E-2</v>
          </cell>
          <cell r="AS48">
            <v>2.7E-2</v>
          </cell>
          <cell r="AT48">
            <v>8000</v>
          </cell>
          <cell r="AU48">
            <v>216</v>
          </cell>
          <cell r="AV48">
            <v>4.6300000000000001E-2</v>
          </cell>
          <cell r="AW48">
            <v>4.6300000000000001E-2</v>
          </cell>
          <cell r="AX48">
            <v>4.6300000000000001E-2</v>
          </cell>
          <cell r="AY48">
            <v>4.6300000000000001E-2</v>
          </cell>
          <cell r="AZ48">
            <v>4.6300000000000001E-2</v>
          </cell>
          <cell r="BA48">
            <v>4.6300000000000001E-2</v>
          </cell>
          <cell r="BB48">
            <v>4.6300000000000001E-2</v>
          </cell>
          <cell r="BC48">
            <v>4.6300000000000001E-2</v>
          </cell>
          <cell r="BD48">
            <v>4.6300000000000001E-2</v>
          </cell>
          <cell r="BE48">
            <v>4.6300000000000001E-2</v>
          </cell>
          <cell r="BF48">
            <v>4.6300000000000001E-2</v>
          </cell>
          <cell r="BG48">
            <v>0</v>
          </cell>
          <cell r="BH48">
            <v>0</v>
          </cell>
          <cell r="BI48">
            <v>0</v>
          </cell>
          <cell r="BJ48">
            <v>0</v>
          </cell>
          <cell r="BK48">
            <v>0</v>
          </cell>
          <cell r="BL48">
            <v>0</v>
          </cell>
          <cell r="BM48">
            <v>0</v>
          </cell>
          <cell r="BN48">
            <v>0</v>
          </cell>
          <cell r="BO48">
            <v>0</v>
          </cell>
          <cell r="BP48">
            <v>0</v>
          </cell>
          <cell r="BQ48">
            <v>0</v>
          </cell>
          <cell r="BR48">
            <v>33.72</v>
          </cell>
          <cell r="BS48">
            <v>33.72</v>
          </cell>
          <cell r="BT48">
            <v>33.72</v>
          </cell>
          <cell r="BU48">
            <v>33.72</v>
          </cell>
          <cell r="BV48">
            <v>33.72</v>
          </cell>
          <cell r="BW48">
            <v>33.72</v>
          </cell>
          <cell r="BX48">
            <v>33.72</v>
          </cell>
          <cell r="BY48">
            <v>33.72</v>
          </cell>
          <cell r="BZ48">
            <v>33.72</v>
          </cell>
          <cell r="CA48">
            <v>33.72</v>
          </cell>
          <cell r="CB48">
            <v>33.72</v>
          </cell>
          <cell r="CC48">
            <v>0</v>
          </cell>
          <cell r="CD48">
            <v>0</v>
          </cell>
          <cell r="CE48">
            <v>0</v>
          </cell>
          <cell r="CF48">
            <v>0</v>
          </cell>
          <cell r="CG48">
            <v>0</v>
          </cell>
          <cell r="CH48">
            <v>0</v>
          </cell>
          <cell r="CI48">
            <v>0</v>
          </cell>
          <cell r="CJ48">
            <v>0</v>
          </cell>
          <cell r="CK48">
            <v>0</v>
          </cell>
          <cell r="CL48">
            <v>0</v>
          </cell>
          <cell r="CM48">
            <v>0</v>
          </cell>
          <cell r="CO48">
            <v>4.2699999999999996</v>
          </cell>
          <cell r="CP48">
            <v>4.2699999999999996</v>
          </cell>
          <cell r="CQ48">
            <v>4.2699999999999996</v>
          </cell>
          <cell r="CR48">
            <v>4.2699999999999996</v>
          </cell>
          <cell r="CS48">
            <v>4.2699999999999996</v>
          </cell>
          <cell r="CT48">
            <v>4.2699999999999996</v>
          </cell>
          <cell r="CU48">
            <v>4.2699999999999996</v>
          </cell>
          <cell r="CV48">
            <v>4.2699999999999996</v>
          </cell>
          <cell r="CW48">
            <v>4.2699999999999996</v>
          </cell>
          <cell r="CX48">
            <v>4.2699999999999996</v>
          </cell>
          <cell r="CY48">
            <v>4.2699999999999996</v>
          </cell>
          <cell r="CZ48">
            <v>4.6300000000000001E-2</v>
          </cell>
          <cell r="DA48">
            <v>4.6300000000000001E-2</v>
          </cell>
          <cell r="DB48">
            <v>4.6300000000000001E-2</v>
          </cell>
          <cell r="DC48">
            <v>4.6300000000000001E-2</v>
          </cell>
          <cell r="DD48">
            <v>4.6300000000000001E-2</v>
          </cell>
          <cell r="DE48">
            <v>4.6300000000000001E-2</v>
          </cell>
          <cell r="DF48">
            <v>4.6300000000000001E-2</v>
          </cell>
          <cell r="DG48">
            <v>4.6300000000000001E-2</v>
          </cell>
          <cell r="DH48">
            <v>4.6300000000000001E-2</v>
          </cell>
          <cell r="DI48">
            <v>4.6300000000000001E-2</v>
          </cell>
          <cell r="DJ48">
            <v>4.6300000000000001E-2</v>
          </cell>
        </row>
        <row r="49">
          <cell r="C49">
            <v>2025</v>
          </cell>
          <cell r="D49">
            <v>9015</v>
          </cell>
          <cell r="G49" t="str">
            <v>SCA</v>
          </cell>
          <cell r="H49" t="str">
            <v>2005-2012</v>
          </cell>
          <cell r="I49">
            <v>0</v>
          </cell>
          <cell r="J49">
            <v>0</v>
          </cell>
          <cell r="K49">
            <v>2.5000000000000001E-2</v>
          </cell>
          <cell r="L49">
            <v>0</v>
          </cell>
          <cell r="M49">
            <v>0</v>
          </cell>
          <cell r="N49">
            <v>0</v>
          </cell>
          <cell r="O49">
            <v>0</v>
          </cell>
          <cell r="P49">
            <v>0</v>
          </cell>
          <cell r="Q49">
            <v>0</v>
          </cell>
          <cell r="R49">
            <v>0</v>
          </cell>
          <cell r="S49">
            <v>0</v>
          </cell>
          <cell r="T49">
            <v>0</v>
          </cell>
          <cell r="U49">
            <v>0</v>
          </cell>
          <cell r="V49">
            <v>0</v>
          </cell>
          <cell r="W49">
            <v>4.41</v>
          </cell>
          <cell r="X49">
            <v>4.41</v>
          </cell>
          <cell r="Y49">
            <v>4.41</v>
          </cell>
          <cell r="Z49">
            <v>4.41</v>
          </cell>
          <cell r="AA49">
            <v>4.41</v>
          </cell>
          <cell r="AB49">
            <v>4.41</v>
          </cell>
          <cell r="AC49">
            <v>4.41</v>
          </cell>
          <cell r="AD49">
            <v>4.41</v>
          </cell>
          <cell r="AE49">
            <v>4.41</v>
          </cell>
          <cell r="AF49">
            <v>4.41</v>
          </cell>
          <cell r="AG49">
            <v>4.41</v>
          </cell>
          <cell r="AH49">
            <v>2.5000000000000001E-2</v>
          </cell>
          <cell r="AI49">
            <v>2.5000000000000001E-2</v>
          </cell>
          <cell r="AJ49">
            <v>2.5000000000000001E-2</v>
          </cell>
          <cell r="AK49">
            <v>2.5000000000000001E-2</v>
          </cell>
          <cell r="AL49">
            <v>2.5000000000000001E-2</v>
          </cell>
          <cell r="AM49">
            <v>2.5000000000000001E-2</v>
          </cell>
          <cell r="AN49">
            <v>2.5000000000000001E-2</v>
          </cell>
          <cell r="AO49">
            <v>2.5000000000000001E-2</v>
          </cell>
          <cell r="AP49">
            <v>2.5000000000000001E-2</v>
          </cell>
          <cell r="AQ49">
            <v>2.5000000000000001E-2</v>
          </cell>
          <cell r="AR49">
            <v>2.5000000000000001E-2</v>
          </cell>
          <cell r="AS49">
            <v>2.7E-2</v>
          </cell>
          <cell r="AT49">
            <v>8000</v>
          </cell>
          <cell r="AU49">
            <v>216</v>
          </cell>
          <cell r="AV49">
            <v>4.6300000000000001E-2</v>
          </cell>
          <cell r="AW49">
            <v>4.6300000000000001E-2</v>
          </cell>
          <cell r="AX49">
            <v>4.6300000000000001E-2</v>
          </cell>
          <cell r="AY49">
            <v>4.6300000000000001E-2</v>
          </cell>
          <cell r="AZ49">
            <v>4.6300000000000001E-2</v>
          </cell>
          <cell r="BA49">
            <v>4.6300000000000001E-2</v>
          </cell>
          <cell r="BB49">
            <v>4.6300000000000001E-2</v>
          </cell>
          <cell r="BC49">
            <v>4.6300000000000001E-2</v>
          </cell>
          <cell r="BD49">
            <v>4.6300000000000001E-2</v>
          </cell>
          <cell r="BE49">
            <v>4.6300000000000001E-2</v>
          </cell>
          <cell r="BF49">
            <v>4.6300000000000001E-2</v>
          </cell>
          <cell r="BG49">
            <v>0</v>
          </cell>
          <cell r="BH49">
            <v>0</v>
          </cell>
          <cell r="BI49">
            <v>0</v>
          </cell>
          <cell r="BJ49">
            <v>0</v>
          </cell>
          <cell r="BK49">
            <v>0</v>
          </cell>
          <cell r="BL49">
            <v>0</v>
          </cell>
          <cell r="BM49">
            <v>0</v>
          </cell>
          <cell r="BN49">
            <v>0</v>
          </cell>
          <cell r="BO49">
            <v>0</v>
          </cell>
          <cell r="BP49">
            <v>0</v>
          </cell>
          <cell r="BQ49">
            <v>0</v>
          </cell>
          <cell r="BR49">
            <v>33.72</v>
          </cell>
          <cell r="BS49">
            <v>33.72</v>
          </cell>
          <cell r="BT49">
            <v>33.72</v>
          </cell>
          <cell r="BU49">
            <v>33.72</v>
          </cell>
          <cell r="BV49">
            <v>33.72</v>
          </cell>
          <cell r="BW49">
            <v>33.72</v>
          </cell>
          <cell r="BX49">
            <v>33.72</v>
          </cell>
          <cell r="BY49">
            <v>33.72</v>
          </cell>
          <cell r="BZ49">
            <v>33.72</v>
          </cell>
          <cell r="CA49">
            <v>33.72</v>
          </cell>
          <cell r="CB49">
            <v>33.72</v>
          </cell>
          <cell r="CC49">
            <v>0</v>
          </cell>
          <cell r="CD49">
            <v>0</v>
          </cell>
          <cell r="CE49">
            <v>0</v>
          </cell>
          <cell r="CF49">
            <v>0</v>
          </cell>
          <cell r="CG49">
            <v>0</v>
          </cell>
          <cell r="CH49">
            <v>0</v>
          </cell>
          <cell r="CI49">
            <v>0</v>
          </cell>
          <cell r="CJ49">
            <v>0</v>
          </cell>
          <cell r="CK49">
            <v>0</v>
          </cell>
          <cell r="CL49">
            <v>0</v>
          </cell>
          <cell r="CM49">
            <v>0</v>
          </cell>
          <cell r="CO49">
            <v>4.2699999999999996</v>
          </cell>
          <cell r="CP49">
            <v>4.2699999999999996</v>
          </cell>
          <cell r="CQ49">
            <v>4.2699999999999996</v>
          </cell>
          <cell r="CR49">
            <v>4.2699999999999996</v>
          </cell>
          <cell r="CS49">
            <v>4.2699999999999996</v>
          </cell>
          <cell r="CT49">
            <v>4.2699999999999996</v>
          </cell>
          <cell r="CU49">
            <v>4.2699999999999996</v>
          </cell>
          <cell r="CV49">
            <v>4.2699999999999996</v>
          </cell>
          <cell r="CW49">
            <v>4.2699999999999996</v>
          </cell>
          <cell r="CX49">
            <v>4.2699999999999996</v>
          </cell>
          <cell r="CY49">
            <v>4.2699999999999996</v>
          </cell>
          <cell r="CZ49">
            <v>4.6300000000000001E-2</v>
          </cell>
          <cell r="DA49">
            <v>4.6300000000000001E-2</v>
          </cell>
          <cell r="DB49">
            <v>4.6300000000000001E-2</v>
          </cell>
          <cell r="DC49">
            <v>4.6300000000000001E-2</v>
          </cell>
          <cell r="DD49">
            <v>4.6300000000000001E-2</v>
          </cell>
          <cell r="DE49">
            <v>4.6300000000000001E-2</v>
          </cell>
          <cell r="DF49">
            <v>4.6300000000000001E-2</v>
          </cell>
          <cell r="DG49">
            <v>4.6300000000000001E-2</v>
          </cell>
          <cell r="DH49">
            <v>4.6300000000000001E-2</v>
          </cell>
          <cell r="DI49">
            <v>4.6300000000000001E-2</v>
          </cell>
          <cell r="DJ49">
            <v>4.6300000000000001E-2</v>
          </cell>
        </row>
        <row r="50">
          <cell r="C50">
            <v>2030</v>
          </cell>
          <cell r="D50">
            <v>9015</v>
          </cell>
          <cell r="G50" t="str">
            <v>SCA</v>
          </cell>
          <cell r="H50" t="str">
            <v>2005-2012</v>
          </cell>
          <cell r="I50">
            <v>0</v>
          </cell>
          <cell r="J50">
            <v>0</v>
          </cell>
          <cell r="K50">
            <v>2.5000000000000001E-2</v>
          </cell>
          <cell r="L50">
            <v>0</v>
          </cell>
          <cell r="M50">
            <v>0</v>
          </cell>
          <cell r="N50">
            <v>0</v>
          </cell>
          <cell r="O50">
            <v>0</v>
          </cell>
          <cell r="P50">
            <v>0</v>
          </cell>
          <cell r="Q50">
            <v>0</v>
          </cell>
          <cell r="R50">
            <v>0</v>
          </cell>
          <cell r="S50">
            <v>0</v>
          </cell>
          <cell r="T50">
            <v>0</v>
          </cell>
          <cell r="U50">
            <v>0</v>
          </cell>
          <cell r="V50">
            <v>0</v>
          </cell>
          <cell r="W50">
            <v>4.41</v>
          </cell>
          <cell r="X50">
            <v>4.41</v>
          </cell>
          <cell r="Y50">
            <v>4.41</v>
          </cell>
          <cell r="Z50">
            <v>4.41</v>
          </cell>
          <cell r="AA50">
            <v>4.41</v>
          </cell>
          <cell r="AB50">
            <v>4.41</v>
          </cell>
          <cell r="AC50">
            <v>4.41</v>
          </cell>
          <cell r="AD50">
            <v>4.41</v>
          </cell>
          <cell r="AE50">
            <v>4.41</v>
          </cell>
          <cell r="AF50">
            <v>4.41</v>
          </cell>
          <cell r="AG50">
            <v>4.41</v>
          </cell>
          <cell r="AH50">
            <v>2.5000000000000001E-2</v>
          </cell>
          <cell r="AI50">
            <v>2.5000000000000001E-2</v>
          </cell>
          <cell r="AJ50">
            <v>2.5000000000000001E-2</v>
          </cell>
          <cell r="AK50">
            <v>2.5000000000000001E-2</v>
          </cell>
          <cell r="AL50">
            <v>2.5000000000000001E-2</v>
          </cell>
          <cell r="AM50">
            <v>2.5000000000000001E-2</v>
          </cell>
          <cell r="AN50">
            <v>2.5000000000000001E-2</v>
          </cell>
          <cell r="AO50">
            <v>2.5000000000000001E-2</v>
          </cell>
          <cell r="AP50">
            <v>2.5000000000000001E-2</v>
          </cell>
          <cell r="AQ50">
            <v>2.5000000000000001E-2</v>
          </cell>
          <cell r="AR50">
            <v>2.5000000000000001E-2</v>
          </cell>
          <cell r="AS50">
            <v>2.7E-2</v>
          </cell>
          <cell r="AT50">
            <v>8000</v>
          </cell>
          <cell r="AU50">
            <v>216</v>
          </cell>
          <cell r="AV50">
            <v>4.6300000000000001E-2</v>
          </cell>
          <cell r="AW50">
            <v>4.6300000000000001E-2</v>
          </cell>
          <cell r="AX50">
            <v>4.6300000000000001E-2</v>
          </cell>
          <cell r="AY50">
            <v>4.6300000000000001E-2</v>
          </cell>
          <cell r="AZ50">
            <v>4.6300000000000001E-2</v>
          </cell>
          <cell r="BA50">
            <v>4.6300000000000001E-2</v>
          </cell>
          <cell r="BB50">
            <v>4.6300000000000001E-2</v>
          </cell>
          <cell r="BC50">
            <v>4.6300000000000001E-2</v>
          </cell>
          <cell r="BD50">
            <v>4.6300000000000001E-2</v>
          </cell>
          <cell r="BE50">
            <v>4.6300000000000001E-2</v>
          </cell>
          <cell r="BF50">
            <v>4.6300000000000001E-2</v>
          </cell>
          <cell r="BG50">
            <v>0</v>
          </cell>
          <cell r="BH50">
            <v>0</v>
          </cell>
          <cell r="BI50">
            <v>0</v>
          </cell>
          <cell r="BJ50">
            <v>0</v>
          </cell>
          <cell r="BK50">
            <v>0</v>
          </cell>
          <cell r="BL50">
            <v>0</v>
          </cell>
          <cell r="BM50">
            <v>0</v>
          </cell>
          <cell r="BN50">
            <v>0</v>
          </cell>
          <cell r="BO50">
            <v>0</v>
          </cell>
          <cell r="BP50">
            <v>0</v>
          </cell>
          <cell r="BQ50">
            <v>0</v>
          </cell>
          <cell r="BR50">
            <v>33.72</v>
          </cell>
          <cell r="BS50">
            <v>33.72</v>
          </cell>
          <cell r="BT50">
            <v>33.72</v>
          </cell>
          <cell r="BU50">
            <v>33.72</v>
          </cell>
          <cell r="BV50">
            <v>33.72</v>
          </cell>
          <cell r="BW50">
            <v>33.72</v>
          </cell>
          <cell r="BX50">
            <v>33.72</v>
          </cell>
          <cell r="BY50">
            <v>33.72</v>
          </cell>
          <cell r="BZ50">
            <v>33.72</v>
          </cell>
          <cell r="CA50">
            <v>33.72</v>
          </cell>
          <cell r="CB50">
            <v>33.72</v>
          </cell>
          <cell r="CC50">
            <v>0</v>
          </cell>
          <cell r="CD50">
            <v>0</v>
          </cell>
          <cell r="CE50">
            <v>0</v>
          </cell>
          <cell r="CF50">
            <v>0</v>
          </cell>
          <cell r="CG50">
            <v>0</v>
          </cell>
          <cell r="CH50">
            <v>0</v>
          </cell>
          <cell r="CI50">
            <v>0</v>
          </cell>
          <cell r="CJ50">
            <v>0</v>
          </cell>
          <cell r="CK50">
            <v>0</v>
          </cell>
          <cell r="CL50">
            <v>0</v>
          </cell>
          <cell r="CM50">
            <v>0</v>
          </cell>
          <cell r="CO50">
            <v>4.2699999999999996</v>
          </cell>
          <cell r="CP50">
            <v>4.2699999999999996</v>
          </cell>
          <cell r="CQ50">
            <v>4.2699999999999996</v>
          </cell>
          <cell r="CR50">
            <v>4.2699999999999996</v>
          </cell>
          <cell r="CS50">
            <v>4.2699999999999996</v>
          </cell>
          <cell r="CT50">
            <v>4.2699999999999996</v>
          </cell>
          <cell r="CU50">
            <v>4.2699999999999996</v>
          </cell>
          <cell r="CV50">
            <v>4.2699999999999996</v>
          </cell>
          <cell r="CW50">
            <v>4.2699999999999996</v>
          </cell>
          <cell r="CX50">
            <v>4.2699999999999996</v>
          </cell>
          <cell r="CY50">
            <v>4.2699999999999996</v>
          </cell>
          <cell r="CZ50">
            <v>4.6300000000000001E-2</v>
          </cell>
          <cell r="DA50">
            <v>4.6300000000000001E-2</v>
          </cell>
          <cell r="DB50">
            <v>4.6300000000000001E-2</v>
          </cell>
          <cell r="DC50">
            <v>4.6300000000000001E-2</v>
          </cell>
          <cell r="DD50">
            <v>4.6300000000000001E-2</v>
          </cell>
          <cell r="DE50">
            <v>4.6300000000000001E-2</v>
          </cell>
          <cell r="DF50">
            <v>4.6300000000000001E-2</v>
          </cell>
          <cell r="DG50">
            <v>4.6300000000000001E-2</v>
          </cell>
          <cell r="DH50">
            <v>4.6300000000000001E-2</v>
          </cell>
          <cell r="DI50">
            <v>4.6300000000000001E-2</v>
          </cell>
          <cell r="DJ50">
            <v>4.6300000000000001E-2</v>
          </cell>
        </row>
        <row r="55">
          <cell r="C55" t="str">
            <v>Collective Bargaining Agreement (#1) - International Union of Operating Engineers, Local 701</v>
          </cell>
        </row>
        <row r="56">
          <cell r="C56">
            <v>3000</v>
          </cell>
          <cell r="D56">
            <v>9015</v>
          </cell>
          <cell r="E56" t="str">
            <v>Dispatcher/Clerk Typist</v>
          </cell>
          <cell r="G56" t="str">
            <v>CBA1</v>
          </cell>
          <cell r="H56" t="str">
            <v>RFP CBA</v>
          </cell>
          <cell r="I56">
            <v>42369.599999999999</v>
          </cell>
          <cell r="J56">
            <v>20.37</v>
          </cell>
          <cell r="K56">
            <v>1.7</v>
          </cell>
          <cell r="L56">
            <v>20.37</v>
          </cell>
          <cell r="M56">
            <v>20.37</v>
          </cell>
          <cell r="N56">
            <v>20.57</v>
          </cell>
          <cell r="O56">
            <v>20.57</v>
          </cell>
          <cell r="P56">
            <v>20.57</v>
          </cell>
          <cell r="Q56">
            <v>20.57</v>
          </cell>
          <cell r="R56">
            <v>20.57</v>
          </cell>
          <cell r="S56">
            <v>20.57</v>
          </cell>
          <cell r="T56">
            <v>20.57</v>
          </cell>
          <cell r="U56">
            <v>20.57</v>
          </cell>
          <cell r="V56">
            <v>20.57</v>
          </cell>
          <cell r="W56">
            <v>7.49</v>
          </cell>
          <cell r="X56">
            <v>7.49</v>
          </cell>
          <cell r="Y56">
            <v>7.49</v>
          </cell>
          <cell r="Z56">
            <v>7.49</v>
          </cell>
          <cell r="AA56">
            <v>7.49</v>
          </cell>
          <cell r="AB56">
            <v>7.49</v>
          </cell>
          <cell r="AC56">
            <v>7.49</v>
          </cell>
          <cell r="AD56">
            <v>7.49</v>
          </cell>
          <cell r="AE56">
            <v>7.49</v>
          </cell>
          <cell r="AF56">
            <v>7.49</v>
          </cell>
          <cell r="AG56">
            <v>7.49</v>
          </cell>
          <cell r="AH56">
            <v>1.7</v>
          </cell>
          <cell r="AI56">
            <v>1.7</v>
          </cell>
          <cell r="AJ56">
            <v>1.7</v>
          </cell>
          <cell r="AK56">
            <v>1.7</v>
          </cell>
          <cell r="AL56">
            <v>1.7</v>
          </cell>
          <cell r="AM56">
            <v>1.7</v>
          </cell>
          <cell r="AN56">
            <v>1.7</v>
          </cell>
          <cell r="AO56">
            <v>1.7</v>
          </cell>
          <cell r="AP56">
            <v>1.7</v>
          </cell>
          <cell r="AQ56">
            <v>1.7</v>
          </cell>
          <cell r="AR56">
            <v>1.7</v>
          </cell>
          <cell r="AS56">
            <v>2.7E-2</v>
          </cell>
          <cell r="AT56">
            <v>8000</v>
          </cell>
          <cell r="AU56">
            <v>216</v>
          </cell>
          <cell r="AV56">
            <v>4.6300000000000001E-2</v>
          </cell>
          <cell r="AW56">
            <v>4.6300000000000001E-2</v>
          </cell>
          <cell r="AX56">
            <v>4.6300000000000001E-2</v>
          </cell>
          <cell r="AY56">
            <v>4.6300000000000001E-2</v>
          </cell>
          <cell r="AZ56">
            <v>4.6300000000000001E-2</v>
          </cell>
          <cell r="BA56">
            <v>4.6300000000000001E-2</v>
          </cell>
          <cell r="BB56">
            <v>4.6300000000000001E-2</v>
          </cell>
          <cell r="BC56">
            <v>4.6300000000000001E-2</v>
          </cell>
          <cell r="BD56">
            <v>4.6300000000000001E-2</v>
          </cell>
          <cell r="BE56">
            <v>4.6300000000000001E-2</v>
          </cell>
          <cell r="BF56">
            <v>4.6300000000000001E-2</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O56">
            <v>7.49</v>
          </cell>
          <cell r="CP56">
            <v>7.49</v>
          </cell>
          <cell r="CQ56">
            <v>7.49</v>
          </cell>
          <cell r="CR56">
            <v>7.49</v>
          </cell>
          <cell r="CS56">
            <v>7.49</v>
          </cell>
          <cell r="CT56">
            <v>7.49</v>
          </cell>
          <cell r="CU56">
            <v>7.49</v>
          </cell>
          <cell r="CV56">
            <v>7.49</v>
          </cell>
          <cell r="CW56">
            <v>7.49</v>
          </cell>
          <cell r="CX56">
            <v>7.49</v>
          </cell>
          <cell r="CY56">
            <v>7.49</v>
          </cell>
          <cell r="CZ56">
            <v>4.6300000000000001E-2</v>
          </cell>
          <cell r="DA56">
            <v>4.6300000000000001E-2</v>
          </cell>
          <cell r="DB56">
            <v>4.6300000000000001E-2</v>
          </cell>
          <cell r="DC56">
            <v>4.6300000000000001E-2</v>
          </cell>
          <cell r="DD56">
            <v>4.6300000000000001E-2</v>
          </cell>
          <cell r="DE56">
            <v>4.6300000000000001E-2</v>
          </cell>
          <cell r="DF56">
            <v>4.6300000000000001E-2</v>
          </cell>
          <cell r="DG56">
            <v>4.6300000000000001E-2</v>
          </cell>
          <cell r="DH56">
            <v>4.6300000000000001E-2</v>
          </cell>
          <cell r="DI56">
            <v>4.6300000000000001E-2</v>
          </cell>
          <cell r="DJ56">
            <v>4.6300000000000001E-2</v>
          </cell>
        </row>
        <row r="57">
          <cell r="C57">
            <v>3005</v>
          </cell>
          <cell r="D57">
            <v>9015</v>
          </cell>
          <cell r="E57" t="str">
            <v>Janitor</v>
          </cell>
          <cell r="G57" t="str">
            <v>CBA1</v>
          </cell>
          <cell r="H57" t="str">
            <v>RFP CBA</v>
          </cell>
          <cell r="I57">
            <v>41558.400000000001</v>
          </cell>
          <cell r="J57">
            <v>19.98</v>
          </cell>
          <cell r="K57">
            <v>1.7</v>
          </cell>
          <cell r="L57">
            <v>19.98</v>
          </cell>
          <cell r="M57">
            <v>19.98</v>
          </cell>
          <cell r="N57">
            <v>13.9</v>
          </cell>
          <cell r="O57">
            <v>13.9</v>
          </cell>
          <cell r="P57">
            <v>13.9</v>
          </cell>
          <cell r="Q57">
            <v>13.9</v>
          </cell>
          <cell r="R57">
            <v>13.9</v>
          </cell>
          <cell r="S57">
            <v>13.9</v>
          </cell>
          <cell r="T57">
            <v>13.9</v>
          </cell>
          <cell r="U57">
            <v>13.9</v>
          </cell>
          <cell r="V57">
            <v>13.9</v>
          </cell>
          <cell r="W57">
            <v>7.49</v>
          </cell>
          <cell r="X57">
            <v>7.49</v>
          </cell>
          <cell r="Y57">
            <v>7.49</v>
          </cell>
          <cell r="Z57">
            <v>7.49</v>
          </cell>
          <cell r="AA57">
            <v>7.49</v>
          </cell>
          <cell r="AB57">
            <v>7.49</v>
          </cell>
          <cell r="AC57">
            <v>7.49</v>
          </cell>
          <cell r="AD57">
            <v>7.49</v>
          </cell>
          <cell r="AE57">
            <v>7.49</v>
          </cell>
          <cell r="AF57">
            <v>7.49</v>
          </cell>
          <cell r="AG57">
            <v>7.49</v>
          </cell>
          <cell r="AH57">
            <v>1.7</v>
          </cell>
          <cell r="AI57">
            <v>1.7</v>
          </cell>
          <cell r="AJ57">
            <v>1.7</v>
          </cell>
          <cell r="AK57">
            <v>1.7</v>
          </cell>
          <cell r="AL57">
            <v>1.7</v>
          </cell>
          <cell r="AM57">
            <v>1.7</v>
          </cell>
          <cell r="AN57">
            <v>1.7</v>
          </cell>
          <cell r="AO57">
            <v>1.7</v>
          </cell>
          <cell r="AP57">
            <v>1.7</v>
          </cell>
          <cell r="AQ57">
            <v>1.7</v>
          </cell>
          <cell r="AR57">
            <v>1.7</v>
          </cell>
          <cell r="AS57">
            <v>2.7E-2</v>
          </cell>
          <cell r="AT57">
            <v>8000</v>
          </cell>
          <cell r="AU57">
            <v>216</v>
          </cell>
          <cell r="AV57">
            <v>4.6300000000000001E-2</v>
          </cell>
          <cell r="AW57">
            <v>4.6300000000000001E-2</v>
          </cell>
          <cell r="AX57">
            <v>4.6300000000000001E-2</v>
          </cell>
          <cell r="AY57">
            <v>4.6300000000000001E-2</v>
          </cell>
          <cell r="AZ57">
            <v>4.6300000000000001E-2</v>
          </cell>
          <cell r="BA57">
            <v>4.6300000000000001E-2</v>
          </cell>
          <cell r="BB57">
            <v>4.6300000000000001E-2</v>
          </cell>
          <cell r="BC57">
            <v>4.6300000000000001E-2</v>
          </cell>
          <cell r="BD57">
            <v>4.6300000000000001E-2</v>
          </cell>
          <cell r="BE57">
            <v>4.6300000000000001E-2</v>
          </cell>
          <cell r="BF57">
            <v>4.6300000000000001E-2</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O57">
            <v>7.49</v>
          </cell>
          <cell r="CP57">
            <v>7.49</v>
          </cell>
          <cell r="CQ57">
            <v>7.49</v>
          </cell>
          <cell r="CR57">
            <v>7.49</v>
          </cell>
          <cell r="CS57">
            <v>7.49</v>
          </cell>
          <cell r="CT57">
            <v>7.49</v>
          </cell>
          <cell r="CU57">
            <v>7.49</v>
          </cell>
          <cell r="CV57">
            <v>7.49</v>
          </cell>
          <cell r="CW57">
            <v>7.49</v>
          </cell>
          <cell r="CX57">
            <v>7.49</v>
          </cell>
          <cell r="CY57">
            <v>7.49</v>
          </cell>
          <cell r="CZ57">
            <v>4.6300000000000001E-2</v>
          </cell>
          <cell r="DA57">
            <v>4.6300000000000001E-2</v>
          </cell>
          <cell r="DB57">
            <v>4.6300000000000001E-2</v>
          </cell>
          <cell r="DC57">
            <v>4.6300000000000001E-2</v>
          </cell>
          <cell r="DD57">
            <v>4.6300000000000001E-2</v>
          </cell>
          <cell r="DE57">
            <v>4.6300000000000001E-2</v>
          </cell>
          <cell r="DF57">
            <v>4.6300000000000001E-2</v>
          </cell>
          <cell r="DG57">
            <v>4.6300000000000001E-2</v>
          </cell>
          <cell r="DH57">
            <v>4.6300000000000001E-2</v>
          </cell>
          <cell r="DI57">
            <v>4.6300000000000001E-2</v>
          </cell>
          <cell r="DJ57">
            <v>4.6300000000000001E-2</v>
          </cell>
        </row>
        <row r="58">
          <cell r="C58">
            <v>3010</v>
          </cell>
          <cell r="D58">
            <v>9015</v>
          </cell>
          <cell r="E58" t="str">
            <v>Laborer</v>
          </cell>
          <cell r="G58" t="str">
            <v>CBA1</v>
          </cell>
          <cell r="H58" t="str">
            <v>RFP CBA</v>
          </cell>
          <cell r="I58">
            <v>34174.400000000001</v>
          </cell>
          <cell r="J58">
            <v>16.43</v>
          </cell>
          <cell r="K58">
            <v>1.7</v>
          </cell>
          <cell r="L58">
            <v>16.43</v>
          </cell>
          <cell r="M58">
            <v>16.43</v>
          </cell>
          <cell r="N58">
            <v>16.63</v>
          </cell>
          <cell r="O58">
            <v>16.63</v>
          </cell>
          <cell r="P58">
            <v>16.63</v>
          </cell>
          <cell r="Q58">
            <v>16.63</v>
          </cell>
          <cell r="R58">
            <v>16.63</v>
          </cell>
          <cell r="S58">
            <v>16.63</v>
          </cell>
          <cell r="T58">
            <v>16.63</v>
          </cell>
          <cell r="U58">
            <v>16.63</v>
          </cell>
          <cell r="V58">
            <v>16.63</v>
          </cell>
          <cell r="W58">
            <v>7.49</v>
          </cell>
          <cell r="X58">
            <v>7.49</v>
          </cell>
          <cell r="Y58">
            <v>7.49</v>
          </cell>
          <cell r="Z58">
            <v>7.49</v>
          </cell>
          <cell r="AA58">
            <v>7.49</v>
          </cell>
          <cell r="AB58">
            <v>7.49</v>
          </cell>
          <cell r="AC58">
            <v>7.49</v>
          </cell>
          <cell r="AD58">
            <v>7.49</v>
          </cell>
          <cell r="AE58">
            <v>7.49</v>
          </cell>
          <cell r="AF58">
            <v>7.49</v>
          </cell>
          <cell r="AG58">
            <v>7.49</v>
          </cell>
          <cell r="AH58">
            <v>1.7</v>
          </cell>
          <cell r="AI58">
            <v>1.7</v>
          </cell>
          <cell r="AJ58">
            <v>1.7</v>
          </cell>
          <cell r="AK58">
            <v>1.7</v>
          </cell>
          <cell r="AL58">
            <v>1.7</v>
          </cell>
          <cell r="AM58">
            <v>1.7</v>
          </cell>
          <cell r="AN58">
            <v>1.7</v>
          </cell>
          <cell r="AO58">
            <v>1.7</v>
          </cell>
          <cell r="AP58">
            <v>1.7</v>
          </cell>
          <cell r="AQ58">
            <v>1.7</v>
          </cell>
          <cell r="AR58">
            <v>1.7</v>
          </cell>
          <cell r="AS58">
            <v>2.7E-2</v>
          </cell>
          <cell r="AT58">
            <v>8000</v>
          </cell>
          <cell r="AU58">
            <v>216</v>
          </cell>
          <cell r="AV58">
            <v>4.6300000000000001E-2</v>
          </cell>
          <cell r="AW58">
            <v>4.6300000000000001E-2</v>
          </cell>
          <cell r="AX58">
            <v>4.6300000000000001E-2</v>
          </cell>
          <cell r="AY58">
            <v>4.6300000000000001E-2</v>
          </cell>
          <cell r="AZ58">
            <v>4.6300000000000001E-2</v>
          </cell>
          <cell r="BA58">
            <v>4.6300000000000001E-2</v>
          </cell>
          <cell r="BB58">
            <v>4.6300000000000001E-2</v>
          </cell>
          <cell r="BC58">
            <v>4.6300000000000001E-2</v>
          </cell>
          <cell r="BD58">
            <v>4.6300000000000001E-2</v>
          </cell>
          <cell r="BE58">
            <v>4.6300000000000001E-2</v>
          </cell>
          <cell r="BF58">
            <v>4.6300000000000001E-2</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4</v>
          </cell>
          <cell r="CO58">
            <v>7.49</v>
          </cell>
          <cell r="CP58">
            <v>7.49</v>
          </cell>
          <cell r="CQ58">
            <v>7.49</v>
          </cell>
          <cell r="CR58">
            <v>7.49</v>
          </cell>
          <cell r="CS58">
            <v>7.49</v>
          </cell>
          <cell r="CT58">
            <v>7.49</v>
          </cell>
          <cell r="CU58">
            <v>7.49</v>
          </cell>
          <cell r="CV58">
            <v>7.49</v>
          </cell>
          <cell r="CW58">
            <v>7.49</v>
          </cell>
          <cell r="CX58">
            <v>7.49</v>
          </cell>
          <cell r="CY58">
            <v>7.49</v>
          </cell>
          <cell r="CZ58">
            <v>4.6300000000000001E-2</v>
          </cell>
          <cell r="DA58">
            <v>4.6300000000000001E-2</v>
          </cell>
          <cell r="DB58">
            <v>4.6300000000000001E-2</v>
          </cell>
          <cell r="DC58">
            <v>4.6300000000000001E-2</v>
          </cell>
          <cell r="DD58">
            <v>4.6300000000000001E-2</v>
          </cell>
          <cell r="DE58">
            <v>4.6300000000000001E-2</v>
          </cell>
          <cell r="DF58">
            <v>4.6300000000000001E-2</v>
          </cell>
          <cell r="DG58">
            <v>4.6300000000000001E-2</v>
          </cell>
          <cell r="DH58">
            <v>4.6300000000000001E-2</v>
          </cell>
          <cell r="DI58">
            <v>4.6300000000000001E-2</v>
          </cell>
          <cell r="DJ58">
            <v>4.6300000000000001E-2</v>
          </cell>
        </row>
        <row r="59">
          <cell r="C59">
            <v>3015</v>
          </cell>
          <cell r="D59">
            <v>9015</v>
          </cell>
          <cell r="E59" t="str">
            <v>Stock Clerk</v>
          </cell>
          <cell r="G59" t="str">
            <v>CBA1</v>
          </cell>
          <cell r="H59" t="str">
            <v>RFP CBA</v>
          </cell>
          <cell r="I59">
            <v>37835.200000000004</v>
          </cell>
          <cell r="J59">
            <v>18.190000000000001</v>
          </cell>
          <cell r="K59">
            <v>1.7</v>
          </cell>
          <cell r="L59">
            <v>18.190000000000001</v>
          </cell>
          <cell r="M59">
            <v>18.190000000000001</v>
          </cell>
          <cell r="N59">
            <v>18.39</v>
          </cell>
          <cell r="O59">
            <v>18.39</v>
          </cell>
          <cell r="P59">
            <v>18.39</v>
          </cell>
          <cell r="Q59">
            <v>18.39</v>
          </cell>
          <cell r="R59">
            <v>18.39</v>
          </cell>
          <cell r="S59">
            <v>18.39</v>
          </cell>
          <cell r="T59">
            <v>18.39</v>
          </cell>
          <cell r="U59">
            <v>18.39</v>
          </cell>
          <cell r="V59">
            <v>18.39</v>
          </cell>
          <cell r="W59">
            <v>7.49</v>
          </cell>
          <cell r="X59">
            <v>7.49</v>
          </cell>
          <cell r="Y59">
            <v>7.49</v>
          </cell>
          <cell r="Z59">
            <v>7.49</v>
          </cell>
          <cell r="AA59">
            <v>7.49</v>
          </cell>
          <cell r="AB59">
            <v>7.49</v>
          </cell>
          <cell r="AC59">
            <v>7.49</v>
          </cell>
          <cell r="AD59">
            <v>7.49</v>
          </cell>
          <cell r="AE59">
            <v>7.49</v>
          </cell>
          <cell r="AF59">
            <v>7.49</v>
          </cell>
          <cell r="AG59">
            <v>7.49</v>
          </cell>
          <cell r="AH59">
            <v>1.7</v>
          </cell>
          <cell r="AI59">
            <v>1.7</v>
          </cell>
          <cell r="AJ59">
            <v>1.7</v>
          </cell>
          <cell r="AK59">
            <v>1.7</v>
          </cell>
          <cell r="AL59">
            <v>1.7</v>
          </cell>
          <cell r="AM59">
            <v>1.7</v>
          </cell>
          <cell r="AN59">
            <v>1.7</v>
          </cell>
          <cell r="AO59">
            <v>1.7</v>
          </cell>
          <cell r="AP59">
            <v>1.7</v>
          </cell>
          <cell r="AQ59">
            <v>1.7</v>
          </cell>
          <cell r="AR59">
            <v>1.7</v>
          </cell>
          <cell r="AS59">
            <v>2.7E-2</v>
          </cell>
          <cell r="AT59">
            <v>8000</v>
          </cell>
          <cell r="AU59">
            <v>216</v>
          </cell>
          <cell r="AV59">
            <v>4.6300000000000001E-2</v>
          </cell>
          <cell r="AW59">
            <v>4.6300000000000001E-2</v>
          </cell>
          <cell r="AX59">
            <v>4.6300000000000001E-2</v>
          </cell>
          <cell r="AY59">
            <v>4.6300000000000001E-2</v>
          </cell>
          <cell r="AZ59">
            <v>4.6300000000000001E-2</v>
          </cell>
          <cell r="BA59">
            <v>4.6300000000000001E-2</v>
          </cell>
          <cell r="BB59">
            <v>4.6300000000000001E-2</v>
          </cell>
          <cell r="BC59">
            <v>4.6300000000000001E-2</v>
          </cell>
          <cell r="BD59">
            <v>4.6300000000000001E-2</v>
          </cell>
          <cell r="BE59">
            <v>4.6300000000000001E-2</v>
          </cell>
          <cell r="BF59">
            <v>4.6300000000000001E-2</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7</v>
          </cell>
          <cell r="CO59">
            <v>7.49</v>
          </cell>
          <cell r="CP59">
            <v>7.49</v>
          </cell>
          <cell r="CQ59">
            <v>7.49</v>
          </cell>
          <cell r="CR59">
            <v>7.49</v>
          </cell>
          <cell r="CS59">
            <v>7.49</v>
          </cell>
          <cell r="CT59">
            <v>7.49</v>
          </cell>
          <cell r="CU59">
            <v>7.49</v>
          </cell>
          <cell r="CV59">
            <v>7.49</v>
          </cell>
          <cell r="CW59">
            <v>7.49</v>
          </cell>
          <cell r="CX59">
            <v>7.49</v>
          </cell>
          <cell r="CY59">
            <v>7.49</v>
          </cell>
          <cell r="CZ59">
            <v>4.6300000000000001E-2</v>
          </cell>
          <cell r="DA59">
            <v>4.6300000000000001E-2</v>
          </cell>
          <cell r="DB59">
            <v>4.6300000000000001E-2</v>
          </cell>
          <cell r="DC59">
            <v>4.6300000000000001E-2</v>
          </cell>
          <cell r="DD59">
            <v>4.6300000000000001E-2</v>
          </cell>
          <cell r="DE59">
            <v>4.6300000000000001E-2</v>
          </cell>
          <cell r="DF59">
            <v>4.6300000000000001E-2</v>
          </cell>
          <cell r="DG59">
            <v>4.6300000000000001E-2</v>
          </cell>
          <cell r="DH59">
            <v>4.6300000000000001E-2</v>
          </cell>
          <cell r="DI59">
            <v>4.6300000000000001E-2</v>
          </cell>
          <cell r="DJ59">
            <v>4.6300000000000001E-2</v>
          </cell>
        </row>
        <row r="60">
          <cell r="C60">
            <v>3020</v>
          </cell>
          <cell r="D60">
            <v>9015</v>
          </cell>
          <cell r="E60" t="str">
            <v>Appliance Mechanic</v>
          </cell>
          <cell r="G60" t="str">
            <v>CBA1</v>
          </cell>
          <cell r="H60" t="str">
            <v>RFP CBA</v>
          </cell>
          <cell r="I60">
            <v>56118.400000000001</v>
          </cell>
          <cell r="J60">
            <v>26.98</v>
          </cell>
          <cell r="K60">
            <v>1.7</v>
          </cell>
          <cell r="L60">
            <v>26.98</v>
          </cell>
          <cell r="M60">
            <v>26.98</v>
          </cell>
          <cell r="N60">
            <v>27.18</v>
          </cell>
          <cell r="O60">
            <v>27.18</v>
          </cell>
          <cell r="P60">
            <v>27.18</v>
          </cell>
          <cell r="Q60">
            <v>27.18</v>
          </cell>
          <cell r="R60">
            <v>27.18</v>
          </cell>
          <cell r="S60">
            <v>27.18</v>
          </cell>
          <cell r="T60">
            <v>27.18</v>
          </cell>
          <cell r="U60">
            <v>27.18</v>
          </cell>
          <cell r="V60">
            <v>27.18</v>
          </cell>
          <cell r="W60">
            <v>7.49</v>
          </cell>
          <cell r="X60">
            <v>7.49</v>
          </cell>
          <cell r="Y60">
            <v>7.49</v>
          </cell>
          <cell r="Z60">
            <v>7.49</v>
          </cell>
          <cell r="AA60">
            <v>7.49</v>
          </cell>
          <cell r="AB60">
            <v>7.49</v>
          </cell>
          <cell r="AC60">
            <v>7.49</v>
          </cell>
          <cell r="AD60">
            <v>7.49</v>
          </cell>
          <cell r="AE60">
            <v>7.49</v>
          </cell>
          <cell r="AF60">
            <v>7.49</v>
          </cell>
          <cell r="AG60">
            <v>7.49</v>
          </cell>
          <cell r="AH60">
            <v>1.7</v>
          </cell>
          <cell r="AI60">
            <v>1.7</v>
          </cell>
          <cell r="AJ60">
            <v>1.7</v>
          </cell>
          <cell r="AK60">
            <v>1.7</v>
          </cell>
          <cell r="AL60">
            <v>1.7</v>
          </cell>
          <cell r="AM60">
            <v>1.7</v>
          </cell>
          <cell r="AN60">
            <v>1.7</v>
          </cell>
          <cell r="AO60">
            <v>1.7</v>
          </cell>
          <cell r="AP60">
            <v>1.7</v>
          </cell>
          <cell r="AQ60">
            <v>1.7</v>
          </cell>
          <cell r="AR60">
            <v>1.7</v>
          </cell>
          <cell r="AS60">
            <v>2.7E-2</v>
          </cell>
          <cell r="AT60">
            <v>8000</v>
          </cell>
          <cell r="AU60">
            <v>216</v>
          </cell>
          <cell r="AV60">
            <v>4.6300000000000001E-2</v>
          </cell>
          <cell r="AW60">
            <v>4.6300000000000001E-2</v>
          </cell>
          <cell r="AX60">
            <v>4.6300000000000001E-2</v>
          </cell>
          <cell r="AY60">
            <v>4.6300000000000001E-2</v>
          </cell>
          <cell r="AZ60">
            <v>4.6300000000000001E-2</v>
          </cell>
          <cell r="BA60">
            <v>4.6300000000000001E-2</v>
          </cell>
          <cell r="BB60">
            <v>4.6300000000000001E-2</v>
          </cell>
          <cell r="BC60">
            <v>4.6300000000000001E-2</v>
          </cell>
          <cell r="BD60">
            <v>4.6300000000000001E-2</v>
          </cell>
          <cell r="BE60">
            <v>4.6300000000000001E-2</v>
          </cell>
          <cell r="BF60">
            <v>4.6300000000000001E-2</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4</v>
          </cell>
          <cell r="CO60">
            <v>7.49</v>
          </cell>
          <cell r="CP60">
            <v>7.49</v>
          </cell>
          <cell r="CQ60">
            <v>7.49</v>
          </cell>
          <cell r="CR60">
            <v>7.49</v>
          </cell>
          <cell r="CS60">
            <v>7.49</v>
          </cell>
          <cell r="CT60">
            <v>7.49</v>
          </cell>
          <cell r="CU60">
            <v>7.49</v>
          </cell>
          <cell r="CV60">
            <v>7.49</v>
          </cell>
          <cell r="CW60">
            <v>7.49</v>
          </cell>
          <cell r="CX60">
            <v>7.49</v>
          </cell>
          <cell r="CY60">
            <v>7.49</v>
          </cell>
          <cell r="CZ60">
            <v>4.6300000000000001E-2</v>
          </cell>
          <cell r="DA60">
            <v>4.6300000000000001E-2</v>
          </cell>
          <cell r="DB60">
            <v>4.6300000000000001E-2</v>
          </cell>
          <cell r="DC60">
            <v>4.6300000000000001E-2</v>
          </cell>
          <cell r="DD60">
            <v>4.6300000000000001E-2</v>
          </cell>
          <cell r="DE60">
            <v>4.6300000000000001E-2</v>
          </cell>
          <cell r="DF60">
            <v>4.6300000000000001E-2</v>
          </cell>
          <cell r="DG60">
            <v>4.6300000000000001E-2</v>
          </cell>
          <cell r="DH60">
            <v>4.6300000000000001E-2</v>
          </cell>
          <cell r="DI60">
            <v>4.6300000000000001E-2</v>
          </cell>
          <cell r="DJ60">
            <v>4.6300000000000001E-2</v>
          </cell>
        </row>
        <row r="61">
          <cell r="C61">
            <v>3025</v>
          </cell>
          <cell r="D61">
            <v>9015</v>
          </cell>
          <cell r="E61" t="str">
            <v>Maintenance Carpenter</v>
          </cell>
          <cell r="G61" t="str">
            <v>CBA1</v>
          </cell>
          <cell r="H61" t="str">
            <v>RFP CBA</v>
          </cell>
          <cell r="I61">
            <v>57720</v>
          </cell>
          <cell r="J61">
            <v>27.75</v>
          </cell>
          <cell r="K61">
            <v>1.7</v>
          </cell>
          <cell r="L61">
            <v>27.75</v>
          </cell>
          <cell r="M61">
            <v>27.75</v>
          </cell>
          <cell r="N61">
            <v>27.95</v>
          </cell>
          <cell r="O61">
            <v>27.95</v>
          </cell>
          <cell r="P61">
            <v>27.95</v>
          </cell>
          <cell r="Q61">
            <v>27.95</v>
          </cell>
          <cell r="R61">
            <v>27.95</v>
          </cell>
          <cell r="S61">
            <v>27.95</v>
          </cell>
          <cell r="T61">
            <v>27.95</v>
          </cell>
          <cell r="U61">
            <v>27.95</v>
          </cell>
          <cell r="V61">
            <v>27.95</v>
          </cell>
          <cell r="W61">
            <v>7.49</v>
          </cell>
          <cell r="X61">
            <v>7.49</v>
          </cell>
          <cell r="Y61">
            <v>7.49</v>
          </cell>
          <cell r="Z61">
            <v>7.49</v>
          </cell>
          <cell r="AA61">
            <v>7.49</v>
          </cell>
          <cell r="AB61">
            <v>7.49</v>
          </cell>
          <cell r="AC61">
            <v>7.49</v>
          </cell>
          <cell r="AD61">
            <v>7.49</v>
          </cell>
          <cell r="AE61">
            <v>7.49</v>
          </cell>
          <cell r="AF61">
            <v>7.49</v>
          </cell>
          <cell r="AG61">
            <v>7.49</v>
          </cell>
          <cell r="AH61">
            <v>1.7</v>
          </cell>
          <cell r="AI61">
            <v>1.7</v>
          </cell>
          <cell r="AJ61">
            <v>1.7</v>
          </cell>
          <cell r="AK61">
            <v>1.7</v>
          </cell>
          <cell r="AL61">
            <v>1.7</v>
          </cell>
          <cell r="AM61">
            <v>1.7</v>
          </cell>
          <cell r="AN61">
            <v>1.7</v>
          </cell>
          <cell r="AO61">
            <v>1.7</v>
          </cell>
          <cell r="AP61">
            <v>1.7</v>
          </cell>
          <cell r="AQ61">
            <v>1.7</v>
          </cell>
          <cell r="AR61">
            <v>1.7</v>
          </cell>
          <cell r="AS61">
            <v>2.7E-2</v>
          </cell>
          <cell r="AT61">
            <v>8000</v>
          </cell>
          <cell r="AU61">
            <v>216</v>
          </cell>
          <cell r="AV61">
            <v>4.6300000000000001E-2</v>
          </cell>
          <cell r="AW61">
            <v>4.6300000000000001E-2</v>
          </cell>
          <cell r="AX61">
            <v>4.6300000000000001E-2</v>
          </cell>
          <cell r="AY61">
            <v>4.6300000000000001E-2</v>
          </cell>
          <cell r="AZ61">
            <v>4.6300000000000001E-2</v>
          </cell>
          <cell r="BA61">
            <v>4.6300000000000001E-2</v>
          </cell>
          <cell r="BB61">
            <v>4.6300000000000001E-2</v>
          </cell>
          <cell r="BC61">
            <v>4.6300000000000001E-2</v>
          </cell>
          <cell r="BD61">
            <v>4.6300000000000001E-2</v>
          </cell>
          <cell r="BE61">
            <v>4.6300000000000001E-2</v>
          </cell>
          <cell r="BF61">
            <v>4.6300000000000001E-2</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2</v>
          </cell>
          <cell r="CO61">
            <v>7.49</v>
          </cell>
          <cell r="CP61">
            <v>7.49</v>
          </cell>
          <cell r="CQ61">
            <v>7.49</v>
          </cell>
          <cell r="CR61">
            <v>7.49</v>
          </cell>
          <cell r="CS61">
            <v>7.49</v>
          </cell>
          <cell r="CT61">
            <v>7.49</v>
          </cell>
          <cell r="CU61">
            <v>7.49</v>
          </cell>
          <cell r="CV61">
            <v>7.49</v>
          </cell>
          <cell r="CW61">
            <v>7.49</v>
          </cell>
          <cell r="CX61">
            <v>7.49</v>
          </cell>
          <cell r="CY61">
            <v>7.49</v>
          </cell>
          <cell r="CZ61">
            <v>4.6300000000000001E-2</v>
          </cell>
          <cell r="DA61">
            <v>4.6300000000000001E-2</v>
          </cell>
          <cell r="DB61">
            <v>4.6300000000000001E-2</v>
          </cell>
          <cell r="DC61">
            <v>4.6300000000000001E-2</v>
          </cell>
          <cell r="DD61">
            <v>4.6300000000000001E-2</v>
          </cell>
          <cell r="DE61">
            <v>4.6300000000000001E-2</v>
          </cell>
          <cell r="DF61">
            <v>4.6300000000000001E-2</v>
          </cell>
          <cell r="DG61">
            <v>4.6300000000000001E-2</v>
          </cell>
          <cell r="DH61">
            <v>4.6300000000000001E-2</v>
          </cell>
          <cell r="DI61">
            <v>4.6300000000000001E-2</v>
          </cell>
          <cell r="DJ61">
            <v>4.6300000000000001E-2</v>
          </cell>
        </row>
        <row r="62">
          <cell r="C62">
            <v>3030</v>
          </cell>
          <cell r="D62">
            <v>9015</v>
          </cell>
          <cell r="E62" t="str">
            <v>Maintenance Electrician</v>
          </cell>
          <cell r="F62" t="str">
            <v>JLL</v>
          </cell>
          <cell r="G62" t="str">
            <v>CBA1</v>
          </cell>
          <cell r="H62" t="str">
            <v>RFP CBA</v>
          </cell>
          <cell r="I62">
            <v>68099.199999999997</v>
          </cell>
          <cell r="J62">
            <v>32.74</v>
          </cell>
          <cell r="K62">
            <v>1.7</v>
          </cell>
          <cell r="L62">
            <v>32.74</v>
          </cell>
          <cell r="M62">
            <v>32.74</v>
          </cell>
          <cell r="N62">
            <v>32.94</v>
          </cell>
          <cell r="O62">
            <v>32.94</v>
          </cell>
          <cell r="P62">
            <v>32.94</v>
          </cell>
          <cell r="Q62">
            <v>32.94</v>
          </cell>
          <cell r="R62">
            <v>32.94</v>
          </cell>
          <cell r="S62">
            <v>32.94</v>
          </cell>
          <cell r="T62">
            <v>32.94</v>
          </cell>
          <cell r="U62">
            <v>32.94</v>
          </cell>
          <cell r="V62">
            <v>32.94</v>
          </cell>
          <cell r="W62">
            <v>7.49</v>
          </cell>
          <cell r="X62">
            <v>7.49</v>
          </cell>
          <cell r="Y62">
            <v>7.49</v>
          </cell>
          <cell r="Z62">
            <v>7.49</v>
          </cell>
          <cell r="AA62">
            <v>7.49</v>
          </cell>
          <cell r="AB62">
            <v>7.49</v>
          </cell>
          <cell r="AC62">
            <v>7.49</v>
          </cell>
          <cell r="AD62">
            <v>7.49</v>
          </cell>
          <cell r="AE62">
            <v>7.49</v>
          </cell>
          <cell r="AF62">
            <v>7.49</v>
          </cell>
          <cell r="AG62">
            <v>7.49</v>
          </cell>
          <cell r="AH62">
            <v>1.7</v>
          </cell>
          <cell r="AI62">
            <v>1.7</v>
          </cell>
          <cell r="AJ62">
            <v>1.7</v>
          </cell>
          <cell r="AK62">
            <v>1.7</v>
          </cell>
          <cell r="AL62">
            <v>1.7</v>
          </cell>
          <cell r="AM62">
            <v>1.7</v>
          </cell>
          <cell r="AN62">
            <v>1.7</v>
          </cell>
          <cell r="AO62">
            <v>1.7</v>
          </cell>
          <cell r="AP62">
            <v>1.7</v>
          </cell>
          <cell r="AQ62">
            <v>1.7</v>
          </cell>
          <cell r="AR62">
            <v>1.7</v>
          </cell>
          <cell r="AS62">
            <v>2.7E-2</v>
          </cell>
          <cell r="AT62">
            <v>8000</v>
          </cell>
          <cell r="AU62">
            <v>216</v>
          </cell>
          <cell r="AV62">
            <v>4.6300000000000001E-2</v>
          </cell>
          <cell r="AW62">
            <v>4.6300000000000001E-2</v>
          </cell>
          <cell r="AX62">
            <v>4.6300000000000001E-2</v>
          </cell>
          <cell r="AY62">
            <v>4.6300000000000001E-2</v>
          </cell>
          <cell r="AZ62">
            <v>4.6300000000000001E-2</v>
          </cell>
          <cell r="BA62">
            <v>4.6300000000000001E-2</v>
          </cell>
          <cell r="BB62">
            <v>4.6300000000000001E-2</v>
          </cell>
          <cell r="BC62">
            <v>4.6300000000000001E-2</v>
          </cell>
          <cell r="BD62">
            <v>4.6300000000000001E-2</v>
          </cell>
          <cell r="BE62">
            <v>4.6300000000000001E-2</v>
          </cell>
          <cell r="BF62">
            <v>4.6300000000000001E-2</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3</v>
          </cell>
          <cell r="CO62">
            <v>7.49</v>
          </cell>
          <cell r="CP62">
            <v>7.49</v>
          </cell>
          <cell r="CQ62">
            <v>7.49</v>
          </cell>
          <cell r="CR62">
            <v>7.49</v>
          </cell>
          <cell r="CS62">
            <v>7.49</v>
          </cell>
          <cell r="CT62">
            <v>7.49</v>
          </cell>
          <cell r="CU62">
            <v>7.49</v>
          </cell>
          <cell r="CV62">
            <v>7.49</v>
          </cell>
          <cell r="CW62">
            <v>7.49</v>
          </cell>
          <cell r="CX62">
            <v>7.49</v>
          </cell>
          <cell r="CY62">
            <v>7.49</v>
          </cell>
          <cell r="CZ62">
            <v>4.6300000000000001E-2</v>
          </cell>
          <cell r="DA62">
            <v>4.6300000000000001E-2</v>
          </cell>
          <cell r="DB62">
            <v>4.6300000000000001E-2</v>
          </cell>
          <cell r="DC62">
            <v>4.6300000000000001E-2</v>
          </cell>
          <cell r="DD62">
            <v>4.6300000000000001E-2</v>
          </cell>
          <cell r="DE62">
            <v>4.6300000000000001E-2</v>
          </cell>
          <cell r="DF62">
            <v>4.6300000000000001E-2</v>
          </cell>
          <cell r="DG62">
            <v>4.6300000000000001E-2</v>
          </cell>
          <cell r="DH62">
            <v>4.6300000000000001E-2</v>
          </cell>
          <cell r="DI62">
            <v>4.6300000000000001E-2</v>
          </cell>
          <cell r="DJ62">
            <v>4.6300000000000001E-2</v>
          </cell>
        </row>
        <row r="63">
          <cell r="C63">
            <v>3035</v>
          </cell>
          <cell r="D63">
            <v>9015</v>
          </cell>
          <cell r="E63" t="str">
            <v>Electronic Technician II</v>
          </cell>
          <cell r="G63" t="str">
            <v>CBA1</v>
          </cell>
          <cell r="H63" t="str">
            <v>RFP CBA</v>
          </cell>
          <cell r="I63">
            <v>69617.599999999991</v>
          </cell>
          <cell r="J63">
            <v>33.47</v>
          </cell>
          <cell r="K63">
            <v>1.7</v>
          </cell>
          <cell r="L63">
            <v>33.47</v>
          </cell>
          <cell r="M63">
            <v>33.47</v>
          </cell>
          <cell r="N63">
            <v>33.67</v>
          </cell>
          <cell r="O63">
            <v>33.67</v>
          </cell>
          <cell r="P63">
            <v>33.67</v>
          </cell>
          <cell r="Q63">
            <v>33.67</v>
          </cell>
          <cell r="R63">
            <v>33.67</v>
          </cell>
          <cell r="S63">
            <v>33.67</v>
          </cell>
          <cell r="T63">
            <v>33.67</v>
          </cell>
          <cell r="U63">
            <v>33.67</v>
          </cell>
          <cell r="V63">
            <v>33.67</v>
          </cell>
          <cell r="W63">
            <v>7.49</v>
          </cell>
          <cell r="X63">
            <v>7.49</v>
          </cell>
          <cell r="Y63">
            <v>7.49</v>
          </cell>
          <cell r="Z63">
            <v>7.49</v>
          </cell>
          <cell r="AA63">
            <v>7.49</v>
          </cell>
          <cell r="AB63">
            <v>7.49</v>
          </cell>
          <cell r="AC63">
            <v>7.49</v>
          </cell>
          <cell r="AD63">
            <v>7.49</v>
          </cell>
          <cell r="AE63">
            <v>7.49</v>
          </cell>
          <cell r="AF63">
            <v>7.49</v>
          </cell>
          <cell r="AG63">
            <v>7.49</v>
          </cell>
          <cell r="AH63">
            <v>1.7</v>
          </cell>
          <cell r="AI63">
            <v>1.7</v>
          </cell>
          <cell r="AJ63">
            <v>1.7</v>
          </cell>
          <cell r="AK63">
            <v>1.7</v>
          </cell>
          <cell r="AL63">
            <v>1.7</v>
          </cell>
          <cell r="AM63">
            <v>1.7</v>
          </cell>
          <cell r="AN63">
            <v>1.7</v>
          </cell>
          <cell r="AO63">
            <v>1.7</v>
          </cell>
          <cell r="AP63">
            <v>1.7</v>
          </cell>
          <cell r="AQ63">
            <v>1.7</v>
          </cell>
          <cell r="AR63">
            <v>1.7</v>
          </cell>
          <cell r="AS63">
            <v>2.7E-2</v>
          </cell>
          <cell r="AT63">
            <v>8000</v>
          </cell>
          <cell r="AU63">
            <v>216</v>
          </cell>
          <cell r="AV63">
            <v>4.6300000000000001E-2</v>
          </cell>
          <cell r="AW63">
            <v>4.6300000000000001E-2</v>
          </cell>
          <cell r="AX63">
            <v>4.6300000000000001E-2</v>
          </cell>
          <cell r="AY63">
            <v>4.6300000000000001E-2</v>
          </cell>
          <cell r="AZ63">
            <v>4.6300000000000001E-2</v>
          </cell>
          <cell r="BA63">
            <v>4.6300000000000001E-2</v>
          </cell>
          <cell r="BB63">
            <v>4.6300000000000001E-2</v>
          </cell>
          <cell r="BC63">
            <v>4.6300000000000001E-2</v>
          </cell>
          <cell r="BD63">
            <v>4.6300000000000001E-2</v>
          </cell>
          <cell r="BE63">
            <v>4.6300000000000001E-2</v>
          </cell>
          <cell r="BF63">
            <v>4.6300000000000001E-2</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3</v>
          </cell>
          <cell r="CO63">
            <v>7.49</v>
          </cell>
          <cell r="CP63">
            <v>7.49</v>
          </cell>
          <cell r="CQ63">
            <v>7.49</v>
          </cell>
          <cell r="CR63">
            <v>7.49</v>
          </cell>
          <cell r="CS63">
            <v>7.49</v>
          </cell>
          <cell r="CT63">
            <v>7.49</v>
          </cell>
          <cell r="CU63">
            <v>7.49</v>
          </cell>
          <cell r="CV63">
            <v>7.49</v>
          </cell>
          <cell r="CW63">
            <v>7.49</v>
          </cell>
          <cell r="CX63">
            <v>7.49</v>
          </cell>
          <cell r="CY63">
            <v>7.49</v>
          </cell>
          <cell r="CZ63">
            <v>4.6300000000000001E-2</v>
          </cell>
          <cell r="DA63">
            <v>4.6300000000000001E-2</v>
          </cell>
          <cell r="DB63">
            <v>4.6300000000000001E-2</v>
          </cell>
          <cell r="DC63">
            <v>4.6300000000000001E-2</v>
          </cell>
          <cell r="DD63">
            <v>4.6300000000000001E-2</v>
          </cell>
          <cell r="DE63">
            <v>4.6300000000000001E-2</v>
          </cell>
          <cell r="DF63">
            <v>4.6300000000000001E-2</v>
          </cell>
          <cell r="DG63">
            <v>4.6300000000000001E-2</v>
          </cell>
          <cell r="DH63">
            <v>4.6300000000000001E-2</v>
          </cell>
          <cell r="DI63">
            <v>4.6300000000000001E-2</v>
          </cell>
          <cell r="DJ63">
            <v>4.6300000000000001E-2</v>
          </cell>
        </row>
        <row r="64">
          <cell r="C64">
            <v>3040</v>
          </cell>
          <cell r="D64">
            <v>9015</v>
          </cell>
          <cell r="E64" t="str">
            <v>General Maintenance Worker</v>
          </cell>
          <cell r="G64" t="str">
            <v>CBA1</v>
          </cell>
          <cell r="H64" t="str">
            <v>RFP CBA</v>
          </cell>
          <cell r="I64">
            <v>52686.399999999994</v>
          </cell>
          <cell r="J64">
            <v>25.33</v>
          </cell>
          <cell r="K64">
            <v>1.7</v>
          </cell>
          <cell r="L64">
            <v>25.33</v>
          </cell>
          <cell r="M64">
            <v>25.33</v>
          </cell>
          <cell r="N64">
            <v>25.53</v>
          </cell>
          <cell r="O64">
            <v>25.53</v>
          </cell>
          <cell r="P64">
            <v>25.53</v>
          </cell>
          <cell r="Q64">
            <v>25.53</v>
          </cell>
          <cell r="R64">
            <v>25.53</v>
          </cell>
          <cell r="S64">
            <v>25.53</v>
          </cell>
          <cell r="T64">
            <v>25.53</v>
          </cell>
          <cell r="U64">
            <v>25.53</v>
          </cell>
          <cell r="V64">
            <v>25.53</v>
          </cell>
          <cell r="W64">
            <v>7.49</v>
          </cell>
          <cell r="X64">
            <v>7.49</v>
          </cell>
          <cell r="Y64">
            <v>7.49</v>
          </cell>
          <cell r="Z64">
            <v>7.49</v>
          </cell>
          <cell r="AA64">
            <v>7.49</v>
          </cell>
          <cell r="AB64">
            <v>7.49</v>
          </cell>
          <cell r="AC64">
            <v>7.49</v>
          </cell>
          <cell r="AD64">
            <v>7.49</v>
          </cell>
          <cell r="AE64">
            <v>7.49</v>
          </cell>
          <cell r="AF64">
            <v>7.49</v>
          </cell>
          <cell r="AG64">
            <v>7.49</v>
          </cell>
          <cell r="AH64">
            <v>1.7</v>
          </cell>
          <cell r="AI64">
            <v>1.7</v>
          </cell>
          <cell r="AJ64">
            <v>1.7</v>
          </cell>
          <cell r="AK64">
            <v>1.7</v>
          </cell>
          <cell r="AL64">
            <v>1.7</v>
          </cell>
          <cell r="AM64">
            <v>1.7</v>
          </cell>
          <cell r="AN64">
            <v>1.7</v>
          </cell>
          <cell r="AO64">
            <v>1.7</v>
          </cell>
          <cell r="AP64">
            <v>1.7</v>
          </cell>
          <cell r="AQ64">
            <v>1.7</v>
          </cell>
          <cell r="AR64">
            <v>1.7</v>
          </cell>
          <cell r="AS64">
            <v>2.7E-2</v>
          </cell>
          <cell r="AT64">
            <v>8000</v>
          </cell>
          <cell r="AU64">
            <v>216</v>
          </cell>
          <cell r="AV64">
            <v>4.6300000000000001E-2</v>
          </cell>
          <cell r="AW64">
            <v>4.6300000000000001E-2</v>
          </cell>
          <cell r="AX64">
            <v>4.6300000000000001E-2</v>
          </cell>
          <cell r="AY64">
            <v>4.6300000000000001E-2</v>
          </cell>
          <cell r="AZ64">
            <v>4.6300000000000001E-2</v>
          </cell>
          <cell r="BA64">
            <v>4.6300000000000001E-2</v>
          </cell>
          <cell r="BB64">
            <v>4.6300000000000001E-2</v>
          </cell>
          <cell r="BC64">
            <v>4.6300000000000001E-2</v>
          </cell>
          <cell r="BD64">
            <v>4.6300000000000001E-2</v>
          </cell>
          <cell r="BE64">
            <v>4.6300000000000001E-2</v>
          </cell>
          <cell r="BF64">
            <v>4.6300000000000001E-2</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4</v>
          </cell>
          <cell r="CO64">
            <v>7.49</v>
          </cell>
          <cell r="CP64">
            <v>7.49</v>
          </cell>
          <cell r="CQ64">
            <v>7.49</v>
          </cell>
          <cell r="CR64">
            <v>7.49</v>
          </cell>
          <cell r="CS64">
            <v>7.49</v>
          </cell>
          <cell r="CT64">
            <v>7.49</v>
          </cell>
          <cell r="CU64">
            <v>7.49</v>
          </cell>
          <cell r="CV64">
            <v>7.49</v>
          </cell>
          <cell r="CW64">
            <v>7.49</v>
          </cell>
          <cell r="CX64">
            <v>7.49</v>
          </cell>
          <cell r="CY64">
            <v>7.49</v>
          </cell>
          <cell r="CZ64">
            <v>4.6300000000000001E-2</v>
          </cell>
          <cell r="DA64">
            <v>4.6300000000000001E-2</v>
          </cell>
          <cell r="DB64">
            <v>4.6300000000000001E-2</v>
          </cell>
          <cell r="DC64">
            <v>4.6300000000000001E-2</v>
          </cell>
          <cell r="DD64">
            <v>4.6300000000000001E-2</v>
          </cell>
          <cell r="DE64">
            <v>4.6300000000000001E-2</v>
          </cell>
          <cell r="DF64">
            <v>4.6300000000000001E-2</v>
          </cell>
          <cell r="DG64">
            <v>4.6300000000000001E-2</v>
          </cell>
          <cell r="DH64">
            <v>4.6300000000000001E-2</v>
          </cell>
          <cell r="DI64">
            <v>4.6300000000000001E-2</v>
          </cell>
          <cell r="DJ64">
            <v>4.6300000000000001E-2</v>
          </cell>
        </row>
        <row r="65">
          <cell r="C65">
            <v>3045</v>
          </cell>
          <cell r="D65">
            <v>9015</v>
          </cell>
          <cell r="E65" t="str">
            <v>HVAC Mechanic</v>
          </cell>
          <cell r="G65" t="str">
            <v>CBA1</v>
          </cell>
          <cell r="H65" t="str">
            <v>RFP CBA</v>
          </cell>
          <cell r="I65">
            <v>66019.199999999997</v>
          </cell>
          <cell r="J65">
            <v>31.74</v>
          </cell>
          <cell r="K65">
            <v>1.7</v>
          </cell>
          <cell r="L65">
            <v>31.74</v>
          </cell>
          <cell r="M65">
            <v>31.74</v>
          </cell>
          <cell r="N65">
            <v>31.94</v>
          </cell>
          <cell r="O65">
            <v>31.94</v>
          </cell>
          <cell r="P65">
            <v>31.94</v>
          </cell>
          <cell r="Q65">
            <v>31.94</v>
          </cell>
          <cell r="R65">
            <v>31.94</v>
          </cell>
          <cell r="S65">
            <v>31.94</v>
          </cell>
          <cell r="T65">
            <v>31.94</v>
          </cell>
          <cell r="U65">
            <v>31.94</v>
          </cell>
          <cell r="V65">
            <v>31.94</v>
          </cell>
          <cell r="W65">
            <v>7.49</v>
          </cell>
          <cell r="X65">
            <v>7.49</v>
          </cell>
          <cell r="Y65">
            <v>7.49</v>
          </cell>
          <cell r="Z65">
            <v>7.49</v>
          </cell>
          <cell r="AA65">
            <v>7.49</v>
          </cell>
          <cell r="AB65">
            <v>7.49</v>
          </cell>
          <cell r="AC65">
            <v>7.49</v>
          </cell>
          <cell r="AD65">
            <v>7.49</v>
          </cell>
          <cell r="AE65">
            <v>7.49</v>
          </cell>
          <cell r="AF65">
            <v>7.49</v>
          </cell>
          <cell r="AG65">
            <v>7.49</v>
          </cell>
          <cell r="AH65">
            <v>1.7</v>
          </cell>
          <cell r="AI65">
            <v>1.7</v>
          </cell>
          <cell r="AJ65">
            <v>1.7</v>
          </cell>
          <cell r="AK65">
            <v>1.7</v>
          </cell>
          <cell r="AL65">
            <v>1.7</v>
          </cell>
          <cell r="AM65">
            <v>1.7</v>
          </cell>
          <cell r="AN65">
            <v>1.7</v>
          </cell>
          <cell r="AO65">
            <v>1.7</v>
          </cell>
          <cell r="AP65">
            <v>1.7</v>
          </cell>
          <cell r="AQ65">
            <v>1.7</v>
          </cell>
          <cell r="AR65">
            <v>1.7</v>
          </cell>
          <cell r="AS65">
            <v>2.7E-2</v>
          </cell>
          <cell r="AT65">
            <v>8000</v>
          </cell>
          <cell r="AU65">
            <v>216</v>
          </cell>
          <cell r="AV65">
            <v>4.6300000000000001E-2</v>
          </cell>
          <cell r="AW65">
            <v>4.6300000000000001E-2</v>
          </cell>
          <cell r="AX65">
            <v>4.6300000000000001E-2</v>
          </cell>
          <cell r="AY65">
            <v>4.6300000000000001E-2</v>
          </cell>
          <cell r="AZ65">
            <v>4.6300000000000001E-2</v>
          </cell>
          <cell r="BA65">
            <v>4.6300000000000001E-2</v>
          </cell>
          <cell r="BB65">
            <v>4.6300000000000001E-2</v>
          </cell>
          <cell r="BC65">
            <v>4.6300000000000001E-2</v>
          </cell>
          <cell r="BD65">
            <v>4.6300000000000001E-2</v>
          </cell>
          <cell r="BE65">
            <v>4.6300000000000001E-2</v>
          </cell>
          <cell r="BF65">
            <v>4.6300000000000001E-2</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1</v>
          </cell>
          <cell r="CO65">
            <v>7.49</v>
          </cell>
          <cell r="CP65">
            <v>7.49</v>
          </cell>
          <cell r="CQ65">
            <v>7.49</v>
          </cell>
          <cell r="CR65">
            <v>7.49</v>
          </cell>
          <cell r="CS65">
            <v>7.49</v>
          </cell>
          <cell r="CT65">
            <v>7.49</v>
          </cell>
          <cell r="CU65">
            <v>7.49</v>
          </cell>
          <cell r="CV65">
            <v>7.49</v>
          </cell>
          <cell r="CW65">
            <v>7.49</v>
          </cell>
          <cell r="CX65">
            <v>7.49</v>
          </cell>
          <cell r="CY65">
            <v>7.49</v>
          </cell>
          <cell r="CZ65">
            <v>4.6300000000000001E-2</v>
          </cell>
          <cell r="DA65">
            <v>4.6300000000000001E-2</v>
          </cell>
          <cell r="DB65">
            <v>4.6300000000000001E-2</v>
          </cell>
          <cell r="DC65">
            <v>4.6300000000000001E-2</v>
          </cell>
          <cell r="DD65">
            <v>4.6300000000000001E-2</v>
          </cell>
          <cell r="DE65">
            <v>4.6300000000000001E-2</v>
          </cell>
          <cell r="DF65">
            <v>4.6300000000000001E-2</v>
          </cell>
          <cell r="DG65">
            <v>4.6300000000000001E-2</v>
          </cell>
          <cell r="DH65">
            <v>4.6300000000000001E-2</v>
          </cell>
          <cell r="DI65">
            <v>4.6300000000000001E-2</v>
          </cell>
          <cell r="DJ65">
            <v>4.6300000000000001E-2</v>
          </cell>
        </row>
        <row r="66">
          <cell r="C66">
            <v>3050</v>
          </cell>
          <cell r="D66">
            <v>9015</v>
          </cell>
          <cell r="E66" t="str">
            <v>HVAC PM Person</v>
          </cell>
          <cell r="G66" t="str">
            <v>CBA1</v>
          </cell>
          <cell r="H66" t="str">
            <v>RFP CBA</v>
          </cell>
          <cell r="I66">
            <v>55827.199999999997</v>
          </cell>
          <cell r="J66">
            <v>26.84</v>
          </cell>
          <cell r="K66">
            <v>1.7</v>
          </cell>
          <cell r="L66">
            <v>26.84</v>
          </cell>
          <cell r="M66">
            <v>26.84</v>
          </cell>
          <cell r="N66">
            <v>27.04</v>
          </cell>
          <cell r="O66">
            <v>27.04</v>
          </cell>
          <cell r="P66">
            <v>27.04</v>
          </cell>
          <cell r="Q66">
            <v>27.04</v>
          </cell>
          <cell r="R66">
            <v>27.04</v>
          </cell>
          <cell r="S66">
            <v>27.04</v>
          </cell>
          <cell r="T66">
            <v>27.04</v>
          </cell>
          <cell r="U66">
            <v>27.04</v>
          </cell>
          <cell r="V66">
            <v>27.04</v>
          </cell>
          <cell r="W66">
            <v>7.49</v>
          </cell>
          <cell r="X66">
            <v>7.49</v>
          </cell>
          <cell r="Y66">
            <v>7.49</v>
          </cell>
          <cell r="Z66">
            <v>7.49</v>
          </cell>
          <cell r="AA66">
            <v>7.49</v>
          </cell>
          <cell r="AB66">
            <v>7.49</v>
          </cell>
          <cell r="AC66">
            <v>7.49</v>
          </cell>
          <cell r="AD66">
            <v>7.49</v>
          </cell>
          <cell r="AE66">
            <v>7.49</v>
          </cell>
          <cell r="AF66">
            <v>7.49</v>
          </cell>
          <cell r="AG66">
            <v>7.49</v>
          </cell>
          <cell r="AH66">
            <v>1.7</v>
          </cell>
          <cell r="AI66">
            <v>1.7</v>
          </cell>
          <cell r="AJ66">
            <v>1.7</v>
          </cell>
          <cell r="AK66">
            <v>1.7</v>
          </cell>
          <cell r="AL66">
            <v>1.7</v>
          </cell>
          <cell r="AM66">
            <v>1.7</v>
          </cell>
          <cell r="AN66">
            <v>1.7</v>
          </cell>
          <cell r="AO66">
            <v>1.7</v>
          </cell>
          <cell r="AP66">
            <v>1.7</v>
          </cell>
          <cell r="AQ66">
            <v>1.7</v>
          </cell>
          <cell r="AR66">
            <v>1.7</v>
          </cell>
          <cell r="AS66">
            <v>2.7E-2</v>
          </cell>
          <cell r="AT66">
            <v>8000</v>
          </cell>
          <cell r="AU66">
            <v>216</v>
          </cell>
          <cell r="AV66">
            <v>4.6300000000000001E-2</v>
          </cell>
          <cell r="AW66">
            <v>4.6300000000000001E-2</v>
          </cell>
          <cell r="AX66">
            <v>4.6300000000000001E-2</v>
          </cell>
          <cell r="AY66">
            <v>4.6300000000000001E-2</v>
          </cell>
          <cell r="AZ66">
            <v>4.6300000000000001E-2</v>
          </cell>
          <cell r="BA66">
            <v>4.6300000000000001E-2</v>
          </cell>
          <cell r="BB66">
            <v>4.6300000000000001E-2</v>
          </cell>
          <cell r="BC66">
            <v>4.6300000000000001E-2</v>
          </cell>
          <cell r="BD66">
            <v>4.6300000000000001E-2</v>
          </cell>
          <cell r="BE66">
            <v>4.6300000000000001E-2</v>
          </cell>
          <cell r="BF66">
            <v>4.6300000000000001E-2</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1</v>
          </cell>
          <cell r="CO66">
            <v>7.49</v>
          </cell>
          <cell r="CP66">
            <v>7.49</v>
          </cell>
          <cell r="CQ66">
            <v>7.49</v>
          </cell>
          <cell r="CR66">
            <v>7.49</v>
          </cell>
          <cell r="CS66">
            <v>7.49</v>
          </cell>
          <cell r="CT66">
            <v>7.49</v>
          </cell>
          <cell r="CU66">
            <v>7.49</v>
          </cell>
          <cell r="CV66">
            <v>7.49</v>
          </cell>
          <cell r="CW66">
            <v>7.49</v>
          </cell>
          <cell r="CX66">
            <v>7.49</v>
          </cell>
          <cell r="CY66">
            <v>7.49</v>
          </cell>
          <cell r="CZ66">
            <v>4.6300000000000001E-2</v>
          </cell>
          <cell r="DA66">
            <v>4.6300000000000001E-2</v>
          </cell>
          <cell r="DB66">
            <v>4.6300000000000001E-2</v>
          </cell>
          <cell r="DC66">
            <v>4.6300000000000001E-2</v>
          </cell>
          <cell r="DD66">
            <v>4.6300000000000001E-2</v>
          </cell>
          <cell r="DE66">
            <v>4.6300000000000001E-2</v>
          </cell>
          <cell r="DF66">
            <v>4.6300000000000001E-2</v>
          </cell>
          <cell r="DG66">
            <v>4.6300000000000001E-2</v>
          </cell>
          <cell r="DH66">
            <v>4.6300000000000001E-2</v>
          </cell>
          <cell r="DI66">
            <v>4.6300000000000001E-2</v>
          </cell>
          <cell r="DJ66">
            <v>4.6300000000000001E-2</v>
          </cell>
        </row>
        <row r="67">
          <cell r="C67">
            <v>3055</v>
          </cell>
          <cell r="D67">
            <v>9015</v>
          </cell>
          <cell r="E67" t="str">
            <v>Locksmith</v>
          </cell>
          <cell r="G67" t="str">
            <v>CBA1</v>
          </cell>
          <cell r="H67" t="str">
            <v>RFP CBA</v>
          </cell>
          <cell r="I67">
            <v>56118.400000000001</v>
          </cell>
          <cell r="J67">
            <v>26.98</v>
          </cell>
          <cell r="K67">
            <v>1.7</v>
          </cell>
          <cell r="L67">
            <v>26.98</v>
          </cell>
          <cell r="M67">
            <v>26.98</v>
          </cell>
          <cell r="N67">
            <v>27.18</v>
          </cell>
          <cell r="O67">
            <v>27.18</v>
          </cell>
          <cell r="P67">
            <v>27.18</v>
          </cell>
          <cell r="Q67">
            <v>27.18</v>
          </cell>
          <cell r="R67">
            <v>27.18</v>
          </cell>
          <cell r="S67">
            <v>27.18</v>
          </cell>
          <cell r="T67">
            <v>27.18</v>
          </cell>
          <cell r="U67">
            <v>27.18</v>
          </cell>
          <cell r="V67">
            <v>27.18</v>
          </cell>
          <cell r="W67">
            <v>7.49</v>
          </cell>
          <cell r="X67">
            <v>7.49</v>
          </cell>
          <cell r="Y67">
            <v>7.49</v>
          </cell>
          <cell r="Z67">
            <v>7.49</v>
          </cell>
          <cell r="AA67">
            <v>7.49</v>
          </cell>
          <cell r="AB67">
            <v>7.49</v>
          </cell>
          <cell r="AC67">
            <v>7.49</v>
          </cell>
          <cell r="AD67">
            <v>7.49</v>
          </cell>
          <cell r="AE67">
            <v>7.49</v>
          </cell>
          <cell r="AF67">
            <v>7.49</v>
          </cell>
          <cell r="AG67">
            <v>7.49</v>
          </cell>
          <cell r="AH67">
            <v>1.7</v>
          </cell>
          <cell r="AI67">
            <v>1.7</v>
          </cell>
          <cell r="AJ67">
            <v>1.7</v>
          </cell>
          <cell r="AK67">
            <v>1.7</v>
          </cell>
          <cell r="AL67">
            <v>1.7</v>
          </cell>
          <cell r="AM67">
            <v>1.7</v>
          </cell>
          <cell r="AN67">
            <v>1.7</v>
          </cell>
          <cell r="AO67">
            <v>1.7</v>
          </cell>
          <cell r="AP67">
            <v>1.7</v>
          </cell>
          <cell r="AQ67">
            <v>1.7</v>
          </cell>
          <cell r="AR67">
            <v>1.7</v>
          </cell>
          <cell r="AS67">
            <v>2.7E-2</v>
          </cell>
          <cell r="AT67">
            <v>8000</v>
          </cell>
          <cell r="AU67">
            <v>216</v>
          </cell>
          <cell r="AV67">
            <v>4.6300000000000001E-2</v>
          </cell>
          <cell r="AW67">
            <v>4.6300000000000001E-2</v>
          </cell>
          <cell r="AX67">
            <v>4.6300000000000001E-2</v>
          </cell>
          <cell r="AY67">
            <v>4.6300000000000001E-2</v>
          </cell>
          <cell r="AZ67">
            <v>4.6300000000000001E-2</v>
          </cell>
          <cell r="BA67">
            <v>4.6300000000000001E-2</v>
          </cell>
          <cell r="BB67">
            <v>4.6300000000000001E-2</v>
          </cell>
          <cell r="BC67">
            <v>4.6300000000000001E-2</v>
          </cell>
          <cell r="BD67">
            <v>4.6300000000000001E-2</v>
          </cell>
          <cell r="BE67">
            <v>4.6300000000000001E-2</v>
          </cell>
          <cell r="BF67">
            <v>4.6300000000000001E-2</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8</v>
          </cell>
          <cell r="CO67">
            <v>7.49</v>
          </cell>
          <cell r="CP67">
            <v>7.49</v>
          </cell>
          <cell r="CQ67">
            <v>7.49</v>
          </cell>
          <cell r="CR67">
            <v>7.49</v>
          </cell>
          <cell r="CS67">
            <v>7.49</v>
          </cell>
          <cell r="CT67">
            <v>7.49</v>
          </cell>
          <cell r="CU67">
            <v>7.49</v>
          </cell>
          <cell r="CV67">
            <v>7.49</v>
          </cell>
          <cell r="CW67">
            <v>7.49</v>
          </cell>
          <cell r="CX67">
            <v>7.49</v>
          </cell>
          <cell r="CY67">
            <v>7.49</v>
          </cell>
          <cell r="CZ67">
            <v>4.6300000000000001E-2</v>
          </cell>
          <cell r="DA67">
            <v>4.6300000000000001E-2</v>
          </cell>
          <cell r="DB67">
            <v>4.6300000000000001E-2</v>
          </cell>
          <cell r="DC67">
            <v>4.6300000000000001E-2</v>
          </cell>
          <cell r="DD67">
            <v>4.6300000000000001E-2</v>
          </cell>
          <cell r="DE67">
            <v>4.6300000000000001E-2</v>
          </cell>
          <cell r="DF67">
            <v>4.6300000000000001E-2</v>
          </cell>
          <cell r="DG67">
            <v>4.6300000000000001E-2</v>
          </cell>
          <cell r="DH67">
            <v>4.6300000000000001E-2</v>
          </cell>
          <cell r="DI67">
            <v>4.6300000000000001E-2</v>
          </cell>
          <cell r="DJ67">
            <v>4.6300000000000001E-2</v>
          </cell>
        </row>
        <row r="68">
          <cell r="C68">
            <v>3060</v>
          </cell>
          <cell r="D68">
            <v>9015</v>
          </cell>
          <cell r="E68" t="str">
            <v>Maintenance Mechanic</v>
          </cell>
          <cell r="G68" t="str">
            <v>CBA1</v>
          </cell>
          <cell r="H68" t="str">
            <v>RFP CBA</v>
          </cell>
          <cell r="I68">
            <v>59550.400000000001</v>
          </cell>
          <cell r="J68">
            <v>28.63</v>
          </cell>
          <cell r="K68">
            <v>1.7</v>
          </cell>
          <cell r="L68">
            <v>28.63</v>
          </cell>
          <cell r="M68">
            <v>28.63</v>
          </cell>
          <cell r="N68">
            <v>28.83</v>
          </cell>
          <cell r="O68">
            <v>28.83</v>
          </cell>
          <cell r="P68">
            <v>28.83</v>
          </cell>
          <cell r="Q68">
            <v>28.83</v>
          </cell>
          <cell r="R68">
            <v>28.83</v>
          </cell>
          <cell r="S68">
            <v>28.83</v>
          </cell>
          <cell r="T68">
            <v>28.83</v>
          </cell>
          <cell r="U68">
            <v>28.83</v>
          </cell>
          <cell r="V68">
            <v>28.83</v>
          </cell>
          <cell r="W68">
            <v>7.49</v>
          </cell>
          <cell r="X68">
            <v>7.49</v>
          </cell>
          <cell r="Y68">
            <v>7.49</v>
          </cell>
          <cell r="Z68">
            <v>7.49</v>
          </cell>
          <cell r="AA68">
            <v>7.49</v>
          </cell>
          <cell r="AB68">
            <v>7.49</v>
          </cell>
          <cell r="AC68">
            <v>7.49</v>
          </cell>
          <cell r="AD68">
            <v>7.49</v>
          </cell>
          <cell r="AE68">
            <v>7.49</v>
          </cell>
          <cell r="AF68">
            <v>7.49</v>
          </cell>
          <cell r="AG68">
            <v>7.49</v>
          </cell>
          <cell r="AH68">
            <v>1.7</v>
          </cell>
          <cell r="AI68">
            <v>1.7</v>
          </cell>
          <cell r="AJ68">
            <v>1.7</v>
          </cell>
          <cell r="AK68">
            <v>1.7</v>
          </cell>
          <cell r="AL68">
            <v>1.7</v>
          </cell>
          <cell r="AM68">
            <v>1.7</v>
          </cell>
          <cell r="AN68">
            <v>1.7</v>
          </cell>
          <cell r="AO68">
            <v>1.7</v>
          </cell>
          <cell r="AP68">
            <v>1.7</v>
          </cell>
          <cell r="AQ68">
            <v>1.7</v>
          </cell>
          <cell r="AR68">
            <v>1.7</v>
          </cell>
          <cell r="AS68">
            <v>2.7E-2</v>
          </cell>
          <cell r="AT68">
            <v>8000</v>
          </cell>
          <cell r="AU68">
            <v>216</v>
          </cell>
          <cell r="AV68">
            <v>4.6300000000000001E-2</v>
          </cell>
          <cell r="AW68">
            <v>4.6300000000000001E-2</v>
          </cell>
          <cell r="AX68">
            <v>4.6300000000000001E-2</v>
          </cell>
          <cell r="AY68">
            <v>4.6300000000000001E-2</v>
          </cell>
          <cell r="AZ68">
            <v>4.6300000000000001E-2</v>
          </cell>
          <cell r="BA68">
            <v>4.6300000000000001E-2</v>
          </cell>
          <cell r="BB68">
            <v>4.6300000000000001E-2</v>
          </cell>
          <cell r="BC68">
            <v>4.6300000000000001E-2</v>
          </cell>
          <cell r="BD68">
            <v>4.6300000000000001E-2</v>
          </cell>
          <cell r="BE68">
            <v>4.6300000000000001E-2</v>
          </cell>
          <cell r="BF68">
            <v>4.6300000000000001E-2</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4</v>
          </cell>
          <cell r="CO68">
            <v>7.49</v>
          </cell>
          <cell r="CP68">
            <v>7.49</v>
          </cell>
          <cell r="CQ68">
            <v>7.49</v>
          </cell>
          <cell r="CR68">
            <v>7.49</v>
          </cell>
          <cell r="CS68">
            <v>7.49</v>
          </cell>
          <cell r="CT68">
            <v>7.49</v>
          </cell>
          <cell r="CU68">
            <v>7.49</v>
          </cell>
          <cell r="CV68">
            <v>7.49</v>
          </cell>
          <cell r="CW68">
            <v>7.49</v>
          </cell>
          <cell r="CX68">
            <v>7.49</v>
          </cell>
          <cell r="CY68">
            <v>7.49</v>
          </cell>
          <cell r="CZ68">
            <v>4.6300000000000001E-2</v>
          </cell>
          <cell r="DA68">
            <v>4.6300000000000001E-2</v>
          </cell>
          <cell r="DB68">
            <v>4.6300000000000001E-2</v>
          </cell>
          <cell r="DC68">
            <v>4.6300000000000001E-2</v>
          </cell>
          <cell r="DD68">
            <v>4.6300000000000001E-2</v>
          </cell>
          <cell r="DE68">
            <v>4.6300000000000001E-2</v>
          </cell>
          <cell r="DF68">
            <v>4.6300000000000001E-2</v>
          </cell>
          <cell r="DG68">
            <v>4.6300000000000001E-2</v>
          </cell>
          <cell r="DH68">
            <v>4.6300000000000001E-2</v>
          </cell>
          <cell r="DI68">
            <v>4.6300000000000001E-2</v>
          </cell>
          <cell r="DJ68">
            <v>4.6300000000000001E-2</v>
          </cell>
        </row>
        <row r="69">
          <cell r="C69">
            <v>3065</v>
          </cell>
          <cell r="D69">
            <v>9015</v>
          </cell>
          <cell r="E69" t="str">
            <v>Maintenance Machinist</v>
          </cell>
          <cell r="G69" t="str">
            <v>CBA1</v>
          </cell>
          <cell r="H69" t="str">
            <v>RFP CBA</v>
          </cell>
          <cell r="I69">
            <v>59550.400000000001</v>
          </cell>
          <cell r="J69">
            <v>28.63</v>
          </cell>
          <cell r="K69">
            <v>1.7</v>
          </cell>
          <cell r="L69">
            <v>28.63</v>
          </cell>
          <cell r="M69">
            <v>28.63</v>
          </cell>
          <cell r="N69">
            <v>28.83</v>
          </cell>
          <cell r="O69">
            <v>28.83</v>
          </cell>
          <cell r="P69">
            <v>28.83</v>
          </cell>
          <cell r="Q69">
            <v>28.83</v>
          </cell>
          <cell r="R69">
            <v>28.83</v>
          </cell>
          <cell r="S69">
            <v>28.83</v>
          </cell>
          <cell r="T69">
            <v>28.83</v>
          </cell>
          <cell r="U69">
            <v>28.83</v>
          </cell>
          <cell r="V69">
            <v>28.83</v>
          </cell>
          <cell r="W69">
            <v>7.49</v>
          </cell>
          <cell r="X69">
            <v>7.49</v>
          </cell>
          <cell r="Y69">
            <v>7.49</v>
          </cell>
          <cell r="Z69">
            <v>7.49</v>
          </cell>
          <cell r="AA69">
            <v>7.49</v>
          </cell>
          <cell r="AB69">
            <v>7.49</v>
          </cell>
          <cell r="AC69">
            <v>7.49</v>
          </cell>
          <cell r="AD69">
            <v>7.49</v>
          </cell>
          <cell r="AE69">
            <v>7.49</v>
          </cell>
          <cell r="AF69">
            <v>7.49</v>
          </cell>
          <cell r="AG69">
            <v>7.49</v>
          </cell>
          <cell r="AH69">
            <v>1.7</v>
          </cell>
          <cell r="AI69">
            <v>1.7</v>
          </cell>
          <cell r="AJ69">
            <v>1.7</v>
          </cell>
          <cell r="AK69">
            <v>1.7</v>
          </cell>
          <cell r="AL69">
            <v>1.7</v>
          </cell>
          <cell r="AM69">
            <v>1.7</v>
          </cell>
          <cell r="AN69">
            <v>1.7</v>
          </cell>
          <cell r="AO69">
            <v>1.7</v>
          </cell>
          <cell r="AP69">
            <v>1.7</v>
          </cell>
          <cell r="AQ69">
            <v>1.7</v>
          </cell>
          <cell r="AR69">
            <v>1.7</v>
          </cell>
          <cell r="AS69">
            <v>2.7E-2</v>
          </cell>
          <cell r="AT69">
            <v>8000</v>
          </cell>
          <cell r="AU69">
            <v>216</v>
          </cell>
          <cell r="AV69">
            <v>4.6300000000000001E-2</v>
          </cell>
          <cell r="AW69">
            <v>4.6300000000000001E-2</v>
          </cell>
          <cell r="AX69">
            <v>4.6300000000000001E-2</v>
          </cell>
          <cell r="AY69">
            <v>4.6300000000000001E-2</v>
          </cell>
          <cell r="AZ69">
            <v>4.6300000000000001E-2</v>
          </cell>
          <cell r="BA69">
            <v>4.6300000000000001E-2</v>
          </cell>
          <cell r="BB69">
            <v>4.6300000000000001E-2</v>
          </cell>
          <cell r="BC69">
            <v>4.6300000000000001E-2</v>
          </cell>
          <cell r="BD69">
            <v>4.6300000000000001E-2</v>
          </cell>
          <cell r="BE69">
            <v>4.6300000000000001E-2</v>
          </cell>
          <cell r="BF69">
            <v>4.6300000000000001E-2</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4</v>
          </cell>
          <cell r="CO69">
            <v>7.49</v>
          </cell>
          <cell r="CP69">
            <v>7.49</v>
          </cell>
          <cell r="CQ69">
            <v>7.49</v>
          </cell>
          <cell r="CR69">
            <v>7.49</v>
          </cell>
          <cell r="CS69">
            <v>7.49</v>
          </cell>
          <cell r="CT69">
            <v>7.49</v>
          </cell>
          <cell r="CU69">
            <v>7.49</v>
          </cell>
          <cell r="CV69">
            <v>7.49</v>
          </cell>
          <cell r="CW69">
            <v>7.49</v>
          </cell>
          <cell r="CX69">
            <v>7.49</v>
          </cell>
          <cell r="CY69">
            <v>7.49</v>
          </cell>
          <cell r="CZ69">
            <v>4.6300000000000001E-2</v>
          </cell>
          <cell r="DA69">
            <v>4.6300000000000001E-2</v>
          </cell>
          <cell r="DB69">
            <v>4.6300000000000001E-2</v>
          </cell>
          <cell r="DC69">
            <v>4.6300000000000001E-2</v>
          </cell>
          <cell r="DD69">
            <v>4.6300000000000001E-2</v>
          </cell>
          <cell r="DE69">
            <v>4.6300000000000001E-2</v>
          </cell>
          <cell r="DF69">
            <v>4.6300000000000001E-2</v>
          </cell>
          <cell r="DG69">
            <v>4.6300000000000001E-2</v>
          </cell>
          <cell r="DH69">
            <v>4.6300000000000001E-2</v>
          </cell>
          <cell r="DI69">
            <v>4.6300000000000001E-2</v>
          </cell>
          <cell r="DJ69">
            <v>4.6300000000000001E-2</v>
          </cell>
        </row>
        <row r="70">
          <cell r="C70">
            <v>3070</v>
          </cell>
          <cell r="D70">
            <v>9015</v>
          </cell>
          <cell r="E70" t="str">
            <v>Sign Painter</v>
          </cell>
          <cell r="G70" t="str">
            <v>CBA1</v>
          </cell>
          <cell r="H70" t="str">
            <v>RFP CBA</v>
          </cell>
          <cell r="I70">
            <v>56118.400000000001</v>
          </cell>
          <cell r="J70">
            <v>26.98</v>
          </cell>
          <cell r="K70">
            <v>1.7</v>
          </cell>
          <cell r="L70">
            <v>26.98</v>
          </cell>
          <cell r="M70">
            <v>26.98</v>
          </cell>
          <cell r="N70">
            <v>27.18</v>
          </cell>
          <cell r="O70">
            <v>27.18</v>
          </cell>
          <cell r="P70">
            <v>27.18</v>
          </cell>
          <cell r="Q70">
            <v>27.18</v>
          </cell>
          <cell r="R70">
            <v>27.18</v>
          </cell>
          <cell r="S70">
            <v>27.18</v>
          </cell>
          <cell r="T70">
            <v>27.18</v>
          </cell>
          <cell r="U70">
            <v>27.18</v>
          </cell>
          <cell r="V70">
            <v>27.18</v>
          </cell>
          <cell r="W70">
            <v>7.49</v>
          </cell>
          <cell r="X70">
            <v>7.49</v>
          </cell>
          <cell r="Y70">
            <v>7.49</v>
          </cell>
          <cell r="Z70">
            <v>7.49</v>
          </cell>
          <cell r="AA70">
            <v>7.49</v>
          </cell>
          <cell r="AB70">
            <v>7.49</v>
          </cell>
          <cell r="AC70">
            <v>7.49</v>
          </cell>
          <cell r="AD70">
            <v>7.49</v>
          </cell>
          <cell r="AE70">
            <v>7.49</v>
          </cell>
          <cell r="AF70">
            <v>7.49</v>
          </cell>
          <cell r="AG70">
            <v>7.49</v>
          </cell>
          <cell r="AH70">
            <v>1.7</v>
          </cell>
          <cell r="AI70">
            <v>1.7</v>
          </cell>
          <cell r="AJ70">
            <v>1.7</v>
          </cell>
          <cell r="AK70">
            <v>1.7</v>
          </cell>
          <cell r="AL70">
            <v>1.7</v>
          </cell>
          <cell r="AM70">
            <v>1.7</v>
          </cell>
          <cell r="AN70">
            <v>1.7</v>
          </cell>
          <cell r="AO70">
            <v>1.7</v>
          </cell>
          <cell r="AP70">
            <v>1.7</v>
          </cell>
          <cell r="AQ70">
            <v>1.7</v>
          </cell>
          <cell r="AR70">
            <v>1.7</v>
          </cell>
          <cell r="AS70">
            <v>2.7E-2</v>
          </cell>
          <cell r="AT70">
            <v>8000</v>
          </cell>
          <cell r="AU70">
            <v>216</v>
          </cell>
          <cell r="AV70">
            <v>4.6300000000000001E-2</v>
          </cell>
          <cell r="AW70">
            <v>4.6300000000000001E-2</v>
          </cell>
          <cell r="AX70">
            <v>4.6300000000000001E-2</v>
          </cell>
          <cell r="AY70">
            <v>4.6300000000000001E-2</v>
          </cell>
          <cell r="AZ70">
            <v>4.6300000000000001E-2</v>
          </cell>
          <cell r="BA70">
            <v>4.6300000000000001E-2</v>
          </cell>
          <cell r="BB70">
            <v>4.6300000000000001E-2</v>
          </cell>
          <cell r="BC70">
            <v>4.6300000000000001E-2</v>
          </cell>
          <cell r="BD70">
            <v>4.6300000000000001E-2</v>
          </cell>
          <cell r="BE70">
            <v>4.6300000000000001E-2</v>
          </cell>
          <cell r="BF70">
            <v>4.6300000000000001E-2</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6</v>
          </cell>
          <cell r="CO70">
            <v>7.49</v>
          </cell>
          <cell r="CP70">
            <v>7.49</v>
          </cell>
          <cell r="CQ70">
            <v>7.49</v>
          </cell>
          <cell r="CR70">
            <v>7.49</v>
          </cell>
          <cell r="CS70">
            <v>7.49</v>
          </cell>
          <cell r="CT70">
            <v>7.49</v>
          </cell>
          <cell r="CU70">
            <v>7.49</v>
          </cell>
          <cell r="CV70">
            <v>7.49</v>
          </cell>
          <cell r="CW70">
            <v>7.49</v>
          </cell>
          <cell r="CX70">
            <v>7.49</v>
          </cell>
          <cell r="CY70">
            <v>7.49</v>
          </cell>
          <cell r="CZ70">
            <v>4.6300000000000001E-2</v>
          </cell>
          <cell r="DA70">
            <v>4.6300000000000001E-2</v>
          </cell>
          <cell r="DB70">
            <v>4.6300000000000001E-2</v>
          </cell>
          <cell r="DC70">
            <v>4.6300000000000001E-2</v>
          </cell>
          <cell r="DD70">
            <v>4.6300000000000001E-2</v>
          </cell>
          <cell r="DE70">
            <v>4.6300000000000001E-2</v>
          </cell>
          <cell r="DF70">
            <v>4.6300000000000001E-2</v>
          </cell>
          <cell r="DG70">
            <v>4.6300000000000001E-2</v>
          </cell>
          <cell r="DH70">
            <v>4.6300000000000001E-2</v>
          </cell>
          <cell r="DI70">
            <v>4.6300000000000001E-2</v>
          </cell>
          <cell r="DJ70">
            <v>4.6300000000000001E-2</v>
          </cell>
        </row>
        <row r="71">
          <cell r="C71">
            <v>3075</v>
          </cell>
          <cell r="D71">
            <v>9015</v>
          </cell>
          <cell r="E71" t="str">
            <v>Sign Painter II</v>
          </cell>
          <cell r="G71" t="str">
            <v>CBA1</v>
          </cell>
          <cell r="H71" t="str">
            <v>RFP CBA</v>
          </cell>
          <cell r="I71">
            <v>57720</v>
          </cell>
          <cell r="J71">
            <v>27.75</v>
          </cell>
          <cell r="K71">
            <v>1.7</v>
          </cell>
          <cell r="L71">
            <v>27.75</v>
          </cell>
          <cell r="M71">
            <v>27.75</v>
          </cell>
          <cell r="N71">
            <v>27.95</v>
          </cell>
          <cell r="O71">
            <v>27.95</v>
          </cell>
          <cell r="P71">
            <v>27.95</v>
          </cell>
          <cell r="Q71">
            <v>27.95</v>
          </cell>
          <cell r="R71">
            <v>27.95</v>
          </cell>
          <cell r="S71">
            <v>27.95</v>
          </cell>
          <cell r="T71">
            <v>27.95</v>
          </cell>
          <cell r="U71">
            <v>27.95</v>
          </cell>
          <cell r="V71">
            <v>27.95</v>
          </cell>
          <cell r="W71">
            <v>7.49</v>
          </cell>
          <cell r="X71">
            <v>7.49</v>
          </cell>
          <cell r="Y71">
            <v>7.49</v>
          </cell>
          <cell r="Z71">
            <v>7.49</v>
          </cell>
          <cell r="AA71">
            <v>7.49</v>
          </cell>
          <cell r="AB71">
            <v>7.49</v>
          </cell>
          <cell r="AC71">
            <v>7.49</v>
          </cell>
          <cell r="AD71">
            <v>7.49</v>
          </cell>
          <cell r="AE71">
            <v>7.49</v>
          </cell>
          <cell r="AF71">
            <v>7.49</v>
          </cell>
          <cell r="AG71">
            <v>7.49</v>
          </cell>
          <cell r="AH71">
            <v>1.7</v>
          </cell>
          <cell r="AI71">
            <v>1.7</v>
          </cell>
          <cell r="AJ71">
            <v>1.7</v>
          </cell>
          <cell r="AK71">
            <v>1.7</v>
          </cell>
          <cell r="AL71">
            <v>1.7</v>
          </cell>
          <cell r="AM71">
            <v>1.7</v>
          </cell>
          <cell r="AN71">
            <v>1.7</v>
          </cell>
          <cell r="AO71">
            <v>1.7</v>
          </cell>
          <cell r="AP71">
            <v>1.7</v>
          </cell>
          <cell r="AQ71">
            <v>1.7</v>
          </cell>
          <cell r="AR71">
            <v>1.7</v>
          </cell>
          <cell r="AS71">
            <v>2.7E-2</v>
          </cell>
          <cell r="AT71">
            <v>8000</v>
          </cell>
          <cell r="AU71">
            <v>216</v>
          </cell>
          <cell r="AV71">
            <v>4.6300000000000001E-2</v>
          </cell>
          <cell r="AW71">
            <v>4.6300000000000001E-2</v>
          </cell>
          <cell r="AX71">
            <v>4.6300000000000001E-2</v>
          </cell>
          <cell r="AY71">
            <v>4.6300000000000001E-2</v>
          </cell>
          <cell r="AZ71">
            <v>4.6300000000000001E-2</v>
          </cell>
          <cell r="BA71">
            <v>4.6300000000000001E-2</v>
          </cell>
          <cell r="BB71">
            <v>4.6300000000000001E-2</v>
          </cell>
          <cell r="BC71">
            <v>4.6300000000000001E-2</v>
          </cell>
          <cell r="BD71">
            <v>4.6300000000000001E-2</v>
          </cell>
          <cell r="BE71">
            <v>4.6300000000000001E-2</v>
          </cell>
          <cell r="BF71">
            <v>4.6300000000000001E-2</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6</v>
          </cell>
          <cell r="CO71">
            <v>7.49</v>
          </cell>
          <cell r="CP71">
            <v>7.49</v>
          </cell>
          <cell r="CQ71">
            <v>7.49</v>
          </cell>
          <cell r="CR71">
            <v>7.49</v>
          </cell>
          <cell r="CS71">
            <v>7.49</v>
          </cell>
          <cell r="CT71">
            <v>7.49</v>
          </cell>
          <cell r="CU71">
            <v>7.49</v>
          </cell>
          <cell r="CV71">
            <v>7.49</v>
          </cell>
          <cell r="CW71">
            <v>7.49</v>
          </cell>
          <cell r="CX71">
            <v>7.49</v>
          </cell>
          <cell r="CY71">
            <v>7.49</v>
          </cell>
          <cell r="CZ71">
            <v>4.6300000000000001E-2</v>
          </cell>
          <cell r="DA71">
            <v>4.6300000000000001E-2</v>
          </cell>
          <cell r="DB71">
            <v>4.6300000000000001E-2</v>
          </cell>
          <cell r="DC71">
            <v>4.6300000000000001E-2</v>
          </cell>
          <cell r="DD71">
            <v>4.6300000000000001E-2</v>
          </cell>
          <cell r="DE71">
            <v>4.6300000000000001E-2</v>
          </cell>
          <cell r="DF71">
            <v>4.6300000000000001E-2</v>
          </cell>
          <cell r="DG71">
            <v>4.6300000000000001E-2</v>
          </cell>
          <cell r="DH71">
            <v>4.6300000000000001E-2</v>
          </cell>
          <cell r="DI71">
            <v>4.6300000000000001E-2</v>
          </cell>
          <cell r="DJ71">
            <v>4.6300000000000001E-2</v>
          </cell>
        </row>
        <row r="72">
          <cell r="C72">
            <v>3080</v>
          </cell>
          <cell r="D72">
            <v>9015</v>
          </cell>
          <cell r="E72" t="str">
            <v>Maintenance Pipefitter</v>
          </cell>
          <cell r="G72" t="str">
            <v>CBA1</v>
          </cell>
          <cell r="H72" t="str">
            <v>RFP CBA</v>
          </cell>
          <cell r="I72">
            <v>62920</v>
          </cell>
          <cell r="J72">
            <v>30.25</v>
          </cell>
          <cell r="K72">
            <v>1.7</v>
          </cell>
          <cell r="L72">
            <v>30.25</v>
          </cell>
          <cell r="M72">
            <v>30.25</v>
          </cell>
          <cell r="N72">
            <v>30.45</v>
          </cell>
          <cell r="O72">
            <v>30.45</v>
          </cell>
          <cell r="P72">
            <v>30.45</v>
          </cell>
          <cell r="Q72">
            <v>30.45</v>
          </cell>
          <cell r="R72">
            <v>30.45</v>
          </cell>
          <cell r="S72">
            <v>30.45</v>
          </cell>
          <cell r="T72">
            <v>30.45</v>
          </cell>
          <cell r="U72">
            <v>30.45</v>
          </cell>
          <cell r="V72">
            <v>30.45</v>
          </cell>
          <cell r="W72">
            <v>7.49</v>
          </cell>
          <cell r="X72">
            <v>7.49</v>
          </cell>
          <cell r="Y72">
            <v>7.49</v>
          </cell>
          <cell r="Z72">
            <v>7.49</v>
          </cell>
          <cell r="AA72">
            <v>7.49</v>
          </cell>
          <cell r="AB72">
            <v>7.49</v>
          </cell>
          <cell r="AC72">
            <v>7.49</v>
          </cell>
          <cell r="AD72">
            <v>7.49</v>
          </cell>
          <cell r="AE72">
            <v>7.49</v>
          </cell>
          <cell r="AF72">
            <v>7.49</v>
          </cell>
          <cell r="AG72">
            <v>7.49</v>
          </cell>
          <cell r="AH72">
            <v>1.7</v>
          </cell>
          <cell r="AI72">
            <v>1.7</v>
          </cell>
          <cell r="AJ72">
            <v>1.7</v>
          </cell>
          <cell r="AK72">
            <v>1.7</v>
          </cell>
          <cell r="AL72">
            <v>1.7</v>
          </cell>
          <cell r="AM72">
            <v>1.7</v>
          </cell>
          <cell r="AN72">
            <v>1.7</v>
          </cell>
          <cell r="AO72">
            <v>1.7</v>
          </cell>
          <cell r="AP72">
            <v>1.7</v>
          </cell>
          <cell r="AQ72">
            <v>1.7</v>
          </cell>
          <cell r="AR72">
            <v>1.7</v>
          </cell>
          <cell r="AS72">
            <v>2.7E-2</v>
          </cell>
          <cell r="AT72">
            <v>8000</v>
          </cell>
          <cell r="AU72">
            <v>216</v>
          </cell>
          <cell r="AV72">
            <v>4.6300000000000001E-2</v>
          </cell>
          <cell r="AW72">
            <v>4.6300000000000001E-2</v>
          </cell>
          <cell r="AX72">
            <v>4.6300000000000001E-2</v>
          </cell>
          <cell r="AY72">
            <v>4.6300000000000001E-2</v>
          </cell>
          <cell r="AZ72">
            <v>4.6300000000000001E-2</v>
          </cell>
          <cell r="BA72">
            <v>4.6300000000000001E-2</v>
          </cell>
          <cell r="BB72">
            <v>4.6300000000000001E-2</v>
          </cell>
          <cell r="BC72">
            <v>4.6300000000000001E-2</v>
          </cell>
          <cell r="BD72">
            <v>4.6300000000000001E-2</v>
          </cell>
          <cell r="BE72">
            <v>4.6300000000000001E-2</v>
          </cell>
          <cell r="BF72">
            <v>4.6300000000000001E-2</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5</v>
          </cell>
          <cell r="CO72">
            <v>7.49</v>
          </cell>
          <cell r="CP72">
            <v>7.49</v>
          </cell>
          <cell r="CQ72">
            <v>7.49</v>
          </cell>
          <cell r="CR72">
            <v>7.49</v>
          </cell>
          <cell r="CS72">
            <v>7.49</v>
          </cell>
          <cell r="CT72">
            <v>7.49</v>
          </cell>
          <cell r="CU72">
            <v>7.49</v>
          </cell>
          <cell r="CV72">
            <v>7.49</v>
          </cell>
          <cell r="CW72">
            <v>7.49</v>
          </cell>
          <cell r="CX72">
            <v>7.49</v>
          </cell>
          <cell r="CY72">
            <v>7.49</v>
          </cell>
          <cell r="CZ72">
            <v>4.6300000000000001E-2</v>
          </cell>
          <cell r="DA72">
            <v>4.6300000000000001E-2</v>
          </cell>
          <cell r="DB72">
            <v>4.6300000000000001E-2</v>
          </cell>
          <cell r="DC72">
            <v>4.6300000000000001E-2</v>
          </cell>
          <cell r="DD72">
            <v>4.6300000000000001E-2</v>
          </cell>
          <cell r="DE72">
            <v>4.6300000000000001E-2</v>
          </cell>
          <cell r="DF72">
            <v>4.6300000000000001E-2</v>
          </cell>
          <cell r="DG72">
            <v>4.6300000000000001E-2</v>
          </cell>
          <cell r="DH72">
            <v>4.6300000000000001E-2</v>
          </cell>
          <cell r="DI72">
            <v>4.6300000000000001E-2</v>
          </cell>
          <cell r="DJ72">
            <v>4.6300000000000001E-2</v>
          </cell>
        </row>
        <row r="73">
          <cell r="C73">
            <v>3085</v>
          </cell>
          <cell r="D73">
            <v>9015</v>
          </cell>
          <cell r="E73" t="str">
            <v>Maintenance Plumber</v>
          </cell>
          <cell r="G73" t="str">
            <v>CBA1</v>
          </cell>
          <cell r="H73" t="str">
            <v>RFP CBA</v>
          </cell>
          <cell r="I73">
            <v>62920</v>
          </cell>
          <cell r="J73">
            <v>30.25</v>
          </cell>
          <cell r="K73">
            <v>1.7</v>
          </cell>
          <cell r="L73">
            <v>30.25</v>
          </cell>
          <cell r="M73">
            <v>30.25</v>
          </cell>
          <cell r="N73">
            <v>30.45</v>
          </cell>
          <cell r="O73">
            <v>30.45</v>
          </cell>
          <cell r="P73">
            <v>30.45</v>
          </cell>
          <cell r="Q73">
            <v>30.45</v>
          </cell>
          <cell r="R73">
            <v>30.45</v>
          </cell>
          <cell r="S73">
            <v>30.45</v>
          </cell>
          <cell r="T73">
            <v>30.45</v>
          </cell>
          <cell r="U73">
            <v>30.45</v>
          </cell>
          <cell r="V73">
            <v>30.45</v>
          </cell>
          <cell r="W73">
            <v>7.49</v>
          </cell>
          <cell r="X73">
            <v>7.49</v>
          </cell>
          <cell r="Y73">
            <v>7.49</v>
          </cell>
          <cell r="Z73">
            <v>7.49</v>
          </cell>
          <cell r="AA73">
            <v>7.49</v>
          </cell>
          <cell r="AB73">
            <v>7.49</v>
          </cell>
          <cell r="AC73">
            <v>7.49</v>
          </cell>
          <cell r="AD73">
            <v>7.49</v>
          </cell>
          <cell r="AE73">
            <v>7.49</v>
          </cell>
          <cell r="AF73">
            <v>7.49</v>
          </cell>
          <cell r="AG73">
            <v>7.49</v>
          </cell>
          <cell r="AH73">
            <v>1.7</v>
          </cell>
          <cell r="AI73">
            <v>1.7</v>
          </cell>
          <cell r="AJ73">
            <v>1.7</v>
          </cell>
          <cell r="AK73">
            <v>1.7</v>
          </cell>
          <cell r="AL73">
            <v>1.7</v>
          </cell>
          <cell r="AM73">
            <v>1.7</v>
          </cell>
          <cell r="AN73">
            <v>1.7</v>
          </cell>
          <cell r="AO73">
            <v>1.7</v>
          </cell>
          <cell r="AP73">
            <v>1.7</v>
          </cell>
          <cell r="AQ73">
            <v>1.7</v>
          </cell>
          <cell r="AR73">
            <v>1.7</v>
          </cell>
          <cell r="AS73">
            <v>2.7E-2</v>
          </cell>
          <cell r="AT73">
            <v>8000</v>
          </cell>
          <cell r="AU73">
            <v>216</v>
          </cell>
          <cell r="AV73">
            <v>4.6300000000000001E-2</v>
          </cell>
          <cell r="AW73">
            <v>4.6300000000000001E-2</v>
          </cell>
          <cell r="AX73">
            <v>4.6300000000000001E-2</v>
          </cell>
          <cell r="AY73">
            <v>4.6300000000000001E-2</v>
          </cell>
          <cell r="AZ73">
            <v>4.6300000000000001E-2</v>
          </cell>
          <cell r="BA73">
            <v>4.6300000000000001E-2</v>
          </cell>
          <cell r="BB73">
            <v>4.6300000000000001E-2</v>
          </cell>
          <cell r="BC73">
            <v>4.6300000000000001E-2</v>
          </cell>
          <cell r="BD73">
            <v>4.6300000000000001E-2</v>
          </cell>
          <cell r="BE73">
            <v>4.6300000000000001E-2</v>
          </cell>
          <cell r="BF73">
            <v>4.6300000000000001E-2</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5</v>
          </cell>
          <cell r="CO73">
            <v>7.49</v>
          </cell>
          <cell r="CP73">
            <v>7.49</v>
          </cell>
          <cell r="CQ73">
            <v>7.49</v>
          </cell>
          <cell r="CR73">
            <v>7.49</v>
          </cell>
          <cell r="CS73">
            <v>7.49</v>
          </cell>
          <cell r="CT73">
            <v>7.49</v>
          </cell>
          <cell r="CU73">
            <v>7.49</v>
          </cell>
          <cell r="CV73">
            <v>7.49</v>
          </cell>
          <cell r="CW73">
            <v>7.49</v>
          </cell>
          <cell r="CX73">
            <v>7.49</v>
          </cell>
          <cell r="CY73">
            <v>7.49</v>
          </cell>
          <cell r="CZ73">
            <v>4.6300000000000001E-2</v>
          </cell>
          <cell r="DA73">
            <v>4.6300000000000001E-2</v>
          </cell>
          <cell r="DB73">
            <v>4.6300000000000001E-2</v>
          </cell>
          <cell r="DC73">
            <v>4.6300000000000001E-2</v>
          </cell>
          <cell r="DD73">
            <v>4.6300000000000001E-2</v>
          </cell>
          <cell r="DE73">
            <v>4.6300000000000001E-2</v>
          </cell>
          <cell r="DF73">
            <v>4.6300000000000001E-2</v>
          </cell>
          <cell r="DG73">
            <v>4.6300000000000001E-2</v>
          </cell>
          <cell r="DH73">
            <v>4.6300000000000001E-2</v>
          </cell>
          <cell r="DI73">
            <v>4.6300000000000001E-2</v>
          </cell>
          <cell r="DJ73">
            <v>4.6300000000000001E-2</v>
          </cell>
        </row>
        <row r="74">
          <cell r="C74">
            <v>3090</v>
          </cell>
          <cell r="D74">
            <v>9015</v>
          </cell>
          <cell r="E74" t="str">
            <v>Maintenance Welder</v>
          </cell>
          <cell r="G74" t="str">
            <v>CBA1</v>
          </cell>
          <cell r="H74" t="str">
            <v>RFP CBA</v>
          </cell>
          <cell r="I74">
            <v>59550.400000000001</v>
          </cell>
          <cell r="J74">
            <v>28.63</v>
          </cell>
          <cell r="K74">
            <v>1.7</v>
          </cell>
          <cell r="L74">
            <v>28.63</v>
          </cell>
          <cell r="M74">
            <v>28.63</v>
          </cell>
          <cell r="N74">
            <v>28.83</v>
          </cell>
          <cell r="O74">
            <v>28.83</v>
          </cell>
          <cell r="P74">
            <v>28.83</v>
          </cell>
          <cell r="Q74">
            <v>28.83</v>
          </cell>
          <cell r="R74">
            <v>28.83</v>
          </cell>
          <cell r="S74">
            <v>28.83</v>
          </cell>
          <cell r="T74">
            <v>28.83</v>
          </cell>
          <cell r="U74">
            <v>28.83</v>
          </cell>
          <cell r="V74">
            <v>28.83</v>
          </cell>
          <cell r="W74">
            <v>7.49</v>
          </cell>
          <cell r="X74">
            <v>7.49</v>
          </cell>
          <cell r="Y74">
            <v>7.49</v>
          </cell>
          <cell r="Z74">
            <v>7.49</v>
          </cell>
          <cell r="AA74">
            <v>7.49</v>
          </cell>
          <cell r="AB74">
            <v>7.49</v>
          </cell>
          <cell r="AC74">
            <v>7.49</v>
          </cell>
          <cell r="AD74">
            <v>7.49</v>
          </cell>
          <cell r="AE74">
            <v>7.49</v>
          </cell>
          <cell r="AF74">
            <v>7.49</v>
          </cell>
          <cell r="AG74">
            <v>7.49</v>
          </cell>
          <cell r="AH74">
            <v>1.7</v>
          </cell>
          <cell r="AI74">
            <v>1.7</v>
          </cell>
          <cell r="AJ74">
            <v>1.7</v>
          </cell>
          <cell r="AK74">
            <v>1.7</v>
          </cell>
          <cell r="AL74">
            <v>1.7</v>
          </cell>
          <cell r="AM74">
            <v>1.7</v>
          </cell>
          <cell r="AN74">
            <v>1.7</v>
          </cell>
          <cell r="AO74">
            <v>1.7</v>
          </cell>
          <cell r="AP74">
            <v>1.7</v>
          </cell>
          <cell r="AQ74">
            <v>1.7</v>
          </cell>
          <cell r="AR74">
            <v>1.7</v>
          </cell>
          <cell r="AS74">
            <v>2.7E-2</v>
          </cell>
          <cell r="AT74">
            <v>8000</v>
          </cell>
          <cell r="AU74">
            <v>216</v>
          </cell>
          <cell r="AV74">
            <v>4.6300000000000001E-2</v>
          </cell>
          <cell r="AW74">
            <v>4.6300000000000001E-2</v>
          </cell>
          <cell r="AX74">
            <v>4.6300000000000001E-2</v>
          </cell>
          <cell r="AY74">
            <v>4.6300000000000001E-2</v>
          </cell>
          <cell r="AZ74">
            <v>4.6300000000000001E-2</v>
          </cell>
          <cell r="BA74">
            <v>4.6300000000000001E-2</v>
          </cell>
          <cell r="BB74">
            <v>4.6300000000000001E-2</v>
          </cell>
          <cell r="BC74">
            <v>4.6300000000000001E-2</v>
          </cell>
          <cell r="BD74">
            <v>4.6300000000000001E-2</v>
          </cell>
          <cell r="BE74">
            <v>4.6300000000000001E-2</v>
          </cell>
          <cell r="BF74">
            <v>4.6300000000000001E-2</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5</v>
          </cell>
          <cell r="CO74">
            <v>7.49</v>
          </cell>
          <cell r="CP74">
            <v>7.49</v>
          </cell>
          <cell r="CQ74">
            <v>7.49</v>
          </cell>
          <cell r="CR74">
            <v>7.49</v>
          </cell>
          <cell r="CS74">
            <v>7.49</v>
          </cell>
          <cell r="CT74">
            <v>7.49</v>
          </cell>
          <cell r="CU74">
            <v>7.49</v>
          </cell>
          <cell r="CV74">
            <v>7.49</v>
          </cell>
          <cell r="CW74">
            <v>7.49</v>
          </cell>
          <cell r="CX74">
            <v>7.49</v>
          </cell>
          <cell r="CY74">
            <v>7.49</v>
          </cell>
          <cell r="CZ74">
            <v>4.6300000000000001E-2</v>
          </cell>
          <cell r="DA74">
            <v>4.6300000000000001E-2</v>
          </cell>
          <cell r="DB74">
            <v>4.6300000000000001E-2</v>
          </cell>
          <cell r="DC74">
            <v>4.6300000000000001E-2</v>
          </cell>
          <cell r="DD74">
            <v>4.6300000000000001E-2</v>
          </cell>
          <cell r="DE74">
            <v>4.6300000000000001E-2</v>
          </cell>
          <cell r="DF74">
            <v>4.6300000000000001E-2</v>
          </cell>
          <cell r="DG74">
            <v>4.6300000000000001E-2</v>
          </cell>
          <cell r="DH74">
            <v>4.6300000000000001E-2</v>
          </cell>
          <cell r="DI74">
            <v>4.6300000000000001E-2</v>
          </cell>
          <cell r="DJ74">
            <v>4.6300000000000001E-2</v>
          </cell>
        </row>
        <row r="75">
          <cell r="C75">
            <v>3095</v>
          </cell>
          <cell r="D75">
            <v>9015</v>
          </cell>
          <cell r="E75" t="str">
            <v>Boiler Tender</v>
          </cell>
          <cell r="G75" t="str">
            <v>CBA1</v>
          </cell>
          <cell r="H75" t="str">
            <v>RFP CBA</v>
          </cell>
          <cell r="I75">
            <v>61984</v>
          </cell>
          <cell r="J75">
            <v>29.8</v>
          </cell>
          <cell r="K75">
            <v>1.7</v>
          </cell>
          <cell r="L75">
            <v>29.8</v>
          </cell>
          <cell r="M75">
            <v>29.8</v>
          </cell>
          <cell r="N75">
            <v>30</v>
          </cell>
          <cell r="O75">
            <v>30</v>
          </cell>
          <cell r="P75">
            <v>30</v>
          </cell>
          <cell r="Q75">
            <v>30</v>
          </cell>
          <cell r="R75">
            <v>30</v>
          </cell>
          <cell r="S75">
            <v>30</v>
          </cell>
          <cell r="T75">
            <v>30</v>
          </cell>
          <cell r="U75">
            <v>30</v>
          </cell>
          <cell r="V75">
            <v>30</v>
          </cell>
          <cell r="W75">
            <v>7.49</v>
          </cell>
          <cell r="X75">
            <v>7.49</v>
          </cell>
          <cell r="Y75">
            <v>7.49</v>
          </cell>
          <cell r="Z75">
            <v>7.49</v>
          </cell>
          <cell r="AA75">
            <v>7.49</v>
          </cell>
          <cell r="AB75">
            <v>7.49</v>
          </cell>
          <cell r="AC75">
            <v>7.49</v>
          </cell>
          <cell r="AD75">
            <v>7.49</v>
          </cell>
          <cell r="AE75">
            <v>7.49</v>
          </cell>
          <cell r="AF75">
            <v>7.49</v>
          </cell>
          <cell r="AG75">
            <v>7.49</v>
          </cell>
          <cell r="AH75">
            <v>1.7</v>
          </cell>
          <cell r="AI75">
            <v>1.7</v>
          </cell>
          <cell r="AJ75">
            <v>1.7</v>
          </cell>
          <cell r="AK75">
            <v>1.7</v>
          </cell>
          <cell r="AL75">
            <v>1.7</v>
          </cell>
          <cell r="AM75">
            <v>1.7</v>
          </cell>
          <cell r="AN75">
            <v>1.7</v>
          </cell>
          <cell r="AO75">
            <v>1.7</v>
          </cell>
          <cell r="AP75">
            <v>1.7</v>
          </cell>
          <cell r="AQ75">
            <v>1.7</v>
          </cell>
          <cell r="AR75">
            <v>1.7</v>
          </cell>
          <cell r="AS75">
            <v>2.7E-2</v>
          </cell>
          <cell r="AT75">
            <v>8000</v>
          </cell>
          <cell r="AU75">
            <v>216</v>
          </cell>
          <cell r="AV75">
            <v>4.6300000000000001E-2</v>
          </cell>
          <cell r="AW75">
            <v>4.6300000000000001E-2</v>
          </cell>
          <cell r="AX75">
            <v>4.6300000000000001E-2</v>
          </cell>
          <cell r="AY75">
            <v>4.6300000000000001E-2</v>
          </cell>
          <cell r="AZ75">
            <v>4.6300000000000001E-2</v>
          </cell>
          <cell r="BA75">
            <v>4.6300000000000001E-2</v>
          </cell>
          <cell r="BB75">
            <v>4.6300000000000001E-2</v>
          </cell>
          <cell r="BC75">
            <v>4.6300000000000001E-2</v>
          </cell>
          <cell r="BD75">
            <v>4.6300000000000001E-2</v>
          </cell>
          <cell r="BE75">
            <v>4.6300000000000001E-2</v>
          </cell>
          <cell r="BF75">
            <v>4.6300000000000001E-2</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1</v>
          </cell>
          <cell r="CO75">
            <v>7.49</v>
          </cell>
          <cell r="CP75">
            <v>7.49</v>
          </cell>
          <cell r="CQ75">
            <v>7.49</v>
          </cell>
          <cell r="CR75">
            <v>7.49</v>
          </cell>
          <cell r="CS75">
            <v>7.49</v>
          </cell>
          <cell r="CT75">
            <v>7.49</v>
          </cell>
          <cell r="CU75">
            <v>7.49</v>
          </cell>
          <cell r="CV75">
            <v>7.49</v>
          </cell>
          <cell r="CW75">
            <v>7.49</v>
          </cell>
          <cell r="CX75">
            <v>7.49</v>
          </cell>
          <cell r="CY75">
            <v>7.49</v>
          </cell>
          <cell r="CZ75">
            <v>4.6300000000000001E-2</v>
          </cell>
          <cell r="DA75">
            <v>4.6300000000000001E-2</v>
          </cell>
          <cell r="DB75">
            <v>4.6300000000000001E-2</v>
          </cell>
          <cell r="DC75">
            <v>4.6300000000000001E-2</v>
          </cell>
          <cell r="DD75">
            <v>4.6300000000000001E-2</v>
          </cell>
          <cell r="DE75">
            <v>4.6300000000000001E-2</v>
          </cell>
          <cell r="DF75">
            <v>4.6300000000000001E-2</v>
          </cell>
          <cell r="DG75">
            <v>4.6300000000000001E-2</v>
          </cell>
          <cell r="DH75">
            <v>4.6300000000000001E-2</v>
          </cell>
          <cell r="DI75">
            <v>4.6300000000000001E-2</v>
          </cell>
          <cell r="DJ75">
            <v>4.6300000000000001E-2</v>
          </cell>
        </row>
        <row r="76">
          <cell r="C76">
            <v>3100</v>
          </cell>
          <cell r="D76">
            <v>9015</v>
          </cell>
          <cell r="E76" t="str">
            <v>Boiler Tender/Rover/Dispatcher</v>
          </cell>
          <cell r="G76" t="str">
            <v>CBA1</v>
          </cell>
          <cell r="H76" t="str">
            <v>RFP CBA</v>
          </cell>
          <cell r="I76">
            <v>63315.200000000004</v>
          </cell>
          <cell r="J76">
            <v>30.44</v>
          </cell>
          <cell r="K76">
            <v>1.7</v>
          </cell>
          <cell r="L76">
            <v>30.44</v>
          </cell>
          <cell r="M76">
            <v>30.44</v>
          </cell>
          <cell r="N76">
            <v>30.64</v>
          </cell>
          <cell r="O76">
            <v>30.64</v>
          </cell>
          <cell r="P76">
            <v>30.64</v>
          </cell>
          <cell r="Q76">
            <v>30.64</v>
          </cell>
          <cell r="R76">
            <v>30.64</v>
          </cell>
          <cell r="S76">
            <v>30.64</v>
          </cell>
          <cell r="T76">
            <v>30.64</v>
          </cell>
          <cell r="U76">
            <v>30.64</v>
          </cell>
          <cell r="V76">
            <v>30.64</v>
          </cell>
          <cell r="W76">
            <v>7.49</v>
          </cell>
          <cell r="X76">
            <v>7.49</v>
          </cell>
          <cell r="Y76">
            <v>7.49</v>
          </cell>
          <cell r="Z76">
            <v>7.49</v>
          </cell>
          <cell r="AA76">
            <v>7.49</v>
          </cell>
          <cell r="AB76">
            <v>7.49</v>
          </cell>
          <cell r="AC76">
            <v>7.49</v>
          </cell>
          <cell r="AD76">
            <v>7.49</v>
          </cell>
          <cell r="AE76">
            <v>7.49</v>
          </cell>
          <cell r="AF76">
            <v>7.49</v>
          </cell>
          <cell r="AG76">
            <v>7.49</v>
          </cell>
          <cell r="AH76">
            <v>1.7</v>
          </cell>
          <cell r="AI76">
            <v>1.7</v>
          </cell>
          <cell r="AJ76">
            <v>1.7</v>
          </cell>
          <cell r="AK76">
            <v>1.7</v>
          </cell>
          <cell r="AL76">
            <v>1.7</v>
          </cell>
          <cell r="AM76">
            <v>1.7</v>
          </cell>
          <cell r="AN76">
            <v>1.7</v>
          </cell>
          <cell r="AO76">
            <v>1.7</v>
          </cell>
          <cell r="AP76">
            <v>1.7</v>
          </cell>
          <cell r="AQ76">
            <v>1.7</v>
          </cell>
          <cell r="AR76">
            <v>1.7</v>
          </cell>
          <cell r="AS76">
            <v>2.7E-2</v>
          </cell>
          <cell r="AT76">
            <v>8000</v>
          </cell>
          <cell r="AU76">
            <v>216</v>
          </cell>
          <cell r="AV76">
            <v>4.6300000000000001E-2</v>
          </cell>
          <cell r="AW76">
            <v>4.6300000000000001E-2</v>
          </cell>
          <cell r="AX76">
            <v>4.6300000000000001E-2</v>
          </cell>
          <cell r="AY76">
            <v>4.6300000000000001E-2</v>
          </cell>
          <cell r="AZ76">
            <v>4.6300000000000001E-2</v>
          </cell>
          <cell r="BA76">
            <v>4.6300000000000001E-2</v>
          </cell>
          <cell r="BB76">
            <v>4.6300000000000001E-2</v>
          </cell>
          <cell r="BC76">
            <v>4.6300000000000001E-2</v>
          </cell>
          <cell r="BD76">
            <v>4.6300000000000001E-2</v>
          </cell>
          <cell r="BE76">
            <v>4.6300000000000001E-2</v>
          </cell>
          <cell r="BF76">
            <v>4.6300000000000001E-2</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1</v>
          </cell>
          <cell r="CO76">
            <v>7.49</v>
          </cell>
          <cell r="CP76">
            <v>7.49</v>
          </cell>
          <cell r="CQ76">
            <v>7.49</v>
          </cell>
          <cell r="CR76">
            <v>7.49</v>
          </cell>
          <cell r="CS76">
            <v>7.49</v>
          </cell>
          <cell r="CT76">
            <v>7.49</v>
          </cell>
          <cell r="CU76">
            <v>7.49</v>
          </cell>
          <cell r="CV76">
            <v>7.49</v>
          </cell>
          <cell r="CW76">
            <v>7.49</v>
          </cell>
          <cell r="CX76">
            <v>7.49</v>
          </cell>
          <cell r="CY76">
            <v>7.49</v>
          </cell>
          <cell r="CZ76">
            <v>4.6300000000000001E-2</v>
          </cell>
          <cell r="DA76">
            <v>4.6300000000000001E-2</v>
          </cell>
          <cell r="DB76">
            <v>4.6300000000000001E-2</v>
          </cell>
          <cell r="DC76">
            <v>4.6300000000000001E-2</v>
          </cell>
          <cell r="DD76">
            <v>4.6300000000000001E-2</v>
          </cell>
          <cell r="DE76">
            <v>4.6300000000000001E-2</v>
          </cell>
          <cell r="DF76">
            <v>4.6300000000000001E-2</v>
          </cell>
          <cell r="DG76">
            <v>4.6300000000000001E-2</v>
          </cell>
          <cell r="DH76">
            <v>4.6300000000000001E-2</v>
          </cell>
          <cell r="DI76">
            <v>4.6300000000000001E-2</v>
          </cell>
          <cell r="DJ76">
            <v>4.6300000000000001E-2</v>
          </cell>
        </row>
        <row r="77">
          <cell r="C77">
            <v>3105</v>
          </cell>
          <cell r="D77">
            <v>9015</v>
          </cell>
          <cell r="E77" t="str">
            <v>Wastewater Plant Operator</v>
          </cell>
          <cell r="G77" t="str">
            <v>CBA1</v>
          </cell>
          <cell r="H77" t="str">
            <v>RFP CBA</v>
          </cell>
          <cell r="I77">
            <v>60257.599999999999</v>
          </cell>
          <cell r="J77">
            <v>28.97</v>
          </cell>
          <cell r="K77">
            <v>1.7</v>
          </cell>
          <cell r="L77">
            <v>28.97</v>
          </cell>
          <cell r="M77">
            <v>28.97</v>
          </cell>
          <cell r="N77">
            <v>29.17</v>
          </cell>
          <cell r="O77">
            <v>29.17</v>
          </cell>
          <cell r="P77">
            <v>29.17</v>
          </cell>
          <cell r="Q77">
            <v>29.17</v>
          </cell>
          <cell r="R77">
            <v>29.17</v>
          </cell>
          <cell r="S77">
            <v>29.17</v>
          </cell>
          <cell r="T77">
            <v>29.17</v>
          </cell>
          <cell r="U77">
            <v>29.17</v>
          </cell>
          <cell r="V77">
            <v>29.17</v>
          </cell>
          <cell r="W77">
            <v>7.49</v>
          </cell>
          <cell r="X77">
            <v>7.49</v>
          </cell>
          <cell r="Y77">
            <v>7.49</v>
          </cell>
          <cell r="Z77">
            <v>7.49</v>
          </cell>
          <cell r="AA77">
            <v>7.49</v>
          </cell>
          <cell r="AB77">
            <v>7.49</v>
          </cell>
          <cell r="AC77">
            <v>7.49</v>
          </cell>
          <cell r="AD77">
            <v>7.49</v>
          </cell>
          <cell r="AE77">
            <v>7.49</v>
          </cell>
          <cell r="AF77">
            <v>7.49</v>
          </cell>
          <cell r="AG77">
            <v>7.49</v>
          </cell>
          <cell r="AH77">
            <v>1.7</v>
          </cell>
          <cell r="AI77">
            <v>1.7</v>
          </cell>
          <cell r="AJ77">
            <v>1.7</v>
          </cell>
          <cell r="AK77">
            <v>1.7</v>
          </cell>
          <cell r="AL77">
            <v>1.7</v>
          </cell>
          <cell r="AM77">
            <v>1.7</v>
          </cell>
          <cell r="AN77">
            <v>1.7</v>
          </cell>
          <cell r="AO77">
            <v>1.7</v>
          </cell>
          <cell r="AP77">
            <v>1.7</v>
          </cell>
          <cell r="AQ77">
            <v>1.7</v>
          </cell>
          <cell r="AR77">
            <v>1.7</v>
          </cell>
          <cell r="AS77">
            <v>2.7E-2</v>
          </cell>
          <cell r="AT77">
            <v>8000</v>
          </cell>
          <cell r="AU77">
            <v>216</v>
          </cell>
          <cell r="AV77">
            <v>4.6300000000000001E-2</v>
          </cell>
          <cell r="AW77">
            <v>4.6300000000000001E-2</v>
          </cell>
          <cell r="AX77">
            <v>4.6300000000000001E-2</v>
          </cell>
          <cell r="AY77">
            <v>4.6300000000000001E-2</v>
          </cell>
          <cell r="AZ77">
            <v>4.6300000000000001E-2</v>
          </cell>
          <cell r="BA77">
            <v>4.6300000000000001E-2</v>
          </cell>
          <cell r="BB77">
            <v>4.6300000000000001E-2</v>
          </cell>
          <cell r="BC77">
            <v>4.6300000000000001E-2</v>
          </cell>
          <cell r="BD77">
            <v>4.6300000000000001E-2</v>
          </cell>
          <cell r="BE77">
            <v>4.6300000000000001E-2</v>
          </cell>
          <cell r="BF77">
            <v>4.6300000000000001E-2</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1</v>
          </cell>
          <cell r="CO77">
            <v>7.49</v>
          </cell>
          <cell r="CP77">
            <v>7.49</v>
          </cell>
          <cell r="CQ77">
            <v>7.49</v>
          </cell>
          <cell r="CR77">
            <v>7.49</v>
          </cell>
          <cell r="CS77">
            <v>7.49</v>
          </cell>
          <cell r="CT77">
            <v>7.49</v>
          </cell>
          <cell r="CU77">
            <v>7.49</v>
          </cell>
          <cell r="CV77">
            <v>7.49</v>
          </cell>
          <cell r="CW77">
            <v>7.49</v>
          </cell>
          <cell r="CX77">
            <v>7.49</v>
          </cell>
          <cell r="CY77">
            <v>7.49</v>
          </cell>
          <cell r="CZ77">
            <v>4.6300000000000001E-2</v>
          </cell>
          <cell r="DA77">
            <v>4.6300000000000001E-2</v>
          </cell>
          <cell r="DB77">
            <v>4.6300000000000001E-2</v>
          </cell>
          <cell r="DC77">
            <v>4.6300000000000001E-2</v>
          </cell>
          <cell r="DD77">
            <v>4.6300000000000001E-2</v>
          </cell>
          <cell r="DE77">
            <v>4.6300000000000001E-2</v>
          </cell>
          <cell r="DF77">
            <v>4.6300000000000001E-2</v>
          </cell>
          <cell r="DG77">
            <v>4.6300000000000001E-2</v>
          </cell>
          <cell r="DH77">
            <v>4.6300000000000001E-2</v>
          </cell>
          <cell r="DI77">
            <v>4.6300000000000001E-2</v>
          </cell>
          <cell r="DJ77">
            <v>4.6300000000000001E-2</v>
          </cell>
        </row>
        <row r="78">
          <cell r="C78">
            <v>3110</v>
          </cell>
          <cell r="D78">
            <v>9015</v>
          </cell>
          <cell r="E78" t="str">
            <v>Water Plant Operator</v>
          </cell>
          <cell r="G78" t="str">
            <v>CBA1</v>
          </cell>
          <cell r="H78" t="str">
            <v>RFP CBA</v>
          </cell>
          <cell r="I78">
            <v>60257.599999999999</v>
          </cell>
          <cell r="J78">
            <v>28.97</v>
          </cell>
          <cell r="K78">
            <v>1.7</v>
          </cell>
          <cell r="L78">
            <v>28.97</v>
          </cell>
          <cell r="M78">
            <v>28.97</v>
          </cell>
          <cell r="N78">
            <v>29.17</v>
          </cell>
          <cell r="O78">
            <v>29.17</v>
          </cell>
          <cell r="P78">
            <v>29.17</v>
          </cell>
          <cell r="Q78">
            <v>29.17</v>
          </cell>
          <cell r="R78">
            <v>29.17</v>
          </cell>
          <cell r="S78">
            <v>29.17</v>
          </cell>
          <cell r="T78">
            <v>29.17</v>
          </cell>
          <cell r="U78">
            <v>29.17</v>
          </cell>
          <cell r="V78">
            <v>29.17</v>
          </cell>
          <cell r="W78">
            <v>7.49</v>
          </cell>
          <cell r="X78">
            <v>7.49</v>
          </cell>
          <cell r="Y78">
            <v>7.49</v>
          </cell>
          <cell r="Z78">
            <v>7.49</v>
          </cell>
          <cell r="AA78">
            <v>7.49</v>
          </cell>
          <cell r="AB78">
            <v>7.49</v>
          </cell>
          <cell r="AC78">
            <v>7.49</v>
          </cell>
          <cell r="AD78">
            <v>7.49</v>
          </cell>
          <cell r="AE78">
            <v>7.49</v>
          </cell>
          <cell r="AF78">
            <v>7.49</v>
          </cell>
          <cell r="AG78">
            <v>7.49</v>
          </cell>
          <cell r="AH78">
            <v>1.7</v>
          </cell>
          <cell r="AI78">
            <v>1.7</v>
          </cell>
          <cell r="AJ78">
            <v>1.7</v>
          </cell>
          <cell r="AK78">
            <v>1.7</v>
          </cell>
          <cell r="AL78">
            <v>1.7</v>
          </cell>
          <cell r="AM78">
            <v>1.7</v>
          </cell>
          <cell r="AN78">
            <v>1.7</v>
          </cell>
          <cell r="AO78">
            <v>1.7</v>
          </cell>
          <cell r="AP78">
            <v>1.7</v>
          </cell>
          <cell r="AQ78">
            <v>1.7</v>
          </cell>
          <cell r="AR78">
            <v>1.7</v>
          </cell>
          <cell r="AS78">
            <v>2.7E-2</v>
          </cell>
          <cell r="AT78">
            <v>8000</v>
          </cell>
          <cell r="AU78">
            <v>216</v>
          </cell>
          <cell r="AV78">
            <v>4.6300000000000001E-2</v>
          </cell>
          <cell r="AW78">
            <v>4.6300000000000001E-2</v>
          </cell>
          <cell r="AX78">
            <v>4.6300000000000001E-2</v>
          </cell>
          <cell r="AY78">
            <v>4.6300000000000001E-2</v>
          </cell>
          <cell r="AZ78">
            <v>4.6300000000000001E-2</v>
          </cell>
          <cell r="BA78">
            <v>4.6300000000000001E-2</v>
          </cell>
          <cell r="BB78">
            <v>4.6300000000000001E-2</v>
          </cell>
          <cell r="BC78">
            <v>4.6300000000000001E-2</v>
          </cell>
          <cell r="BD78">
            <v>4.6300000000000001E-2</v>
          </cell>
          <cell r="BE78">
            <v>4.6300000000000001E-2</v>
          </cell>
          <cell r="BF78">
            <v>4.6300000000000001E-2</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1</v>
          </cell>
          <cell r="CO78">
            <v>7.49</v>
          </cell>
          <cell r="CP78">
            <v>7.49</v>
          </cell>
          <cell r="CQ78">
            <v>7.49</v>
          </cell>
          <cell r="CR78">
            <v>7.49</v>
          </cell>
          <cell r="CS78">
            <v>7.49</v>
          </cell>
          <cell r="CT78">
            <v>7.49</v>
          </cell>
          <cell r="CU78">
            <v>7.49</v>
          </cell>
          <cell r="CV78">
            <v>7.49</v>
          </cell>
          <cell r="CW78">
            <v>7.49</v>
          </cell>
          <cell r="CX78">
            <v>7.49</v>
          </cell>
          <cell r="CY78">
            <v>7.49</v>
          </cell>
          <cell r="CZ78">
            <v>4.6300000000000001E-2</v>
          </cell>
          <cell r="DA78">
            <v>4.6300000000000001E-2</v>
          </cell>
          <cell r="DB78">
            <v>4.6300000000000001E-2</v>
          </cell>
          <cell r="DC78">
            <v>4.6300000000000001E-2</v>
          </cell>
          <cell r="DD78">
            <v>4.6300000000000001E-2</v>
          </cell>
          <cell r="DE78">
            <v>4.6300000000000001E-2</v>
          </cell>
          <cell r="DF78">
            <v>4.6300000000000001E-2</v>
          </cell>
          <cell r="DG78">
            <v>4.6300000000000001E-2</v>
          </cell>
          <cell r="DH78">
            <v>4.6300000000000001E-2</v>
          </cell>
          <cell r="DI78">
            <v>4.6300000000000001E-2</v>
          </cell>
          <cell r="DJ78">
            <v>4.6300000000000001E-2</v>
          </cell>
        </row>
        <row r="79">
          <cell r="C79">
            <v>3115</v>
          </cell>
          <cell r="D79">
            <v>9015</v>
          </cell>
          <cell r="E79" t="str">
            <v>Heavy Equipment Operator</v>
          </cell>
          <cell r="G79" t="str">
            <v>CBA1</v>
          </cell>
          <cell r="H79" t="str">
            <v>RFP CBA</v>
          </cell>
          <cell r="I79">
            <v>67745.600000000006</v>
          </cell>
          <cell r="J79">
            <v>32.57</v>
          </cell>
          <cell r="K79">
            <v>1.7</v>
          </cell>
          <cell r="L79">
            <v>32.57</v>
          </cell>
          <cell r="M79">
            <v>32.57</v>
          </cell>
          <cell r="N79">
            <v>32.770000000000003</v>
          </cell>
          <cell r="O79">
            <v>32.770000000000003</v>
          </cell>
          <cell r="P79">
            <v>32.770000000000003</v>
          </cell>
          <cell r="Q79">
            <v>32.770000000000003</v>
          </cell>
          <cell r="R79">
            <v>32.770000000000003</v>
          </cell>
          <cell r="S79">
            <v>32.770000000000003</v>
          </cell>
          <cell r="T79">
            <v>32.770000000000003</v>
          </cell>
          <cell r="U79">
            <v>32.770000000000003</v>
          </cell>
          <cell r="V79">
            <v>32.770000000000003</v>
          </cell>
          <cell r="W79">
            <v>7.49</v>
          </cell>
          <cell r="X79">
            <v>7.49</v>
          </cell>
          <cell r="Y79">
            <v>7.49</v>
          </cell>
          <cell r="Z79">
            <v>7.49</v>
          </cell>
          <cell r="AA79">
            <v>7.49</v>
          </cell>
          <cell r="AB79">
            <v>7.49</v>
          </cell>
          <cell r="AC79">
            <v>7.49</v>
          </cell>
          <cell r="AD79">
            <v>7.49</v>
          </cell>
          <cell r="AE79">
            <v>7.49</v>
          </cell>
          <cell r="AF79">
            <v>7.49</v>
          </cell>
          <cell r="AG79">
            <v>7.49</v>
          </cell>
          <cell r="AH79">
            <v>1.7</v>
          </cell>
          <cell r="AI79">
            <v>1.7</v>
          </cell>
          <cell r="AJ79">
            <v>1.7</v>
          </cell>
          <cell r="AK79">
            <v>1.7</v>
          </cell>
          <cell r="AL79">
            <v>1.7</v>
          </cell>
          <cell r="AM79">
            <v>1.7</v>
          </cell>
          <cell r="AN79">
            <v>1.7</v>
          </cell>
          <cell r="AO79">
            <v>1.7</v>
          </cell>
          <cell r="AP79">
            <v>1.7</v>
          </cell>
          <cell r="AQ79">
            <v>1.7</v>
          </cell>
          <cell r="AR79">
            <v>1.7</v>
          </cell>
          <cell r="AS79">
            <v>2.7E-2</v>
          </cell>
          <cell r="AT79">
            <v>8000</v>
          </cell>
          <cell r="AU79">
            <v>216</v>
          </cell>
          <cell r="AV79">
            <v>4.6300000000000001E-2</v>
          </cell>
          <cell r="AW79">
            <v>4.6300000000000001E-2</v>
          </cell>
          <cell r="AX79">
            <v>4.6300000000000001E-2</v>
          </cell>
          <cell r="AY79">
            <v>4.6300000000000001E-2</v>
          </cell>
          <cell r="AZ79">
            <v>4.6300000000000001E-2</v>
          </cell>
          <cell r="BA79">
            <v>4.6300000000000001E-2</v>
          </cell>
          <cell r="BB79">
            <v>4.6300000000000001E-2</v>
          </cell>
          <cell r="BC79">
            <v>4.6300000000000001E-2</v>
          </cell>
          <cell r="BD79">
            <v>4.6300000000000001E-2</v>
          </cell>
          <cell r="BE79">
            <v>4.6300000000000001E-2</v>
          </cell>
          <cell r="BF79">
            <v>4.6300000000000001E-2</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4</v>
          </cell>
          <cell r="CO79">
            <v>7.49</v>
          </cell>
          <cell r="CP79">
            <v>7.49</v>
          </cell>
          <cell r="CQ79">
            <v>7.49</v>
          </cell>
          <cell r="CR79">
            <v>7.49</v>
          </cell>
          <cell r="CS79">
            <v>7.49</v>
          </cell>
          <cell r="CT79">
            <v>7.49</v>
          </cell>
          <cell r="CU79">
            <v>7.49</v>
          </cell>
          <cell r="CV79">
            <v>7.49</v>
          </cell>
          <cell r="CW79">
            <v>7.49</v>
          </cell>
          <cell r="CX79">
            <v>7.49</v>
          </cell>
          <cell r="CY79">
            <v>7.49</v>
          </cell>
          <cell r="CZ79">
            <v>4.6300000000000001E-2</v>
          </cell>
          <cell r="DA79">
            <v>4.6300000000000001E-2</v>
          </cell>
          <cell r="DB79">
            <v>4.6300000000000001E-2</v>
          </cell>
          <cell r="DC79">
            <v>4.6300000000000001E-2</v>
          </cell>
          <cell r="DD79">
            <v>4.6300000000000001E-2</v>
          </cell>
          <cell r="DE79">
            <v>4.6300000000000001E-2</v>
          </cell>
          <cell r="DF79">
            <v>4.6300000000000001E-2</v>
          </cell>
          <cell r="DG79">
            <v>4.6300000000000001E-2</v>
          </cell>
          <cell r="DH79">
            <v>4.6300000000000001E-2</v>
          </cell>
          <cell r="DI79">
            <v>4.6300000000000001E-2</v>
          </cell>
          <cell r="DJ79">
            <v>4.6300000000000001E-2</v>
          </cell>
        </row>
        <row r="80">
          <cell r="C80">
            <v>3120</v>
          </cell>
          <cell r="D80">
            <v>9015</v>
          </cell>
          <cell r="E80" t="str">
            <v>Tractor Trailer Driver</v>
          </cell>
          <cell r="G80" t="str">
            <v>CBA1</v>
          </cell>
          <cell r="H80" t="str">
            <v>RFP CBA</v>
          </cell>
          <cell r="I80">
            <v>59945.599999999999</v>
          </cell>
          <cell r="J80">
            <v>28.82</v>
          </cell>
          <cell r="K80">
            <v>1.7</v>
          </cell>
          <cell r="L80">
            <v>28.82</v>
          </cell>
          <cell r="M80">
            <v>28.82</v>
          </cell>
          <cell r="N80">
            <v>29.02</v>
          </cell>
          <cell r="O80">
            <v>29.02</v>
          </cell>
          <cell r="P80">
            <v>29.02</v>
          </cell>
          <cell r="Q80">
            <v>29.02</v>
          </cell>
          <cell r="R80">
            <v>29.02</v>
          </cell>
          <cell r="S80">
            <v>29.02</v>
          </cell>
          <cell r="T80">
            <v>29.02</v>
          </cell>
          <cell r="U80">
            <v>29.02</v>
          </cell>
          <cell r="V80">
            <v>29.02</v>
          </cell>
          <cell r="W80">
            <v>7.49</v>
          </cell>
          <cell r="X80">
            <v>7.49</v>
          </cell>
          <cell r="Y80">
            <v>7.49</v>
          </cell>
          <cell r="Z80">
            <v>7.49</v>
          </cell>
          <cell r="AA80">
            <v>7.49</v>
          </cell>
          <cell r="AB80">
            <v>7.49</v>
          </cell>
          <cell r="AC80">
            <v>7.49</v>
          </cell>
          <cell r="AD80">
            <v>7.49</v>
          </cell>
          <cell r="AE80">
            <v>7.49</v>
          </cell>
          <cell r="AF80">
            <v>7.49</v>
          </cell>
          <cell r="AG80">
            <v>7.49</v>
          </cell>
          <cell r="AH80">
            <v>1.7</v>
          </cell>
          <cell r="AI80">
            <v>1.7</v>
          </cell>
          <cell r="AJ80">
            <v>1.7</v>
          </cell>
          <cell r="AK80">
            <v>1.7</v>
          </cell>
          <cell r="AL80">
            <v>1.7</v>
          </cell>
          <cell r="AM80">
            <v>1.7</v>
          </cell>
          <cell r="AN80">
            <v>1.7</v>
          </cell>
          <cell r="AO80">
            <v>1.7</v>
          </cell>
          <cell r="AP80">
            <v>1.7</v>
          </cell>
          <cell r="AQ80">
            <v>1.7</v>
          </cell>
          <cell r="AR80">
            <v>1.7</v>
          </cell>
          <cell r="AS80">
            <v>2.7E-2</v>
          </cell>
          <cell r="AT80">
            <v>8000</v>
          </cell>
          <cell r="AU80">
            <v>216</v>
          </cell>
          <cell r="AV80">
            <v>4.6300000000000001E-2</v>
          </cell>
          <cell r="AW80">
            <v>4.6300000000000001E-2</v>
          </cell>
          <cell r="AX80">
            <v>4.6300000000000001E-2</v>
          </cell>
          <cell r="AY80">
            <v>4.6300000000000001E-2</v>
          </cell>
          <cell r="AZ80">
            <v>4.6300000000000001E-2</v>
          </cell>
          <cell r="BA80">
            <v>4.6300000000000001E-2</v>
          </cell>
          <cell r="BB80">
            <v>4.6300000000000001E-2</v>
          </cell>
          <cell r="BC80">
            <v>4.6300000000000001E-2</v>
          </cell>
          <cell r="BD80">
            <v>4.6300000000000001E-2</v>
          </cell>
          <cell r="BE80">
            <v>4.6300000000000001E-2</v>
          </cell>
          <cell r="BF80">
            <v>4.6300000000000001E-2</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O80">
            <v>7.49</v>
          </cell>
          <cell r="CP80">
            <v>7.49</v>
          </cell>
          <cell r="CQ80">
            <v>7.49</v>
          </cell>
          <cell r="CR80">
            <v>7.49</v>
          </cell>
          <cell r="CS80">
            <v>7.49</v>
          </cell>
          <cell r="CT80">
            <v>7.49</v>
          </cell>
          <cell r="CU80">
            <v>7.49</v>
          </cell>
          <cell r="CV80">
            <v>7.49</v>
          </cell>
          <cell r="CW80">
            <v>7.49</v>
          </cell>
          <cell r="CX80">
            <v>7.49</v>
          </cell>
          <cell r="CY80">
            <v>7.49</v>
          </cell>
          <cell r="CZ80">
            <v>4.6300000000000001E-2</v>
          </cell>
          <cell r="DA80">
            <v>4.6300000000000001E-2</v>
          </cell>
          <cell r="DB80">
            <v>4.6300000000000001E-2</v>
          </cell>
          <cell r="DC80">
            <v>4.6300000000000001E-2</v>
          </cell>
          <cell r="DD80">
            <v>4.6300000000000001E-2</v>
          </cell>
          <cell r="DE80">
            <v>4.6300000000000001E-2</v>
          </cell>
          <cell r="DF80">
            <v>4.6300000000000001E-2</v>
          </cell>
          <cell r="DG80">
            <v>4.6300000000000001E-2</v>
          </cell>
          <cell r="DH80">
            <v>4.6300000000000001E-2</v>
          </cell>
          <cell r="DI80">
            <v>4.6300000000000001E-2</v>
          </cell>
          <cell r="DJ80">
            <v>4.6300000000000001E-2</v>
          </cell>
        </row>
        <row r="81">
          <cell r="C81">
            <v>3125</v>
          </cell>
          <cell r="D81">
            <v>9015</v>
          </cell>
          <cell r="E81" t="str">
            <v>Tractor Operator</v>
          </cell>
          <cell r="G81" t="str">
            <v>CBA1</v>
          </cell>
          <cell r="H81" t="str">
            <v>RFP CBA</v>
          </cell>
          <cell r="I81">
            <v>42494.400000000001</v>
          </cell>
          <cell r="J81">
            <v>20.43</v>
          </cell>
          <cell r="K81">
            <v>1.7</v>
          </cell>
          <cell r="L81">
            <v>20.43</v>
          </cell>
          <cell r="M81">
            <v>20.43</v>
          </cell>
          <cell r="N81">
            <v>20.63</v>
          </cell>
          <cell r="O81">
            <v>20.63</v>
          </cell>
          <cell r="P81">
            <v>20.63</v>
          </cell>
          <cell r="Q81">
            <v>20.63</v>
          </cell>
          <cell r="R81">
            <v>20.63</v>
          </cell>
          <cell r="S81">
            <v>20.63</v>
          </cell>
          <cell r="T81">
            <v>20.63</v>
          </cell>
          <cell r="U81">
            <v>20.63</v>
          </cell>
          <cell r="V81">
            <v>20.63</v>
          </cell>
          <cell r="W81">
            <v>7.49</v>
          </cell>
          <cell r="X81">
            <v>7.49</v>
          </cell>
          <cell r="Y81">
            <v>7.49</v>
          </cell>
          <cell r="Z81">
            <v>7.49</v>
          </cell>
          <cell r="AA81">
            <v>7.49</v>
          </cell>
          <cell r="AB81">
            <v>7.49</v>
          </cell>
          <cell r="AC81">
            <v>7.49</v>
          </cell>
          <cell r="AD81">
            <v>7.49</v>
          </cell>
          <cell r="AE81">
            <v>7.49</v>
          </cell>
          <cell r="AF81">
            <v>7.49</v>
          </cell>
          <cell r="AG81">
            <v>7.49</v>
          </cell>
          <cell r="AH81">
            <v>1.7</v>
          </cell>
          <cell r="AI81">
            <v>1.7</v>
          </cell>
          <cell r="AJ81">
            <v>1.7</v>
          </cell>
          <cell r="AK81">
            <v>1.7</v>
          </cell>
          <cell r="AL81">
            <v>1.7</v>
          </cell>
          <cell r="AM81">
            <v>1.7</v>
          </cell>
          <cell r="AN81">
            <v>1.7</v>
          </cell>
          <cell r="AO81">
            <v>1.7</v>
          </cell>
          <cell r="AP81">
            <v>1.7</v>
          </cell>
          <cell r="AQ81">
            <v>1.7</v>
          </cell>
          <cell r="AR81">
            <v>1.7</v>
          </cell>
          <cell r="AS81">
            <v>2.7E-2</v>
          </cell>
          <cell r="AT81">
            <v>8000</v>
          </cell>
          <cell r="AU81">
            <v>216</v>
          </cell>
          <cell r="AV81">
            <v>4.6300000000000001E-2</v>
          </cell>
          <cell r="AW81">
            <v>4.6300000000000001E-2</v>
          </cell>
          <cell r="AX81">
            <v>4.6300000000000001E-2</v>
          </cell>
          <cell r="AY81">
            <v>4.6300000000000001E-2</v>
          </cell>
          <cell r="AZ81">
            <v>4.6300000000000001E-2</v>
          </cell>
          <cell r="BA81">
            <v>4.6300000000000001E-2</v>
          </cell>
          <cell r="BB81">
            <v>4.6300000000000001E-2</v>
          </cell>
          <cell r="BC81">
            <v>4.6300000000000001E-2</v>
          </cell>
          <cell r="BD81">
            <v>4.6300000000000001E-2</v>
          </cell>
          <cell r="BE81">
            <v>4.6300000000000001E-2</v>
          </cell>
          <cell r="BF81">
            <v>4.6300000000000001E-2</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O81">
            <v>7.49</v>
          </cell>
          <cell r="CP81">
            <v>7.49</v>
          </cell>
          <cell r="CQ81">
            <v>7.49</v>
          </cell>
          <cell r="CR81">
            <v>7.49</v>
          </cell>
          <cell r="CS81">
            <v>7.49</v>
          </cell>
          <cell r="CT81">
            <v>7.49</v>
          </cell>
          <cell r="CU81">
            <v>7.49</v>
          </cell>
          <cell r="CV81">
            <v>7.49</v>
          </cell>
          <cell r="CW81">
            <v>7.49</v>
          </cell>
          <cell r="CX81">
            <v>7.49</v>
          </cell>
          <cell r="CY81">
            <v>7.49</v>
          </cell>
          <cell r="CZ81">
            <v>4.6300000000000001E-2</v>
          </cell>
          <cell r="DA81">
            <v>4.6300000000000001E-2</v>
          </cell>
          <cell r="DB81">
            <v>4.6300000000000001E-2</v>
          </cell>
          <cell r="DC81">
            <v>4.6300000000000001E-2</v>
          </cell>
          <cell r="DD81">
            <v>4.6300000000000001E-2</v>
          </cell>
          <cell r="DE81">
            <v>4.6300000000000001E-2</v>
          </cell>
          <cell r="DF81">
            <v>4.6300000000000001E-2</v>
          </cell>
          <cell r="DG81">
            <v>4.6300000000000001E-2</v>
          </cell>
          <cell r="DH81">
            <v>4.6300000000000001E-2</v>
          </cell>
          <cell r="DI81">
            <v>4.6300000000000001E-2</v>
          </cell>
          <cell r="DJ81">
            <v>4.6300000000000001E-2</v>
          </cell>
        </row>
        <row r="82">
          <cell r="C82">
            <v>3130</v>
          </cell>
          <cell r="D82">
            <v>9015</v>
          </cell>
          <cell r="E82" t="str">
            <v>Fork Lift Operator</v>
          </cell>
          <cell r="G82" t="str">
            <v>CBA1</v>
          </cell>
          <cell r="H82" t="str">
            <v>RFP CBA</v>
          </cell>
          <cell r="I82">
            <v>42494.400000000001</v>
          </cell>
          <cell r="J82">
            <v>20.43</v>
          </cell>
          <cell r="K82">
            <v>1.7</v>
          </cell>
          <cell r="L82">
            <v>20.43</v>
          </cell>
          <cell r="M82">
            <v>20.43</v>
          </cell>
          <cell r="N82">
            <v>20.63</v>
          </cell>
          <cell r="O82">
            <v>20.63</v>
          </cell>
          <cell r="P82">
            <v>20.63</v>
          </cell>
          <cell r="Q82">
            <v>20.63</v>
          </cell>
          <cell r="R82">
            <v>20.63</v>
          </cell>
          <cell r="S82">
            <v>20.63</v>
          </cell>
          <cell r="T82">
            <v>20.63</v>
          </cell>
          <cell r="U82">
            <v>20.63</v>
          </cell>
          <cell r="V82">
            <v>20.63</v>
          </cell>
          <cell r="W82">
            <v>7.49</v>
          </cell>
          <cell r="X82">
            <v>7.49</v>
          </cell>
          <cell r="Y82">
            <v>7.49</v>
          </cell>
          <cell r="Z82">
            <v>7.49</v>
          </cell>
          <cell r="AA82">
            <v>7.49</v>
          </cell>
          <cell r="AB82">
            <v>7.49</v>
          </cell>
          <cell r="AC82">
            <v>7.49</v>
          </cell>
          <cell r="AD82">
            <v>7.49</v>
          </cell>
          <cell r="AE82">
            <v>7.49</v>
          </cell>
          <cell r="AF82">
            <v>7.49</v>
          </cell>
          <cell r="AG82">
            <v>7.49</v>
          </cell>
          <cell r="AH82">
            <v>1.7</v>
          </cell>
          <cell r="AI82">
            <v>1.7</v>
          </cell>
          <cell r="AJ82">
            <v>1.7</v>
          </cell>
          <cell r="AK82">
            <v>1.7</v>
          </cell>
          <cell r="AL82">
            <v>1.7</v>
          </cell>
          <cell r="AM82">
            <v>1.7</v>
          </cell>
          <cell r="AN82">
            <v>1.7</v>
          </cell>
          <cell r="AO82">
            <v>1.7</v>
          </cell>
          <cell r="AP82">
            <v>1.7</v>
          </cell>
          <cell r="AQ82">
            <v>1.7</v>
          </cell>
          <cell r="AR82">
            <v>1.7</v>
          </cell>
          <cell r="AS82">
            <v>2.7E-2</v>
          </cell>
          <cell r="AT82">
            <v>8000</v>
          </cell>
          <cell r="AU82">
            <v>216</v>
          </cell>
          <cell r="AV82">
            <v>4.6300000000000001E-2</v>
          </cell>
          <cell r="AW82">
            <v>4.6300000000000001E-2</v>
          </cell>
          <cell r="AX82">
            <v>4.6300000000000001E-2</v>
          </cell>
          <cell r="AY82">
            <v>4.6300000000000001E-2</v>
          </cell>
          <cell r="AZ82">
            <v>4.6300000000000001E-2</v>
          </cell>
          <cell r="BA82">
            <v>4.6300000000000001E-2</v>
          </cell>
          <cell r="BB82">
            <v>4.6300000000000001E-2</v>
          </cell>
          <cell r="BC82">
            <v>4.6300000000000001E-2</v>
          </cell>
          <cell r="BD82">
            <v>4.6300000000000001E-2</v>
          </cell>
          <cell r="BE82">
            <v>4.6300000000000001E-2</v>
          </cell>
          <cell r="BF82">
            <v>4.6300000000000001E-2</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O82">
            <v>7.49</v>
          </cell>
          <cell r="CP82">
            <v>7.49</v>
          </cell>
          <cell r="CQ82">
            <v>7.49</v>
          </cell>
          <cell r="CR82">
            <v>7.49</v>
          </cell>
          <cell r="CS82">
            <v>7.49</v>
          </cell>
          <cell r="CT82">
            <v>7.49</v>
          </cell>
          <cell r="CU82">
            <v>7.49</v>
          </cell>
          <cell r="CV82">
            <v>7.49</v>
          </cell>
          <cell r="CW82">
            <v>7.49</v>
          </cell>
          <cell r="CX82">
            <v>7.49</v>
          </cell>
          <cell r="CY82">
            <v>7.49</v>
          </cell>
          <cell r="CZ82">
            <v>4.6300000000000001E-2</v>
          </cell>
          <cell r="DA82">
            <v>4.6300000000000001E-2</v>
          </cell>
          <cell r="DB82">
            <v>4.6300000000000001E-2</v>
          </cell>
          <cell r="DC82">
            <v>4.6300000000000001E-2</v>
          </cell>
          <cell r="DD82">
            <v>4.6300000000000001E-2</v>
          </cell>
          <cell r="DE82">
            <v>4.6300000000000001E-2</v>
          </cell>
          <cell r="DF82">
            <v>4.6300000000000001E-2</v>
          </cell>
          <cell r="DG82">
            <v>4.6300000000000001E-2</v>
          </cell>
          <cell r="DH82">
            <v>4.6300000000000001E-2</v>
          </cell>
          <cell r="DI82">
            <v>4.6300000000000001E-2</v>
          </cell>
          <cell r="DJ82">
            <v>4.6300000000000001E-2</v>
          </cell>
        </row>
        <row r="83">
          <cell r="C83">
            <v>3135</v>
          </cell>
          <cell r="D83">
            <v>9015</v>
          </cell>
          <cell r="E83" t="str">
            <v>Backflow Pipefitter</v>
          </cell>
          <cell r="G83" t="str">
            <v>CBA1</v>
          </cell>
          <cell r="H83" t="str">
            <v>RFP CBA</v>
          </cell>
          <cell r="I83">
            <v>65644.800000000003</v>
          </cell>
          <cell r="J83">
            <v>31.56</v>
          </cell>
          <cell r="K83">
            <v>1.7</v>
          </cell>
          <cell r="L83">
            <v>31.56</v>
          </cell>
          <cell r="M83">
            <v>31.56</v>
          </cell>
          <cell r="N83">
            <v>31.76</v>
          </cell>
          <cell r="O83">
            <v>31.76</v>
          </cell>
          <cell r="P83">
            <v>31.76</v>
          </cell>
          <cell r="Q83">
            <v>31.76</v>
          </cell>
          <cell r="R83">
            <v>31.76</v>
          </cell>
          <cell r="S83">
            <v>31.76</v>
          </cell>
          <cell r="T83">
            <v>31.76</v>
          </cell>
          <cell r="U83">
            <v>31.76</v>
          </cell>
          <cell r="V83">
            <v>31.76</v>
          </cell>
          <cell r="W83">
            <v>7.49</v>
          </cell>
          <cell r="X83">
            <v>7.49</v>
          </cell>
          <cell r="Y83">
            <v>7.49</v>
          </cell>
          <cell r="Z83">
            <v>7.49</v>
          </cell>
          <cell r="AA83">
            <v>7.49</v>
          </cell>
          <cell r="AB83">
            <v>7.49</v>
          </cell>
          <cell r="AC83">
            <v>7.49</v>
          </cell>
          <cell r="AD83">
            <v>7.49</v>
          </cell>
          <cell r="AE83">
            <v>7.49</v>
          </cell>
          <cell r="AF83">
            <v>7.49</v>
          </cell>
          <cell r="AG83">
            <v>7.49</v>
          </cell>
          <cell r="AH83">
            <v>1.7</v>
          </cell>
          <cell r="AI83">
            <v>1.7</v>
          </cell>
          <cell r="AJ83">
            <v>1.7</v>
          </cell>
          <cell r="AK83">
            <v>1.7</v>
          </cell>
          <cell r="AL83">
            <v>1.7</v>
          </cell>
          <cell r="AM83">
            <v>1.7</v>
          </cell>
          <cell r="AN83">
            <v>1.7</v>
          </cell>
          <cell r="AO83">
            <v>1.7</v>
          </cell>
          <cell r="AP83">
            <v>1.7</v>
          </cell>
          <cell r="AQ83">
            <v>1.7</v>
          </cell>
          <cell r="AR83">
            <v>1.7</v>
          </cell>
          <cell r="AS83">
            <v>2.7E-2</v>
          </cell>
          <cell r="AT83">
            <v>8000</v>
          </cell>
          <cell r="AU83">
            <v>216</v>
          </cell>
          <cell r="AV83">
            <v>4.6300000000000001E-2</v>
          </cell>
          <cell r="AW83">
            <v>4.6300000000000001E-2</v>
          </cell>
          <cell r="AX83">
            <v>4.6300000000000001E-2</v>
          </cell>
          <cell r="AY83">
            <v>4.6300000000000001E-2</v>
          </cell>
          <cell r="AZ83">
            <v>4.6300000000000001E-2</v>
          </cell>
          <cell r="BA83">
            <v>4.6300000000000001E-2</v>
          </cell>
          <cell r="BB83">
            <v>4.6300000000000001E-2</v>
          </cell>
          <cell r="BC83">
            <v>4.6300000000000001E-2</v>
          </cell>
          <cell r="BD83">
            <v>4.6300000000000001E-2</v>
          </cell>
          <cell r="BE83">
            <v>4.6300000000000001E-2</v>
          </cell>
          <cell r="BF83">
            <v>4.6300000000000001E-2</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5</v>
          </cell>
          <cell r="CO83">
            <v>7.49</v>
          </cell>
          <cell r="CP83">
            <v>7.49</v>
          </cell>
          <cell r="CQ83">
            <v>7.49</v>
          </cell>
          <cell r="CR83">
            <v>7.49</v>
          </cell>
          <cell r="CS83">
            <v>7.49</v>
          </cell>
          <cell r="CT83">
            <v>7.49</v>
          </cell>
          <cell r="CU83">
            <v>7.49</v>
          </cell>
          <cell r="CV83">
            <v>7.49</v>
          </cell>
          <cell r="CW83">
            <v>7.49</v>
          </cell>
          <cell r="CX83">
            <v>7.49</v>
          </cell>
          <cell r="CY83">
            <v>7.49</v>
          </cell>
          <cell r="CZ83">
            <v>4.6300000000000001E-2</v>
          </cell>
          <cell r="DA83">
            <v>4.6300000000000001E-2</v>
          </cell>
          <cell r="DB83">
            <v>4.6300000000000001E-2</v>
          </cell>
          <cell r="DC83">
            <v>4.6300000000000001E-2</v>
          </cell>
          <cell r="DD83">
            <v>4.6300000000000001E-2</v>
          </cell>
          <cell r="DE83">
            <v>4.6300000000000001E-2</v>
          </cell>
          <cell r="DF83">
            <v>4.6300000000000001E-2</v>
          </cell>
          <cell r="DG83">
            <v>4.6300000000000001E-2</v>
          </cell>
          <cell r="DH83">
            <v>4.6300000000000001E-2</v>
          </cell>
          <cell r="DI83">
            <v>4.6300000000000001E-2</v>
          </cell>
          <cell r="DJ83">
            <v>4.6300000000000001E-2</v>
          </cell>
        </row>
        <row r="84">
          <cell r="C84">
            <v>3140</v>
          </cell>
          <cell r="D84">
            <v>9015</v>
          </cell>
          <cell r="E84" t="str">
            <v>Generator Mechanic</v>
          </cell>
          <cell r="G84" t="str">
            <v>CBA1</v>
          </cell>
          <cell r="H84" t="str">
            <v>RFP CBA</v>
          </cell>
          <cell r="I84">
            <v>59550.400000000001</v>
          </cell>
          <cell r="J84">
            <v>28.63</v>
          </cell>
          <cell r="K84">
            <v>1.7</v>
          </cell>
          <cell r="L84">
            <v>28.63</v>
          </cell>
          <cell r="M84">
            <v>28.63</v>
          </cell>
          <cell r="N84">
            <v>28.83</v>
          </cell>
          <cell r="O84">
            <v>28.83</v>
          </cell>
          <cell r="P84">
            <v>28.83</v>
          </cell>
          <cell r="Q84">
            <v>28.83</v>
          </cell>
          <cell r="R84">
            <v>28.83</v>
          </cell>
          <cell r="S84">
            <v>28.83</v>
          </cell>
          <cell r="T84">
            <v>28.83</v>
          </cell>
          <cell r="U84">
            <v>28.83</v>
          </cell>
          <cell r="V84">
            <v>28.83</v>
          </cell>
          <cell r="W84">
            <v>7.49</v>
          </cell>
          <cell r="X84">
            <v>7.49</v>
          </cell>
          <cell r="Y84">
            <v>7.49</v>
          </cell>
          <cell r="Z84">
            <v>7.49</v>
          </cell>
          <cell r="AA84">
            <v>7.49</v>
          </cell>
          <cell r="AB84">
            <v>7.49</v>
          </cell>
          <cell r="AC84">
            <v>7.49</v>
          </cell>
          <cell r="AD84">
            <v>7.49</v>
          </cell>
          <cell r="AE84">
            <v>7.49</v>
          </cell>
          <cell r="AF84">
            <v>7.49</v>
          </cell>
          <cell r="AG84">
            <v>7.49</v>
          </cell>
          <cell r="AH84">
            <v>1.7</v>
          </cell>
          <cell r="AI84">
            <v>1.7</v>
          </cell>
          <cell r="AJ84">
            <v>1.7</v>
          </cell>
          <cell r="AK84">
            <v>1.7</v>
          </cell>
          <cell r="AL84">
            <v>1.7</v>
          </cell>
          <cell r="AM84">
            <v>1.7</v>
          </cell>
          <cell r="AN84">
            <v>1.7</v>
          </cell>
          <cell r="AO84">
            <v>1.7</v>
          </cell>
          <cell r="AP84">
            <v>1.7</v>
          </cell>
          <cell r="AQ84">
            <v>1.7</v>
          </cell>
          <cell r="AR84">
            <v>1.7</v>
          </cell>
          <cell r="AS84">
            <v>2.7E-2</v>
          </cell>
          <cell r="AT84">
            <v>8000</v>
          </cell>
          <cell r="AU84">
            <v>216</v>
          </cell>
          <cell r="AV84">
            <v>4.6300000000000001E-2</v>
          </cell>
          <cell r="AW84">
            <v>4.6300000000000001E-2</v>
          </cell>
          <cell r="AX84">
            <v>4.6300000000000001E-2</v>
          </cell>
          <cell r="AY84">
            <v>4.6300000000000001E-2</v>
          </cell>
          <cell r="AZ84">
            <v>4.6300000000000001E-2</v>
          </cell>
          <cell r="BA84">
            <v>4.6300000000000001E-2</v>
          </cell>
          <cell r="BB84">
            <v>4.6300000000000001E-2</v>
          </cell>
          <cell r="BC84">
            <v>4.6300000000000001E-2</v>
          </cell>
          <cell r="BD84">
            <v>4.6300000000000001E-2</v>
          </cell>
          <cell r="BE84">
            <v>4.6300000000000001E-2</v>
          </cell>
          <cell r="BF84">
            <v>4.6300000000000001E-2</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3</v>
          </cell>
          <cell r="CO84">
            <v>7.49</v>
          </cell>
          <cell r="CP84">
            <v>7.49</v>
          </cell>
          <cell r="CQ84">
            <v>7.49</v>
          </cell>
          <cell r="CR84">
            <v>7.49</v>
          </cell>
          <cell r="CS84">
            <v>7.49</v>
          </cell>
          <cell r="CT84">
            <v>7.49</v>
          </cell>
          <cell r="CU84">
            <v>7.49</v>
          </cell>
          <cell r="CV84">
            <v>7.49</v>
          </cell>
          <cell r="CW84">
            <v>7.49</v>
          </cell>
          <cell r="CX84">
            <v>7.49</v>
          </cell>
          <cell r="CY84">
            <v>7.49</v>
          </cell>
          <cell r="CZ84">
            <v>4.6300000000000001E-2</v>
          </cell>
          <cell r="DA84">
            <v>4.6300000000000001E-2</v>
          </cell>
          <cell r="DB84">
            <v>4.6300000000000001E-2</v>
          </cell>
          <cell r="DC84">
            <v>4.6300000000000001E-2</v>
          </cell>
          <cell r="DD84">
            <v>4.6300000000000001E-2</v>
          </cell>
          <cell r="DE84">
            <v>4.6300000000000001E-2</v>
          </cell>
          <cell r="DF84">
            <v>4.6300000000000001E-2</v>
          </cell>
          <cell r="DG84">
            <v>4.6300000000000001E-2</v>
          </cell>
          <cell r="DH84">
            <v>4.6300000000000001E-2</v>
          </cell>
          <cell r="DI84">
            <v>4.6300000000000001E-2</v>
          </cell>
          <cell r="DJ84">
            <v>4.6300000000000001E-2</v>
          </cell>
        </row>
        <row r="85">
          <cell r="C85">
            <v>3145</v>
          </cell>
          <cell r="D85">
            <v>9015</v>
          </cell>
          <cell r="E85" t="str">
            <v>HAZMAT Rate when working or training</v>
          </cell>
          <cell r="G85" t="str">
            <v>CBA1</v>
          </cell>
          <cell r="H85" t="str">
            <v>RFP CBA</v>
          </cell>
          <cell r="I85">
            <v>64937.599999999999</v>
          </cell>
          <cell r="J85">
            <v>31.22</v>
          </cell>
          <cell r="K85">
            <v>1.7</v>
          </cell>
          <cell r="L85">
            <v>31.22</v>
          </cell>
          <cell r="M85">
            <v>31.22</v>
          </cell>
          <cell r="N85">
            <v>31.42</v>
          </cell>
          <cell r="O85">
            <v>31.42</v>
          </cell>
          <cell r="P85">
            <v>31.42</v>
          </cell>
          <cell r="Q85">
            <v>31.42</v>
          </cell>
          <cell r="R85">
            <v>31.42</v>
          </cell>
          <cell r="S85">
            <v>31.42</v>
          </cell>
          <cell r="T85">
            <v>31.42</v>
          </cell>
          <cell r="U85">
            <v>31.42</v>
          </cell>
          <cell r="V85">
            <v>31.42</v>
          </cell>
          <cell r="W85">
            <v>7.49</v>
          </cell>
          <cell r="X85">
            <v>7.49</v>
          </cell>
          <cell r="Y85">
            <v>7.49</v>
          </cell>
          <cell r="Z85">
            <v>7.49</v>
          </cell>
          <cell r="AA85">
            <v>7.49</v>
          </cell>
          <cell r="AB85">
            <v>7.49</v>
          </cell>
          <cell r="AC85">
            <v>7.49</v>
          </cell>
          <cell r="AD85">
            <v>7.49</v>
          </cell>
          <cell r="AE85">
            <v>7.49</v>
          </cell>
          <cell r="AF85">
            <v>7.49</v>
          </cell>
          <cell r="AG85">
            <v>7.49</v>
          </cell>
          <cell r="AH85">
            <v>1.7</v>
          </cell>
          <cell r="AI85">
            <v>1.7</v>
          </cell>
          <cell r="AJ85">
            <v>1.7</v>
          </cell>
          <cell r="AK85">
            <v>1.7</v>
          </cell>
          <cell r="AL85">
            <v>1.7</v>
          </cell>
          <cell r="AM85">
            <v>1.7</v>
          </cell>
          <cell r="AN85">
            <v>1.7</v>
          </cell>
          <cell r="AO85">
            <v>1.7</v>
          </cell>
          <cell r="AP85">
            <v>1.7</v>
          </cell>
          <cell r="AQ85">
            <v>1.7</v>
          </cell>
          <cell r="AR85">
            <v>1.7</v>
          </cell>
          <cell r="AS85">
            <v>2.7E-2</v>
          </cell>
          <cell r="AT85">
            <v>8000</v>
          </cell>
          <cell r="AU85">
            <v>216</v>
          </cell>
          <cell r="AV85">
            <v>4.6300000000000001E-2</v>
          </cell>
          <cell r="AW85">
            <v>4.6300000000000001E-2</v>
          </cell>
          <cell r="AX85">
            <v>4.6300000000000001E-2</v>
          </cell>
          <cell r="AY85">
            <v>4.6300000000000001E-2</v>
          </cell>
          <cell r="AZ85">
            <v>4.6300000000000001E-2</v>
          </cell>
          <cell r="BA85">
            <v>4.6300000000000001E-2</v>
          </cell>
          <cell r="BB85">
            <v>4.6300000000000001E-2</v>
          </cell>
          <cell r="BC85">
            <v>4.6300000000000001E-2</v>
          </cell>
          <cell r="BD85">
            <v>4.6300000000000001E-2</v>
          </cell>
          <cell r="BE85">
            <v>4.6300000000000001E-2</v>
          </cell>
          <cell r="BF85">
            <v>4.6300000000000001E-2</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4</v>
          </cell>
          <cell r="CO85">
            <v>7.49</v>
          </cell>
          <cell r="CP85">
            <v>7.49</v>
          </cell>
          <cell r="CQ85">
            <v>7.49</v>
          </cell>
          <cell r="CR85">
            <v>7.49</v>
          </cell>
          <cell r="CS85">
            <v>7.49</v>
          </cell>
          <cell r="CT85">
            <v>7.49</v>
          </cell>
          <cell r="CU85">
            <v>7.49</v>
          </cell>
          <cell r="CV85">
            <v>7.49</v>
          </cell>
          <cell r="CW85">
            <v>7.49</v>
          </cell>
          <cell r="CX85">
            <v>7.49</v>
          </cell>
          <cell r="CY85">
            <v>7.49</v>
          </cell>
          <cell r="CZ85">
            <v>4.6300000000000001E-2</v>
          </cell>
          <cell r="DA85">
            <v>4.6300000000000001E-2</v>
          </cell>
          <cell r="DB85">
            <v>4.6300000000000001E-2</v>
          </cell>
          <cell r="DC85">
            <v>4.6300000000000001E-2</v>
          </cell>
          <cell r="DD85">
            <v>4.6300000000000001E-2</v>
          </cell>
          <cell r="DE85">
            <v>4.6300000000000001E-2</v>
          </cell>
          <cell r="DF85">
            <v>4.6300000000000001E-2</v>
          </cell>
          <cell r="DG85">
            <v>4.6300000000000001E-2</v>
          </cell>
          <cell r="DH85">
            <v>4.6300000000000001E-2</v>
          </cell>
          <cell r="DI85">
            <v>4.6300000000000001E-2</v>
          </cell>
          <cell r="DJ85">
            <v>4.6300000000000001E-2</v>
          </cell>
        </row>
        <row r="86">
          <cell r="C86">
            <v>3150</v>
          </cell>
          <cell r="D86">
            <v>9015</v>
          </cell>
          <cell r="E86" t="str">
            <v>High Voltage Line Maintainer</v>
          </cell>
          <cell r="G86" t="str">
            <v>CBA1</v>
          </cell>
          <cell r="H86" t="str">
            <v>RFP CBA</v>
          </cell>
          <cell r="I86">
            <v>74505.600000000006</v>
          </cell>
          <cell r="J86">
            <v>35.82</v>
          </cell>
          <cell r="K86">
            <v>1.7</v>
          </cell>
          <cell r="L86">
            <v>35.82</v>
          </cell>
          <cell r="M86">
            <v>35.82</v>
          </cell>
          <cell r="N86">
            <v>36.020000000000003</v>
          </cell>
          <cell r="O86">
            <v>36.020000000000003</v>
          </cell>
          <cell r="P86">
            <v>36.020000000000003</v>
          </cell>
          <cell r="Q86">
            <v>36.020000000000003</v>
          </cell>
          <cell r="R86">
            <v>36.020000000000003</v>
          </cell>
          <cell r="S86">
            <v>36.020000000000003</v>
          </cell>
          <cell r="T86">
            <v>36.020000000000003</v>
          </cell>
          <cell r="U86">
            <v>36.020000000000003</v>
          </cell>
          <cell r="V86">
            <v>36.020000000000003</v>
          </cell>
          <cell r="W86">
            <v>7.49</v>
          </cell>
          <cell r="X86">
            <v>7.49</v>
          </cell>
          <cell r="Y86">
            <v>7.49</v>
          </cell>
          <cell r="Z86">
            <v>7.49</v>
          </cell>
          <cell r="AA86">
            <v>7.49</v>
          </cell>
          <cell r="AB86">
            <v>7.49</v>
          </cell>
          <cell r="AC86">
            <v>7.49</v>
          </cell>
          <cell r="AD86">
            <v>7.49</v>
          </cell>
          <cell r="AE86">
            <v>7.49</v>
          </cell>
          <cell r="AF86">
            <v>7.49</v>
          </cell>
          <cell r="AG86">
            <v>7.49</v>
          </cell>
          <cell r="AH86">
            <v>1.7</v>
          </cell>
          <cell r="AI86">
            <v>1.7</v>
          </cell>
          <cell r="AJ86">
            <v>1.7</v>
          </cell>
          <cell r="AK86">
            <v>1.7</v>
          </cell>
          <cell r="AL86">
            <v>1.7</v>
          </cell>
          <cell r="AM86">
            <v>1.7</v>
          </cell>
          <cell r="AN86">
            <v>1.7</v>
          </cell>
          <cell r="AO86">
            <v>1.7</v>
          </cell>
          <cell r="AP86">
            <v>1.7</v>
          </cell>
          <cell r="AQ86">
            <v>1.7</v>
          </cell>
          <cell r="AR86">
            <v>1.7</v>
          </cell>
          <cell r="AS86">
            <v>2.7E-2</v>
          </cell>
          <cell r="AT86">
            <v>8000</v>
          </cell>
          <cell r="AU86">
            <v>216</v>
          </cell>
          <cell r="AV86">
            <v>4.6300000000000001E-2</v>
          </cell>
          <cell r="AW86">
            <v>4.6300000000000001E-2</v>
          </cell>
          <cell r="AX86">
            <v>4.6300000000000001E-2</v>
          </cell>
          <cell r="AY86">
            <v>4.6300000000000001E-2</v>
          </cell>
          <cell r="AZ86">
            <v>4.6300000000000001E-2</v>
          </cell>
          <cell r="BA86">
            <v>4.6300000000000001E-2</v>
          </cell>
          <cell r="BB86">
            <v>4.6300000000000001E-2</v>
          </cell>
          <cell r="BC86">
            <v>4.6300000000000001E-2</v>
          </cell>
          <cell r="BD86">
            <v>4.6300000000000001E-2</v>
          </cell>
          <cell r="BE86">
            <v>4.6300000000000001E-2</v>
          </cell>
          <cell r="BF86">
            <v>4.6300000000000001E-2</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3</v>
          </cell>
          <cell r="CO86">
            <v>7.49</v>
          </cell>
          <cell r="CP86">
            <v>7.49</v>
          </cell>
          <cell r="CQ86">
            <v>7.49</v>
          </cell>
          <cell r="CR86">
            <v>7.49</v>
          </cell>
          <cell r="CS86">
            <v>7.49</v>
          </cell>
          <cell r="CT86">
            <v>7.49</v>
          </cell>
          <cell r="CU86">
            <v>7.49</v>
          </cell>
          <cell r="CV86">
            <v>7.49</v>
          </cell>
          <cell r="CW86">
            <v>7.49</v>
          </cell>
          <cell r="CX86">
            <v>7.49</v>
          </cell>
          <cell r="CY86">
            <v>7.49</v>
          </cell>
          <cell r="CZ86">
            <v>4.6300000000000001E-2</v>
          </cell>
          <cell r="DA86">
            <v>4.6300000000000001E-2</v>
          </cell>
          <cell r="DB86">
            <v>4.6300000000000001E-2</v>
          </cell>
          <cell r="DC86">
            <v>4.6300000000000001E-2</v>
          </cell>
          <cell r="DD86">
            <v>4.6300000000000001E-2</v>
          </cell>
          <cell r="DE86">
            <v>4.6300000000000001E-2</v>
          </cell>
          <cell r="DF86">
            <v>4.6300000000000001E-2</v>
          </cell>
          <cell r="DG86">
            <v>4.6300000000000001E-2</v>
          </cell>
          <cell r="DH86">
            <v>4.6300000000000001E-2</v>
          </cell>
          <cell r="DI86">
            <v>4.6300000000000001E-2</v>
          </cell>
          <cell r="DJ86">
            <v>4.6300000000000001E-2</v>
          </cell>
        </row>
        <row r="87">
          <cell r="C87">
            <v>3155</v>
          </cell>
          <cell r="D87">
            <v>9015</v>
          </cell>
          <cell r="E87" t="str">
            <v>High Voltage Sub-Station Technician</v>
          </cell>
          <cell r="G87" t="str">
            <v>CBA1</v>
          </cell>
          <cell r="H87" t="str">
            <v>RFP CBA</v>
          </cell>
          <cell r="I87">
            <v>71156.800000000003</v>
          </cell>
          <cell r="J87">
            <v>34.21</v>
          </cell>
          <cell r="K87">
            <v>1.7</v>
          </cell>
          <cell r="L87">
            <v>34.21</v>
          </cell>
          <cell r="M87">
            <v>34.21</v>
          </cell>
          <cell r="N87">
            <v>34.409999999999997</v>
          </cell>
          <cell r="O87">
            <v>34.409999999999997</v>
          </cell>
          <cell r="P87">
            <v>34.409999999999997</v>
          </cell>
          <cell r="Q87">
            <v>34.409999999999997</v>
          </cell>
          <cell r="R87">
            <v>34.409999999999997</v>
          </cell>
          <cell r="S87">
            <v>34.409999999999997</v>
          </cell>
          <cell r="T87">
            <v>34.409999999999997</v>
          </cell>
          <cell r="U87">
            <v>34.409999999999997</v>
          </cell>
          <cell r="V87">
            <v>34.409999999999997</v>
          </cell>
          <cell r="W87">
            <v>7.49</v>
          </cell>
          <cell r="X87">
            <v>7.49</v>
          </cell>
          <cell r="Y87">
            <v>7.49</v>
          </cell>
          <cell r="Z87">
            <v>7.49</v>
          </cell>
          <cell r="AA87">
            <v>7.49</v>
          </cell>
          <cell r="AB87">
            <v>7.49</v>
          </cell>
          <cell r="AC87">
            <v>7.49</v>
          </cell>
          <cell r="AD87">
            <v>7.49</v>
          </cell>
          <cell r="AE87">
            <v>7.49</v>
          </cell>
          <cell r="AF87">
            <v>7.49</v>
          </cell>
          <cell r="AG87">
            <v>7.49</v>
          </cell>
          <cell r="AH87">
            <v>1.7</v>
          </cell>
          <cell r="AI87">
            <v>1.7</v>
          </cell>
          <cell r="AJ87">
            <v>1.7</v>
          </cell>
          <cell r="AK87">
            <v>1.7</v>
          </cell>
          <cell r="AL87">
            <v>1.7</v>
          </cell>
          <cell r="AM87">
            <v>1.7</v>
          </cell>
          <cell r="AN87">
            <v>1.7</v>
          </cell>
          <cell r="AO87">
            <v>1.7</v>
          </cell>
          <cell r="AP87">
            <v>1.7</v>
          </cell>
          <cell r="AQ87">
            <v>1.7</v>
          </cell>
          <cell r="AR87">
            <v>1.7</v>
          </cell>
          <cell r="AS87">
            <v>2.7E-2</v>
          </cell>
          <cell r="AT87">
            <v>8000</v>
          </cell>
          <cell r="AU87">
            <v>216</v>
          </cell>
          <cell r="AV87">
            <v>4.6300000000000001E-2</v>
          </cell>
          <cell r="AW87">
            <v>4.6300000000000001E-2</v>
          </cell>
          <cell r="AX87">
            <v>4.6300000000000001E-2</v>
          </cell>
          <cell r="AY87">
            <v>4.6300000000000001E-2</v>
          </cell>
          <cell r="AZ87">
            <v>4.6300000000000001E-2</v>
          </cell>
          <cell r="BA87">
            <v>4.6300000000000001E-2</v>
          </cell>
          <cell r="BB87">
            <v>4.6300000000000001E-2</v>
          </cell>
          <cell r="BC87">
            <v>4.6300000000000001E-2</v>
          </cell>
          <cell r="BD87">
            <v>4.6300000000000001E-2</v>
          </cell>
          <cell r="BE87">
            <v>4.6300000000000001E-2</v>
          </cell>
          <cell r="BF87">
            <v>4.6300000000000001E-2</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3</v>
          </cell>
          <cell r="CO87">
            <v>7.49</v>
          </cell>
          <cell r="CP87">
            <v>7.49</v>
          </cell>
          <cell r="CQ87">
            <v>7.49</v>
          </cell>
          <cell r="CR87">
            <v>7.49</v>
          </cell>
          <cell r="CS87">
            <v>7.49</v>
          </cell>
          <cell r="CT87">
            <v>7.49</v>
          </cell>
          <cell r="CU87">
            <v>7.49</v>
          </cell>
          <cell r="CV87">
            <v>7.49</v>
          </cell>
          <cell r="CW87">
            <v>7.49</v>
          </cell>
          <cell r="CX87">
            <v>7.49</v>
          </cell>
          <cell r="CY87">
            <v>7.49</v>
          </cell>
          <cell r="CZ87">
            <v>4.6300000000000001E-2</v>
          </cell>
          <cell r="DA87">
            <v>4.6300000000000001E-2</v>
          </cell>
          <cell r="DB87">
            <v>4.6300000000000001E-2</v>
          </cell>
          <cell r="DC87">
            <v>4.6300000000000001E-2</v>
          </cell>
          <cell r="DD87">
            <v>4.6300000000000001E-2</v>
          </cell>
          <cell r="DE87">
            <v>4.6300000000000001E-2</v>
          </cell>
          <cell r="DF87">
            <v>4.6300000000000001E-2</v>
          </cell>
          <cell r="DG87">
            <v>4.6300000000000001E-2</v>
          </cell>
          <cell r="DH87">
            <v>4.6300000000000001E-2</v>
          </cell>
          <cell r="DI87">
            <v>4.6300000000000001E-2</v>
          </cell>
          <cell r="DJ87">
            <v>4.6300000000000001E-2</v>
          </cell>
        </row>
        <row r="88">
          <cell r="C88">
            <v>3160</v>
          </cell>
          <cell r="D88">
            <v>9015</v>
          </cell>
          <cell r="E88" t="str">
            <v>HVAC DDC Controls Technician</v>
          </cell>
          <cell r="G88" t="str">
            <v>CBA1</v>
          </cell>
          <cell r="H88" t="str">
            <v>RFP CBA</v>
          </cell>
          <cell r="I88">
            <v>73174.399999999994</v>
          </cell>
          <cell r="J88">
            <v>35.18</v>
          </cell>
          <cell r="K88">
            <v>1.7</v>
          </cell>
          <cell r="L88">
            <v>35.18</v>
          </cell>
          <cell r="M88">
            <v>35.18</v>
          </cell>
          <cell r="N88">
            <v>35.380000000000003</v>
          </cell>
          <cell r="O88">
            <v>35.380000000000003</v>
          </cell>
          <cell r="P88">
            <v>35.380000000000003</v>
          </cell>
          <cell r="Q88">
            <v>35.380000000000003</v>
          </cell>
          <cell r="R88">
            <v>35.380000000000003</v>
          </cell>
          <cell r="S88">
            <v>35.380000000000003</v>
          </cell>
          <cell r="T88">
            <v>35.380000000000003</v>
          </cell>
          <cell r="U88">
            <v>35.380000000000003</v>
          </cell>
          <cell r="V88">
            <v>35.380000000000003</v>
          </cell>
          <cell r="W88">
            <v>7.49</v>
          </cell>
          <cell r="X88">
            <v>7.49</v>
          </cell>
          <cell r="Y88">
            <v>7.49</v>
          </cell>
          <cell r="Z88">
            <v>7.49</v>
          </cell>
          <cell r="AA88">
            <v>7.49</v>
          </cell>
          <cell r="AB88">
            <v>7.49</v>
          </cell>
          <cell r="AC88">
            <v>7.49</v>
          </cell>
          <cell r="AD88">
            <v>7.49</v>
          </cell>
          <cell r="AE88">
            <v>7.49</v>
          </cell>
          <cell r="AF88">
            <v>7.49</v>
          </cell>
          <cell r="AG88">
            <v>7.49</v>
          </cell>
          <cell r="AH88">
            <v>1.7</v>
          </cell>
          <cell r="AI88">
            <v>1.7</v>
          </cell>
          <cell r="AJ88">
            <v>1.7</v>
          </cell>
          <cell r="AK88">
            <v>1.7</v>
          </cell>
          <cell r="AL88">
            <v>1.7</v>
          </cell>
          <cell r="AM88">
            <v>1.7</v>
          </cell>
          <cell r="AN88">
            <v>1.7</v>
          </cell>
          <cell r="AO88">
            <v>1.7</v>
          </cell>
          <cell r="AP88">
            <v>1.7</v>
          </cell>
          <cell r="AQ88">
            <v>1.7</v>
          </cell>
          <cell r="AR88">
            <v>1.7</v>
          </cell>
          <cell r="AS88">
            <v>2.7E-2</v>
          </cell>
          <cell r="AT88">
            <v>8000</v>
          </cell>
          <cell r="AU88">
            <v>216</v>
          </cell>
          <cell r="AV88">
            <v>4.6300000000000001E-2</v>
          </cell>
          <cell r="AW88">
            <v>4.6300000000000001E-2</v>
          </cell>
          <cell r="AX88">
            <v>4.6300000000000001E-2</v>
          </cell>
          <cell r="AY88">
            <v>4.6300000000000001E-2</v>
          </cell>
          <cell r="AZ88">
            <v>4.6300000000000001E-2</v>
          </cell>
          <cell r="BA88">
            <v>4.6300000000000001E-2</v>
          </cell>
          <cell r="BB88">
            <v>4.6300000000000001E-2</v>
          </cell>
          <cell r="BC88">
            <v>4.6300000000000001E-2</v>
          </cell>
          <cell r="BD88">
            <v>4.6300000000000001E-2</v>
          </cell>
          <cell r="BE88">
            <v>4.6300000000000001E-2</v>
          </cell>
          <cell r="BF88">
            <v>4.6300000000000001E-2</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1</v>
          </cell>
          <cell r="CO88">
            <v>7.49</v>
          </cell>
          <cell r="CP88">
            <v>7.49</v>
          </cell>
          <cell r="CQ88">
            <v>7.49</v>
          </cell>
          <cell r="CR88">
            <v>7.49</v>
          </cell>
          <cell r="CS88">
            <v>7.49</v>
          </cell>
          <cell r="CT88">
            <v>7.49</v>
          </cell>
          <cell r="CU88">
            <v>7.49</v>
          </cell>
          <cell r="CV88">
            <v>7.49</v>
          </cell>
          <cell r="CW88">
            <v>7.49</v>
          </cell>
          <cell r="CX88">
            <v>7.49</v>
          </cell>
          <cell r="CY88">
            <v>7.49</v>
          </cell>
          <cell r="CZ88">
            <v>4.6300000000000001E-2</v>
          </cell>
          <cell r="DA88">
            <v>4.6300000000000001E-2</v>
          </cell>
          <cell r="DB88">
            <v>4.6300000000000001E-2</v>
          </cell>
          <cell r="DC88">
            <v>4.6300000000000001E-2</v>
          </cell>
          <cell r="DD88">
            <v>4.6300000000000001E-2</v>
          </cell>
          <cell r="DE88">
            <v>4.6300000000000001E-2</v>
          </cell>
          <cell r="DF88">
            <v>4.6300000000000001E-2</v>
          </cell>
          <cell r="DG88">
            <v>4.6300000000000001E-2</v>
          </cell>
          <cell r="DH88">
            <v>4.6300000000000001E-2</v>
          </cell>
          <cell r="DI88">
            <v>4.6300000000000001E-2</v>
          </cell>
          <cell r="DJ88">
            <v>4.6300000000000001E-2</v>
          </cell>
        </row>
        <row r="89">
          <cell r="C89">
            <v>3165</v>
          </cell>
          <cell r="D89">
            <v>9015</v>
          </cell>
          <cell r="E89" t="str">
            <v>HVAC Controls Tech/DDC Controls Tech</v>
          </cell>
          <cell r="G89" t="str">
            <v>CBA1</v>
          </cell>
          <cell r="H89" t="str">
            <v>RFP CBA</v>
          </cell>
          <cell r="I89">
            <v>74214.399999999994</v>
          </cell>
          <cell r="J89">
            <v>35.68</v>
          </cell>
          <cell r="K89">
            <v>1.7</v>
          </cell>
          <cell r="L89">
            <v>35.68</v>
          </cell>
          <cell r="M89">
            <v>35.68</v>
          </cell>
          <cell r="N89">
            <v>35.880000000000003</v>
          </cell>
          <cell r="O89">
            <v>35.880000000000003</v>
          </cell>
          <cell r="P89">
            <v>35.880000000000003</v>
          </cell>
          <cell r="Q89">
            <v>35.880000000000003</v>
          </cell>
          <cell r="R89">
            <v>35.880000000000003</v>
          </cell>
          <cell r="S89">
            <v>35.880000000000003</v>
          </cell>
          <cell r="T89">
            <v>35.880000000000003</v>
          </cell>
          <cell r="U89">
            <v>35.880000000000003</v>
          </cell>
          <cell r="V89">
            <v>35.880000000000003</v>
          </cell>
          <cell r="W89">
            <v>7.49</v>
          </cell>
          <cell r="X89">
            <v>7.49</v>
          </cell>
          <cell r="Y89">
            <v>7.49</v>
          </cell>
          <cell r="Z89">
            <v>7.49</v>
          </cell>
          <cell r="AA89">
            <v>7.49</v>
          </cell>
          <cell r="AB89">
            <v>7.49</v>
          </cell>
          <cell r="AC89">
            <v>7.49</v>
          </cell>
          <cell r="AD89">
            <v>7.49</v>
          </cell>
          <cell r="AE89">
            <v>7.49</v>
          </cell>
          <cell r="AF89">
            <v>7.49</v>
          </cell>
          <cell r="AG89">
            <v>7.49</v>
          </cell>
          <cell r="AH89">
            <v>1.7</v>
          </cell>
          <cell r="AI89">
            <v>1.7</v>
          </cell>
          <cell r="AJ89">
            <v>1.7</v>
          </cell>
          <cell r="AK89">
            <v>1.7</v>
          </cell>
          <cell r="AL89">
            <v>1.7</v>
          </cell>
          <cell r="AM89">
            <v>1.7</v>
          </cell>
          <cell r="AN89">
            <v>1.7</v>
          </cell>
          <cell r="AO89">
            <v>1.7</v>
          </cell>
          <cell r="AP89">
            <v>1.7</v>
          </cell>
          <cell r="AQ89">
            <v>1.7</v>
          </cell>
          <cell r="AR89">
            <v>1.7</v>
          </cell>
          <cell r="AS89">
            <v>2.7E-2</v>
          </cell>
          <cell r="AT89">
            <v>8000</v>
          </cell>
          <cell r="AU89">
            <v>216</v>
          </cell>
          <cell r="AV89">
            <v>4.6300000000000001E-2</v>
          </cell>
          <cell r="AW89">
            <v>4.6300000000000001E-2</v>
          </cell>
          <cell r="AX89">
            <v>4.6300000000000001E-2</v>
          </cell>
          <cell r="AY89">
            <v>4.6300000000000001E-2</v>
          </cell>
          <cell r="AZ89">
            <v>4.6300000000000001E-2</v>
          </cell>
          <cell r="BA89">
            <v>4.6300000000000001E-2</v>
          </cell>
          <cell r="BB89">
            <v>4.6300000000000001E-2</v>
          </cell>
          <cell r="BC89">
            <v>4.6300000000000001E-2</v>
          </cell>
          <cell r="BD89">
            <v>4.6300000000000001E-2</v>
          </cell>
          <cell r="BE89">
            <v>4.6300000000000001E-2</v>
          </cell>
          <cell r="BF89">
            <v>4.6300000000000001E-2</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1</v>
          </cell>
          <cell r="CO89">
            <v>7.49</v>
          </cell>
          <cell r="CP89">
            <v>7.49</v>
          </cell>
          <cell r="CQ89">
            <v>7.49</v>
          </cell>
          <cell r="CR89">
            <v>7.49</v>
          </cell>
          <cell r="CS89">
            <v>7.49</v>
          </cell>
          <cell r="CT89">
            <v>7.49</v>
          </cell>
          <cell r="CU89">
            <v>7.49</v>
          </cell>
          <cell r="CV89">
            <v>7.49</v>
          </cell>
          <cell r="CW89">
            <v>7.49</v>
          </cell>
          <cell r="CX89">
            <v>7.49</v>
          </cell>
          <cell r="CY89">
            <v>7.49</v>
          </cell>
          <cell r="CZ89">
            <v>4.6300000000000001E-2</v>
          </cell>
          <cell r="DA89">
            <v>4.6300000000000001E-2</v>
          </cell>
          <cell r="DB89">
            <v>4.6300000000000001E-2</v>
          </cell>
          <cell r="DC89">
            <v>4.6300000000000001E-2</v>
          </cell>
          <cell r="DD89">
            <v>4.6300000000000001E-2</v>
          </cell>
          <cell r="DE89">
            <v>4.6300000000000001E-2</v>
          </cell>
          <cell r="DF89">
            <v>4.6300000000000001E-2</v>
          </cell>
          <cell r="DG89">
            <v>4.6300000000000001E-2</v>
          </cell>
          <cell r="DH89">
            <v>4.6300000000000001E-2</v>
          </cell>
          <cell r="DI89">
            <v>4.6300000000000001E-2</v>
          </cell>
          <cell r="DJ89">
            <v>4.6300000000000001E-2</v>
          </cell>
        </row>
        <row r="90">
          <cell r="C90">
            <v>3170</v>
          </cell>
          <cell r="D90">
            <v>9015</v>
          </cell>
          <cell r="E90" t="str">
            <v>Pipe Cover/Insulator</v>
          </cell>
          <cell r="G90" t="str">
            <v>CBA1</v>
          </cell>
          <cell r="H90" t="str">
            <v>RFP CBA</v>
          </cell>
          <cell r="I90">
            <v>56222.400000000001</v>
          </cell>
          <cell r="J90">
            <v>27.03</v>
          </cell>
          <cell r="K90">
            <v>1.7</v>
          </cell>
          <cell r="L90">
            <v>27.03</v>
          </cell>
          <cell r="M90">
            <v>27.03</v>
          </cell>
          <cell r="N90">
            <v>27.23</v>
          </cell>
          <cell r="O90">
            <v>27.23</v>
          </cell>
          <cell r="P90">
            <v>27.23</v>
          </cell>
          <cell r="Q90">
            <v>27.23</v>
          </cell>
          <cell r="R90">
            <v>27.23</v>
          </cell>
          <cell r="S90">
            <v>27.23</v>
          </cell>
          <cell r="T90">
            <v>27.23</v>
          </cell>
          <cell r="U90">
            <v>27.23</v>
          </cell>
          <cell r="V90">
            <v>27.23</v>
          </cell>
          <cell r="W90">
            <v>7.49</v>
          </cell>
          <cell r="X90">
            <v>7.49</v>
          </cell>
          <cell r="Y90">
            <v>7.49</v>
          </cell>
          <cell r="Z90">
            <v>7.49</v>
          </cell>
          <cell r="AA90">
            <v>7.49</v>
          </cell>
          <cell r="AB90">
            <v>7.49</v>
          </cell>
          <cell r="AC90">
            <v>7.49</v>
          </cell>
          <cell r="AD90">
            <v>7.49</v>
          </cell>
          <cell r="AE90">
            <v>7.49</v>
          </cell>
          <cell r="AF90">
            <v>7.49</v>
          </cell>
          <cell r="AG90">
            <v>7.49</v>
          </cell>
          <cell r="AH90">
            <v>1.7</v>
          </cell>
          <cell r="AI90">
            <v>1.7</v>
          </cell>
          <cell r="AJ90">
            <v>1.7</v>
          </cell>
          <cell r="AK90">
            <v>1.7</v>
          </cell>
          <cell r="AL90">
            <v>1.7</v>
          </cell>
          <cell r="AM90">
            <v>1.7</v>
          </cell>
          <cell r="AN90">
            <v>1.7</v>
          </cell>
          <cell r="AO90">
            <v>1.7</v>
          </cell>
          <cell r="AP90">
            <v>1.7</v>
          </cell>
          <cell r="AQ90">
            <v>1.7</v>
          </cell>
          <cell r="AR90">
            <v>1.7</v>
          </cell>
          <cell r="AS90">
            <v>2.7E-2</v>
          </cell>
          <cell r="AT90">
            <v>8000</v>
          </cell>
          <cell r="AU90">
            <v>216</v>
          </cell>
          <cell r="AV90">
            <v>4.6300000000000001E-2</v>
          </cell>
          <cell r="AW90">
            <v>4.6300000000000001E-2</v>
          </cell>
          <cell r="AX90">
            <v>4.6300000000000001E-2</v>
          </cell>
          <cell r="AY90">
            <v>4.6300000000000001E-2</v>
          </cell>
          <cell r="AZ90">
            <v>4.6300000000000001E-2</v>
          </cell>
          <cell r="BA90">
            <v>4.6300000000000001E-2</v>
          </cell>
          <cell r="BB90">
            <v>4.6300000000000001E-2</v>
          </cell>
          <cell r="BC90">
            <v>4.6300000000000001E-2</v>
          </cell>
          <cell r="BD90">
            <v>4.6300000000000001E-2</v>
          </cell>
          <cell r="BE90">
            <v>4.6300000000000001E-2</v>
          </cell>
          <cell r="BF90">
            <v>4.6300000000000001E-2</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5</v>
          </cell>
          <cell r="CO90">
            <v>7.49</v>
          </cell>
          <cell r="CP90">
            <v>7.49</v>
          </cell>
          <cell r="CQ90">
            <v>7.49</v>
          </cell>
          <cell r="CR90">
            <v>7.49</v>
          </cell>
          <cell r="CS90">
            <v>7.49</v>
          </cell>
          <cell r="CT90">
            <v>7.49</v>
          </cell>
          <cell r="CU90">
            <v>7.49</v>
          </cell>
          <cell r="CV90">
            <v>7.49</v>
          </cell>
          <cell r="CW90">
            <v>7.49</v>
          </cell>
          <cell r="CX90">
            <v>7.49</v>
          </cell>
          <cell r="CY90">
            <v>7.49</v>
          </cell>
          <cell r="CZ90">
            <v>4.6300000000000001E-2</v>
          </cell>
          <cell r="DA90">
            <v>4.6300000000000001E-2</v>
          </cell>
          <cell r="DB90">
            <v>4.6300000000000001E-2</v>
          </cell>
          <cell r="DC90">
            <v>4.6300000000000001E-2</v>
          </cell>
          <cell r="DD90">
            <v>4.6300000000000001E-2</v>
          </cell>
          <cell r="DE90">
            <v>4.6300000000000001E-2</v>
          </cell>
          <cell r="DF90">
            <v>4.6300000000000001E-2</v>
          </cell>
          <cell r="DG90">
            <v>4.6300000000000001E-2</v>
          </cell>
          <cell r="DH90">
            <v>4.6300000000000001E-2</v>
          </cell>
          <cell r="DI90">
            <v>4.6300000000000001E-2</v>
          </cell>
          <cell r="DJ90">
            <v>4.6300000000000001E-2</v>
          </cell>
        </row>
        <row r="91">
          <cell r="C91">
            <v>3175</v>
          </cell>
          <cell r="D91">
            <v>9015</v>
          </cell>
          <cell r="E91" t="str">
            <v>Port Services Mechanic</v>
          </cell>
          <cell r="G91" t="str">
            <v>CBA1</v>
          </cell>
          <cell r="H91" t="str">
            <v>RFP CBA</v>
          </cell>
          <cell r="I91">
            <v>60299.199999999997</v>
          </cell>
          <cell r="J91">
            <v>28.99</v>
          </cell>
          <cell r="K91">
            <v>1.7</v>
          </cell>
          <cell r="L91">
            <v>28.99</v>
          </cell>
          <cell r="M91">
            <v>28.99</v>
          </cell>
          <cell r="N91">
            <v>29.19</v>
          </cell>
          <cell r="O91">
            <v>29.19</v>
          </cell>
          <cell r="P91">
            <v>29.19</v>
          </cell>
          <cell r="Q91">
            <v>29.19</v>
          </cell>
          <cell r="R91">
            <v>29.19</v>
          </cell>
          <cell r="S91">
            <v>29.19</v>
          </cell>
          <cell r="T91">
            <v>29.19</v>
          </cell>
          <cell r="U91">
            <v>29.19</v>
          </cell>
          <cell r="V91">
            <v>29.19</v>
          </cell>
          <cell r="W91">
            <v>7.49</v>
          </cell>
          <cell r="X91">
            <v>7.49</v>
          </cell>
          <cell r="Y91">
            <v>7.49</v>
          </cell>
          <cell r="Z91">
            <v>7.49</v>
          </cell>
          <cell r="AA91">
            <v>7.49</v>
          </cell>
          <cell r="AB91">
            <v>7.49</v>
          </cell>
          <cell r="AC91">
            <v>7.49</v>
          </cell>
          <cell r="AD91">
            <v>7.49</v>
          </cell>
          <cell r="AE91">
            <v>7.49</v>
          </cell>
          <cell r="AF91">
            <v>7.49</v>
          </cell>
          <cell r="AG91">
            <v>7.49</v>
          </cell>
          <cell r="AH91">
            <v>1.7</v>
          </cell>
          <cell r="AI91">
            <v>1.7</v>
          </cell>
          <cell r="AJ91">
            <v>1.7</v>
          </cell>
          <cell r="AK91">
            <v>1.7</v>
          </cell>
          <cell r="AL91">
            <v>1.7</v>
          </cell>
          <cell r="AM91">
            <v>1.7</v>
          </cell>
          <cell r="AN91">
            <v>1.7</v>
          </cell>
          <cell r="AO91">
            <v>1.7</v>
          </cell>
          <cell r="AP91">
            <v>1.7</v>
          </cell>
          <cell r="AQ91">
            <v>1.7</v>
          </cell>
          <cell r="AR91">
            <v>1.7</v>
          </cell>
          <cell r="AS91">
            <v>2.7E-2</v>
          </cell>
          <cell r="AT91">
            <v>8000</v>
          </cell>
          <cell r="AU91">
            <v>216</v>
          </cell>
          <cell r="AV91">
            <v>4.6300000000000001E-2</v>
          </cell>
          <cell r="AW91">
            <v>4.6300000000000001E-2</v>
          </cell>
          <cell r="AX91">
            <v>4.6300000000000001E-2</v>
          </cell>
          <cell r="AY91">
            <v>4.6300000000000001E-2</v>
          </cell>
          <cell r="AZ91">
            <v>4.6300000000000001E-2</v>
          </cell>
          <cell r="BA91">
            <v>4.6300000000000001E-2</v>
          </cell>
          <cell r="BB91">
            <v>4.6300000000000001E-2</v>
          </cell>
          <cell r="BC91">
            <v>4.6300000000000001E-2</v>
          </cell>
          <cell r="BD91">
            <v>4.6300000000000001E-2</v>
          </cell>
          <cell r="BE91">
            <v>4.6300000000000001E-2</v>
          </cell>
          <cell r="BF91">
            <v>4.6300000000000001E-2</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4</v>
          </cell>
          <cell r="CO91">
            <v>7.49</v>
          </cell>
          <cell r="CP91">
            <v>7.49</v>
          </cell>
          <cell r="CQ91">
            <v>7.49</v>
          </cell>
          <cell r="CR91">
            <v>7.49</v>
          </cell>
          <cell r="CS91">
            <v>7.49</v>
          </cell>
          <cell r="CT91">
            <v>7.49</v>
          </cell>
          <cell r="CU91">
            <v>7.49</v>
          </cell>
          <cell r="CV91">
            <v>7.49</v>
          </cell>
          <cell r="CW91">
            <v>7.49</v>
          </cell>
          <cell r="CX91">
            <v>7.49</v>
          </cell>
          <cell r="CY91">
            <v>7.49</v>
          </cell>
          <cell r="CZ91">
            <v>4.6300000000000001E-2</v>
          </cell>
          <cell r="DA91">
            <v>4.6300000000000001E-2</v>
          </cell>
          <cell r="DB91">
            <v>4.6300000000000001E-2</v>
          </cell>
          <cell r="DC91">
            <v>4.6300000000000001E-2</v>
          </cell>
          <cell r="DD91">
            <v>4.6300000000000001E-2</v>
          </cell>
          <cell r="DE91">
            <v>4.6300000000000001E-2</v>
          </cell>
          <cell r="DF91">
            <v>4.6300000000000001E-2</v>
          </cell>
          <cell r="DG91">
            <v>4.6300000000000001E-2</v>
          </cell>
          <cell r="DH91">
            <v>4.6300000000000001E-2</v>
          </cell>
          <cell r="DI91">
            <v>4.6300000000000001E-2</v>
          </cell>
          <cell r="DJ91">
            <v>4.6300000000000001E-2</v>
          </cell>
        </row>
        <row r="92">
          <cell r="C92">
            <v>3180</v>
          </cell>
          <cell r="D92">
            <v>9015</v>
          </cell>
          <cell r="E92" t="str">
            <v>Specialist, Hazardous Waste</v>
          </cell>
          <cell r="G92" t="str">
            <v>CBA1</v>
          </cell>
          <cell r="H92" t="str">
            <v>RFP CBA</v>
          </cell>
          <cell r="I92">
            <v>60257.599999999999</v>
          </cell>
          <cell r="J92">
            <v>28.97</v>
          </cell>
          <cell r="K92">
            <v>1.7</v>
          </cell>
          <cell r="L92">
            <v>28.97</v>
          </cell>
          <cell r="M92">
            <v>28.97</v>
          </cell>
          <cell r="N92">
            <v>29.17</v>
          </cell>
          <cell r="O92">
            <v>29.17</v>
          </cell>
          <cell r="P92">
            <v>29.17</v>
          </cell>
          <cell r="Q92">
            <v>29.17</v>
          </cell>
          <cell r="R92">
            <v>29.17</v>
          </cell>
          <cell r="S92">
            <v>29.17</v>
          </cell>
          <cell r="T92">
            <v>29.17</v>
          </cell>
          <cell r="U92">
            <v>29.17</v>
          </cell>
          <cell r="V92">
            <v>29.17</v>
          </cell>
          <cell r="W92">
            <v>7.49</v>
          </cell>
          <cell r="X92">
            <v>7.49</v>
          </cell>
          <cell r="Y92">
            <v>7.49</v>
          </cell>
          <cell r="Z92">
            <v>7.49</v>
          </cell>
          <cell r="AA92">
            <v>7.49</v>
          </cell>
          <cell r="AB92">
            <v>7.49</v>
          </cell>
          <cell r="AC92">
            <v>7.49</v>
          </cell>
          <cell r="AD92">
            <v>7.49</v>
          </cell>
          <cell r="AE92">
            <v>7.49</v>
          </cell>
          <cell r="AF92">
            <v>7.49</v>
          </cell>
          <cell r="AG92">
            <v>7.49</v>
          </cell>
          <cell r="AH92">
            <v>1.7</v>
          </cell>
          <cell r="AI92">
            <v>1.7</v>
          </cell>
          <cell r="AJ92">
            <v>1.7</v>
          </cell>
          <cell r="AK92">
            <v>1.7</v>
          </cell>
          <cell r="AL92">
            <v>1.7</v>
          </cell>
          <cell r="AM92">
            <v>1.7</v>
          </cell>
          <cell r="AN92">
            <v>1.7</v>
          </cell>
          <cell r="AO92">
            <v>1.7</v>
          </cell>
          <cell r="AP92">
            <v>1.7</v>
          </cell>
          <cell r="AQ92">
            <v>1.7</v>
          </cell>
          <cell r="AR92">
            <v>1.7</v>
          </cell>
          <cell r="AS92">
            <v>2.7E-2</v>
          </cell>
          <cell r="AT92">
            <v>8000</v>
          </cell>
          <cell r="AU92">
            <v>216</v>
          </cell>
          <cell r="AV92">
            <v>4.6300000000000001E-2</v>
          </cell>
          <cell r="AW92">
            <v>4.6300000000000001E-2</v>
          </cell>
          <cell r="AX92">
            <v>4.6300000000000001E-2</v>
          </cell>
          <cell r="AY92">
            <v>4.6300000000000001E-2</v>
          </cell>
          <cell r="AZ92">
            <v>4.6300000000000001E-2</v>
          </cell>
          <cell r="BA92">
            <v>4.6300000000000001E-2</v>
          </cell>
          <cell r="BB92">
            <v>4.6300000000000001E-2</v>
          </cell>
          <cell r="BC92">
            <v>4.6300000000000001E-2</v>
          </cell>
          <cell r="BD92">
            <v>4.6300000000000001E-2</v>
          </cell>
          <cell r="BE92">
            <v>4.6300000000000001E-2</v>
          </cell>
          <cell r="BF92">
            <v>4.6300000000000001E-2</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4</v>
          </cell>
          <cell r="CO92">
            <v>7.49</v>
          </cell>
          <cell r="CP92">
            <v>7.49</v>
          </cell>
          <cell r="CQ92">
            <v>7.49</v>
          </cell>
          <cell r="CR92">
            <v>7.49</v>
          </cell>
          <cell r="CS92">
            <v>7.49</v>
          </cell>
          <cell r="CT92">
            <v>7.49</v>
          </cell>
          <cell r="CU92">
            <v>7.49</v>
          </cell>
          <cell r="CV92">
            <v>7.49</v>
          </cell>
          <cell r="CW92">
            <v>7.49</v>
          </cell>
          <cell r="CX92">
            <v>7.49</v>
          </cell>
          <cell r="CY92">
            <v>7.49</v>
          </cell>
          <cell r="CZ92">
            <v>4.6300000000000001E-2</v>
          </cell>
          <cell r="DA92">
            <v>4.6300000000000001E-2</v>
          </cell>
          <cell r="DB92">
            <v>4.6300000000000001E-2</v>
          </cell>
          <cell r="DC92">
            <v>4.6300000000000001E-2</v>
          </cell>
          <cell r="DD92">
            <v>4.6300000000000001E-2</v>
          </cell>
          <cell r="DE92">
            <v>4.6300000000000001E-2</v>
          </cell>
          <cell r="DF92">
            <v>4.6300000000000001E-2</v>
          </cell>
          <cell r="DG92">
            <v>4.6300000000000001E-2</v>
          </cell>
          <cell r="DH92">
            <v>4.6300000000000001E-2</v>
          </cell>
          <cell r="DI92">
            <v>4.6300000000000001E-2</v>
          </cell>
          <cell r="DJ92">
            <v>4.6300000000000001E-2</v>
          </cell>
        </row>
        <row r="93">
          <cell r="C93">
            <v>3185</v>
          </cell>
          <cell r="D93">
            <v>9015</v>
          </cell>
          <cell r="E93" t="str">
            <v>Lead Pay over Highest Craft Rate in Crew</v>
          </cell>
          <cell r="G93" t="str">
            <v>CBA1</v>
          </cell>
          <cell r="H93" t="str">
            <v>RFP CBA</v>
          </cell>
          <cell r="I93">
            <v>5200</v>
          </cell>
          <cell r="J93">
            <v>2.5</v>
          </cell>
          <cell r="K93">
            <v>1.7</v>
          </cell>
          <cell r="L93">
            <v>2.5</v>
          </cell>
          <cell r="M93">
            <v>2.5</v>
          </cell>
          <cell r="N93">
            <v>2.5</v>
          </cell>
          <cell r="O93">
            <v>2.5</v>
          </cell>
          <cell r="P93">
            <v>2.5</v>
          </cell>
          <cell r="Q93">
            <v>2.5</v>
          </cell>
          <cell r="R93">
            <v>2.5</v>
          </cell>
          <cell r="S93">
            <v>2.5</v>
          </cell>
          <cell r="T93">
            <v>2.5</v>
          </cell>
          <cell r="U93">
            <v>2.5</v>
          </cell>
          <cell r="V93">
            <v>2.5</v>
          </cell>
          <cell r="W93">
            <v>7.49</v>
          </cell>
          <cell r="X93">
            <v>7.49</v>
          </cell>
          <cell r="Y93">
            <v>7.49</v>
          </cell>
          <cell r="Z93">
            <v>7.49</v>
          </cell>
          <cell r="AA93">
            <v>7.49</v>
          </cell>
          <cell r="AB93">
            <v>7.49</v>
          </cell>
          <cell r="AC93">
            <v>7.49</v>
          </cell>
          <cell r="AD93">
            <v>7.49</v>
          </cell>
          <cell r="AE93">
            <v>7.49</v>
          </cell>
          <cell r="AF93">
            <v>7.49</v>
          </cell>
          <cell r="AG93">
            <v>7.49</v>
          </cell>
          <cell r="AH93">
            <v>1.7</v>
          </cell>
          <cell r="AI93">
            <v>1.7</v>
          </cell>
          <cell r="AJ93">
            <v>1.7</v>
          </cell>
          <cell r="AK93">
            <v>1.7</v>
          </cell>
          <cell r="AL93">
            <v>1.7</v>
          </cell>
          <cell r="AM93">
            <v>1.7</v>
          </cell>
          <cell r="AN93">
            <v>1.7</v>
          </cell>
          <cell r="AO93">
            <v>1.7</v>
          </cell>
          <cell r="AP93">
            <v>1.7</v>
          </cell>
          <cell r="AQ93">
            <v>1.7</v>
          </cell>
          <cell r="AR93">
            <v>1.7</v>
          </cell>
          <cell r="AS93">
            <v>2.7E-2</v>
          </cell>
          <cell r="AT93">
            <v>8000</v>
          </cell>
          <cell r="AU93">
            <v>216</v>
          </cell>
          <cell r="AV93">
            <v>4.6300000000000001E-2</v>
          </cell>
          <cell r="AW93">
            <v>4.6300000000000001E-2</v>
          </cell>
          <cell r="AX93">
            <v>4.6300000000000001E-2</v>
          </cell>
          <cell r="AY93">
            <v>4.6300000000000001E-2</v>
          </cell>
          <cell r="AZ93">
            <v>4.6300000000000001E-2</v>
          </cell>
          <cell r="BA93">
            <v>4.6300000000000001E-2</v>
          </cell>
          <cell r="BB93">
            <v>4.6300000000000001E-2</v>
          </cell>
          <cell r="BC93">
            <v>4.6300000000000001E-2</v>
          </cell>
          <cell r="BD93">
            <v>4.6300000000000001E-2</v>
          </cell>
          <cell r="BE93">
            <v>4.6300000000000001E-2</v>
          </cell>
          <cell r="BF93">
            <v>4.6300000000000001E-2</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O93">
            <v>7.49</v>
          </cell>
          <cell r="CP93">
            <v>7.49</v>
          </cell>
          <cell r="CQ93">
            <v>7.49</v>
          </cell>
          <cell r="CR93">
            <v>7.49</v>
          </cell>
          <cell r="CS93">
            <v>7.49</v>
          </cell>
          <cell r="CT93">
            <v>7.49</v>
          </cell>
          <cell r="CU93">
            <v>7.49</v>
          </cell>
          <cell r="CV93">
            <v>7.49</v>
          </cell>
          <cell r="CW93">
            <v>7.49</v>
          </cell>
          <cell r="CX93">
            <v>7.49</v>
          </cell>
          <cell r="CY93">
            <v>7.49</v>
          </cell>
          <cell r="CZ93">
            <v>4.6300000000000001E-2</v>
          </cell>
          <cell r="DA93">
            <v>4.6300000000000001E-2</v>
          </cell>
          <cell r="DB93">
            <v>4.6300000000000001E-2</v>
          </cell>
          <cell r="DC93">
            <v>4.6300000000000001E-2</v>
          </cell>
          <cell r="DD93">
            <v>4.6300000000000001E-2</v>
          </cell>
          <cell r="DE93">
            <v>4.6300000000000001E-2</v>
          </cell>
          <cell r="DF93">
            <v>4.6300000000000001E-2</v>
          </cell>
          <cell r="DG93">
            <v>4.6300000000000001E-2</v>
          </cell>
          <cell r="DH93">
            <v>4.6300000000000001E-2</v>
          </cell>
          <cell r="DI93">
            <v>4.6300000000000001E-2</v>
          </cell>
          <cell r="DJ93">
            <v>4.6300000000000001E-2</v>
          </cell>
        </row>
        <row r="94">
          <cell r="C94">
            <v>3190</v>
          </cell>
          <cell r="D94">
            <v>9015</v>
          </cell>
          <cell r="E94" t="str">
            <v>License Differential</v>
          </cell>
          <cell r="G94" t="str">
            <v>CBA1</v>
          </cell>
          <cell r="H94" t="str">
            <v>RFP CBA</v>
          </cell>
          <cell r="I94">
            <v>2600</v>
          </cell>
          <cell r="J94">
            <v>1.25</v>
          </cell>
          <cell r="K94">
            <v>1.7</v>
          </cell>
          <cell r="L94">
            <v>1.25</v>
          </cell>
          <cell r="M94">
            <v>1.25</v>
          </cell>
          <cell r="N94">
            <v>1.25</v>
          </cell>
          <cell r="O94">
            <v>1.25</v>
          </cell>
          <cell r="P94">
            <v>1.25</v>
          </cell>
          <cell r="Q94">
            <v>1.25</v>
          </cell>
          <cell r="R94">
            <v>1.25</v>
          </cell>
          <cell r="S94">
            <v>1.25</v>
          </cell>
          <cell r="T94">
            <v>1.25</v>
          </cell>
          <cell r="U94">
            <v>1.25</v>
          </cell>
          <cell r="V94">
            <v>1.25</v>
          </cell>
          <cell r="W94">
            <v>7.49</v>
          </cell>
          <cell r="X94">
            <v>7.49</v>
          </cell>
          <cell r="Y94">
            <v>7.49</v>
          </cell>
          <cell r="Z94">
            <v>7.49</v>
          </cell>
          <cell r="AA94">
            <v>7.49</v>
          </cell>
          <cell r="AB94">
            <v>7.49</v>
          </cell>
          <cell r="AC94">
            <v>7.49</v>
          </cell>
          <cell r="AD94">
            <v>7.49</v>
          </cell>
          <cell r="AE94">
            <v>7.49</v>
          </cell>
          <cell r="AF94">
            <v>7.49</v>
          </cell>
          <cell r="AG94">
            <v>7.49</v>
          </cell>
          <cell r="AH94">
            <v>1.7</v>
          </cell>
          <cell r="AI94">
            <v>1.7</v>
          </cell>
          <cell r="AJ94">
            <v>1.7</v>
          </cell>
          <cell r="AK94">
            <v>1.7</v>
          </cell>
          <cell r="AL94">
            <v>1.7</v>
          </cell>
          <cell r="AM94">
            <v>1.7</v>
          </cell>
          <cell r="AN94">
            <v>1.7</v>
          </cell>
          <cell r="AO94">
            <v>1.7</v>
          </cell>
          <cell r="AP94">
            <v>1.7</v>
          </cell>
          <cell r="AQ94">
            <v>1.7</v>
          </cell>
          <cell r="AR94">
            <v>1.7</v>
          </cell>
          <cell r="AS94">
            <v>2.7E-2</v>
          </cell>
          <cell r="AT94">
            <v>8000</v>
          </cell>
          <cell r="AU94">
            <v>216</v>
          </cell>
          <cell r="AV94">
            <v>4.6300000000000001E-2</v>
          </cell>
          <cell r="AW94">
            <v>4.6300000000000001E-2</v>
          </cell>
          <cell r="AX94">
            <v>4.6300000000000001E-2</v>
          </cell>
          <cell r="AY94">
            <v>4.6300000000000001E-2</v>
          </cell>
          <cell r="AZ94">
            <v>4.6300000000000001E-2</v>
          </cell>
          <cell r="BA94">
            <v>4.6300000000000001E-2</v>
          </cell>
          <cell r="BB94">
            <v>4.6300000000000001E-2</v>
          </cell>
          <cell r="BC94">
            <v>4.6300000000000001E-2</v>
          </cell>
          <cell r="BD94">
            <v>4.6300000000000001E-2</v>
          </cell>
          <cell r="BE94">
            <v>4.6300000000000001E-2</v>
          </cell>
          <cell r="BF94">
            <v>4.6300000000000001E-2</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O94">
            <v>7.49</v>
          </cell>
          <cell r="CP94">
            <v>7.49</v>
          </cell>
          <cell r="CQ94">
            <v>7.49</v>
          </cell>
          <cell r="CR94">
            <v>7.49</v>
          </cell>
          <cell r="CS94">
            <v>7.49</v>
          </cell>
          <cell r="CT94">
            <v>7.49</v>
          </cell>
          <cell r="CU94">
            <v>7.49</v>
          </cell>
          <cell r="CV94">
            <v>7.49</v>
          </cell>
          <cell r="CW94">
            <v>7.49</v>
          </cell>
          <cell r="CX94">
            <v>7.49</v>
          </cell>
          <cell r="CY94">
            <v>7.49</v>
          </cell>
          <cell r="CZ94">
            <v>4.6300000000000001E-2</v>
          </cell>
          <cell r="DA94">
            <v>4.6300000000000001E-2</v>
          </cell>
          <cell r="DB94">
            <v>4.6300000000000001E-2</v>
          </cell>
          <cell r="DC94">
            <v>4.6300000000000001E-2</v>
          </cell>
          <cell r="DD94">
            <v>4.6300000000000001E-2</v>
          </cell>
          <cell r="DE94">
            <v>4.6300000000000001E-2</v>
          </cell>
          <cell r="DF94">
            <v>4.6300000000000001E-2</v>
          </cell>
          <cell r="DG94">
            <v>4.6300000000000001E-2</v>
          </cell>
          <cell r="DH94">
            <v>4.6300000000000001E-2</v>
          </cell>
          <cell r="DI94">
            <v>4.6300000000000001E-2</v>
          </cell>
          <cell r="DJ94">
            <v>4.6300000000000001E-2</v>
          </cell>
        </row>
        <row r="95">
          <cell r="C95">
            <v>3195</v>
          </cell>
          <cell r="D95">
            <v>9015</v>
          </cell>
          <cell r="E95" t="str">
            <v>OSOT Rate Differential over Employee's Rate</v>
          </cell>
          <cell r="G95" t="str">
            <v>CBA1</v>
          </cell>
          <cell r="H95" t="str">
            <v>RFP CBA</v>
          </cell>
          <cell r="I95">
            <v>728</v>
          </cell>
          <cell r="J95">
            <v>0.35</v>
          </cell>
          <cell r="K95">
            <v>1.7</v>
          </cell>
          <cell r="L95">
            <v>0.35</v>
          </cell>
          <cell r="M95">
            <v>0.35</v>
          </cell>
          <cell r="N95">
            <v>0.35</v>
          </cell>
          <cell r="O95">
            <v>0.35</v>
          </cell>
          <cell r="P95">
            <v>0.35</v>
          </cell>
          <cell r="Q95">
            <v>0.35</v>
          </cell>
          <cell r="R95">
            <v>0.35</v>
          </cell>
          <cell r="S95">
            <v>0.35</v>
          </cell>
          <cell r="T95">
            <v>0.35</v>
          </cell>
          <cell r="U95">
            <v>0.35</v>
          </cell>
          <cell r="V95">
            <v>0.35</v>
          </cell>
          <cell r="W95">
            <v>7.49</v>
          </cell>
          <cell r="X95">
            <v>7.49</v>
          </cell>
          <cell r="Y95">
            <v>7.49</v>
          </cell>
          <cell r="Z95">
            <v>7.49</v>
          </cell>
          <cell r="AA95">
            <v>7.49</v>
          </cell>
          <cell r="AB95">
            <v>7.49</v>
          </cell>
          <cell r="AC95">
            <v>7.49</v>
          </cell>
          <cell r="AD95">
            <v>7.49</v>
          </cell>
          <cell r="AE95">
            <v>7.49</v>
          </cell>
          <cell r="AF95">
            <v>7.49</v>
          </cell>
          <cell r="AG95">
            <v>7.49</v>
          </cell>
          <cell r="AH95">
            <v>1.7</v>
          </cell>
          <cell r="AI95">
            <v>1.7</v>
          </cell>
          <cell r="AJ95">
            <v>1.7</v>
          </cell>
          <cell r="AK95">
            <v>1.7</v>
          </cell>
          <cell r="AL95">
            <v>1.7</v>
          </cell>
          <cell r="AM95">
            <v>1.7</v>
          </cell>
          <cell r="AN95">
            <v>1.7</v>
          </cell>
          <cell r="AO95">
            <v>1.7</v>
          </cell>
          <cell r="AP95">
            <v>1.7</v>
          </cell>
          <cell r="AQ95">
            <v>1.7</v>
          </cell>
          <cell r="AR95">
            <v>1.7</v>
          </cell>
          <cell r="AS95">
            <v>2.7E-2</v>
          </cell>
          <cell r="AT95">
            <v>8000</v>
          </cell>
          <cell r="AU95">
            <v>216</v>
          </cell>
          <cell r="AV95">
            <v>4.6300000000000001E-2</v>
          </cell>
          <cell r="AW95">
            <v>4.6300000000000001E-2</v>
          </cell>
          <cell r="AX95">
            <v>4.6300000000000001E-2</v>
          </cell>
          <cell r="AY95">
            <v>4.6300000000000001E-2</v>
          </cell>
          <cell r="AZ95">
            <v>4.6300000000000001E-2</v>
          </cell>
          <cell r="BA95">
            <v>4.6300000000000001E-2</v>
          </cell>
          <cell r="BB95">
            <v>4.6300000000000001E-2</v>
          </cell>
          <cell r="BC95">
            <v>4.6300000000000001E-2</v>
          </cell>
          <cell r="BD95">
            <v>4.6300000000000001E-2</v>
          </cell>
          <cell r="BE95">
            <v>4.6300000000000001E-2</v>
          </cell>
          <cell r="BF95">
            <v>4.6300000000000001E-2</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O95">
            <v>7.49</v>
          </cell>
          <cell r="CP95">
            <v>7.49</v>
          </cell>
          <cell r="CQ95">
            <v>7.49</v>
          </cell>
          <cell r="CR95">
            <v>7.49</v>
          </cell>
          <cell r="CS95">
            <v>7.49</v>
          </cell>
          <cell r="CT95">
            <v>7.49</v>
          </cell>
          <cell r="CU95">
            <v>7.49</v>
          </cell>
          <cell r="CV95">
            <v>7.49</v>
          </cell>
          <cell r="CW95">
            <v>7.49</v>
          </cell>
          <cell r="CX95">
            <v>7.49</v>
          </cell>
          <cell r="CY95">
            <v>7.49</v>
          </cell>
          <cell r="CZ95">
            <v>4.6300000000000001E-2</v>
          </cell>
          <cell r="DA95">
            <v>4.6300000000000001E-2</v>
          </cell>
          <cell r="DB95">
            <v>4.6300000000000001E-2</v>
          </cell>
          <cell r="DC95">
            <v>4.6300000000000001E-2</v>
          </cell>
          <cell r="DD95">
            <v>4.6300000000000001E-2</v>
          </cell>
          <cell r="DE95">
            <v>4.6300000000000001E-2</v>
          </cell>
          <cell r="DF95">
            <v>4.6300000000000001E-2</v>
          </cell>
          <cell r="DG95">
            <v>4.6300000000000001E-2</v>
          </cell>
          <cell r="DH95">
            <v>4.6300000000000001E-2</v>
          </cell>
          <cell r="DI95">
            <v>4.6300000000000001E-2</v>
          </cell>
          <cell r="DJ95">
            <v>4.6300000000000001E-2</v>
          </cell>
        </row>
        <row r="96">
          <cell r="C96">
            <v>3200</v>
          </cell>
          <cell r="D96">
            <v>9015</v>
          </cell>
          <cell r="E96" t="str">
            <v>Fire Alarm System Mechanic</v>
          </cell>
          <cell r="G96" t="str">
            <v>CBA1</v>
          </cell>
          <cell r="H96" t="str">
            <v>RFP CBA</v>
          </cell>
          <cell r="I96">
            <v>69617.599999999991</v>
          </cell>
          <cell r="J96">
            <v>33.47</v>
          </cell>
          <cell r="K96">
            <v>1.7</v>
          </cell>
          <cell r="L96">
            <v>33.47</v>
          </cell>
          <cell r="M96">
            <v>33.47</v>
          </cell>
          <cell r="N96">
            <v>33.47</v>
          </cell>
          <cell r="O96">
            <v>33.47</v>
          </cell>
          <cell r="P96">
            <v>33.47</v>
          </cell>
          <cell r="Q96">
            <v>33.47</v>
          </cell>
          <cell r="R96">
            <v>33.47</v>
          </cell>
          <cell r="S96">
            <v>33.47</v>
          </cell>
          <cell r="T96">
            <v>33.47</v>
          </cell>
          <cell r="U96">
            <v>33.47</v>
          </cell>
          <cell r="V96">
            <v>33.47</v>
          </cell>
          <cell r="W96">
            <v>7.49</v>
          </cell>
          <cell r="X96">
            <v>7.49</v>
          </cell>
          <cell r="Y96">
            <v>7.49</v>
          </cell>
          <cell r="Z96">
            <v>7.49</v>
          </cell>
          <cell r="AA96">
            <v>7.49</v>
          </cell>
          <cell r="AB96">
            <v>7.49</v>
          </cell>
          <cell r="AC96">
            <v>7.49</v>
          </cell>
          <cell r="AD96">
            <v>7.49</v>
          </cell>
          <cell r="AE96">
            <v>7.49</v>
          </cell>
          <cell r="AF96">
            <v>7.49</v>
          </cell>
          <cell r="AG96">
            <v>7.49</v>
          </cell>
          <cell r="AH96">
            <v>1.7</v>
          </cell>
          <cell r="AI96">
            <v>1.7</v>
          </cell>
          <cell r="AJ96">
            <v>1.7</v>
          </cell>
          <cell r="AK96">
            <v>1.7</v>
          </cell>
          <cell r="AL96">
            <v>1.7</v>
          </cell>
          <cell r="AM96">
            <v>1.7</v>
          </cell>
          <cell r="AN96">
            <v>1.7</v>
          </cell>
          <cell r="AO96">
            <v>1.7</v>
          </cell>
          <cell r="AP96">
            <v>1.7</v>
          </cell>
          <cell r="AQ96">
            <v>1.7</v>
          </cell>
          <cell r="AR96">
            <v>1.7</v>
          </cell>
          <cell r="AS96">
            <v>2.7E-2</v>
          </cell>
          <cell r="AT96">
            <v>8000</v>
          </cell>
          <cell r="AU96">
            <v>216</v>
          </cell>
          <cell r="AV96">
            <v>4.6300000000000001E-2</v>
          </cell>
          <cell r="AW96">
            <v>4.6300000000000001E-2</v>
          </cell>
          <cell r="AX96">
            <v>4.6300000000000001E-2</v>
          </cell>
          <cell r="AY96">
            <v>4.6300000000000001E-2</v>
          </cell>
          <cell r="AZ96">
            <v>4.6300000000000001E-2</v>
          </cell>
          <cell r="BA96">
            <v>4.6300000000000001E-2</v>
          </cell>
          <cell r="BB96">
            <v>4.6300000000000001E-2</v>
          </cell>
          <cell r="BC96">
            <v>4.6300000000000001E-2</v>
          </cell>
          <cell r="BD96">
            <v>4.6300000000000001E-2</v>
          </cell>
          <cell r="BE96">
            <v>4.6300000000000001E-2</v>
          </cell>
          <cell r="BF96">
            <v>4.6300000000000001E-2</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3</v>
          </cell>
          <cell r="CO96">
            <v>7.49</v>
          </cell>
          <cell r="CP96">
            <v>7.49</v>
          </cell>
          <cell r="CQ96">
            <v>7.49</v>
          </cell>
          <cell r="CR96">
            <v>7.49</v>
          </cell>
          <cell r="CS96">
            <v>7.49</v>
          </cell>
          <cell r="CT96">
            <v>7.49</v>
          </cell>
          <cell r="CU96">
            <v>7.49</v>
          </cell>
          <cell r="CV96">
            <v>7.49</v>
          </cell>
          <cell r="CW96">
            <v>7.49</v>
          </cell>
          <cell r="CX96">
            <v>7.49</v>
          </cell>
          <cell r="CY96">
            <v>7.49</v>
          </cell>
          <cell r="CZ96">
            <v>4.6300000000000001E-2</v>
          </cell>
          <cell r="DA96">
            <v>4.6300000000000001E-2</v>
          </cell>
          <cell r="DB96">
            <v>4.6300000000000001E-2</v>
          </cell>
          <cell r="DC96">
            <v>4.6300000000000001E-2</v>
          </cell>
          <cell r="DD96">
            <v>4.6300000000000001E-2</v>
          </cell>
          <cell r="DE96">
            <v>4.6300000000000001E-2</v>
          </cell>
          <cell r="DF96">
            <v>4.6300000000000001E-2</v>
          </cell>
          <cell r="DG96">
            <v>4.6300000000000001E-2</v>
          </cell>
          <cell r="DH96">
            <v>4.6300000000000001E-2</v>
          </cell>
          <cell r="DI96">
            <v>4.6300000000000001E-2</v>
          </cell>
          <cell r="DJ96">
            <v>4.6300000000000001E-2</v>
          </cell>
        </row>
        <row r="97">
          <cell r="C97">
            <v>3205</v>
          </cell>
          <cell r="D97">
            <v>9015</v>
          </cell>
          <cell r="E97" t="str">
            <v>Master Plumber</v>
          </cell>
          <cell r="G97" t="str">
            <v>CBA1</v>
          </cell>
          <cell r="H97" t="str">
            <v>RFP CBA</v>
          </cell>
          <cell r="I97">
            <v>65520</v>
          </cell>
          <cell r="J97">
            <v>31.5</v>
          </cell>
          <cell r="K97">
            <v>1.7</v>
          </cell>
          <cell r="L97">
            <v>31.5</v>
          </cell>
          <cell r="M97">
            <v>31.5</v>
          </cell>
          <cell r="N97">
            <v>31.5</v>
          </cell>
          <cell r="O97">
            <v>31.5</v>
          </cell>
          <cell r="P97">
            <v>31.5</v>
          </cell>
          <cell r="Q97">
            <v>31.5</v>
          </cell>
          <cell r="R97">
            <v>31.5</v>
          </cell>
          <cell r="S97">
            <v>31.5</v>
          </cell>
          <cell r="T97">
            <v>31.5</v>
          </cell>
          <cell r="U97">
            <v>31.5</v>
          </cell>
          <cell r="V97">
            <v>31.5</v>
          </cell>
          <cell r="W97">
            <v>7.49</v>
          </cell>
          <cell r="X97">
            <v>7.49</v>
          </cell>
          <cell r="Y97">
            <v>7.49</v>
          </cell>
          <cell r="Z97">
            <v>7.49</v>
          </cell>
          <cell r="AA97">
            <v>7.49</v>
          </cell>
          <cell r="AB97">
            <v>7.49</v>
          </cell>
          <cell r="AC97">
            <v>7.49</v>
          </cell>
          <cell r="AD97">
            <v>7.49</v>
          </cell>
          <cell r="AE97">
            <v>7.49</v>
          </cell>
          <cell r="AF97">
            <v>7.49</v>
          </cell>
          <cell r="AG97">
            <v>7.49</v>
          </cell>
          <cell r="AH97">
            <v>1.7</v>
          </cell>
          <cell r="AI97">
            <v>1.7</v>
          </cell>
          <cell r="AJ97">
            <v>1.7</v>
          </cell>
          <cell r="AK97">
            <v>1.7</v>
          </cell>
          <cell r="AL97">
            <v>1.7</v>
          </cell>
          <cell r="AM97">
            <v>1.7</v>
          </cell>
          <cell r="AN97">
            <v>1.7</v>
          </cell>
          <cell r="AO97">
            <v>1.7</v>
          </cell>
          <cell r="AP97">
            <v>1.7</v>
          </cell>
          <cell r="AQ97">
            <v>1.7</v>
          </cell>
          <cell r="AR97">
            <v>1.7</v>
          </cell>
          <cell r="AS97">
            <v>2.7E-2</v>
          </cell>
          <cell r="AT97">
            <v>8000</v>
          </cell>
          <cell r="AU97">
            <v>216</v>
          </cell>
          <cell r="AV97">
            <v>4.6300000000000001E-2</v>
          </cell>
          <cell r="AW97">
            <v>4.6300000000000001E-2</v>
          </cell>
          <cell r="AX97">
            <v>4.6300000000000001E-2</v>
          </cell>
          <cell r="AY97">
            <v>4.6300000000000001E-2</v>
          </cell>
          <cell r="AZ97">
            <v>4.6300000000000001E-2</v>
          </cell>
          <cell r="BA97">
            <v>4.6300000000000001E-2</v>
          </cell>
          <cell r="BB97">
            <v>4.6300000000000001E-2</v>
          </cell>
          <cell r="BC97">
            <v>4.6300000000000001E-2</v>
          </cell>
          <cell r="BD97">
            <v>4.6300000000000001E-2</v>
          </cell>
          <cell r="BE97">
            <v>4.6300000000000001E-2</v>
          </cell>
          <cell r="BF97">
            <v>4.6300000000000001E-2</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5</v>
          </cell>
          <cell r="CO97">
            <v>7.49</v>
          </cell>
          <cell r="CP97">
            <v>7.49</v>
          </cell>
          <cell r="CQ97">
            <v>7.49</v>
          </cell>
          <cell r="CR97">
            <v>7.49</v>
          </cell>
          <cell r="CS97">
            <v>7.49</v>
          </cell>
          <cell r="CT97">
            <v>7.49</v>
          </cell>
          <cell r="CU97">
            <v>7.49</v>
          </cell>
          <cell r="CV97">
            <v>7.49</v>
          </cell>
          <cell r="CW97">
            <v>7.49</v>
          </cell>
          <cell r="CX97">
            <v>7.49</v>
          </cell>
          <cell r="CY97">
            <v>7.49</v>
          </cell>
          <cell r="CZ97">
            <v>4.6300000000000001E-2</v>
          </cell>
          <cell r="DA97">
            <v>4.6300000000000001E-2</v>
          </cell>
          <cell r="DB97">
            <v>4.6300000000000001E-2</v>
          </cell>
          <cell r="DC97">
            <v>4.6300000000000001E-2</v>
          </cell>
          <cell r="DD97">
            <v>4.6300000000000001E-2</v>
          </cell>
          <cell r="DE97">
            <v>4.6300000000000001E-2</v>
          </cell>
          <cell r="DF97">
            <v>4.6300000000000001E-2</v>
          </cell>
          <cell r="DG97">
            <v>4.6300000000000001E-2</v>
          </cell>
          <cell r="DH97">
            <v>4.6300000000000001E-2</v>
          </cell>
          <cell r="DI97">
            <v>4.6300000000000001E-2</v>
          </cell>
          <cell r="DJ97">
            <v>4.6300000000000001E-2</v>
          </cell>
        </row>
        <row r="98">
          <cell r="C98">
            <v>3210</v>
          </cell>
          <cell r="D98">
            <v>9015</v>
          </cell>
          <cell r="E98" t="str">
            <v>Electrician Trades Lead</v>
          </cell>
          <cell r="G98" t="str">
            <v>CBA1</v>
          </cell>
          <cell r="H98" t="str">
            <v>RFP CBA</v>
          </cell>
          <cell r="I98">
            <v>74817.599999999991</v>
          </cell>
          <cell r="J98">
            <v>35.97</v>
          </cell>
          <cell r="K98">
            <v>1.7</v>
          </cell>
          <cell r="L98">
            <v>35.97</v>
          </cell>
          <cell r="M98">
            <v>35.97</v>
          </cell>
          <cell r="N98">
            <v>35.97</v>
          </cell>
          <cell r="O98">
            <v>35.97</v>
          </cell>
          <cell r="P98">
            <v>35.97</v>
          </cell>
          <cell r="Q98">
            <v>35.97</v>
          </cell>
          <cell r="R98">
            <v>35.97</v>
          </cell>
          <cell r="S98">
            <v>35.97</v>
          </cell>
          <cell r="T98">
            <v>35.97</v>
          </cell>
          <cell r="U98">
            <v>35.97</v>
          </cell>
          <cell r="V98">
            <v>35.97</v>
          </cell>
          <cell r="W98">
            <v>7.49</v>
          </cell>
          <cell r="X98">
            <v>7.49</v>
          </cell>
          <cell r="Y98">
            <v>7.49</v>
          </cell>
          <cell r="Z98">
            <v>7.49</v>
          </cell>
          <cell r="AA98">
            <v>7.49</v>
          </cell>
          <cell r="AB98">
            <v>7.49</v>
          </cell>
          <cell r="AC98">
            <v>7.49</v>
          </cell>
          <cell r="AD98">
            <v>7.49</v>
          </cell>
          <cell r="AE98">
            <v>7.49</v>
          </cell>
          <cell r="AF98">
            <v>7.49</v>
          </cell>
          <cell r="AG98">
            <v>7.49</v>
          </cell>
          <cell r="AH98">
            <v>1.7</v>
          </cell>
          <cell r="AI98">
            <v>1.7</v>
          </cell>
          <cell r="AJ98">
            <v>1.7</v>
          </cell>
          <cell r="AK98">
            <v>1.7</v>
          </cell>
          <cell r="AL98">
            <v>1.7</v>
          </cell>
          <cell r="AM98">
            <v>1.7</v>
          </cell>
          <cell r="AN98">
            <v>1.7</v>
          </cell>
          <cell r="AO98">
            <v>1.7</v>
          </cell>
          <cell r="AP98">
            <v>1.7</v>
          </cell>
          <cell r="AQ98">
            <v>1.7</v>
          </cell>
          <cell r="AR98">
            <v>1.7</v>
          </cell>
          <cell r="AS98">
            <v>2.7E-2</v>
          </cell>
          <cell r="AT98">
            <v>8000</v>
          </cell>
          <cell r="AU98">
            <v>216</v>
          </cell>
          <cell r="AV98">
            <v>4.6300000000000001E-2</v>
          </cell>
          <cell r="AW98">
            <v>4.6300000000000001E-2</v>
          </cell>
          <cell r="AX98">
            <v>4.6300000000000001E-2</v>
          </cell>
          <cell r="AY98">
            <v>4.6300000000000001E-2</v>
          </cell>
          <cell r="AZ98">
            <v>4.6300000000000001E-2</v>
          </cell>
          <cell r="BA98">
            <v>4.6300000000000001E-2</v>
          </cell>
          <cell r="BB98">
            <v>4.6300000000000001E-2</v>
          </cell>
          <cell r="BC98">
            <v>4.6300000000000001E-2</v>
          </cell>
          <cell r="BD98">
            <v>4.6300000000000001E-2</v>
          </cell>
          <cell r="BE98">
            <v>4.6300000000000001E-2</v>
          </cell>
          <cell r="BF98">
            <v>4.6300000000000001E-2</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3</v>
          </cell>
          <cell r="CO98">
            <v>7.49</v>
          </cell>
          <cell r="CP98">
            <v>7.49</v>
          </cell>
          <cell r="CQ98">
            <v>7.49</v>
          </cell>
          <cell r="CR98">
            <v>7.49</v>
          </cell>
          <cell r="CS98">
            <v>7.49</v>
          </cell>
          <cell r="CT98">
            <v>7.49</v>
          </cell>
          <cell r="CU98">
            <v>7.49</v>
          </cell>
          <cell r="CV98">
            <v>7.49</v>
          </cell>
          <cell r="CW98">
            <v>7.49</v>
          </cell>
          <cell r="CX98">
            <v>7.49</v>
          </cell>
          <cell r="CY98">
            <v>7.49</v>
          </cell>
          <cell r="CZ98">
            <v>4.6300000000000001E-2</v>
          </cell>
          <cell r="DA98">
            <v>4.6300000000000001E-2</v>
          </cell>
          <cell r="DB98">
            <v>4.6300000000000001E-2</v>
          </cell>
          <cell r="DC98">
            <v>4.6300000000000001E-2</v>
          </cell>
          <cell r="DD98">
            <v>4.6300000000000001E-2</v>
          </cell>
          <cell r="DE98">
            <v>4.6300000000000001E-2</v>
          </cell>
          <cell r="DF98">
            <v>4.6300000000000001E-2</v>
          </cell>
          <cell r="DG98">
            <v>4.6300000000000001E-2</v>
          </cell>
          <cell r="DH98">
            <v>4.6300000000000001E-2</v>
          </cell>
          <cell r="DI98">
            <v>4.6300000000000001E-2</v>
          </cell>
          <cell r="DJ98">
            <v>4.6300000000000001E-2</v>
          </cell>
        </row>
        <row r="99">
          <cell r="C99">
            <v>3215</v>
          </cell>
          <cell r="D99">
            <v>9015</v>
          </cell>
          <cell r="E99" t="str">
            <v>Structural Trades Lead</v>
          </cell>
          <cell r="G99" t="str">
            <v>CBA1</v>
          </cell>
          <cell r="H99" t="str">
            <v>RFP CBA</v>
          </cell>
          <cell r="I99">
            <v>62920</v>
          </cell>
          <cell r="J99">
            <v>30.25</v>
          </cell>
          <cell r="K99">
            <v>1.7</v>
          </cell>
          <cell r="L99">
            <v>30.25</v>
          </cell>
          <cell r="M99">
            <v>30.25</v>
          </cell>
          <cell r="N99">
            <v>30.25</v>
          </cell>
          <cell r="O99">
            <v>30.25</v>
          </cell>
          <cell r="P99">
            <v>30.25</v>
          </cell>
          <cell r="Q99">
            <v>30.25</v>
          </cell>
          <cell r="R99">
            <v>30.25</v>
          </cell>
          <cell r="S99">
            <v>30.25</v>
          </cell>
          <cell r="T99">
            <v>30.25</v>
          </cell>
          <cell r="U99">
            <v>30.25</v>
          </cell>
          <cell r="V99">
            <v>30.25</v>
          </cell>
          <cell r="W99">
            <v>7.49</v>
          </cell>
          <cell r="X99">
            <v>7.49</v>
          </cell>
          <cell r="Y99">
            <v>7.49</v>
          </cell>
          <cell r="Z99">
            <v>7.49</v>
          </cell>
          <cell r="AA99">
            <v>7.49</v>
          </cell>
          <cell r="AB99">
            <v>7.49</v>
          </cell>
          <cell r="AC99">
            <v>7.49</v>
          </cell>
          <cell r="AD99">
            <v>7.49</v>
          </cell>
          <cell r="AE99">
            <v>7.49</v>
          </cell>
          <cell r="AF99">
            <v>7.49</v>
          </cell>
          <cell r="AG99">
            <v>7.49</v>
          </cell>
          <cell r="AH99">
            <v>1.7</v>
          </cell>
          <cell r="AI99">
            <v>1.7</v>
          </cell>
          <cell r="AJ99">
            <v>1.7</v>
          </cell>
          <cell r="AK99">
            <v>1.7</v>
          </cell>
          <cell r="AL99">
            <v>1.7</v>
          </cell>
          <cell r="AM99">
            <v>1.7</v>
          </cell>
          <cell r="AN99">
            <v>1.7</v>
          </cell>
          <cell r="AO99">
            <v>1.7</v>
          </cell>
          <cell r="AP99">
            <v>1.7</v>
          </cell>
          <cell r="AQ99">
            <v>1.7</v>
          </cell>
          <cell r="AR99">
            <v>1.7</v>
          </cell>
          <cell r="AS99">
            <v>2.7E-2</v>
          </cell>
          <cell r="AT99">
            <v>8000</v>
          </cell>
          <cell r="AU99">
            <v>216</v>
          </cell>
          <cell r="AV99">
            <v>4.6300000000000001E-2</v>
          </cell>
          <cell r="AW99">
            <v>4.6300000000000001E-2</v>
          </cell>
          <cell r="AX99">
            <v>4.6300000000000001E-2</v>
          </cell>
          <cell r="AY99">
            <v>4.6300000000000001E-2</v>
          </cell>
          <cell r="AZ99">
            <v>4.6300000000000001E-2</v>
          </cell>
          <cell r="BA99">
            <v>4.6300000000000001E-2</v>
          </cell>
          <cell r="BB99">
            <v>4.6300000000000001E-2</v>
          </cell>
          <cell r="BC99">
            <v>4.6300000000000001E-2</v>
          </cell>
          <cell r="BD99">
            <v>4.6300000000000001E-2</v>
          </cell>
          <cell r="BE99">
            <v>4.6300000000000001E-2</v>
          </cell>
          <cell r="BF99">
            <v>4.6300000000000001E-2</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2</v>
          </cell>
          <cell r="CO99">
            <v>7.49</v>
          </cell>
          <cell r="CP99">
            <v>7.49</v>
          </cell>
          <cell r="CQ99">
            <v>7.49</v>
          </cell>
          <cell r="CR99">
            <v>7.49</v>
          </cell>
          <cell r="CS99">
            <v>7.49</v>
          </cell>
          <cell r="CT99">
            <v>7.49</v>
          </cell>
          <cell r="CU99">
            <v>7.49</v>
          </cell>
          <cell r="CV99">
            <v>7.49</v>
          </cell>
          <cell r="CW99">
            <v>7.49</v>
          </cell>
          <cell r="CX99">
            <v>7.49</v>
          </cell>
          <cell r="CY99">
            <v>7.49</v>
          </cell>
          <cell r="CZ99">
            <v>4.6300000000000001E-2</v>
          </cell>
          <cell r="DA99">
            <v>4.6300000000000001E-2</v>
          </cell>
          <cell r="DB99">
            <v>4.6300000000000001E-2</v>
          </cell>
          <cell r="DC99">
            <v>4.6300000000000001E-2</v>
          </cell>
          <cell r="DD99">
            <v>4.6300000000000001E-2</v>
          </cell>
          <cell r="DE99">
            <v>4.6300000000000001E-2</v>
          </cell>
          <cell r="DF99">
            <v>4.6300000000000001E-2</v>
          </cell>
          <cell r="DG99">
            <v>4.6300000000000001E-2</v>
          </cell>
          <cell r="DH99">
            <v>4.6300000000000001E-2</v>
          </cell>
          <cell r="DI99">
            <v>4.6300000000000001E-2</v>
          </cell>
          <cell r="DJ99">
            <v>4.6300000000000001E-2</v>
          </cell>
        </row>
        <row r="100">
          <cell r="C100">
            <v>3220</v>
          </cell>
          <cell r="D100">
            <v>9015</v>
          </cell>
          <cell r="E100" t="str">
            <v>Painter</v>
          </cell>
          <cell r="G100" t="str">
            <v>CBA1</v>
          </cell>
          <cell r="H100" t="str">
            <v>RFP CBA</v>
          </cell>
          <cell r="I100">
            <v>56118.400000000001</v>
          </cell>
          <cell r="J100">
            <v>26.98</v>
          </cell>
          <cell r="K100">
            <v>1.7</v>
          </cell>
          <cell r="L100">
            <v>26.98</v>
          </cell>
          <cell r="M100">
            <v>26.98</v>
          </cell>
          <cell r="N100">
            <v>26.98</v>
          </cell>
          <cell r="O100">
            <v>26.98</v>
          </cell>
          <cell r="P100">
            <v>26.98</v>
          </cell>
          <cell r="Q100">
            <v>26.98</v>
          </cell>
          <cell r="R100">
            <v>26.98</v>
          </cell>
          <cell r="S100">
            <v>26.98</v>
          </cell>
          <cell r="T100">
            <v>26.98</v>
          </cell>
          <cell r="U100">
            <v>26.98</v>
          </cell>
          <cell r="V100">
            <v>26.98</v>
          </cell>
          <cell r="W100">
            <v>7.49</v>
          </cell>
          <cell r="X100">
            <v>7.49</v>
          </cell>
          <cell r="Y100">
            <v>7.49</v>
          </cell>
          <cell r="Z100">
            <v>7.49</v>
          </cell>
          <cell r="AA100">
            <v>7.49</v>
          </cell>
          <cell r="AB100">
            <v>7.49</v>
          </cell>
          <cell r="AC100">
            <v>7.49</v>
          </cell>
          <cell r="AD100">
            <v>7.49</v>
          </cell>
          <cell r="AE100">
            <v>7.49</v>
          </cell>
          <cell r="AF100">
            <v>7.49</v>
          </cell>
          <cell r="AG100">
            <v>7.49</v>
          </cell>
          <cell r="AH100">
            <v>1.7</v>
          </cell>
          <cell r="AI100">
            <v>1.7</v>
          </cell>
          <cell r="AJ100">
            <v>1.7</v>
          </cell>
          <cell r="AK100">
            <v>1.7</v>
          </cell>
          <cell r="AL100">
            <v>1.7</v>
          </cell>
          <cell r="AM100">
            <v>1.7</v>
          </cell>
          <cell r="AN100">
            <v>1.7</v>
          </cell>
          <cell r="AO100">
            <v>1.7</v>
          </cell>
          <cell r="AP100">
            <v>1.7</v>
          </cell>
          <cell r="AQ100">
            <v>1.7</v>
          </cell>
          <cell r="AR100">
            <v>1.7</v>
          </cell>
          <cell r="AS100">
            <v>2.7E-2</v>
          </cell>
          <cell r="AT100">
            <v>8000</v>
          </cell>
          <cell r="AU100">
            <v>216</v>
          </cell>
          <cell r="AV100">
            <v>4.6300000000000001E-2</v>
          </cell>
          <cell r="AW100">
            <v>4.6300000000000001E-2</v>
          </cell>
          <cell r="AX100">
            <v>4.6300000000000001E-2</v>
          </cell>
          <cell r="AY100">
            <v>4.6300000000000001E-2</v>
          </cell>
          <cell r="AZ100">
            <v>4.6300000000000001E-2</v>
          </cell>
          <cell r="BA100">
            <v>4.6300000000000001E-2</v>
          </cell>
          <cell r="BB100">
            <v>4.6300000000000001E-2</v>
          </cell>
          <cell r="BC100">
            <v>4.6300000000000001E-2</v>
          </cell>
          <cell r="BD100">
            <v>4.6300000000000001E-2</v>
          </cell>
          <cell r="BE100">
            <v>4.6300000000000001E-2</v>
          </cell>
          <cell r="BF100">
            <v>4.6300000000000001E-2</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6</v>
          </cell>
          <cell r="CO100">
            <v>7.49</v>
          </cell>
          <cell r="CP100">
            <v>7.49</v>
          </cell>
          <cell r="CQ100">
            <v>7.49</v>
          </cell>
          <cell r="CR100">
            <v>7.49</v>
          </cell>
          <cell r="CS100">
            <v>7.49</v>
          </cell>
          <cell r="CT100">
            <v>7.49</v>
          </cell>
          <cell r="CU100">
            <v>7.49</v>
          </cell>
          <cell r="CV100">
            <v>7.49</v>
          </cell>
          <cell r="CW100">
            <v>7.49</v>
          </cell>
          <cell r="CX100">
            <v>7.49</v>
          </cell>
          <cell r="CY100">
            <v>7.49</v>
          </cell>
          <cell r="CZ100">
            <v>4.6300000000000001E-2</v>
          </cell>
          <cell r="DA100">
            <v>4.6300000000000001E-2</v>
          </cell>
          <cell r="DB100">
            <v>4.6300000000000001E-2</v>
          </cell>
          <cell r="DC100">
            <v>4.6300000000000001E-2</v>
          </cell>
          <cell r="DD100">
            <v>4.6300000000000001E-2</v>
          </cell>
          <cell r="DE100">
            <v>4.6300000000000001E-2</v>
          </cell>
          <cell r="DF100">
            <v>4.6300000000000001E-2</v>
          </cell>
          <cell r="DG100">
            <v>4.6300000000000001E-2</v>
          </cell>
          <cell r="DH100">
            <v>4.6300000000000001E-2</v>
          </cell>
          <cell r="DI100">
            <v>4.6300000000000001E-2</v>
          </cell>
          <cell r="DJ100">
            <v>4.6300000000000001E-2</v>
          </cell>
        </row>
        <row r="101">
          <cell r="C101">
            <v>3225</v>
          </cell>
          <cell r="D101">
            <v>9015</v>
          </cell>
          <cell r="E101" t="str">
            <v>Electrician/Data Technician</v>
          </cell>
          <cell r="G101" t="str">
            <v>CBA1</v>
          </cell>
          <cell r="H101" t="str">
            <v>RFP CBA</v>
          </cell>
          <cell r="I101">
            <v>69617.599999999991</v>
          </cell>
          <cell r="J101">
            <v>33.47</v>
          </cell>
          <cell r="K101">
            <v>1.7</v>
          </cell>
          <cell r="L101">
            <v>33.47</v>
          </cell>
          <cell r="M101">
            <v>33.47</v>
          </cell>
          <cell r="N101">
            <v>33.47</v>
          </cell>
          <cell r="O101">
            <v>33.47</v>
          </cell>
          <cell r="P101">
            <v>33.47</v>
          </cell>
          <cell r="Q101">
            <v>33.47</v>
          </cell>
          <cell r="R101">
            <v>33.47</v>
          </cell>
          <cell r="S101">
            <v>33.47</v>
          </cell>
          <cell r="T101">
            <v>33.47</v>
          </cell>
          <cell r="U101">
            <v>33.47</v>
          </cell>
          <cell r="V101">
            <v>33.47</v>
          </cell>
          <cell r="W101">
            <v>7.49</v>
          </cell>
          <cell r="X101">
            <v>7.49</v>
          </cell>
          <cell r="Y101">
            <v>7.49</v>
          </cell>
          <cell r="Z101">
            <v>7.49</v>
          </cell>
          <cell r="AA101">
            <v>7.49</v>
          </cell>
          <cell r="AB101">
            <v>7.49</v>
          </cell>
          <cell r="AC101">
            <v>7.49</v>
          </cell>
          <cell r="AD101">
            <v>7.49</v>
          </cell>
          <cell r="AE101">
            <v>7.49</v>
          </cell>
          <cell r="AF101">
            <v>7.49</v>
          </cell>
          <cell r="AG101">
            <v>7.49</v>
          </cell>
          <cell r="AH101">
            <v>1.7</v>
          </cell>
          <cell r="AI101">
            <v>1.7</v>
          </cell>
          <cell r="AJ101">
            <v>1.7</v>
          </cell>
          <cell r="AK101">
            <v>1.7</v>
          </cell>
          <cell r="AL101">
            <v>1.7</v>
          </cell>
          <cell r="AM101">
            <v>1.7</v>
          </cell>
          <cell r="AN101">
            <v>1.7</v>
          </cell>
          <cell r="AO101">
            <v>1.7</v>
          </cell>
          <cell r="AP101">
            <v>1.7</v>
          </cell>
          <cell r="AQ101">
            <v>1.7</v>
          </cell>
          <cell r="AR101">
            <v>1.7</v>
          </cell>
          <cell r="AS101">
            <v>2.7E-2</v>
          </cell>
          <cell r="AT101">
            <v>8000</v>
          </cell>
          <cell r="AU101">
            <v>216</v>
          </cell>
          <cell r="AV101">
            <v>4.6300000000000001E-2</v>
          </cell>
          <cell r="AW101">
            <v>4.6300000000000001E-2</v>
          </cell>
          <cell r="AX101">
            <v>4.6300000000000001E-2</v>
          </cell>
          <cell r="AY101">
            <v>4.6300000000000001E-2</v>
          </cell>
          <cell r="AZ101">
            <v>4.6300000000000001E-2</v>
          </cell>
          <cell r="BA101">
            <v>4.6300000000000001E-2</v>
          </cell>
          <cell r="BB101">
            <v>4.6300000000000001E-2</v>
          </cell>
          <cell r="BC101">
            <v>4.6300000000000001E-2</v>
          </cell>
          <cell r="BD101">
            <v>4.6300000000000001E-2</v>
          </cell>
          <cell r="BE101">
            <v>4.6300000000000001E-2</v>
          </cell>
          <cell r="BF101">
            <v>4.6300000000000001E-2</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3</v>
          </cell>
          <cell r="CO101">
            <v>7.49</v>
          </cell>
          <cell r="CP101">
            <v>7.49</v>
          </cell>
          <cell r="CQ101">
            <v>7.49</v>
          </cell>
          <cell r="CR101">
            <v>7.49</v>
          </cell>
          <cell r="CS101">
            <v>7.49</v>
          </cell>
          <cell r="CT101">
            <v>7.49</v>
          </cell>
          <cell r="CU101">
            <v>7.49</v>
          </cell>
          <cell r="CV101">
            <v>7.49</v>
          </cell>
          <cell r="CW101">
            <v>7.49</v>
          </cell>
          <cell r="CX101">
            <v>7.49</v>
          </cell>
          <cell r="CY101">
            <v>7.49</v>
          </cell>
          <cell r="CZ101">
            <v>4.6300000000000001E-2</v>
          </cell>
          <cell r="DA101">
            <v>4.6300000000000001E-2</v>
          </cell>
          <cell r="DB101">
            <v>4.6300000000000001E-2</v>
          </cell>
          <cell r="DC101">
            <v>4.6300000000000001E-2</v>
          </cell>
          <cell r="DD101">
            <v>4.6300000000000001E-2</v>
          </cell>
          <cell r="DE101">
            <v>4.6300000000000001E-2</v>
          </cell>
          <cell r="DF101">
            <v>4.6300000000000001E-2</v>
          </cell>
          <cell r="DG101">
            <v>4.6300000000000001E-2</v>
          </cell>
          <cell r="DH101">
            <v>4.6300000000000001E-2</v>
          </cell>
          <cell r="DI101">
            <v>4.6300000000000001E-2</v>
          </cell>
          <cell r="DJ101">
            <v>4.6300000000000001E-2</v>
          </cell>
        </row>
        <row r="102">
          <cell r="C102">
            <v>3230</v>
          </cell>
          <cell r="D102">
            <v>9015</v>
          </cell>
          <cell r="E102" t="str">
            <v>Mechanical Trades Lead</v>
          </cell>
          <cell r="G102" t="str">
            <v>CBA1</v>
          </cell>
          <cell r="H102" t="str">
            <v>RFP CBA</v>
          </cell>
          <cell r="I102">
            <v>71219.199999999983</v>
          </cell>
          <cell r="J102">
            <v>34.239999999999995</v>
          </cell>
          <cell r="K102">
            <v>1.7</v>
          </cell>
          <cell r="L102">
            <v>34.239999999999995</v>
          </cell>
          <cell r="M102">
            <v>34.239999999999995</v>
          </cell>
          <cell r="N102">
            <v>34.239999999999995</v>
          </cell>
          <cell r="O102">
            <v>34.239999999999995</v>
          </cell>
          <cell r="P102">
            <v>34.239999999999995</v>
          </cell>
          <cell r="Q102">
            <v>34.239999999999995</v>
          </cell>
          <cell r="R102">
            <v>34.239999999999995</v>
          </cell>
          <cell r="S102">
            <v>34.239999999999995</v>
          </cell>
          <cell r="T102">
            <v>34.239999999999995</v>
          </cell>
          <cell r="U102">
            <v>34.239999999999995</v>
          </cell>
          <cell r="V102">
            <v>34.239999999999995</v>
          </cell>
          <cell r="W102">
            <v>7.49</v>
          </cell>
          <cell r="X102">
            <v>7.49</v>
          </cell>
          <cell r="Y102">
            <v>7.49</v>
          </cell>
          <cell r="Z102">
            <v>7.49</v>
          </cell>
          <cell r="AA102">
            <v>7.49</v>
          </cell>
          <cell r="AB102">
            <v>7.49</v>
          </cell>
          <cell r="AC102">
            <v>7.49</v>
          </cell>
          <cell r="AD102">
            <v>7.49</v>
          </cell>
          <cell r="AE102">
            <v>7.49</v>
          </cell>
          <cell r="AF102">
            <v>7.49</v>
          </cell>
          <cell r="AG102">
            <v>7.49</v>
          </cell>
          <cell r="AH102">
            <v>1.7</v>
          </cell>
          <cell r="AI102">
            <v>1.7</v>
          </cell>
          <cell r="AJ102">
            <v>1.7</v>
          </cell>
          <cell r="AK102">
            <v>1.7</v>
          </cell>
          <cell r="AL102">
            <v>1.7</v>
          </cell>
          <cell r="AM102">
            <v>1.7</v>
          </cell>
          <cell r="AN102">
            <v>1.7</v>
          </cell>
          <cell r="AO102">
            <v>1.7</v>
          </cell>
          <cell r="AP102">
            <v>1.7</v>
          </cell>
          <cell r="AQ102">
            <v>1.7</v>
          </cell>
          <cell r="AR102">
            <v>1.7</v>
          </cell>
          <cell r="AS102">
            <v>2.7E-2</v>
          </cell>
          <cell r="AT102">
            <v>8000</v>
          </cell>
          <cell r="AU102">
            <v>216</v>
          </cell>
          <cell r="AV102">
            <v>4.6300000000000001E-2</v>
          </cell>
          <cell r="AW102">
            <v>4.6300000000000001E-2</v>
          </cell>
          <cell r="AX102">
            <v>4.6300000000000001E-2</v>
          </cell>
          <cell r="AY102">
            <v>4.6300000000000001E-2</v>
          </cell>
          <cell r="AZ102">
            <v>4.6300000000000001E-2</v>
          </cell>
          <cell r="BA102">
            <v>4.6300000000000001E-2</v>
          </cell>
          <cell r="BB102">
            <v>4.6300000000000001E-2</v>
          </cell>
          <cell r="BC102">
            <v>4.6300000000000001E-2</v>
          </cell>
          <cell r="BD102">
            <v>4.6300000000000001E-2</v>
          </cell>
          <cell r="BE102">
            <v>4.6300000000000001E-2</v>
          </cell>
          <cell r="BF102">
            <v>4.6300000000000001E-2</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1</v>
          </cell>
          <cell r="CO102">
            <v>7.49</v>
          </cell>
          <cell r="CP102">
            <v>7.49</v>
          </cell>
          <cell r="CQ102">
            <v>7.49</v>
          </cell>
          <cell r="CR102">
            <v>7.49</v>
          </cell>
          <cell r="CS102">
            <v>7.49</v>
          </cell>
          <cell r="CT102">
            <v>7.49</v>
          </cell>
          <cell r="CU102">
            <v>7.49</v>
          </cell>
          <cell r="CV102">
            <v>7.49</v>
          </cell>
          <cell r="CW102">
            <v>7.49</v>
          </cell>
          <cell r="CX102">
            <v>7.49</v>
          </cell>
          <cell r="CY102">
            <v>7.49</v>
          </cell>
          <cell r="CZ102">
            <v>4.6300000000000001E-2</v>
          </cell>
          <cell r="DA102">
            <v>4.6300000000000001E-2</v>
          </cell>
          <cell r="DB102">
            <v>4.6300000000000001E-2</v>
          </cell>
          <cell r="DC102">
            <v>4.6300000000000001E-2</v>
          </cell>
          <cell r="DD102">
            <v>4.6300000000000001E-2</v>
          </cell>
          <cell r="DE102">
            <v>4.6300000000000001E-2</v>
          </cell>
          <cell r="DF102">
            <v>4.6300000000000001E-2</v>
          </cell>
          <cell r="DG102">
            <v>4.6300000000000001E-2</v>
          </cell>
          <cell r="DH102">
            <v>4.6300000000000001E-2</v>
          </cell>
          <cell r="DI102">
            <v>4.6300000000000001E-2</v>
          </cell>
          <cell r="DJ102">
            <v>4.6300000000000001E-2</v>
          </cell>
        </row>
        <row r="107">
          <cell r="C107" t="str">
            <v xml:space="preserve">Collective Bargaining Agreement (#2) - </v>
          </cell>
        </row>
        <row r="109">
          <cell r="C109">
            <v>4000</v>
          </cell>
          <cell r="D109">
            <v>9015</v>
          </cell>
          <cell r="E109" t="str">
            <v>Transportation Material Expeditor</v>
          </cell>
          <cell r="G109" t="str">
            <v>CBA2</v>
          </cell>
          <cell r="H109" t="str">
            <v>RFP CBA</v>
          </cell>
          <cell r="I109">
            <v>49649.599999999999</v>
          </cell>
          <cell r="J109">
            <v>23.87</v>
          </cell>
          <cell r="K109">
            <v>3.75</v>
          </cell>
          <cell r="L109">
            <v>23.87</v>
          </cell>
          <cell r="M109">
            <v>23.87</v>
          </cell>
          <cell r="N109">
            <v>23.87</v>
          </cell>
          <cell r="O109">
            <v>23.87</v>
          </cell>
          <cell r="P109">
            <v>23.87</v>
          </cell>
          <cell r="Q109">
            <v>23.87</v>
          </cell>
          <cell r="R109">
            <v>23.87</v>
          </cell>
          <cell r="S109">
            <v>23.87</v>
          </cell>
          <cell r="T109">
            <v>23.87</v>
          </cell>
          <cell r="U109">
            <v>23.87</v>
          </cell>
          <cell r="V109">
            <v>23.87</v>
          </cell>
          <cell r="W109">
            <v>5.5</v>
          </cell>
          <cell r="X109">
            <v>5.5</v>
          </cell>
          <cell r="Y109">
            <v>5.5</v>
          </cell>
          <cell r="Z109">
            <v>5.5</v>
          </cell>
          <cell r="AA109">
            <v>5.5</v>
          </cell>
          <cell r="AB109">
            <v>5.5</v>
          </cell>
          <cell r="AC109">
            <v>5.5</v>
          </cell>
          <cell r="AD109">
            <v>5.5</v>
          </cell>
          <cell r="AE109">
            <v>5.5</v>
          </cell>
          <cell r="AF109">
            <v>5.5</v>
          </cell>
          <cell r="AG109">
            <v>5.5</v>
          </cell>
          <cell r="AH109">
            <v>3.75</v>
          </cell>
          <cell r="AI109">
            <v>3.75</v>
          </cell>
          <cell r="AJ109">
            <v>3.75</v>
          </cell>
          <cell r="AK109">
            <v>3.75</v>
          </cell>
          <cell r="AL109">
            <v>3.75</v>
          </cell>
          <cell r="AM109">
            <v>3.75</v>
          </cell>
          <cell r="AN109">
            <v>3.75</v>
          </cell>
          <cell r="AO109">
            <v>3.75</v>
          </cell>
          <cell r="AP109">
            <v>3.75</v>
          </cell>
          <cell r="AQ109">
            <v>3.75</v>
          </cell>
          <cell r="AR109">
            <v>3.75</v>
          </cell>
          <cell r="AS109">
            <v>2.7E-2</v>
          </cell>
          <cell r="AT109">
            <v>8000</v>
          </cell>
          <cell r="AU109">
            <v>216</v>
          </cell>
          <cell r="AV109">
            <v>4.6300000000000001E-2</v>
          </cell>
          <cell r="AW109">
            <v>4.6300000000000001E-2</v>
          </cell>
          <cell r="AX109">
            <v>4.6300000000000001E-2</v>
          </cell>
          <cell r="AY109">
            <v>4.6300000000000001E-2</v>
          </cell>
          <cell r="AZ109">
            <v>4.6300000000000001E-2</v>
          </cell>
          <cell r="BA109">
            <v>4.6300000000000001E-2</v>
          </cell>
          <cell r="BB109">
            <v>4.6300000000000001E-2</v>
          </cell>
          <cell r="BC109">
            <v>4.6300000000000001E-2</v>
          </cell>
          <cell r="BD109">
            <v>4.6300000000000001E-2</v>
          </cell>
          <cell r="BE109">
            <v>4.6300000000000001E-2</v>
          </cell>
          <cell r="BF109">
            <v>4.6300000000000001E-2</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9</v>
          </cell>
          <cell r="CO109">
            <v>4.4711538461538458</v>
          </cell>
          <cell r="CP109">
            <v>4.4711538461538458</v>
          </cell>
          <cell r="CQ109">
            <v>4.4711538461538458</v>
          </cell>
          <cell r="CR109">
            <v>4.4711538461538458</v>
          </cell>
          <cell r="CS109">
            <v>4.4711538461538458</v>
          </cell>
          <cell r="CT109">
            <v>4.4711538461538458</v>
          </cell>
          <cell r="CU109">
            <v>4.4711538461538458</v>
          </cell>
          <cell r="CV109">
            <v>4.4711538461538458</v>
          </cell>
          <cell r="CW109">
            <v>4.4711538461538458</v>
          </cell>
          <cell r="CX109">
            <v>4.4711538461538458</v>
          </cell>
          <cell r="CY109">
            <v>4.4711538461538458</v>
          </cell>
          <cell r="CZ109">
            <v>4.6300000000000001E-2</v>
          </cell>
          <cell r="DA109">
            <v>4.6300000000000001E-2</v>
          </cell>
          <cell r="DB109">
            <v>4.6300000000000001E-2</v>
          </cell>
          <cell r="DC109">
            <v>4.6300000000000001E-2</v>
          </cell>
          <cell r="DD109">
            <v>4.6300000000000001E-2</v>
          </cell>
          <cell r="DE109">
            <v>4.6300000000000001E-2</v>
          </cell>
          <cell r="DF109">
            <v>4.6300000000000001E-2</v>
          </cell>
          <cell r="DG109">
            <v>4.6300000000000001E-2</v>
          </cell>
          <cell r="DH109">
            <v>4.6300000000000001E-2</v>
          </cell>
          <cell r="DI109">
            <v>4.6300000000000001E-2</v>
          </cell>
          <cell r="DJ109">
            <v>4.6300000000000001E-2</v>
          </cell>
        </row>
        <row r="110">
          <cell r="C110">
            <v>4005</v>
          </cell>
          <cell r="D110">
            <v>9015</v>
          </cell>
          <cell r="E110" t="str">
            <v>Transportation Motor Vehicle Mechanic Helper</v>
          </cell>
          <cell r="G110" t="str">
            <v>CBA2</v>
          </cell>
          <cell r="H110" t="str">
            <v>RFP CBA</v>
          </cell>
          <cell r="I110">
            <v>37752</v>
          </cell>
          <cell r="J110">
            <v>18.149999999999999</v>
          </cell>
          <cell r="K110">
            <v>3.75</v>
          </cell>
          <cell r="L110">
            <v>18.149999999999999</v>
          </cell>
          <cell r="M110">
            <v>18.149999999999999</v>
          </cell>
          <cell r="N110">
            <v>18.149999999999999</v>
          </cell>
          <cell r="O110">
            <v>18.149999999999999</v>
          </cell>
          <cell r="P110">
            <v>18.149999999999999</v>
          </cell>
          <cell r="Q110">
            <v>18.149999999999999</v>
          </cell>
          <cell r="R110">
            <v>18.149999999999999</v>
          </cell>
          <cell r="S110">
            <v>18.149999999999999</v>
          </cell>
          <cell r="T110">
            <v>18.149999999999999</v>
          </cell>
          <cell r="U110">
            <v>18.149999999999999</v>
          </cell>
          <cell r="V110">
            <v>18.149999999999999</v>
          </cell>
          <cell r="W110">
            <v>5.5</v>
          </cell>
          <cell r="X110">
            <v>5.5</v>
          </cell>
          <cell r="Y110">
            <v>5.5</v>
          </cell>
          <cell r="Z110">
            <v>5.5</v>
          </cell>
          <cell r="AA110">
            <v>5.5</v>
          </cell>
          <cell r="AB110">
            <v>5.5</v>
          </cell>
          <cell r="AC110">
            <v>5.5</v>
          </cell>
          <cell r="AD110">
            <v>5.5</v>
          </cell>
          <cell r="AE110">
            <v>5.5</v>
          </cell>
          <cell r="AF110">
            <v>5.5</v>
          </cell>
          <cell r="AG110">
            <v>5.5</v>
          </cell>
          <cell r="AH110">
            <v>3.75</v>
          </cell>
          <cell r="AI110">
            <v>3.75</v>
          </cell>
          <cell r="AJ110">
            <v>3.75</v>
          </cell>
          <cell r="AK110">
            <v>3.75</v>
          </cell>
          <cell r="AL110">
            <v>3.75</v>
          </cell>
          <cell r="AM110">
            <v>3.75</v>
          </cell>
          <cell r="AN110">
            <v>3.75</v>
          </cell>
          <cell r="AO110">
            <v>3.75</v>
          </cell>
          <cell r="AP110">
            <v>3.75</v>
          </cell>
          <cell r="AQ110">
            <v>3.75</v>
          </cell>
          <cell r="AR110">
            <v>3.75</v>
          </cell>
          <cell r="AS110">
            <v>2.7E-2</v>
          </cell>
          <cell r="AT110">
            <v>8000</v>
          </cell>
          <cell r="AU110">
            <v>216</v>
          </cell>
          <cell r="AV110">
            <v>4.6300000000000001E-2</v>
          </cell>
          <cell r="AW110">
            <v>4.6300000000000001E-2</v>
          </cell>
          <cell r="AX110">
            <v>4.6300000000000001E-2</v>
          </cell>
          <cell r="AY110">
            <v>4.6300000000000001E-2</v>
          </cell>
          <cell r="AZ110">
            <v>4.6300000000000001E-2</v>
          </cell>
          <cell r="BA110">
            <v>4.6300000000000001E-2</v>
          </cell>
          <cell r="BB110">
            <v>4.6300000000000001E-2</v>
          </cell>
          <cell r="BC110">
            <v>4.6300000000000001E-2</v>
          </cell>
          <cell r="BD110">
            <v>4.6300000000000001E-2</v>
          </cell>
          <cell r="BE110">
            <v>4.6300000000000001E-2</v>
          </cell>
          <cell r="BF110">
            <v>4.6300000000000001E-2</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9</v>
          </cell>
          <cell r="CO110">
            <v>4.4711538461538458</v>
          </cell>
          <cell r="CP110">
            <v>4.4711538461538458</v>
          </cell>
          <cell r="CQ110">
            <v>4.4711538461538458</v>
          </cell>
          <cell r="CR110">
            <v>4.4711538461538458</v>
          </cell>
          <cell r="CS110">
            <v>4.4711538461538458</v>
          </cell>
          <cell r="CT110">
            <v>4.4711538461538458</v>
          </cell>
          <cell r="CU110">
            <v>4.4711538461538458</v>
          </cell>
          <cell r="CV110">
            <v>4.4711538461538458</v>
          </cell>
          <cell r="CW110">
            <v>4.4711538461538458</v>
          </cell>
          <cell r="CX110">
            <v>4.4711538461538458</v>
          </cell>
          <cell r="CY110">
            <v>4.4711538461538458</v>
          </cell>
          <cell r="CZ110">
            <v>4.6300000000000001E-2</v>
          </cell>
          <cell r="DA110">
            <v>4.6300000000000001E-2</v>
          </cell>
          <cell r="DB110">
            <v>4.6300000000000001E-2</v>
          </cell>
          <cell r="DC110">
            <v>4.6300000000000001E-2</v>
          </cell>
          <cell r="DD110">
            <v>4.6300000000000001E-2</v>
          </cell>
          <cell r="DE110">
            <v>4.6300000000000001E-2</v>
          </cell>
          <cell r="DF110">
            <v>4.6300000000000001E-2</v>
          </cell>
          <cell r="DG110">
            <v>4.6300000000000001E-2</v>
          </cell>
          <cell r="DH110">
            <v>4.6300000000000001E-2</v>
          </cell>
          <cell r="DI110">
            <v>4.6300000000000001E-2</v>
          </cell>
          <cell r="DJ110">
            <v>4.6300000000000001E-2</v>
          </cell>
        </row>
        <row r="111">
          <cell r="C111">
            <v>4010</v>
          </cell>
          <cell r="D111">
            <v>9015</v>
          </cell>
          <cell r="E111" t="str">
            <v>Transportation Tools and Parts Attendant</v>
          </cell>
          <cell r="G111" t="str">
            <v>CBA2</v>
          </cell>
          <cell r="H111" t="str">
            <v>RFP CBA</v>
          </cell>
          <cell r="I111">
            <v>44075.200000000004</v>
          </cell>
          <cell r="J111">
            <v>21.19</v>
          </cell>
          <cell r="K111">
            <v>3.75</v>
          </cell>
          <cell r="L111">
            <v>21.19</v>
          </cell>
          <cell r="M111">
            <v>21.19</v>
          </cell>
          <cell r="N111">
            <v>21.19</v>
          </cell>
          <cell r="O111">
            <v>21.19</v>
          </cell>
          <cell r="P111">
            <v>21.19</v>
          </cell>
          <cell r="Q111">
            <v>21.19</v>
          </cell>
          <cell r="R111">
            <v>21.19</v>
          </cell>
          <cell r="S111">
            <v>21.19</v>
          </cell>
          <cell r="T111">
            <v>21.19</v>
          </cell>
          <cell r="U111">
            <v>21.19</v>
          </cell>
          <cell r="V111">
            <v>21.19</v>
          </cell>
          <cell r="W111">
            <v>5.5</v>
          </cell>
          <cell r="X111">
            <v>5.5</v>
          </cell>
          <cell r="Y111">
            <v>5.5</v>
          </cell>
          <cell r="Z111">
            <v>5.5</v>
          </cell>
          <cell r="AA111">
            <v>5.5</v>
          </cell>
          <cell r="AB111">
            <v>5.5</v>
          </cell>
          <cell r="AC111">
            <v>5.5</v>
          </cell>
          <cell r="AD111">
            <v>5.5</v>
          </cell>
          <cell r="AE111">
            <v>5.5</v>
          </cell>
          <cell r="AF111">
            <v>5.5</v>
          </cell>
          <cell r="AG111">
            <v>5.5</v>
          </cell>
          <cell r="AH111">
            <v>3.75</v>
          </cell>
          <cell r="AI111">
            <v>3.75</v>
          </cell>
          <cell r="AJ111">
            <v>3.75</v>
          </cell>
          <cell r="AK111">
            <v>3.75</v>
          </cell>
          <cell r="AL111">
            <v>3.75</v>
          </cell>
          <cell r="AM111">
            <v>3.75</v>
          </cell>
          <cell r="AN111">
            <v>3.75</v>
          </cell>
          <cell r="AO111">
            <v>3.75</v>
          </cell>
          <cell r="AP111">
            <v>3.75</v>
          </cell>
          <cell r="AQ111">
            <v>3.75</v>
          </cell>
          <cell r="AR111">
            <v>3.75</v>
          </cell>
          <cell r="AS111">
            <v>2.7E-2</v>
          </cell>
          <cell r="AT111">
            <v>8000</v>
          </cell>
          <cell r="AU111">
            <v>216</v>
          </cell>
          <cell r="AV111">
            <v>4.6300000000000001E-2</v>
          </cell>
          <cell r="AW111">
            <v>4.6300000000000001E-2</v>
          </cell>
          <cell r="AX111">
            <v>4.6300000000000001E-2</v>
          </cell>
          <cell r="AY111">
            <v>4.6300000000000001E-2</v>
          </cell>
          <cell r="AZ111">
            <v>4.6300000000000001E-2</v>
          </cell>
          <cell r="BA111">
            <v>4.6300000000000001E-2</v>
          </cell>
          <cell r="BB111">
            <v>4.6300000000000001E-2</v>
          </cell>
          <cell r="BC111">
            <v>4.6300000000000001E-2</v>
          </cell>
          <cell r="BD111">
            <v>4.6300000000000001E-2</v>
          </cell>
          <cell r="BE111">
            <v>4.6300000000000001E-2</v>
          </cell>
          <cell r="BF111">
            <v>4.6300000000000001E-2</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9</v>
          </cell>
          <cell r="CO111">
            <v>4.4711538461538458</v>
          </cell>
          <cell r="CP111">
            <v>4.4711538461538458</v>
          </cell>
          <cell r="CQ111">
            <v>4.4711538461538458</v>
          </cell>
          <cell r="CR111">
            <v>4.4711538461538458</v>
          </cell>
          <cell r="CS111">
            <v>4.4711538461538458</v>
          </cell>
          <cell r="CT111">
            <v>4.4711538461538458</v>
          </cell>
          <cell r="CU111">
            <v>4.4711538461538458</v>
          </cell>
          <cell r="CV111">
            <v>4.4711538461538458</v>
          </cell>
          <cell r="CW111">
            <v>4.4711538461538458</v>
          </cell>
          <cell r="CX111">
            <v>4.4711538461538458</v>
          </cell>
          <cell r="CY111">
            <v>4.4711538461538458</v>
          </cell>
          <cell r="CZ111">
            <v>4.6300000000000001E-2</v>
          </cell>
          <cell r="DA111">
            <v>4.6300000000000001E-2</v>
          </cell>
          <cell r="DB111">
            <v>4.6300000000000001E-2</v>
          </cell>
          <cell r="DC111">
            <v>4.6300000000000001E-2</v>
          </cell>
          <cell r="DD111">
            <v>4.6300000000000001E-2</v>
          </cell>
          <cell r="DE111">
            <v>4.6300000000000001E-2</v>
          </cell>
          <cell r="DF111">
            <v>4.6300000000000001E-2</v>
          </cell>
          <cell r="DG111">
            <v>4.6300000000000001E-2</v>
          </cell>
          <cell r="DH111">
            <v>4.6300000000000001E-2</v>
          </cell>
          <cell r="DI111">
            <v>4.6300000000000001E-2</v>
          </cell>
          <cell r="DJ111">
            <v>4.6300000000000001E-2</v>
          </cell>
        </row>
        <row r="112">
          <cell r="C112">
            <v>4015</v>
          </cell>
          <cell r="D112">
            <v>9015</v>
          </cell>
          <cell r="E112" t="str">
            <v>Transportation Heavy Equipment Mechanic</v>
          </cell>
          <cell r="G112" t="str">
            <v>CBA2</v>
          </cell>
          <cell r="H112" t="str">
            <v>RFP CBA</v>
          </cell>
          <cell r="I112">
            <v>55390.400000000001</v>
          </cell>
          <cell r="J112">
            <v>26.63</v>
          </cell>
          <cell r="K112">
            <v>3.75</v>
          </cell>
          <cell r="L112">
            <v>26.63</v>
          </cell>
          <cell r="M112">
            <v>26.63</v>
          </cell>
          <cell r="N112">
            <v>26.63</v>
          </cell>
          <cell r="O112">
            <v>26.63</v>
          </cell>
          <cell r="P112">
            <v>26.63</v>
          </cell>
          <cell r="Q112">
            <v>26.63</v>
          </cell>
          <cell r="R112">
            <v>26.63</v>
          </cell>
          <cell r="S112">
            <v>26.63</v>
          </cell>
          <cell r="T112">
            <v>26.63</v>
          </cell>
          <cell r="U112">
            <v>26.63</v>
          </cell>
          <cell r="V112">
            <v>26.63</v>
          </cell>
          <cell r="W112">
            <v>5.5</v>
          </cell>
          <cell r="X112">
            <v>5.5</v>
          </cell>
          <cell r="Y112">
            <v>5.5</v>
          </cell>
          <cell r="Z112">
            <v>5.5</v>
          </cell>
          <cell r="AA112">
            <v>5.5</v>
          </cell>
          <cell r="AB112">
            <v>5.5</v>
          </cell>
          <cell r="AC112">
            <v>5.5</v>
          </cell>
          <cell r="AD112">
            <v>5.5</v>
          </cell>
          <cell r="AE112">
            <v>5.5</v>
          </cell>
          <cell r="AF112">
            <v>5.5</v>
          </cell>
          <cell r="AG112">
            <v>5.5</v>
          </cell>
          <cell r="AH112">
            <v>3.75</v>
          </cell>
          <cell r="AI112">
            <v>3.75</v>
          </cell>
          <cell r="AJ112">
            <v>3.75</v>
          </cell>
          <cell r="AK112">
            <v>3.75</v>
          </cell>
          <cell r="AL112">
            <v>3.75</v>
          </cell>
          <cell r="AM112">
            <v>3.75</v>
          </cell>
          <cell r="AN112">
            <v>3.75</v>
          </cell>
          <cell r="AO112">
            <v>3.75</v>
          </cell>
          <cell r="AP112">
            <v>3.75</v>
          </cell>
          <cell r="AQ112">
            <v>3.75</v>
          </cell>
          <cell r="AR112">
            <v>3.75</v>
          </cell>
          <cell r="AS112">
            <v>2.7E-2</v>
          </cell>
          <cell r="AT112">
            <v>8000</v>
          </cell>
          <cell r="AU112">
            <v>216</v>
          </cell>
          <cell r="AV112">
            <v>4.6300000000000001E-2</v>
          </cell>
          <cell r="AW112">
            <v>4.6300000000000001E-2</v>
          </cell>
          <cell r="AX112">
            <v>4.6300000000000001E-2</v>
          </cell>
          <cell r="AY112">
            <v>4.6300000000000001E-2</v>
          </cell>
          <cell r="AZ112">
            <v>4.6300000000000001E-2</v>
          </cell>
          <cell r="BA112">
            <v>4.6300000000000001E-2</v>
          </cell>
          <cell r="BB112">
            <v>4.6300000000000001E-2</v>
          </cell>
          <cell r="BC112">
            <v>4.6300000000000001E-2</v>
          </cell>
          <cell r="BD112">
            <v>4.6300000000000001E-2</v>
          </cell>
          <cell r="BE112">
            <v>4.6300000000000001E-2</v>
          </cell>
          <cell r="BF112">
            <v>4.6300000000000001E-2</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9</v>
          </cell>
          <cell r="CO112">
            <v>4.4711538461538458</v>
          </cell>
          <cell r="CP112">
            <v>4.4711538461538458</v>
          </cell>
          <cell r="CQ112">
            <v>4.4711538461538458</v>
          </cell>
          <cell r="CR112">
            <v>4.4711538461538458</v>
          </cell>
          <cell r="CS112">
            <v>4.4711538461538458</v>
          </cell>
          <cell r="CT112">
            <v>4.4711538461538458</v>
          </cell>
          <cell r="CU112">
            <v>4.4711538461538458</v>
          </cell>
          <cell r="CV112">
            <v>4.4711538461538458</v>
          </cell>
          <cell r="CW112">
            <v>4.4711538461538458</v>
          </cell>
          <cell r="CX112">
            <v>4.4711538461538458</v>
          </cell>
          <cell r="CY112">
            <v>4.4711538461538458</v>
          </cell>
          <cell r="CZ112">
            <v>4.6300000000000001E-2</v>
          </cell>
          <cell r="DA112">
            <v>4.6300000000000001E-2</v>
          </cell>
          <cell r="DB112">
            <v>4.6300000000000001E-2</v>
          </cell>
          <cell r="DC112">
            <v>4.6300000000000001E-2</v>
          </cell>
          <cell r="DD112">
            <v>4.6300000000000001E-2</v>
          </cell>
          <cell r="DE112">
            <v>4.6300000000000001E-2</v>
          </cell>
          <cell r="DF112">
            <v>4.6300000000000001E-2</v>
          </cell>
          <cell r="DG112">
            <v>4.6300000000000001E-2</v>
          </cell>
          <cell r="DH112">
            <v>4.6300000000000001E-2</v>
          </cell>
          <cell r="DI112">
            <v>4.6300000000000001E-2</v>
          </cell>
          <cell r="DJ112">
            <v>4.6300000000000001E-2</v>
          </cell>
        </row>
        <row r="113">
          <cell r="C113">
            <v>4020</v>
          </cell>
          <cell r="D113">
            <v>9015</v>
          </cell>
          <cell r="E113" t="str">
            <v>Transportation Heavy Equipment Mechanic,  Inspector/Testor</v>
          </cell>
          <cell r="G113" t="str">
            <v>CBA2</v>
          </cell>
          <cell r="H113" t="str">
            <v>RFP CBA</v>
          </cell>
          <cell r="I113">
            <v>57387.199999999997</v>
          </cell>
          <cell r="J113">
            <v>27.59</v>
          </cell>
          <cell r="K113">
            <v>3.75</v>
          </cell>
          <cell r="L113">
            <v>27.59</v>
          </cell>
          <cell r="M113">
            <v>27.59</v>
          </cell>
          <cell r="N113">
            <v>27.59</v>
          </cell>
          <cell r="O113">
            <v>27.59</v>
          </cell>
          <cell r="P113">
            <v>27.59</v>
          </cell>
          <cell r="Q113">
            <v>27.59</v>
          </cell>
          <cell r="R113">
            <v>27.59</v>
          </cell>
          <cell r="S113">
            <v>27.59</v>
          </cell>
          <cell r="T113">
            <v>27.59</v>
          </cell>
          <cell r="U113">
            <v>27.59</v>
          </cell>
          <cell r="V113">
            <v>27.59</v>
          </cell>
          <cell r="W113">
            <v>5.5</v>
          </cell>
          <cell r="X113">
            <v>5.5</v>
          </cell>
          <cell r="Y113">
            <v>5.5</v>
          </cell>
          <cell r="Z113">
            <v>5.5</v>
          </cell>
          <cell r="AA113">
            <v>5.5</v>
          </cell>
          <cell r="AB113">
            <v>5.5</v>
          </cell>
          <cell r="AC113">
            <v>5.5</v>
          </cell>
          <cell r="AD113">
            <v>5.5</v>
          </cell>
          <cell r="AE113">
            <v>5.5</v>
          </cell>
          <cell r="AF113">
            <v>5.5</v>
          </cell>
          <cell r="AG113">
            <v>5.5</v>
          </cell>
          <cell r="AH113">
            <v>3.75</v>
          </cell>
          <cell r="AI113">
            <v>3.75</v>
          </cell>
          <cell r="AJ113">
            <v>3.75</v>
          </cell>
          <cell r="AK113">
            <v>3.75</v>
          </cell>
          <cell r="AL113">
            <v>3.75</v>
          </cell>
          <cell r="AM113">
            <v>3.75</v>
          </cell>
          <cell r="AN113">
            <v>3.75</v>
          </cell>
          <cell r="AO113">
            <v>3.75</v>
          </cell>
          <cell r="AP113">
            <v>3.75</v>
          </cell>
          <cell r="AQ113">
            <v>3.75</v>
          </cell>
          <cell r="AR113">
            <v>3.75</v>
          </cell>
          <cell r="AS113">
            <v>2.7E-2</v>
          </cell>
          <cell r="AT113">
            <v>8000</v>
          </cell>
          <cell r="AU113">
            <v>216</v>
          </cell>
          <cell r="AV113">
            <v>4.6300000000000001E-2</v>
          </cell>
          <cell r="AW113">
            <v>4.6300000000000001E-2</v>
          </cell>
          <cell r="AX113">
            <v>4.6300000000000001E-2</v>
          </cell>
          <cell r="AY113">
            <v>4.6300000000000001E-2</v>
          </cell>
          <cell r="AZ113">
            <v>4.6300000000000001E-2</v>
          </cell>
          <cell r="BA113">
            <v>4.6300000000000001E-2</v>
          </cell>
          <cell r="BB113">
            <v>4.6300000000000001E-2</v>
          </cell>
          <cell r="BC113">
            <v>4.6300000000000001E-2</v>
          </cell>
          <cell r="BD113">
            <v>4.6300000000000001E-2</v>
          </cell>
          <cell r="BE113">
            <v>4.6300000000000001E-2</v>
          </cell>
          <cell r="BF113">
            <v>4.6300000000000001E-2</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9</v>
          </cell>
          <cell r="CO113">
            <v>4.4711538461538458</v>
          </cell>
          <cell r="CP113">
            <v>4.4711538461538458</v>
          </cell>
          <cell r="CQ113">
            <v>4.4711538461538458</v>
          </cell>
          <cell r="CR113">
            <v>4.4711538461538458</v>
          </cell>
          <cell r="CS113">
            <v>4.4711538461538458</v>
          </cell>
          <cell r="CT113">
            <v>4.4711538461538458</v>
          </cell>
          <cell r="CU113">
            <v>4.4711538461538458</v>
          </cell>
          <cell r="CV113">
            <v>4.4711538461538458</v>
          </cell>
          <cell r="CW113">
            <v>4.4711538461538458</v>
          </cell>
          <cell r="CX113">
            <v>4.4711538461538458</v>
          </cell>
          <cell r="CY113">
            <v>4.4711538461538458</v>
          </cell>
          <cell r="CZ113">
            <v>4.6300000000000001E-2</v>
          </cell>
          <cell r="DA113">
            <v>4.6300000000000001E-2</v>
          </cell>
          <cell r="DB113">
            <v>4.6300000000000001E-2</v>
          </cell>
          <cell r="DC113">
            <v>4.6300000000000001E-2</v>
          </cell>
          <cell r="DD113">
            <v>4.6300000000000001E-2</v>
          </cell>
          <cell r="DE113">
            <v>4.6300000000000001E-2</v>
          </cell>
          <cell r="DF113">
            <v>4.6300000000000001E-2</v>
          </cell>
          <cell r="DG113">
            <v>4.6300000000000001E-2</v>
          </cell>
          <cell r="DH113">
            <v>4.6300000000000001E-2</v>
          </cell>
          <cell r="DI113">
            <v>4.6300000000000001E-2</v>
          </cell>
          <cell r="DJ113">
            <v>4.6300000000000001E-2</v>
          </cell>
        </row>
        <row r="114">
          <cell r="C114">
            <v>4025</v>
          </cell>
          <cell r="D114">
            <v>9015</v>
          </cell>
          <cell r="E114" t="str">
            <v>Transportation Tractor Trailer Driver</v>
          </cell>
          <cell r="G114" t="str">
            <v>CBA2</v>
          </cell>
          <cell r="H114" t="str">
            <v>RFP CBA</v>
          </cell>
          <cell r="I114">
            <v>58156.800000000003</v>
          </cell>
          <cell r="J114">
            <v>27.96</v>
          </cell>
          <cell r="K114">
            <v>3.75</v>
          </cell>
          <cell r="L114">
            <v>27.96</v>
          </cell>
          <cell r="M114">
            <v>27.96</v>
          </cell>
          <cell r="N114">
            <v>27.96</v>
          </cell>
          <cell r="O114">
            <v>27.96</v>
          </cell>
          <cell r="P114">
            <v>27.96</v>
          </cell>
          <cell r="Q114">
            <v>27.96</v>
          </cell>
          <cell r="R114">
            <v>27.96</v>
          </cell>
          <cell r="S114">
            <v>27.96</v>
          </cell>
          <cell r="T114">
            <v>27.96</v>
          </cell>
          <cell r="U114">
            <v>27.96</v>
          </cell>
          <cell r="V114">
            <v>27.96</v>
          </cell>
          <cell r="W114">
            <v>5.5</v>
          </cell>
          <cell r="X114">
            <v>5.5</v>
          </cell>
          <cell r="Y114">
            <v>5.5</v>
          </cell>
          <cell r="Z114">
            <v>5.5</v>
          </cell>
          <cell r="AA114">
            <v>5.5</v>
          </cell>
          <cell r="AB114">
            <v>5.5</v>
          </cell>
          <cell r="AC114">
            <v>5.5</v>
          </cell>
          <cell r="AD114">
            <v>5.5</v>
          </cell>
          <cell r="AE114">
            <v>5.5</v>
          </cell>
          <cell r="AF114">
            <v>5.5</v>
          </cell>
          <cell r="AG114">
            <v>5.5</v>
          </cell>
          <cell r="AH114">
            <v>3.75</v>
          </cell>
          <cell r="AI114">
            <v>3.75</v>
          </cell>
          <cell r="AJ114">
            <v>3.75</v>
          </cell>
          <cell r="AK114">
            <v>3.75</v>
          </cell>
          <cell r="AL114">
            <v>3.75</v>
          </cell>
          <cell r="AM114">
            <v>3.75</v>
          </cell>
          <cell r="AN114">
            <v>3.75</v>
          </cell>
          <cell r="AO114">
            <v>3.75</v>
          </cell>
          <cell r="AP114">
            <v>3.75</v>
          </cell>
          <cell r="AQ114">
            <v>3.75</v>
          </cell>
          <cell r="AR114">
            <v>3.75</v>
          </cell>
          <cell r="AS114">
            <v>2.7E-2</v>
          </cell>
          <cell r="AT114">
            <v>8000</v>
          </cell>
          <cell r="AU114">
            <v>216</v>
          </cell>
          <cell r="AV114">
            <v>4.6300000000000001E-2</v>
          </cell>
          <cell r="AW114">
            <v>4.6300000000000001E-2</v>
          </cell>
          <cell r="AX114">
            <v>4.6300000000000001E-2</v>
          </cell>
          <cell r="AY114">
            <v>4.6300000000000001E-2</v>
          </cell>
          <cell r="AZ114">
            <v>4.6300000000000001E-2</v>
          </cell>
          <cell r="BA114">
            <v>4.6300000000000001E-2</v>
          </cell>
          <cell r="BB114">
            <v>4.6300000000000001E-2</v>
          </cell>
          <cell r="BC114">
            <v>4.6300000000000001E-2</v>
          </cell>
          <cell r="BD114">
            <v>4.6300000000000001E-2</v>
          </cell>
          <cell r="BE114">
            <v>4.6300000000000001E-2</v>
          </cell>
          <cell r="BF114">
            <v>4.6300000000000001E-2</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9</v>
          </cell>
          <cell r="CO114">
            <v>4.4711538461538458</v>
          </cell>
          <cell r="CP114">
            <v>4.4711538461538458</v>
          </cell>
          <cell r="CQ114">
            <v>4.4711538461538458</v>
          </cell>
          <cell r="CR114">
            <v>4.4711538461538458</v>
          </cell>
          <cell r="CS114">
            <v>4.4711538461538458</v>
          </cell>
          <cell r="CT114">
            <v>4.4711538461538458</v>
          </cell>
          <cell r="CU114">
            <v>4.4711538461538458</v>
          </cell>
          <cell r="CV114">
            <v>4.4711538461538458</v>
          </cell>
          <cell r="CW114">
            <v>4.4711538461538458</v>
          </cell>
          <cell r="CX114">
            <v>4.4711538461538458</v>
          </cell>
          <cell r="CY114">
            <v>4.4711538461538458</v>
          </cell>
          <cell r="CZ114">
            <v>4.6300000000000001E-2</v>
          </cell>
          <cell r="DA114">
            <v>4.6300000000000001E-2</v>
          </cell>
          <cell r="DB114">
            <v>4.6300000000000001E-2</v>
          </cell>
          <cell r="DC114">
            <v>4.6300000000000001E-2</v>
          </cell>
          <cell r="DD114">
            <v>4.6300000000000001E-2</v>
          </cell>
          <cell r="DE114">
            <v>4.6300000000000001E-2</v>
          </cell>
          <cell r="DF114">
            <v>4.6300000000000001E-2</v>
          </cell>
          <cell r="DG114">
            <v>4.6300000000000001E-2</v>
          </cell>
          <cell r="DH114">
            <v>4.6300000000000001E-2</v>
          </cell>
          <cell r="DI114">
            <v>4.6300000000000001E-2</v>
          </cell>
          <cell r="DJ114">
            <v>4.6300000000000001E-2</v>
          </cell>
        </row>
        <row r="115">
          <cell r="C115">
            <v>4030</v>
          </cell>
          <cell r="D115">
            <v>9015</v>
          </cell>
          <cell r="E115" t="str">
            <v>Transportation Material Coordinator</v>
          </cell>
          <cell r="G115" t="str">
            <v>CBA2</v>
          </cell>
          <cell r="H115" t="str">
            <v>RFP CBA</v>
          </cell>
          <cell r="I115">
            <v>49649.599999999999</v>
          </cell>
          <cell r="J115">
            <v>23.87</v>
          </cell>
          <cell r="K115">
            <v>3.75</v>
          </cell>
          <cell r="L115">
            <v>23.87</v>
          </cell>
          <cell r="M115">
            <v>23.87</v>
          </cell>
          <cell r="N115">
            <v>23.87</v>
          </cell>
          <cell r="O115">
            <v>23.87</v>
          </cell>
          <cell r="P115">
            <v>23.87</v>
          </cell>
          <cell r="Q115">
            <v>23.87</v>
          </cell>
          <cell r="R115">
            <v>23.87</v>
          </cell>
          <cell r="S115">
            <v>23.87</v>
          </cell>
          <cell r="T115">
            <v>23.87</v>
          </cell>
          <cell r="U115">
            <v>23.87</v>
          </cell>
          <cell r="V115">
            <v>23.87</v>
          </cell>
          <cell r="W115">
            <v>5.5</v>
          </cell>
          <cell r="X115">
            <v>5.5</v>
          </cell>
          <cell r="Y115">
            <v>5.5</v>
          </cell>
          <cell r="Z115">
            <v>5.5</v>
          </cell>
          <cell r="AA115">
            <v>5.5</v>
          </cell>
          <cell r="AB115">
            <v>5.5</v>
          </cell>
          <cell r="AC115">
            <v>5.5</v>
          </cell>
          <cell r="AD115">
            <v>5.5</v>
          </cell>
          <cell r="AE115">
            <v>5.5</v>
          </cell>
          <cell r="AF115">
            <v>5.5</v>
          </cell>
          <cell r="AG115">
            <v>5.5</v>
          </cell>
          <cell r="AH115">
            <v>3.75</v>
          </cell>
          <cell r="AI115">
            <v>3.75</v>
          </cell>
          <cell r="AJ115">
            <v>3.75</v>
          </cell>
          <cell r="AK115">
            <v>3.75</v>
          </cell>
          <cell r="AL115">
            <v>3.75</v>
          </cell>
          <cell r="AM115">
            <v>3.75</v>
          </cell>
          <cell r="AN115">
            <v>3.75</v>
          </cell>
          <cell r="AO115">
            <v>3.75</v>
          </cell>
          <cell r="AP115">
            <v>3.75</v>
          </cell>
          <cell r="AQ115">
            <v>3.75</v>
          </cell>
          <cell r="AR115">
            <v>3.75</v>
          </cell>
          <cell r="AS115">
            <v>2.7E-2</v>
          </cell>
          <cell r="AT115">
            <v>8000</v>
          </cell>
          <cell r="AU115">
            <v>216</v>
          </cell>
          <cell r="AV115">
            <v>4.6300000000000001E-2</v>
          </cell>
          <cell r="AW115">
            <v>4.6300000000000001E-2</v>
          </cell>
          <cell r="AX115">
            <v>4.6300000000000001E-2</v>
          </cell>
          <cell r="AY115">
            <v>4.6300000000000001E-2</v>
          </cell>
          <cell r="AZ115">
            <v>4.6300000000000001E-2</v>
          </cell>
          <cell r="BA115">
            <v>4.6300000000000001E-2</v>
          </cell>
          <cell r="BB115">
            <v>4.6300000000000001E-2</v>
          </cell>
          <cell r="BC115">
            <v>4.6300000000000001E-2</v>
          </cell>
          <cell r="BD115">
            <v>4.6300000000000001E-2</v>
          </cell>
          <cell r="BE115">
            <v>4.6300000000000001E-2</v>
          </cell>
          <cell r="BF115">
            <v>4.6300000000000001E-2</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9</v>
          </cell>
          <cell r="CO115">
            <v>4.4711538461538458</v>
          </cell>
          <cell r="CP115">
            <v>4.4711538461538458</v>
          </cell>
          <cell r="CQ115">
            <v>4.4711538461538458</v>
          </cell>
          <cell r="CR115">
            <v>4.4711538461538458</v>
          </cell>
          <cell r="CS115">
            <v>4.4711538461538458</v>
          </cell>
          <cell r="CT115">
            <v>4.4711538461538458</v>
          </cell>
          <cell r="CU115">
            <v>4.4711538461538458</v>
          </cell>
          <cell r="CV115">
            <v>4.4711538461538458</v>
          </cell>
          <cell r="CW115">
            <v>4.4711538461538458</v>
          </cell>
          <cell r="CX115">
            <v>4.4711538461538458</v>
          </cell>
          <cell r="CY115">
            <v>4.4711538461538458</v>
          </cell>
          <cell r="CZ115">
            <v>4.6300000000000001E-2</v>
          </cell>
          <cell r="DA115">
            <v>4.6300000000000001E-2</v>
          </cell>
          <cell r="DB115">
            <v>4.6300000000000001E-2</v>
          </cell>
          <cell r="DC115">
            <v>4.6300000000000001E-2</v>
          </cell>
          <cell r="DD115">
            <v>4.6300000000000001E-2</v>
          </cell>
          <cell r="DE115">
            <v>4.6300000000000001E-2</v>
          </cell>
          <cell r="DF115">
            <v>4.6300000000000001E-2</v>
          </cell>
          <cell r="DG115">
            <v>4.6300000000000001E-2</v>
          </cell>
          <cell r="DH115">
            <v>4.6300000000000001E-2</v>
          </cell>
          <cell r="DI115">
            <v>4.6300000000000001E-2</v>
          </cell>
          <cell r="DJ115">
            <v>4.6300000000000001E-2</v>
          </cell>
        </row>
        <row r="116">
          <cell r="C116">
            <v>4035</v>
          </cell>
          <cell r="D116">
            <v>9015</v>
          </cell>
          <cell r="E116" t="str">
            <v>Transportation Bus Driver</v>
          </cell>
          <cell r="G116" t="str">
            <v>CBA2</v>
          </cell>
          <cell r="H116" t="str">
            <v>RFP CBA</v>
          </cell>
          <cell r="I116">
            <v>45656</v>
          </cell>
          <cell r="J116">
            <v>21.95</v>
          </cell>
          <cell r="K116">
            <v>3.75</v>
          </cell>
          <cell r="L116">
            <v>21.95</v>
          </cell>
          <cell r="M116">
            <v>21.95</v>
          </cell>
          <cell r="N116">
            <v>21.95</v>
          </cell>
          <cell r="O116">
            <v>21.95</v>
          </cell>
          <cell r="P116">
            <v>21.95</v>
          </cell>
          <cell r="Q116">
            <v>21.95</v>
          </cell>
          <cell r="R116">
            <v>21.95</v>
          </cell>
          <cell r="S116">
            <v>21.95</v>
          </cell>
          <cell r="T116">
            <v>21.95</v>
          </cell>
          <cell r="U116">
            <v>21.95</v>
          </cell>
          <cell r="V116">
            <v>21.95</v>
          </cell>
          <cell r="W116">
            <v>5.5</v>
          </cell>
          <cell r="X116">
            <v>5.5</v>
          </cell>
          <cell r="Y116">
            <v>5.5</v>
          </cell>
          <cell r="Z116">
            <v>5.5</v>
          </cell>
          <cell r="AA116">
            <v>5.5</v>
          </cell>
          <cell r="AB116">
            <v>5.5</v>
          </cell>
          <cell r="AC116">
            <v>5.5</v>
          </cell>
          <cell r="AD116">
            <v>5.5</v>
          </cell>
          <cell r="AE116">
            <v>5.5</v>
          </cell>
          <cell r="AF116">
            <v>5.5</v>
          </cell>
          <cell r="AG116">
            <v>5.5</v>
          </cell>
          <cell r="AH116">
            <v>3.75</v>
          </cell>
          <cell r="AI116">
            <v>3.75</v>
          </cell>
          <cell r="AJ116">
            <v>3.75</v>
          </cell>
          <cell r="AK116">
            <v>3.75</v>
          </cell>
          <cell r="AL116">
            <v>3.75</v>
          </cell>
          <cell r="AM116">
            <v>3.75</v>
          </cell>
          <cell r="AN116">
            <v>3.75</v>
          </cell>
          <cell r="AO116">
            <v>3.75</v>
          </cell>
          <cell r="AP116">
            <v>3.75</v>
          </cell>
          <cell r="AQ116">
            <v>3.75</v>
          </cell>
          <cell r="AR116">
            <v>3.75</v>
          </cell>
          <cell r="AS116">
            <v>2.7E-2</v>
          </cell>
          <cell r="AT116">
            <v>8000</v>
          </cell>
          <cell r="AU116">
            <v>216</v>
          </cell>
          <cell r="AV116">
            <v>4.6300000000000001E-2</v>
          </cell>
          <cell r="AW116">
            <v>4.6300000000000001E-2</v>
          </cell>
          <cell r="AX116">
            <v>4.6300000000000001E-2</v>
          </cell>
          <cell r="AY116">
            <v>4.6300000000000001E-2</v>
          </cell>
          <cell r="AZ116">
            <v>4.6300000000000001E-2</v>
          </cell>
          <cell r="BA116">
            <v>4.6300000000000001E-2</v>
          </cell>
          <cell r="BB116">
            <v>4.6300000000000001E-2</v>
          </cell>
          <cell r="BC116">
            <v>4.6300000000000001E-2</v>
          </cell>
          <cell r="BD116">
            <v>4.6300000000000001E-2</v>
          </cell>
          <cell r="BE116">
            <v>4.6300000000000001E-2</v>
          </cell>
          <cell r="BF116">
            <v>4.6300000000000001E-2</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9</v>
          </cell>
          <cell r="CO116">
            <v>4.4711538461538458</v>
          </cell>
          <cell r="CP116">
            <v>4.4711538461538458</v>
          </cell>
          <cell r="CQ116">
            <v>4.4711538461538458</v>
          </cell>
          <cell r="CR116">
            <v>4.4711538461538458</v>
          </cell>
          <cell r="CS116">
            <v>4.4711538461538458</v>
          </cell>
          <cell r="CT116">
            <v>4.4711538461538458</v>
          </cell>
          <cell r="CU116">
            <v>4.4711538461538458</v>
          </cell>
          <cell r="CV116">
            <v>4.4711538461538458</v>
          </cell>
          <cell r="CW116">
            <v>4.4711538461538458</v>
          </cell>
          <cell r="CX116">
            <v>4.4711538461538458</v>
          </cell>
          <cell r="CY116">
            <v>4.4711538461538458</v>
          </cell>
          <cell r="CZ116">
            <v>4.6300000000000001E-2</v>
          </cell>
          <cell r="DA116">
            <v>4.6300000000000001E-2</v>
          </cell>
          <cell r="DB116">
            <v>4.6300000000000001E-2</v>
          </cell>
          <cell r="DC116">
            <v>4.6300000000000001E-2</v>
          </cell>
          <cell r="DD116">
            <v>4.6300000000000001E-2</v>
          </cell>
          <cell r="DE116">
            <v>4.6300000000000001E-2</v>
          </cell>
          <cell r="DF116">
            <v>4.6300000000000001E-2</v>
          </cell>
          <cell r="DG116">
            <v>4.6300000000000001E-2</v>
          </cell>
          <cell r="DH116">
            <v>4.6300000000000001E-2</v>
          </cell>
          <cell r="DI116">
            <v>4.6300000000000001E-2</v>
          </cell>
          <cell r="DJ116">
            <v>4.6300000000000001E-2</v>
          </cell>
        </row>
        <row r="117">
          <cell r="C117">
            <v>4040</v>
          </cell>
          <cell r="D117">
            <v>9015</v>
          </cell>
          <cell r="E117" t="str">
            <v>Transportation Shuttle Bus Driver</v>
          </cell>
          <cell r="G117" t="str">
            <v>CBA2</v>
          </cell>
          <cell r="H117" t="str">
            <v>RFP CBA</v>
          </cell>
          <cell r="I117">
            <v>40747.199999999997</v>
          </cell>
          <cell r="J117">
            <v>19.59</v>
          </cell>
          <cell r="K117">
            <v>3.75</v>
          </cell>
          <cell r="L117">
            <v>19.59</v>
          </cell>
          <cell r="M117">
            <v>19.59</v>
          </cell>
          <cell r="N117">
            <v>19.59</v>
          </cell>
          <cell r="O117">
            <v>19.59</v>
          </cell>
          <cell r="P117">
            <v>19.59</v>
          </cell>
          <cell r="Q117">
            <v>19.59</v>
          </cell>
          <cell r="R117">
            <v>19.59</v>
          </cell>
          <cell r="S117">
            <v>19.59</v>
          </cell>
          <cell r="T117">
            <v>19.59</v>
          </cell>
          <cell r="U117">
            <v>19.59</v>
          </cell>
          <cell r="V117">
            <v>19.59</v>
          </cell>
          <cell r="W117">
            <v>5.5</v>
          </cell>
          <cell r="X117">
            <v>5.5</v>
          </cell>
          <cell r="Y117">
            <v>5.5</v>
          </cell>
          <cell r="Z117">
            <v>5.5</v>
          </cell>
          <cell r="AA117">
            <v>5.5</v>
          </cell>
          <cell r="AB117">
            <v>5.5</v>
          </cell>
          <cell r="AC117">
            <v>5.5</v>
          </cell>
          <cell r="AD117">
            <v>5.5</v>
          </cell>
          <cell r="AE117">
            <v>5.5</v>
          </cell>
          <cell r="AF117">
            <v>5.5</v>
          </cell>
          <cell r="AG117">
            <v>5.5</v>
          </cell>
          <cell r="AH117">
            <v>3.75</v>
          </cell>
          <cell r="AI117">
            <v>3.75</v>
          </cell>
          <cell r="AJ117">
            <v>3.75</v>
          </cell>
          <cell r="AK117">
            <v>3.75</v>
          </cell>
          <cell r="AL117">
            <v>3.75</v>
          </cell>
          <cell r="AM117">
            <v>3.75</v>
          </cell>
          <cell r="AN117">
            <v>3.75</v>
          </cell>
          <cell r="AO117">
            <v>3.75</v>
          </cell>
          <cell r="AP117">
            <v>3.75</v>
          </cell>
          <cell r="AQ117">
            <v>3.75</v>
          </cell>
          <cell r="AR117">
            <v>3.75</v>
          </cell>
          <cell r="AS117">
            <v>2.7E-2</v>
          </cell>
          <cell r="AT117">
            <v>8000</v>
          </cell>
          <cell r="AU117">
            <v>216</v>
          </cell>
          <cell r="AV117">
            <v>4.6300000000000001E-2</v>
          </cell>
          <cell r="AW117">
            <v>4.6300000000000001E-2</v>
          </cell>
          <cell r="AX117">
            <v>4.6300000000000001E-2</v>
          </cell>
          <cell r="AY117">
            <v>4.6300000000000001E-2</v>
          </cell>
          <cell r="AZ117">
            <v>4.6300000000000001E-2</v>
          </cell>
          <cell r="BA117">
            <v>4.6300000000000001E-2</v>
          </cell>
          <cell r="BB117">
            <v>4.6300000000000001E-2</v>
          </cell>
          <cell r="BC117">
            <v>4.6300000000000001E-2</v>
          </cell>
          <cell r="BD117">
            <v>4.6300000000000001E-2</v>
          </cell>
          <cell r="BE117">
            <v>4.6300000000000001E-2</v>
          </cell>
          <cell r="BF117">
            <v>4.6300000000000001E-2</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9</v>
          </cell>
          <cell r="CO117">
            <v>4.4711538461538458</v>
          </cell>
          <cell r="CP117">
            <v>4.4711538461538458</v>
          </cell>
          <cell r="CQ117">
            <v>4.4711538461538458</v>
          </cell>
          <cell r="CR117">
            <v>4.4711538461538458</v>
          </cell>
          <cell r="CS117">
            <v>4.4711538461538458</v>
          </cell>
          <cell r="CT117">
            <v>4.4711538461538458</v>
          </cell>
          <cell r="CU117">
            <v>4.4711538461538458</v>
          </cell>
          <cell r="CV117">
            <v>4.4711538461538458</v>
          </cell>
          <cell r="CW117">
            <v>4.4711538461538458</v>
          </cell>
          <cell r="CX117">
            <v>4.4711538461538458</v>
          </cell>
          <cell r="CY117">
            <v>4.4711538461538458</v>
          </cell>
          <cell r="CZ117">
            <v>4.6300000000000001E-2</v>
          </cell>
          <cell r="DA117">
            <v>4.6300000000000001E-2</v>
          </cell>
          <cell r="DB117">
            <v>4.6300000000000001E-2</v>
          </cell>
          <cell r="DC117">
            <v>4.6300000000000001E-2</v>
          </cell>
          <cell r="DD117">
            <v>4.6300000000000001E-2</v>
          </cell>
          <cell r="DE117">
            <v>4.6300000000000001E-2</v>
          </cell>
          <cell r="DF117">
            <v>4.6300000000000001E-2</v>
          </cell>
          <cell r="DG117">
            <v>4.6300000000000001E-2</v>
          </cell>
          <cell r="DH117">
            <v>4.6300000000000001E-2</v>
          </cell>
          <cell r="DI117">
            <v>4.6300000000000001E-2</v>
          </cell>
          <cell r="DJ117">
            <v>4.6300000000000001E-2</v>
          </cell>
        </row>
        <row r="118">
          <cell r="C118">
            <v>4045</v>
          </cell>
          <cell r="D118">
            <v>9015</v>
          </cell>
          <cell r="E118" t="str">
            <v>Transportation Motor Vehicle Mechanic</v>
          </cell>
          <cell r="G118" t="str">
            <v>CBA2</v>
          </cell>
          <cell r="H118" t="str">
            <v>RFP CBA</v>
          </cell>
          <cell r="I118">
            <v>54038.400000000001</v>
          </cell>
          <cell r="J118">
            <v>25.98</v>
          </cell>
          <cell r="K118">
            <v>3.75</v>
          </cell>
          <cell r="L118">
            <v>25.98</v>
          </cell>
          <cell r="M118">
            <v>25.98</v>
          </cell>
          <cell r="N118">
            <v>25.98</v>
          </cell>
          <cell r="O118">
            <v>25.98</v>
          </cell>
          <cell r="P118">
            <v>25.98</v>
          </cell>
          <cell r="Q118">
            <v>25.98</v>
          </cell>
          <cell r="R118">
            <v>25.98</v>
          </cell>
          <cell r="S118">
            <v>25.98</v>
          </cell>
          <cell r="T118">
            <v>25.98</v>
          </cell>
          <cell r="U118">
            <v>25.98</v>
          </cell>
          <cell r="V118">
            <v>25.98</v>
          </cell>
          <cell r="W118">
            <v>5.5</v>
          </cell>
          <cell r="X118">
            <v>5.5</v>
          </cell>
          <cell r="Y118">
            <v>5.5</v>
          </cell>
          <cell r="Z118">
            <v>5.5</v>
          </cell>
          <cell r="AA118">
            <v>5.5</v>
          </cell>
          <cell r="AB118">
            <v>5.5</v>
          </cell>
          <cell r="AC118">
            <v>5.5</v>
          </cell>
          <cell r="AD118">
            <v>5.5</v>
          </cell>
          <cell r="AE118">
            <v>5.5</v>
          </cell>
          <cell r="AF118">
            <v>5.5</v>
          </cell>
          <cell r="AG118">
            <v>5.5</v>
          </cell>
          <cell r="AH118">
            <v>3.75</v>
          </cell>
          <cell r="AI118">
            <v>3.75</v>
          </cell>
          <cell r="AJ118">
            <v>3.75</v>
          </cell>
          <cell r="AK118">
            <v>3.75</v>
          </cell>
          <cell r="AL118">
            <v>3.75</v>
          </cell>
          <cell r="AM118">
            <v>3.75</v>
          </cell>
          <cell r="AN118">
            <v>3.75</v>
          </cell>
          <cell r="AO118">
            <v>3.75</v>
          </cell>
          <cell r="AP118">
            <v>3.75</v>
          </cell>
          <cell r="AQ118">
            <v>3.75</v>
          </cell>
          <cell r="AR118">
            <v>3.75</v>
          </cell>
          <cell r="AS118">
            <v>2.7E-2</v>
          </cell>
          <cell r="AT118">
            <v>8000</v>
          </cell>
          <cell r="AU118">
            <v>216</v>
          </cell>
          <cell r="AV118">
            <v>4.6300000000000001E-2</v>
          </cell>
          <cell r="AW118">
            <v>4.6300000000000001E-2</v>
          </cell>
          <cell r="AX118">
            <v>4.6300000000000001E-2</v>
          </cell>
          <cell r="AY118">
            <v>4.6300000000000001E-2</v>
          </cell>
          <cell r="AZ118">
            <v>4.6300000000000001E-2</v>
          </cell>
          <cell r="BA118">
            <v>4.6300000000000001E-2</v>
          </cell>
          <cell r="BB118">
            <v>4.6300000000000001E-2</v>
          </cell>
          <cell r="BC118">
            <v>4.6300000000000001E-2</v>
          </cell>
          <cell r="BD118">
            <v>4.6300000000000001E-2</v>
          </cell>
          <cell r="BE118">
            <v>4.6300000000000001E-2</v>
          </cell>
          <cell r="BF118">
            <v>4.6300000000000001E-2</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9</v>
          </cell>
          <cell r="CO118">
            <v>4.4711538461538458</v>
          </cell>
          <cell r="CP118">
            <v>4.4711538461538458</v>
          </cell>
          <cell r="CQ118">
            <v>4.4711538461538458</v>
          </cell>
          <cell r="CR118">
            <v>4.4711538461538458</v>
          </cell>
          <cell r="CS118">
            <v>4.4711538461538458</v>
          </cell>
          <cell r="CT118">
            <v>4.4711538461538458</v>
          </cell>
          <cell r="CU118">
            <v>4.4711538461538458</v>
          </cell>
          <cell r="CV118">
            <v>4.4711538461538458</v>
          </cell>
          <cell r="CW118">
            <v>4.4711538461538458</v>
          </cell>
          <cell r="CX118">
            <v>4.4711538461538458</v>
          </cell>
          <cell r="CY118">
            <v>4.4711538461538458</v>
          </cell>
          <cell r="CZ118">
            <v>4.6300000000000001E-2</v>
          </cell>
          <cell r="DA118">
            <v>4.6300000000000001E-2</v>
          </cell>
          <cell r="DB118">
            <v>4.6300000000000001E-2</v>
          </cell>
          <cell r="DC118">
            <v>4.6300000000000001E-2</v>
          </cell>
          <cell r="DD118">
            <v>4.6300000000000001E-2</v>
          </cell>
          <cell r="DE118">
            <v>4.6300000000000001E-2</v>
          </cell>
          <cell r="DF118">
            <v>4.6300000000000001E-2</v>
          </cell>
          <cell r="DG118">
            <v>4.6300000000000001E-2</v>
          </cell>
          <cell r="DH118">
            <v>4.6300000000000001E-2</v>
          </cell>
          <cell r="DI118">
            <v>4.6300000000000001E-2</v>
          </cell>
          <cell r="DJ118">
            <v>4.6300000000000001E-2</v>
          </cell>
        </row>
        <row r="119">
          <cell r="C119">
            <v>4050</v>
          </cell>
          <cell r="D119">
            <v>9015</v>
          </cell>
          <cell r="E119" t="str">
            <v>Transportation Automotive Worker</v>
          </cell>
          <cell r="G119" t="str">
            <v>CBA2</v>
          </cell>
          <cell r="H119" t="str">
            <v>RFP CBA</v>
          </cell>
          <cell r="I119">
            <v>47528</v>
          </cell>
          <cell r="J119">
            <v>22.85</v>
          </cell>
          <cell r="K119">
            <v>3.75</v>
          </cell>
          <cell r="L119">
            <v>22.85</v>
          </cell>
          <cell r="M119">
            <v>22.85</v>
          </cell>
          <cell r="N119">
            <v>22.85</v>
          </cell>
          <cell r="O119">
            <v>22.85</v>
          </cell>
          <cell r="P119">
            <v>22.85</v>
          </cell>
          <cell r="Q119">
            <v>22.85</v>
          </cell>
          <cell r="R119">
            <v>22.85</v>
          </cell>
          <cell r="S119">
            <v>22.85</v>
          </cell>
          <cell r="T119">
            <v>22.85</v>
          </cell>
          <cell r="U119">
            <v>22.85</v>
          </cell>
          <cell r="V119">
            <v>22.85</v>
          </cell>
          <cell r="W119">
            <v>5.5</v>
          </cell>
          <cell r="X119">
            <v>5.5</v>
          </cell>
          <cell r="Y119">
            <v>5.5</v>
          </cell>
          <cell r="Z119">
            <v>5.5</v>
          </cell>
          <cell r="AA119">
            <v>5.5</v>
          </cell>
          <cell r="AB119">
            <v>5.5</v>
          </cell>
          <cell r="AC119">
            <v>5.5</v>
          </cell>
          <cell r="AD119">
            <v>5.5</v>
          </cell>
          <cell r="AE119">
            <v>5.5</v>
          </cell>
          <cell r="AF119">
            <v>5.5</v>
          </cell>
          <cell r="AG119">
            <v>5.5</v>
          </cell>
          <cell r="AH119">
            <v>3.75</v>
          </cell>
          <cell r="AI119">
            <v>3.75</v>
          </cell>
          <cell r="AJ119">
            <v>3.75</v>
          </cell>
          <cell r="AK119">
            <v>3.75</v>
          </cell>
          <cell r="AL119">
            <v>3.75</v>
          </cell>
          <cell r="AM119">
            <v>3.75</v>
          </cell>
          <cell r="AN119">
            <v>3.75</v>
          </cell>
          <cell r="AO119">
            <v>3.75</v>
          </cell>
          <cell r="AP119">
            <v>3.75</v>
          </cell>
          <cell r="AQ119">
            <v>3.75</v>
          </cell>
          <cell r="AR119">
            <v>3.75</v>
          </cell>
          <cell r="AS119">
            <v>2.7E-2</v>
          </cell>
          <cell r="AT119">
            <v>8000</v>
          </cell>
          <cell r="AU119">
            <v>216</v>
          </cell>
          <cell r="AV119">
            <v>4.6300000000000001E-2</v>
          </cell>
          <cell r="AW119">
            <v>4.6300000000000001E-2</v>
          </cell>
          <cell r="AX119">
            <v>4.6300000000000001E-2</v>
          </cell>
          <cell r="AY119">
            <v>4.6300000000000001E-2</v>
          </cell>
          <cell r="AZ119">
            <v>4.6300000000000001E-2</v>
          </cell>
          <cell r="BA119">
            <v>4.6300000000000001E-2</v>
          </cell>
          <cell r="BB119">
            <v>4.6300000000000001E-2</v>
          </cell>
          <cell r="BC119">
            <v>4.6300000000000001E-2</v>
          </cell>
          <cell r="BD119">
            <v>4.6300000000000001E-2</v>
          </cell>
          <cell r="BE119">
            <v>4.6300000000000001E-2</v>
          </cell>
          <cell r="BF119">
            <v>4.6300000000000001E-2</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9</v>
          </cell>
          <cell r="CO119">
            <v>4.4711538461538458</v>
          </cell>
          <cell r="CP119">
            <v>4.4711538461538458</v>
          </cell>
          <cell r="CQ119">
            <v>4.4711538461538458</v>
          </cell>
          <cell r="CR119">
            <v>4.4711538461538458</v>
          </cell>
          <cell r="CS119">
            <v>4.4711538461538458</v>
          </cell>
          <cell r="CT119">
            <v>4.4711538461538458</v>
          </cell>
          <cell r="CU119">
            <v>4.4711538461538458</v>
          </cell>
          <cell r="CV119">
            <v>4.4711538461538458</v>
          </cell>
          <cell r="CW119">
            <v>4.4711538461538458</v>
          </cell>
          <cell r="CX119">
            <v>4.4711538461538458</v>
          </cell>
          <cell r="CY119">
            <v>4.4711538461538458</v>
          </cell>
          <cell r="CZ119">
            <v>4.6300000000000001E-2</v>
          </cell>
          <cell r="DA119">
            <v>4.6300000000000001E-2</v>
          </cell>
          <cell r="DB119">
            <v>4.6300000000000001E-2</v>
          </cell>
          <cell r="DC119">
            <v>4.6300000000000001E-2</v>
          </cell>
          <cell r="DD119">
            <v>4.6300000000000001E-2</v>
          </cell>
          <cell r="DE119">
            <v>4.6300000000000001E-2</v>
          </cell>
          <cell r="DF119">
            <v>4.6300000000000001E-2</v>
          </cell>
          <cell r="DG119">
            <v>4.6300000000000001E-2</v>
          </cell>
          <cell r="DH119">
            <v>4.6300000000000001E-2</v>
          </cell>
          <cell r="DI119">
            <v>4.6300000000000001E-2</v>
          </cell>
          <cell r="DJ119">
            <v>4.6300000000000001E-2</v>
          </cell>
        </row>
        <row r="120">
          <cell r="C120">
            <v>4055</v>
          </cell>
          <cell r="D120">
            <v>9015</v>
          </cell>
          <cell r="E120" t="str">
            <v>Transportation Dispatcher/Controller</v>
          </cell>
          <cell r="G120" t="str">
            <v>CBA2</v>
          </cell>
          <cell r="H120" t="str">
            <v>RFP CBA</v>
          </cell>
          <cell r="I120">
            <v>45177.599999999999</v>
          </cell>
          <cell r="J120">
            <v>21.72</v>
          </cell>
          <cell r="K120">
            <v>3.75</v>
          </cell>
          <cell r="L120">
            <v>21.72</v>
          </cell>
          <cell r="M120">
            <v>21.72</v>
          </cell>
          <cell r="N120">
            <v>21.72</v>
          </cell>
          <cell r="O120">
            <v>21.72</v>
          </cell>
          <cell r="P120">
            <v>21.72</v>
          </cell>
          <cell r="Q120">
            <v>21.72</v>
          </cell>
          <cell r="R120">
            <v>21.72</v>
          </cell>
          <cell r="S120">
            <v>21.72</v>
          </cell>
          <cell r="T120">
            <v>21.72</v>
          </cell>
          <cell r="U120">
            <v>21.72</v>
          </cell>
          <cell r="V120">
            <v>21.72</v>
          </cell>
          <cell r="W120">
            <v>5.5</v>
          </cell>
          <cell r="X120">
            <v>5.5</v>
          </cell>
          <cell r="Y120">
            <v>5.5</v>
          </cell>
          <cell r="Z120">
            <v>5.5</v>
          </cell>
          <cell r="AA120">
            <v>5.5</v>
          </cell>
          <cell r="AB120">
            <v>5.5</v>
          </cell>
          <cell r="AC120">
            <v>5.5</v>
          </cell>
          <cell r="AD120">
            <v>5.5</v>
          </cell>
          <cell r="AE120">
            <v>5.5</v>
          </cell>
          <cell r="AF120">
            <v>5.5</v>
          </cell>
          <cell r="AG120">
            <v>5.5</v>
          </cell>
          <cell r="AH120">
            <v>3.75</v>
          </cell>
          <cell r="AI120">
            <v>3.75</v>
          </cell>
          <cell r="AJ120">
            <v>3.75</v>
          </cell>
          <cell r="AK120">
            <v>3.75</v>
          </cell>
          <cell r="AL120">
            <v>3.75</v>
          </cell>
          <cell r="AM120">
            <v>3.75</v>
          </cell>
          <cell r="AN120">
            <v>3.75</v>
          </cell>
          <cell r="AO120">
            <v>3.75</v>
          </cell>
          <cell r="AP120">
            <v>3.75</v>
          </cell>
          <cell r="AQ120">
            <v>3.75</v>
          </cell>
          <cell r="AR120">
            <v>3.75</v>
          </cell>
          <cell r="AS120">
            <v>2.7E-2</v>
          </cell>
          <cell r="AT120">
            <v>8000</v>
          </cell>
          <cell r="AU120">
            <v>216</v>
          </cell>
          <cell r="AV120">
            <v>4.6300000000000001E-2</v>
          </cell>
          <cell r="AW120">
            <v>4.6300000000000001E-2</v>
          </cell>
          <cell r="AX120">
            <v>4.6300000000000001E-2</v>
          </cell>
          <cell r="AY120">
            <v>4.6300000000000001E-2</v>
          </cell>
          <cell r="AZ120">
            <v>4.6300000000000001E-2</v>
          </cell>
          <cell r="BA120">
            <v>4.6300000000000001E-2</v>
          </cell>
          <cell r="BB120">
            <v>4.6300000000000001E-2</v>
          </cell>
          <cell r="BC120">
            <v>4.6300000000000001E-2</v>
          </cell>
          <cell r="BD120">
            <v>4.6300000000000001E-2</v>
          </cell>
          <cell r="BE120">
            <v>4.6300000000000001E-2</v>
          </cell>
          <cell r="BF120">
            <v>4.6300000000000001E-2</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9</v>
          </cell>
          <cell r="CO120">
            <v>4.4711538461538458</v>
          </cell>
          <cell r="CP120">
            <v>4.4711538461538458</v>
          </cell>
          <cell r="CQ120">
            <v>4.4711538461538458</v>
          </cell>
          <cell r="CR120">
            <v>4.4711538461538458</v>
          </cell>
          <cell r="CS120">
            <v>4.4711538461538458</v>
          </cell>
          <cell r="CT120">
            <v>4.4711538461538458</v>
          </cell>
          <cell r="CU120">
            <v>4.4711538461538458</v>
          </cell>
          <cell r="CV120">
            <v>4.4711538461538458</v>
          </cell>
          <cell r="CW120">
            <v>4.4711538461538458</v>
          </cell>
          <cell r="CX120">
            <v>4.4711538461538458</v>
          </cell>
          <cell r="CY120">
            <v>4.4711538461538458</v>
          </cell>
          <cell r="CZ120">
            <v>4.6300000000000001E-2</v>
          </cell>
          <cell r="DA120">
            <v>4.6300000000000001E-2</v>
          </cell>
          <cell r="DB120">
            <v>4.6300000000000001E-2</v>
          </cell>
          <cell r="DC120">
            <v>4.6300000000000001E-2</v>
          </cell>
          <cell r="DD120">
            <v>4.6300000000000001E-2</v>
          </cell>
          <cell r="DE120">
            <v>4.6300000000000001E-2</v>
          </cell>
          <cell r="DF120">
            <v>4.6300000000000001E-2</v>
          </cell>
          <cell r="DG120">
            <v>4.6300000000000001E-2</v>
          </cell>
          <cell r="DH120">
            <v>4.6300000000000001E-2</v>
          </cell>
          <cell r="DI120">
            <v>4.6300000000000001E-2</v>
          </cell>
          <cell r="DJ120">
            <v>4.6300000000000001E-2</v>
          </cell>
        </row>
        <row r="121">
          <cell r="C121">
            <v>4060</v>
          </cell>
          <cell r="D121">
            <v>9015</v>
          </cell>
          <cell r="E121" t="str">
            <v>Transportation Test Examiner</v>
          </cell>
          <cell r="G121" t="str">
            <v>CBA2</v>
          </cell>
          <cell r="H121" t="str">
            <v>RFP CBA</v>
          </cell>
          <cell r="I121">
            <v>45177.599999999999</v>
          </cell>
          <cell r="J121">
            <v>21.72</v>
          </cell>
          <cell r="K121">
            <v>3.75</v>
          </cell>
          <cell r="L121">
            <v>21.72</v>
          </cell>
          <cell r="M121">
            <v>21.72</v>
          </cell>
          <cell r="N121">
            <v>21.72</v>
          </cell>
          <cell r="O121">
            <v>21.72</v>
          </cell>
          <cell r="P121">
            <v>21.72</v>
          </cell>
          <cell r="Q121">
            <v>21.72</v>
          </cell>
          <cell r="R121">
            <v>21.72</v>
          </cell>
          <cell r="S121">
            <v>21.72</v>
          </cell>
          <cell r="T121">
            <v>21.72</v>
          </cell>
          <cell r="U121">
            <v>21.72</v>
          </cell>
          <cell r="V121">
            <v>21.72</v>
          </cell>
          <cell r="W121">
            <v>5.5</v>
          </cell>
          <cell r="X121">
            <v>5.5</v>
          </cell>
          <cell r="Y121">
            <v>5.5</v>
          </cell>
          <cell r="Z121">
            <v>5.5</v>
          </cell>
          <cell r="AA121">
            <v>5.5</v>
          </cell>
          <cell r="AB121">
            <v>5.5</v>
          </cell>
          <cell r="AC121">
            <v>5.5</v>
          </cell>
          <cell r="AD121">
            <v>5.5</v>
          </cell>
          <cell r="AE121">
            <v>5.5</v>
          </cell>
          <cell r="AF121">
            <v>5.5</v>
          </cell>
          <cell r="AG121">
            <v>5.5</v>
          </cell>
          <cell r="AH121">
            <v>3.75</v>
          </cell>
          <cell r="AI121">
            <v>3.75</v>
          </cell>
          <cell r="AJ121">
            <v>3.75</v>
          </cell>
          <cell r="AK121">
            <v>3.75</v>
          </cell>
          <cell r="AL121">
            <v>3.75</v>
          </cell>
          <cell r="AM121">
            <v>3.75</v>
          </cell>
          <cell r="AN121">
            <v>3.75</v>
          </cell>
          <cell r="AO121">
            <v>3.75</v>
          </cell>
          <cell r="AP121">
            <v>3.75</v>
          </cell>
          <cell r="AQ121">
            <v>3.75</v>
          </cell>
          <cell r="AR121">
            <v>3.75</v>
          </cell>
          <cell r="AS121">
            <v>2.7E-2</v>
          </cell>
          <cell r="AT121">
            <v>8000</v>
          </cell>
          <cell r="AU121">
            <v>216</v>
          </cell>
          <cell r="AV121">
            <v>4.6300000000000001E-2</v>
          </cell>
          <cell r="AW121">
            <v>4.6300000000000001E-2</v>
          </cell>
          <cell r="AX121">
            <v>4.6300000000000001E-2</v>
          </cell>
          <cell r="AY121">
            <v>4.6300000000000001E-2</v>
          </cell>
          <cell r="AZ121">
            <v>4.6300000000000001E-2</v>
          </cell>
          <cell r="BA121">
            <v>4.6300000000000001E-2</v>
          </cell>
          <cell r="BB121">
            <v>4.6300000000000001E-2</v>
          </cell>
          <cell r="BC121">
            <v>4.6300000000000001E-2</v>
          </cell>
          <cell r="BD121">
            <v>4.6300000000000001E-2</v>
          </cell>
          <cell r="BE121">
            <v>4.6300000000000001E-2</v>
          </cell>
          <cell r="BF121">
            <v>4.6300000000000001E-2</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9</v>
          </cell>
          <cell r="CO121">
            <v>4.4711538461538458</v>
          </cell>
          <cell r="CP121">
            <v>4.4711538461538458</v>
          </cell>
          <cell r="CQ121">
            <v>4.4711538461538458</v>
          </cell>
          <cell r="CR121">
            <v>4.4711538461538458</v>
          </cell>
          <cell r="CS121">
            <v>4.4711538461538458</v>
          </cell>
          <cell r="CT121">
            <v>4.4711538461538458</v>
          </cell>
          <cell r="CU121">
            <v>4.4711538461538458</v>
          </cell>
          <cell r="CV121">
            <v>4.4711538461538458</v>
          </cell>
          <cell r="CW121">
            <v>4.4711538461538458</v>
          </cell>
          <cell r="CX121">
            <v>4.4711538461538458</v>
          </cell>
          <cell r="CY121">
            <v>4.4711538461538458</v>
          </cell>
          <cell r="CZ121">
            <v>4.6300000000000001E-2</v>
          </cell>
          <cell r="DA121">
            <v>4.6300000000000001E-2</v>
          </cell>
          <cell r="DB121">
            <v>4.6300000000000001E-2</v>
          </cell>
          <cell r="DC121">
            <v>4.6300000000000001E-2</v>
          </cell>
          <cell r="DD121">
            <v>4.6300000000000001E-2</v>
          </cell>
          <cell r="DE121">
            <v>4.6300000000000001E-2</v>
          </cell>
          <cell r="DF121">
            <v>4.6300000000000001E-2</v>
          </cell>
          <cell r="DG121">
            <v>4.6300000000000001E-2</v>
          </cell>
          <cell r="DH121">
            <v>4.6300000000000001E-2</v>
          </cell>
          <cell r="DI121">
            <v>4.6300000000000001E-2</v>
          </cell>
          <cell r="DJ121">
            <v>4.6300000000000001E-2</v>
          </cell>
        </row>
        <row r="122">
          <cell r="C122">
            <v>4065</v>
          </cell>
          <cell r="D122">
            <v>9015</v>
          </cell>
          <cell r="E122" t="str">
            <v>Transportation Laborer</v>
          </cell>
          <cell r="G122" t="str">
            <v>CBA2</v>
          </cell>
          <cell r="H122" t="str">
            <v>RFP CBA</v>
          </cell>
          <cell r="I122">
            <v>29993.599999999999</v>
          </cell>
          <cell r="J122">
            <v>14.42</v>
          </cell>
          <cell r="K122">
            <v>3.75</v>
          </cell>
          <cell r="L122">
            <v>14.42</v>
          </cell>
          <cell r="M122">
            <v>14.42</v>
          </cell>
          <cell r="N122">
            <v>14.42</v>
          </cell>
          <cell r="O122">
            <v>14.42</v>
          </cell>
          <cell r="P122">
            <v>14.42</v>
          </cell>
          <cell r="Q122">
            <v>14.42</v>
          </cell>
          <cell r="R122">
            <v>14.42</v>
          </cell>
          <cell r="S122">
            <v>14.42</v>
          </cell>
          <cell r="T122">
            <v>14.42</v>
          </cell>
          <cell r="U122">
            <v>14.42</v>
          </cell>
          <cell r="V122">
            <v>14.42</v>
          </cell>
          <cell r="W122">
            <v>5.5</v>
          </cell>
          <cell r="X122">
            <v>5.5</v>
          </cell>
          <cell r="Y122">
            <v>5.5</v>
          </cell>
          <cell r="Z122">
            <v>5.5</v>
          </cell>
          <cell r="AA122">
            <v>5.5</v>
          </cell>
          <cell r="AB122">
            <v>5.5</v>
          </cell>
          <cell r="AC122">
            <v>5.5</v>
          </cell>
          <cell r="AD122">
            <v>5.5</v>
          </cell>
          <cell r="AE122">
            <v>5.5</v>
          </cell>
          <cell r="AF122">
            <v>5.5</v>
          </cell>
          <cell r="AG122">
            <v>5.5</v>
          </cell>
          <cell r="AH122">
            <v>3.75</v>
          </cell>
          <cell r="AI122">
            <v>3.75</v>
          </cell>
          <cell r="AJ122">
            <v>3.75</v>
          </cell>
          <cell r="AK122">
            <v>3.75</v>
          </cell>
          <cell r="AL122">
            <v>3.75</v>
          </cell>
          <cell r="AM122">
            <v>3.75</v>
          </cell>
          <cell r="AN122">
            <v>3.75</v>
          </cell>
          <cell r="AO122">
            <v>3.75</v>
          </cell>
          <cell r="AP122">
            <v>3.75</v>
          </cell>
          <cell r="AQ122">
            <v>3.75</v>
          </cell>
          <cell r="AR122">
            <v>3.75</v>
          </cell>
          <cell r="AS122">
            <v>2.7E-2</v>
          </cell>
          <cell r="AT122">
            <v>8000</v>
          </cell>
          <cell r="AU122">
            <v>216</v>
          </cell>
          <cell r="AV122">
            <v>4.6300000000000001E-2</v>
          </cell>
          <cell r="AW122">
            <v>4.6300000000000001E-2</v>
          </cell>
          <cell r="AX122">
            <v>4.6300000000000001E-2</v>
          </cell>
          <cell r="AY122">
            <v>4.6300000000000001E-2</v>
          </cell>
          <cell r="AZ122">
            <v>4.6300000000000001E-2</v>
          </cell>
          <cell r="BA122">
            <v>4.6300000000000001E-2</v>
          </cell>
          <cell r="BB122">
            <v>4.6300000000000001E-2</v>
          </cell>
          <cell r="BC122">
            <v>4.6300000000000001E-2</v>
          </cell>
          <cell r="BD122">
            <v>4.6300000000000001E-2</v>
          </cell>
          <cell r="BE122">
            <v>4.6300000000000001E-2</v>
          </cell>
          <cell r="BF122">
            <v>4.6300000000000001E-2</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9</v>
          </cell>
          <cell r="CO122">
            <v>4.4711538461538458</v>
          </cell>
          <cell r="CP122">
            <v>4.4711538461538458</v>
          </cell>
          <cell r="CQ122">
            <v>4.4711538461538458</v>
          </cell>
          <cell r="CR122">
            <v>4.4711538461538458</v>
          </cell>
          <cell r="CS122">
            <v>4.4711538461538458</v>
          </cell>
          <cell r="CT122">
            <v>4.4711538461538458</v>
          </cell>
          <cell r="CU122">
            <v>4.4711538461538458</v>
          </cell>
          <cell r="CV122">
            <v>4.4711538461538458</v>
          </cell>
          <cell r="CW122">
            <v>4.4711538461538458</v>
          </cell>
          <cell r="CX122">
            <v>4.4711538461538458</v>
          </cell>
          <cell r="CY122">
            <v>4.4711538461538458</v>
          </cell>
          <cell r="CZ122">
            <v>4.6300000000000001E-2</v>
          </cell>
          <cell r="DA122">
            <v>4.6300000000000001E-2</v>
          </cell>
          <cell r="DB122">
            <v>4.6300000000000001E-2</v>
          </cell>
          <cell r="DC122">
            <v>4.6300000000000001E-2</v>
          </cell>
          <cell r="DD122">
            <v>4.6300000000000001E-2</v>
          </cell>
          <cell r="DE122">
            <v>4.6300000000000001E-2</v>
          </cell>
          <cell r="DF122">
            <v>4.6300000000000001E-2</v>
          </cell>
          <cell r="DG122">
            <v>4.6300000000000001E-2</v>
          </cell>
          <cell r="DH122">
            <v>4.6300000000000001E-2</v>
          </cell>
          <cell r="DI122">
            <v>4.6300000000000001E-2</v>
          </cell>
          <cell r="DJ122">
            <v>4.6300000000000001E-2</v>
          </cell>
        </row>
        <row r="123">
          <cell r="C123">
            <v>4070</v>
          </cell>
          <cell r="D123">
            <v>9015</v>
          </cell>
          <cell r="E123" t="str">
            <v>Transportation Heavy Equipment Operator (Crane Operator)</v>
          </cell>
          <cell r="G123" t="str">
            <v>CBA2</v>
          </cell>
          <cell r="H123" t="str">
            <v>RFP CBA</v>
          </cell>
          <cell r="I123">
            <v>63481.599999999999</v>
          </cell>
          <cell r="J123">
            <v>30.52</v>
          </cell>
          <cell r="K123">
            <v>3.75</v>
          </cell>
          <cell r="L123">
            <v>30.52</v>
          </cell>
          <cell r="M123">
            <v>30.52</v>
          </cell>
          <cell r="N123">
            <v>30.52</v>
          </cell>
          <cell r="O123">
            <v>30.52</v>
          </cell>
          <cell r="P123">
            <v>30.52</v>
          </cell>
          <cell r="Q123">
            <v>30.52</v>
          </cell>
          <cell r="R123">
            <v>30.52</v>
          </cell>
          <cell r="S123">
            <v>30.52</v>
          </cell>
          <cell r="T123">
            <v>30.52</v>
          </cell>
          <cell r="U123">
            <v>30.52</v>
          </cell>
          <cell r="V123">
            <v>30.52</v>
          </cell>
          <cell r="W123">
            <v>5.5</v>
          </cell>
          <cell r="X123">
            <v>5.5</v>
          </cell>
          <cell r="Y123">
            <v>5.5</v>
          </cell>
          <cell r="Z123">
            <v>5.5</v>
          </cell>
          <cell r="AA123">
            <v>5.5</v>
          </cell>
          <cell r="AB123">
            <v>5.5</v>
          </cell>
          <cell r="AC123">
            <v>5.5</v>
          </cell>
          <cell r="AD123">
            <v>5.5</v>
          </cell>
          <cell r="AE123">
            <v>5.5</v>
          </cell>
          <cell r="AF123">
            <v>5.5</v>
          </cell>
          <cell r="AG123">
            <v>5.5</v>
          </cell>
          <cell r="AH123">
            <v>3.75</v>
          </cell>
          <cell r="AI123">
            <v>3.75</v>
          </cell>
          <cell r="AJ123">
            <v>3.75</v>
          </cell>
          <cell r="AK123">
            <v>3.75</v>
          </cell>
          <cell r="AL123">
            <v>3.75</v>
          </cell>
          <cell r="AM123">
            <v>3.75</v>
          </cell>
          <cell r="AN123">
            <v>3.75</v>
          </cell>
          <cell r="AO123">
            <v>3.75</v>
          </cell>
          <cell r="AP123">
            <v>3.75</v>
          </cell>
          <cell r="AQ123">
            <v>3.75</v>
          </cell>
          <cell r="AR123">
            <v>3.75</v>
          </cell>
          <cell r="AS123">
            <v>2.7E-2</v>
          </cell>
          <cell r="AT123">
            <v>8000</v>
          </cell>
          <cell r="AU123">
            <v>216</v>
          </cell>
          <cell r="AV123">
            <v>4.6300000000000001E-2</v>
          </cell>
          <cell r="AW123">
            <v>4.6300000000000001E-2</v>
          </cell>
          <cell r="AX123">
            <v>4.6300000000000001E-2</v>
          </cell>
          <cell r="AY123">
            <v>4.6300000000000001E-2</v>
          </cell>
          <cell r="AZ123">
            <v>4.6300000000000001E-2</v>
          </cell>
          <cell r="BA123">
            <v>4.6300000000000001E-2</v>
          </cell>
          <cell r="BB123">
            <v>4.6300000000000001E-2</v>
          </cell>
          <cell r="BC123">
            <v>4.6300000000000001E-2</v>
          </cell>
          <cell r="BD123">
            <v>4.6300000000000001E-2</v>
          </cell>
          <cell r="BE123">
            <v>4.6300000000000001E-2</v>
          </cell>
          <cell r="BF123">
            <v>4.6300000000000001E-2</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9</v>
          </cell>
          <cell r="CO123">
            <v>4.4711538461538458</v>
          </cell>
          <cell r="CP123">
            <v>4.4711538461538458</v>
          </cell>
          <cell r="CQ123">
            <v>4.4711538461538458</v>
          </cell>
          <cell r="CR123">
            <v>4.4711538461538458</v>
          </cell>
          <cell r="CS123">
            <v>4.4711538461538458</v>
          </cell>
          <cell r="CT123">
            <v>4.4711538461538458</v>
          </cell>
          <cell r="CU123">
            <v>4.4711538461538458</v>
          </cell>
          <cell r="CV123">
            <v>4.4711538461538458</v>
          </cell>
          <cell r="CW123">
            <v>4.4711538461538458</v>
          </cell>
          <cell r="CX123">
            <v>4.4711538461538458</v>
          </cell>
          <cell r="CY123">
            <v>4.4711538461538458</v>
          </cell>
          <cell r="CZ123">
            <v>4.6300000000000001E-2</v>
          </cell>
          <cell r="DA123">
            <v>4.6300000000000001E-2</v>
          </cell>
          <cell r="DB123">
            <v>4.6300000000000001E-2</v>
          </cell>
          <cell r="DC123">
            <v>4.6300000000000001E-2</v>
          </cell>
          <cell r="DD123">
            <v>4.6300000000000001E-2</v>
          </cell>
          <cell r="DE123">
            <v>4.6300000000000001E-2</v>
          </cell>
          <cell r="DF123">
            <v>4.6300000000000001E-2</v>
          </cell>
          <cell r="DG123">
            <v>4.6300000000000001E-2</v>
          </cell>
          <cell r="DH123">
            <v>4.6300000000000001E-2</v>
          </cell>
          <cell r="DI123">
            <v>4.6300000000000001E-2</v>
          </cell>
          <cell r="DJ123">
            <v>4.6300000000000001E-2</v>
          </cell>
        </row>
        <row r="124">
          <cell r="C124">
            <v>4075</v>
          </cell>
          <cell r="D124">
            <v>9015</v>
          </cell>
          <cell r="E124" t="str">
            <v>Transportation Rigger</v>
          </cell>
          <cell r="G124" t="str">
            <v>CBA2</v>
          </cell>
          <cell r="H124" t="str">
            <v>RFP CBA</v>
          </cell>
          <cell r="I124">
            <v>54849.599999999999</v>
          </cell>
          <cell r="J124">
            <v>26.37</v>
          </cell>
          <cell r="K124">
            <v>3.75</v>
          </cell>
          <cell r="L124">
            <v>26.37</v>
          </cell>
          <cell r="M124">
            <v>26.37</v>
          </cell>
          <cell r="N124">
            <v>26.37</v>
          </cell>
          <cell r="O124">
            <v>26.37</v>
          </cell>
          <cell r="P124">
            <v>26.37</v>
          </cell>
          <cell r="Q124">
            <v>26.37</v>
          </cell>
          <cell r="R124">
            <v>26.37</v>
          </cell>
          <cell r="S124">
            <v>26.37</v>
          </cell>
          <cell r="T124">
            <v>26.37</v>
          </cell>
          <cell r="U124">
            <v>26.37</v>
          </cell>
          <cell r="V124">
            <v>26.37</v>
          </cell>
          <cell r="W124">
            <v>5.5</v>
          </cell>
          <cell r="X124">
            <v>5.5</v>
          </cell>
          <cell r="Y124">
            <v>5.5</v>
          </cell>
          <cell r="Z124">
            <v>5.5</v>
          </cell>
          <cell r="AA124">
            <v>5.5</v>
          </cell>
          <cell r="AB124">
            <v>5.5</v>
          </cell>
          <cell r="AC124">
            <v>5.5</v>
          </cell>
          <cell r="AD124">
            <v>5.5</v>
          </cell>
          <cell r="AE124">
            <v>5.5</v>
          </cell>
          <cell r="AF124">
            <v>5.5</v>
          </cell>
          <cell r="AG124">
            <v>5.5</v>
          </cell>
          <cell r="AH124">
            <v>3.75</v>
          </cell>
          <cell r="AI124">
            <v>3.75</v>
          </cell>
          <cell r="AJ124">
            <v>3.75</v>
          </cell>
          <cell r="AK124">
            <v>3.75</v>
          </cell>
          <cell r="AL124">
            <v>3.75</v>
          </cell>
          <cell r="AM124">
            <v>3.75</v>
          </cell>
          <cell r="AN124">
            <v>3.75</v>
          </cell>
          <cell r="AO124">
            <v>3.75</v>
          </cell>
          <cell r="AP124">
            <v>3.75</v>
          </cell>
          <cell r="AQ124">
            <v>3.75</v>
          </cell>
          <cell r="AR124">
            <v>3.75</v>
          </cell>
          <cell r="AS124">
            <v>2.7E-2</v>
          </cell>
          <cell r="AT124">
            <v>8000</v>
          </cell>
          <cell r="AU124">
            <v>216</v>
          </cell>
          <cell r="AV124">
            <v>4.6300000000000001E-2</v>
          </cell>
          <cell r="AW124">
            <v>4.6300000000000001E-2</v>
          </cell>
          <cell r="AX124">
            <v>4.6300000000000001E-2</v>
          </cell>
          <cell r="AY124">
            <v>4.6300000000000001E-2</v>
          </cell>
          <cell r="AZ124">
            <v>4.6300000000000001E-2</v>
          </cell>
          <cell r="BA124">
            <v>4.6300000000000001E-2</v>
          </cell>
          <cell r="BB124">
            <v>4.6300000000000001E-2</v>
          </cell>
          <cell r="BC124">
            <v>4.6300000000000001E-2</v>
          </cell>
          <cell r="BD124">
            <v>4.6300000000000001E-2</v>
          </cell>
          <cell r="BE124">
            <v>4.6300000000000001E-2</v>
          </cell>
          <cell r="BF124">
            <v>4.6300000000000001E-2</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9</v>
          </cell>
          <cell r="CO124">
            <v>4.4711538461538458</v>
          </cell>
          <cell r="CP124">
            <v>4.4711538461538458</v>
          </cell>
          <cell r="CQ124">
            <v>4.4711538461538458</v>
          </cell>
          <cell r="CR124">
            <v>4.4711538461538458</v>
          </cell>
          <cell r="CS124">
            <v>4.4711538461538458</v>
          </cell>
          <cell r="CT124">
            <v>4.4711538461538458</v>
          </cell>
          <cell r="CU124">
            <v>4.4711538461538458</v>
          </cell>
          <cell r="CV124">
            <v>4.4711538461538458</v>
          </cell>
          <cell r="CW124">
            <v>4.4711538461538458</v>
          </cell>
          <cell r="CX124">
            <v>4.4711538461538458</v>
          </cell>
          <cell r="CY124">
            <v>4.4711538461538458</v>
          </cell>
          <cell r="CZ124">
            <v>4.6300000000000001E-2</v>
          </cell>
          <cell r="DA124">
            <v>4.6300000000000001E-2</v>
          </cell>
          <cell r="DB124">
            <v>4.6300000000000001E-2</v>
          </cell>
          <cell r="DC124">
            <v>4.6300000000000001E-2</v>
          </cell>
          <cell r="DD124">
            <v>4.6300000000000001E-2</v>
          </cell>
          <cell r="DE124">
            <v>4.6300000000000001E-2</v>
          </cell>
          <cell r="DF124">
            <v>4.6300000000000001E-2</v>
          </cell>
          <cell r="DG124">
            <v>4.6300000000000001E-2</v>
          </cell>
          <cell r="DH124">
            <v>4.6300000000000001E-2</v>
          </cell>
          <cell r="DI124">
            <v>4.6300000000000001E-2</v>
          </cell>
          <cell r="DJ124">
            <v>4.6300000000000001E-2</v>
          </cell>
        </row>
        <row r="125">
          <cell r="C125">
            <v>4080</v>
          </cell>
          <cell r="D125">
            <v>9015</v>
          </cell>
          <cell r="E125" t="str">
            <v>Transportation Crane/Rigger Team Leader</v>
          </cell>
          <cell r="G125" t="str">
            <v>CBA2</v>
          </cell>
          <cell r="H125" t="str">
            <v>RFP CBA</v>
          </cell>
          <cell r="I125">
            <v>71614.399999999994</v>
          </cell>
          <cell r="J125">
            <v>34.43</v>
          </cell>
          <cell r="K125">
            <v>3.75</v>
          </cell>
          <cell r="L125">
            <v>34.43</v>
          </cell>
          <cell r="M125">
            <v>34.43</v>
          </cell>
          <cell r="N125">
            <v>34.43</v>
          </cell>
          <cell r="O125">
            <v>34.43</v>
          </cell>
          <cell r="P125">
            <v>34.43</v>
          </cell>
          <cell r="Q125">
            <v>34.43</v>
          </cell>
          <cell r="R125">
            <v>34.43</v>
          </cell>
          <cell r="S125">
            <v>34.43</v>
          </cell>
          <cell r="T125">
            <v>34.43</v>
          </cell>
          <cell r="U125">
            <v>34.43</v>
          </cell>
          <cell r="V125">
            <v>34.43</v>
          </cell>
          <cell r="W125">
            <v>5.5</v>
          </cell>
          <cell r="X125">
            <v>5.5</v>
          </cell>
          <cell r="Y125">
            <v>5.5</v>
          </cell>
          <cell r="Z125">
            <v>5.5</v>
          </cell>
          <cell r="AA125">
            <v>5.5</v>
          </cell>
          <cell r="AB125">
            <v>5.5</v>
          </cell>
          <cell r="AC125">
            <v>5.5</v>
          </cell>
          <cell r="AD125">
            <v>5.5</v>
          </cell>
          <cell r="AE125">
            <v>5.5</v>
          </cell>
          <cell r="AF125">
            <v>5.5</v>
          </cell>
          <cell r="AG125">
            <v>5.5</v>
          </cell>
          <cell r="AH125">
            <v>3.75</v>
          </cell>
          <cell r="AI125">
            <v>3.75</v>
          </cell>
          <cell r="AJ125">
            <v>3.75</v>
          </cell>
          <cell r="AK125">
            <v>3.75</v>
          </cell>
          <cell r="AL125">
            <v>3.75</v>
          </cell>
          <cell r="AM125">
            <v>3.75</v>
          </cell>
          <cell r="AN125">
            <v>3.75</v>
          </cell>
          <cell r="AO125">
            <v>3.75</v>
          </cell>
          <cell r="AP125">
            <v>3.75</v>
          </cell>
          <cell r="AQ125">
            <v>3.75</v>
          </cell>
          <cell r="AR125">
            <v>3.75</v>
          </cell>
          <cell r="AS125">
            <v>2.7E-2</v>
          </cell>
          <cell r="AT125">
            <v>8000</v>
          </cell>
          <cell r="AU125">
            <v>216</v>
          </cell>
          <cell r="AV125">
            <v>4.6300000000000001E-2</v>
          </cell>
          <cell r="AW125">
            <v>4.6300000000000001E-2</v>
          </cell>
          <cell r="AX125">
            <v>4.6300000000000001E-2</v>
          </cell>
          <cell r="AY125">
            <v>4.6300000000000001E-2</v>
          </cell>
          <cell r="AZ125">
            <v>4.6300000000000001E-2</v>
          </cell>
          <cell r="BA125">
            <v>4.6300000000000001E-2</v>
          </cell>
          <cell r="BB125">
            <v>4.6300000000000001E-2</v>
          </cell>
          <cell r="BC125">
            <v>4.6300000000000001E-2</v>
          </cell>
          <cell r="BD125">
            <v>4.6300000000000001E-2</v>
          </cell>
          <cell r="BE125">
            <v>4.6300000000000001E-2</v>
          </cell>
          <cell r="BF125">
            <v>4.6300000000000001E-2</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9</v>
          </cell>
          <cell r="CO125">
            <v>4.4711538461538458</v>
          </cell>
          <cell r="CP125">
            <v>4.4711538461538458</v>
          </cell>
          <cell r="CQ125">
            <v>4.4711538461538458</v>
          </cell>
          <cell r="CR125">
            <v>4.4711538461538458</v>
          </cell>
          <cell r="CS125">
            <v>4.4711538461538458</v>
          </cell>
          <cell r="CT125">
            <v>4.4711538461538458</v>
          </cell>
          <cell r="CU125">
            <v>4.4711538461538458</v>
          </cell>
          <cell r="CV125">
            <v>4.4711538461538458</v>
          </cell>
          <cell r="CW125">
            <v>4.4711538461538458</v>
          </cell>
          <cell r="CX125">
            <v>4.4711538461538458</v>
          </cell>
          <cell r="CY125">
            <v>4.4711538461538458</v>
          </cell>
          <cell r="CZ125">
            <v>4.6300000000000001E-2</v>
          </cell>
          <cell r="DA125">
            <v>4.6300000000000001E-2</v>
          </cell>
          <cell r="DB125">
            <v>4.6300000000000001E-2</v>
          </cell>
          <cell r="DC125">
            <v>4.6300000000000001E-2</v>
          </cell>
          <cell r="DD125">
            <v>4.6300000000000001E-2</v>
          </cell>
          <cell r="DE125">
            <v>4.6300000000000001E-2</v>
          </cell>
          <cell r="DF125">
            <v>4.6300000000000001E-2</v>
          </cell>
          <cell r="DG125">
            <v>4.6300000000000001E-2</v>
          </cell>
          <cell r="DH125">
            <v>4.6300000000000001E-2</v>
          </cell>
          <cell r="DI125">
            <v>4.6300000000000001E-2</v>
          </cell>
          <cell r="DJ125">
            <v>4.6300000000000001E-2</v>
          </cell>
        </row>
        <row r="126">
          <cell r="C126">
            <v>4085</v>
          </cell>
          <cell r="D126">
            <v>9015</v>
          </cell>
          <cell r="G126" t="str">
            <v>CBA2</v>
          </cell>
          <cell r="H126" t="str">
            <v>RFP CBA</v>
          </cell>
          <cell r="I126">
            <v>0</v>
          </cell>
          <cell r="J126">
            <v>0</v>
          </cell>
          <cell r="K126">
            <v>3.75</v>
          </cell>
          <cell r="L126">
            <v>0</v>
          </cell>
          <cell r="M126">
            <v>0</v>
          </cell>
          <cell r="N126">
            <v>0</v>
          </cell>
          <cell r="O126">
            <v>0</v>
          </cell>
          <cell r="P126">
            <v>0</v>
          </cell>
          <cell r="Q126">
            <v>0</v>
          </cell>
          <cell r="R126">
            <v>0</v>
          </cell>
          <cell r="S126">
            <v>0</v>
          </cell>
          <cell r="T126">
            <v>0</v>
          </cell>
          <cell r="U126">
            <v>0</v>
          </cell>
          <cell r="V126">
            <v>0</v>
          </cell>
          <cell r="W126">
            <v>5.5</v>
          </cell>
          <cell r="X126">
            <v>5.5</v>
          </cell>
          <cell r="Y126">
            <v>5.5</v>
          </cell>
          <cell r="Z126">
            <v>5.5</v>
          </cell>
          <cell r="AA126">
            <v>5.5</v>
          </cell>
          <cell r="AB126">
            <v>5.5</v>
          </cell>
          <cell r="AC126">
            <v>5.5</v>
          </cell>
          <cell r="AD126">
            <v>5.5</v>
          </cell>
          <cell r="AE126">
            <v>5.5</v>
          </cell>
          <cell r="AF126">
            <v>5.5</v>
          </cell>
          <cell r="AG126">
            <v>5.5</v>
          </cell>
          <cell r="AH126">
            <v>3.75</v>
          </cell>
          <cell r="AI126">
            <v>3.75</v>
          </cell>
          <cell r="AJ126">
            <v>3.75</v>
          </cell>
          <cell r="AK126">
            <v>3.75</v>
          </cell>
          <cell r="AL126">
            <v>3.75</v>
          </cell>
          <cell r="AM126">
            <v>3.75</v>
          </cell>
          <cell r="AN126">
            <v>3.75</v>
          </cell>
          <cell r="AO126">
            <v>3.75</v>
          </cell>
          <cell r="AP126">
            <v>3.75</v>
          </cell>
          <cell r="AQ126">
            <v>3.75</v>
          </cell>
          <cell r="AR126">
            <v>3.75</v>
          </cell>
          <cell r="AS126">
            <v>2.7E-2</v>
          </cell>
          <cell r="AT126">
            <v>8000</v>
          </cell>
          <cell r="AU126">
            <v>216</v>
          </cell>
          <cell r="AV126">
            <v>4.6300000000000001E-2</v>
          </cell>
          <cell r="AW126">
            <v>4.6300000000000001E-2</v>
          </cell>
          <cell r="AX126">
            <v>4.6300000000000001E-2</v>
          </cell>
          <cell r="AY126">
            <v>4.6300000000000001E-2</v>
          </cell>
          <cell r="AZ126">
            <v>4.6300000000000001E-2</v>
          </cell>
          <cell r="BA126">
            <v>4.6300000000000001E-2</v>
          </cell>
          <cell r="BB126">
            <v>4.6300000000000001E-2</v>
          </cell>
          <cell r="BC126">
            <v>4.6300000000000001E-2</v>
          </cell>
          <cell r="BD126">
            <v>4.6300000000000001E-2</v>
          </cell>
          <cell r="BE126">
            <v>4.6300000000000001E-2</v>
          </cell>
          <cell r="BF126">
            <v>4.6300000000000001E-2</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9</v>
          </cell>
          <cell r="CO126">
            <v>4.4711538461538458</v>
          </cell>
          <cell r="CP126">
            <v>4.4711538461538458</v>
          </cell>
          <cell r="CQ126">
            <v>4.4711538461538458</v>
          </cell>
          <cell r="CR126">
            <v>4.4711538461538458</v>
          </cell>
          <cell r="CS126">
            <v>4.4711538461538458</v>
          </cell>
          <cell r="CT126">
            <v>4.4711538461538458</v>
          </cell>
          <cell r="CU126">
            <v>4.4711538461538458</v>
          </cell>
          <cell r="CV126">
            <v>4.4711538461538458</v>
          </cell>
          <cell r="CW126">
            <v>4.4711538461538458</v>
          </cell>
          <cell r="CX126">
            <v>4.4711538461538458</v>
          </cell>
          <cell r="CY126">
            <v>4.4711538461538458</v>
          </cell>
          <cell r="CZ126">
            <v>4.6300000000000001E-2</v>
          </cell>
          <cell r="DA126">
            <v>4.6300000000000001E-2</v>
          </cell>
          <cell r="DB126">
            <v>4.6300000000000001E-2</v>
          </cell>
          <cell r="DC126">
            <v>4.6300000000000001E-2</v>
          </cell>
          <cell r="DD126">
            <v>4.6300000000000001E-2</v>
          </cell>
          <cell r="DE126">
            <v>4.6300000000000001E-2</v>
          </cell>
          <cell r="DF126">
            <v>4.6300000000000001E-2</v>
          </cell>
          <cell r="DG126">
            <v>4.6300000000000001E-2</v>
          </cell>
          <cell r="DH126">
            <v>4.6300000000000001E-2</v>
          </cell>
          <cell r="DI126">
            <v>4.6300000000000001E-2</v>
          </cell>
          <cell r="DJ126">
            <v>4.6300000000000001E-2</v>
          </cell>
        </row>
        <row r="127">
          <cell r="C127">
            <v>4090</v>
          </cell>
          <cell r="D127">
            <v>9015</v>
          </cell>
        </row>
        <row r="131">
          <cell r="C131" t="str">
            <v>Collective Bargaining Agreement (#3) - GCR</v>
          </cell>
        </row>
        <row r="133">
          <cell r="C133">
            <v>5000</v>
          </cell>
          <cell r="D133">
            <v>9015</v>
          </cell>
          <cell r="E133" t="str">
            <v>Carpenter</v>
          </cell>
          <cell r="G133" t="str">
            <v>CBA2</v>
          </cell>
          <cell r="H133" t="str">
            <v>RFP CBA</v>
          </cell>
          <cell r="I133">
            <v>0</v>
          </cell>
          <cell r="J133">
            <v>0</v>
          </cell>
          <cell r="K133">
            <v>7.55</v>
          </cell>
          <cell r="L133">
            <v>0</v>
          </cell>
          <cell r="M133">
            <v>0</v>
          </cell>
          <cell r="N133">
            <v>0</v>
          </cell>
          <cell r="O133">
            <v>0</v>
          </cell>
          <cell r="P133">
            <v>0</v>
          </cell>
          <cell r="Q133">
            <v>0</v>
          </cell>
          <cell r="R133">
            <v>0</v>
          </cell>
          <cell r="S133">
            <v>0</v>
          </cell>
          <cell r="T133">
            <v>0</v>
          </cell>
          <cell r="U133">
            <v>0</v>
          </cell>
          <cell r="V133">
            <v>0</v>
          </cell>
          <cell r="W133">
            <v>5.5</v>
          </cell>
          <cell r="X133">
            <v>5.5</v>
          </cell>
          <cell r="Y133">
            <v>5.5</v>
          </cell>
          <cell r="Z133">
            <v>5.5</v>
          </cell>
          <cell r="AA133">
            <v>5.5</v>
          </cell>
          <cell r="AB133">
            <v>5.5</v>
          </cell>
          <cell r="AC133">
            <v>5.5</v>
          </cell>
          <cell r="AD133">
            <v>5.5</v>
          </cell>
          <cell r="AE133">
            <v>5.5</v>
          </cell>
          <cell r="AF133">
            <v>5.5</v>
          </cell>
          <cell r="AG133">
            <v>5.5</v>
          </cell>
          <cell r="AH133">
            <v>7.55</v>
          </cell>
          <cell r="AI133">
            <v>7.55</v>
          </cell>
          <cell r="AJ133">
            <v>7.55</v>
          </cell>
          <cell r="AK133">
            <v>7.55</v>
          </cell>
          <cell r="AL133">
            <v>7.55</v>
          </cell>
          <cell r="AM133">
            <v>7.55</v>
          </cell>
          <cell r="AN133">
            <v>7.55</v>
          </cell>
          <cell r="AO133">
            <v>7.55</v>
          </cell>
          <cell r="AP133">
            <v>7.55</v>
          </cell>
          <cell r="AQ133">
            <v>7.55</v>
          </cell>
          <cell r="AR133">
            <v>7.55</v>
          </cell>
          <cell r="AS133">
            <v>2.7E-2</v>
          </cell>
          <cell r="AT133">
            <v>8000</v>
          </cell>
          <cell r="AU133">
            <v>216</v>
          </cell>
          <cell r="AV133">
            <v>4.6300000000000001E-2</v>
          </cell>
          <cell r="AW133">
            <v>4.6300000000000001E-2</v>
          </cell>
          <cell r="AX133">
            <v>4.6300000000000001E-2</v>
          </cell>
          <cell r="AY133">
            <v>4.6300000000000001E-2</v>
          </cell>
          <cell r="AZ133">
            <v>4.6300000000000001E-2</v>
          </cell>
          <cell r="BA133">
            <v>4.6300000000000001E-2</v>
          </cell>
          <cell r="BB133">
            <v>4.6300000000000001E-2</v>
          </cell>
          <cell r="BC133">
            <v>4.6300000000000001E-2</v>
          </cell>
          <cell r="BD133">
            <v>4.6300000000000001E-2</v>
          </cell>
          <cell r="BE133">
            <v>4.6300000000000001E-2</v>
          </cell>
          <cell r="BF133">
            <v>4.6300000000000001E-2</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O133">
            <v>5.5</v>
          </cell>
          <cell r="CP133">
            <v>5.5</v>
          </cell>
          <cell r="CQ133">
            <v>5.5</v>
          </cell>
          <cell r="CR133">
            <v>5.5</v>
          </cell>
          <cell r="CS133">
            <v>5.5</v>
          </cell>
          <cell r="CT133">
            <v>5.5</v>
          </cell>
          <cell r="CU133">
            <v>5.5</v>
          </cell>
          <cell r="CV133">
            <v>5.5</v>
          </cell>
          <cell r="CW133">
            <v>5.5</v>
          </cell>
          <cell r="CX133">
            <v>5.5</v>
          </cell>
          <cell r="CY133">
            <v>5.5</v>
          </cell>
          <cell r="CZ133">
            <v>4.6300000000000001E-2</v>
          </cell>
          <cell r="DA133">
            <v>4.6300000000000001E-2</v>
          </cell>
          <cell r="DB133">
            <v>4.6300000000000001E-2</v>
          </cell>
          <cell r="DC133">
            <v>4.6300000000000001E-2</v>
          </cell>
          <cell r="DD133">
            <v>4.6300000000000001E-2</v>
          </cell>
          <cell r="DE133">
            <v>4.6300000000000001E-2</v>
          </cell>
          <cell r="DF133">
            <v>4.6300000000000001E-2</v>
          </cell>
          <cell r="DG133">
            <v>4.6300000000000001E-2</v>
          </cell>
          <cell r="DH133">
            <v>4.6300000000000001E-2</v>
          </cell>
          <cell r="DI133">
            <v>4.6300000000000001E-2</v>
          </cell>
          <cell r="DJ133">
            <v>4.6300000000000001E-2</v>
          </cell>
        </row>
        <row r="134">
          <cell r="C134">
            <v>5005</v>
          </cell>
          <cell r="D134">
            <v>9015</v>
          </cell>
          <cell r="E134" t="str">
            <v>General Maintenance Worker</v>
          </cell>
          <cell r="G134" t="str">
            <v>CBA2</v>
          </cell>
          <cell r="H134" t="str">
            <v>RFP CBA</v>
          </cell>
          <cell r="I134">
            <v>0</v>
          </cell>
          <cell r="J134">
            <v>0</v>
          </cell>
          <cell r="K134">
            <v>7.55</v>
          </cell>
          <cell r="L134">
            <v>0</v>
          </cell>
          <cell r="M134">
            <v>0</v>
          </cell>
          <cell r="N134">
            <v>0</v>
          </cell>
          <cell r="O134">
            <v>0</v>
          </cell>
          <cell r="P134">
            <v>0</v>
          </cell>
          <cell r="Q134">
            <v>0</v>
          </cell>
          <cell r="R134">
            <v>0</v>
          </cell>
          <cell r="S134">
            <v>0</v>
          </cell>
          <cell r="T134">
            <v>0</v>
          </cell>
          <cell r="U134">
            <v>0</v>
          </cell>
          <cell r="V134">
            <v>0</v>
          </cell>
          <cell r="W134">
            <v>5.5</v>
          </cell>
          <cell r="X134">
            <v>5.5</v>
          </cell>
          <cell r="Y134">
            <v>5.5</v>
          </cell>
          <cell r="Z134">
            <v>5.5</v>
          </cell>
          <cell r="AA134">
            <v>5.5</v>
          </cell>
          <cell r="AB134">
            <v>5.5</v>
          </cell>
          <cell r="AC134">
            <v>5.5</v>
          </cell>
          <cell r="AD134">
            <v>5.5</v>
          </cell>
          <cell r="AE134">
            <v>5.5</v>
          </cell>
          <cell r="AF134">
            <v>5.5</v>
          </cell>
          <cell r="AG134">
            <v>5.5</v>
          </cell>
          <cell r="AH134">
            <v>7.55</v>
          </cell>
          <cell r="AI134">
            <v>7.55</v>
          </cell>
          <cell r="AJ134">
            <v>7.55</v>
          </cell>
          <cell r="AK134">
            <v>7.55</v>
          </cell>
          <cell r="AL134">
            <v>7.55</v>
          </cell>
          <cell r="AM134">
            <v>7.55</v>
          </cell>
          <cell r="AN134">
            <v>7.55</v>
          </cell>
          <cell r="AO134">
            <v>7.55</v>
          </cell>
          <cell r="AP134">
            <v>7.55</v>
          </cell>
          <cell r="AQ134">
            <v>7.55</v>
          </cell>
          <cell r="AR134">
            <v>7.55</v>
          </cell>
          <cell r="AS134">
            <v>2.7E-2</v>
          </cell>
          <cell r="AT134">
            <v>8000</v>
          </cell>
          <cell r="AU134">
            <v>216</v>
          </cell>
          <cell r="AV134">
            <v>4.6300000000000001E-2</v>
          </cell>
          <cell r="AW134">
            <v>4.6300000000000001E-2</v>
          </cell>
          <cell r="AX134">
            <v>4.6300000000000001E-2</v>
          </cell>
          <cell r="AY134">
            <v>4.6300000000000001E-2</v>
          </cell>
          <cell r="AZ134">
            <v>4.6300000000000001E-2</v>
          </cell>
          <cell r="BA134">
            <v>4.6300000000000001E-2</v>
          </cell>
          <cell r="BB134">
            <v>4.6300000000000001E-2</v>
          </cell>
          <cell r="BC134">
            <v>4.6300000000000001E-2</v>
          </cell>
          <cell r="BD134">
            <v>4.6300000000000001E-2</v>
          </cell>
          <cell r="BE134">
            <v>4.6300000000000001E-2</v>
          </cell>
          <cell r="BF134">
            <v>4.6300000000000001E-2</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O134">
            <v>5.5</v>
          </cell>
          <cell r="CP134">
            <v>5.5</v>
          </cell>
          <cell r="CQ134">
            <v>5.5</v>
          </cell>
          <cell r="CR134">
            <v>5.5</v>
          </cell>
          <cell r="CS134">
            <v>5.5</v>
          </cell>
          <cell r="CT134">
            <v>5.5</v>
          </cell>
          <cell r="CU134">
            <v>5.5</v>
          </cell>
          <cell r="CV134">
            <v>5.5</v>
          </cell>
          <cell r="CW134">
            <v>5.5</v>
          </cell>
          <cell r="CX134">
            <v>5.5</v>
          </cell>
          <cell r="CY134">
            <v>5.5</v>
          </cell>
          <cell r="CZ134">
            <v>4.6300000000000001E-2</v>
          </cell>
          <cell r="DA134">
            <v>4.6300000000000001E-2</v>
          </cell>
          <cell r="DB134">
            <v>4.6300000000000001E-2</v>
          </cell>
          <cell r="DC134">
            <v>4.6300000000000001E-2</v>
          </cell>
          <cell r="DD134">
            <v>4.6300000000000001E-2</v>
          </cell>
          <cell r="DE134">
            <v>4.6300000000000001E-2</v>
          </cell>
          <cell r="DF134">
            <v>4.6300000000000001E-2</v>
          </cell>
          <cell r="DG134">
            <v>4.6300000000000001E-2</v>
          </cell>
          <cell r="DH134">
            <v>4.6300000000000001E-2</v>
          </cell>
          <cell r="DI134">
            <v>4.6300000000000001E-2</v>
          </cell>
          <cell r="DJ134">
            <v>4.6300000000000001E-2</v>
          </cell>
        </row>
        <row r="135">
          <cell r="C135">
            <v>5010</v>
          </cell>
          <cell r="D135">
            <v>9015</v>
          </cell>
          <cell r="E135" t="str">
            <v>Lead Pay Premium</v>
          </cell>
          <cell r="G135" t="str">
            <v>CBA2</v>
          </cell>
          <cell r="H135" t="str">
            <v>RFP CBA</v>
          </cell>
          <cell r="I135">
            <v>0</v>
          </cell>
          <cell r="J135">
            <v>0</v>
          </cell>
          <cell r="K135">
            <v>7.55</v>
          </cell>
          <cell r="L135">
            <v>0</v>
          </cell>
          <cell r="M135">
            <v>0</v>
          </cell>
          <cell r="N135">
            <v>0</v>
          </cell>
          <cell r="O135">
            <v>0</v>
          </cell>
          <cell r="P135">
            <v>0</v>
          </cell>
          <cell r="Q135">
            <v>0</v>
          </cell>
          <cell r="R135">
            <v>0</v>
          </cell>
          <cell r="S135">
            <v>0</v>
          </cell>
          <cell r="T135">
            <v>0</v>
          </cell>
          <cell r="U135">
            <v>0</v>
          </cell>
          <cell r="V135">
            <v>0</v>
          </cell>
          <cell r="W135">
            <v>5.5</v>
          </cell>
          <cell r="X135">
            <v>5.5</v>
          </cell>
          <cell r="Y135">
            <v>5.5</v>
          </cell>
          <cell r="Z135">
            <v>5.5</v>
          </cell>
          <cell r="AA135">
            <v>5.5</v>
          </cell>
          <cell r="AB135">
            <v>5.5</v>
          </cell>
          <cell r="AC135">
            <v>5.5</v>
          </cell>
          <cell r="AD135">
            <v>5.5</v>
          </cell>
          <cell r="AE135">
            <v>5.5</v>
          </cell>
          <cell r="AF135">
            <v>5.5</v>
          </cell>
          <cell r="AG135">
            <v>5.5</v>
          </cell>
          <cell r="AH135">
            <v>7.55</v>
          </cell>
          <cell r="AI135">
            <v>7.55</v>
          </cell>
          <cell r="AJ135">
            <v>7.55</v>
          </cell>
          <cell r="AK135">
            <v>7.55</v>
          </cell>
          <cell r="AL135">
            <v>7.55</v>
          </cell>
          <cell r="AM135">
            <v>7.55</v>
          </cell>
          <cell r="AN135">
            <v>7.55</v>
          </cell>
          <cell r="AO135">
            <v>7.55</v>
          </cell>
          <cell r="AP135">
            <v>7.55</v>
          </cell>
          <cell r="AQ135">
            <v>7.55</v>
          </cell>
          <cell r="AR135">
            <v>7.55</v>
          </cell>
          <cell r="AS135">
            <v>2.7E-2</v>
          </cell>
          <cell r="AT135">
            <v>8000</v>
          </cell>
          <cell r="AU135">
            <v>216</v>
          </cell>
          <cell r="AV135">
            <v>4.6300000000000001E-2</v>
          </cell>
          <cell r="AW135">
            <v>4.6300000000000001E-2</v>
          </cell>
          <cell r="AX135">
            <v>4.6300000000000001E-2</v>
          </cell>
          <cell r="AY135">
            <v>4.6300000000000001E-2</v>
          </cell>
          <cell r="AZ135">
            <v>4.6300000000000001E-2</v>
          </cell>
          <cell r="BA135">
            <v>4.6300000000000001E-2</v>
          </cell>
          <cell r="BB135">
            <v>4.6300000000000001E-2</v>
          </cell>
          <cell r="BC135">
            <v>4.6300000000000001E-2</v>
          </cell>
          <cell r="BD135">
            <v>4.6300000000000001E-2</v>
          </cell>
          <cell r="BE135">
            <v>4.6300000000000001E-2</v>
          </cell>
          <cell r="BF135">
            <v>4.6300000000000001E-2</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O135">
            <v>5.5</v>
          </cell>
          <cell r="CP135">
            <v>5.5</v>
          </cell>
          <cell r="CQ135">
            <v>5.5</v>
          </cell>
          <cell r="CR135">
            <v>5.5</v>
          </cell>
          <cell r="CS135">
            <v>5.5</v>
          </cell>
          <cell r="CT135">
            <v>5.5</v>
          </cell>
          <cell r="CU135">
            <v>5.5</v>
          </cell>
          <cell r="CV135">
            <v>5.5</v>
          </cell>
          <cell r="CW135">
            <v>5.5</v>
          </cell>
          <cell r="CX135">
            <v>5.5</v>
          </cell>
          <cell r="CY135">
            <v>5.5</v>
          </cell>
          <cell r="CZ135">
            <v>4.6300000000000001E-2</v>
          </cell>
          <cell r="DA135">
            <v>4.6300000000000001E-2</v>
          </cell>
          <cell r="DB135">
            <v>4.6300000000000001E-2</v>
          </cell>
          <cell r="DC135">
            <v>4.6300000000000001E-2</v>
          </cell>
          <cell r="DD135">
            <v>4.6300000000000001E-2</v>
          </cell>
          <cell r="DE135">
            <v>4.6300000000000001E-2</v>
          </cell>
          <cell r="DF135">
            <v>4.6300000000000001E-2</v>
          </cell>
          <cell r="DG135">
            <v>4.6300000000000001E-2</v>
          </cell>
          <cell r="DH135">
            <v>4.6300000000000001E-2</v>
          </cell>
          <cell r="DI135">
            <v>4.6300000000000001E-2</v>
          </cell>
          <cell r="DJ135">
            <v>4.6300000000000001E-2</v>
          </cell>
        </row>
        <row r="142">
          <cell r="C142" t="str">
            <v>Reimbursable Labor Rates</v>
          </cell>
        </row>
        <row r="144">
          <cell r="C144">
            <v>6000</v>
          </cell>
          <cell r="D144">
            <v>9015</v>
          </cell>
          <cell r="E144" t="str">
            <v>General Laborer</v>
          </cell>
          <cell r="F144" t="str">
            <v>DBA - DC2 - Laborer Skilled</v>
          </cell>
          <cell r="G144" t="str">
            <v>CBA1</v>
          </cell>
          <cell r="I144">
            <v>62275.199999999997</v>
          </cell>
          <cell r="J144">
            <v>29.939999999999998</v>
          </cell>
          <cell r="K144">
            <v>0</v>
          </cell>
          <cell r="L144">
            <v>29.939999999999998</v>
          </cell>
          <cell r="M144">
            <v>29.939999999999998</v>
          </cell>
          <cell r="N144">
            <v>29.939999999999998</v>
          </cell>
          <cell r="O144">
            <v>29.939999999999998</v>
          </cell>
          <cell r="P144">
            <v>29.939999999999998</v>
          </cell>
          <cell r="Q144">
            <v>29.939999999999998</v>
          </cell>
          <cell r="R144">
            <v>29.939999999999998</v>
          </cell>
          <cell r="S144">
            <v>29.939999999999998</v>
          </cell>
          <cell r="T144">
            <v>29.939999999999998</v>
          </cell>
          <cell r="U144">
            <v>29.939999999999998</v>
          </cell>
          <cell r="V144">
            <v>29.939999999999998</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2.7E-2</v>
          </cell>
          <cell r="AT144">
            <v>8000</v>
          </cell>
          <cell r="AU144">
            <v>216</v>
          </cell>
          <cell r="AV144">
            <v>4.6300000000000001E-2</v>
          </cell>
          <cell r="AW144">
            <v>4.6300000000000001E-2</v>
          </cell>
          <cell r="AX144">
            <v>4.6300000000000001E-2</v>
          </cell>
          <cell r="AY144">
            <v>4.6300000000000001E-2</v>
          </cell>
          <cell r="AZ144">
            <v>4.6300000000000001E-2</v>
          </cell>
          <cell r="BA144">
            <v>4.6300000000000001E-2</v>
          </cell>
          <cell r="BB144">
            <v>4.6300000000000001E-2</v>
          </cell>
          <cell r="BC144">
            <v>4.6300000000000001E-2</v>
          </cell>
          <cell r="BD144">
            <v>4.6300000000000001E-2</v>
          </cell>
          <cell r="BE144">
            <v>4.6300000000000001E-2</v>
          </cell>
          <cell r="BF144">
            <v>4.6300000000000001E-2</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O144">
            <v>0</v>
          </cell>
          <cell r="CP144">
            <v>0</v>
          </cell>
          <cell r="CQ144">
            <v>0</v>
          </cell>
          <cell r="CR144">
            <v>0</v>
          </cell>
          <cell r="CS144">
            <v>0</v>
          </cell>
          <cell r="CT144">
            <v>0</v>
          </cell>
          <cell r="CU144">
            <v>0</v>
          </cell>
          <cell r="CV144">
            <v>0</v>
          </cell>
          <cell r="CW144">
            <v>0</v>
          </cell>
          <cell r="CX144">
            <v>0</v>
          </cell>
          <cell r="CY144">
            <v>0</v>
          </cell>
          <cell r="CZ144">
            <v>4.6300000000000001E-2</v>
          </cell>
          <cell r="DA144">
            <v>4.6300000000000001E-2</v>
          </cell>
          <cell r="DB144">
            <v>4.6300000000000001E-2</v>
          </cell>
          <cell r="DC144">
            <v>4.6300000000000001E-2</v>
          </cell>
          <cell r="DD144">
            <v>4.6300000000000001E-2</v>
          </cell>
          <cell r="DE144">
            <v>4.6300000000000001E-2</v>
          </cell>
          <cell r="DF144">
            <v>4.6300000000000001E-2</v>
          </cell>
          <cell r="DG144">
            <v>4.6300000000000001E-2</v>
          </cell>
          <cell r="DH144">
            <v>4.6300000000000001E-2</v>
          </cell>
          <cell r="DI144">
            <v>4.6300000000000001E-2</v>
          </cell>
          <cell r="DJ144">
            <v>4.6300000000000001E-2</v>
          </cell>
        </row>
        <row r="145">
          <cell r="C145">
            <v>6005</v>
          </cell>
          <cell r="D145">
            <v>9015</v>
          </cell>
          <cell r="E145" t="str">
            <v>General Maintenance Worker</v>
          </cell>
          <cell r="F145" t="str">
            <v>General Maint. Worker - CBA</v>
          </cell>
          <cell r="G145" t="str">
            <v>CBA1</v>
          </cell>
          <cell r="I145">
            <v>57720</v>
          </cell>
          <cell r="J145">
            <v>27.75</v>
          </cell>
          <cell r="K145">
            <v>1.7</v>
          </cell>
          <cell r="L145">
            <v>27.75</v>
          </cell>
          <cell r="M145">
            <v>27.75</v>
          </cell>
          <cell r="N145">
            <v>27.95</v>
          </cell>
          <cell r="O145">
            <v>27.95</v>
          </cell>
          <cell r="P145">
            <v>27.95</v>
          </cell>
          <cell r="Q145">
            <v>27.95</v>
          </cell>
          <cell r="R145">
            <v>27.95</v>
          </cell>
          <cell r="S145">
            <v>27.95</v>
          </cell>
          <cell r="T145">
            <v>27.95</v>
          </cell>
          <cell r="U145">
            <v>27.95</v>
          </cell>
          <cell r="V145">
            <v>27.95</v>
          </cell>
          <cell r="W145">
            <v>0</v>
          </cell>
          <cell r="X145">
            <v>7.49</v>
          </cell>
          <cell r="Y145">
            <v>7.49</v>
          </cell>
          <cell r="Z145">
            <v>7.49</v>
          </cell>
          <cell r="AA145">
            <v>7.49</v>
          </cell>
          <cell r="AB145">
            <v>7.49</v>
          </cell>
          <cell r="AC145">
            <v>7.49</v>
          </cell>
          <cell r="AD145">
            <v>7.49</v>
          </cell>
          <cell r="AE145">
            <v>7.49</v>
          </cell>
          <cell r="AF145">
            <v>7.49</v>
          </cell>
          <cell r="AG145">
            <v>7.49</v>
          </cell>
          <cell r="AH145">
            <v>1.7</v>
          </cell>
          <cell r="AI145">
            <v>1.7</v>
          </cell>
          <cell r="AJ145">
            <v>1.7</v>
          </cell>
          <cell r="AK145">
            <v>1.7</v>
          </cell>
          <cell r="AL145">
            <v>1.7</v>
          </cell>
          <cell r="AM145">
            <v>1.7</v>
          </cell>
          <cell r="AN145">
            <v>1.7</v>
          </cell>
          <cell r="AO145">
            <v>1.7</v>
          </cell>
          <cell r="AP145">
            <v>1.7</v>
          </cell>
          <cell r="AQ145">
            <v>1.7</v>
          </cell>
          <cell r="AR145">
            <v>1.7</v>
          </cell>
          <cell r="AS145">
            <v>2.7E-2</v>
          </cell>
          <cell r="AT145">
            <v>8000</v>
          </cell>
          <cell r="AU145">
            <v>216</v>
          </cell>
          <cell r="AV145">
            <v>4.6300000000000001E-2</v>
          </cell>
          <cell r="AW145">
            <v>4.6300000000000001E-2</v>
          </cell>
          <cell r="AX145">
            <v>4.6300000000000001E-2</v>
          </cell>
          <cell r="AY145">
            <v>4.6300000000000001E-2</v>
          </cell>
          <cell r="AZ145">
            <v>4.6300000000000001E-2</v>
          </cell>
          <cell r="BA145">
            <v>4.6300000000000001E-2</v>
          </cell>
          <cell r="BB145">
            <v>4.6300000000000001E-2</v>
          </cell>
          <cell r="BC145">
            <v>4.6300000000000001E-2</v>
          </cell>
          <cell r="BD145">
            <v>4.6300000000000001E-2</v>
          </cell>
          <cell r="BE145">
            <v>4.6300000000000001E-2</v>
          </cell>
          <cell r="BF145">
            <v>4.6300000000000001E-2</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O145">
            <v>0</v>
          </cell>
          <cell r="CP145">
            <v>7.49</v>
          </cell>
          <cell r="CQ145">
            <v>7.49</v>
          </cell>
          <cell r="CR145">
            <v>7.49</v>
          </cell>
          <cell r="CS145">
            <v>7.49</v>
          </cell>
          <cell r="CT145">
            <v>7.49</v>
          </cell>
          <cell r="CU145">
            <v>7.49</v>
          </cell>
          <cell r="CV145">
            <v>7.49</v>
          </cell>
          <cell r="CW145">
            <v>7.49</v>
          </cell>
          <cell r="CX145">
            <v>7.49</v>
          </cell>
          <cell r="CY145">
            <v>7.49</v>
          </cell>
          <cell r="CZ145">
            <v>4.6300000000000001E-2</v>
          </cell>
          <cell r="DA145">
            <v>4.6300000000000001E-2</v>
          </cell>
          <cell r="DB145">
            <v>4.6300000000000001E-2</v>
          </cell>
          <cell r="DC145">
            <v>4.6300000000000001E-2</v>
          </cell>
          <cell r="DD145">
            <v>4.6300000000000001E-2</v>
          </cell>
          <cell r="DE145">
            <v>4.6300000000000001E-2</v>
          </cell>
          <cell r="DF145">
            <v>4.6300000000000001E-2</v>
          </cell>
          <cell r="DG145">
            <v>4.6300000000000001E-2</v>
          </cell>
          <cell r="DH145">
            <v>4.6300000000000001E-2</v>
          </cell>
          <cell r="DI145">
            <v>4.6300000000000001E-2</v>
          </cell>
          <cell r="DJ145">
            <v>4.6300000000000001E-2</v>
          </cell>
        </row>
        <row r="146">
          <cell r="C146">
            <v>6010</v>
          </cell>
          <cell r="D146">
            <v>9015</v>
          </cell>
          <cell r="E146" t="str">
            <v>Heavy Equipment Operator</v>
          </cell>
          <cell r="G146" t="str">
            <v>CBA1</v>
          </cell>
          <cell r="I146">
            <v>47652.800000000003</v>
          </cell>
          <cell r="J146">
            <v>22.91</v>
          </cell>
          <cell r="K146">
            <v>4.2699999999999996</v>
          </cell>
          <cell r="L146">
            <v>22.91</v>
          </cell>
          <cell r="M146">
            <v>22.91</v>
          </cell>
          <cell r="N146">
            <v>22.91</v>
          </cell>
          <cell r="O146">
            <v>22.91</v>
          </cell>
          <cell r="P146">
            <v>22.91</v>
          </cell>
          <cell r="Q146">
            <v>22.91</v>
          </cell>
          <cell r="R146">
            <v>22.91</v>
          </cell>
          <cell r="S146">
            <v>22.91</v>
          </cell>
          <cell r="T146">
            <v>22.91</v>
          </cell>
          <cell r="U146">
            <v>22.91</v>
          </cell>
          <cell r="V146">
            <v>22.91</v>
          </cell>
          <cell r="W146">
            <v>0</v>
          </cell>
          <cell r="X146">
            <v>0</v>
          </cell>
          <cell r="Y146">
            <v>0</v>
          </cell>
          <cell r="Z146">
            <v>0</v>
          </cell>
          <cell r="AA146">
            <v>0</v>
          </cell>
          <cell r="AB146">
            <v>0</v>
          </cell>
          <cell r="AC146">
            <v>0</v>
          </cell>
          <cell r="AD146">
            <v>0</v>
          </cell>
          <cell r="AE146">
            <v>0</v>
          </cell>
          <cell r="AF146">
            <v>0</v>
          </cell>
          <cell r="AG146">
            <v>0</v>
          </cell>
          <cell r="AH146">
            <v>4.2699999999999996</v>
          </cell>
          <cell r="AI146">
            <v>4.2699999999999996</v>
          </cell>
          <cell r="AJ146">
            <v>4.2699999999999996</v>
          </cell>
          <cell r="AK146">
            <v>4.2699999999999996</v>
          </cell>
          <cell r="AL146">
            <v>4.2699999999999996</v>
          </cell>
          <cell r="AM146">
            <v>4.2699999999999996</v>
          </cell>
          <cell r="AN146">
            <v>4.2699999999999996</v>
          </cell>
          <cell r="AO146">
            <v>4.2699999999999996</v>
          </cell>
          <cell r="AP146">
            <v>4.2699999999999996</v>
          </cell>
          <cell r="AQ146">
            <v>4.2699999999999996</v>
          </cell>
          <cell r="AR146">
            <v>4.2699999999999996</v>
          </cell>
          <cell r="AS146">
            <v>2.7E-2</v>
          </cell>
          <cell r="AT146">
            <v>8000</v>
          </cell>
          <cell r="AU146">
            <v>216</v>
          </cell>
          <cell r="AV146">
            <v>4.6300000000000001E-2</v>
          </cell>
          <cell r="AW146">
            <v>4.6300000000000001E-2</v>
          </cell>
          <cell r="AX146">
            <v>4.6300000000000001E-2</v>
          </cell>
          <cell r="AY146">
            <v>4.6300000000000001E-2</v>
          </cell>
          <cell r="AZ146">
            <v>4.6300000000000001E-2</v>
          </cell>
          <cell r="BA146">
            <v>4.6300000000000001E-2</v>
          </cell>
          <cell r="BB146">
            <v>4.6300000000000001E-2</v>
          </cell>
          <cell r="BC146">
            <v>4.6300000000000001E-2</v>
          </cell>
          <cell r="BD146">
            <v>4.6300000000000001E-2</v>
          </cell>
          <cell r="BE146">
            <v>4.6300000000000001E-2</v>
          </cell>
          <cell r="BF146">
            <v>4.6300000000000001E-2</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O146">
            <v>0</v>
          </cell>
          <cell r="CP146">
            <v>0</v>
          </cell>
          <cell r="CQ146">
            <v>0</v>
          </cell>
          <cell r="CR146">
            <v>0</v>
          </cell>
          <cell r="CS146">
            <v>0</v>
          </cell>
          <cell r="CT146">
            <v>0</v>
          </cell>
          <cell r="CU146">
            <v>0</v>
          </cell>
          <cell r="CV146">
            <v>0</v>
          </cell>
          <cell r="CW146">
            <v>0</v>
          </cell>
          <cell r="CX146">
            <v>0</v>
          </cell>
          <cell r="CY146">
            <v>0</v>
          </cell>
          <cell r="CZ146">
            <v>4.6300000000000001E-2</v>
          </cell>
          <cell r="DA146">
            <v>4.6300000000000001E-2</v>
          </cell>
          <cell r="DB146">
            <v>4.6300000000000001E-2</v>
          </cell>
          <cell r="DC146">
            <v>4.6300000000000001E-2</v>
          </cell>
          <cell r="DD146">
            <v>4.6300000000000001E-2</v>
          </cell>
          <cell r="DE146">
            <v>4.6300000000000001E-2</v>
          </cell>
          <cell r="DF146">
            <v>4.6300000000000001E-2</v>
          </cell>
          <cell r="DG146">
            <v>4.6300000000000001E-2</v>
          </cell>
          <cell r="DH146">
            <v>4.6300000000000001E-2</v>
          </cell>
          <cell r="DI146">
            <v>4.6300000000000001E-2</v>
          </cell>
          <cell r="DJ146">
            <v>4.6300000000000001E-2</v>
          </cell>
        </row>
        <row r="147">
          <cell r="C147">
            <v>6015</v>
          </cell>
          <cell r="D147">
            <v>9015</v>
          </cell>
          <cell r="E147" t="str">
            <v>Carpenter</v>
          </cell>
          <cell r="F147" t="str">
            <v>DBA - DC2 - Carpenter</v>
          </cell>
          <cell r="G147" t="str">
            <v>CBA1</v>
          </cell>
          <cell r="I147">
            <v>85841.599999999991</v>
          </cell>
          <cell r="J147">
            <v>41.269999999999996</v>
          </cell>
          <cell r="K147">
            <v>0</v>
          </cell>
          <cell r="L147">
            <v>41.269999999999996</v>
          </cell>
          <cell r="M147">
            <v>41.269999999999996</v>
          </cell>
          <cell r="N147">
            <v>41.269999999999996</v>
          </cell>
          <cell r="O147">
            <v>41.269999999999996</v>
          </cell>
          <cell r="P147">
            <v>41.269999999999996</v>
          </cell>
          <cell r="Q147">
            <v>41.269999999999996</v>
          </cell>
          <cell r="R147">
            <v>41.269999999999996</v>
          </cell>
          <cell r="S147">
            <v>41.269999999999996</v>
          </cell>
          <cell r="T147">
            <v>41.269999999999996</v>
          </cell>
          <cell r="U147">
            <v>41.269999999999996</v>
          </cell>
          <cell r="V147">
            <v>41.269999999999996</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2.7E-2</v>
          </cell>
          <cell r="AT147">
            <v>8000</v>
          </cell>
          <cell r="AU147">
            <v>216</v>
          </cell>
          <cell r="AV147">
            <v>4.6300000000000001E-2</v>
          </cell>
          <cell r="AW147">
            <v>4.6300000000000001E-2</v>
          </cell>
          <cell r="AX147">
            <v>4.6300000000000001E-2</v>
          </cell>
          <cell r="AY147">
            <v>4.6300000000000001E-2</v>
          </cell>
          <cell r="AZ147">
            <v>4.6300000000000001E-2</v>
          </cell>
          <cell r="BA147">
            <v>4.6300000000000001E-2</v>
          </cell>
          <cell r="BB147">
            <v>4.6300000000000001E-2</v>
          </cell>
          <cell r="BC147">
            <v>4.6300000000000001E-2</v>
          </cell>
          <cell r="BD147">
            <v>4.6300000000000001E-2</v>
          </cell>
          <cell r="BE147">
            <v>4.6300000000000001E-2</v>
          </cell>
          <cell r="BF147">
            <v>4.6300000000000001E-2</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O147">
            <v>0</v>
          </cell>
          <cell r="CP147">
            <v>0</v>
          </cell>
          <cell r="CQ147">
            <v>0</v>
          </cell>
          <cell r="CR147">
            <v>0</v>
          </cell>
          <cell r="CS147">
            <v>0</v>
          </cell>
          <cell r="CT147">
            <v>0</v>
          </cell>
          <cell r="CU147">
            <v>0</v>
          </cell>
          <cell r="CV147">
            <v>0</v>
          </cell>
          <cell r="CW147">
            <v>0</v>
          </cell>
          <cell r="CX147">
            <v>0</v>
          </cell>
          <cell r="CY147">
            <v>0</v>
          </cell>
          <cell r="CZ147">
            <v>4.6300000000000001E-2</v>
          </cell>
          <cell r="DA147">
            <v>4.6300000000000001E-2</v>
          </cell>
          <cell r="DB147">
            <v>4.6300000000000001E-2</v>
          </cell>
          <cell r="DC147">
            <v>4.6300000000000001E-2</v>
          </cell>
          <cell r="DD147">
            <v>4.6300000000000001E-2</v>
          </cell>
          <cell r="DE147">
            <v>4.6300000000000001E-2</v>
          </cell>
          <cell r="DF147">
            <v>4.6300000000000001E-2</v>
          </cell>
          <cell r="DG147">
            <v>4.6300000000000001E-2</v>
          </cell>
          <cell r="DH147">
            <v>4.6300000000000001E-2</v>
          </cell>
          <cell r="DI147">
            <v>4.6300000000000001E-2</v>
          </cell>
          <cell r="DJ147">
            <v>4.6300000000000001E-2</v>
          </cell>
        </row>
        <row r="148">
          <cell r="C148">
            <v>6020</v>
          </cell>
          <cell r="D148">
            <v>9015</v>
          </cell>
          <cell r="E148" t="str">
            <v>Carpenter's Helper</v>
          </cell>
          <cell r="G148" t="str">
            <v>CBA1</v>
          </cell>
          <cell r="I148">
            <v>76419.199999999983</v>
          </cell>
          <cell r="J148">
            <v>36.739999999999995</v>
          </cell>
          <cell r="K148">
            <v>0</v>
          </cell>
          <cell r="L148">
            <v>36.739999999999995</v>
          </cell>
          <cell r="M148">
            <v>36.739999999999995</v>
          </cell>
          <cell r="N148">
            <v>36.739999999999995</v>
          </cell>
          <cell r="O148">
            <v>36.739999999999995</v>
          </cell>
          <cell r="P148">
            <v>36.739999999999995</v>
          </cell>
          <cell r="Q148">
            <v>36.739999999999995</v>
          </cell>
          <cell r="R148">
            <v>36.739999999999995</v>
          </cell>
          <cell r="S148">
            <v>36.739999999999995</v>
          </cell>
          <cell r="T148">
            <v>36.739999999999995</v>
          </cell>
          <cell r="U148">
            <v>36.739999999999995</v>
          </cell>
          <cell r="V148">
            <v>36.739999999999995</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2.7E-2</v>
          </cell>
          <cell r="AT148">
            <v>8000</v>
          </cell>
          <cell r="AU148">
            <v>216</v>
          </cell>
          <cell r="AV148">
            <v>4.6300000000000001E-2</v>
          </cell>
          <cell r="AW148">
            <v>4.6300000000000001E-2</v>
          </cell>
          <cell r="AX148">
            <v>4.6300000000000001E-2</v>
          </cell>
          <cell r="AY148">
            <v>4.6300000000000001E-2</v>
          </cell>
          <cell r="AZ148">
            <v>4.6300000000000001E-2</v>
          </cell>
          <cell r="BA148">
            <v>4.6300000000000001E-2</v>
          </cell>
          <cell r="BB148">
            <v>4.6300000000000001E-2</v>
          </cell>
          <cell r="BC148">
            <v>4.6300000000000001E-2</v>
          </cell>
          <cell r="BD148">
            <v>4.6300000000000001E-2</v>
          </cell>
          <cell r="BE148">
            <v>4.6300000000000001E-2</v>
          </cell>
          <cell r="BF148">
            <v>4.6300000000000001E-2</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O148">
            <v>0</v>
          </cell>
          <cell r="CP148">
            <v>0</v>
          </cell>
          <cell r="CQ148">
            <v>0</v>
          </cell>
          <cell r="CR148">
            <v>0</v>
          </cell>
          <cell r="CS148">
            <v>0</v>
          </cell>
          <cell r="CT148">
            <v>0</v>
          </cell>
          <cell r="CU148">
            <v>0</v>
          </cell>
          <cell r="CV148">
            <v>0</v>
          </cell>
          <cell r="CW148">
            <v>0</v>
          </cell>
          <cell r="CX148">
            <v>0</v>
          </cell>
          <cell r="CY148">
            <v>0</v>
          </cell>
          <cell r="CZ148">
            <v>4.6300000000000001E-2</v>
          </cell>
          <cell r="DA148">
            <v>4.6300000000000001E-2</v>
          </cell>
          <cell r="DB148">
            <v>4.6300000000000001E-2</v>
          </cell>
          <cell r="DC148">
            <v>4.6300000000000001E-2</v>
          </cell>
          <cell r="DD148">
            <v>4.6300000000000001E-2</v>
          </cell>
          <cell r="DE148">
            <v>4.6300000000000001E-2</v>
          </cell>
          <cell r="DF148">
            <v>4.6300000000000001E-2</v>
          </cell>
          <cell r="DG148">
            <v>4.6300000000000001E-2</v>
          </cell>
          <cell r="DH148">
            <v>4.6300000000000001E-2</v>
          </cell>
          <cell r="DI148">
            <v>4.6300000000000001E-2</v>
          </cell>
          <cell r="DJ148">
            <v>4.6300000000000001E-2</v>
          </cell>
        </row>
        <row r="149">
          <cell r="C149">
            <v>6025</v>
          </cell>
          <cell r="D149">
            <v>9015</v>
          </cell>
          <cell r="E149" t="str">
            <v>Concrete Finisher</v>
          </cell>
          <cell r="F149" t="str">
            <v>DBA - DC2 - Cement Mason/Concrete Finisher</v>
          </cell>
          <cell r="G149" t="str">
            <v>CBA1</v>
          </cell>
          <cell r="I149">
            <v>76460.800000000003</v>
          </cell>
          <cell r="J149">
            <v>36.76</v>
          </cell>
          <cell r="K149">
            <v>0</v>
          </cell>
          <cell r="L149">
            <v>36.76</v>
          </cell>
          <cell r="M149">
            <v>36.76</v>
          </cell>
          <cell r="N149">
            <v>36.76</v>
          </cell>
          <cell r="O149">
            <v>36.76</v>
          </cell>
          <cell r="P149">
            <v>36.76</v>
          </cell>
          <cell r="Q149">
            <v>36.76</v>
          </cell>
          <cell r="R149">
            <v>36.76</v>
          </cell>
          <cell r="S149">
            <v>36.76</v>
          </cell>
          <cell r="T149">
            <v>36.76</v>
          </cell>
          <cell r="U149">
            <v>36.76</v>
          </cell>
          <cell r="V149">
            <v>36.76</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2.7E-2</v>
          </cell>
          <cell r="AT149">
            <v>8000</v>
          </cell>
          <cell r="AU149">
            <v>216</v>
          </cell>
          <cell r="AV149">
            <v>4.6300000000000001E-2</v>
          </cell>
          <cell r="AW149">
            <v>4.6300000000000001E-2</v>
          </cell>
          <cell r="AX149">
            <v>4.6300000000000001E-2</v>
          </cell>
          <cell r="AY149">
            <v>4.6300000000000001E-2</v>
          </cell>
          <cell r="AZ149">
            <v>4.6300000000000001E-2</v>
          </cell>
          <cell r="BA149">
            <v>4.6300000000000001E-2</v>
          </cell>
          <cell r="BB149">
            <v>4.6300000000000001E-2</v>
          </cell>
          <cell r="BC149">
            <v>4.6300000000000001E-2</v>
          </cell>
          <cell r="BD149">
            <v>4.6300000000000001E-2</v>
          </cell>
          <cell r="BE149">
            <v>4.6300000000000001E-2</v>
          </cell>
          <cell r="BF149">
            <v>4.6300000000000001E-2</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O149">
            <v>0</v>
          </cell>
          <cell r="CP149">
            <v>0</v>
          </cell>
          <cell r="CQ149">
            <v>0</v>
          </cell>
          <cell r="CR149">
            <v>0</v>
          </cell>
          <cell r="CS149">
            <v>0</v>
          </cell>
          <cell r="CT149">
            <v>0</v>
          </cell>
          <cell r="CU149">
            <v>0</v>
          </cell>
          <cell r="CV149">
            <v>0</v>
          </cell>
          <cell r="CW149">
            <v>0</v>
          </cell>
          <cell r="CX149">
            <v>0</v>
          </cell>
          <cell r="CY149">
            <v>0</v>
          </cell>
          <cell r="CZ149">
            <v>4.6300000000000001E-2</v>
          </cell>
          <cell r="DA149">
            <v>4.6300000000000001E-2</v>
          </cell>
          <cell r="DB149">
            <v>4.6300000000000001E-2</v>
          </cell>
          <cell r="DC149">
            <v>4.6300000000000001E-2</v>
          </cell>
          <cell r="DD149">
            <v>4.6300000000000001E-2</v>
          </cell>
          <cell r="DE149">
            <v>4.6300000000000001E-2</v>
          </cell>
          <cell r="DF149">
            <v>4.6300000000000001E-2</v>
          </cell>
          <cell r="DG149">
            <v>4.6300000000000001E-2</v>
          </cell>
          <cell r="DH149">
            <v>4.6300000000000001E-2</v>
          </cell>
          <cell r="DI149">
            <v>4.6300000000000001E-2</v>
          </cell>
          <cell r="DJ149">
            <v>4.6300000000000001E-2</v>
          </cell>
        </row>
        <row r="150">
          <cell r="C150">
            <v>6030</v>
          </cell>
          <cell r="D150">
            <v>9015</v>
          </cell>
          <cell r="E150" t="str">
            <v>Concrete Finisher Helper</v>
          </cell>
          <cell r="G150" t="str">
            <v>CBA1</v>
          </cell>
          <cell r="I150">
            <v>55827.199999999997</v>
          </cell>
          <cell r="J150">
            <v>26.84</v>
          </cell>
          <cell r="K150">
            <v>1.7</v>
          </cell>
          <cell r="L150">
            <v>26.84</v>
          </cell>
          <cell r="M150">
            <v>26.84</v>
          </cell>
          <cell r="N150">
            <v>27.04</v>
          </cell>
          <cell r="O150">
            <v>27.04</v>
          </cell>
          <cell r="P150">
            <v>27.04</v>
          </cell>
          <cell r="Q150">
            <v>27.04</v>
          </cell>
          <cell r="R150">
            <v>27.04</v>
          </cell>
          <cell r="S150">
            <v>27.04</v>
          </cell>
          <cell r="T150">
            <v>27.04</v>
          </cell>
          <cell r="U150">
            <v>27.04</v>
          </cell>
          <cell r="V150">
            <v>27.04</v>
          </cell>
          <cell r="W150">
            <v>0</v>
          </cell>
          <cell r="X150">
            <v>7.49</v>
          </cell>
          <cell r="Y150">
            <v>7.49</v>
          </cell>
          <cell r="Z150">
            <v>7.49</v>
          </cell>
          <cell r="AA150">
            <v>7.49</v>
          </cell>
          <cell r="AB150">
            <v>7.49</v>
          </cell>
          <cell r="AC150">
            <v>7.49</v>
          </cell>
          <cell r="AD150">
            <v>7.49</v>
          </cell>
          <cell r="AE150">
            <v>7.49</v>
          </cell>
          <cell r="AF150">
            <v>7.49</v>
          </cell>
          <cell r="AG150">
            <v>7.49</v>
          </cell>
          <cell r="AH150">
            <v>1.7</v>
          </cell>
          <cell r="AI150">
            <v>1.7</v>
          </cell>
          <cell r="AJ150">
            <v>1.7</v>
          </cell>
          <cell r="AK150">
            <v>1.7</v>
          </cell>
          <cell r="AL150">
            <v>1.7</v>
          </cell>
          <cell r="AM150">
            <v>1.7</v>
          </cell>
          <cell r="AN150">
            <v>1.7</v>
          </cell>
          <cell r="AO150">
            <v>1.7</v>
          </cell>
          <cell r="AP150">
            <v>1.7</v>
          </cell>
          <cell r="AQ150">
            <v>1.7</v>
          </cell>
          <cell r="AR150">
            <v>1.7</v>
          </cell>
          <cell r="AS150">
            <v>2.7E-2</v>
          </cell>
          <cell r="AT150">
            <v>8000</v>
          </cell>
          <cell r="AU150">
            <v>216</v>
          </cell>
          <cell r="AV150">
            <v>4.6300000000000001E-2</v>
          </cell>
          <cell r="AW150">
            <v>4.6300000000000001E-2</v>
          </cell>
          <cell r="AX150">
            <v>4.6300000000000001E-2</v>
          </cell>
          <cell r="AY150">
            <v>4.6300000000000001E-2</v>
          </cell>
          <cell r="AZ150">
            <v>4.6300000000000001E-2</v>
          </cell>
          <cell r="BA150">
            <v>4.6300000000000001E-2</v>
          </cell>
          <cell r="BB150">
            <v>4.6300000000000001E-2</v>
          </cell>
          <cell r="BC150">
            <v>4.6300000000000001E-2</v>
          </cell>
          <cell r="BD150">
            <v>4.6300000000000001E-2</v>
          </cell>
          <cell r="BE150">
            <v>4.6300000000000001E-2</v>
          </cell>
          <cell r="BF150">
            <v>4.6300000000000001E-2</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O150">
            <v>0</v>
          </cell>
          <cell r="CP150">
            <v>7.49</v>
          </cell>
          <cell r="CQ150">
            <v>7.49</v>
          </cell>
          <cell r="CR150">
            <v>7.49</v>
          </cell>
          <cell r="CS150">
            <v>7.49</v>
          </cell>
          <cell r="CT150">
            <v>7.49</v>
          </cell>
          <cell r="CU150">
            <v>7.49</v>
          </cell>
          <cell r="CV150">
            <v>7.49</v>
          </cell>
          <cell r="CW150">
            <v>7.49</v>
          </cell>
          <cell r="CX150">
            <v>7.49</v>
          </cell>
          <cell r="CY150">
            <v>7.49</v>
          </cell>
          <cell r="CZ150">
            <v>4.6300000000000001E-2</v>
          </cell>
          <cell r="DA150">
            <v>4.6300000000000001E-2</v>
          </cell>
          <cell r="DB150">
            <v>4.6300000000000001E-2</v>
          </cell>
          <cell r="DC150">
            <v>4.6300000000000001E-2</v>
          </cell>
          <cell r="DD150">
            <v>4.6300000000000001E-2</v>
          </cell>
          <cell r="DE150">
            <v>4.6300000000000001E-2</v>
          </cell>
          <cell r="DF150">
            <v>4.6300000000000001E-2</v>
          </cell>
          <cell r="DG150">
            <v>4.6300000000000001E-2</v>
          </cell>
          <cell r="DH150">
            <v>4.6300000000000001E-2</v>
          </cell>
          <cell r="DI150">
            <v>4.6300000000000001E-2</v>
          </cell>
          <cell r="DJ150">
            <v>4.6300000000000001E-2</v>
          </cell>
        </row>
        <row r="151">
          <cell r="C151">
            <v>6035</v>
          </cell>
          <cell r="D151">
            <v>9015</v>
          </cell>
          <cell r="E151" t="str">
            <v>Painter</v>
          </cell>
          <cell r="F151" t="str">
            <v>DBA - DC2 - Painter</v>
          </cell>
          <cell r="G151" t="str">
            <v>CBA1</v>
          </cell>
          <cell r="I151">
            <v>70595.199999999997</v>
          </cell>
          <cell r="J151">
            <v>33.94</v>
          </cell>
          <cell r="K151">
            <v>0</v>
          </cell>
          <cell r="L151">
            <v>33.94</v>
          </cell>
          <cell r="M151">
            <v>33.94</v>
          </cell>
          <cell r="N151">
            <v>33.94</v>
          </cell>
          <cell r="O151">
            <v>33.94</v>
          </cell>
          <cell r="P151">
            <v>33.94</v>
          </cell>
          <cell r="Q151">
            <v>33.94</v>
          </cell>
          <cell r="R151">
            <v>33.94</v>
          </cell>
          <cell r="S151">
            <v>33.94</v>
          </cell>
          <cell r="T151">
            <v>33.94</v>
          </cell>
          <cell r="U151">
            <v>33.94</v>
          </cell>
          <cell r="V151">
            <v>33.94</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2.7E-2</v>
          </cell>
          <cell r="AT151">
            <v>8000</v>
          </cell>
          <cell r="AU151">
            <v>216</v>
          </cell>
          <cell r="AV151">
            <v>4.6300000000000001E-2</v>
          </cell>
          <cell r="AW151">
            <v>4.6300000000000001E-2</v>
          </cell>
          <cell r="AX151">
            <v>4.6300000000000001E-2</v>
          </cell>
          <cell r="AY151">
            <v>4.6300000000000001E-2</v>
          </cell>
          <cell r="AZ151">
            <v>4.6300000000000001E-2</v>
          </cell>
          <cell r="BA151">
            <v>4.6300000000000001E-2</v>
          </cell>
          <cell r="BB151">
            <v>4.6300000000000001E-2</v>
          </cell>
          <cell r="BC151">
            <v>4.6300000000000001E-2</v>
          </cell>
          <cell r="BD151">
            <v>4.6300000000000001E-2</v>
          </cell>
          <cell r="BE151">
            <v>4.6300000000000001E-2</v>
          </cell>
          <cell r="BF151">
            <v>4.6300000000000001E-2</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O151">
            <v>0</v>
          </cell>
          <cell r="CP151">
            <v>0</v>
          </cell>
          <cell r="CQ151">
            <v>0</v>
          </cell>
          <cell r="CR151">
            <v>0</v>
          </cell>
          <cell r="CS151">
            <v>0</v>
          </cell>
          <cell r="CT151">
            <v>0</v>
          </cell>
          <cell r="CU151">
            <v>0</v>
          </cell>
          <cell r="CV151">
            <v>0</v>
          </cell>
          <cell r="CW151">
            <v>0</v>
          </cell>
          <cell r="CX151">
            <v>0</v>
          </cell>
          <cell r="CY151">
            <v>0</v>
          </cell>
          <cell r="CZ151">
            <v>4.6300000000000001E-2</v>
          </cell>
          <cell r="DA151">
            <v>4.6300000000000001E-2</v>
          </cell>
          <cell r="DB151">
            <v>4.6300000000000001E-2</v>
          </cell>
          <cell r="DC151">
            <v>4.6300000000000001E-2</v>
          </cell>
          <cell r="DD151">
            <v>4.6300000000000001E-2</v>
          </cell>
          <cell r="DE151">
            <v>4.6300000000000001E-2</v>
          </cell>
          <cell r="DF151">
            <v>4.6300000000000001E-2</v>
          </cell>
          <cell r="DG151">
            <v>4.6300000000000001E-2</v>
          </cell>
          <cell r="DH151">
            <v>4.6300000000000001E-2</v>
          </cell>
          <cell r="DI151">
            <v>4.6300000000000001E-2</v>
          </cell>
          <cell r="DJ151">
            <v>4.6300000000000001E-2</v>
          </cell>
        </row>
        <row r="152">
          <cell r="C152">
            <v>6040</v>
          </cell>
          <cell r="D152">
            <v>9015</v>
          </cell>
          <cell r="E152" t="str">
            <v>Painter's Helper</v>
          </cell>
          <cell r="F152" t="str">
            <v>Maint. Helper - CBA</v>
          </cell>
          <cell r="G152" t="str">
            <v>CBA1</v>
          </cell>
          <cell r="I152">
            <v>66019.199999999997</v>
          </cell>
          <cell r="J152">
            <v>31.74</v>
          </cell>
          <cell r="K152">
            <v>1.7</v>
          </cell>
          <cell r="L152">
            <v>31.74</v>
          </cell>
          <cell r="M152">
            <v>31.74</v>
          </cell>
          <cell r="N152">
            <v>31.94</v>
          </cell>
          <cell r="O152">
            <v>31.94</v>
          </cell>
          <cell r="P152">
            <v>31.94</v>
          </cell>
          <cell r="Q152">
            <v>31.94</v>
          </cell>
          <cell r="R152">
            <v>31.94</v>
          </cell>
          <cell r="S152">
            <v>31.94</v>
          </cell>
          <cell r="T152">
            <v>31.94</v>
          </cell>
          <cell r="U152">
            <v>31.94</v>
          </cell>
          <cell r="V152">
            <v>31.94</v>
          </cell>
          <cell r="W152">
            <v>0</v>
          </cell>
          <cell r="X152">
            <v>7.49</v>
          </cell>
          <cell r="Y152">
            <v>7.49</v>
          </cell>
          <cell r="Z152">
            <v>7.49</v>
          </cell>
          <cell r="AA152">
            <v>7.49</v>
          </cell>
          <cell r="AB152">
            <v>7.49</v>
          </cell>
          <cell r="AC152">
            <v>7.49</v>
          </cell>
          <cell r="AD152">
            <v>7.49</v>
          </cell>
          <cell r="AE152">
            <v>7.49</v>
          </cell>
          <cell r="AF152">
            <v>7.49</v>
          </cell>
          <cell r="AG152">
            <v>7.49</v>
          </cell>
          <cell r="AH152">
            <v>1.7</v>
          </cell>
          <cell r="AI152">
            <v>1.7</v>
          </cell>
          <cell r="AJ152">
            <v>1.7</v>
          </cell>
          <cell r="AK152">
            <v>1.7</v>
          </cell>
          <cell r="AL152">
            <v>1.7</v>
          </cell>
          <cell r="AM152">
            <v>1.7</v>
          </cell>
          <cell r="AN152">
            <v>1.7</v>
          </cell>
          <cell r="AO152">
            <v>1.7</v>
          </cell>
          <cell r="AP152">
            <v>1.7</v>
          </cell>
          <cell r="AQ152">
            <v>1.7</v>
          </cell>
          <cell r="AR152">
            <v>1.7</v>
          </cell>
          <cell r="AS152">
            <v>2.7E-2</v>
          </cell>
          <cell r="AT152">
            <v>8000</v>
          </cell>
          <cell r="AU152">
            <v>216</v>
          </cell>
          <cell r="AV152">
            <v>4.6300000000000001E-2</v>
          </cell>
          <cell r="AW152">
            <v>4.6300000000000001E-2</v>
          </cell>
          <cell r="AX152">
            <v>4.6300000000000001E-2</v>
          </cell>
          <cell r="AY152">
            <v>4.6300000000000001E-2</v>
          </cell>
          <cell r="AZ152">
            <v>4.6300000000000001E-2</v>
          </cell>
          <cell r="BA152">
            <v>4.6300000000000001E-2</v>
          </cell>
          <cell r="BB152">
            <v>4.6300000000000001E-2</v>
          </cell>
          <cell r="BC152">
            <v>4.6300000000000001E-2</v>
          </cell>
          <cell r="BD152">
            <v>4.6300000000000001E-2</v>
          </cell>
          <cell r="BE152">
            <v>4.6300000000000001E-2</v>
          </cell>
          <cell r="BF152">
            <v>4.6300000000000001E-2</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O152">
            <v>0</v>
          </cell>
          <cell r="CP152">
            <v>7.49</v>
          </cell>
          <cell r="CQ152">
            <v>7.49</v>
          </cell>
          <cell r="CR152">
            <v>7.49</v>
          </cell>
          <cell r="CS152">
            <v>7.49</v>
          </cell>
          <cell r="CT152">
            <v>7.49</v>
          </cell>
          <cell r="CU152">
            <v>7.49</v>
          </cell>
          <cell r="CV152">
            <v>7.49</v>
          </cell>
          <cell r="CW152">
            <v>7.49</v>
          </cell>
          <cell r="CX152">
            <v>7.49</v>
          </cell>
          <cell r="CY152">
            <v>7.49</v>
          </cell>
          <cell r="CZ152">
            <v>4.6300000000000001E-2</v>
          </cell>
          <cell r="DA152">
            <v>4.6300000000000001E-2</v>
          </cell>
          <cell r="DB152">
            <v>4.6300000000000001E-2</v>
          </cell>
          <cell r="DC152">
            <v>4.6300000000000001E-2</v>
          </cell>
          <cell r="DD152">
            <v>4.6300000000000001E-2</v>
          </cell>
          <cell r="DE152">
            <v>4.6300000000000001E-2</v>
          </cell>
          <cell r="DF152">
            <v>4.6300000000000001E-2</v>
          </cell>
          <cell r="DG152">
            <v>4.6300000000000001E-2</v>
          </cell>
          <cell r="DH152">
            <v>4.6300000000000001E-2</v>
          </cell>
          <cell r="DI152">
            <v>4.6300000000000001E-2</v>
          </cell>
          <cell r="DJ152">
            <v>4.6300000000000001E-2</v>
          </cell>
        </row>
        <row r="153">
          <cell r="C153">
            <v>6045</v>
          </cell>
          <cell r="D153">
            <v>9015</v>
          </cell>
          <cell r="E153" t="str">
            <v>HVAC Lead</v>
          </cell>
          <cell r="F153" t="str">
            <v>HVAC Lead - CBA</v>
          </cell>
          <cell r="G153" t="str">
            <v>CBA1</v>
          </cell>
          <cell r="I153">
            <v>62920</v>
          </cell>
          <cell r="J153">
            <v>30.25</v>
          </cell>
          <cell r="K153">
            <v>1.7</v>
          </cell>
          <cell r="L153">
            <v>30.25</v>
          </cell>
          <cell r="M153">
            <v>30.25</v>
          </cell>
          <cell r="N153">
            <v>30.45</v>
          </cell>
          <cell r="O153">
            <v>30.45</v>
          </cell>
          <cell r="P153">
            <v>30.45</v>
          </cell>
          <cell r="Q153">
            <v>30.45</v>
          </cell>
          <cell r="R153">
            <v>30.45</v>
          </cell>
          <cell r="S153">
            <v>30.45</v>
          </cell>
          <cell r="T153">
            <v>30.45</v>
          </cell>
          <cell r="U153">
            <v>30.45</v>
          </cell>
          <cell r="V153">
            <v>30.45</v>
          </cell>
          <cell r="W153">
            <v>0</v>
          </cell>
          <cell r="X153">
            <v>7.49</v>
          </cell>
          <cell r="Y153">
            <v>7.49</v>
          </cell>
          <cell r="Z153">
            <v>7.49</v>
          </cell>
          <cell r="AA153">
            <v>7.49</v>
          </cell>
          <cell r="AB153">
            <v>7.49</v>
          </cell>
          <cell r="AC153">
            <v>7.49</v>
          </cell>
          <cell r="AD153">
            <v>7.49</v>
          </cell>
          <cell r="AE153">
            <v>7.49</v>
          </cell>
          <cell r="AF153">
            <v>7.49</v>
          </cell>
          <cell r="AG153">
            <v>7.49</v>
          </cell>
          <cell r="AH153">
            <v>1.7</v>
          </cell>
          <cell r="AI153">
            <v>1.7</v>
          </cell>
          <cell r="AJ153">
            <v>1.7</v>
          </cell>
          <cell r="AK153">
            <v>1.7</v>
          </cell>
          <cell r="AL153">
            <v>1.7</v>
          </cell>
          <cell r="AM153">
            <v>1.7</v>
          </cell>
          <cell r="AN153">
            <v>1.7</v>
          </cell>
          <cell r="AO153">
            <v>1.7</v>
          </cell>
          <cell r="AP153">
            <v>1.7</v>
          </cell>
          <cell r="AQ153">
            <v>1.7</v>
          </cell>
          <cell r="AR153">
            <v>1.7</v>
          </cell>
          <cell r="AS153">
            <v>2.7E-2</v>
          </cell>
          <cell r="AT153">
            <v>8000</v>
          </cell>
          <cell r="AU153">
            <v>216</v>
          </cell>
          <cell r="AV153">
            <v>4.6300000000000001E-2</v>
          </cell>
          <cell r="AW153">
            <v>4.6300000000000001E-2</v>
          </cell>
          <cell r="AX153">
            <v>4.6300000000000001E-2</v>
          </cell>
          <cell r="AY153">
            <v>4.6300000000000001E-2</v>
          </cell>
          <cell r="AZ153">
            <v>4.6300000000000001E-2</v>
          </cell>
          <cell r="BA153">
            <v>4.6300000000000001E-2</v>
          </cell>
          <cell r="BB153">
            <v>4.6300000000000001E-2</v>
          </cell>
          <cell r="BC153">
            <v>4.6300000000000001E-2</v>
          </cell>
          <cell r="BD153">
            <v>4.6300000000000001E-2</v>
          </cell>
          <cell r="BE153">
            <v>4.6300000000000001E-2</v>
          </cell>
          <cell r="BF153">
            <v>4.6300000000000001E-2</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O153">
            <v>0</v>
          </cell>
          <cell r="CP153">
            <v>7.49</v>
          </cell>
          <cell r="CQ153">
            <v>7.49</v>
          </cell>
          <cell r="CR153">
            <v>7.49</v>
          </cell>
          <cell r="CS153">
            <v>7.49</v>
          </cell>
          <cell r="CT153">
            <v>7.49</v>
          </cell>
          <cell r="CU153">
            <v>7.49</v>
          </cell>
          <cell r="CV153">
            <v>7.49</v>
          </cell>
          <cell r="CW153">
            <v>7.49</v>
          </cell>
          <cell r="CX153">
            <v>7.49</v>
          </cell>
          <cell r="CY153">
            <v>7.49</v>
          </cell>
          <cell r="CZ153">
            <v>4.6300000000000001E-2</v>
          </cell>
          <cell r="DA153">
            <v>4.6300000000000001E-2</v>
          </cell>
          <cell r="DB153">
            <v>4.6300000000000001E-2</v>
          </cell>
          <cell r="DC153">
            <v>4.6300000000000001E-2</v>
          </cell>
          <cell r="DD153">
            <v>4.6300000000000001E-2</v>
          </cell>
          <cell r="DE153">
            <v>4.6300000000000001E-2</v>
          </cell>
          <cell r="DF153">
            <v>4.6300000000000001E-2</v>
          </cell>
          <cell r="DG153">
            <v>4.6300000000000001E-2</v>
          </cell>
          <cell r="DH153">
            <v>4.6300000000000001E-2</v>
          </cell>
          <cell r="DI153">
            <v>4.6300000000000001E-2</v>
          </cell>
          <cell r="DJ153">
            <v>4.6300000000000001E-2</v>
          </cell>
        </row>
        <row r="154">
          <cell r="C154">
            <v>6050</v>
          </cell>
          <cell r="D154">
            <v>9015</v>
          </cell>
          <cell r="E154" t="str">
            <v>HVAC Journeyman Mechanic</v>
          </cell>
          <cell r="F154" t="str">
            <v>HVAC/Engineer - CBA</v>
          </cell>
          <cell r="G154" t="str">
            <v>CBA1</v>
          </cell>
          <cell r="I154">
            <v>56118.400000000001</v>
          </cell>
          <cell r="J154">
            <v>26.98</v>
          </cell>
          <cell r="K154">
            <v>1.7</v>
          </cell>
          <cell r="L154">
            <v>26.98</v>
          </cell>
          <cell r="M154">
            <v>26.98</v>
          </cell>
          <cell r="N154">
            <v>27.18</v>
          </cell>
          <cell r="O154">
            <v>27.18</v>
          </cell>
          <cell r="P154">
            <v>27.18</v>
          </cell>
          <cell r="Q154">
            <v>27.18</v>
          </cell>
          <cell r="R154">
            <v>27.18</v>
          </cell>
          <cell r="S154">
            <v>27.18</v>
          </cell>
          <cell r="T154">
            <v>27.18</v>
          </cell>
          <cell r="U154">
            <v>27.18</v>
          </cell>
          <cell r="V154">
            <v>27.18</v>
          </cell>
          <cell r="W154">
            <v>0</v>
          </cell>
          <cell r="X154">
            <v>7.49</v>
          </cell>
          <cell r="Y154">
            <v>7.49</v>
          </cell>
          <cell r="Z154">
            <v>7.49</v>
          </cell>
          <cell r="AA154">
            <v>7.49</v>
          </cell>
          <cell r="AB154">
            <v>7.49</v>
          </cell>
          <cell r="AC154">
            <v>7.49</v>
          </cell>
          <cell r="AD154">
            <v>7.49</v>
          </cell>
          <cell r="AE154">
            <v>7.49</v>
          </cell>
          <cell r="AF154">
            <v>7.49</v>
          </cell>
          <cell r="AG154">
            <v>7.49</v>
          </cell>
          <cell r="AH154">
            <v>1.7</v>
          </cell>
          <cell r="AI154">
            <v>1.7</v>
          </cell>
          <cell r="AJ154">
            <v>1.7</v>
          </cell>
          <cell r="AK154">
            <v>1.7</v>
          </cell>
          <cell r="AL154">
            <v>1.7</v>
          </cell>
          <cell r="AM154">
            <v>1.7</v>
          </cell>
          <cell r="AN154">
            <v>1.7</v>
          </cell>
          <cell r="AO154">
            <v>1.7</v>
          </cell>
          <cell r="AP154">
            <v>1.7</v>
          </cell>
          <cell r="AQ154">
            <v>1.7</v>
          </cell>
          <cell r="AR154">
            <v>1.7</v>
          </cell>
          <cell r="AS154">
            <v>2.7E-2</v>
          </cell>
          <cell r="AT154">
            <v>8000</v>
          </cell>
          <cell r="AU154">
            <v>216</v>
          </cell>
          <cell r="AV154">
            <v>4.6300000000000001E-2</v>
          </cell>
          <cell r="AW154">
            <v>4.6300000000000001E-2</v>
          </cell>
          <cell r="AX154">
            <v>4.6300000000000001E-2</v>
          </cell>
          <cell r="AY154">
            <v>4.6300000000000001E-2</v>
          </cell>
          <cell r="AZ154">
            <v>4.6300000000000001E-2</v>
          </cell>
          <cell r="BA154">
            <v>4.6300000000000001E-2</v>
          </cell>
          <cell r="BB154">
            <v>4.6300000000000001E-2</v>
          </cell>
          <cell r="BC154">
            <v>4.6300000000000001E-2</v>
          </cell>
          <cell r="BD154">
            <v>4.6300000000000001E-2</v>
          </cell>
          <cell r="BE154">
            <v>4.6300000000000001E-2</v>
          </cell>
          <cell r="BF154">
            <v>4.6300000000000001E-2</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O154">
            <v>0</v>
          </cell>
          <cell r="CP154">
            <v>7.49</v>
          </cell>
          <cell r="CQ154">
            <v>7.49</v>
          </cell>
          <cell r="CR154">
            <v>7.49</v>
          </cell>
          <cell r="CS154">
            <v>7.49</v>
          </cell>
          <cell r="CT154">
            <v>7.49</v>
          </cell>
          <cell r="CU154">
            <v>7.49</v>
          </cell>
          <cell r="CV154">
            <v>7.49</v>
          </cell>
          <cell r="CW154">
            <v>7.49</v>
          </cell>
          <cell r="CX154">
            <v>7.49</v>
          </cell>
          <cell r="CY154">
            <v>7.49</v>
          </cell>
          <cell r="CZ154">
            <v>4.6300000000000001E-2</v>
          </cell>
          <cell r="DA154">
            <v>4.6300000000000001E-2</v>
          </cell>
          <cell r="DB154">
            <v>4.6300000000000001E-2</v>
          </cell>
          <cell r="DC154">
            <v>4.6300000000000001E-2</v>
          </cell>
          <cell r="DD154">
            <v>4.6300000000000001E-2</v>
          </cell>
          <cell r="DE154">
            <v>4.6300000000000001E-2</v>
          </cell>
          <cell r="DF154">
            <v>4.6300000000000001E-2</v>
          </cell>
          <cell r="DG154">
            <v>4.6300000000000001E-2</v>
          </cell>
          <cell r="DH154">
            <v>4.6300000000000001E-2</v>
          </cell>
          <cell r="DI154">
            <v>4.6300000000000001E-2</v>
          </cell>
          <cell r="DJ154">
            <v>4.6300000000000001E-2</v>
          </cell>
        </row>
        <row r="155">
          <cell r="C155">
            <v>6055</v>
          </cell>
          <cell r="D155">
            <v>9015</v>
          </cell>
          <cell r="E155" t="str">
            <v>HVAC Mechanic Apprentice</v>
          </cell>
          <cell r="F155" t="str">
            <v>HVAC/Engineer - CBA @ 85%</v>
          </cell>
          <cell r="G155" t="str">
            <v>CBA1</v>
          </cell>
          <cell r="I155">
            <v>47700.639999999999</v>
          </cell>
          <cell r="J155">
            <v>22.933</v>
          </cell>
          <cell r="K155">
            <v>1.7</v>
          </cell>
          <cell r="L155">
            <v>22.933</v>
          </cell>
          <cell r="M155">
            <v>22.933</v>
          </cell>
          <cell r="N155">
            <v>22.933</v>
          </cell>
          <cell r="O155">
            <v>22.933</v>
          </cell>
          <cell r="P155">
            <v>22.933</v>
          </cell>
          <cell r="Q155">
            <v>22.933</v>
          </cell>
          <cell r="R155">
            <v>22.933</v>
          </cell>
          <cell r="S155">
            <v>22.933</v>
          </cell>
          <cell r="T155">
            <v>22.933</v>
          </cell>
          <cell r="U155">
            <v>22.933</v>
          </cell>
          <cell r="V155">
            <v>22.933</v>
          </cell>
          <cell r="W155">
            <v>0</v>
          </cell>
          <cell r="X155">
            <v>0</v>
          </cell>
          <cell r="Y155">
            <v>0</v>
          </cell>
          <cell r="Z155">
            <v>0</v>
          </cell>
          <cell r="AA155">
            <v>0</v>
          </cell>
          <cell r="AB155">
            <v>0</v>
          </cell>
          <cell r="AC155">
            <v>0</v>
          </cell>
          <cell r="AD155">
            <v>0</v>
          </cell>
          <cell r="AE155">
            <v>0</v>
          </cell>
          <cell r="AF155">
            <v>0</v>
          </cell>
          <cell r="AG155">
            <v>0</v>
          </cell>
          <cell r="AH155">
            <v>1.7</v>
          </cell>
          <cell r="AI155">
            <v>1.7</v>
          </cell>
          <cell r="AJ155">
            <v>1.7</v>
          </cell>
          <cell r="AK155">
            <v>1.7</v>
          </cell>
          <cell r="AL155">
            <v>1.7</v>
          </cell>
          <cell r="AM155">
            <v>1.7</v>
          </cell>
          <cell r="AN155">
            <v>1.7</v>
          </cell>
          <cell r="AO155">
            <v>1.7</v>
          </cell>
          <cell r="AP155">
            <v>1.7</v>
          </cell>
          <cell r="AQ155">
            <v>1.7</v>
          </cell>
          <cell r="AR155">
            <v>1.7</v>
          </cell>
          <cell r="AS155">
            <v>2.7E-2</v>
          </cell>
          <cell r="AT155">
            <v>8000</v>
          </cell>
          <cell r="AU155">
            <v>216</v>
          </cell>
          <cell r="AV155">
            <v>4.6300000000000001E-2</v>
          </cell>
          <cell r="AW155">
            <v>4.6300000000000001E-2</v>
          </cell>
          <cell r="AX155">
            <v>4.6300000000000001E-2</v>
          </cell>
          <cell r="AY155">
            <v>4.6300000000000001E-2</v>
          </cell>
          <cell r="AZ155">
            <v>4.6300000000000001E-2</v>
          </cell>
          <cell r="BA155">
            <v>4.6300000000000001E-2</v>
          </cell>
          <cell r="BB155">
            <v>4.6300000000000001E-2</v>
          </cell>
          <cell r="BC155">
            <v>4.6300000000000001E-2</v>
          </cell>
          <cell r="BD155">
            <v>4.6300000000000001E-2</v>
          </cell>
          <cell r="BE155">
            <v>4.6300000000000001E-2</v>
          </cell>
          <cell r="BF155">
            <v>4.6300000000000001E-2</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O155">
            <v>0</v>
          </cell>
          <cell r="CP155">
            <v>0</v>
          </cell>
          <cell r="CQ155">
            <v>0</v>
          </cell>
          <cell r="CR155">
            <v>0</v>
          </cell>
          <cell r="CS155">
            <v>0</v>
          </cell>
          <cell r="CT155">
            <v>0</v>
          </cell>
          <cell r="CU155">
            <v>0</v>
          </cell>
          <cell r="CV155">
            <v>0</v>
          </cell>
          <cell r="CW155">
            <v>0</v>
          </cell>
          <cell r="CX155">
            <v>0</v>
          </cell>
          <cell r="CY155">
            <v>0</v>
          </cell>
          <cell r="CZ155">
            <v>4.6300000000000001E-2</v>
          </cell>
          <cell r="DA155">
            <v>4.6300000000000001E-2</v>
          </cell>
          <cell r="DB155">
            <v>4.6300000000000001E-2</v>
          </cell>
          <cell r="DC155">
            <v>4.6300000000000001E-2</v>
          </cell>
          <cell r="DD155">
            <v>4.6300000000000001E-2</v>
          </cell>
          <cell r="DE155">
            <v>4.6300000000000001E-2</v>
          </cell>
          <cell r="DF155">
            <v>4.6300000000000001E-2</v>
          </cell>
          <cell r="DG155">
            <v>4.6300000000000001E-2</v>
          </cell>
          <cell r="DH155">
            <v>4.6300000000000001E-2</v>
          </cell>
          <cell r="DI155">
            <v>4.6300000000000001E-2</v>
          </cell>
          <cell r="DJ155">
            <v>4.6300000000000001E-2</v>
          </cell>
        </row>
        <row r="156">
          <cell r="C156">
            <v>6060</v>
          </cell>
          <cell r="D156">
            <v>9015</v>
          </cell>
          <cell r="E156" t="str">
            <v>Pipe Fitter/Welder Master</v>
          </cell>
          <cell r="F156" t="str">
            <v>DBA - DC2 - Pipefitter</v>
          </cell>
          <cell r="G156" t="str">
            <v>CBA1</v>
          </cell>
          <cell r="I156">
            <v>122428.8</v>
          </cell>
          <cell r="J156">
            <v>58.86</v>
          </cell>
          <cell r="K156">
            <v>0</v>
          </cell>
          <cell r="L156">
            <v>58.86</v>
          </cell>
          <cell r="M156">
            <v>58.86</v>
          </cell>
          <cell r="N156">
            <v>58.86</v>
          </cell>
          <cell r="O156">
            <v>58.86</v>
          </cell>
          <cell r="P156">
            <v>58.86</v>
          </cell>
          <cell r="Q156">
            <v>58.86</v>
          </cell>
          <cell r="R156">
            <v>58.86</v>
          </cell>
          <cell r="S156">
            <v>58.86</v>
          </cell>
          <cell r="T156">
            <v>58.86</v>
          </cell>
          <cell r="U156">
            <v>58.86</v>
          </cell>
          <cell r="V156">
            <v>58.86</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2.7E-2</v>
          </cell>
          <cell r="AT156">
            <v>8000</v>
          </cell>
          <cell r="AU156">
            <v>216</v>
          </cell>
          <cell r="AV156">
            <v>4.6300000000000001E-2</v>
          </cell>
          <cell r="AW156">
            <v>4.6300000000000001E-2</v>
          </cell>
          <cell r="AX156">
            <v>4.6300000000000001E-2</v>
          </cell>
          <cell r="AY156">
            <v>4.6300000000000001E-2</v>
          </cell>
          <cell r="AZ156">
            <v>4.6300000000000001E-2</v>
          </cell>
          <cell r="BA156">
            <v>4.6300000000000001E-2</v>
          </cell>
          <cell r="BB156">
            <v>4.6300000000000001E-2</v>
          </cell>
          <cell r="BC156">
            <v>4.6300000000000001E-2</v>
          </cell>
          <cell r="BD156">
            <v>4.6300000000000001E-2</v>
          </cell>
          <cell r="BE156">
            <v>4.6300000000000001E-2</v>
          </cell>
          <cell r="BF156">
            <v>4.6300000000000001E-2</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O156">
            <v>0</v>
          </cell>
          <cell r="CP156">
            <v>0</v>
          </cell>
          <cell r="CQ156">
            <v>0</v>
          </cell>
          <cell r="CR156">
            <v>0</v>
          </cell>
          <cell r="CS156">
            <v>0</v>
          </cell>
          <cell r="CT156">
            <v>0</v>
          </cell>
          <cell r="CU156">
            <v>0</v>
          </cell>
          <cell r="CV156">
            <v>0</v>
          </cell>
          <cell r="CW156">
            <v>0</v>
          </cell>
          <cell r="CX156">
            <v>0</v>
          </cell>
          <cell r="CY156">
            <v>0</v>
          </cell>
          <cell r="CZ156">
            <v>4.6300000000000001E-2</v>
          </cell>
          <cell r="DA156">
            <v>4.6300000000000001E-2</v>
          </cell>
          <cell r="DB156">
            <v>4.6300000000000001E-2</v>
          </cell>
          <cell r="DC156">
            <v>4.6300000000000001E-2</v>
          </cell>
          <cell r="DD156">
            <v>4.6300000000000001E-2</v>
          </cell>
          <cell r="DE156">
            <v>4.6300000000000001E-2</v>
          </cell>
          <cell r="DF156">
            <v>4.6300000000000001E-2</v>
          </cell>
          <cell r="DG156">
            <v>4.6300000000000001E-2</v>
          </cell>
          <cell r="DH156">
            <v>4.6300000000000001E-2</v>
          </cell>
          <cell r="DI156">
            <v>4.6300000000000001E-2</v>
          </cell>
          <cell r="DJ156">
            <v>4.6300000000000001E-2</v>
          </cell>
        </row>
        <row r="157">
          <cell r="C157">
            <v>6065</v>
          </cell>
          <cell r="D157">
            <v>9015</v>
          </cell>
          <cell r="E157" t="str">
            <v>Pipe Fitter/Welder Apprentice</v>
          </cell>
          <cell r="F157" t="str">
            <v>85% of DBA - DC2 - Pipefitter</v>
          </cell>
          <cell r="G157" t="str">
            <v>CBA1</v>
          </cell>
          <cell r="I157">
            <v>104064.48</v>
          </cell>
          <cell r="J157">
            <v>50.030999999999999</v>
          </cell>
          <cell r="K157">
            <v>0</v>
          </cell>
          <cell r="L157">
            <v>50.030999999999999</v>
          </cell>
          <cell r="M157">
            <v>50.030999999999999</v>
          </cell>
          <cell r="N157">
            <v>50.030999999999999</v>
          </cell>
          <cell r="O157">
            <v>50.030999999999999</v>
          </cell>
          <cell r="P157">
            <v>50.030999999999999</v>
          </cell>
          <cell r="Q157">
            <v>50.030999999999999</v>
          </cell>
          <cell r="R157">
            <v>50.030999999999999</v>
          </cell>
          <cell r="S157">
            <v>50.030999999999999</v>
          </cell>
          <cell r="T157">
            <v>50.030999999999999</v>
          </cell>
          <cell r="U157">
            <v>50.030999999999999</v>
          </cell>
          <cell r="V157">
            <v>50.030999999999999</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2.7E-2</v>
          </cell>
          <cell r="AT157">
            <v>8000</v>
          </cell>
          <cell r="AU157">
            <v>216</v>
          </cell>
          <cell r="AV157">
            <v>4.6300000000000001E-2</v>
          </cell>
          <cell r="AW157">
            <v>4.6300000000000001E-2</v>
          </cell>
          <cell r="AX157">
            <v>4.6300000000000001E-2</v>
          </cell>
          <cell r="AY157">
            <v>4.6300000000000001E-2</v>
          </cell>
          <cell r="AZ157">
            <v>4.6300000000000001E-2</v>
          </cell>
          <cell r="BA157">
            <v>4.6300000000000001E-2</v>
          </cell>
          <cell r="BB157">
            <v>4.6300000000000001E-2</v>
          </cell>
          <cell r="BC157">
            <v>4.6300000000000001E-2</v>
          </cell>
          <cell r="BD157">
            <v>4.6300000000000001E-2</v>
          </cell>
          <cell r="BE157">
            <v>4.6300000000000001E-2</v>
          </cell>
          <cell r="BF157">
            <v>4.6300000000000001E-2</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O157">
            <v>0</v>
          </cell>
          <cell r="CP157">
            <v>0</v>
          </cell>
          <cell r="CQ157">
            <v>0</v>
          </cell>
          <cell r="CR157">
            <v>0</v>
          </cell>
          <cell r="CS157">
            <v>0</v>
          </cell>
          <cell r="CT157">
            <v>0</v>
          </cell>
          <cell r="CU157">
            <v>0</v>
          </cell>
          <cell r="CV157">
            <v>0</v>
          </cell>
          <cell r="CW157">
            <v>0</v>
          </cell>
          <cell r="CX157">
            <v>0</v>
          </cell>
          <cell r="CY157">
            <v>0</v>
          </cell>
          <cell r="CZ157">
            <v>4.6300000000000001E-2</v>
          </cell>
          <cell r="DA157">
            <v>4.6300000000000001E-2</v>
          </cell>
          <cell r="DB157">
            <v>4.6300000000000001E-2</v>
          </cell>
          <cell r="DC157">
            <v>4.6300000000000001E-2</v>
          </cell>
          <cell r="DD157">
            <v>4.6300000000000001E-2</v>
          </cell>
          <cell r="DE157">
            <v>4.6300000000000001E-2</v>
          </cell>
          <cell r="DF157">
            <v>4.6300000000000001E-2</v>
          </cell>
          <cell r="DG157">
            <v>4.6300000000000001E-2</v>
          </cell>
          <cell r="DH157">
            <v>4.6300000000000001E-2</v>
          </cell>
          <cell r="DI157">
            <v>4.6300000000000001E-2</v>
          </cell>
          <cell r="DJ157">
            <v>4.6300000000000001E-2</v>
          </cell>
        </row>
        <row r="158">
          <cell r="C158">
            <v>6070</v>
          </cell>
          <cell r="D158">
            <v>9015</v>
          </cell>
          <cell r="E158" t="str">
            <v>Electrician, Master</v>
          </cell>
          <cell r="F158" t="str">
            <v>Subcontract Rate (Total Facilities)</v>
          </cell>
          <cell r="G158" t="str">
            <v>CBA1</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2.7E-2</v>
          </cell>
          <cell r="AT158">
            <v>8000</v>
          </cell>
          <cell r="AU158">
            <v>216</v>
          </cell>
          <cell r="AV158">
            <v>4.6300000000000001E-2</v>
          </cell>
          <cell r="AW158">
            <v>4.6300000000000001E-2</v>
          </cell>
          <cell r="AX158">
            <v>4.6300000000000001E-2</v>
          </cell>
          <cell r="AY158">
            <v>4.6300000000000001E-2</v>
          </cell>
          <cell r="AZ158">
            <v>4.6300000000000001E-2</v>
          </cell>
          <cell r="BA158">
            <v>4.6300000000000001E-2</v>
          </cell>
          <cell r="BB158">
            <v>4.6300000000000001E-2</v>
          </cell>
          <cell r="BC158">
            <v>4.6300000000000001E-2</v>
          </cell>
          <cell r="BD158">
            <v>4.6300000000000001E-2</v>
          </cell>
          <cell r="BE158">
            <v>4.6300000000000001E-2</v>
          </cell>
          <cell r="BF158">
            <v>4.6300000000000001E-2</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O158">
            <v>0</v>
          </cell>
          <cell r="CP158">
            <v>0</v>
          </cell>
          <cell r="CQ158">
            <v>0</v>
          </cell>
          <cell r="CR158">
            <v>0</v>
          </cell>
          <cell r="CS158">
            <v>0</v>
          </cell>
          <cell r="CT158">
            <v>0</v>
          </cell>
          <cell r="CU158">
            <v>0</v>
          </cell>
          <cell r="CV158">
            <v>0</v>
          </cell>
          <cell r="CW158">
            <v>0</v>
          </cell>
          <cell r="CX158">
            <v>0</v>
          </cell>
          <cell r="CY158">
            <v>0</v>
          </cell>
          <cell r="CZ158">
            <v>4.6300000000000001E-2</v>
          </cell>
          <cell r="DA158">
            <v>4.6300000000000001E-2</v>
          </cell>
          <cell r="DB158">
            <v>4.6300000000000001E-2</v>
          </cell>
          <cell r="DC158">
            <v>4.6300000000000001E-2</v>
          </cell>
          <cell r="DD158">
            <v>4.6300000000000001E-2</v>
          </cell>
          <cell r="DE158">
            <v>4.6300000000000001E-2</v>
          </cell>
          <cell r="DF158">
            <v>4.6300000000000001E-2</v>
          </cell>
          <cell r="DG158">
            <v>4.6300000000000001E-2</v>
          </cell>
          <cell r="DH158">
            <v>4.6300000000000001E-2</v>
          </cell>
          <cell r="DI158">
            <v>4.6300000000000001E-2</v>
          </cell>
          <cell r="DJ158">
            <v>4.6300000000000001E-2</v>
          </cell>
        </row>
        <row r="159">
          <cell r="C159">
            <v>6075</v>
          </cell>
          <cell r="D159">
            <v>9015</v>
          </cell>
          <cell r="E159" t="str">
            <v>Electrician, Journeyman</v>
          </cell>
          <cell r="F159" t="str">
            <v>DBA - DC2 - Electrician</v>
          </cell>
          <cell r="G159" t="str">
            <v>CBA1</v>
          </cell>
          <cell r="I159">
            <v>120494.39999999999</v>
          </cell>
          <cell r="J159">
            <v>57.93</v>
          </cell>
          <cell r="K159">
            <v>0</v>
          </cell>
          <cell r="L159">
            <v>57.93</v>
          </cell>
          <cell r="M159">
            <v>57.93</v>
          </cell>
          <cell r="N159">
            <v>57.93</v>
          </cell>
          <cell r="O159">
            <v>57.93</v>
          </cell>
          <cell r="P159">
            <v>57.93</v>
          </cell>
          <cell r="Q159">
            <v>57.93</v>
          </cell>
          <cell r="R159">
            <v>57.93</v>
          </cell>
          <cell r="S159">
            <v>57.93</v>
          </cell>
          <cell r="T159">
            <v>57.93</v>
          </cell>
          <cell r="U159">
            <v>57.93</v>
          </cell>
          <cell r="V159">
            <v>57.93</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2.7E-2</v>
          </cell>
          <cell r="AT159">
            <v>8000</v>
          </cell>
          <cell r="AU159">
            <v>216</v>
          </cell>
          <cell r="AV159">
            <v>4.6300000000000001E-2</v>
          </cell>
          <cell r="AW159">
            <v>4.6300000000000001E-2</v>
          </cell>
          <cell r="AX159">
            <v>4.6300000000000001E-2</v>
          </cell>
          <cell r="AY159">
            <v>4.6300000000000001E-2</v>
          </cell>
          <cell r="AZ159">
            <v>4.6300000000000001E-2</v>
          </cell>
          <cell r="BA159">
            <v>4.6300000000000001E-2</v>
          </cell>
          <cell r="BB159">
            <v>4.6300000000000001E-2</v>
          </cell>
          <cell r="BC159">
            <v>4.6300000000000001E-2</v>
          </cell>
          <cell r="BD159">
            <v>4.6300000000000001E-2</v>
          </cell>
          <cell r="BE159">
            <v>4.6300000000000001E-2</v>
          </cell>
          <cell r="BF159">
            <v>4.6300000000000001E-2</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O159">
            <v>0</v>
          </cell>
          <cell r="CP159">
            <v>0</v>
          </cell>
          <cell r="CQ159">
            <v>0</v>
          </cell>
          <cell r="CR159">
            <v>0</v>
          </cell>
          <cell r="CS159">
            <v>0</v>
          </cell>
          <cell r="CT159">
            <v>0</v>
          </cell>
          <cell r="CU159">
            <v>0</v>
          </cell>
          <cell r="CV159">
            <v>0</v>
          </cell>
          <cell r="CW159">
            <v>0</v>
          </cell>
          <cell r="CX159">
            <v>0</v>
          </cell>
          <cell r="CY159">
            <v>0</v>
          </cell>
          <cell r="CZ159">
            <v>4.6300000000000001E-2</v>
          </cell>
          <cell r="DA159">
            <v>4.6300000000000001E-2</v>
          </cell>
          <cell r="DB159">
            <v>4.6300000000000001E-2</v>
          </cell>
          <cell r="DC159">
            <v>4.6300000000000001E-2</v>
          </cell>
          <cell r="DD159">
            <v>4.6300000000000001E-2</v>
          </cell>
          <cell r="DE159">
            <v>4.6300000000000001E-2</v>
          </cell>
          <cell r="DF159">
            <v>4.6300000000000001E-2</v>
          </cell>
          <cell r="DG159">
            <v>4.6300000000000001E-2</v>
          </cell>
          <cell r="DH159">
            <v>4.6300000000000001E-2</v>
          </cell>
          <cell r="DI159">
            <v>4.6300000000000001E-2</v>
          </cell>
          <cell r="DJ159">
            <v>4.6300000000000001E-2</v>
          </cell>
        </row>
        <row r="160">
          <cell r="C160">
            <v>6080</v>
          </cell>
          <cell r="D160">
            <v>9015</v>
          </cell>
          <cell r="E160" t="str">
            <v>Electrician, Apprentice</v>
          </cell>
          <cell r="F160" t="str">
            <v>85% of DBA - DC2 - Electrician</v>
          </cell>
          <cell r="G160" t="str">
            <v>CBA1</v>
          </cell>
          <cell r="I160">
            <v>102420.23999999999</v>
          </cell>
          <cell r="J160">
            <v>49.240499999999997</v>
          </cell>
          <cell r="K160">
            <v>0</v>
          </cell>
          <cell r="L160">
            <v>49.240499999999997</v>
          </cell>
          <cell r="M160">
            <v>49.240499999999997</v>
          </cell>
          <cell r="N160">
            <v>49.240499999999997</v>
          </cell>
          <cell r="O160">
            <v>49.240499999999997</v>
          </cell>
          <cell r="P160">
            <v>49.240499999999997</v>
          </cell>
          <cell r="Q160">
            <v>49.240499999999997</v>
          </cell>
          <cell r="R160">
            <v>49.240499999999997</v>
          </cell>
          <cell r="S160">
            <v>49.240499999999997</v>
          </cell>
          <cell r="T160">
            <v>49.240499999999997</v>
          </cell>
          <cell r="U160">
            <v>49.240499999999997</v>
          </cell>
          <cell r="V160">
            <v>49.240499999999997</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2.7E-2</v>
          </cell>
          <cell r="AT160">
            <v>8000</v>
          </cell>
          <cell r="AU160">
            <v>216</v>
          </cell>
          <cell r="AV160">
            <v>4.6300000000000001E-2</v>
          </cell>
          <cell r="AW160">
            <v>4.6300000000000001E-2</v>
          </cell>
          <cell r="AX160">
            <v>4.6300000000000001E-2</v>
          </cell>
          <cell r="AY160">
            <v>4.6300000000000001E-2</v>
          </cell>
          <cell r="AZ160">
            <v>4.6300000000000001E-2</v>
          </cell>
          <cell r="BA160">
            <v>4.6300000000000001E-2</v>
          </cell>
          <cell r="BB160">
            <v>4.6300000000000001E-2</v>
          </cell>
          <cell r="BC160">
            <v>4.6300000000000001E-2</v>
          </cell>
          <cell r="BD160">
            <v>4.6300000000000001E-2</v>
          </cell>
          <cell r="BE160">
            <v>4.6300000000000001E-2</v>
          </cell>
          <cell r="BF160">
            <v>4.6300000000000001E-2</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O160">
            <v>0</v>
          </cell>
          <cell r="CP160">
            <v>0</v>
          </cell>
          <cell r="CQ160">
            <v>0</v>
          </cell>
          <cell r="CR160">
            <v>0</v>
          </cell>
          <cell r="CS160">
            <v>0</v>
          </cell>
          <cell r="CT160">
            <v>0</v>
          </cell>
          <cell r="CU160">
            <v>0</v>
          </cell>
          <cell r="CV160">
            <v>0</v>
          </cell>
          <cell r="CW160">
            <v>0</v>
          </cell>
          <cell r="CX160">
            <v>0</v>
          </cell>
          <cell r="CY160">
            <v>0</v>
          </cell>
          <cell r="CZ160">
            <v>4.6300000000000001E-2</v>
          </cell>
          <cell r="DA160">
            <v>4.6300000000000001E-2</v>
          </cell>
          <cell r="DB160">
            <v>4.6300000000000001E-2</v>
          </cell>
          <cell r="DC160">
            <v>4.6300000000000001E-2</v>
          </cell>
          <cell r="DD160">
            <v>4.6300000000000001E-2</v>
          </cell>
          <cell r="DE160">
            <v>4.6300000000000001E-2</v>
          </cell>
          <cell r="DF160">
            <v>4.6300000000000001E-2</v>
          </cell>
          <cell r="DG160">
            <v>4.6300000000000001E-2</v>
          </cell>
          <cell r="DH160">
            <v>4.6300000000000001E-2</v>
          </cell>
          <cell r="DI160">
            <v>4.6300000000000001E-2</v>
          </cell>
          <cell r="DJ160">
            <v>4.6300000000000001E-2</v>
          </cell>
        </row>
        <row r="161">
          <cell r="C161">
            <v>6085</v>
          </cell>
          <cell r="D161">
            <v>9015</v>
          </cell>
          <cell r="E161" t="str">
            <v>Instrumentation and Controls Technician, NICET Level IV</v>
          </cell>
          <cell r="F161" t="str">
            <v>Subcontractor - Simplex Rate</v>
          </cell>
          <cell r="G161" t="str">
            <v>CBA1</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2.7E-2</v>
          </cell>
          <cell r="AT161">
            <v>8000</v>
          </cell>
          <cell r="AU161">
            <v>216</v>
          </cell>
          <cell r="AV161">
            <v>4.6300000000000001E-2</v>
          </cell>
          <cell r="AW161">
            <v>4.6300000000000001E-2</v>
          </cell>
          <cell r="AX161">
            <v>4.6300000000000001E-2</v>
          </cell>
          <cell r="AY161">
            <v>4.6300000000000001E-2</v>
          </cell>
          <cell r="AZ161">
            <v>4.6300000000000001E-2</v>
          </cell>
          <cell r="BA161">
            <v>4.6300000000000001E-2</v>
          </cell>
          <cell r="BB161">
            <v>4.6300000000000001E-2</v>
          </cell>
          <cell r="BC161">
            <v>4.6300000000000001E-2</v>
          </cell>
          <cell r="BD161">
            <v>4.6300000000000001E-2</v>
          </cell>
          <cell r="BE161">
            <v>4.6300000000000001E-2</v>
          </cell>
          <cell r="BF161">
            <v>4.6300000000000001E-2</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O161">
            <v>0</v>
          </cell>
          <cell r="CP161">
            <v>0</v>
          </cell>
          <cell r="CQ161">
            <v>0</v>
          </cell>
          <cell r="CR161">
            <v>0</v>
          </cell>
          <cell r="CS161">
            <v>0</v>
          </cell>
          <cell r="CT161">
            <v>0</v>
          </cell>
          <cell r="CU161">
            <v>0</v>
          </cell>
          <cell r="CV161">
            <v>0</v>
          </cell>
          <cell r="CW161">
            <v>0</v>
          </cell>
          <cell r="CX161">
            <v>0</v>
          </cell>
          <cell r="CY161">
            <v>0</v>
          </cell>
          <cell r="CZ161">
            <v>4.6300000000000001E-2</v>
          </cell>
          <cell r="DA161">
            <v>4.6300000000000001E-2</v>
          </cell>
          <cell r="DB161">
            <v>4.6300000000000001E-2</v>
          </cell>
          <cell r="DC161">
            <v>4.6300000000000001E-2</v>
          </cell>
          <cell r="DD161">
            <v>4.6300000000000001E-2</v>
          </cell>
          <cell r="DE161">
            <v>4.6300000000000001E-2</v>
          </cell>
          <cell r="DF161">
            <v>4.6300000000000001E-2</v>
          </cell>
          <cell r="DG161">
            <v>4.6300000000000001E-2</v>
          </cell>
          <cell r="DH161">
            <v>4.6300000000000001E-2</v>
          </cell>
          <cell r="DI161">
            <v>4.6300000000000001E-2</v>
          </cell>
          <cell r="DJ161">
            <v>4.6300000000000001E-2</v>
          </cell>
        </row>
        <row r="162">
          <cell r="C162">
            <v>6090</v>
          </cell>
          <cell r="D162">
            <v>9015</v>
          </cell>
          <cell r="E162" t="str">
            <v>Instrumentation and Controls Technician, NICET Level III</v>
          </cell>
          <cell r="F162" t="str">
            <v>Subcontractor - Simplex Rate</v>
          </cell>
          <cell r="G162" t="str">
            <v>CBA1</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2.7E-2</v>
          </cell>
          <cell r="AT162">
            <v>8000</v>
          </cell>
          <cell r="AU162">
            <v>216</v>
          </cell>
          <cell r="AV162">
            <v>4.6300000000000001E-2</v>
          </cell>
          <cell r="AW162">
            <v>4.6300000000000001E-2</v>
          </cell>
          <cell r="AX162">
            <v>4.6300000000000001E-2</v>
          </cell>
          <cell r="AY162">
            <v>4.6300000000000001E-2</v>
          </cell>
          <cell r="AZ162">
            <v>4.6300000000000001E-2</v>
          </cell>
          <cell r="BA162">
            <v>4.6300000000000001E-2</v>
          </cell>
          <cell r="BB162">
            <v>4.6300000000000001E-2</v>
          </cell>
          <cell r="BC162">
            <v>4.6300000000000001E-2</v>
          </cell>
          <cell r="BD162">
            <v>4.6300000000000001E-2</v>
          </cell>
          <cell r="BE162">
            <v>4.6300000000000001E-2</v>
          </cell>
          <cell r="BF162">
            <v>4.6300000000000001E-2</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O162">
            <v>0</v>
          </cell>
          <cell r="CP162">
            <v>0</v>
          </cell>
          <cell r="CQ162">
            <v>0</v>
          </cell>
          <cell r="CR162">
            <v>0</v>
          </cell>
          <cell r="CS162">
            <v>0</v>
          </cell>
          <cell r="CT162">
            <v>0</v>
          </cell>
          <cell r="CU162">
            <v>0</v>
          </cell>
          <cell r="CV162">
            <v>0</v>
          </cell>
          <cell r="CW162">
            <v>0</v>
          </cell>
          <cell r="CX162">
            <v>0</v>
          </cell>
          <cell r="CY162">
            <v>0</v>
          </cell>
          <cell r="CZ162">
            <v>4.6300000000000001E-2</v>
          </cell>
          <cell r="DA162">
            <v>4.6300000000000001E-2</v>
          </cell>
          <cell r="DB162">
            <v>4.6300000000000001E-2</v>
          </cell>
          <cell r="DC162">
            <v>4.6300000000000001E-2</v>
          </cell>
          <cell r="DD162">
            <v>4.6300000000000001E-2</v>
          </cell>
          <cell r="DE162">
            <v>4.6300000000000001E-2</v>
          </cell>
          <cell r="DF162">
            <v>4.6300000000000001E-2</v>
          </cell>
          <cell r="DG162">
            <v>4.6300000000000001E-2</v>
          </cell>
          <cell r="DH162">
            <v>4.6300000000000001E-2</v>
          </cell>
          <cell r="DI162">
            <v>4.6300000000000001E-2</v>
          </cell>
          <cell r="DJ162">
            <v>4.6300000000000001E-2</v>
          </cell>
        </row>
        <row r="163">
          <cell r="C163">
            <v>6095</v>
          </cell>
          <cell r="D163">
            <v>9015</v>
          </cell>
          <cell r="E163" t="str">
            <v>Plumber, Master</v>
          </cell>
          <cell r="F163" t="str">
            <v>Plumber Lead, CBA</v>
          </cell>
          <cell r="G163" t="str">
            <v>CBA1</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2.7E-2</v>
          </cell>
          <cell r="AT163">
            <v>8000</v>
          </cell>
          <cell r="AU163">
            <v>216</v>
          </cell>
          <cell r="AV163">
            <v>4.6300000000000001E-2</v>
          </cell>
          <cell r="AW163">
            <v>4.6300000000000001E-2</v>
          </cell>
          <cell r="AX163">
            <v>4.6300000000000001E-2</v>
          </cell>
          <cell r="AY163">
            <v>4.6300000000000001E-2</v>
          </cell>
          <cell r="AZ163">
            <v>4.6300000000000001E-2</v>
          </cell>
          <cell r="BA163">
            <v>4.6300000000000001E-2</v>
          </cell>
          <cell r="BB163">
            <v>4.6300000000000001E-2</v>
          </cell>
          <cell r="BC163">
            <v>4.6300000000000001E-2</v>
          </cell>
          <cell r="BD163">
            <v>4.6300000000000001E-2</v>
          </cell>
          <cell r="BE163">
            <v>4.6300000000000001E-2</v>
          </cell>
          <cell r="BF163">
            <v>4.6300000000000001E-2</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O163">
            <v>0</v>
          </cell>
          <cell r="CP163">
            <v>0</v>
          </cell>
          <cell r="CQ163">
            <v>0</v>
          </cell>
          <cell r="CR163">
            <v>0</v>
          </cell>
          <cell r="CS163">
            <v>0</v>
          </cell>
          <cell r="CT163">
            <v>0</v>
          </cell>
          <cell r="CU163">
            <v>0</v>
          </cell>
          <cell r="CV163">
            <v>0</v>
          </cell>
          <cell r="CW163">
            <v>0</v>
          </cell>
          <cell r="CX163">
            <v>0</v>
          </cell>
          <cell r="CY163">
            <v>0</v>
          </cell>
          <cell r="CZ163">
            <v>4.6300000000000001E-2</v>
          </cell>
          <cell r="DA163">
            <v>4.6300000000000001E-2</v>
          </cell>
          <cell r="DB163">
            <v>4.6300000000000001E-2</v>
          </cell>
          <cell r="DC163">
            <v>4.6300000000000001E-2</v>
          </cell>
          <cell r="DD163">
            <v>4.6300000000000001E-2</v>
          </cell>
          <cell r="DE163">
            <v>4.6300000000000001E-2</v>
          </cell>
          <cell r="DF163">
            <v>4.6300000000000001E-2</v>
          </cell>
          <cell r="DG163">
            <v>4.6300000000000001E-2</v>
          </cell>
          <cell r="DH163">
            <v>4.6300000000000001E-2</v>
          </cell>
          <cell r="DI163">
            <v>4.6300000000000001E-2</v>
          </cell>
          <cell r="DJ163">
            <v>4.6300000000000001E-2</v>
          </cell>
        </row>
        <row r="164">
          <cell r="C164">
            <v>6100</v>
          </cell>
          <cell r="D164">
            <v>9015</v>
          </cell>
          <cell r="E164" t="str">
            <v>Plumber, Journeyman</v>
          </cell>
          <cell r="F164" t="str">
            <v>DBA - DC2 - Plumber</v>
          </cell>
          <cell r="G164" t="str">
            <v>CBA1</v>
          </cell>
          <cell r="I164">
            <v>117041.60000000001</v>
          </cell>
          <cell r="J164">
            <v>56.27</v>
          </cell>
          <cell r="K164">
            <v>0</v>
          </cell>
          <cell r="L164">
            <v>56.27</v>
          </cell>
          <cell r="M164">
            <v>56.27</v>
          </cell>
          <cell r="N164">
            <v>56.27</v>
          </cell>
          <cell r="O164">
            <v>56.27</v>
          </cell>
          <cell r="P164">
            <v>56.27</v>
          </cell>
          <cell r="Q164">
            <v>56.27</v>
          </cell>
          <cell r="R164">
            <v>56.27</v>
          </cell>
          <cell r="S164">
            <v>56.27</v>
          </cell>
          <cell r="T164">
            <v>56.27</v>
          </cell>
          <cell r="U164">
            <v>56.27</v>
          </cell>
          <cell r="V164">
            <v>56.27</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2.7E-2</v>
          </cell>
          <cell r="AT164">
            <v>8000</v>
          </cell>
          <cell r="AU164">
            <v>216</v>
          </cell>
          <cell r="AV164">
            <v>4.6300000000000001E-2</v>
          </cell>
          <cell r="AW164">
            <v>4.6300000000000001E-2</v>
          </cell>
          <cell r="AX164">
            <v>4.6300000000000001E-2</v>
          </cell>
          <cell r="AY164">
            <v>4.6300000000000001E-2</v>
          </cell>
          <cell r="AZ164">
            <v>4.6300000000000001E-2</v>
          </cell>
          <cell r="BA164">
            <v>4.6300000000000001E-2</v>
          </cell>
          <cell r="BB164">
            <v>4.6300000000000001E-2</v>
          </cell>
          <cell r="BC164">
            <v>4.6300000000000001E-2</v>
          </cell>
          <cell r="BD164">
            <v>4.6300000000000001E-2</v>
          </cell>
          <cell r="BE164">
            <v>4.6300000000000001E-2</v>
          </cell>
          <cell r="BF164">
            <v>4.6300000000000001E-2</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O164">
            <v>0</v>
          </cell>
          <cell r="CP164">
            <v>0</v>
          </cell>
          <cell r="CQ164">
            <v>0</v>
          </cell>
          <cell r="CR164">
            <v>0</v>
          </cell>
          <cell r="CS164">
            <v>0</v>
          </cell>
          <cell r="CT164">
            <v>0</v>
          </cell>
          <cell r="CU164">
            <v>0</v>
          </cell>
          <cell r="CV164">
            <v>0</v>
          </cell>
          <cell r="CW164">
            <v>0</v>
          </cell>
          <cell r="CX164">
            <v>0</v>
          </cell>
          <cell r="CY164">
            <v>0</v>
          </cell>
          <cell r="CZ164">
            <v>4.6300000000000001E-2</v>
          </cell>
          <cell r="DA164">
            <v>4.6300000000000001E-2</v>
          </cell>
          <cell r="DB164">
            <v>4.6300000000000001E-2</v>
          </cell>
          <cell r="DC164">
            <v>4.6300000000000001E-2</v>
          </cell>
          <cell r="DD164">
            <v>4.6300000000000001E-2</v>
          </cell>
          <cell r="DE164">
            <v>4.6300000000000001E-2</v>
          </cell>
          <cell r="DF164">
            <v>4.6300000000000001E-2</v>
          </cell>
          <cell r="DG164">
            <v>4.6300000000000001E-2</v>
          </cell>
          <cell r="DH164">
            <v>4.6300000000000001E-2</v>
          </cell>
          <cell r="DI164">
            <v>4.6300000000000001E-2</v>
          </cell>
          <cell r="DJ164">
            <v>4.6300000000000001E-2</v>
          </cell>
        </row>
        <row r="165">
          <cell r="C165">
            <v>6105</v>
          </cell>
          <cell r="D165">
            <v>9015</v>
          </cell>
          <cell r="E165" t="str">
            <v>Plumber, Apprentice</v>
          </cell>
          <cell r="F165" t="str">
            <v>85% of DBA - DC2 - Plumber</v>
          </cell>
          <cell r="G165" t="str">
            <v>CBA1</v>
          </cell>
          <cell r="I165">
            <v>99485.36</v>
          </cell>
          <cell r="J165">
            <v>47.829500000000003</v>
          </cell>
          <cell r="K165">
            <v>0</v>
          </cell>
          <cell r="L165">
            <v>47.829500000000003</v>
          </cell>
          <cell r="M165">
            <v>47.829500000000003</v>
          </cell>
          <cell r="N165">
            <v>47.829500000000003</v>
          </cell>
          <cell r="O165">
            <v>47.829500000000003</v>
          </cell>
          <cell r="P165">
            <v>47.829500000000003</v>
          </cell>
          <cell r="Q165">
            <v>47.829500000000003</v>
          </cell>
          <cell r="R165">
            <v>47.829500000000003</v>
          </cell>
          <cell r="S165">
            <v>47.829500000000003</v>
          </cell>
          <cell r="T165">
            <v>47.829500000000003</v>
          </cell>
          <cell r="U165">
            <v>47.829500000000003</v>
          </cell>
          <cell r="V165">
            <v>47.829500000000003</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2.7E-2</v>
          </cell>
          <cell r="AT165">
            <v>8000</v>
          </cell>
          <cell r="AU165">
            <v>216</v>
          </cell>
          <cell r="AV165">
            <v>4.6300000000000001E-2</v>
          </cell>
          <cell r="AW165">
            <v>4.6300000000000001E-2</v>
          </cell>
          <cell r="AX165">
            <v>4.6300000000000001E-2</v>
          </cell>
          <cell r="AY165">
            <v>4.6300000000000001E-2</v>
          </cell>
          <cell r="AZ165">
            <v>4.6300000000000001E-2</v>
          </cell>
          <cell r="BA165">
            <v>4.6300000000000001E-2</v>
          </cell>
          <cell r="BB165">
            <v>4.6300000000000001E-2</v>
          </cell>
          <cell r="BC165">
            <v>4.6300000000000001E-2</v>
          </cell>
          <cell r="BD165">
            <v>4.6300000000000001E-2</v>
          </cell>
          <cell r="BE165">
            <v>4.6300000000000001E-2</v>
          </cell>
          <cell r="BF165">
            <v>4.6300000000000001E-2</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O165">
            <v>0</v>
          </cell>
          <cell r="CP165">
            <v>0</v>
          </cell>
          <cell r="CQ165">
            <v>0</v>
          </cell>
          <cell r="CR165">
            <v>0</v>
          </cell>
          <cell r="CS165">
            <v>0</v>
          </cell>
          <cell r="CT165">
            <v>0</v>
          </cell>
          <cell r="CU165">
            <v>0</v>
          </cell>
          <cell r="CV165">
            <v>0</v>
          </cell>
          <cell r="CW165">
            <v>0</v>
          </cell>
          <cell r="CX165">
            <v>0</v>
          </cell>
          <cell r="CY165">
            <v>0</v>
          </cell>
          <cell r="CZ165">
            <v>4.6300000000000001E-2</v>
          </cell>
          <cell r="DA165">
            <v>4.6300000000000001E-2</v>
          </cell>
          <cell r="DB165">
            <v>4.6300000000000001E-2</v>
          </cell>
          <cell r="DC165">
            <v>4.6300000000000001E-2</v>
          </cell>
          <cell r="DD165">
            <v>4.6300000000000001E-2</v>
          </cell>
          <cell r="DE165">
            <v>4.6300000000000001E-2</v>
          </cell>
          <cell r="DF165">
            <v>4.6300000000000001E-2</v>
          </cell>
          <cell r="DG165">
            <v>4.6300000000000001E-2</v>
          </cell>
          <cell r="DH165">
            <v>4.6300000000000001E-2</v>
          </cell>
          <cell r="DI165">
            <v>4.6300000000000001E-2</v>
          </cell>
          <cell r="DJ165">
            <v>4.6300000000000001E-2</v>
          </cell>
        </row>
        <row r="166">
          <cell r="C166">
            <v>6110</v>
          </cell>
          <cell r="D166">
            <v>9015</v>
          </cell>
          <cell r="E166" t="str">
            <v>Class VI Waterworks Operator</v>
          </cell>
          <cell r="G166" t="str">
            <v>CBA1</v>
          </cell>
          <cell r="I166">
            <v>54371.200000000004</v>
          </cell>
          <cell r="J166">
            <v>26.14</v>
          </cell>
          <cell r="K166">
            <v>4.38</v>
          </cell>
          <cell r="L166">
            <v>26.14</v>
          </cell>
          <cell r="M166">
            <v>26.14</v>
          </cell>
          <cell r="N166">
            <v>26.14</v>
          </cell>
          <cell r="O166">
            <v>26.14</v>
          </cell>
          <cell r="P166">
            <v>26.14</v>
          </cell>
          <cell r="Q166">
            <v>26.14</v>
          </cell>
          <cell r="R166">
            <v>26.14</v>
          </cell>
          <cell r="S166">
            <v>26.14</v>
          </cell>
          <cell r="T166">
            <v>26.14</v>
          </cell>
          <cell r="U166">
            <v>26.14</v>
          </cell>
          <cell r="V166">
            <v>26.14</v>
          </cell>
          <cell r="W166">
            <v>0</v>
          </cell>
          <cell r="X166">
            <v>7.49</v>
          </cell>
          <cell r="Y166">
            <v>7.49</v>
          </cell>
          <cell r="Z166">
            <v>7.49</v>
          </cell>
          <cell r="AA166">
            <v>7.49</v>
          </cell>
          <cell r="AB166">
            <v>7.49</v>
          </cell>
          <cell r="AC166">
            <v>7.49</v>
          </cell>
          <cell r="AD166">
            <v>7.49</v>
          </cell>
          <cell r="AE166">
            <v>7.49</v>
          </cell>
          <cell r="AF166">
            <v>7.49</v>
          </cell>
          <cell r="AG166">
            <v>7.49</v>
          </cell>
          <cell r="AH166">
            <v>4.38</v>
          </cell>
          <cell r="AI166">
            <v>1.7</v>
          </cell>
          <cell r="AJ166">
            <v>1.7</v>
          </cell>
          <cell r="AK166">
            <v>1.7</v>
          </cell>
          <cell r="AL166">
            <v>1.7</v>
          </cell>
          <cell r="AM166">
            <v>1.7</v>
          </cell>
          <cell r="AN166">
            <v>1.7</v>
          </cell>
          <cell r="AO166">
            <v>1.7</v>
          </cell>
          <cell r="AP166">
            <v>1.7</v>
          </cell>
          <cell r="AQ166">
            <v>1.7</v>
          </cell>
          <cell r="AR166">
            <v>1.7</v>
          </cell>
          <cell r="AS166">
            <v>2.7E-2</v>
          </cell>
          <cell r="AT166">
            <v>8000</v>
          </cell>
          <cell r="AU166">
            <v>216</v>
          </cell>
          <cell r="AV166">
            <v>4.6300000000000001E-2</v>
          </cell>
          <cell r="AW166">
            <v>4.6300000000000001E-2</v>
          </cell>
          <cell r="AX166">
            <v>4.6300000000000001E-2</v>
          </cell>
          <cell r="AY166">
            <v>4.6300000000000001E-2</v>
          </cell>
          <cell r="AZ166">
            <v>4.6300000000000001E-2</v>
          </cell>
          <cell r="BA166">
            <v>4.6300000000000001E-2</v>
          </cell>
          <cell r="BB166">
            <v>4.6300000000000001E-2</v>
          </cell>
          <cell r="BC166">
            <v>4.6300000000000001E-2</v>
          </cell>
          <cell r="BD166">
            <v>4.6300000000000001E-2</v>
          </cell>
          <cell r="BE166">
            <v>4.6300000000000001E-2</v>
          </cell>
          <cell r="BF166">
            <v>4.6300000000000001E-2</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O166">
            <v>0</v>
          </cell>
          <cell r="CP166">
            <v>7.49</v>
          </cell>
          <cell r="CQ166">
            <v>7.49</v>
          </cell>
          <cell r="CR166">
            <v>7.49</v>
          </cell>
          <cell r="CS166">
            <v>7.49</v>
          </cell>
          <cell r="CT166">
            <v>7.49</v>
          </cell>
          <cell r="CU166">
            <v>7.49</v>
          </cell>
          <cell r="CV166">
            <v>7.49</v>
          </cell>
          <cell r="CW166">
            <v>7.49</v>
          </cell>
          <cell r="CX166">
            <v>7.49</v>
          </cell>
          <cell r="CY166">
            <v>7.49</v>
          </cell>
          <cell r="CZ166">
            <v>4.6300000000000001E-2</v>
          </cell>
          <cell r="DA166">
            <v>4.6300000000000001E-2</v>
          </cell>
          <cell r="DB166">
            <v>4.6300000000000001E-2</v>
          </cell>
          <cell r="DC166">
            <v>4.6300000000000001E-2</v>
          </cell>
          <cell r="DD166">
            <v>4.6300000000000001E-2</v>
          </cell>
          <cell r="DE166">
            <v>4.6300000000000001E-2</v>
          </cell>
          <cell r="DF166">
            <v>4.6300000000000001E-2</v>
          </cell>
          <cell r="DG166">
            <v>4.6300000000000001E-2</v>
          </cell>
          <cell r="DH166">
            <v>4.6300000000000001E-2</v>
          </cell>
          <cell r="DI166">
            <v>4.6300000000000001E-2</v>
          </cell>
          <cell r="DJ166">
            <v>4.6300000000000001E-2</v>
          </cell>
        </row>
        <row r="167">
          <cell r="C167">
            <v>6115</v>
          </cell>
          <cell r="D167">
            <v>9015</v>
          </cell>
          <cell r="E167" t="str">
            <v>Locksmith</v>
          </cell>
          <cell r="F167" t="str">
            <v>Subcontract - Diebold</v>
          </cell>
          <cell r="G167" t="str">
            <v>CBA1</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2.7E-2</v>
          </cell>
          <cell r="AT167">
            <v>8000</v>
          </cell>
          <cell r="AU167">
            <v>216</v>
          </cell>
          <cell r="AV167">
            <v>4.6300000000000001E-2</v>
          </cell>
          <cell r="AW167">
            <v>4.6300000000000001E-2</v>
          </cell>
          <cell r="AX167">
            <v>4.6300000000000001E-2</v>
          </cell>
          <cell r="AY167">
            <v>4.6300000000000001E-2</v>
          </cell>
          <cell r="AZ167">
            <v>4.6300000000000001E-2</v>
          </cell>
          <cell r="BA167">
            <v>4.6300000000000001E-2</v>
          </cell>
          <cell r="BB167">
            <v>4.6300000000000001E-2</v>
          </cell>
          <cell r="BC167">
            <v>4.6300000000000001E-2</v>
          </cell>
          <cell r="BD167">
            <v>4.6300000000000001E-2</v>
          </cell>
          <cell r="BE167">
            <v>4.6300000000000001E-2</v>
          </cell>
          <cell r="BF167">
            <v>4.6300000000000001E-2</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O167">
            <v>0</v>
          </cell>
          <cell r="CP167">
            <v>0</v>
          </cell>
          <cell r="CQ167">
            <v>0</v>
          </cell>
          <cell r="CR167">
            <v>0</v>
          </cell>
          <cell r="CS167">
            <v>0</v>
          </cell>
          <cell r="CT167">
            <v>0</v>
          </cell>
          <cell r="CU167">
            <v>0</v>
          </cell>
          <cell r="CV167">
            <v>0</v>
          </cell>
          <cell r="CW167">
            <v>0</v>
          </cell>
          <cell r="CX167">
            <v>0</v>
          </cell>
          <cell r="CY167">
            <v>0</v>
          </cell>
          <cell r="CZ167">
            <v>4.6300000000000001E-2</v>
          </cell>
          <cell r="DA167">
            <v>4.6300000000000001E-2</v>
          </cell>
          <cell r="DB167">
            <v>4.6300000000000001E-2</v>
          </cell>
          <cell r="DC167">
            <v>4.6300000000000001E-2</v>
          </cell>
          <cell r="DD167">
            <v>4.6300000000000001E-2</v>
          </cell>
          <cell r="DE167">
            <v>4.6300000000000001E-2</v>
          </cell>
          <cell r="DF167">
            <v>4.6300000000000001E-2</v>
          </cell>
          <cell r="DG167">
            <v>4.6300000000000001E-2</v>
          </cell>
          <cell r="DH167">
            <v>4.6300000000000001E-2</v>
          </cell>
          <cell r="DI167">
            <v>4.6300000000000001E-2</v>
          </cell>
          <cell r="DJ167">
            <v>4.6300000000000001E-2</v>
          </cell>
        </row>
        <row r="168">
          <cell r="C168">
            <v>6120</v>
          </cell>
          <cell r="D168">
            <v>9015</v>
          </cell>
          <cell r="E168" t="str">
            <v>Maintenance Mechanic</v>
          </cell>
          <cell r="G168" t="str">
            <v>CBA1</v>
          </cell>
          <cell r="I168">
            <v>57720</v>
          </cell>
          <cell r="J168">
            <v>27.75</v>
          </cell>
          <cell r="K168">
            <v>1.7</v>
          </cell>
          <cell r="L168">
            <v>27.75</v>
          </cell>
          <cell r="M168">
            <v>27.75</v>
          </cell>
          <cell r="N168">
            <v>27.95</v>
          </cell>
          <cell r="O168">
            <v>27.95</v>
          </cell>
          <cell r="P168">
            <v>27.95</v>
          </cell>
          <cell r="Q168">
            <v>27.95</v>
          </cell>
          <cell r="R168">
            <v>27.95</v>
          </cell>
          <cell r="S168">
            <v>27.95</v>
          </cell>
          <cell r="T168">
            <v>27.95</v>
          </cell>
          <cell r="U168">
            <v>27.95</v>
          </cell>
          <cell r="V168">
            <v>27.95</v>
          </cell>
          <cell r="W168">
            <v>0</v>
          </cell>
          <cell r="X168">
            <v>7.49</v>
          </cell>
          <cell r="Y168">
            <v>7.49</v>
          </cell>
          <cell r="Z168">
            <v>7.49</v>
          </cell>
          <cell r="AA168">
            <v>7.49</v>
          </cell>
          <cell r="AB168">
            <v>7.49</v>
          </cell>
          <cell r="AC168">
            <v>7.49</v>
          </cell>
          <cell r="AD168">
            <v>7.49</v>
          </cell>
          <cell r="AE168">
            <v>7.49</v>
          </cell>
          <cell r="AF168">
            <v>7.49</v>
          </cell>
          <cell r="AG168">
            <v>7.49</v>
          </cell>
          <cell r="AH168">
            <v>1.7</v>
          </cell>
          <cell r="AI168">
            <v>1.7</v>
          </cell>
          <cell r="AJ168">
            <v>1.7</v>
          </cell>
          <cell r="AK168">
            <v>1.7</v>
          </cell>
          <cell r="AL168">
            <v>1.7</v>
          </cell>
          <cell r="AM168">
            <v>1.7</v>
          </cell>
          <cell r="AN168">
            <v>1.7</v>
          </cell>
          <cell r="AO168">
            <v>1.7</v>
          </cell>
          <cell r="AP168">
            <v>1.7</v>
          </cell>
          <cell r="AQ168">
            <v>1.7</v>
          </cell>
          <cell r="AR168">
            <v>1.7</v>
          </cell>
          <cell r="AS168">
            <v>2.7E-2</v>
          </cell>
          <cell r="AT168">
            <v>8000</v>
          </cell>
          <cell r="AU168">
            <v>216</v>
          </cell>
          <cell r="AV168">
            <v>4.6300000000000001E-2</v>
          </cell>
          <cell r="AW168">
            <v>4.6300000000000001E-2</v>
          </cell>
          <cell r="AX168">
            <v>4.6300000000000001E-2</v>
          </cell>
          <cell r="AY168">
            <v>4.6300000000000001E-2</v>
          </cell>
          <cell r="AZ168">
            <v>4.6300000000000001E-2</v>
          </cell>
          <cell r="BA168">
            <v>4.6300000000000001E-2</v>
          </cell>
          <cell r="BB168">
            <v>4.6300000000000001E-2</v>
          </cell>
          <cell r="BC168">
            <v>4.6300000000000001E-2</v>
          </cell>
          <cell r="BD168">
            <v>4.6300000000000001E-2</v>
          </cell>
          <cell r="BE168">
            <v>4.6300000000000001E-2</v>
          </cell>
          <cell r="BF168">
            <v>4.6300000000000001E-2</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O168">
            <v>0</v>
          </cell>
          <cell r="CP168">
            <v>7.49</v>
          </cell>
          <cell r="CQ168">
            <v>7.49</v>
          </cell>
          <cell r="CR168">
            <v>7.49</v>
          </cell>
          <cell r="CS168">
            <v>7.49</v>
          </cell>
          <cell r="CT168">
            <v>7.49</v>
          </cell>
          <cell r="CU168">
            <v>7.49</v>
          </cell>
          <cell r="CV168">
            <v>7.49</v>
          </cell>
          <cell r="CW168">
            <v>7.49</v>
          </cell>
          <cell r="CX168">
            <v>7.49</v>
          </cell>
          <cell r="CY168">
            <v>7.49</v>
          </cell>
          <cell r="CZ168">
            <v>4.6300000000000001E-2</v>
          </cell>
          <cell r="DA168">
            <v>4.6300000000000001E-2</v>
          </cell>
          <cell r="DB168">
            <v>4.6300000000000001E-2</v>
          </cell>
          <cell r="DC168">
            <v>4.6300000000000001E-2</v>
          </cell>
          <cell r="DD168">
            <v>4.6300000000000001E-2</v>
          </cell>
          <cell r="DE168">
            <v>4.6300000000000001E-2</v>
          </cell>
          <cell r="DF168">
            <v>4.6300000000000001E-2</v>
          </cell>
          <cell r="DG168">
            <v>4.6300000000000001E-2</v>
          </cell>
          <cell r="DH168">
            <v>4.6300000000000001E-2</v>
          </cell>
          <cell r="DI168">
            <v>4.6300000000000001E-2</v>
          </cell>
          <cell r="DJ168">
            <v>4.6300000000000001E-2</v>
          </cell>
        </row>
        <row r="169">
          <cell r="C169">
            <v>6125</v>
          </cell>
          <cell r="D169">
            <v>9015</v>
          </cell>
          <cell r="E169" t="str">
            <v>Sheet Metal Mechanic</v>
          </cell>
          <cell r="F169" t="str">
            <v>DBA - DC2 - Sheetmetal Worker</v>
          </cell>
          <cell r="G169" t="str">
            <v>CBA1</v>
          </cell>
          <cell r="I169">
            <v>117644.8</v>
          </cell>
          <cell r="J169">
            <v>56.56</v>
          </cell>
          <cell r="K169">
            <v>0</v>
          </cell>
          <cell r="L169">
            <v>56.56</v>
          </cell>
          <cell r="M169">
            <v>56.56</v>
          </cell>
          <cell r="N169">
            <v>56.56</v>
          </cell>
          <cell r="O169">
            <v>56.56</v>
          </cell>
          <cell r="P169">
            <v>56.56</v>
          </cell>
          <cell r="Q169">
            <v>56.56</v>
          </cell>
          <cell r="R169">
            <v>56.56</v>
          </cell>
          <cell r="S169">
            <v>56.56</v>
          </cell>
          <cell r="T169">
            <v>56.56</v>
          </cell>
          <cell r="U169">
            <v>56.56</v>
          </cell>
          <cell r="V169">
            <v>56.56</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2.7E-2</v>
          </cell>
          <cell r="AT169">
            <v>8000</v>
          </cell>
          <cell r="AU169">
            <v>216</v>
          </cell>
          <cell r="AV169">
            <v>4.6300000000000001E-2</v>
          </cell>
          <cell r="AW169">
            <v>4.6300000000000001E-2</v>
          </cell>
          <cell r="AX169">
            <v>4.6300000000000001E-2</v>
          </cell>
          <cell r="AY169">
            <v>4.6300000000000001E-2</v>
          </cell>
          <cell r="AZ169">
            <v>4.6300000000000001E-2</v>
          </cell>
          <cell r="BA169">
            <v>4.6300000000000001E-2</v>
          </cell>
          <cell r="BB169">
            <v>4.6300000000000001E-2</v>
          </cell>
          <cell r="BC169">
            <v>4.6300000000000001E-2</v>
          </cell>
          <cell r="BD169">
            <v>4.6300000000000001E-2</v>
          </cell>
          <cell r="BE169">
            <v>4.6300000000000001E-2</v>
          </cell>
          <cell r="BF169">
            <v>4.6300000000000001E-2</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O169">
            <v>0</v>
          </cell>
          <cell r="CP169">
            <v>0</v>
          </cell>
          <cell r="CQ169">
            <v>0</v>
          </cell>
          <cell r="CR169">
            <v>0</v>
          </cell>
          <cell r="CS169">
            <v>0</v>
          </cell>
          <cell r="CT169">
            <v>0</v>
          </cell>
          <cell r="CU169">
            <v>0</v>
          </cell>
          <cell r="CV169">
            <v>0</v>
          </cell>
          <cell r="CW169">
            <v>0</v>
          </cell>
          <cell r="CX169">
            <v>0</v>
          </cell>
          <cell r="CY169">
            <v>0</v>
          </cell>
          <cell r="CZ169">
            <v>4.6300000000000001E-2</v>
          </cell>
          <cell r="DA169">
            <v>4.6300000000000001E-2</v>
          </cell>
          <cell r="DB169">
            <v>4.6300000000000001E-2</v>
          </cell>
          <cell r="DC169">
            <v>4.6300000000000001E-2</v>
          </cell>
          <cell r="DD169">
            <v>4.6300000000000001E-2</v>
          </cell>
          <cell r="DE169">
            <v>4.6300000000000001E-2</v>
          </cell>
          <cell r="DF169">
            <v>4.6300000000000001E-2</v>
          </cell>
          <cell r="DG169">
            <v>4.6300000000000001E-2</v>
          </cell>
          <cell r="DH169">
            <v>4.6300000000000001E-2</v>
          </cell>
          <cell r="DI169">
            <v>4.6300000000000001E-2</v>
          </cell>
          <cell r="DJ169">
            <v>4.6300000000000001E-2</v>
          </cell>
        </row>
        <row r="170">
          <cell r="C170">
            <v>6130</v>
          </cell>
          <cell r="D170">
            <v>9015</v>
          </cell>
          <cell r="E170" t="str">
            <v>Project Manager</v>
          </cell>
          <cell r="F170" t="str">
            <v>On-Site Project Manager Rate</v>
          </cell>
          <cell r="G170" t="str">
            <v>Exempt</v>
          </cell>
          <cell r="I170">
            <v>160726.12</v>
          </cell>
          <cell r="J170">
            <v>77.272173076923082</v>
          </cell>
          <cell r="K170">
            <v>2.5000000000000001E-2</v>
          </cell>
          <cell r="L170">
            <v>77.272173076923082</v>
          </cell>
          <cell r="M170">
            <v>77.272173076923082</v>
          </cell>
          <cell r="N170">
            <v>78.840798190384618</v>
          </cell>
          <cell r="O170">
            <v>80.441266393649428</v>
          </cell>
          <cell r="P170">
            <v>82.074224101440507</v>
          </cell>
          <cell r="Q170">
            <v>83.740330850699749</v>
          </cell>
          <cell r="R170">
            <v>85.440259566968948</v>
          </cell>
          <cell r="S170">
            <v>87.174696836178413</v>
          </cell>
          <cell r="T170">
            <v>88.944343181952831</v>
          </cell>
          <cell r="U170">
            <v>90.749913348546471</v>
          </cell>
          <cell r="V170">
            <v>92.655661528865934</v>
          </cell>
          <cell r="W170">
            <v>4.75</v>
          </cell>
          <cell r="X170">
            <v>4.75</v>
          </cell>
          <cell r="Y170">
            <v>4.9874999999999998</v>
          </cell>
          <cell r="Z170">
            <v>5.2368750000000004</v>
          </cell>
          <cell r="AA170">
            <v>5.498718750000001</v>
          </cell>
          <cell r="AB170">
            <v>5.7736546875000014</v>
          </cell>
          <cell r="AC170">
            <v>6.0623374218750019</v>
          </cell>
          <cell r="AD170">
            <v>6.3654542929687521</v>
          </cell>
          <cell r="AE170">
            <v>6.6837270076171897</v>
          </cell>
          <cell r="AF170">
            <v>7.0179133579980499</v>
          </cell>
          <cell r="AG170">
            <v>7.3688090258979528</v>
          </cell>
          <cell r="AH170">
            <v>2.5000000000000001E-2</v>
          </cell>
          <cell r="AI170">
            <v>2.5000000000000001E-2</v>
          </cell>
          <cell r="AJ170">
            <v>2.5524999999999999E-2</v>
          </cell>
          <cell r="AK170">
            <v>2.6061024999999998E-2</v>
          </cell>
          <cell r="AL170">
            <v>2.6608306524999997E-2</v>
          </cell>
          <cell r="AM170">
            <v>2.7167080962024994E-2</v>
          </cell>
          <cell r="AN170">
            <v>2.7737589662227516E-2</v>
          </cell>
          <cell r="AO170">
            <v>2.832007904513429E-2</v>
          </cell>
          <cell r="AP170">
            <v>2.8914800705082108E-2</v>
          </cell>
          <cell r="AQ170">
            <v>2.9522011519888831E-2</v>
          </cell>
          <cell r="AR170">
            <v>3.0141973761806492E-2</v>
          </cell>
          <cell r="AS170">
            <v>2.7E-2</v>
          </cell>
          <cell r="AT170">
            <v>8000</v>
          </cell>
          <cell r="AU170">
            <v>216</v>
          </cell>
          <cell r="AV170">
            <v>4.6300000000000001E-2</v>
          </cell>
          <cell r="AW170">
            <v>4.6300000000000001E-2</v>
          </cell>
          <cell r="AX170">
            <v>4.6531499999999996E-2</v>
          </cell>
          <cell r="AY170">
            <v>4.6764157499999993E-2</v>
          </cell>
          <cell r="AZ170">
            <v>4.6997978287499992E-2</v>
          </cell>
          <cell r="BA170">
            <v>4.723296817893749E-2</v>
          </cell>
          <cell r="BB170">
            <v>4.7469133019832174E-2</v>
          </cell>
          <cell r="BC170">
            <v>4.770647868493133E-2</v>
          </cell>
          <cell r="BD170">
            <v>4.7945011078355984E-2</v>
          </cell>
          <cell r="BE170">
            <v>4.7945011078355984E-2</v>
          </cell>
          <cell r="BF170">
            <v>4.7945011078355984E-2</v>
          </cell>
          <cell r="BG170">
            <v>337.52485199999995</v>
          </cell>
          <cell r="BH170">
            <v>337.52485199999995</v>
          </cell>
          <cell r="BI170">
            <v>354.40109459999996</v>
          </cell>
          <cell r="BJ170">
            <v>372.12114932999998</v>
          </cell>
          <cell r="BK170">
            <v>390.72720679650001</v>
          </cell>
          <cell r="BL170">
            <v>410.26356713632504</v>
          </cell>
          <cell r="BM170">
            <v>430.77674549314133</v>
          </cell>
          <cell r="BN170">
            <v>452.31558276779845</v>
          </cell>
          <cell r="BO170">
            <v>474.93136190618839</v>
          </cell>
          <cell r="BP170">
            <v>498.67793000149783</v>
          </cell>
          <cell r="BQ170">
            <v>523.61182650157275</v>
          </cell>
          <cell r="BR170">
            <v>33.72</v>
          </cell>
          <cell r="BS170">
            <v>33.72</v>
          </cell>
          <cell r="BT170">
            <v>34.428119999999993</v>
          </cell>
          <cell r="BU170">
            <v>35.151110519999989</v>
          </cell>
          <cell r="BV170">
            <v>35.889283840919987</v>
          </cell>
          <cell r="BW170">
            <v>36.642958801579304</v>
          </cell>
          <cell r="BX170">
            <v>37.412460936412465</v>
          </cell>
          <cell r="BY170">
            <v>38.198122616077121</v>
          </cell>
          <cell r="BZ170">
            <v>39.000283191014738</v>
          </cell>
          <cell r="CA170">
            <v>39.819289138026043</v>
          </cell>
          <cell r="CB170">
            <v>40.655494209924584</v>
          </cell>
          <cell r="CC170">
            <v>165.54790359999998</v>
          </cell>
          <cell r="CD170">
            <v>165.54790359999998</v>
          </cell>
          <cell r="CE170">
            <v>173.82529878</v>
          </cell>
          <cell r="CF170">
            <v>182.516563719</v>
          </cell>
          <cell r="CG170">
            <v>191.64239190495002</v>
          </cell>
          <cell r="CH170">
            <v>201.22451150019754</v>
          </cell>
          <cell r="CI170">
            <v>211.28573707520744</v>
          </cell>
          <cell r="CJ170">
            <v>221.85002392896783</v>
          </cell>
          <cell r="CK170">
            <v>232.94252512541624</v>
          </cell>
          <cell r="CL170">
            <v>244.58965138168705</v>
          </cell>
          <cell r="CM170">
            <v>256.8191339507714</v>
          </cell>
          <cell r="CO170">
            <v>4.75</v>
          </cell>
          <cell r="CP170">
            <v>4.75</v>
          </cell>
          <cell r="CQ170">
            <v>4.9874999999999998</v>
          </cell>
          <cell r="CR170">
            <v>5.2368750000000004</v>
          </cell>
          <cell r="CS170">
            <v>5.498718750000001</v>
          </cell>
          <cell r="CT170">
            <v>5.7736546875000014</v>
          </cell>
          <cell r="CU170">
            <v>6.0623374218750019</v>
          </cell>
          <cell r="CV170">
            <v>6.3654542929687521</v>
          </cell>
          <cell r="CW170">
            <v>6.6837270076171897</v>
          </cell>
          <cell r="CX170">
            <v>7.0179133579980499</v>
          </cell>
          <cell r="CY170">
            <v>7.3688090258979528</v>
          </cell>
          <cell r="CZ170">
            <v>4.6300000000000001E-2</v>
          </cell>
          <cell r="DA170">
            <v>4.6300000000000001E-2</v>
          </cell>
          <cell r="DB170">
            <v>4.6531499999999996E-2</v>
          </cell>
          <cell r="DC170">
            <v>4.6764157499999993E-2</v>
          </cell>
          <cell r="DD170">
            <v>4.6997978287499992E-2</v>
          </cell>
          <cell r="DE170">
            <v>4.723296817893749E-2</v>
          </cell>
          <cell r="DF170">
            <v>4.7469133019832174E-2</v>
          </cell>
          <cell r="DG170">
            <v>4.770647868493133E-2</v>
          </cell>
          <cell r="DH170">
            <v>4.7945011078355984E-2</v>
          </cell>
          <cell r="DI170">
            <v>4.7945011078355984E-2</v>
          </cell>
          <cell r="DJ170">
            <v>4.7945011078355984E-2</v>
          </cell>
        </row>
        <row r="171">
          <cell r="C171">
            <v>6135</v>
          </cell>
          <cell r="D171">
            <v>9015</v>
          </cell>
          <cell r="E171" t="str">
            <v>CAFM Technician</v>
          </cell>
          <cell r="F171" t="str">
            <v>Sr. Analyst CAD (JLL Internal)</v>
          </cell>
          <cell r="G171" t="str">
            <v>Exempt</v>
          </cell>
          <cell r="I171">
            <v>73100</v>
          </cell>
          <cell r="J171">
            <v>35.144230769230766</v>
          </cell>
          <cell r="K171">
            <v>2.5000000000000001E-2</v>
          </cell>
          <cell r="L171">
            <v>35.144230769230766</v>
          </cell>
          <cell r="M171">
            <v>35.144230769230766</v>
          </cell>
          <cell r="N171">
            <v>35.857658653846151</v>
          </cell>
          <cell r="O171">
            <v>36.585569124519225</v>
          </cell>
          <cell r="P171">
            <v>37.328256177746965</v>
          </cell>
          <cell r="Q171">
            <v>38.086019778155226</v>
          </cell>
          <cell r="R171">
            <v>38.859165979651777</v>
          </cell>
          <cell r="S171">
            <v>39.648007049038711</v>
          </cell>
          <cell r="T171">
            <v>40.452861592134198</v>
          </cell>
          <cell r="U171">
            <v>41.274054682454519</v>
          </cell>
          <cell r="V171">
            <v>42.140809830786061</v>
          </cell>
          <cell r="W171">
            <v>4.75</v>
          </cell>
          <cell r="X171">
            <v>4.75</v>
          </cell>
          <cell r="Y171">
            <v>4.9874999999999998</v>
          </cell>
          <cell r="Z171">
            <v>5.2368750000000004</v>
          </cell>
          <cell r="AA171">
            <v>5.498718750000001</v>
          </cell>
          <cell r="AB171">
            <v>5.7736546875000014</v>
          </cell>
          <cell r="AC171">
            <v>6.0623374218750019</v>
          </cell>
          <cell r="AD171">
            <v>6.3654542929687521</v>
          </cell>
          <cell r="AE171">
            <v>6.6837270076171897</v>
          </cell>
          <cell r="AF171">
            <v>7.0179133579980499</v>
          </cell>
          <cell r="AG171">
            <v>7.3688090258979528</v>
          </cell>
          <cell r="AH171">
            <v>2.5000000000000001E-2</v>
          </cell>
          <cell r="AI171">
            <v>2.5000000000000001E-2</v>
          </cell>
          <cell r="AJ171">
            <v>2.5524999999999999E-2</v>
          </cell>
          <cell r="AK171">
            <v>2.6061024999999998E-2</v>
          </cell>
          <cell r="AL171">
            <v>2.6608306524999997E-2</v>
          </cell>
          <cell r="AM171">
            <v>2.7167080962024994E-2</v>
          </cell>
          <cell r="AN171">
            <v>2.7737589662227516E-2</v>
          </cell>
          <cell r="AO171">
            <v>2.832007904513429E-2</v>
          </cell>
          <cell r="AP171">
            <v>2.8914800705082108E-2</v>
          </cell>
          <cell r="AQ171">
            <v>2.9522011519888831E-2</v>
          </cell>
          <cell r="AR171">
            <v>3.0141973761806492E-2</v>
          </cell>
          <cell r="AS171">
            <v>2.7E-2</v>
          </cell>
          <cell r="AT171">
            <v>8000</v>
          </cell>
          <cell r="AU171">
            <v>216</v>
          </cell>
          <cell r="AV171">
            <v>4.6300000000000001E-2</v>
          </cell>
          <cell r="AW171">
            <v>4.6300000000000001E-2</v>
          </cell>
          <cell r="AX171">
            <v>4.6531499999999996E-2</v>
          </cell>
          <cell r="AY171">
            <v>4.6764157499999993E-2</v>
          </cell>
          <cell r="AZ171">
            <v>4.6997978287499992E-2</v>
          </cell>
          <cell r="BA171">
            <v>4.723296817893749E-2</v>
          </cell>
          <cell r="BB171">
            <v>4.7469133019832174E-2</v>
          </cell>
          <cell r="BC171">
            <v>4.770647868493133E-2</v>
          </cell>
          <cell r="BD171">
            <v>4.7945011078355984E-2</v>
          </cell>
          <cell r="BE171">
            <v>4.7945011078355984E-2</v>
          </cell>
          <cell r="BF171">
            <v>4.7945011078355984E-2</v>
          </cell>
          <cell r="BG171">
            <v>153.51</v>
          </cell>
          <cell r="BH171">
            <v>153.51</v>
          </cell>
          <cell r="BI171">
            <v>161.18549999999999</v>
          </cell>
          <cell r="BJ171">
            <v>169.244775</v>
          </cell>
          <cell r="BK171">
            <v>177.70701375000002</v>
          </cell>
          <cell r="BL171">
            <v>186.59236443750004</v>
          </cell>
          <cell r="BM171">
            <v>195.92198265937506</v>
          </cell>
          <cell r="BN171">
            <v>205.71808179234381</v>
          </cell>
          <cell r="BO171">
            <v>216.003985881961</v>
          </cell>
          <cell r="BP171">
            <v>226.80418517605906</v>
          </cell>
          <cell r="BQ171">
            <v>238.14439443486202</v>
          </cell>
          <cell r="BR171">
            <v>33.72</v>
          </cell>
          <cell r="BS171">
            <v>33.72</v>
          </cell>
          <cell r="BT171">
            <v>34.428119999999993</v>
          </cell>
          <cell r="BU171">
            <v>35.151110519999989</v>
          </cell>
          <cell r="BV171">
            <v>35.889283840919987</v>
          </cell>
          <cell r="BW171">
            <v>36.642958801579304</v>
          </cell>
          <cell r="BX171">
            <v>37.412460936412465</v>
          </cell>
          <cell r="BY171">
            <v>38.198122616077121</v>
          </cell>
          <cell r="BZ171">
            <v>39.000283191014738</v>
          </cell>
          <cell r="CA171">
            <v>39.819289138026043</v>
          </cell>
          <cell r="CB171">
            <v>40.655494209924584</v>
          </cell>
          <cell r="CC171">
            <v>75.292999999999992</v>
          </cell>
          <cell r="CD171">
            <v>75.292999999999992</v>
          </cell>
          <cell r="CE171">
            <v>79.057649999999995</v>
          </cell>
          <cell r="CF171">
            <v>83.010532499999997</v>
          </cell>
          <cell r="CG171">
            <v>87.161059124999994</v>
          </cell>
          <cell r="CH171">
            <v>91.51911208125</v>
          </cell>
          <cell r="CI171">
            <v>96.0950676853125</v>
          </cell>
          <cell r="CJ171">
            <v>100.89982106957812</v>
          </cell>
          <cell r="CK171">
            <v>105.94481212305703</v>
          </cell>
          <cell r="CL171">
            <v>111.24205272920989</v>
          </cell>
          <cell r="CM171">
            <v>116.80415536567038</v>
          </cell>
          <cell r="CO171">
            <v>4.75</v>
          </cell>
          <cell r="CP171">
            <v>4.75</v>
          </cell>
          <cell r="CQ171">
            <v>4.9874999999999998</v>
          </cell>
          <cell r="CR171">
            <v>5.2368750000000004</v>
          </cell>
          <cell r="CS171">
            <v>5.498718750000001</v>
          </cell>
          <cell r="CT171">
            <v>5.7736546875000014</v>
          </cell>
          <cell r="CU171">
            <v>6.0623374218750019</v>
          </cell>
          <cell r="CV171">
            <v>6.3654542929687521</v>
          </cell>
          <cell r="CW171">
            <v>6.6837270076171897</v>
          </cell>
          <cell r="CX171">
            <v>7.0179133579980499</v>
          </cell>
          <cell r="CY171">
            <v>7.3688090258979528</v>
          </cell>
          <cell r="CZ171">
            <v>4.6300000000000001E-2</v>
          </cell>
          <cell r="DA171">
            <v>4.6300000000000001E-2</v>
          </cell>
          <cell r="DB171">
            <v>4.6531499999999996E-2</v>
          </cell>
          <cell r="DC171">
            <v>4.6764157499999993E-2</v>
          </cell>
          <cell r="DD171">
            <v>4.6997978287499992E-2</v>
          </cell>
          <cell r="DE171">
            <v>4.723296817893749E-2</v>
          </cell>
          <cell r="DF171">
            <v>4.7469133019832174E-2</v>
          </cell>
          <cell r="DG171">
            <v>4.770647868493133E-2</v>
          </cell>
          <cell r="DH171">
            <v>4.7945011078355984E-2</v>
          </cell>
          <cell r="DI171">
            <v>4.7945011078355984E-2</v>
          </cell>
          <cell r="DJ171">
            <v>4.7945011078355984E-2</v>
          </cell>
        </row>
      </sheetData>
      <sheetData sheetId="44" refreshError="1"/>
      <sheetData sheetId="45" refreshError="1"/>
      <sheetData sheetId="46" refreshError="1"/>
      <sheetData sheetId="47" refreshError="1">
        <row r="5">
          <cell r="M5">
            <v>1</v>
          </cell>
          <cell r="N5" t="str">
            <v>HVAC</v>
          </cell>
          <cell r="O5">
            <v>2254.1439999999998</v>
          </cell>
        </row>
        <row r="6">
          <cell r="M6">
            <v>2</v>
          </cell>
          <cell r="N6" t="str">
            <v>Carpenter</v>
          </cell>
          <cell r="O6">
            <v>505.76799999999997</v>
          </cell>
        </row>
        <row r="7">
          <cell r="M7">
            <v>3</v>
          </cell>
          <cell r="N7" t="str">
            <v>Electrician</v>
          </cell>
          <cell r="O7">
            <v>4408.7839999999997</v>
          </cell>
        </row>
        <row r="8">
          <cell r="M8">
            <v>4</v>
          </cell>
          <cell r="N8" t="str">
            <v>Maintenance</v>
          </cell>
          <cell r="O8">
            <v>795.35200000000009</v>
          </cell>
        </row>
        <row r="9">
          <cell r="M9">
            <v>5</v>
          </cell>
          <cell r="N9" t="str">
            <v>Plumber</v>
          </cell>
          <cell r="O9">
            <v>878.85599999999988</v>
          </cell>
        </row>
        <row r="10">
          <cell r="M10">
            <v>6</v>
          </cell>
          <cell r="N10" t="str">
            <v>Painter</v>
          </cell>
          <cell r="O10">
            <v>350.4559999999999</v>
          </cell>
        </row>
        <row r="11">
          <cell r="M11">
            <v>7</v>
          </cell>
          <cell r="N11" t="str">
            <v>Warehouse</v>
          </cell>
          <cell r="O11">
            <v>150.584</v>
          </cell>
        </row>
        <row r="12">
          <cell r="M12">
            <v>8</v>
          </cell>
          <cell r="N12" t="str">
            <v>Locksmith</v>
          </cell>
          <cell r="O12">
            <v>479.22399999999999</v>
          </cell>
        </row>
        <row r="13">
          <cell r="M13">
            <v>9</v>
          </cell>
          <cell r="N13" t="str">
            <v>BSVE</v>
          </cell>
          <cell r="O13">
            <v>150</v>
          </cell>
        </row>
      </sheetData>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Lists"/>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fficial Master Inventory"/>
      <sheetName val="Sheet1"/>
      <sheetName val="Picklists"/>
      <sheetName val="P307_CATEGORY"/>
    </sheetNames>
    <sheetDataSet>
      <sheetData sheetId="0" refreshError="1"/>
      <sheetData sheetId="1" refreshError="1"/>
      <sheetData sheetId="2">
        <row r="2">
          <cell r="B2" t="str">
            <v>Diesel Electric</v>
          </cell>
          <cell r="E2" t="str">
            <v>Active</v>
          </cell>
          <cell r="G2" t="str">
            <v>ABB Power T&amp;D</v>
          </cell>
        </row>
        <row r="3">
          <cell r="B3" t="str">
            <v>Diesel Hydraulic</v>
          </cell>
          <cell r="E3" t="str">
            <v>Inactive</v>
          </cell>
          <cell r="G3" t="str">
            <v>Abell-Howe [CM]</v>
          </cell>
        </row>
        <row r="4">
          <cell r="B4" t="str">
            <v>Pneumatic</v>
          </cell>
          <cell r="E4" t="str">
            <v>Removed</v>
          </cell>
          <cell r="G4" t="str">
            <v>ACCOLIFT [ACCO]</v>
          </cell>
        </row>
        <row r="5">
          <cell r="B5" t="str">
            <v>Hydraulic</v>
          </cell>
          <cell r="E5" t="str">
            <v>Unknown</v>
          </cell>
          <cell r="G5" t="str">
            <v>ACE</v>
          </cell>
        </row>
        <row r="6">
          <cell r="B6" t="str">
            <v>Electric</v>
          </cell>
          <cell r="G6" t="str">
            <v>Advance Crane Technologies</v>
          </cell>
        </row>
        <row r="7">
          <cell r="B7" t="str">
            <v>Manual</v>
          </cell>
          <cell r="G7" t="str">
            <v>Advanced Automation Technologies (AAT) [Advanced Crane Technologies]</v>
          </cell>
        </row>
        <row r="8">
          <cell r="G8" t="str">
            <v>Air Technical Industries</v>
          </cell>
        </row>
        <row r="9">
          <cell r="G9" t="str">
            <v>Alliance Machine</v>
          </cell>
        </row>
        <row r="10">
          <cell r="G10" t="str">
            <v>Allied Crane</v>
          </cell>
        </row>
        <row r="11">
          <cell r="G11" t="str">
            <v>Altec</v>
          </cell>
        </row>
        <row r="12">
          <cell r="G12" t="str">
            <v>AmClyde [NOV]</v>
          </cell>
        </row>
        <row r="13">
          <cell r="G13" t="str">
            <v>American Crane</v>
          </cell>
        </row>
        <row r="14">
          <cell r="G14" t="str">
            <v>American Crane &amp; Equipment Corp (ACECO)</v>
          </cell>
        </row>
        <row r="15">
          <cell r="G15" t="str">
            <v>American Crane Inc</v>
          </cell>
        </row>
        <row r="16">
          <cell r="G16" t="str">
            <v xml:space="preserve">American Equipment </v>
          </cell>
        </row>
        <row r="17">
          <cell r="G17" t="str">
            <v>American Gage</v>
          </cell>
        </row>
        <row r="18">
          <cell r="G18" t="str">
            <v>American Hoist [Terex]</v>
          </cell>
        </row>
        <row r="19">
          <cell r="G19" t="str">
            <v>American Industrial Corp</v>
          </cell>
        </row>
        <row r="20">
          <cell r="G20" t="str">
            <v>American Monorail of California</v>
          </cell>
        </row>
        <row r="21">
          <cell r="G21" t="str">
            <v>Appleton Marine</v>
          </cell>
        </row>
        <row r="22">
          <cell r="G22" t="str">
            <v>ARCO</v>
          </cell>
        </row>
        <row r="23">
          <cell r="G23" t="str">
            <v>Asher/RO</v>
          </cell>
        </row>
        <row r="24">
          <cell r="G24" t="str">
            <v>AUSIO</v>
          </cell>
        </row>
        <row r="25">
          <cell r="G25" t="str">
            <v>Austin Western</v>
          </cell>
        </row>
        <row r="26">
          <cell r="G26" t="str">
            <v>Auto Crane</v>
          </cell>
        </row>
        <row r="27">
          <cell r="G27" t="str">
            <v>Avondale</v>
          </cell>
        </row>
        <row r="28">
          <cell r="G28" t="str">
            <v>Ayers-USA</v>
          </cell>
        </row>
        <row r="29">
          <cell r="G29" t="str">
            <v>Azpeitia</v>
          </cell>
        </row>
        <row r="30">
          <cell r="G30" t="str">
            <v>B.I. Brooks &amp; Sons</v>
          </cell>
        </row>
        <row r="31">
          <cell r="G31" t="str">
            <v>Bay Area Crane</v>
          </cell>
        </row>
        <row r="32">
          <cell r="G32" t="str">
            <v>Bay Machinery</v>
          </cell>
        </row>
        <row r="33">
          <cell r="G33" t="str">
            <v>BE Wallace</v>
          </cell>
        </row>
        <row r="34">
          <cell r="G34" t="str">
            <v>Bedford Crane</v>
          </cell>
        </row>
        <row r="35">
          <cell r="G35" t="str">
            <v>Beebe</v>
          </cell>
        </row>
        <row r="36">
          <cell r="G36" t="str">
            <v>Black Bear</v>
          </cell>
        </row>
        <row r="37">
          <cell r="G37" t="str">
            <v>Bluegrass Crane</v>
          </cell>
        </row>
        <row r="38">
          <cell r="G38" t="str">
            <v>Boland</v>
          </cell>
        </row>
        <row r="39">
          <cell r="G39" t="str">
            <v>Bonfanti</v>
          </cell>
        </row>
        <row r="40">
          <cell r="G40" t="str">
            <v>Box Car</v>
          </cell>
        </row>
        <row r="41">
          <cell r="G41" t="str">
            <v>Broderson</v>
          </cell>
        </row>
        <row r="42">
          <cell r="G42" t="str">
            <v>Browning [Konecranes]</v>
          </cell>
        </row>
        <row r="43">
          <cell r="G43" t="str">
            <v>Budgit [CM]</v>
          </cell>
        </row>
        <row r="44">
          <cell r="G44" t="str">
            <v>Caldwell</v>
          </cell>
        </row>
        <row r="45">
          <cell r="G45" t="str">
            <v>Capital Material</v>
          </cell>
        </row>
        <row r="46">
          <cell r="G46" t="str">
            <v>Cargomaster</v>
          </cell>
        </row>
        <row r="47">
          <cell r="G47" t="str">
            <v>Carter Iron</v>
          </cell>
        </row>
        <row r="48">
          <cell r="G48" t="str">
            <v>Cascade</v>
          </cell>
        </row>
        <row r="49">
          <cell r="G49" t="str">
            <v>Caterpillar</v>
          </cell>
        </row>
        <row r="50">
          <cell r="G50" t="str">
            <v>CHECO  (Canadian Overhead Handling) [Konecranes]</v>
          </cell>
        </row>
        <row r="51">
          <cell r="G51" t="str">
            <v>Chesapeake Iron Works</v>
          </cell>
        </row>
        <row r="52">
          <cell r="G52" t="str">
            <v>Chester Hoist [CM]</v>
          </cell>
        </row>
        <row r="53">
          <cell r="G53" t="str">
            <v>Chicago</v>
          </cell>
        </row>
        <row r="54">
          <cell r="G54" t="str">
            <v>Chicago Bridge &amp; Iron</v>
          </cell>
        </row>
        <row r="55">
          <cell r="G55" t="str">
            <v>Chicago Pneumatic</v>
          </cell>
        </row>
        <row r="56">
          <cell r="G56" t="str">
            <v>Chisholm Moore [CM]</v>
          </cell>
        </row>
        <row r="57">
          <cell r="G57" t="str">
            <v>Cleveland Beacon [Mazzella]</v>
          </cell>
        </row>
        <row r="58">
          <cell r="G58" t="str">
            <v>Cleveland Tramrail [Gorbel]</v>
          </cell>
        </row>
        <row r="59">
          <cell r="G59" t="str">
            <v>CM [Columbus McKinnon]</v>
          </cell>
        </row>
        <row r="60">
          <cell r="G60" t="str">
            <v>CMI</v>
          </cell>
        </row>
        <row r="61">
          <cell r="G61" t="str">
            <v>CNM</v>
          </cell>
        </row>
        <row r="62">
          <cell r="G62" t="str">
            <v>Coastal</v>
          </cell>
        </row>
        <row r="63">
          <cell r="G63" t="str">
            <v>Coffing [CM]</v>
          </cell>
        </row>
        <row r="64">
          <cell r="G64" t="str">
            <v>Columbia</v>
          </cell>
        </row>
        <row r="65">
          <cell r="G65" t="str">
            <v>Conco</v>
          </cell>
        </row>
        <row r="66">
          <cell r="G66" t="str">
            <v>Consolidated</v>
          </cell>
        </row>
        <row r="67">
          <cell r="G67" t="str">
            <v>Contrx</v>
          </cell>
        </row>
        <row r="68">
          <cell r="G68" t="str">
            <v>Cormach</v>
          </cell>
        </row>
        <row r="69">
          <cell r="G69" t="str">
            <v>Coto</v>
          </cell>
        </row>
        <row r="70">
          <cell r="G70" t="str">
            <v>Cougar Bay</v>
          </cell>
        </row>
        <row r="71">
          <cell r="G71" t="str">
            <v>Craft</v>
          </cell>
        </row>
        <row r="72">
          <cell r="G72" t="str">
            <v>Crane Bld Inc</v>
          </cell>
        </row>
        <row r="73">
          <cell r="G73" t="str">
            <v>Crane Technologies</v>
          </cell>
        </row>
        <row r="74">
          <cell r="G74" t="str">
            <v>CraneVeyor</v>
          </cell>
        </row>
        <row r="75">
          <cell r="G75" t="str">
            <v>CTS Engineering</v>
          </cell>
        </row>
        <row r="76">
          <cell r="G76" t="str">
            <v>Cummins</v>
          </cell>
        </row>
        <row r="77">
          <cell r="G77" t="str">
            <v>Cyclops</v>
          </cell>
        </row>
        <row r="78">
          <cell r="G78" t="str">
            <v>David Round</v>
          </cell>
        </row>
        <row r="79">
          <cell r="G79" t="str">
            <v>Davies</v>
          </cell>
        </row>
        <row r="80">
          <cell r="G80" t="str">
            <v>Dayton</v>
          </cell>
        </row>
        <row r="81">
          <cell r="G81" t="str">
            <v>Dean Research</v>
          </cell>
        </row>
        <row r="82">
          <cell r="G82" t="str">
            <v>Dearborn</v>
          </cell>
        </row>
        <row r="83">
          <cell r="G83" t="str">
            <v>DEMAG [Terex]</v>
          </cell>
        </row>
        <row r="84">
          <cell r="G84" t="str">
            <v>Deshazo</v>
          </cell>
        </row>
        <row r="85">
          <cell r="G85" t="str">
            <v>Detroit</v>
          </cell>
        </row>
        <row r="86">
          <cell r="G86" t="str">
            <v>Detroit Hoist</v>
          </cell>
        </row>
        <row r="87">
          <cell r="G87" t="str">
            <v>Donati</v>
          </cell>
        </row>
        <row r="88">
          <cell r="G88" t="str">
            <v>Doosan</v>
          </cell>
        </row>
        <row r="89">
          <cell r="G89" t="str">
            <v>Dravo</v>
          </cell>
        </row>
        <row r="90">
          <cell r="G90" t="str">
            <v>Dresser [GE]</v>
          </cell>
        </row>
        <row r="91">
          <cell r="G91" t="str">
            <v>Dressor</v>
          </cell>
        </row>
        <row r="92">
          <cell r="G92" t="str">
            <v>Drott</v>
          </cell>
        </row>
        <row r="93">
          <cell r="G93" t="str">
            <v>Duff Norton [CM]</v>
          </cell>
        </row>
        <row r="94">
          <cell r="G94" t="str">
            <v>Dutton-Lainson</v>
          </cell>
        </row>
        <row r="95">
          <cell r="G95" t="str">
            <v>Dwight-Foote [Konecranes]</v>
          </cell>
        </row>
        <row r="96">
          <cell r="G96" t="str">
            <v>Eaton</v>
          </cell>
        </row>
        <row r="97">
          <cell r="G97" t="str">
            <v>Ederer [PaR Systems]</v>
          </cell>
        </row>
        <row r="98">
          <cell r="G98" t="str">
            <v>Electrolift</v>
          </cell>
        </row>
        <row r="99">
          <cell r="G99" t="str">
            <v>Elephants</v>
          </cell>
        </row>
        <row r="100">
          <cell r="G100" t="str">
            <v>Elift</v>
          </cell>
        </row>
        <row r="101">
          <cell r="G101" t="str">
            <v>Elliott</v>
          </cell>
        </row>
        <row r="102">
          <cell r="G102" t="str">
            <v>Entwistle</v>
          </cell>
        </row>
        <row r="103">
          <cell r="G103" t="str">
            <v>Equipment Fabricators</v>
          </cell>
        </row>
        <row r="104">
          <cell r="G104" t="str">
            <v>Euclid [Konecranes]</v>
          </cell>
        </row>
        <row r="105">
          <cell r="G105" t="str">
            <v>F. T.  Crowe [Konecranes]</v>
          </cell>
        </row>
        <row r="106">
          <cell r="G106" t="str">
            <v>FMC [Link-Belt]</v>
          </cell>
        </row>
        <row r="107">
          <cell r="G107" t="str">
            <v>Foley</v>
          </cell>
        </row>
        <row r="108">
          <cell r="G108" t="str">
            <v>Ford</v>
          </cell>
        </row>
        <row r="109">
          <cell r="G109" t="str">
            <v>Freeland</v>
          </cell>
        </row>
        <row r="110">
          <cell r="G110" t="str">
            <v>Fremont</v>
          </cell>
        </row>
        <row r="111">
          <cell r="G111" t="str">
            <v>Fremont Foundry &amp; Machine Company</v>
          </cell>
        </row>
        <row r="112">
          <cell r="G112" t="str">
            <v>Frontier</v>
          </cell>
        </row>
        <row r="113">
          <cell r="G113" t="str">
            <v>FS Industries</v>
          </cell>
        </row>
        <row r="114">
          <cell r="G114" t="str">
            <v>FSI Crane &amp; Hoist</v>
          </cell>
        </row>
        <row r="115">
          <cell r="G115" t="str">
            <v>Fulton</v>
          </cell>
        </row>
        <row r="116">
          <cell r="G116" t="str">
            <v>Furukawa</v>
          </cell>
        </row>
        <row r="117">
          <cell r="G117" t="str">
            <v>Gaffey [ACE Industries]</v>
          </cell>
        </row>
        <row r="118">
          <cell r="G118" t="str">
            <v>Galion</v>
          </cell>
        </row>
        <row r="119">
          <cell r="G119" t="str">
            <v>Gardner-Denver</v>
          </cell>
        </row>
        <row r="120">
          <cell r="G120" t="str">
            <v>GEMCO</v>
          </cell>
        </row>
        <row r="121">
          <cell r="G121" t="str">
            <v>General Conveyor, Inc</v>
          </cell>
        </row>
        <row r="122">
          <cell r="G122" t="str">
            <v>GIS</v>
          </cell>
        </row>
        <row r="123">
          <cell r="G123" t="str">
            <v>Global</v>
          </cell>
        </row>
        <row r="124">
          <cell r="G124" t="str">
            <v>Gorbel</v>
          </cell>
        </row>
        <row r="125">
          <cell r="G125" t="str">
            <v>Grove [Manitowoc]</v>
          </cell>
        </row>
        <row r="126">
          <cell r="G126" t="str">
            <v>GW King</v>
          </cell>
        </row>
        <row r="127">
          <cell r="G127" t="str">
            <v>Halter Marine</v>
          </cell>
        </row>
        <row r="128">
          <cell r="G128" t="str">
            <v>Harrington [Kito]</v>
          </cell>
        </row>
        <row r="129">
          <cell r="G129" t="str">
            <v>HECO-Pacific Manufacturering</v>
          </cell>
        </row>
        <row r="130">
          <cell r="G130" t="str">
            <v>Heyl &amp; Patterson</v>
          </cell>
        </row>
        <row r="131">
          <cell r="G131" t="str">
            <v>HIAB</v>
          </cell>
        </row>
        <row r="132">
          <cell r="G132" t="str">
            <v>Hitachi</v>
          </cell>
        </row>
        <row r="133">
          <cell r="G133" t="str">
            <v>Hydra Pro [Rapp]</v>
          </cell>
        </row>
        <row r="134">
          <cell r="G134" t="str">
            <v>Hydropower</v>
          </cell>
        </row>
        <row r="135">
          <cell r="G135" t="str">
            <v>IMPSA</v>
          </cell>
        </row>
        <row r="136">
          <cell r="G136" t="str">
            <v>IMS (Integrated Machinery Solutions)</v>
          </cell>
        </row>
        <row r="137">
          <cell r="G137" t="str">
            <v>IMT [Oshkosh]</v>
          </cell>
        </row>
        <row r="138">
          <cell r="G138" t="str">
            <v>Ingersoll-Rand</v>
          </cell>
        </row>
        <row r="139">
          <cell r="G139" t="str">
            <v>IPAC</v>
          </cell>
        </row>
        <row r="140">
          <cell r="G140" t="str">
            <v>Ishikawajima Heavy Industries</v>
          </cell>
        </row>
        <row r="141">
          <cell r="G141" t="str">
            <v>J. Herbert</v>
          </cell>
        </row>
        <row r="142">
          <cell r="G142" t="str">
            <v>J.D. Neuhaus</v>
          </cell>
        </row>
        <row r="143">
          <cell r="G143" t="str">
            <v>Jeamar Winch</v>
          </cell>
        </row>
        <row r="144">
          <cell r="G144" t="str">
            <v>Jekko</v>
          </cell>
        </row>
        <row r="145">
          <cell r="G145" t="str">
            <v>Jet</v>
          </cell>
        </row>
        <row r="146">
          <cell r="G146" t="str">
            <v>JLG [Oshkosh]</v>
          </cell>
        </row>
        <row r="147">
          <cell r="G147" t="str">
            <v>John Deere</v>
          </cell>
        </row>
        <row r="148">
          <cell r="G148" t="str">
            <v>Jomac</v>
          </cell>
        </row>
        <row r="149">
          <cell r="G149" t="str">
            <v>Judson Pacific</v>
          </cell>
        </row>
        <row r="150">
          <cell r="G150" t="str">
            <v>Kalmar</v>
          </cell>
        </row>
        <row r="151">
          <cell r="G151" t="str">
            <v>Kamiuchi</v>
          </cell>
        </row>
        <row r="152">
          <cell r="G152" t="str">
            <v>Kanlift</v>
          </cell>
        </row>
        <row r="153">
          <cell r="G153" t="str">
            <v>Kato</v>
          </cell>
        </row>
        <row r="154">
          <cell r="G154" t="str">
            <v>Keller</v>
          </cell>
        </row>
        <row r="155">
          <cell r="G155" t="str">
            <v>Kellerin</v>
          </cell>
        </row>
        <row r="156">
          <cell r="G156" t="str">
            <v>Kito</v>
          </cell>
        </row>
        <row r="157">
          <cell r="G157" t="str">
            <v>Kobelco</v>
          </cell>
        </row>
        <row r="158">
          <cell r="G158" t="str">
            <v>Kocks Krane</v>
          </cell>
        </row>
        <row r="159">
          <cell r="G159" t="str">
            <v>Kodak</v>
          </cell>
        </row>
        <row r="160">
          <cell r="G160" t="str">
            <v>Koehring [Terex]</v>
          </cell>
        </row>
        <row r="161">
          <cell r="G161" t="str">
            <v>Komatsu</v>
          </cell>
        </row>
        <row r="162">
          <cell r="G162" t="str">
            <v>Konecranes</v>
          </cell>
        </row>
        <row r="163">
          <cell r="G163" t="str">
            <v>Kranco [Konecranes]</v>
          </cell>
        </row>
        <row r="164">
          <cell r="G164" t="str">
            <v>Krupp</v>
          </cell>
        </row>
        <row r="165">
          <cell r="G165" t="str">
            <v>Lansdale</v>
          </cell>
        </row>
        <row r="166">
          <cell r="G166" t="str">
            <v>Lenard Burke</v>
          </cell>
        </row>
        <row r="167">
          <cell r="G167" t="str">
            <v>LeTourneau</v>
          </cell>
        </row>
        <row r="168">
          <cell r="G168" t="str">
            <v>Liebherr</v>
          </cell>
        </row>
        <row r="169">
          <cell r="G169" t="str">
            <v>LIFT TECH</v>
          </cell>
        </row>
        <row r="170">
          <cell r="G170" t="str">
            <v>Lift-All</v>
          </cell>
        </row>
        <row r="171">
          <cell r="G171" t="str">
            <v>Liftmoore</v>
          </cell>
        </row>
        <row r="172">
          <cell r="G172" t="str">
            <v>Link-Belt</v>
          </cell>
        </row>
        <row r="173">
          <cell r="G173" t="str">
            <v>Little Mule [CM]</v>
          </cell>
        </row>
        <row r="174">
          <cell r="G174" t="str">
            <v>Loadrunner</v>
          </cell>
        </row>
        <row r="175">
          <cell r="G175" t="str">
            <v>Locatelli</v>
          </cell>
        </row>
        <row r="176">
          <cell r="G176" t="str">
            <v>Lorain [Terex]</v>
          </cell>
        </row>
        <row r="177">
          <cell r="G177" t="str">
            <v>Louden [ACCO]</v>
          </cell>
        </row>
        <row r="178">
          <cell r="G178" t="str">
            <v>Luna</v>
          </cell>
        </row>
        <row r="179">
          <cell r="G179" t="str">
            <v>M.A.N.</v>
          </cell>
        </row>
        <row r="180">
          <cell r="G180" t="str">
            <v>MacGregor</v>
          </cell>
        </row>
        <row r="181">
          <cell r="G181" t="str">
            <v>Maintainer</v>
          </cell>
        </row>
        <row r="182">
          <cell r="G182" t="str">
            <v>Maitland</v>
          </cell>
        </row>
        <row r="183">
          <cell r="G183" t="str">
            <v>Manitowoc</v>
          </cell>
        </row>
        <row r="184">
          <cell r="G184" t="str">
            <v>Manning, Maxwell &amp; Moore (Dresser)</v>
          </cell>
        </row>
        <row r="185">
          <cell r="G185" t="str">
            <v>Marine Travelift</v>
          </cell>
        </row>
        <row r="186">
          <cell r="G186" t="str">
            <v>Mazzella</v>
          </cell>
        </row>
        <row r="187">
          <cell r="G187" t="str">
            <v>McCullum</v>
          </cell>
        </row>
        <row r="188">
          <cell r="G188" t="str">
            <v>McLean</v>
          </cell>
        </row>
        <row r="189">
          <cell r="G189" t="str">
            <v>Meidensha</v>
          </cell>
        </row>
        <row r="190">
          <cell r="G190" t="str">
            <v>Meldan</v>
          </cell>
        </row>
        <row r="191">
          <cell r="G191" t="str">
            <v>Mercedes</v>
          </cell>
        </row>
        <row r="192">
          <cell r="G192" t="str">
            <v>Metals of VA</v>
          </cell>
        </row>
        <row r="193">
          <cell r="G193" t="str">
            <v>Michigan (Crane Technologies)</v>
          </cell>
        </row>
        <row r="194">
          <cell r="G194" t="str">
            <v>Mid-Atlantic Crane</v>
          </cell>
        </row>
        <row r="195">
          <cell r="G195" t="str">
            <v>Milwaukee</v>
          </cell>
        </row>
        <row r="196">
          <cell r="G196" t="str">
            <v>Mitsubishi</v>
          </cell>
        </row>
        <row r="197">
          <cell r="G197" t="str">
            <v>Moffett [Konecranes]</v>
          </cell>
        </row>
        <row r="198">
          <cell r="G198" t="str">
            <v>Morgan</v>
          </cell>
        </row>
        <row r="199">
          <cell r="G199" t="str">
            <v>Morris Material Handling [Konecranes]</v>
          </cell>
        </row>
        <row r="200">
          <cell r="G200" t="str">
            <v>Motivation</v>
          </cell>
        </row>
        <row r="201">
          <cell r="G201" t="str">
            <v>MTL</v>
          </cell>
        </row>
        <row r="202">
          <cell r="G202" t="str">
            <v>Munck [Konecranes]</v>
          </cell>
        </row>
        <row r="203">
          <cell r="G203" t="str">
            <v>Mussell</v>
          </cell>
        </row>
        <row r="204">
          <cell r="G204" t="str">
            <v>My-te</v>
          </cell>
        </row>
        <row r="205">
          <cell r="G205" t="str">
            <v>NAI (Dearborn)</v>
          </cell>
        </row>
        <row r="206">
          <cell r="G206" t="str">
            <v>National Crane [Manitowoc]</v>
          </cell>
        </row>
        <row r="207">
          <cell r="G207" t="str">
            <v>National Crane Service</v>
          </cell>
        </row>
        <row r="208">
          <cell r="G208" t="str">
            <v>Newell</v>
          </cell>
        </row>
        <row r="209">
          <cell r="G209" t="str">
            <v>Nihon</v>
          </cell>
        </row>
        <row r="210">
          <cell r="G210" t="str">
            <v>Niles [Konecranes]</v>
          </cell>
        </row>
        <row r="211">
          <cell r="G211" t="str">
            <v>Nippon</v>
          </cell>
        </row>
        <row r="212">
          <cell r="G212" t="str">
            <v>North Penn Iron</v>
          </cell>
        </row>
        <row r="213">
          <cell r="G213" t="str">
            <v>Northern [Konecranes]</v>
          </cell>
        </row>
        <row r="214">
          <cell r="G214" t="str">
            <v>Northwest</v>
          </cell>
        </row>
        <row r="215">
          <cell r="G215" t="str">
            <v>Northwestern</v>
          </cell>
        </row>
        <row r="216">
          <cell r="G216" t="str">
            <v>NOV (National Offshore Varco)</v>
          </cell>
        </row>
        <row r="217">
          <cell r="G217" t="str">
            <v>Ogawa</v>
          </cell>
        </row>
        <row r="218">
          <cell r="G218" t="str">
            <v>Olaberria [GH]</v>
          </cell>
        </row>
        <row r="219">
          <cell r="G219" t="str">
            <v>Oldenberg Lake Shore</v>
          </cell>
        </row>
        <row r="220">
          <cell r="G220" t="str">
            <v>OMI</v>
          </cell>
        </row>
        <row r="221">
          <cell r="G221" t="str">
            <v>OMIS</v>
          </cell>
        </row>
        <row r="222">
          <cell r="G222" t="str">
            <v>Oshkosh</v>
          </cell>
        </row>
        <row r="223">
          <cell r="G223" t="str">
            <v>P&amp;H (Pawling &amp; Harnischfeger) [Konecranes]</v>
          </cell>
        </row>
        <row r="224">
          <cell r="G224" t="str">
            <v>PACO</v>
          </cell>
        </row>
        <row r="225">
          <cell r="G225" t="str">
            <v>Palfinger</v>
          </cell>
        </row>
        <row r="226">
          <cell r="G226" t="str">
            <v>PCM</v>
          </cell>
        </row>
        <row r="227">
          <cell r="G227" t="str">
            <v>PECO</v>
          </cell>
        </row>
        <row r="228">
          <cell r="G228" t="str">
            <v>Pettibone</v>
          </cell>
        </row>
        <row r="229">
          <cell r="G229" t="str">
            <v>Philadelphia Tramrail</v>
          </cell>
        </row>
        <row r="230">
          <cell r="G230" t="str">
            <v>Piedmont</v>
          </cell>
        </row>
        <row r="231">
          <cell r="G231" t="str">
            <v>Pointer Willamette</v>
          </cell>
        </row>
        <row r="232">
          <cell r="G232" t="str">
            <v>Potain [Manitowoc]</v>
          </cell>
        </row>
        <row r="233">
          <cell r="G233" t="str">
            <v>Potain Poclain Manutention (PPM) [Terex]</v>
          </cell>
        </row>
        <row r="234">
          <cell r="G234" t="str">
            <v>Product Equip Co</v>
          </cell>
        </row>
        <row r="235">
          <cell r="G235" t="str">
            <v>PROFI [J.D. Neuhaus]</v>
          </cell>
        </row>
        <row r="236">
          <cell r="G236" t="str">
            <v>Progressive [Mazzella]</v>
          </cell>
        </row>
        <row r="237">
          <cell r="G237" t="str">
            <v>Puget Sound Crane</v>
          </cell>
        </row>
        <row r="238">
          <cell r="G238" t="str">
            <v>Pulllift</v>
          </cell>
        </row>
        <row r="239">
          <cell r="G239" t="str">
            <v>Putzmeister</v>
          </cell>
        </row>
        <row r="240">
          <cell r="G240" t="str">
            <v>QMC</v>
          </cell>
        </row>
        <row r="241">
          <cell r="G241" t="str">
            <v>R&amp;M (Robbins &amp; Myers) [Konecranes]</v>
          </cell>
        </row>
        <row r="242">
          <cell r="G242" t="str">
            <v>R.W.M</v>
          </cell>
        </row>
        <row r="243">
          <cell r="G243" t="str">
            <v>Reading</v>
          </cell>
        </row>
        <row r="244">
          <cell r="G244" t="str">
            <v>Reliable Crane</v>
          </cell>
        </row>
        <row r="245">
          <cell r="G245" t="str">
            <v>Renault</v>
          </cell>
        </row>
        <row r="246">
          <cell r="G246" t="str">
            <v>Rightway</v>
          </cell>
        </row>
        <row r="247">
          <cell r="G247" t="str">
            <v>Rolls Royce</v>
          </cell>
        </row>
        <row r="248">
          <cell r="G248" t="str">
            <v>Samsung</v>
          </cell>
        </row>
        <row r="249">
          <cell r="G249" t="str">
            <v>Saturn</v>
          </cell>
        </row>
        <row r="250">
          <cell r="G250" t="str">
            <v>Seattle Crane</v>
          </cell>
        </row>
        <row r="251">
          <cell r="G251" t="str">
            <v>Seneca</v>
          </cell>
        </row>
        <row r="252">
          <cell r="G252" t="str">
            <v>Shaw-Box [CM]</v>
          </cell>
        </row>
        <row r="253">
          <cell r="G253" t="str">
            <v>Shepard Niles [Konecranes]</v>
          </cell>
        </row>
        <row r="254">
          <cell r="G254" t="str">
            <v>Shinmaywa</v>
          </cell>
        </row>
        <row r="255">
          <cell r="G255" t="str">
            <v>Shinn Fu</v>
          </cell>
        </row>
        <row r="256">
          <cell r="G256" t="str">
            <v>Shupper-Brickle</v>
          </cell>
        </row>
        <row r="257">
          <cell r="G257" t="str">
            <v>Shuttlelift</v>
          </cell>
        </row>
        <row r="258">
          <cell r="G258" t="str">
            <v>Simon-RO [Terex]</v>
          </cell>
        </row>
        <row r="259">
          <cell r="G259" t="str">
            <v>Sky Hook</v>
          </cell>
        </row>
        <row r="260">
          <cell r="G260" t="str">
            <v>Skytrak</v>
          </cell>
        </row>
        <row r="261">
          <cell r="G261" t="str">
            <v>SMK</v>
          </cell>
        </row>
        <row r="262">
          <cell r="G262" t="str">
            <v>Somatex</v>
          </cell>
        </row>
        <row r="263">
          <cell r="G263" t="str">
            <v>Southeastern Crane</v>
          </cell>
        </row>
        <row r="264">
          <cell r="G264" t="str">
            <v>Southwestern</v>
          </cell>
        </row>
        <row r="265">
          <cell r="G265" t="str">
            <v>Spanco</v>
          </cell>
        </row>
        <row r="266">
          <cell r="G266" t="str">
            <v>Specialty Motors Manufacturing</v>
          </cell>
        </row>
        <row r="267">
          <cell r="G267" t="str">
            <v>Spencer</v>
          </cell>
        </row>
        <row r="268">
          <cell r="G268" t="str">
            <v>SSI(USA)</v>
          </cell>
        </row>
        <row r="269">
          <cell r="G269" t="str">
            <v>Stahl</v>
          </cell>
        </row>
        <row r="270">
          <cell r="G270" t="str">
            <v>Stanley</v>
          </cell>
        </row>
        <row r="271">
          <cell r="G271" t="str">
            <v>Stanspec [American Crane &amp; Hoist]</v>
          </cell>
        </row>
        <row r="272">
          <cell r="G272" t="str">
            <v>Star Iron Works [PaR Systems]</v>
          </cell>
        </row>
        <row r="273">
          <cell r="G273" t="str">
            <v>Starr and Company, Inc</v>
          </cell>
        </row>
        <row r="274">
          <cell r="G274" t="str">
            <v>Stellar</v>
          </cell>
        </row>
        <row r="275">
          <cell r="G275" t="str">
            <v>Sterling</v>
          </cell>
        </row>
        <row r="276">
          <cell r="G276" t="str">
            <v>Stewart Engineering and Equipment Co. [Konecranes]</v>
          </cell>
        </row>
        <row r="277">
          <cell r="G277" t="str">
            <v>Sumitomo</v>
          </cell>
        </row>
        <row r="278">
          <cell r="G278" t="str">
            <v>Survival Systems Inc</v>
          </cell>
        </row>
        <row r="279">
          <cell r="G279" t="str">
            <v>T&amp;M</v>
          </cell>
        </row>
        <row r="280">
          <cell r="G280" t="str">
            <v>Tadano Faun</v>
          </cell>
        </row>
        <row r="281">
          <cell r="G281" t="str">
            <v>TC/American</v>
          </cell>
        </row>
        <row r="282">
          <cell r="G282" t="str">
            <v>Therm</v>
          </cell>
        </row>
        <row r="283">
          <cell r="G283" t="str">
            <v>Thermmach</v>
          </cell>
        </row>
        <row r="284">
          <cell r="G284" t="str">
            <v>Thern</v>
          </cell>
        </row>
        <row r="285">
          <cell r="G285" t="str">
            <v>Thor</v>
          </cell>
        </row>
        <row r="286">
          <cell r="G286" t="str">
            <v>Total Crane Systems</v>
          </cell>
        </row>
        <row r="287">
          <cell r="G287" t="str">
            <v>Toyohoist</v>
          </cell>
        </row>
        <row r="288">
          <cell r="G288" t="str">
            <v>Trademark</v>
          </cell>
        </row>
        <row r="289">
          <cell r="G289" t="str">
            <v>Tralift [Tractel)</v>
          </cell>
        </row>
        <row r="290">
          <cell r="G290" t="str">
            <v>Twin City</v>
          </cell>
        </row>
        <row r="291">
          <cell r="G291" t="str">
            <v>Unic [Furukawa]</v>
          </cell>
        </row>
        <row r="292">
          <cell r="G292" t="str">
            <v>Unified Industries</v>
          </cell>
        </row>
        <row r="293">
          <cell r="G293" t="str">
            <v>Universal</v>
          </cell>
        </row>
        <row r="294">
          <cell r="G294" t="str">
            <v>US Crane</v>
          </cell>
        </row>
        <row r="295">
          <cell r="G295" t="str">
            <v>Venturo</v>
          </cell>
        </row>
        <row r="296">
          <cell r="G296" t="str">
            <v>Verlinde [Konecranes]</v>
          </cell>
        </row>
        <row r="297">
          <cell r="G297" t="str">
            <v>Verne</v>
          </cell>
        </row>
        <row r="298">
          <cell r="G298" t="str">
            <v>Vernon Corp</v>
          </cell>
        </row>
        <row r="299">
          <cell r="G299" t="str">
            <v>Vestdavit</v>
          </cell>
        </row>
        <row r="300">
          <cell r="G300" t="str">
            <v>Vestil</v>
          </cell>
        </row>
        <row r="301">
          <cell r="G301" t="str">
            <v>Victor Browning [Konecranes]</v>
          </cell>
        </row>
        <row r="302">
          <cell r="G302" t="str">
            <v>Virginia [Foley]</v>
          </cell>
        </row>
        <row r="303">
          <cell r="G303" t="str">
            <v>Volvo</v>
          </cell>
        </row>
        <row r="304">
          <cell r="G304" t="str">
            <v>Volvo Hydraulics</v>
          </cell>
        </row>
        <row r="305">
          <cell r="G305" t="str">
            <v>W.O. Grubb</v>
          </cell>
        </row>
        <row r="306">
          <cell r="G306" t="str">
            <v>Wallace</v>
          </cell>
        </row>
        <row r="307">
          <cell r="G307" t="str">
            <v>Walter Dankas</v>
          </cell>
        </row>
        <row r="308">
          <cell r="G308" t="str">
            <v>Washington Crane and Hoist</v>
          </cell>
        </row>
        <row r="309">
          <cell r="G309" t="str">
            <v>Washington Iron Works [PaR Systems]</v>
          </cell>
        </row>
        <row r="310">
          <cell r="G310" t="str">
            <v>Wazee</v>
          </cell>
        </row>
        <row r="311">
          <cell r="G311" t="str">
            <v>Wellman</v>
          </cell>
        </row>
        <row r="312">
          <cell r="G312" t="str">
            <v>Wells Engineering</v>
          </cell>
        </row>
        <row r="313">
          <cell r="G313" t="str">
            <v>Wesco Industries</v>
          </cell>
        </row>
        <row r="314">
          <cell r="G314" t="str">
            <v>Westinghouse</v>
          </cell>
        </row>
        <row r="315">
          <cell r="G315" t="str">
            <v>Westmont</v>
          </cell>
        </row>
        <row r="316">
          <cell r="G316" t="str">
            <v>Westward</v>
          </cell>
        </row>
        <row r="317">
          <cell r="G317" t="str">
            <v>WHECO</v>
          </cell>
        </row>
        <row r="318">
          <cell r="G318" t="str">
            <v>Whiting</v>
          </cell>
        </row>
        <row r="319">
          <cell r="G319" t="str">
            <v>WHM Tool Group (Walter Meier)</v>
          </cell>
        </row>
        <row r="320">
          <cell r="G320" t="str">
            <v>Wiggins Lift</v>
          </cell>
        </row>
        <row r="321">
          <cell r="G321" t="str">
            <v>Willamette</v>
          </cell>
        </row>
        <row r="322">
          <cell r="G322" t="str">
            <v>Wright (ACCO)</v>
          </cell>
        </row>
        <row r="323">
          <cell r="G323" t="str">
            <v>XCMG</v>
          </cell>
        </row>
        <row r="324">
          <cell r="G324" t="str">
            <v>Xuchou</v>
          </cell>
        </row>
        <row r="325">
          <cell r="G325" t="str">
            <v>Yale &amp; Towne</v>
          </cell>
        </row>
        <row r="326">
          <cell r="G326" t="str">
            <v>Yale [CM]</v>
          </cell>
        </row>
        <row r="327">
          <cell r="G327" t="str">
            <v>York</v>
          </cell>
        </row>
        <row r="328">
          <cell r="G328" t="str">
            <v>Yuba</v>
          </cell>
        </row>
        <row r="329">
          <cell r="G329" t="str">
            <v>Zenar</v>
          </cell>
        </row>
        <row r="330">
          <cell r="G330" t="str">
            <v>Zimmerman (Ingersoll Rand)</v>
          </cell>
        </row>
        <row r="331">
          <cell r="G331" t="str">
            <v>Zojirushi (Elephants)</v>
          </cell>
        </row>
      </sheetData>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al"/>
      <sheetName val="Gedas UK EUR"/>
      <sheetName val="Gedas UK GBP"/>
      <sheetName val="Tabelle3"/>
    </sheetNames>
    <sheetDataSet>
      <sheetData sheetId="0" refreshError="1"/>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nctional"/>
      <sheetName val="160000 HEADCOUNT TOTAL"/>
      <sheetName val="519999 REVENUE   INCOME"/>
      <sheetName val="559999 CONTRIBUTION"/>
      <sheetName val="ZAB1  - in % of revenue income"/>
      <sheetName val="569999 Fixed costs"/>
      <sheetName val="560499 Development costs Softwa"/>
      <sheetName val="G4 Other costs adjustments"/>
      <sheetName val="G8 Contingencies"/>
      <sheetName val="599999 OPERATING RESULT"/>
      <sheetName val="ZAB2  - in % of revenue income"/>
      <sheetName val="609999 Result subsidiaries"/>
      <sheetName val="618999 Interest result"/>
      <sheetName val="629999 Other financial result"/>
      <sheetName val="639999 RESULT BEFORE TAXES"/>
      <sheetName val="ZAB3  - in % of revenue income"/>
      <sheetName val="659999 RESULT AFTER TAXES"/>
      <sheetName val="CFG Cash flow operating activit"/>
      <sheetName val="CFI Investing activities"/>
      <sheetName val="NCF Netto-Cash-flow "/>
      <sheetName val="CFF Financing activities"/>
      <sheetName val="LIQ1 Cash at end of year "/>
      <sheetName val="LIQ6 Oth liquidity and given lo"/>
      <sheetName val="LIQ7 Gross Liquidity"/>
      <sheetName val="LIQ4 Borrowings"/>
      <sheetName val="LIQ5 Net-liquidity"/>
      <sheetName val="349999  Inventories Gross"/>
      <sheetName val="Key4 RoA"/>
      <sheetName val="ZFD4 Return on equity before ta"/>
      <sheetName val="ZFD5 Return on equity after tax"/>
      <sheetName val="ZFD7 Equity ratio"/>
      <sheetName val="ZAB4 Equity Fixed assets ratio"/>
      <sheetName val="ZAB5 Level of investments"/>
      <sheetName val="ZAB Debt-equity-ratio"/>
      <sheetName val="Tabelle1"/>
      <sheetName val="Tabelle2"/>
      <sheetName val="Tabelle3"/>
      <sheetName val="Tabelle4"/>
      <sheetName val="Tabelle5"/>
      <sheetName val="Tabelle6"/>
      <sheetName val="Tabelle7"/>
      <sheetName val="Tabelle8"/>
      <sheetName val="Tabelle9"/>
      <sheetName val="Tabelle10"/>
      <sheetName val="Tabelle11"/>
      <sheetName val="Tabelle12"/>
      <sheetName val="Tabelle13"/>
      <sheetName val="Tabelle14"/>
      <sheetName val="Tabelle15"/>
      <sheetName val="Tabelle16"/>
      <sheetName val="Tabelle17"/>
      <sheetName val="Tabelle18"/>
      <sheetName val="Tabelle19"/>
      <sheetName val="Tabelle20"/>
      <sheetName val="Tabelle21"/>
      <sheetName val="Tabelle22"/>
      <sheetName val="Tabelle23"/>
      <sheetName val="Tabelle24"/>
      <sheetName val="Tabelle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temData"/>
      <sheetName val="L1_L2 Percentile"/>
      <sheetName val="Database Fields"/>
      <sheetName val="Analyst Tab"/>
      <sheetName val="Client Names"/>
      <sheetName val="Calculator"/>
      <sheetName val="SIMON Input Sheet"/>
      <sheetName val="Metric Inputs"/>
      <sheetName val="Tasks Lists"/>
      <sheetName val="Inputs"/>
      <sheetName val="Executive Price Summary"/>
      <sheetName val="PCR - Executive Price Summary"/>
      <sheetName val="Profit Summary"/>
      <sheetName val="Profit Analysis-Base Period"/>
      <sheetName val="Profit Analysis-Option Period 1"/>
      <sheetName val="Profit Analysis-Option Period 2"/>
      <sheetName val="Profit Analysis-Option Period 3"/>
      <sheetName val="Profit Analysis-Option Period 4"/>
      <sheetName val="Booz Allen Labor"/>
      <sheetName val="Sub Labor"/>
      <sheetName val="MultSchedInput"/>
      <sheetName val="Labor Rates"/>
      <sheetName val="Schedules"/>
      <sheetName val="Travel"/>
      <sheetName val="ODCs"/>
      <sheetName val="Indirects"/>
      <sheetName val="Reference"/>
      <sheetName val="Charge Number Struc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nnRidge acros yrs"/>
      <sheetName val="Lists"/>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V GRE-50A after cash accrl"/>
      <sheetName val="JV GRE-50 after cash accrl"/>
      <sheetName val="OPM 15 - Petty Cash 3230 SSA"/>
      <sheetName val="JV 107 Misc"/>
      <sheetName val="JV 106 Misc"/>
      <sheetName val="JV OPM-7c Inv Pymt reclass"/>
      <sheetName val="JV OPM-7b Inv Pymt"/>
      <sheetName val="JV OPM-42 SubK Accr"/>
      <sheetName val="JV OH-8"/>
      <sheetName val="OPM-111 613a Trf"/>
      <sheetName val="JV OPM-6a Inv Subm"/>
      <sheetName val="JV 105  Misc"/>
      <sheetName val="JV 102 Misc"/>
      <sheetName val="JV OPM-6 Sales Invoices"/>
      <sheetName val="JV 101 Misc"/>
      <sheetName val="JV OPM-7a Inv Pymt"/>
      <sheetName val="JV VM 11E Mgr Bonus Accr"/>
      <sheetName val="JV OH-02 Annual Bonus Accr"/>
      <sheetName val="JV 103 Bank Charges"/>
      <sheetName val="JV OPM-02 Labor Accr"/>
      <sheetName val="JV GRE-04  Liability Ins"/>
      <sheetName val="JV GRE-05  Liability Ins"/>
      <sheetName val="PG-10 Labor Accrual"/>
      <sheetName val="GRE-10"/>
      <sheetName val="JV GRE-02a Labor Accr"/>
      <sheetName val="JV VM-07 Inv Pymts"/>
      <sheetName val="JV VM 10 Correction"/>
      <sheetName val="JV VM 11D Mgr Bonus Accr"/>
      <sheetName val="JV VM-11A Inv Pymts"/>
      <sheetName val="JV VM 11 ODC CORR"/>
      <sheetName val="JV VM 11 ODC"/>
      <sheetName val="JV VM 11 ODC CORR 1"/>
      <sheetName val="JV GRE-05 CORR"/>
      <sheetName val="JV VM-07A INV PMT"/>
      <sheetName val="JV VM 11 Sales"/>
      <sheetName val="JV VM 10A Sales"/>
      <sheetName val="JV 104 Misc reversed"/>
      <sheetName val="JV NC-02 Labor Accr"/>
      <sheetName val="JV VM 11 ODC CORR 2"/>
      <sheetName val="JV VM-10B Sales"/>
      <sheetName val="JV Current List "/>
      <sheetName val="JV VM-01 Labor Accr"/>
      <sheetName val="JV VM 11B Accrued Sales"/>
      <sheetName val="OPM 15C - Petty Cash 3230 SnR"/>
      <sheetName val="JV OPM-6b Inv Subm"/>
      <sheetName val="OPM-110 NTE Trf"/>
      <sheetName val="JV OPM-02A Misc"/>
      <sheetName val="JV GRE-05a  Liability Ins"/>
      <sheetName val="JV VM 11C Sales (2)"/>
      <sheetName val="JV VM 11E Inv"/>
      <sheetName val="JV OPM-7c Inv Pymt"/>
      <sheetName val="JV VM 11B"/>
      <sheetName val="JV VM 11a  Sales Accrued"/>
      <sheetName val="JV TRF 02"/>
      <sheetName val="JV 105B PY Fringes"/>
      <sheetName val="JV VM-3 ODC Adv"/>
      <sheetName val="JV VM-3B ODC Adv"/>
      <sheetName val="JV VM-3A ODC Adv"/>
      <sheetName val="JV IDIQ-10 IDIQ OH IACS"/>
      <sheetName val="JV OPM-02c Misc"/>
      <sheetName val="JV GRE-YE30 Clear PXX Bal YE"/>
      <sheetName val="JV GRE-03 Yr End Vac Accr"/>
      <sheetName val="JV OPM-02b Misc"/>
      <sheetName val="JV GRE-12A Audit Fee Accr"/>
      <sheetName val="JV GRE-02aREV Labor Accr"/>
      <sheetName val="JV GRE-12 Audit Fee Accr"/>
      <sheetName val="JV - WO-01 Write-Offs"/>
      <sheetName val="JV OH-8A"/>
      <sheetName val="JV VM-3D"/>
      <sheetName val="JV VM-3C REV1"/>
      <sheetName val="JV VM-3C REV"/>
      <sheetName val="JV VM-3c "/>
      <sheetName val="JV VM-3B"/>
      <sheetName val="JV GRE-06 Sales Invoices"/>
      <sheetName val="JV NRL-02a Labor Accr"/>
      <sheetName val="VOID JV OPM-11 Mgmt Reserve"/>
      <sheetName val="JV VM-3A Rev ODC Adv"/>
      <sheetName val="JV 105 Misc"/>
      <sheetName val="JV GRE-7 Inv Pymt"/>
      <sheetName val="JV OPM-6 Sales Inv"/>
      <sheetName val="JV IDIQ-10 A OH IACS"/>
      <sheetName val="JV GRE-06a Sales Invoices"/>
      <sheetName val="JV VM 11C Sales"/>
      <sheetName val="KOS-112"/>
      <sheetName val="FA-01 Asset Disposal"/>
      <sheetName val="JV GRE-03a 2006 Vac Liab"/>
      <sheetName val="JV GRE-11 Loan pymt"/>
      <sheetName val="JV NC 6 Inv Subm"/>
      <sheetName val="JV TAX-104 Tax Entries"/>
      <sheetName val="JV TAX 105 CIT MIT adjs"/>
      <sheetName val="JV VM 07 G&amp;A"/>
      <sheetName val="NC-15 SEM"/>
      <sheetName val="PG-15 Polygone 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imes New Roman">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3"/>
  <sheetViews>
    <sheetView tabSelected="1" zoomScale="90" zoomScaleNormal="90" workbookViewId="0">
      <selection activeCell="C197" sqref="C197"/>
    </sheetView>
  </sheetViews>
  <sheetFormatPr defaultColWidth="9.140625" defaultRowHeight="12" customHeight="1"/>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7109375" style="5" customWidth="1"/>
    <col min="8" max="8" width="11" style="4" customWidth="1"/>
    <col min="9" max="9" width="70.5703125" style="105" customWidth="1"/>
    <col min="10" max="10" width="13.5703125" style="87" customWidth="1"/>
    <col min="11" max="11" width="12" style="87" customWidth="1"/>
    <col min="12" max="12" width="14.140625" style="87" customWidth="1"/>
    <col min="13" max="13" width="24" style="87" customWidth="1"/>
    <col min="14" max="15" width="9.140625" style="2"/>
    <col min="16" max="16" width="9.140625" style="2" customWidth="1"/>
    <col min="17" max="16384" width="9.140625" style="2"/>
  </cols>
  <sheetData>
    <row r="1" spans="1:15" ht="12" customHeight="1">
      <c r="C1" s="110" t="s">
        <v>18</v>
      </c>
      <c r="D1" s="111"/>
      <c r="E1" s="111"/>
      <c r="F1" s="111"/>
      <c r="G1" s="111"/>
      <c r="H1" s="111"/>
      <c r="I1" s="111"/>
    </row>
    <row r="2" spans="1:15" ht="12" customHeight="1">
      <c r="C2" s="110" t="s">
        <v>19</v>
      </c>
      <c r="D2" s="111"/>
      <c r="E2" s="111"/>
      <c r="F2" s="111"/>
      <c r="G2" s="111"/>
      <c r="H2" s="111"/>
      <c r="I2" s="111"/>
    </row>
    <row r="3" spans="1:15" ht="12" customHeight="1">
      <c r="C3" s="112" t="s">
        <v>761</v>
      </c>
      <c r="D3" s="111"/>
      <c r="E3" s="111"/>
      <c r="F3" s="111"/>
      <c r="G3" s="111"/>
      <c r="H3" s="111"/>
      <c r="I3" s="111"/>
    </row>
    <row r="4" spans="1:15" ht="12" customHeight="1">
      <c r="C4" s="16" t="s">
        <v>733</v>
      </c>
      <c r="D4" s="16"/>
      <c r="E4" s="16"/>
      <c r="F4" s="69"/>
      <c r="G4" s="9"/>
      <c r="H4" s="69"/>
      <c r="I4" s="98"/>
    </row>
    <row r="5" spans="1:15" ht="12" customHeight="1">
      <c r="C5" s="14" t="s">
        <v>20</v>
      </c>
      <c r="D5" s="15"/>
      <c r="E5" s="15"/>
      <c r="F5" s="70"/>
      <c r="G5" s="61"/>
      <c r="H5" s="70"/>
      <c r="I5" s="99"/>
    </row>
    <row r="6" spans="1:15" ht="12" customHeight="1">
      <c r="C6" s="13" t="s">
        <v>2254</v>
      </c>
      <c r="D6" s="13"/>
      <c r="E6" s="13"/>
      <c r="F6" s="71"/>
      <c r="G6" s="8"/>
      <c r="H6" s="71"/>
      <c r="I6" s="100"/>
    </row>
    <row r="7" spans="1:15" ht="138.6" customHeight="1">
      <c r="A7" s="30" t="s">
        <v>604</v>
      </c>
      <c r="B7" s="30" t="s">
        <v>605</v>
      </c>
      <c r="C7" s="30" t="s">
        <v>22</v>
      </c>
      <c r="D7" s="30" t="s">
        <v>23</v>
      </c>
      <c r="E7" s="30" t="s">
        <v>24</v>
      </c>
      <c r="F7" s="57" t="s">
        <v>25</v>
      </c>
      <c r="G7" s="30" t="s">
        <v>26</v>
      </c>
      <c r="H7" s="57" t="s">
        <v>27</v>
      </c>
      <c r="I7" s="86" t="s">
        <v>17</v>
      </c>
      <c r="J7" s="81" t="s">
        <v>28</v>
      </c>
      <c r="K7" s="57" t="s">
        <v>29</v>
      </c>
      <c r="L7" s="57" t="s">
        <v>30</v>
      </c>
      <c r="M7" s="57" t="s">
        <v>31</v>
      </c>
    </row>
    <row r="8" spans="1:15" s="77" customFormat="1" ht="12" customHeight="1">
      <c r="A8" s="31" t="s">
        <v>317</v>
      </c>
      <c r="B8" s="31" t="s">
        <v>32</v>
      </c>
      <c r="C8" s="32" t="s">
        <v>33</v>
      </c>
      <c r="D8" s="32" t="s">
        <v>34</v>
      </c>
      <c r="E8" s="33" t="s">
        <v>35</v>
      </c>
      <c r="F8" s="72" t="s">
        <v>36</v>
      </c>
      <c r="G8" s="38" t="s">
        <v>590</v>
      </c>
      <c r="H8" s="33">
        <v>3.1</v>
      </c>
      <c r="I8" s="101" t="s">
        <v>34</v>
      </c>
      <c r="J8" s="89">
        <v>20</v>
      </c>
      <c r="K8" s="89" t="s">
        <v>38</v>
      </c>
      <c r="L8" s="90"/>
      <c r="M8" s="90"/>
      <c r="O8" s="97"/>
    </row>
    <row r="9" spans="1:15" s="7" customFormat="1" ht="12" customHeight="1">
      <c r="A9" s="31" t="s">
        <v>317</v>
      </c>
      <c r="B9" s="31" t="s">
        <v>32</v>
      </c>
      <c r="C9" s="32" t="s">
        <v>33</v>
      </c>
      <c r="D9" s="31" t="s">
        <v>1</v>
      </c>
      <c r="E9" s="33" t="s">
        <v>35</v>
      </c>
      <c r="F9" s="72" t="s">
        <v>600</v>
      </c>
      <c r="G9" s="38" t="s">
        <v>590</v>
      </c>
      <c r="H9" s="33">
        <v>3.2</v>
      </c>
      <c r="I9" s="102" t="s">
        <v>40</v>
      </c>
      <c r="J9" s="72">
        <v>12</v>
      </c>
      <c r="K9" s="72" t="s">
        <v>41</v>
      </c>
      <c r="L9" s="88"/>
      <c r="M9" s="88"/>
      <c r="O9" s="97"/>
    </row>
    <row r="10" spans="1:15" s="7" customFormat="1" ht="12" customHeight="1">
      <c r="A10" s="37" t="s">
        <v>317</v>
      </c>
      <c r="B10" s="37" t="s">
        <v>42</v>
      </c>
      <c r="C10" s="32" t="s">
        <v>43</v>
      </c>
      <c r="D10" s="32" t="s">
        <v>1</v>
      </c>
      <c r="E10" s="33" t="s">
        <v>35</v>
      </c>
      <c r="F10" s="72" t="s">
        <v>615</v>
      </c>
      <c r="G10" s="33">
        <v>1501000</v>
      </c>
      <c r="H10" s="33">
        <v>3.1</v>
      </c>
      <c r="I10" s="101" t="s">
        <v>46</v>
      </c>
      <c r="J10" s="72">
        <v>12</v>
      </c>
      <c r="K10" s="72" t="s">
        <v>41</v>
      </c>
      <c r="L10" s="88"/>
      <c r="M10" s="88"/>
      <c r="O10" s="97"/>
    </row>
    <row r="11" spans="1:15" s="7" customFormat="1" ht="12" customHeight="1">
      <c r="A11" s="37" t="s">
        <v>317</v>
      </c>
      <c r="B11" s="37" t="s">
        <v>42</v>
      </c>
      <c r="C11" s="32" t="s">
        <v>43</v>
      </c>
      <c r="D11" s="32" t="s">
        <v>1</v>
      </c>
      <c r="E11" s="33" t="s">
        <v>35</v>
      </c>
      <c r="F11" s="72" t="s">
        <v>616</v>
      </c>
      <c r="G11" s="33">
        <v>1501000</v>
      </c>
      <c r="H11" s="33">
        <v>3.2</v>
      </c>
      <c r="I11" s="101" t="s">
        <v>48</v>
      </c>
      <c r="J11" s="72">
        <v>12</v>
      </c>
      <c r="K11" s="72" t="s">
        <v>41</v>
      </c>
      <c r="L11" s="88"/>
      <c r="M11" s="88"/>
      <c r="O11" s="97"/>
    </row>
    <row r="12" spans="1:15" s="7" customFormat="1" ht="12" customHeight="1">
      <c r="A12" s="37" t="s">
        <v>317</v>
      </c>
      <c r="B12" s="37" t="s">
        <v>42</v>
      </c>
      <c r="C12" s="32" t="s">
        <v>43</v>
      </c>
      <c r="D12" s="32" t="s">
        <v>1</v>
      </c>
      <c r="E12" s="33" t="s">
        <v>35</v>
      </c>
      <c r="F12" s="72" t="s">
        <v>617</v>
      </c>
      <c r="G12" s="33">
        <v>1501000</v>
      </c>
      <c r="H12" s="33">
        <v>3.3</v>
      </c>
      <c r="I12" s="101" t="s">
        <v>50</v>
      </c>
      <c r="J12" s="72">
        <v>12</v>
      </c>
      <c r="K12" s="72" t="s">
        <v>41</v>
      </c>
      <c r="L12" s="88"/>
      <c r="M12" s="88"/>
      <c r="O12" s="97"/>
    </row>
    <row r="13" spans="1:15" s="7" customFormat="1" ht="12" customHeight="1">
      <c r="A13" s="37" t="s">
        <v>317</v>
      </c>
      <c r="B13" s="37" t="s">
        <v>2231</v>
      </c>
      <c r="C13" s="32" t="s">
        <v>52</v>
      </c>
      <c r="D13" s="32" t="s">
        <v>53</v>
      </c>
      <c r="E13" s="33" t="s">
        <v>35</v>
      </c>
      <c r="F13" s="72" t="s">
        <v>618</v>
      </c>
      <c r="G13" s="33">
        <v>1502000</v>
      </c>
      <c r="H13" s="72">
        <v>3.1</v>
      </c>
      <c r="I13" s="101" t="s">
        <v>591</v>
      </c>
      <c r="J13" s="91">
        <v>3658</v>
      </c>
      <c r="K13" s="91" t="s">
        <v>38</v>
      </c>
      <c r="L13" s="88"/>
      <c r="M13" s="88"/>
      <c r="O13" s="97"/>
    </row>
    <row r="14" spans="1:15" s="7" customFormat="1" ht="12" customHeight="1">
      <c r="A14" s="37" t="s">
        <v>317</v>
      </c>
      <c r="B14" s="37" t="s">
        <v>2231</v>
      </c>
      <c r="C14" s="32" t="s">
        <v>52</v>
      </c>
      <c r="D14" s="32" t="s">
        <v>1</v>
      </c>
      <c r="E14" s="33" t="s">
        <v>35</v>
      </c>
      <c r="F14" s="72" t="s">
        <v>614</v>
      </c>
      <c r="G14" s="33">
        <v>1502000</v>
      </c>
      <c r="H14" s="72">
        <v>3.2</v>
      </c>
      <c r="I14" s="101" t="s">
        <v>601</v>
      </c>
      <c r="J14" s="92">
        <v>50</v>
      </c>
      <c r="K14" s="72" t="s">
        <v>38</v>
      </c>
      <c r="L14" s="88"/>
      <c r="M14" s="88"/>
      <c r="O14" s="97"/>
    </row>
    <row r="15" spans="1:15" s="7" customFormat="1" ht="12" customHeight="1">
      <c r="A15" s="37" t="s">
        <v>317</v>
      </c>
      <c r="B15" s="37" t="s">
        <v>2231</v>
      </c>
      <c r="C15" s="32" t="s">
        <v>52</v>
      </c>
      <c r="D15" s="32" t="s">
        <v>54</v>
      </c>
      <c r="E15" s="33" t="s">
        <v>35</v>
      </c>
      <c r="F15" s="72" t="s">
        <v>612</v>
      </c>
      <c r="G15" s="33">
        <v>1502000</v>
      </c>
      <c r="H15" s="72" t="s">
        <v>55</v>
      </c>
      <c r="I15" s="101" t="s">
        <v>56</v>
      </c>
      <c r="J15" s="72">
        <v>12</v>
      </c>
      <c r="K15" s="72" t="s">
        <v>41</v>
      </c>
      <c r="L15" s="88"/>
      <c r="M15" s="88"/>
      <c r="O15" s="97"/>
    </row>
    <row r="16" spans="1:15" s="7" customFormat="1" ht="12" customHeight="1">
      <c r="A16" s="37" t="s">
        <v>317</v>
      </c>
      <c r="B16" s="37" t="s">
        <v>2231</v>
      </c>
      <c r="C16" s="32" t="s">
        <v>52</v>
      </c>
      <c r="D16" s="32" t="s">
        <v>54</v>
      </c>
      <c r="E16" s="33" t="s">
        <v>35</v>
      </c>
      <c r="F16" s="72" t="s">
        <v>623</v>
      </c>
      <c r="G16" s="33">
        <v>1502000</v>
      </c>
      <c r="H16" s="72" t="s">
        <v>57</v>
      </c>
      <c r="I16" s="101" t="s">
        <v>58</v>
      </c>
      <c r="J16" s="72">
        <v>12</v>
      </c>
      <c r="K16" s="72" t="s">
        <v>41</v>
      </c>
      <c r="L16" s="88"/>
      <c r="M16" s="88"/>
      <c r="O16" s="97"/>
    </row>
    <row r="17" spans="1:15" s="7" customFormat="1" ht="12" customHeight="1">
      <c r="A17" s="37" t="s">
        <v>317</v>
      </c>
      <c r="B17" s="37" t="s">
        <v>2231</v>
      </c>
      <c r="C17" s="32" t="s">
        <v>52</v>
      </c>
      <c r="D17" s="32" t="s">
        <v>54</v>
      </c>
      <c r="E17" s="33" t="s">
        <v>35</v>
      </c>
      <c r="F17" s="72" t="s">
        <v>624</v>
      </c>
      <c r="G17" s="33">
        <v>1502000</v>
      </c>
      <c r="H17" s="72" t="s">
        <v>59</v>
      </c>
      <c r="I17" s="101" t="s">
        <v>60</v>
      </c>
      <c r="J17" s="72">
        <v>12</v>
      </c>
      <c r="K17" s="72" t="s">
        <v>41</v>
      </c>
      <c r="L17" s="88"/>
      <c r="M17" s="88"/>
      <c r="O17" s="97"/>
    </row>
    <row r="18" spans="1:15" s="7" customFormat="1" ht="12" customHeight="1">
      <c r="A18" s="37" t="s">
        <v>317</v>
      </c>
      <c r="B18" s="37" t="s">
        <v>2231</v>
      </c>
      <c r="C18" s="32" t="s">
        <v>52</v>
      </c>
      <c r="D18" s="32" t="s">
        <v>54</v>
      </c>
      <c r="E18" s="33" t="s">
        <v>35</v>
      </c>
      <c r="F18" s="72" t="s">
        <v>622</v>
      </c>
      <c r="G18" s="33">
        <v>1502000</v>
      </c>
      <c r="H18" s="72" t="s">
        <v>61</v>
      </c>
      <c r="I18" s="101" t="s">
        <v>62</v>
      </c>
      <c r="J18" s="72">
        <v>12</v>
      </c>
      <c r="K18" s="72" t="s">
        <v>41</v>
      </c>
      <c r="L18" s="88"/>
      <c r="M18" s="88"/>
      <c r="O18" s="97"/>
    </row>
    <row r="19" spans="1:15" s="7" customFormat="1" ht="12" customHeight="1">
      <c r="A19" s="37" t="s">
        <v>317</v>
      </c>
      <c r="B19" s="37" t="s">
        <v>2231</v>
      </c>
      <c r="C19" s="32" t="s">
        <v>52</v>
      </c>
      <c r="D19" s="32" t="s">
        <v>54</v>
      </c>
      <c r="E19" s="33" t="s">
        <v>35</v>
      </c>
      <c r="F19" s="72" t="s">
        <v>625</v>
      </c>
      <c r="G19" s="33">
        <v>1502000</v>
      </c>
      <c r="H19" s="72" t="s">
        <v>63</v>
      </c>
      <c r="I19" s="101" t="s">
        <v>64</v>
      </c>
      <c r="J19" s="72">
        <v>12</v>
      </c>
      <c r="K19" s="72" t="s">
        <v>41</v>
      </c>
      <c r="L19" s="88"/>
      <c r="M19" s="88"/>
      <c r="O19" s="97"/>
    </row>
    <row r="20" spans="1:15" s="7" customFormat="1" ht="12" customHeight="1">
      <c r="A20" s="37" t="s">
        <v>317</v>
      </c>
      <c r="B20" s="37" t="s">
        <v>2231</v>
      </c>
      <c r="C20" s="32" t="s">
        <v>52</v>
      </c>
      <c r="D20" s="32" t="s">
        <v>54</v>
      </c>
      <c r="E20" s="33" t="s">
        <v>35</v>
      </c>
      <c r="F20" s="72" t="s">
        <v>619</v>
      </c>
      <c r="G20" s="33">
        <v>1502000</v>
      </c>
      <c r="H20" s="72" t="s">
        <v>65</v>
      </c>
      <c r="I20" s="101" t="s">
        <v>66</v>
      </c>
      <c r="J20" s="72">
        <v>12</v>
      </c>
      <c r="K20" s="72" t="s">
        <v>41</v>
      </c>
      <c r="L20" s="88"/>
      <c r="M20" s="88"/>
      <c r="O20" s="97"/>
    </row>
    <row r="21" spans="1:15" s="7" customFormat="1" ht="12" customHeight="1">
      <c r="A21" s="37" t="s">
        <v>317</v>
      </c>
      <c r="B21" s="37" t="s">
        <v>2231</v>
      </c>
      <c r="C21" s="32" t="s">
        <v>52</v>
      </c>
      <c r="D21" s="32" t="s">
        <v>54</v>
      </c>
      <c r="E21" s="33" t="s">
        <v>35</v>
      </c>
      <c r="F21" s="72" t="s">
        <v>626</v>
      </c>
      <c r="G21" s="33">
        <v>1502000</v>
      </c>
      <c r="H21" s="72" t="s">
        <v>67</v>
      </c>
      <c r="I21" s="101" t="s">
        <v>68</v>
      </c>
      <c r="J21" s="72">
        <v>12</v>
      </c>
      <c r="K21" s="72" t="s">
        <v>41</v>
      </c>
      <c r="L21" s="88"/>
      <c r="M21" s="88"/>
      <c r="O21" s="97"/>
    </row>
    <row r="22" spans="1:15" s="7" customFormat="1" ht="12" customHeight="1">
      <c r="A22" s="37" t="s">
        <v>317</v>
      </c>
      <c r="B22" s="37" t="s">
        <v>2231</v>
      </c>
      <c r="C22" s="32" t="s">
        <v>52</v>
      </c>
      <c r="D22" s="32" t="s">
        <v>54</v>
      </c>
      <c r="E22" s="33" t="s">
        <v>35</v>
      </c>
      <c r="F22" s="72" t="s">
        <v>627</v>
      </c>
      <c r="G22" s="33">
        <v>1502000</v>
      </c>
      <c r="H22" s="72" t="s">
        <v>69</v>
      </c>
      <c r="I22" s="101" t="s">
        <v>70</v>
      </c>
      <c r="J22" s="72">
        <v>12</v>
      </c>
      <c r="K22" s="72" t="s">
        <v>41</v>
      </c>
      <c r="L22" s="88"/>
      <c r="M22" s="88"/>
      <c r="O22" s="97"/>
    </row>
    <row r="23" spans="1:15" s="7" customFormat="1" ht="12" customHeight="1">
      <c r="A23" s="37" t="s">
        <v>317</v>
      </c>
      <c r="B23" s="37" t="s">
        <v>2231</v>
      </c>
      <c r="C23" s="32" t="s">
        <v>52</v>
      </c>
      <c r="D23" s="32" t="s">
        <v>54</v>
      </c>
      <c r="E23" s="33" t="s">
        <v>35</v>
      </c>
      <c r="F23" s="72" t="s">
        <v>629</v>
      </c>
      <c r="G23" s="33">
        <v>1502000</v>
      </c>
      <c r="H23" s="72" t="s">
        <v>71</v>
      </c>
      <c r="I23" s="101" t="s">
        <v>72</v>
      </c>
      <c r="J23" s="72">
        <v>12</v>
      </c>
      <c r="K23" s="72" t="s">
        <v>41</v>
      </c>
      <c r="L23" s="88"/>
      <c r="M23" s="88"/>
      <c r="O23" s="97"/>
    </row>
    <row r="24" spans="1:15" s="29" customFormat="1" ht="12" customHeight="1">
      <c r="A24" s="37" t="s">
        <v>317</v>
      </c>
      <c r="B24" s="37" t="s">
        <v>2231</v>
      </c>
      <c r="C24" s="32" t="s">
        <v>52</v>
      </c>
      <c r="D24" s="32" t="s">
        <v>54</v>
      </c>
      <c r="E24" s="33" t="s">
        <v>35</v>
      </c>
      <c r="F24" s="72" t="s">
        <v>613</v>
      </c>
      <c r="G24" s="36">
        <v>1502000</v>
      </c>
      <c r="H24" s="72" t="s">
        <v>73</v>
      </c>
      <c r="I24" s="101" t="s">
        <v>74</v>
      </c>
      <c r="J24" s="72">
        <v>12</v>
      </c>
      <c r="K24" s="72" t="s">
        <v>41</v>
      </c>
      <c r="L24" s="88"/>
      <c r="M24" s="88"/>
      <c r="O24" s="97"/>
    </row>
    <row r="25" spans="1:15" s="7" customFormat="1" ht="12" customHeight="1">
      <c r="A25" s="37" t="s">
        <v>317</v>
      </c>
      <c r="B25" s="37" t="s">
        <v>2231</v>
      </c>
      <c r="C25" s="32" t="s">
        <v>52</v>
      </c>
      <c r="D25" s="32" t="s">
        <v>54</v>
      </c>
      <c r="E25" s="33" t="s">
        <v>35</v>
      </c>
      <c r="F25" s="72" t="s">
        <v>611</v>
      </c>
      <c r="G25" s="33">
        <v>1502000</v>
      </c>
      <c r="H25" s="72" t="s">
        <v>75</v>
      </c>
      <c r="I25" s="101" t="s">
        <v>2194</v>
      </c>
      <c r="J25" s="72">
        <v>12</v>
      </c>
      <c r="K25" s="72" t="s">
        <v>41</v>
      </c>
      <c r="L25" s="88"/>
      <c r="M25" s="88"/>
      <c r="O25" s="97"/>
    </row>
    <row r="26" spans="1:15" s="7" customFormat="1" ht="12.75" customHeight="1">
      <c r="A26" s="37" t="s">
        <v>317</v>
      </c>
      <c r="B26" s="37" t="s">
        <v>2231</v>
      </c>
      <c r="C26" s="32" t="s">
        <v>52</v>
      </c>
      <c r="D26" s="32" t="s">
        <v>54</v>
      </c>
      <c r="E26" s="33" t="s">
        <v>35</v>
      </c>
      <c r="F26" s="72" t="s">
        <v>621</v>
      </c>
      <c r="G26" s="33">
        <v>1502000</v>
      </c>
      <c r="H26" s="72" t="s">
        <v>76</v>
      </c>
      <c r="I26" s="101" t="s">
        <v>77</v>
      </c>
      <c r="J26" s="72">
        <v>12</v>
      </c>
      <c r="K26" s="72" t="s">
        <v>41</v>
      </c>
      <c r="L26" s="88"/>
      <c r="M26" s="88"/>
      <c r="O26" s="97"/>
    </row>
    <row r="27" spans="1:15" s="7" customFormat="1" ht="12" customHeight="1">
      <c r="A27" s="37" t="s">
        <v>317</v>
      </c>
      <c r="B27" s="37" t="s">
        <v>2231</v>
      </c>
      <c r="C27" s="32" t="s">
        <v>52</v>
      </c>
      <c r="D27" s="32" t="s">
        <v>54</v>
      </c>
      <c r="E27" s="33" t="s">
        <v>35</v>
      </c>
      <c r="F27" s="72" t="s">
        <v>620</v>
      </c>
      <c r="G27" s="33">
        <v>1502000</v>
      </c>
      <c r="H27" s="72" t="s">
        <v>78</v>
      </c>
      <c r="I27" s="101" t="s">
        <v>79</v>
      </c>
      <c r="J27" s="72">
        <v>12</v>
      </c>
      <c r="K27" s="72" t="s">
        <v>41</v>
      </c>
      <c r="L27" s="88"/>
      <c r="M27" s="88"/>
      <c r="O27" s="97"/>
    </row>
    <row r="28" spans="1:15" s="7" customFormat="1" ht="12" customHeight="1">
      <c r="A28" s="37" t="s">
        <v>317</v>
      </c>
      <c r="B28" s="37" t="s">
        <v>2231</v>
      </c>
      <c r="C28" s="32" t="s">
        <v>52</v>
      </c>
      <c r="D28" s="32" t="s">
        <v>54</v>
      </c>
      <c r="E28" s="33" t="s">
        <v>35</v>
      </c>
      <c r="F28" s="72" t="s">
        <v>630</v>
      </c>
      <c r="G28" s="33">
        <v>1502000</v>
      </c>
      <c r="H28" s="72" t="s">
        <v>594</v>
      </c>
      <c r="I28" s="101" t="s">
        <v>595</v>
      </c>
      <c r="J28" s="72">
        <v>12</v>
      </c>
      <c r="K28" s="72" t="s">
        <v>41</v>
      </c>
      <c r="L28" s="88"/>
      <c r="M28" s="88"/>
      <c r="O28" s="97"/>
    </row>
    <row r="29" spans="1:15" s="7" customFormat="1" ht="12" customHeight="1">
      <c r="A29" s="37" t="s">
        <v>317</v>
      </c>
      <c r="B29" s="37" t="s">
        <v>2231</v>
      </c>
      <c r="C29" s="32" t="s">
        <v>52</v>
      </c>
      <c r="D29" s="32" t="s">
        <v>80</v>
      </c>
      <c r="E29" s="33" t="s">
        <v>35</v>
      </c>
      <c r="F29" s="72" t="s">
        <v>631</v>
      </c>
      <c r="G29" s="33">
        <v>1502000</v>
      </c>
      <c r="H29" s="72" t="s">
        <v>81</v>
      </c>
      <c r="I29" s="101" t="s">
        <v>82</v>
      </c>
      <c r="J29" s="72">
        <v>12</v>
      </c>
      <c r="K29" s="72" t="s">
        <v>41</v>
      </c>
      <c r="L29" s="88"/>
      <c r="M29" s="88"/>
      <c r="O29" s="97"/>
    </row>
    <row r="30" spans="1:15" s="7" customFormat="1" ht="12" customHeight="1">
      <c r="A30" s="37" t="s">
        <v>317</v>
      </c>
      <c r="B30" s="37" t="s">
        <v>2231</v>
      </c>
      <c r="C30" s="32" t="s">
        <v>52</v>
      </c>
      <c r="D30" s="32" t="s">
        <v>80</v>
      </c>
      <c r="E30" s="33" t="s">
        <v>35</v>
      </c>
      <c r="F30" s="72" t="s">
        <v>628</v>
      </c>
      <c r="G30" s="33">
        <v>1502000</v>
      </c>
      <c r="H30" s="72" t="s">
        <v>83</v>
      </c>
      <c r="I30" s="101" t="s">
        <v>84</v>
      </c>
      <c r="J30" s="72">
        <v>12</v>
      </c>
      <c r="K30" s="72" t="s">
        <v>41</v>
      </c>
      <c r="L30" s="88"/>
      <c r="M30" s="88"/>
      <c r="O30" s="97"/>
    </row>
    <row r="31" spans="1:15" s="7" customFormat="1" ht="12" customHeight="1">
      <c r="A31" s="37" t="s">
        <v>317</v>
      </c>
      <c r="B31" s="37" t="s">
        <v>2231</v>
      </c>
      <c r="C31" s="32" t="s">
        <v>52</v>
      </c>
      <c r="D31" s="32" t="s">
        <v>80</v>
      </c>
      <c r="E31" s="33" t="s">
        <v>35</v>
      </c>
      <c r="F31" s="72" t="s">
        <v>632</v>
      </c>
      <c r="G31" s="33">
        <v>1502000</v>
      </c>
      <c r="H31" s="72" t="s">
        <v>85</v>
      </c>
      <c r="I31" s="101" t="s">
        <v>86</v>
      </c>
      <c r="J31" s="72">
        <v>12</v>
      </c>
      <c r="K31" s="72" t="s">
        <v>41</v>
      </c>
      <c r="L31" s="88"/>
      <c r="M31" s="88"/>
      <c r="O31" s="97"/>
    </row>
    <row r="32" spans="1:15" s="7" customFormat="1" ht="12" customHeight="1">
      <c r="A32" s="37" t="s">
        <v>317</v>
      </c>
      <c r="B32" s="37" t="s">
        <v>2231</v>
      </c>
      <c r="C32" s="32" t="s">
        <v>52</v>
      </c>
      <c r="D32" s="32" t="s">
        <v>80</v>
      </c>
      <c r="E32" s="33" t="s">
        <v>35</v>
      </c>
      <c r="F32" s="72" t="s">
        <v>633</v>
      </c>
      <c r="G32" s="33">
        <v>1502000</v>
      </c>
      <c r="H32" s="72" t="s">
        <v>87</v>
      </c>
      <c r="I32" s="101" t="s">
        <v>77</v>
      </c>
      <c r="J32" s="72">
        <v>12</v>
      </c>
      <c r="K32" s="72" t="s">
        <v>41</v>
      </c>
      <c r="L32" s="88"/>
      <c r="M32" s="88"/>
      <c r="O32" s="97"/>
    </row>
    <row r="33" spans="1:15" s="7" customFormat="1" ht="12" customHeight="1">
      <c r="A33" s="37" t="s">
        <v>317</v>
      </c>
      <c r="B33" s="37" t="s">
        <v>2231</v>
      </c>
      <c r="C33" s="32" t="s">
        <v>52</v>
      </c>
      <c r="D33" s="32" t="s">
        <v>80</v>
      </c>
      <c r="E33" s="33" t="s">
        <v>35</v>
      </c>
      <c r="F33" s="72" t="s">
        <v>634</v>
      </c>
      <c r="G33" s="33">
        <v>1502000</v>
      </c>
      <c r="H33" s="72" t="s">
        <v>88</v>
      </c>
      <c r="I33" s="101" t="s">
        <v>79</v>
      </c>
      <c r="J33" s="72">
        <v>12</v>
      </c>
      <c r="K33" s="72" t="s">
        <v>41</v>
      </c>
      <c r="L33" s="88"/>
      <c r="M33" s="88"/>
      <c r="O33" s="97"/>
    </row>
    <row r="34" spans="1:15" s="7" customFormat="1" ht="12" customHeight="1">
      <c r="A34" s="37" t="s">
        <v>317</v>
      </c>
      <c r="B34" s="37" t="s">
        <v>2231</v>
      </c>
      <c r="C34" s="32" t="s">
        <v>52</v>
      </c>
      <c r="D34" s="32" t="s">
        <v>80</v>
      </c>
      <c r="E34" s="33" t="s">
        <v>35</v>
      </c>
      <c r="F34" s="72" t="s">
        <v>635</v>
      </c>
      <c r="G34" s="33">
        <v>1502000</v>
      </c>
      <c r="H34" s="72" t="s">
        <v>596</v>
      </c>
      <c r="I34" s="101" t="s">
        <v>595</v>
      </c>
      <c r="J34" s="72">
        <v>12</v>
      </c>
      <c r="K34" s="72" t="s">
        <v>41</v>
      </c>
      <c r="L34" s="88"/>
      <c r="M34" s="88"/>
    </row>
    <row r="35" spans="1:15" s="7" customFormat="1" ht="12" customHeight="1">
      <c r="A35" s="37" t="s">
        <v>317</v>
      </c>
      <c r="B35" s="37" t="s">
        <v>2231</v>
      </c>
      <c r="C35" s="32" t="s">
        <v>52</v>
      </c>
      <c r="D35" s="32" t="s">
        <v>89</v>
      </c>
      <c r="E35" s="33" t="s">
        <v>35</v>
      </c>
      <c r="F35" s="72" t="s">
        <v>636</v>
      </c>
      <c r="G35" s="33">
        <v>1502000</v>
      </c>
      <c r="H35" s="72" t="s">
        <v>2235</v>
      </c>
      <c r="I35" s="101" t="s">
        <v>2236</v>
      </c>
      <c r="J35" s="72">
        <v>12</v>
      </c>
      <c r="K35" s="72" t="s">
        <v>41</v>
      </c>
      <c r="L35" s="88"/>
      <c r="M35" s="88"/>
    </row>
    <row r="36" spans="1:15" s="7" customFormat="1" ht="12" customHeight="1">
      <c r="A36" s="37" t="s">
        <v>317</v>
      </c>
      <c r="B36" s="37" t="s">
        <v>2231</v>
      </c>
      <c r="C36" s="32" t="s">
        <v>52</v>
      </c>
      <c r="D36" s="32" t="s">
        <v>89</v>
      </c>
      <c r="E36" s="33" t="s">
        <v>35</v>
      </c>
      <c r="F36" s="72" t="s">
        <v>637</v>
      </c>
      <c r="G36" s="33">
        <v>1502000</v>
      </c>
      <c r="H36" s="72" t="s">
        <v>91</v>
      </c>
      <c r="I36" s="101" t="s">
        <v>92</v>
      </c>
      <c r="J36" s="72">
        <v>12</v>
      </c>
      <c r="K36" s="72" t="s">
        <v>41</v>
      </c>
      <c r="L36" s="88"/>
      <c r="M36" s="88"/>
    </row>
    <row r="37" spans="1:15" s="7" customFormat="1" ht="12" customHeight="1">
      <c r="A37" s="37" t="s">
        <v>317</v>
      </c>
      <c r="B37" s="37" t="s">
        <v>2231</v>
      </c>
      <c r="C37" s="32" t="s">
        <v>52</v>
      </c>
      <c r="D37" s="32" t="s">
        <v>89</v>
      </c>
      <c r="E37" s="33" t="s">
        <v>35</v>
      </c>
      <c r="F37" s="72" t="s">
        <v>638</v>
      </c>
      <c r="G37" s="33">
        <v>1502000</v>
      </c>
      <c r="H37" s="72" t="s">
        <v>93</v>
      </c>
      <c r="I37" s="101" t="s">
        <v>94</v>
      </c>
      <c r="J37" s="72">
        <v>12</v>
      </c>
      <c r="K37" s="72" t="s">
        <v>41</v>
      </c>
      <c r="L37" s="88"/>
      <c r="M37" s="88"/>
    </row>
    <row r="38" spans="1:15" s="21" customFormat="1" ht="12" customHeight="1">
      <c r="A38" s="37" t="s">
        <v>317</v>
      </c>
      <c r="B38" s="37" t="s">
        <v>2231</v>
      </c>
      <c r="C38" s="32" t="s">
        <v>52</v>
      </c>
      <c r="D38" s="32" t="s">
        <v>89</v>
      </c>
      <c r="E38" s="33" t="s">
        <v>35</v>
      </c>
      <c r="F38" s="72" t="s">
        <v>639</v>
      </c>
      <c r="G38" s="33">
        <v>1502000</v>
      </c>
      <c r="H38" s="72" t="s">
        <v>95</v>
      </c>
      <c r="I38" s="101" t="s">
        <v>96</v>
      </c>
      <c r="J38" s="72">
        <v>12</v>
      </c>
      <c r="K38" s="72" t="s">
        <v>41</v>
      </c>
      <c r="L38" s="88"/>
      <c r="M38" s="88"/>
    </row>
    <row r="39" spans="1:15" s="7" customFormat="1" ht="12" customHeight="1">
      <c r="A39" s="37" t="s">
        <v>317</v>
      </c>
      <c r="B39" s="37" t="s">
        <v>2231</v>
      </c>
      <c r="C39" s="32" t="s">
        <v>52</v>
      </c>
      <c r="D39" s="32" t="s">
        <v>89</v>
      </c>
      <c r="E39" s="33" t="s">
        <v>35</v>
      </c>
      <c r="F39" s="72" t="s">
        <v>640</v>
      </c>
      <c r="G39" s="33">
        <v>1502000</v>
      </c>
      <c r="H39" s="72" t="s">
        <v>97</v>
      </c>
      <c r="I39" s="101" t="s">
        <v>98</v>
      </c>
      <c r="J39" s="72">
        <v>12</v>
      </c>
      <c r="K39" s="72" t="s">
        <v>41</v>
      </c>
      <c r="L39" s="88"/>
      <c r="M39" s="88"/>
    </row>
    <row r="40" spans="1:15" s="7" customFormat="1" ht="12" customHeight="1">
      <c r="A40" s="37" t="s">
        <v>317</v>
      </c>
      <c r="B40" s="37" t="s">
        <v>2231</v>
      </c>
      <c r="C40" s="32" t="s">
        <v>52</v>
      </c>
      <c r="D40" s="32" t="s">
        <v>89</v>
      </c>
      <c r="E40" s="33" t="s">
        <v>35</v>
      </c>
      <c r="F40" s="72" t="s">
        <v>641</v>
      </c>
      <c r="G40" s="33">
        <v>1502000</v>
      </c>
      <c r="H40" s="72" t="s">
        <v>99</v>
      </c>
      <c r="I40" s="101" t="s">
        <v>100</v>
      </c>
      <c r="J40" s="72">
        <v>12</v>
      </c>
      <c r="K40" s="72" t="s">
        <v>41</v>
      </c>
      <c r="L40" s="88"/>
      <c r="M40" s="88"/>
    </row>
    <row r="41" spans="1:15" s="7" customFormat="1" ht="12" customHeight="1">
      <c r="A41" s="37" t="s">
        <v>317</v>
      </c>
      <c r="B41" s="37" t="s">
        <v>2231</v>
      </c>
      <c r="C41" s="32" t="s">
        <v>52</v>
      </c>
      <c r="D41" s="32" t="s">
        <v>89</v>
      </c>
      <c r="E41" s="33" t="s">
        <v>35</v>
      </c>
      <c r="F41" s="72" t="s">
        <v>642</v>
      </c>
      <c r="G41" s="33">
        <v>1502000</v>
      </c>
      <c r="H41" s="72" t="s">
        <v>101</v>
      </c>
      <c r="I41" s="101" t="s">
        <v>102</v>
      </c>
      <c r="J41" s="72">
        <v>12</v>
      </c>
      <c r="K41" s="72" t="s">
        <v>41</v>
      </c>
      <c r="L41" s="88"/>
      <c r="M41" s="88"/>
    </row>
    <row r="42" spans="1:15" s="7" customFormat="1" ht="12" customHeight="1">
      <c r="A42" s="37" t="s">
        <v>317</v>
      </c>
      <c r="B42" s="37" t="s">
        <v>2231</v>
      </c>
      <c r="C42" s="32" t="s">
        <v>52</v>
      </c>
      <c r="D42" s="32" t="s">
        <v>89</v>
      </c>
      <c r="E42" s="33" t="s">
        <v>35</v>
      </c>
      <c r="F42" s="72" t="s">
        <v>643</v>
      </c>
      <c r="G42" s="33">
        <v>1502000</v>
      </c>
      <c r="H42" s="72" t="s">
        <v>103</v>
      </c>
      <c r="I42" s="101" t="s">
        <v>104</v>
      </c>
      <c r="J42" s="72">
        <v>12</v>
      </c>
      <c r="K42" s="72" t="s">
        <v>41</v>
      </c>
      <c r="L42" s="88"/>
      <c r="M42" s="88"/>
    </row>
    <row r="43" spans="1:15" s="7" customFormat="1" ht="12" customHeight="1">
      <c r="A43" s="37" t="s">
        <v>317</v>
      </c>
      <c r="B43" s="37" t="s">
        <v>2231</v>
      </c>
      <c r="C43" s="32" t="s">
        <v>52</v>
      </c>
      <c r="D43" s="32" t="s">
        <v>105</v>
      </c>
      <c r="E43" s="33" t="s">
        <v>35</v>
      </c>
      <c r="F43" s="72" t="s">
        <v>644</v>
      </c>
      <c r="G43" s="33">
        <v>1503040</v>
      </c>
      <c r="H43" s="33">
        <v>3.1</v>
      </c>
      <c r="I43" s="101" t="s">
        <v>2</v>
      </c>
      <c r="J43" s="72">
        <v>12</v>
      </c>
      <c r="K43" s="72" t="s">
        <v>41</v>
      </c>
      <c r="L43" s="88"/>
      <c r="M43" s="88"/>
    </row>
    <row r="44" spans="1:15" s="7" customFormat="1" ht="12" customHeight="1">
      <c r="A44" s="37" t="s">
        <v>317</v>
      </c>
      <c r="B44" s="37" t="s">
        <v>2231</v>
      </c>
      <c r="C44" s="32" t="s">
        <v>52</v>
      </c>
      <c r="D44" s="32" t="s">
        <v>105</v>
      </c>
      <c r="E44" s="33" t="s">
        <v>35</v>
      </c>
      <c r="F44" s="72" t="s">
        <v>645</v>
      </c>
      <c r="G44" s="33">
        <v>1503040</v>
      </c>
      <c r="H44" s="33">
        <v>3.2</v>
      </c>
      <c r="I44" s="101" t="s">
        <v>106</v>
      </c>
      <c r="J44" s="72">
        <v>12</v>
      </c>
      <c r="K44" s="72" t="s">
        <v>41</v>
      </c>
      <c r="L44" s="88"/>
      <c r="M44" s="88"/>
    </row>
    <row r="45" spans="1:15" s="7" customFormat="1" ht="12" customHeight="1">
      <c r="A45" s="37" t="s">
        <v>317</v>
      </c>
      <c r="B45" s="37" t="s">
        <v>107</v>
      </c>
      <c r="C45" s="32" t="s">
        <v>52</v>
      </c>
      <c r="D45" s="32" t="s">
        <v>105</v>
      </c>
      <c r="E45" s="33" t="s">
        <v>35</v>
      </c>
      <c r="F45" s="72" t="s">
        <v>646</v>
      </c>
      <c r="G45" s="33">
        <v>1503040</v>
      </c>
      <c r="H45" s="33">
        <v>3.3</v>
      </c>
      <c r="I45" s="101" t="s">
        <v>328</v>
      </c>
      <c r="J45" s="72">
        <v>12</v>
      </c>
      <c r="K45" s="72" t="s">
        <v>41</v>
      </c>
      <c r="L45" s="88"/>
      <c r="M45" s="88"/>
    </row>
    <row r="46" spans="1:15" s="7" customFormat="1" ht="12" customHeight="1">
      <c r="A46" s="37" t="s">
        <v>317</v>
      </c>
      <c r="B46" s="37" t="s">
        <v>108</v>
      </c>
      <c r="C46" s="32" t="s">
        <v>109</v>
      </c>
      <c r="D46" s="32" t="s">
        <v>110</v>
      </c>
      <c r="E46" s="33" t="s">
        <v>35</v>
      </c>
      <c r="F46" s="72" t="s">
        <v>647</v>
      </c>
      <c r="G46" s="33">
        <v>1601000</v>
      </c>
      <c r="H46" s="33">
        <v>3.1</v>
      </c>
      <c r="I46" s="101" t="s">
        <v>110</v>
      </c>
      <c r="J46" s="72">
        <v>12</v>
      </c>
      <c r="K46" s="72" t="s">
        <v>41</v>
      </c>
      <c r="L46" s="88"/>
      <c r="M46" s="88"/>
    </row>
    <row r="47" spans="1:15" s="7" customFormat="1" ht="12" customHeight="1">
      <c r="A47" s="37" t="s">
        <v>317</v>
      </c>
      <c r="B47" s="37" t="s">
        <v>108</v>
      </c>
      <c r="C47" s="32" t="s">
        <v>109</v>
      </c>
      <c r="D47" s="32" t="s">
        <v>1</v>
      </c>
      <c r="E47" s="33" t="s">
        <v>35</v>
      </c>
      <c r="F47" s="72" t="s">
        <v>648</v>
      </c>
      <c r="G47" s="33">
        <v>1601000</v>
      </c>
      <c r="H47" s="33">
        <v>3.2</v>
      </c>
      <c r="I47" s="101" t="s">
        <v>7</v>
      </c>
      <c r="J47" s="72">
        <v>12</v>
      </c>
      <c r="K47" s="72" t="s">
        <v>41</v>
      </c>
      <c r="L47" s="88"/>
      <c r="M47" s="88"/>
    </row>
    <row r="48" spans="1:15" s="7" customFormat="1" ht="12" customHeight="1">
      <c r="A48" s="37" t="s">
        <v>317</v>
      </c>
      <c r="B48" s="37" t="s">
        <v>108</v>
      </c>
      <c r="C48" s="32" t="s">
        <v>109</v>
      </c>
      <c r="D48" s="32" t="s">
        <v>1</v>
      </c>
      <c r="E48" s="33" t="s">
        <v>35</v>
      </c>
      <c r="F48" s="72" t="s">
        <v>649</v>
      </c>
      <c r="G48" s="33">
        <v>1601000</v>
      </c>
      <c r="H48" s="33">
        <v>3.3</v>
      </c>
      <c r="I48" s="101" t="s">
        <v>112</v>
      </c>
      <c r="J48" s="72">
        <v>12</v>
      </c>
      <c r="K48" s="72" t="s">
        <v>41</v>
      </c>
      <c r="L48" s="88"/>
      <c r="M48" s="88"/>
    </row>
    <row r="49" spans="1:13" s="7" customFormat="1" ht="12" customHeight="1">
      <c r="A49" s="37" t="s">
        <v>317</v>
      </c>
      <c r="B49" s="37" t="s">
        <v>108</v>
      </c>
      <c r="C49" s="32" t="s">
        <v>109</v>
      </c>
      <c r="D49" s="32" t="s">
        <v>1</v>
      </c>
      <c r="E49" s="33" t="s">
        <v>35</v>
      </c>
      <c r="F49" s="72" t="s">
        <v>650</v>
      </c>
      <c r="G49" s="33">
        <v>1601000</v>
      </c>
      <c r="H49" s="33">
        <v>3.4</v>
      </c>
      <c r="I49" s="101" t="s">
        <v>46</v>
      </c>
      <c r="J49" s="72">
        <v>12</v>
      </c>
      <c r="K49" s="72" t="s">
        <v>41</v>
      </c>
      <c r="L49" s="88"/>
      <c r="M49" s="88"/>
    </row>
    <row r="50" spans="1:13" s="7" customFormat="1" ht="12" customHeight="1">
      <c r="A50" s="37" t="s">
        <v>317</v>
      </c>
      <c r="B50" s="37" t="s">
        <v>108</v>
      </c>
      <c r="C50" s="32" t="s">
        <v>113</v>
      </c>
      <c r="D50" s="32" t="s">
        <v>1</v>
      </c>
      <c r="E50" s="33" t="s">
        <v>35</v>
      </c>
      <c r="F50" s="72" t="s">
        <v>651</v>
      </c>
      <c r="G50" s="33">
        <v>1602000</v>
      </c>
      <c r="H50" s="33">
        <v>3.1</v>
      </c>
      <c r="I50" s="101" t="s">
        <v>114</v>
      </c>
      <c r="J50" s="72">
        <v>12</v>
      </c>
      <c r="K50" s="72" t="s">
        <v>41</v>
      </c>
      <c r="L50" s="88"/>
      <c r="M50" s="88"/>
    </row>
    <row r="51" spans="1:13" s="7" customFormat="1" ht="12" customHeight="1">
      <c r="A51" s="37" t="s">
        <v>317</v>
      </c>
      <c r="B51" s="37" t="s">
        <v>51</v>
      </c>
      <c r="C51" s="32" t="s">
        <v>113</v>
      </c>
      <c r="D51" s="32" t="s">
        <v>53</v>
      </c>
      <c r="E51" s="33" t="s">
        <v>35</v>
      </c>
      <c r="F51" s="72" t="s">
        <v>652</v>
      </c>
      <c r="G51" s="36">
        <v>1602000</v>
      </c>
      <c r="H51" s="33">
        <v>3.2</v>
      </c>
      <c r="I51" s="101" t="s">
        <v>591</v>
      </c>
      <c r="J51" s="72">
        <v>220</v>
      </c>
      <c r="K51" s="72" t="s">
        <v>38</v>
      </c>
      <c r="L51" s="88"/>
      <c r="M51" s="88"/>
    </row>
    <row r="52" spans="1:13" s="7" customFormat="1" ht="12" customHeight="1">
      <c r="A52" s="37" t="s">
        <v>317</v>
      </c>
      <c r="B52" s="37" t="s">
        <v>51</v>
      </c>
      <c r="C52" s="32" t="s">
        <v>113</v>
      </c>
      <c r="D52" s="32" t="s">
        <v>1</v>
      </c>
      <c r="E52" s="33" t="s">
        <v>35</v>
      </c>
      <c r="F52" s="72" t="s">
        <v>653</v>
      </c>
      <c r="G52" s="33">
        <v>1602000</v>
      </c>
      <c r="H52" s="33">
        <v>3.3</v>
      </c>
      <c r="I52" s="101" t="s">
        <v>106</v>
      </c>
      <c r="J52" s="72">
        <v>12</v>
      </c>
      <c r="K52" s="72" t="s">
        <v>41</v>
      </c>
      <c r="L52" s="88"/>
      <c r="M52" s="88"/>
    </row>
    <row r="53" spans="1:13" s="21" customFormat="1" ht="12" customHeight="1">
      <c r="A53" s="37" t="s">
        <v>317</v>
      </c>
      <c r="B53" s="37" t="s">
        <v>108</v>
      </c>
      <c r="C53" s="32" t="s">
        <v>113</v>
      </c>
      <c r="D53" s="32" t="s">
        <v>89</v>
      </c>
      <c r="E53" s="33" t="s">
        <v>35</v>
      </c>
      <c r="F53" s="72" t="s">
        <v>654</v>
      </c>
      <c r="G53" s="33">
        <v>1602000</v>
      </c>
      <c r="H53" s="33">
        <v>3.4</v>
      </c>
      <c r="I53" s="101" t="s">
        <v>117</v>
      </c>
      <c r="J53" s="72">
        <v>12</v>
      </c>
      <c r="K53" s="72" t="s">
        <v>41</v>
      </c>
      <c r="L53" s="88"/>
      <c r="M53" s="88"/>
    </row>
    <row r="54" spans="1:13" s="29" customFormat="1" ht="12" customHeight="1">
      <c r="A54" s="37" t="s">
        <v>317</v>
      </c>
      <c r="B54" s="37" t="s">
        <v>108</v>
      </c>
      <c r="C54" s="32" t="s">
        <v>113</v>
      </c>
      <c r="D54" s="32" t="s">
        <v>89</v>
      </c>
      <c r="E54" s="33" t="s">
        <v>35</v>
      </c>
      <c r="F54" s="72" t="s">
        <v>655</v>
      </c>
      <c r="G54" s="36">
        <v>1602000</v>
      </c>
      <c r="H54" s="36">
        <v>3.5</v>
      </c>
      <c r="I54" s="101" t="s">
        <v>118</v>
      </c>
      <c r="J54" s="72">
        <v>12</v>
      </c>
      <c r="K54" s="72" t="s">
        <v>41</v>
      </c>
      <c r="L54" s="88"/>
      <c r="M54" s="88"/>
    </row>
    <row r="55" spans="1:13" s="7" customFormat="1" ht="12" customHeight="1">
      <c r="A55" s="37" t="s">
        <v>317</v>
      </c>
      <c r="B55" s="37" t="s">
        <v>119</v>
      </c>
      <c r="C55" s="32" t="s">
        <v>120</v>
      </c>
      <c r="D55" s="32" t="s">
        <v>3</v>
      </c>
      <c r="E55" s="33" t="s">
        <v>35</v>
      </c>
      <c r="F55" s="72" t="s">
        <v>656</v>
      </c>
      <c r="G55" s="33">
        <v>1700000</v>
      </c>
      <c r="H55" s="33" t="s">
        <v>37</v>
      </c>
      <c r="I55" s="101" t="s">
        <v>121</v>
      </c>
      <c r="J55" s="92">
        <v>12</v>
      </c>
      <c r="K55" s="72" t="s">
        <v>41</v>
      </c>
      <c r="L55" s="88"/>
      <c r="M55" s="88"/>
    </row>
    <row r="56" spans="1:13" s="7" customFormat="1" ht="12" customHeight="1">
      <c r="A56" s="37" t="s">
        <v>317</v>
      </c>
      <c r="B56" s="37" t="s">
        <v>119</v>
      </c>
      <c r="C56" s="32" t="s">
        <v>120</v>
      </c>
      <c r="D56" s="32" t="s">
        <v>3</v>
      </c>
      <c r="E56" s="33" t="s">
        <v>35</v>
      </c>
      <c r="F56" s="72" t="s">
        <v>657</v>
      </c>
      <c r="G56" s="33">
        <v>1700000</v>
      </c>
      <c r="H56" s="33" t="s">
        <v>39</v>
      </c>
      <c r="I56" s="101" t="s">
        <v>122</v>
      </c>
      <c r="J56" s="92">
        <v>12</v>
      </c>
      <c r="K56" s="72" t="s">
        <v>41</v>
      </c>
      <c r="L56" s="88"/>
      <c r="M56" s="88"/>
    </row>
    <row r="57" spans="1:13" s="7" customFormat="1" ht="12" customHeight="1">
      <c r="A57" s="37" t="s">
        <v>317</v>
      </c>
      <c r="B57" s="37" t="s">
        <v>119</v>
      </c>
      <c r="C57" s="32" t="s">
        <v>120</v>
      </c>
      <c r="D57" s="32" t="s">
        <v>9</v>
      </c>
      <c r="E57" s="33" t="s">
        <v>35</v>
      </c>
      <c r="F57" s="72" t="s">
        <v>658</v>
      </c>
      <c r="G57" s="33">
        <v>1700000</v>
      </c>
      <c r="H57" s="33" t="s">
        <v>115</v>
      </c>
      <c r="I57" s="101" t="s">
        <v>123</v>
      </c>
      <c r="J57" s="92">
        <v>12</v>
      </c>
      <c r="K57" s="72" t="s">
        <v>41</v>
      </c>
      <c r="L57" s="88"/>
      <c r="M57" s="88"/>
    </row>
    <row r="58" spans="1:13" s="7" customFormat="1" ht="12" customHeight="1">
      <c r="A58" s="37" t="s">
        <v>317</v>
      </c>
      <c r="B58" s="37" t="s">
        <v>119</v>
      </c>
      <c r="C58" s="32" t="s">
        <v>120</v>
      </c>
      <c r="D58" s="32" t="s">
        <v>9</v>
      </c>
      <c r="E58" s="33" t="s">
        <v>35</v>
      </c>
      <c r="F58" s="72" t="s">
        <v>659</v>
      </c>
      <c r="G58" s="33">
        <v>1700000</v>
      </c>
      <c r="H58" s="33" t="s">
        <v>116</v>
      </c>
      <c r="I58" s="101" t="s">
        <v>2195</v>
      </c>
      <c r="J58" s="92">
        <v>12</v>
      </c>
      <c r="K58" s="72" t="s">
        <v>41</v>
      </c>
      <c r="L58" s="88"/>
      <c r="M58" s="88"/>
    </row>
    <row r="59" spans="1:13" s="7" customFormat="1" ht="12" customHeight="1">
      <c r="A59" s="37" t="s">
        <v>317</v>
      </c>
      <c r="B59" s="37" t="s">
        <v>119</v>
      </c>
      <c r="C59" s="32" t="s">
        <v>120</v>
      </c>
      <c r="D59" s="32" t="s">
        <v>124</v>
      </c>
      <c r="E59" s="33" t="s">
        <v>35</v>
      </c>
      <c r="F59" s="72" t="s">
        <v>660</v>
      </c>
      <c r="G59" s="38">
        <v>1700000</v>
      </c>
      <c r="H59" s="33" t="s">
        <v>125</v>
      </c>
      <c r="I59" s="101" t="s">
        <v>126</v>
      </c>
      <c r="J59" s="92">
        <v>12</v>
      </c>
      <c r="K59" s="72" t="s">
        <v>41</v>
      </c>
      <c r="L59" s="88"/>
      <c r="M59" s="88"/>
    </row>
    <row r="60" spans="1:13" s="7" customFormat="1" ht="12" customHeight="1">
      <c r="A60" s="37" t="s">
        <v>317</v>
      </c>
      <c r="B60" s="37" t="s">
        <v>119</v>
      </c>
      <c r="C60" s="32" t="s">
        <v>120</v>
      </c>
      <c r="D60" s="32" t="s">
        <v>127</v>
      </c>
      <c r="E60" s="33" t="s">
        <v>35</v>
      </c>
      <c r="F60" s="72" t="s">
        <v>661</v>
      </c>
      <c r="G60" s="38">
        <v>1700000</v>
      </c>
      <c r="H60" s="33" t="s">
        <v>128</v>
      </c>
      <c r="I60" s="101" t="s">
        <v>129</v>
      </c>
      <c r="J60" s="92">
        <v>12</v>
      </c>
      <c r="K60" s="72" t="s">
        <v>41</v>
      </c>
      <c r="L60" s="88"/>
      <c r="M60" s="88"/>
    </row>
    <row r="61" spans="1:13" s="7" customFormat="1" ht="12" customHeight="1">
      <c r="A61" s="37" t="s">
        <v>317</v>
      </c>
      <c r="B61" s="37" t="s">
        <v>119</v>
      </c>
      <c r="C61" s="32" t="s">
        <v>120</v>
      </c>
      <c r="D61" s="32" t="s">
        <v>127</v>
      </c>
      <c r="E61" s="33" t="s">
        <v>35</v>
      </c>
      <c r="F61" s="72" t="s">
        <v>662</v>
      </c>
      <c r="G61" s="38">
        <v>1700000</v>
      </c>
      <c r="H61" s="33" t="s">
        <v>130</v>
      </c>
      <c r="I61" s="101" t="s">
        <v>131</v>
      </c>
      <c r="J61" s="92">
        <v>12</v>
      </c>
      <c r="K61" s="72" t="s">
        <v>41</v>
      </c>
      <c r="L61" s="88"/>
      <c r="M61" s="88"/>
    </row>
    <row r="62" spans="1:13" s="7" customFormat="1" ht="12" customHeight="1">
      <c r="A62" s="37" t="s">
        <v>317</v>
      </c>
      <c r="B62" s="37" t="s">
        <v>119</v>
      </c>
      <c r="C62" s="32" t="s">
        <v>120</v>
      </c>
      <c r="D62" s="32" t="s">
        <v>127</v>
      </c>
      <c r="E62" s="33" t="s">
        <v>35</v>
      </c>
      <c r="F62" s="72" t="s">
        <v>663</v>
      </c>
      <c r="G62" s="38" t="s">
        <v>132</v>
      </c>
      <c r="H62" s="33" t="s">
        <v>133</v>
      </c>
      <c r="I62" s="101" t="s">
        <v>134</v>
      </c>
      <c r="J62" s="92">
        <v>12</v>
      </c>
      <c r="K62" s="72" t="s">
        <v>41</v>
      </c>
      <c r="L62" s="88"/>
      <c r="M62" s="88"/>
    </row>
    <row r="63" spans="1:13" s="7" customFormat="1" ht="12" customHeight="1">
      <c r="A63" s="37" t="s">
        <v>317</v>
      </c>
      <c r="B63" s="37" t="s">
        <v>119</v>
      </c>
      <c r="C63" s="32" t="s">
        <v>120</v>
      </c>
      <c r="D63" s="32" t="s">
        <v>127</v>
      </c>
      <c r="E63" s="33" t="s">
        <v>35</v>
      </c>
      <c r="F63" s="72" t="s">
        <v>664</v>
      </c>
      <c r="G63" s="38">
        <v>1700000</v>
      </c>
      <c r="H63" s="33" t="s">
        <v>135</v>
      </c>
      <c r="I63" s="101" t="s">
        <v>136</v>
      </c>
      <c r="J63" s="92">
        <v>150</v>
      </c>
      <c r="K63" s="72" t="s">
        <v>38</v>
      </c>
      <c r="L63" s="88"/>
      <c r="M63" s="88"/>
    </row>
    <row r="64" spans="1:13" s="7" customFormat="1" ht="12" customHeight="1">
      <c r="A64" s="37" t="s">
        <v>317</v>
      </c>
      <c r="B64" s="37" t="s">
        <v>119</v>
      </c>
      <c r="C64" s="32" t="s">
        <v>120</v>
      </c>
      <c r="D64" s="32" t="s">
        <v>127</v>
      </c>
      <c r="E64" s="33" t="s">
        <v>35</v>
      </c>
      <c r="F64" s="72" t="s">
        <v>665</v>
      </c>
      <c r="G64" s="38">
        <v>1700000</v>
      </c>
      <c r="H64" s="33" t="s">
        <v>57</v>
      </c>
      <c r="I64" s="101" t="s">
        <v>137</v>
      </c>
      <c r="J64" s="92">
        <v>12</v>
      </c>
      <c r="K64" s="72" t="s">
        <v>41</v>
      </c>
      <c r="L64" s="88"/>
      <c r="M64" s="88"/>
    </row>
    <row r="65" spans="1:14" s="7" customFormat="1" ht="12" customHeight="1">
      <c r="A65" s="37" t="s">
        <v>317</v>
      </c>
      <c r="B65" s="37" t="s">
        <v>140</v>
      </c>
      <c r="C65" s="32" t="s">
        <v>138</v>
      </c>
      <c r="D65" s="32" t="s">
        <v>1</v>
      </c>
      <c r="E65" s="33" t="s">
        <v>35</v>
      </c>
      <c r="F65" s="72" t="s">
        <v>666</v>
      </c>
      <c r="G65" s="38" t="s">
        <v>139</v>
      </c>
      <c r="H65" s="33">
        <v>3.1</v>
      </c>
      <c r="I65" s="101" t="s">
        <v>11</v>
      </c>
      <c r="J65" s="92">
        <v>12</v>
      </c>
      <c r="K65" s="72" t="s">
        <v>41</v>
      </c>
      <c r="L65" s="88"/>
      <c r="M65" s="88"/>
      <c r="N65" s="108"/>
    </row>
    <row r="66" spans="1:14" s="7" customFormat="1" ht="12" customHeight="1">
      <c r="A66" s="37" t="s">
        <v>317</v>
      </c>
      <c r="B66" s="37" t="s">
        <v>140</v>
      </c>
      <c r="C66" s="32" t="s">
        <v>138</v>
      </c>
      <c r="D66" s="32" t="s">
        <v>1</v>
      </c>
      <c r="E66" s="33" t="s">
        <v>35</v>
      </c>
      <c r="F66" s="72" t="s">
        <v>667</v>
      </c>
      <c r="G66" s="38" t="s">
        <v>139</v>
      </c>
      <c r="H66" s="33">
        <v>3.2</v>
      </c>
      <c r="I66" s="101" t="s">
        <v>12</v>
      </c>
      <c r="J66" s="92">
        <v>12</v>
      </c>
      <c r="K66" s="72" t="s">
        <v>41</v>
      </c>
      <c r="L66" s="88"/>
      <c r="M66" s="88"/>
      <c r="N66" s="108"/>
    </row>
    <row r="67" spans="1:14" s="7" customFormat="1" ht="12" customHeight="1">
      <c r="A67" s="37" t="s">
        <v>317</v>
      </c>
      <c r="B67" s="37" t="s">
        <v>140</v>
      </c>
      <c r="C67" s="32" t="s">
        <v>138</v>
      </c>
      <c r="D67" s="32" t="s">
        <v>1</v>
      </c>
      <c r="E67" s="33" t="s">
        <v>35</v>
      </c>
      <c r="F67" s="72" t="s">
        <v>668</v>
      </c>
      <c r="G67" s="38" t="s">
        <v>139</v>
      </c>
      <c r="H67" s="33">
        <v>3.3</v>
      </c>
      <c r="I67" s="101" t="s">
        <v>13</v>
      </c>
      <c r="J67" s="92">
        <v>12</v>
      </c>
      <c r="K67" s="72" t="s">
        <v>41</v>
      </c>
      <c r="L67" s="88"/>
      <c r="M67" s="88"/>
      <c r="N67" s="108"/>
    </row>
    <row r="68" spans="1:14" s="7" customFormat="1" ht="12" customHeight="1">
      <c r="A68" s="37" t="s">
        <v>317</v>
      </c>
      <c r="B68" s="31" t="s">
        <v>2230</v>
      </c>
      <c r="C68" s="32" t="s">
        <v>52</v>
      </c>
      <c r="D68" s="32" t="s">
        <v>53</v>
      </c>
      <c r="E68" s="33" t="s">
        <v>35</v>
      </c>
      <c r="F68" s="72" t="s">
        <v>669</v>
      </c>
      <c r="G68" s="38">
        <v>1502000</v>
      </c>
      <c r="H68" s="72">
        <v>3.1</v>
      </c>
      <c r="I68" s="101" t="s">
        <v>591</v>
      </c>
      <c r="J68" s="72">
        <v>1350</v>
      </c>
      <c r="K68" s="72" t="s">
        <v>38</v>
      </c>
      <c r="L68" s="88"/>
      <c r="M68" s="88"/>
    </row>
    <row r="69" spans="1:14" s="29" customFormat="1" ht="12" customHeight="1">
      <c r="A69" s="37" t="s">
        <v>317</v>
      </c>
      <c r="B69" s="31" t="s">
        <v>2230</v>
      </c>
      <c r="C69" s="32" t="s">
        <v>52</v>
      </c>
      <c r="D69" s="32" t="s">
        <v>54</v>
      </c>
      <c r="E69" s="33" t="s">
        <v>35</v>
      </c>
      <c r="F69" s="72" t="s">
        <v>670</v>
      </c>
      <c r="G69" s="38">
        <v>1502000</v>
      </c>
      <c r="H69" s="72" t="s">
        <v>59</v>
      </c>
      <c r="I69" s="101" t="s">
        <v>60</v>
      </c>
      <c r="J69" s="72">
        <v>12</v>
      </c>
      <c r="K69" s="72" t="s">
        <v>41</v>
      </c>
      <c r="L69" s="88"/>
      <c r="M69" s="88"/>
    </row>
    <row r="70" spans="1:14" s="7" customFormat="1" ht="12" customHeight="1">
      <c r="A70" s="37" t="s">
        <v>317</v>
      </c>
      <c r="B70" s="31" t="s">
        <v>2230</v>
      </c>
      <c r="C70" s="31" t="s">
        <v>52</v>
      </c>
      <c r="D70" s="32" t="s">
        <v>54</v>
      </c>
      <c r="E70" s="33" t="s">
        <v>35</v>
      </c>
      <c r="F70" s="72" t="s">
        <v>671</v>
      </c>
      <c r="G70" s="38">
        <v>1502000</v>
      </c>
      <c r="H70" s="72" t="s">
        <v>65</v>
      </c>
      <c r="I70" s="101" t="s">
        <v>66</v>
      </c>
      <c r="J70" s="72">
        <v>12</v>
      </c>
      <c r="K70" s="72" t="s">
        <v>41</v>
      </c>
      <c r="L70" s="88"/>
      <c r="M70" s="88"/>
    </row>
    <row r="71" spans="1:14" s="21" customFormat="1" ht="12" customHeight="1">
      <c r="A71" s="37" t="s">
        <v>317</v>
      </c>
      <c r="B71" s="31" t="s">
        <v>2230</v>
      </c>
      <c r="C71" s="32" t="s">
        <v>52</v>
      </c>
      <c r="D71" s="32" t="s">
        <v>54</v>
      </c>
      <c r="E71" s="33" t="s">
        <v>35</v>
      </c>
      <c r="F71" s="72" t="s">
        <v>672</v>
      </c>
      <c r="G71" s="38">
        <v>1502000</v>
      </c>
      <c r="H71" s="72" t="s">
        <v>71</v>
      </c>
      <c r="I71" s="101" t="s">
        <v>72</v>
      </c>
      <c r="J71" s="72">
        <v>12</v>
      </c>
      <c r="K71" s="72" t="s">
        <v>41</v>
      </c>
      <c r="L71" s="88"/>
      <c r="M71" s="88"/>
    </row>
    <row r="72" spans="1:14" s="7" customFormat="1" ht="12" customHeight="1">
      <c r="A72" s="37" t="s">
        <v>317</v>
      </c>
      <c r="B72" s="31" t="s">
        <v>2230</v>
      </c>
      <c r="C72" s="32" t="s">
        <v>52</v>
      </c>
      <c r="D72" s="32" t="s">
        <v>80</v>
      </c>
      <c r="E72" s="33" t="s">
        <v>35</v>
      </c>
      <c r="F72" s="72" t="s">
        <v>673</v>
      </c>
      <c r="G72" s="38">
        <v>1502000</v>
      </c>
      <c r="H72" s="72" t="s">
        <v>81</v>
      </c>
      <c r="I72" s="101" t="s">
        <v>82</v>
      </c>
      <c r="J72" s="72">
        <v>12</v>
      </c>
      <c r="K72" s="72" t="s">
        <v>41</v>
      </c>
      <c r="L72" s="88"/>
      <c r="M72" s="88"/>
    </row>
    <row r="73" spans="1:14" s="7" customFormat="1" ht="12" customHeight="1">
      <c r="A73" s="37" t="s">
        <v>317</v>
      </c>
      <c r="B73" s="31" t="s">
        <v>2230</v>
      </c>
      <c r="C73" s="32" t="s">
        <v>52</v>
      </c>
      <c r="D73" s="32" t="s">
        <v>80</v>
      </c>
      <c r="E73" s="33" t="s">
        <v>35</v>
      </c>
      <c r="F73" s="72" t="s">
        <v>674</v>
      </c>
      <c r="G73" s="38">
        <v>1502000</v>
      </c>
      <c r="H73" s="72" t="s">
        <v>83</v>
      </c>
      <c r="I73" s="101" t="s">
        <v>84</v>
      </c>
      <c r="J73" s="72">
        <v>12</v>
      </c>
      <c r="K73" s="72" t="s">
        <v>41</v>
      </c>
      <c r="L73" s="88"/>
      <c r="M73" s="88"/>
    </row>
    <row r="74" spans="1:14" s="29" customFormat="1" ht="12" customHeight="1">
      <c r="A74" s="37" t="s">
        <v>317</v>
      </c>
      <c r="B74" s="31" t="s">
        <v>2230</v>
      </c>
      <c r="C74" s="32" t="s">
        <v>52</v>
      </c>
      <c r="D74" s="32" t="s">
        <v>89</v>
      </c>
      <c r="E74" s="33" t="s">
        <v>35</v>
      </c>
      <c r="F74" s="72" t="s">
        <v>675</v>
      </c>
      <c r="G74" s="38">
        <v>1502000</v>
      </c>
      <c r="H74" s="72" t="s">
        <v>2235</v>
      </c>
      <c r="I74" s="101" t="s">
        <v>2236</v>
      </c>
      <c r="J74" s="72">
        <v>12</v>
      </c>
      <c r="K74" s="72" t="s">
        <v>41</v>
      </c>
      <c r="L74" s="88"/>
      <c r="M74" s="88"/>
    </row>
    <row r="75" spans="1:14" s="29" customFormat="1" ht="12" customHeight="1">
      <c r="A75" s="37" t="s">
        <v>317</v>
      </c>
      <c r="B75" s="31" t="s">
        <v>2230</v>
      </c>
      <c r="C75" s="32" t="s">
        <v>52</v>
      </c>
      <c r="D75" s="32" t="s">
        <v>89</v>
      </c>
      <c r="E75" s="33" t="s">
        <v>35</v>
      </c>
      <c r="F75" s="72" t="s">
        <v>676</v>
      </c>
      <c r="G75" s="38">
        <v>1502000</v>
      </c>
      <c r="H75" s="72" t="s">
        <v>91</v>
      </c>
      <c r="I75" s="101" t="s">
        <v>92</v>
      </c>
      <c r="J75" s="72">
        <v>12</v>
      </c>
      <c r="K75" s="72" t="s">
        <v>41</v>
      </c>
      <c r="L75" s="88"/>
      <c r="M75" s="88"/>
    </row>
    <row r="76" spans="1:14" s="21" customFormat="1" ht="12" customHeight="1">
      <c r="A76" s="37" t="s">
        <v>317</v>
      </c>
      <c r="B76" s="31" t="s">
        <v>2230</v>
      </c>
      <c r="C76" s="32" t="s">
        <v>52</v>
      </c>
      <c r="D76" s="32" t="s">
        <v>89</v>
      </c>
      <c r="E76" s="33" t="s">
        <v>35</v>
      </c>
      <c r="F76" s="72" t="s">
        <v>677</v>
      </c>
      <c r="G76" s="38">
        <v>1502000</v>
      </c>
      <c r="H76" s="72" t="s">
        <v>99</v>
      </c>
      <c r="I76" s="101" t="s">
        <v>100</v>
      </c>
      <c r="J76" s="72">
        <v>12</v>
      </c>
      <c r="K76" s="72" t="s">
        <v>41</v>
      </c>
      <c r="L76" s="88"/>
      <c r="M76" s="88"/>
    </row>
    <row r="77" spans="1:14" s="21" customFormat="1" ht="12" customHeight="1">
      <c r="A77" s="37" t="s">
        <v>317</v>
      </c>
      <c r="B77" s="31" t="s">
        <v>2230</v>
      </c>
      <c r="C77" s="32" t="s">
        <v>52</v>
      </c>
      <c r="D77" s="32" t="s">
        <v>89</v>
      </c>
      <c r="E77" s="33" t="s">
        <v>35</v>
      </c>
      <c r="F77" s="72" t="s">
        <v>678</v>
      </c>
      <c r="G77" s="38">
        <v>1502000</v>
      </c>
      <c r="H77" s="72" t="s">
        <v>101</v>
      </c>
      <c r="I77" s="101" t="s">
        <v>102</v>
      </c>
      <c r="J77" s="72">
        <v>12</v>
      </c>
      <c r="K77" s="72" t="s">
        <v>41</v>
      </c>
      <c r="L77" s="88"/>
      <c r="M77" s="88"/>
    </row>
    <row r="78" spans="1:14" s="7" customFormat="1" ht="12" customHeight="1">
      <c r="A78" s="37" t="s">
        <v>317</v>
      </c>
      <c r="B78" s="31" t="s">
        <v>2230</v>
      </c>
      <c r="C78" s="32" t="s">
        <v>52</v>
      </c>
      <c r="D78" s="32" t="s">
        <v>89</v>
      </c>
      <c r="E78" s="33" t="s">
        <v>35</v>
      </c>
      <c r="F78" s="72" t="s">
        <v>679</v>
      </c>
      <c r="G78" s="38">
        <v>1502000</v>
      </c>
      <c r="H78" s="72" t="s">
        <v>152</v>
      </c>
      <c r="I78" s="101" t="s">
        <v>153</v>
      </c>
      <c r="J78" s="72">
        <v>50</v>
      </c>
      <c r="K78" s="72" t="s">
        <v>38</v>
      </c>
      <c r="L78" s="88"/>
      <c r="M78" s="88"/>
    </row>
    <row r="79" spans="1:14" s="7" customFormat="1" ht="12" customHeight="1">
      <c r="A79" s="37" t="s">
        <v>317</v>
      </c>
      <c r="B79" s="31" t="s">
        <v>2230</v>
      </c>
      <c r="C79" s="32" t="s">
        <v>52</v>
      </c>
      <c r="D79" s="32" t="s">
        <v>89</v>
      </c>
      <c r="E79" s="33" t="s">
        <v>35</v>
      </c>
      <c r="F79" s="72" t="s">
        <v>680</v>
      </c>
      <c r="G79" s="38">
        <v>1502000</v>
      </c>
      <c r="H79" s="72" t="s">
        <v>155</v>
      </c>
      <c r="I79" s="101" t="s">
        <v>156</v>
      </c>
      <c r="J79" s="72">
        <v>12</v>
      </c>
      <c r="K79" s="72" t="s">
        <v>41</v>
      </c>
      <c r="L79" s="88"/>
      <c r="M79" s="88"/>
    </row>
    <row r="80" spans="1:14" s="7" customFormat="1" ht="12" customHeight="1">
      <c r="A80" s="37" t="s">
        <v>317</v>
      </c>
      <c r="B80" s="37" t="s">
        <v>323</v>
      </c>
      <c r="C80" s="31" t="s">
        <v>157</v>
      </c>
      <c r="D80" s="32" t="s">
        <v>54</v>
      </c>
      <c r="E80" s="33" t="s">
        <v>35</v>
      </c>
      <c r="F80" s="72" t="s">
        <v>681</v>
      </c>
      <c r="G80" s="38">
        <v>1502000</v>
      </c>
      <c r="H80" s="72" t="s">
        <v>71</v>
      </c>
      <c r="I80" s="101" t="s">
        <v>72</v>
      </c>
      <c r="J80" s="72">
        <v>12</v>
      </c>
      <c r="K80" s="72" t="s">
        <v>41</v>
      </c>
      <c r="L80" s="88"/>
      <c r="M80" s="88"/>
    </row>
    <row r="81" spans="1:13" s="7" customFormat="1" ht="12" customHeight="1">
      <c r="A81" s="37" t="s">
        <v>317</v>
      </c>
      <c r="B81" s="37" t="s">
        <v>323</v>
      </c>
      <c r="C81" s="31" t="s">
        <v>52</v>
      </c>
      <c r="D81" s="32" t="s">
        <v>54</v>
      </c>
      <c r="E81" s="33" t="s">
        <v>35</v>
      </c>
      <c r="F81" s="72" t="s">
        <v>682</v>
      </c>
      <c r="G81" s="38">
        <v>1502000</v>
      </c>
      <c r="H81" s="72" t="s">
        <v>65</v>
      </c>
      <c r="I81" s="101" t="s">
        <v>66</v>
      </c>
      <c r="J81" s="72">
        <v>12</v>
      </c>
      <c r="K81" s="72" t="s">
        <v>41</v>
      </c>
      <c r="L81" s="88"/>
      <c r="M81" s="88"/>
    </row>
    <row r="82" spans="1:13" s="7" customFormat="1" ht="12" customHeight="1">
      <c r="A82" s="37" t="s">
        <v>317</v>
      </c>
      <c r="B82" s="31" t="s">
        <v>2232</v>
      </c>
      <c r="C82" s="31" t="s">
        <v>52</v>
      </c>
      <c r="D82" s="32" t="s">
        <v>54</v>
      </c>
      <c r="E82" s="33" t="s">
        <v>35</v>
      </c>
      <c r="F82" s="72" t="s">
        <v>683</v>
      </c>
      <c r="G82" s="38">
        <v>1502000</v>
      </c>
      <c r="H82" s="72" t="s">
        <v>63</v>
      </c>
      <c r="I82" s="101" t="s">
        <v>64</v>
      </c>
      <c r="J82" s="72">
        <v>12</v>
      </c>
      <c r="K82" s="72" t="s">
        <v>41</v>
      </c>
      <c r="L82" s="88"/>
      <c r="M82" s="88"/>
    </row>
    <row r="83" spans="1:13" s="7" customFormat="1" ht="12" customHeight="1">
      <c r="A83" s="37" t="s">
        <v>317</v>
      </c>
      <c r="B83" s="31" t="s">
        <v>2232</v>
      </c>
      <c r="C83" s="31" t="s">
        <v>52</v>
      </c>
      <c r="D83" s="32" t="s">
        <v>54</v>
      </c>
      <c r="E83" s="33" t="s">
        <v>35</v>
      </c>
      <c r="F83" s="72" t="s">
        <v>903</v>
      </c>
      <c r="G83" s="38">
        <v>1502000</v>
      </c>
      <c r="H83" s="72" t="s">
        <v>65</v>
      </c>
      <c r="I83" s="101" t="s">
        <v>66</v>
      </c>
      <c r="J83" s="72">
        <v>12</v>
      </c>
      <c r="K83" s="72" t="s">
        <v>41</v>
      </c>
      <c r="L83" s="88"/>
      <c r="M83" s="88"/>
    </row>
    <row r="84" spans="1:13" s="7" customFormat="1" ht="12" customHeight="1">
      <c r="A84" s="37" t="s">
        <v>317</v>
      </c>
      <c r="B84" s="31" t="s">
        <v>2232</v>
      </c>
      <c r="C84" s="31" t="s">
        <v>52</v>
      </c>
      <c r="D84" s="32" t="s">
        <v>54</v>
      </c>
      <c r="E84" s="33" t="s">
        <v>35</v>
      </c>
      <c r="F84" s="72" t="s">
        <v>2233</v>
      </c>
      <c r="G84" s="38">
        <v>1502000</v>
      </c>
      <c r="H84" s="72" t="s">
        <v>71</v>
      </c>
      <c r="I84" s="101" t="s">
        <v>72</v>
      </c>
      <c r="J84" s="72">
        <v>12</v>
      </c>
      <c r="K84" s="72" t="s">
        <v>41</v>
      </c>
      <c r="L84" s="88"/>
      <c r="M84" s="88"/>
    </row>
    <row r="85" spans="1:13" s="7" customFormat="1" ht="12" customHeight="1">
      <c r="A85" s="37" t="s">
        <v>317</v>
      </c>
      <c r="B85" s="31" t="s">
        <v>2232</v>
      </c>
      <c r="C85" s="31" t="s">
        <v>52</v>
      </c>
      <c r="D85" s="32" t="s">
        <v>80</v>
      </c>
      <c r="E85" s="33" t="s">
        <v>35</v>
      </c>
      <c r="F85" s="72" t="s">
        <v>2234</v>
      </c>
      <c r="G85" s="38">
        <v>1502000</v>
      </c>
      <c r="H85" s="33" t="s">
        <v>81</v>
      </c>
      <c r="I85" s="101" t="s">
        <v>82</v>
      </c>
      <c r="J85" s="33">
        <v>12</v>
      </c>
      <c r="K85" s="33" t="s">
        <v>41</v>
      </c>
      <c r="L85" s="34"/>
      <c r="M85" s="34"/>
    </row>
    <row r="86" spans="1:13" s="7" customFormat="1" ht="12" customHeight="1">
      <c r="A86" s="31" t="s">
        <v>160</v>
      </c>
      <c r="B86" s="31" t="s">
        <v>160</v>
      </c>
      <c r="C86" s="32" t="s">
        <v>120</v>
      </c>
      <c r="D86" s="32" t="s">
        <v>10</v>
      </c>
      <c r="E86" s="33" t="s">
        <v>44</v>
      </c>
      <c r="F86" s="72" t="s">
        <v>45</v>
      </c>
      <c r="G86" s="38">
        <v>1700000</v>
      </c>
      <c r="H86" s="33" t="s">
        <v>128</v>
      </c>
      <c r="I86" s="103" t="s">
        <v>129</v>
      </c>
      <c r="J86" s="92">
        <v>12</v>
      </c>
      <c r="K86" s="72" t="s">
        <v>41</v>
      </c>
      <c r="L86" s="88"/>
      <c r="M86" s="88"/>
    </row>
    <row r="87" spans="1:13" s="7" customFormat="1" ht="12" customHeight="1">
      <c r="A87" s="31" t="s">
        <v>160</v>
      </c>
      <c r="B87" s="31" t="s">
        <v>160</v>
      </c>
      <c r="C87" s="32" t="s">
        <v>120</v>
      </c>
      <c r="D87" s="32" t="s">
        <v>10</v>
      </c>
      <c r="E87" s="33" t="s">
        <v>44</v>
      </c>
      <c r="F87" s="72" t="s">
        <v>47</v>
      </c>
      <c r="G87" s="38">
        <v>1700000</v>
      </c>
      <c r="H87" s="33" t="s">
        <v>133</v>
      </c>
      <c r="I87" s="103" t="s">
        <v>134</v>
      </c>
      <c r="J87" s="92">
        <v>12</v>
      </c>
      <c r="K87" s="72" t="s">
        <v>41</v>
      </c>
      <c r="L87" s="88"/>
      <c r="M87" s="88"/>
    </row>
    <row r="88" spans="1:13" s="7" customFormat="1" ht="12" customHeight="1">
      <c r="A88" s="31" t="s">
        <v>160</v>
      </c>
      <c r="B88" s="31" t="s">
        <v>160</v>
      </c>
      <c r="C88" s="32" t="s">
        <v>138</v>
      </c>
      <c r="D88" s="32" t="s">
        <v>1</v>
      </c>
      <c r="E88" s="33" t="s">
        <v>44</v>
      </c>
      <c r="F88" s="72" t="s">
        <v>49</v>
      </c>
      <c r="G88" s="38" t="s">
        <v>139</v>
      </c>
      <c r="H88" s="33">
        <v>3.2</v>
      </c>
      <c r="I88" s="103" t="s">
        <v>12</v>
      </c>
      <c r="J88" s="92">
        <v>12</v>
      </c>
      <c r="K88" s="72" t="s">
        <v>41</v>
      </c>
      <c r="L88" s="88"/>
      <c r="M88" s="88"/>
    </row>
    <row r="89" spans="1:13" s="7" customFormat="1" ht="12" customHeight="1">
      <c r="A89" s="31" t="s">
        <v>165</v>
      </c>
      <c r="B89" s="31" t="s">
        <v>165</v>
      </c>
      <c r="C89" s="31" t="s">
        <v>43</v>
      </c>
      <c r="D89" s="75" t="s">
        <v>1</v>
      </c>
      <c r="E89" s="33" t="s">
        <v>141</v>
      </c>
      <c r="F89" s="72" t="s">
        <v>602</v>
      </c>
      <c r="G89" s="38" t="s">
        <v>168</v>
      </c>
      <c r="H89" s="33" t="s">
        <v>169</v>
      </c>
      <c r="I89" s="101" t="s">
        <v>170</v>
      </c>
      <c r="J89" s="72">
        <v>12</v>
      </c>
      <c r="K89" s="72" t="s">
        <v>41</v>
      </c>
      <c r="L89" s="88"/>
      <c r="M89" s="88"/>
    </row>
    <row r="90" spans="1:13" s="7" customFormat="1" ht="12" customHeight="1">
      <c r="A90" s="31" t="s">
        <v>165</v>
      </c>
      <c r="B90" s="31" t="s">
        <v>165</v>
      </c>
      <c r="C90" s="31" t="s">
        <v>171</v>
      </c>
      <c r="D90" s="32" t="s">
        <v>53</v>
      </c>
      <c r="E90" s="33" t="s">
        <v>141</v>
      </c>
      <c r="F90" s="72" t="s">
        <v>142</v>
      </c>
      <c r="G90" s="38" t="s">
        <v>172</v>
      </c>
      <c r="H90" s="33">
        <v>3.1</v>
      </c>
      <c r="I90" s="101" t="s">
        <v>591</v>
      </c>
      <c r="J90" s="72">
        <v>750</v>
      </c>
      <c r="K90" s="72" t="s">
        <v>38</v>
      </c>
      <c r="L90" s="88"/>
      <c r="M90" s="88"/>
    </row>
    <row r="91" spans="1:13" s="7" customFormat="1" ht="12" customHeight="1">
      <c r="A91" s="31" t="s">
        <v>165</v>
      </c>
      <c r="B91" s="31" t="s">
        <v>165</v>
      </c>
      <c r="C91" s="31" t="s">
        <v>171</v>
      </c>
      <c r="D91" s="31" t="s">
        <v>1</v>
      </c>
      <c r="E91" s="33" t="s">
        <v>141</v>
      </c>
      <c r="F91" s="72" t="s">
        <v>603</v>
      </c>
      <c r="G91" s="38" t="s">
        <v>172</v>
      </c>
      <c r="H91" s="33">
        <v>3.2</v>
      </c>
      <c r="I91" s="101" t="s">
        <v>736</v>
      </c>
      <c r="J91" s="72">
        <v>48</v>
      </c>
      <c r="K91" s="72" t="s">
        <v>38</v>
      </c>
      <c r="L91" s="88"/>
      <c r="M91" s="88"/>
    </row>
    <row r="92" spans="1:13" s="7" customFormat="1" ht="12" customHeight="1">
      <c r="A92" s="31" t="s">
        <v>165</v>
      </c>
      <c r="B92" s="31" t="s">
        <v>165</v>
      </c>
      <c r="C92" s="31" t="s">
        <v>171</v>
      </c>
      <c r="D92" s="32" t="s">
        <v>54</v>
      </c>
      <c r="E92" s="33" t="s">
        <v>141</v>
      </c>
      <c r="F92" s="72" t="s">
        <v>2237</v>
      </c>
      <c r="G92" s="38" t="s">
        <v>172</v>
      </c>
      <c r="H92" s="33" t="s">
        <v>55</v>
      </c>
      <c r="I92" s="101" t="s">
        <v>58</v>
      </c>
      <c r="J92" s="72">
        <v>12</v>
      </c>
      <c r="K92" s="72" t="s">
        <v>41</v>
      </c>
      <c r="L92" s="88"/>
      <c r="M92" s="88"/>
    </row>
    <row r="93" spans="1:13" s="7" customFormat="1" ht="12" customHeight="1">
      <c r="A93" s="31" t="s">
        <v>165</v>
      </c>
      <c r="B93" s="31" t="s">
        <v>165</v>
      </c>
      <c r="C93" s="31" t="s">
        <v>171</v>
      </c>
      <c r="D93" s="32" t="s">
        <v>54</v>
      </c>
      <c r="E93" s="33" t="s">
        <v>141</v>
      </c>
      <c r="F93" s="72" t="s">
        <v>143</v>
      </c>
      <c r="G93" s="33" t="s">
        <v>172</v>
      </c>
      <c r="H93" s="33" t="s">
        <v>57</v>
      </c>
      <c r="I93" s="101" t="s">
        <v>176</v>
      </c>
      <c r="J93" s="72">
        <v>12</v>
      </c>
      <c r="K93" s="72" t="s">
        <v>41</v>
      </c>
      <c r="L93" s="88"/>
      <c r="M93" s="88"/>
    </row>
    <row r="94" spans="1:13" s="7" customFormat="1" ht="12" customHeight="1">
      <c r="A94" s="31" t="s">
        <v>165</v>
      </c>
      <c r="B94" s="31" t="s">
        <v>165</v>
      </c>
      <c r="C94" s="31" t="s">
        <v>171</v>
      </c>
      <c r="D94" s="32" t="s">
        <v>54</v>
      </c>
      <c r="E94" s="33" t="s">
        <v>141</v>
      </c>
      <c r="F94" s="72" t="s">
        <v>144</v>
      </c>
      <c r="G94" s="33" t="s">
        <v>172</v>
      </c>
      <c r="H94" s="33" t="s">
        <v>59</v>
      </c>
      <c r="I94" s="101" t="s">
        <v>62</v>
      </c>
      <c r="J94" s="72">
        <v>12</v>
      </c>
      <c r="K94" s="72" t="s">
        <v>41</v>
      </c>
      <c r="L94" s="88"/>
      <c r="M94" s="88"/>
    </row>
    <row r="95" spans="1:13" s="7" customFormat="1" ht="12" customHeight="1">
      <c r="A95" s="31" t="s">
        <v>165</v>
      </c>
      <c r="B95" s="31" t="s">
        <v>165</v>
      </c>
      <c r="C95" s="31" t="s">
        <v>171</v>
      </c>
      <c r="D95" s="32" t="s">
        <v>54</v>
      </c>
      <c r="E95" s="33" t="s">
        <v>141</v>
      </c>
      <c r="F95" s="72" t="s">
        <v>145</v>
      </c>
      <c r="G95" s="33" t="s">
        <v>172</v>
      </c>
      <c r="H95" s="33" t="s">
        <v>61</v>
      </c>
      <c r="I95" s="101" t="s">
        <v>179</v>
      </c>
      <c r="J95" s="72">
        <v>12</v>
      </c>
      <c r="K95" s="72" t="s">
        <v>41</v>
      </c>
      <c r="L95" s="88"/>
      <c r="M95" s="88"/>
    </row>
    <row r="96" spans="1:13" s="7" customFormat="1" ht="12" customHeight="1">
      <c r="A96" s="31" t="s">
        <v>165</v>
      </c>
      <c r="B96" s="31" t="s">
        <v>165</v>
      </c>
      <c r="C96" s="31" t="s">
        <v>171</v>
      </c>
      <c r="D96" s="32" t="s">
        <v>54</v>
      </c>
      <c r="E96" s="33" t="s">
        <v>141</v>
      </c>
      <c r="F96" s="72" t="s">
        <v>146</v>
      </c>
      <c r="G96" s="33" t="s">
        <v>172</v>
      </c>
      <c r="H96" s="33" t="s">
        <v>63</v>
      </c>
      <c r="I96" s="101" t="s">
        <v>66</v>
      </c>
      <c r="J96" s="72">
        <v>12</v>
      </c>
      <c r="K96" s="72" t="s">
        <v>41</v>
      </c>
      <c r="L96" s="88"/>
      <c r="M96" s="88"/>
    </row>
    <row r="97" spans="1:13" s="7" customFormat="1" ht="12" customHeight="1">
      <c r="A97" s="31" t="s">
        <v>165</v>
      </c>
      <c r="B97" s="31" t="s">
        <v>165</v>
      </c>
      <c r="C97" s="31" t="s">
        <v>171</v>
      </c>
      <c r="D97" s="32" t="s">
        <v>54</v>
      </c>
      <c r="E97" s="33" t="s">
        <v>141</v>
      </c>
      <c r="F97" s="72" t="s">
        <v>147</v>
      </c>
      <c r="G97" s="33" t="s">
        <v>172</v>
      </c>
      <c r="H97" s="33" t="s">
        <v>65</v>
      </c>
      <c r="I97" s="101" t="s">
        <v>181</v>
      </c>
      <c r="J97" s="72">
        <v>12</v>
      </c>
      <c r="K97" s="72" t="s">
        <v>41</v>
      </c>
      <c r="L97" s="88"/>
      <c r="M97" s="88"/>
    </row>
    <row r="98" spans="1:13" s="7" customFormat="1" ht="12" customHeight="1">
      <c r="A98" s="31" t="s">
        <v>165</v>
      </c>
      <c r="B98" s="31" t="s">
        <v>165</v>
      </c>
      <c r="C98" s="31" t="s">
        <v>171</v>
      </c>
      <c r="D98" s="32" t="s">
        <v>54</v>
      </c>
      <c r="E98" s="33" t="s">
        <v>141</v>
      </c>
      <c r="F98" s="72" t="s">
        <v>148</v>
      </c>
      <c r="G98" s="33" t="s">
        <v>172</v>
      </c>
      <c r="H98" s="33" t="s">
        <v>67</v>
      </c>
      <c r="I98" s="101" t="s">
        <v>182</v>
      </c>
      <c r="J98" s="72">
        <v>12</v>
      </c>
      <c r="K98" s="72" t="s">
        <v>41</v>
      </c>
      <c r="L98" s="88"/>
      <c r="M98" s="88"/>
    </row>
    <row r="99" spans="1:13" s="7" customFormat="1" ht="12" customHeight="1">
      <c r="A99" s="31" t="s">
        <v>165</v>
      </c>
      <c r="B99" s="31" t="s">
        <v>165</v>
      </c>
      <c r="C99" s="31" t="s">
        <v>171</v>
      </c>
      <c r="D99" s="32" t="s">
        <v>54</v>
      </c>
      <c r="E99" s="33" t="s">
        <v>141</v>
      </c>
      <c r="F99" s="72" t="s">
        <v>149</v>
      </c>
      <c r="G99" s="33" t="s">
        <v>172</v>
      </c>
      <c r="H99" s="33" t="s">
        <v>69</v>
      </c>
      <c r="I99" s="101" t="s">
        <v>77</v>
      </c>
      <c r="J99" s="72">
        <v>12</v>
      </c>
      <c r="K99" s="72" t="s">
        <v>41</v>
      </c>
      <c r="L99" s="88"/>
      <c r="M99" s="88"/>
    </row>
    <row r="100" spans="1:13" s="7" customFormat="1" ht="12" customHeight="1">
      <c r="A100" s="31" t="s">
        <v>165</v>
      </c>
      <c r="B100" s="31" t="s">
        <v>165</v>
      </c>
      <c r="C100" s="31" t="s">
        <v>171</v>
      </c>
      <c r="D100" s="32" t="s">
        <v>4</v>
      </c>
      <c r="E100" s="33" t="s">
        <v>141</v>
      </c>
      <c r="F100" s="72" t="s">
        <v>150</v>
      </c>
      <c r="G100" s="33" t="s">
        <v>172</v>
      </c>
      <c r="H100" s="33" t="s">
        <v>81</v>
      </c>
      <c r="I100" s="101" t="s">
        <v>183</v>
      </c>
      <c r="J100" s="72">
        <v>12</v>
      </c>
      <c r="K100" s="72" t="s">
        <v>41</v>
      </c>
      <c r="L100" s="88"/>
      <c r="M100" s="88"/>
    </row>
    <row r="101" spans="1:13" s="7" customFormat="1" ht="12" customHeight="1">
      <c r="A101" s="31" t="s">
        <v>165</v>
      </c>
      <c r="B101" s="31" t="s">
        <v>165</v>
      </c>
      <c r="C101" s="31" t="s">
        <v>171</v>
      </c>
      <c r="D101" s="32" t="s">
        <v>4</v>
      </c>
      <c r="E101" s="33" t="s">
        <v>141</v>
      </c>
      <c r="F101" s="72" t="s">
        <v>151</v>
      </c>
      <c r="G101" s="33" t="s">
        <v>172</v>
      </c>
      <c r="H101" s="33" t="s">
        <v>83</v>
      </c>
      <c r="I101" s="101" t="s">
        <v>184</v>
      </c>
      <c r="J101" s="72">
        <v>12</v>
      </c>
      <c r="K101" s="72" t="s">
        <v>41</v>
      </c>
      <c r="L101" s="88"/>
      <c r="M101" s="88"/>
    </row>
    <row r="102" spans="1:13" s="7" customFormat="1" ht="12" customHeight="1">
      <c r="A102" s="31" t="s">
        <v>165</v>
      </c>
      <c r="B102" s="31" t="s">
        <v>165</v>
      </c>
      <c r="C102" s="31" t="s">
        <v>171</v>
      </c>
      <c r="D102" s="32" t="s">
        <v>4</v>
      </c>
      <c r="E102" s="33" t="s">
        <v>141</v>
      </c>
      <c r="F102" s="72" t="s">
        <v>154</v>
      </c>
      <c r="G102" s="33" t="s">
        <v>172</v>
      </c>
      <c r="H102" s="33" t="s">
        <v>85</v>
      </c>
      <c r="I102" s="101" t="s">
        <v>72</v>
      </c>
      <c r="J102" s="72">
        <v>12</v>
      </c>
      <c r="K102" s="72" t="s">
        <v>41</v>
      </c>
      <c r="L102" s="88"/>
      <c r="M102" s="88"/>
    </row>
    <row r="103" spans="1:13" s="7" customFormat="1" ht="12" customHeight="1">
      <c r="A103" s="31" t="s">
        <v>165</v>
      </c>
      <c r="B103" s="31" t="s">
        <v>165</v>
      </c>
      <c r="C103" s="31" t="s">
        <v>171</v>
      </c>
      <c r="D103" s="32" t="s">
        <v>4</v>
      </c>
      <c r="E103" s="33" t="s">
        <v>141</v>
      </c>
      <c r="F103" s="72" t="s">
        <v>606</v>
      </c>
      <c r="G103" s="33" t="s">
        <v>172</v>
      </c>
      <c r="H103" s="33" t="s">
        <v>87</v>
      </c>
      <c r="I103" s="101" t="s">
        <v>185</v>
      </c>
      <c r="J103" s="72">
        <v>12</v>
      </c>
      <c r="K103" s="72" t="s">
        <v>41</v>
      </c>
      <c r="L103" s="88"/>
      <c r="M103" s="88"/>
    </row>
    <row r="104" spans="1:13" s="7" customFormat="1" ht="12" customHeight="1">
      <c r="A104" s="31" t="s">
        <v>165</v>
      </c>
      <c r="B104" s="31" t="s">
        <v>165</v>
      </c>
      <c r="C104" s="31" t="s">
        <v>171</v>
      </c>
      <c r="D104" s="32" t="s">
        <v>4</v>
      </c>
      <c r="E104" s="33" t="s">
        <v>141</v>
      </c>
      <c r="F104" s="72" t="s">
        <v>607</v>
      </c>
      <c r="G104" s="33" t="s">
        <v>172</v>
      </c>
      <c r="H104" s="33" t="s">
        <v>88</v>
      </c>
      <c r="I104" s="101" t="s">
        <v>186</v>
      </c>
      <c r="J104" s="72">
        <v>12</v>
      </c>
      <c r="K104" s="72" t="s">
        <v>41</v>
      </c>
      <c r="L104" s="88"/>
      <c r="M104" s="88"/>
    </row>
    <row r="105" spans="1:13" s="7" customFormat="1" ht="12" customHeight="1">
      <c r="A105" s="31" t="s">
        <v>165</v>
      </c>
      <c r="B105" s="31" t="s">
        <v>165</v>
      </c>
      <c r="C105" s="31" t="s">
        <v>171</v>
      </c>
      <c r="D105" s="32" t="s">
        <v>80</v>
      </c>
      <c r="E105" s="33" t="s">
        <v>141</v>
      </c>
      <c r="F105" s="72" t="s">
        <v>610</v>
      </c>
      <c r="G105" s="33" t="s">
        <v>172</v>
      </c>
      <c r="H105" s="33" t="s">
        <v>90</v>
      </c>
      <c r="I105" s="101" t="s">
        <v>82</v>
      </c>
      <c r="J105" s="72">
        <v>12</v>
      </c>
      <c r="K105" s="72" t="s">
        <v>41</v>
      </c>
      <c r="L105" s="88"/>
      <c r="M105" s="88"/>
    </row>
    <row r="106" spans="1:13" s="7" customFormat="1" ht="12" customHeight="1">
      <c r="A106" s="31" t="s">
        <v>165</v>
      </c>
      <c r="B106" s="31" t="s">
        <v>165</v>
      </c>
      <c r="C106" s="31" t="s">
        <v>171</v>
      </c>
      <c r="D106" s="32" t="s">
        <v>80</v>
      </c>
      <c r="E106" s="33" t="s">
        <v>141</v>
      </c>
      <c r="F106" s="72" t="s">
        <v>608</v>
      </c>
      <c r="G106" s="33" t="s">
        <v>172</v>
      </c>
      <c r="H106" s="33" t="s">
        <v>91</v>
      </c>
      <c r="I106" s="101" t="s">
        <v>84</v>
      </c>
      <c r="J106" s="72">
        <v>12</v>
      </c>
      <c r="K106" s="72" t="s">
        <v>41</v>
      </c>
      <c r="L106" s="88"/>
      <c r="M106" s="88"/>
    </row>
    <row r="107" spans="1:13" s="7" customFormat="1" ht="12" customHeight="1">
      <c r="A107" s="31" t="s">
        <v>165</v>
      </c>
      <c r="B107" s="31" t="s">
        <v>165</v>
      </c>
      <c r="C107" s="31" t="s">
        <v>171</v>
      </c>
      <c r="D107" s="32" t="s">
        <v>80</v>
      </c>
      <c r="E107" s="33" t="s">
        <v>141</v>
      </c>
      <c r="F107" s="72" t="s">
        <v>684</v>
      </c>
      <c r="G107" s="33" t="s">
        <v>172</v>
      </c>
      <c r="H107" s="33" t="s">
        <v>152</v>
      </c>
      <c r="I107" s="101" t="s">
        <v>186</v>
      </c>
      <c r="J107" s="72">
        <v>12</v>
      </c>
      <c r="K107" s="72" t="s">
        <v>41</v>
      </c>
      <c r="L107" s="88"/>
      <c r="M107" s="88"/>
    </row>
    <row r="108" spans="1:13" s="7" customFormat="1" ht="12" customHeight="1">
      <c r="A108" s="31" t="s">
        <v>165</v>
      </c>
      <c r="B108" s="31" t="s">
        <v>165</v>
      </c>
      <c r="C108" s="31" t="s">
        <v>171</v>
      </c>
      <c r="D108" s="32" t="s">
        <v>80</v>
      </c>
      <c r="E108" s="33" t="s">
        <v>141</v>
      </c>
      <c r="F108" s="72" t="s">
        <v>685</v>
      </c>
      <c r="G108" s="33" t="s">
        <v>172</v>
      </c>
      <c r="H108" s="33" t="s">
        <v>93</v>
      </c>
      <c r="I108" s="101" t="s">
        <v>187</v>
      </c>
      <c r="J108" s="72">
        <v>12</v>
      </c>
      <c r="K108" s="72" t="s">
        <v>41</v>
      </c>
      <c r="L108" s="88"/>
      <c r="M108" s="88"/>
    </row>
    <row r="109" spans="1:13" s="7" customFormat="1" ht="12" customHeight="1">
      <c r="A109" s="31" t="s">
        <v>165</v>
      </c>
      <c r="B109" s="31" t="s">
        <v>165</v>
      </c>
      <c r="C109" s="31" t="s">
        <v>171</v>
      </c>
      <c r="D109" s="32" t="s">
        <v>80</v>
      </c>
      <c r="E109" s="33" t="s">
        <v>141</v>
      </c>
      <c r="F109" s="72" t="s">
        <v>686</v>
      </c>
      <c r="G109" s="33" t="s">
        <v>172</v>
      </c>
      <c r="H109" s="33" t="s">
        <v>95</v>
      </c>
      <c r="I109" s="101" t="s">
        <v>77</v>
      </c>
      <c r="J109" s="72">
        <v>12</v>
      </c>
      <c r="K109" s="72" t="s">
        <v>41</v>
      </c>
      <c r="L109" s="88"/>
      <c r="M109" s="88"/>
    </row>
    <row r="110" spans="1:13" s="7" customFormat="1" ht="12" customHeight="1">
      <c r="A110" s="31" t="s">
        <v>165</v>
      </c>
      <c r="B110" s="31" t="s">
        <v>165</v>
      </c>
      <c r="C110" s="31" t="s">
        <v>171</v>
      </c>
      <c r="D110" s="32" t="s">
        <v>89</v>
      </c>
      <c r="E110" s="33" t="s">
        <v>141</v>
      </c>
      <c r="F110" s="72" t="s">
        <v>687</v>
      </c>
      <c r="G110" s="33" t="s">
        <v>172</v>
      </c>
      <c r="H110" s="33" t="s">
        <v>188</v>
      </c>
      <c r="I110" s="101" t="s">
        <v>189</v>
      </c>
      <c r="J110" s="72">
        <v>12</v>
      </c>
      <c r="K110" s="72" t="s">
        <v>41</v>
      </c>
      <c r="L110" s="88"/>
      <c r="M110" s="88"/>
    </row>
    <row r="111" spans="1:13" s="7" customFormat="1" ht="12" customHeight="1">
      <c r="A111" s="31" t="s">
        <v>165</v>
      </c>
      <c r="B111" s="31" t="s">
        <v>165</v>
      </c>
      <c r="C111" s="31" t="s">
        <v>171</v>
      </c>
      <c r="D111" s="32" t="s">
        <v>89</v>
      </c>
      <c r="E111" s="33" t="s">
        <v>141</v>
      </c>
      <c r="F111" s="72" t="s">
        <v>688</v>
      </c>
      <c r="G111" s="33" t="s">
        <v>172</v>
      </c>
      <c r="H111" s="33" t="s">
        <v>190</v>
      </c>
      <c r="I111" s="101" t="s">
        <v>191</v>
      </c>
      <c r="J111" s="72">
        <v>12</v>
      </c>
      <c r="K111" s="72" t="s">
        <v>41</v>
      </c>
      <c r="L111" s="88"/>
      <c r="M111" s="88"/>
    </row>
    <row r="112" spans="1:13" s="7" customFormat="1" ht="12" customHeight="1">
      <c r="A112" s="31" t="s">
        <v>165</v>
      </c>
      <c r="B112" s="31" t="s">
        <v>165</v>
      </c>
      <c r="C112" s="31" t="s">
        <v>171</v>
      </c>
      <c r="D112" s="32" t="s">
        <v>89</v>
      </c>
      <c r="E112" s="33" t="s">
        <v>141</v>
      </c>
      <c r="F112" s="72" t="s">
        <v>689</v>
      </c>
      <c r="G112" s="33" t="s">
        <v>172</v>
      </c>
      <c r="H112" s="33" t="s">
        <v>192</v>
      </c>
      <c r="I112" s="101" t="s">
        <v>193</v>
      </c>
      <c r="J112" s="72">
        <v>12</v>
      </c>
      <c r="K112" s="72" t="s">
        <v>41</v>
      </c>
      <c r="L112" s="88"/>
      <c r="M112" s="88"/>
    </row>
    <row r="113" spans="1:13" s="7" customFormat="1" ht="12" customHeight="1">
      <c r="A113" s="31" t="s">
        <v>165</v>
      </c>
      <c r="B113" s="31" t="s">
        <v>165</v>
      </c>
      <c r="C113" s="31" t="s">
        <v>171</v>
      </c>
      <c r="D113" s="32" t="s">
        <v>89</v>
      </c>
      <c r="E113" s="33" t="s">
        <v>141</v>
      </c>
      <c r="F113" s="72" t="s">
        <v>690</v>
      </c>
      <c r="G113" s="33" t="s">
        <v>172</v>
      </c>
      <c r="H113" s="33" t="s">
        <v>194</v>
      </c>
      <c r="I113" s="101" t="s">
        <v>195</v>
      </c>
      <c r="J113" s="72">
        <v>12</v>
      </c>
      <c r="K113" s="72" t="s">
        <v>41</v>
      </c>
      <c r="L113" s="88"/>
      <c r="M113" s="88"/>
    </row>
    <row r="114" spans="1:13" s="7" customFormat="1" ht="12" customHeight="1">
      <c r="A114" s="31" t="s">
        <v>165</v>
      </c>
      <c r="B114" s="31" t="s">
        <v>165</v>
      </c>
      <c r="C114" s="31" t="s">
        <v>171</v>
      </c>
      <c r="D114" s="32" t="s">
        <v>89</v>
      </c>
      <c r="E114" s="33" t="s">
        <v>141</v>
      </c>
      <c r="F114" s="72" t="s">
        <v>691</v>
      </c>
      <c r="G114" s="33" t="s">
        <v>172</v>
      </c>
      <c r="H114" s="33" t="s">
        <v>196</v>
      </c>
      <c r="I114" s="101" t="s">
        <v>197</v>
      </c>
      <c r="J114" s="72">
        <v>12</v>
      </c>
      <c r="K114" s="72" t="s">
        <v>41</v>
      </c>
      <c r="L114" s="88"/>
      <c r="M114" s="88"/>
    </row>
    <row r="115" spans="1:13" s="7" customFormat="1" ht="12" customHeight="1">
      <c r="A115" s="31" t="s">
        <v>165</v>
      </c>
      <c r="B115" s="31" t="s">
        <v>165</v>
      </c>
      <c r="C115" s="31" t="s">
        <v>171</v>
      </c>
      <c r="D115" s="32" t="s">
        <v>89</v>
      </c>
      <c r="E115" s="33" t="s">
        <v>141</v>
      </c>
      <c r="F115" s="72" t="s">
        <v>692</v>
      </c>
      <c r="G115" s="33" t="s">
        <v>172</v>
      </c>
      <c r="H115" s="33" t="s">
        <v>198</v>
      </c>
      <c r="I115" s="101" t="s">
        <v>593</v>
      </c>
      <c r="J115" s="72">
        <v>12</v>
      </c>
      <c r="K115" s="72" t="s">
        <v>41</v>
      </c>
      <c r="L115" s="88"/>
      <c r="M115" s="88"/>
    </row>
    <row r="116" spans="1:13" s="7" customFormat="1" ht="12" customHeight="1">
      <c r="A116" s="31" t="s">
        <v>165</v>
      </c>
      <c r="B116" s="31" t="s">
        <v>165</v>
      </c>
      <c r="C116" s="31" t="s">
        <v>171</v>
      </c>
      <c r="D116" s="32" t="s">
        <v>89</v>
      </c>
      <c r="E116" s="33" t="s">
        <v>141</v>
      </c>
      <c r="F116" s="72" t="s">
        <v>693</v>
      </c>
      <c r="G116" s="33" t="s">
        <v>172</v>
      </c>
      <c r="H116" s="33" t="s">
        <v>199</v>
      </c>
      <c r="I116" s="101" t="s">
        <v>202</v>
      </c>
      <c r="J116" s="72">
        <v>12</v>
      </c>
      <c r="K116" s="72" t="s">
        <v>41</v>
      </c>
      <c r="L116" s="88"/>
      <c r="M116" s="88"/>
    </row>
    <row r="117" spans="1:13" s="7" customFormat="1" ht="12" customHeight="1">
      <c r="A117" s="31" t="s">
        <v>165</v>
      </c>
      <c r="B117" s="31" t="s">
        <v>165</v>
      </c>
      <c r="C117" s="31" t="s">
        <v>171</v>
      </c>
      <c r="D117" s="32" t="s">
        <v>89</v>
      </c>
      <c r="E117" s="33" t="s">
        <v>141</v>
      </c>
      <c r="F117" s="72" t="s">
        <v>694</v>
      </c>
      <c r="G117" s="33" t="s">
        <v>172</v>
      </c>
      <c r="H117" s="33" t="s">
        <v>201</v>
      </c>
      <c r="I117" s="101" t="s">
        <v>200</v>
      </c>
      <c r="J117" s="72">
        <v>12</v>
      </c>
      <c r="K117" s="72" t="s">
        <v>41</v>
      </c>
      <c r="L117" s="88"/>
      <c r="M117" s="88"/>
    </row>
    <row r="118" spans="1:13" s="7" customFormat="1" ht="12" customHeight="1">
      <c r="A118" s="31" t="s">
        <v>165</v>
      </c>
      <c r="B118" s="31" t="s">
        <v>165</v>
      </c>
      <c r="C118" s="31" t="s">
        <v>171</v>
      </c>
      <c r="D118" s="32" t="s">
        <v>89</v>
      </c>
      <c r="E118" s="33" t="s">
        <v>141</v>
      </c>
      <c r="F118" s="72" t="s">
        <v>695</v>
      </c>
      <c r="G118" s="33" t="s">
        <v>172</v>
      </c>
      <c r="H118" s="33" t="s">
        <v>203</v>
      </c>
      <c r="I118" s="101" t="s">
        <v>204</v>
      </c>
      <c r="J118" s="72">
        <v>12</v>
      </c>
      <c r="K118" s="72" t="s">
        <v>41</v>
      </c>
      <c r="L118" s="88"/>
      <c r="M118" s="88"/>
    </row>
    <row r="119" spans="1:13" s="7" customFormat="1" ht="12" customHeight="1">
      <c r="A119" s="31" t="s">
        <v>165</v>
      </c>
      <c r="B119" s="31" t="s">
        <v>165</v>
      </c>
      <c r="C119" s="31" t="s">
        <v>171</v>
      </c>
      <c r="D119" s="32" t="s">
        <v>89</v>
      </c>
      <c r="E119" s="33" t="s">
        <v>141</v>
      </c>
      <c r="F119" s="72" t="s">
        <v>696</v>
      </c>
      <c r="G119" s="33" t="s">
        <v>172</v>
      </c>
      <c r="H119" s="33" t="s">
        <v>205</v>
      </c>
      <c r="I119" s="101" t="s">
        <v>96</v>
      </c>
      <c r="J119" s="72">
        <v>12</v>
      </c>
      <c r="K119" s="72" t="s">
        <v>41</v>
      </c>
      <c r="L119" s="88"/>
      <c r="M119" s="88"/>
    </row>
    <row r="120" spans="1:13" s="7" customFormat="1" ht="12" customHeight="1">
      <c r="A120" s="31" t="s">
        <v>165</v>
      </c>
      <c r="B120" s="31" t="s">
        <v>165</v>
      </c>
      <c r="C120" s="32" t="s">
        <v>207</v>
      </c>
      <c r="D120" s="32" t="s">
        <v>1</v>
      </c>
      <c r="E120" s="33" t="s">
        <v>141</v>
      </c>
      <c r="F120" s="72" t="s">
        <v>697</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141</v>
      </c>
      <c r="F121" s="72" t="s">
        <v>698</v>
      </c>
      <c r="G121" s="33" t="s">
        <v>208</v>
      </c>
      <c r="H121" s="33">
        <v>3.2</v>
      </c>
      <c r="I121" s="101" t="s">
        <v>210</v>
      </c>
      <c r="J121" s="72">
        <v>12</v>
      </c>
      <c r="K121" s="72" t="s">
        <v>38</v>
      </c>
      <c r="L121" s="93"/>
      <c r="M121" s="93"/>
    </row>
    <row r="122" spans="1:13" s="7" customFormat="1" ht="12" customHeight="1">
      <c r="A122" s="31" t="s">
        <v>165</v>
      </c>
      <c r="B122" s="31" t="s">
        <v>165</v>
      </c>
      <c r="C122" s="32" t="s">
        <v>211</v>
      </c>
      <c r="D122" s="31" t="s">
        <v>1</v>
      </c>
      <c r="E122" s="33" t="s">
        <v>141</v>
      </c>
      <c r="F122" s="72" t="s">
        <v>699</v>
      </c>
      <c r="G122" s="33" t="s">
        <v>212</v>
      </c>
      <c r="H122" s="33">
        <v>3.1</v>
      </c>
      <c r="I122" s="101" t="s">
        <v>213</v>
      </c>
      <c r="J122" s="72">
        <v>12</v>
      </c>
      <c r="K122" s="72" t="s">
        <v>41</v>
      </c>
      <c r="L122" s="88"/>
      <c r="M122" s="88"/>
    </row>
    <row r="123" spans="1:13" s="7" customFormat="1" ht="12" customHeight="1">
      <c r="A123" s="31" t="s">
        <v>165</v>
      </c>
      <c r="B123" s="31" t="s">
        <v>165</v>
      </c>
      <c r="C123" s="32" t="s">
        <v>211</v>
      </c>
      <c r="D123" s="31" t="s">
        <v>1</v>
      </c>
      <c r="E123" s="33" t="s">
        <v>141</v>
      </c>
      <c r="F123" s="72" t="s">
        <v>700</v>
      </c>
      <c r="G123" s="33" t="s">
        <v>212</v>
      </c>
      <c r="H123" s="33">
        <v>3.2</v>
      </c>
      <c r="I123" s="101" t="s">
        <v>214</v>
      </c>
      <c r="J123" s="72">
        <v>100</v>
      </c>
      <c r="K123" s="72" t="s">
        <v>38</v>
      </c>
      <c r="L123" s="88"/>
      <c r="M123" s="88"/>
    </row>
    <row r="124" spans="1:13" s="7" customFormat="1" ht="12" customHeight="1">
      <c r="A124" s="31" t="s">
        <v>165</v>
      </c>
      <c r="B124" s="31" t="s">
        <v>165</v>
      </c>
      <c r="C124" s="32" t="s">
        <v>211</v>
      </c>
      <c r="D124" s="31" t="s">
        <v>1</v>
      </c>
      <c r="E124" s="33" t="s">
        <v>141</v>
      </c>
      <c r="F124" s="72" t="s">
        <v>701</v>
      </c>
      <c r="G124" s="33" t="s">
        <v>212</v>
      </c>
      <c r="H124" s="33">
        <v>3.3</v>
      </c>
      <c r="I124" s="101" t="s">
        <v>0</v>
      </c>
      <c r="J124" s="72">
        <v>12</v>
      </c>
      <c r="K124" s="72" t="s">
        <v>41</v>
      </c>
      <c r="L124" s="88"/>
      <c r="M124" s="88"/>
    </row>
    <row r="125" spans="1:13" s="7" customFormat="1" ht="12" customHeight="1">
      <c r="A125" s="31" t="s">
        <v>165</v>
      </c>
      <c r="B125" s="31" t="s">
        <v>165</v>
      </c>
      <c r="C125" s="32" t="s">
        <v>215</v>
      </c>
      <c r="D125" s="31" t="s">
        <v>1</v>
      </c>
      <c r="E125" s="33" t="s">
        <v>141</v>
      </c>
      <c r="F125" s="72" t="s">
        <v>702</v>
      </c>
      <c r="G125" s="33" t="s">
        <v>216</v>
      </c>
      <c r="H125" s="33">
        <v>3</v>
      </c>
      <c r="I125" s="101" t="s">
        <v>592</v>
      </c>
      <c r="J125" s="72">
        <v>12</v>
      </c>
      <c r="K125" s="72" t="s">
        <v>41</v>
      </c>
      <c r="L125" s="88"/>
      <c r="M125" s="88"/>
    </row>
    <row r="126" spans="1:13" s="7" customFormat="1" ht="12" customHeight="1">
      <c r="A126" s="31" t="s">
        <v>165</v>
      </c>
      <c r="B126" s="31" t="s">
        <v>165</v>
      </c>
      <c r="C126" s="32" t="s">
        <v>217</v>
      </c>
      <c r="D126" s="31" t="s">
        <v>1</v>
      </c>
      <c r="E126" s="33" t="s">
        <v>141</v>
      </c>
      <c r="F126" s="72" t="s">
        <v>703</v>
      </c>
      <c r="G126" s="33" t="s">
        <v>218</v>
      </c>
      <c r="H126" s="33">
        <v>3.1</v>
      </c>
      <c r="I126" s="101" t="s">
        <v>5</v>
      </c>
      <c r="J126" s="91">
        <v>12</v>
      </c>
      <c r="K126" s="91" t="s">
        <v>41</v>
      </c>
      <c r="L126" s="94"/>
      <c r="M126" s="95"/>
    </row>
    <row r="127" spans="1:13" s="7" customFormat="1" ht="12" customHeight="1">
      <c r="A127" s="31" t="s">
        <v>165</v>
      </c>
      <c r="B127" s="31" t="s">
        <v>165</v>
      </c>
      <c r="C127" s="32" t="s">
        <v>217</v>
      </c>
      <c r="D127" s="31" t="s">
        <v>1</v>
      </c>
      <c r="E127" s="33" t="s">
        <v>141</v>
      </c>
      <c r="F127" s="72" t="s">
        <v>704</v>
      </c>
      <c r="G127" s="33" t="s">
        <v>218</v>
      </c>
      <c r="H127" s="33">
        <v>3.2</v>
      </c>
      <c r="I127" s="101" t="s">
        <v>219</v>
      </c>
      <c r="J127" s="91">
        <v>12</v>
      </c>
      <c r="K127" s="91" t="s">
        <v>41</v>
      </c>
      <c r="L127" s="94"/>
      <c r="M127" s="95"/>
    </row>
    <row r="128" spans="1:13" s="7" customFormat="1" ht="12" customHeight="1">
      <c r="A128" s="31" t="s">
        <v>165</v>
      </c>
      <c r="B128" s="31" t="s">
        <v>165</v>
      </c>
      <c r="C128" s="32" t="s">
        <v>217</v>
      </c>
      <c r="D128" s="31" t="s">
        <v>1</v>
      </c>
      <c r="E128" s="33" t="s">
        <v>141</v>
      </c>
      <c r="F128" s="72" t="s">
        <v>705</v>
      </c>
      <c r="G128" s="33" t="s">
        <v>218</v>
      </c>
      <c r="H128" s="33">
        <v>3.3</v>
      </c>
      <c r="I128" s="101" t="s">
        <v>6</v>
      </c>
      <c r="J128" s="72">
        <v>12</v>
      </c>
      <c r="K128" s="72" t="s">
        <v>41</v>
      </c>
      <c r="L128" s="94"/>
      <c r="M128" s="95"/>
    </row>
    <row r="129" spans="1:13" s="7" customFormat="1" ht="12" customHeight="1">
      <c r="A129" s="31" t="s">
        <v>165</v>
      </c>
      <c r="B129" s="31" t="s">
        <v>165</v>
      </c>
      <c r="C129" s="32" t="s">
        <v>217</v>
      </c>
      <c r="D129" s="31" t="s">
        <v>1</v>
      </c>
      <c r="E129" s="33" t="s">
        <v>141</v>
      </c>
      <c r="F129" s="72" t="s">
        <v>706</v>
      </c>
      <c r="G129" s="33" t="s">
        <v>218</v>
      </c>
      <c r="H129" s="33">
        <v>3.4</v>
      </c>
      <c r="I129" s="101" t="s">
        <v>597</v>
      </c>
      <c r="J129" s="72">
        <v>12</v>
      </c>
      <c r="K129" s="72" t="s">
        <v>41</v>
      </c>
      <c r="L129" s="88"/>
      <c r="M129" s="88"/>
    </row>
    <row r="130" spans="1:13" s="7" customFormat="1" ht="12" customHeight="1">
      <c r="A130" s="31" t="s">
        <v>165</v>
      </c>
      <c r="B130" s="31" t="s">
        <v>165</v>
      </c>
      <c r="C130" s="32" t="s">
        <v>217</v>
      </c>
      <c r="D130" s="31" t="s">
        <v>1</v>
      </c>
      <c r="E130" s="33" t="s">
        <v>141</v>
      </c>
      <c r="F130" s="72" t="s">
        <v>707</v>
      </c>
      <c r="G130" s="33" t="s">
        <v>218</v>
      </c>
      <c r="H130" s="33">
        <v>3.5</v>
      </c>
      <c r="I130" s="101" t="s">
        <v>220</v>
      </c>
      <c r="J130" s="72">
        <v>12</v>
      </c>
      <c r="K130" s="72" t="s">
        <v>38</v>
      </c>
      <c r="L130" s="94"/>
      <c r="M130" s="95"/>
    </row>
    <row r="131" spans="1:13" s="7" customFormat="1" ht="12" customHeight="1">
      <c r="A131" s="31" t="s">
        <v>165</v>
      </c>
      <c r="B131" s="31" t="s">
        <v>165</v>
      </c>
      <c r="C131" s="32" t="s">
        <v>221</v>
      </c>
      <c r="D131" s="31" t="s">
        <v>1</v>
      </c>
      <c r="E131" s="33" t="s">
        <v>141</v>
      </c>
      <c r="F131" s="72" t="s">
        <v>708</v>
      </c>
      <c r="G131" s="33" t="s">
        <v>222</v>
      </c>
      <c r="H131" s="33">
        <v>3.1</v>
      </c>
      <c r="I131" s="101" t="s">
        <v>14</v>
      </c>
      <c r="J131" s="92">
        <v>12</v>
      </c>
      <c r="K131" s="72" t="s">
        <v>41</v>
      </c>
      <c r="L131" s="88"/>
      <c r="M131" s="88"/>
    </row>
    <row r="132" spans="1:13" s="7" customFormat="1" ht="12" customHeight="1">
      <c r="A132" s="31" t="s">
        <v>165</v>
      </c>
      <c r="B132" s="31" t="s">
        <v>165</v>
      </c>
      <c r="C132" s="32" t="s">
        <v>221</v>
      </c>
      <c r="D132" s="31" t="s">
        <v>1</v>
      </c>
      <c r="E132" s="33" t="s">
        <v>141</v>
      </c>
      <c r="F132" s="72" t="s">
        <v>709</v>
      </c>
      <c r="G132" s="33" t="s">
        <v>222</v>
      </c>
      <c r="H132" s="33">
        <v>3.2</v>
      </c>
      <c r="I132" s="103" t="s">
        <v>12</v>
      </c>
      <c r="J132" s="92">
        <v>12</v>
      </c>
      <c r="K132" s="72" t="s">
        <v>41</v>
      </c>
      <c r="L132" s="88"/>
      <c r="M132" s="88"/>
    </row>
    <row r="133" spans="1:13" s="7" customFormat="1" ht="12" customHeight="1">
      <c r="A133" s="31" t="s">
        <v>165</v>
      </c>
      <c r="B133" s="31" t="s">
        <v>165</v>
      </c>
      <c r="C133" s="32" t="s">
        <v>221</v>
      </c>
      <c r="D133" s="31" t="s">
        <v>1</v>
      </c>
      <c r="E133" s="33" t="s">
        <v>141</v>
      </c>
      <c r="F133" s="72" t="s">
        <v>710</v>
      </c>
      <c r="G133" s="33" t="s">
        <v>222</v>
      </c>
      <c r="H133" s="33">
        <v>3.3</v>
      </c>
      <c r="I133" s="103" t="s">
        <v>223</v>
      </c>
      <c r="J133" s="92">
        <v>12</v>
      </c>
      <c r="K133" s="72" t="s">
        <v>41</v>
      </c>
      <c r="L133" s="88"/>
      <c r="M133" s="88"/>
    </row>
    <row r="134" spans="1:13" s="7" customFormat="1" ht="12" customHeight="1">
      <c r="A134" s="31" t="s">
        <v>165</v>
      </c>
      <c r="B134" s="31" t="s">
        <v>165</v>
      </c>
      <c r="C134" s="32" t="s">
        <v>221</v>
      </c>
      <c r="D134" s="31" t="s">
        <v>1</v>
      </c>
      <c r="E134" s="33" t="s">
        <v>141</v>
      </c>
      <c r="F134" s="72" t="s">
        <v>711</v>
      </c>
      <c r="G134" s="33" t="s">
        <v>222</v>
      </c>
      <c r="H134" s="33">
        <v>3.4</v>
      </c>
      <c r="I134" s="103" t="s">
        <v>15</v>
      </c>
      <c r="J134" s="92">
        <v>12</v>
      </c>
      <c r="K134" s="72" t="s">
        <v>41</v>
      </c>
      <c r="L134" s="88"/>
      <c r="M134" s="88"/>
    </row>
    <row r="135" spans="1:13" s="7" customFormat="1" ht="12" customHeight="1">
      <c r="A135" s="31" t="s">
        <v>165</v>
      </c>
      <c r="B135" s="31" t="s">
        <v>165</v>
      </c>
      <c r="C135" s="32" t="s">
        <v>221</v>
      </c>
      <c r="D135" s="31" t="s">
        <v>1</v>
      </c>
      <c r="E135" s="33" t="s">
        <v>141</v>
      </c>
      <c r="F135" s="72" t="s">
        <v>712</v>
      </c>
      <c r="G135" s="33" t="s">
        <v>222</v>
      </c>
      <c r="H135" s="33">
        <v>3.5</v>
      </c>
      <c r="I135" s="103" t="s">
        <v>13</v>
      </c>
      <c r="J135" s="92">
        <v>12</v>
      </c>
      <c r="K135" s="72" t="s">
        <v>41</v>
      </c>
      <c r="L135" s="88"/>
      <c r="M135" s="88"/>
    </row>
    <row r="136" spans="1:13" s="29" customFormat="1" ht="12.6" customHeight="1">
      <c r="A136" s="31" t="s">
        <v>165</v>
      </c>
      <c r="B136" s="31" t="s">
        <v>165</v>
      </c>
      <c r="C136" s="32" t="s">
        <v>221</v>
      </c>
      <c r="D136" s="31" t="s">
        <v>1</v>
      </c>
      <c r="E136" s="33" t="s">
        <v>141</v>
      </c>
      <c r="F136" s="72" t="s">
        <v>713</v>
      </c>
      <c r="G136" s="36" t="s">
        <v>222</v>
      </c>
      <c r="H136" s="36">
        <v>3.6</v>
      </c>
      <c r="I136" s="103" t="s">
        <v>2196</v>
      </c>
      <c r="J136" s="92">
        <v>12</v>
      </c>
      <c r="K136" s="72" t="s">
        <v>41</v>
      </c>
      <c r="L136" s="88"/>
      <c r="M136" s="88"/>
    </row>
    <row r="137" spans="1:13" s="7" customFormat="1" ht="12" customHeight="1">
      <c r="A137" s="31" t="s">
        <v>224</v>
      </c>
      <c r="B137" s="31" t="s">
        <v>224</v>
      </c>
      <c r="C137" s="31" t="s">
        <v>52</v>
      </c>
      <c r="D137" s="32" t="s">
        <v>54</v>
      </c>
      <c r="E137" s="33" t="s">
        <v>158</v>
      </c>
      <c r="F137" s="72" t="s">
        <v>159</v>
      </c>
      <c r="G137" s="33">
        <v>1502000</v>
      </c>
      <c r="H137" s="72" t="s">
        <v>73</v>
      </c>
      <c r="I137" s="101" t="s">
        <v>74</v>
      </c>
      <c r="J137" s="72">
        <v>12</v>
      </c>
      <c r="K137" s="72" t="s">
        <v>41</v>
      </c>
      <c r="L137" s="88"/>
      <c r="M137" s="88"/>
    </row>
    <row r="138" spans="1:13" s="7" customFormat="1" ht="12" customHeight="1">
      <c r="A138" s="31" t="s">
        <v>227</v>
      </c>
      <c r="B138" s="31" t="s">
        <v>227</v>
      </c>
      <c r="C138" s="31" t="s">
        <v>52</v>
      </c>
      <c r="D138" s="32" t="s">
        <v>53</v>
      </c>
      <c r="E138" s="33" t="s">
        <v>161</v>
      </c>
      <c r="F138" s="72" t="s">
        <v>162</v>
      </c>
      <c r="G138" s="33">
        <v>1502000</v>
      </c>
      <c r="H138" s="72">
        <v>3.1</v>
      </c>
      <c r="I138" s="101" t="s">
        <v>591</v>
      </c>
      <c r="J138" s="72">
        <v>50</v>
      </c>
      <c r="K138" s="72" t="s">
        <v>38</v>
      </c>
      <c r="L138" s="88"/>
      <c r="M138" s="88"/>
    </row>
    <row r="139" spans="1:13" s="7" customFormat="1" ht="12" customHeight="1">
      <c r="A139" s="31" t="s">
        <v>227</v>
      </c>
      <c r="B139" s="31" t="s">
        <v>227</v>
      </c>
      <c r="C139" s="31" t="s">
        <v>52</v>
      </c>
      <c r="D139" s="31" t="s">
        <v>1</v>
      </c>
      <c r="E139" s="33" t="s">
        <v>161</v>
      </c>
      <c r="F139" s="72" t="s">
        <v>163</v>
      </c>
      <c r="G139" s="33">
        <v>1502000</v>
      </c>
      <c r="H139" s="72">
        <v>3.2</v>
      </c>
      <c r="I139" s="101" t="s">
        <v>601</v>
      </c>
      <c r="J139" s="72">
        <v>10</v>
      </c>
      <c r="K139" s="72" t="s">
        <v>38</v>
      </c>
      <c r="L139" s="88"/>
      <c r="M139" s="88"/>
    </row>
    <row r="140" spans="1:13" s="7" customFormat="1" ht="12" customHeight="1">
      <c r="A140" s="31" t="s">
        <v>227</v>
      </c>
      <c r="B140" s="31" t="s">
        <v>227</v>
      </c>
      <c r="C140" s="32" t="s">
        <v>120</v>
      </c>
      <c r="D140" s="32" t="s">
        <v>10</v>
      </c>
      <c r="E140" s="33" t="s">
        <v>161</v>
      </c>
      <c r="F140" s="72" t="s">
        <v>164</v>
      </c>
      <c r="G140" s="33">
        <v>1700000</v>
      </c>
      <c r="H140" s="33" t="s">
        <v>128</v>
      </c>
      <c r="I140" s="103" t="s">
        <v>129</v>
      </c>
      <c r="J140" s="92">
        <v>12</v>
      </c>
      <c r="K140" s="72" t="s">
        <v>41</v>
      </c>
      <c r="L140" s="88"/>
      <c r="M140" s="88"/>
    </row>
    <row r="141" spans="1:13" s="7" customFormat="1" ht="12" customHeight="1">
      <c r="A141" s="31" t="s">
        <v>227</v>
      </c>
      <c r="B141" s="31" t="s">
        <v>227</v>
      </c>
      <c r="C141" s="32" t="s">
        <v>120</v>
      </c>
      <c r="D141" s="32" t="s">
        <v>10</v>
      </c>
      <c r="E141" s="33" t="s">
        <v>161</v>
      </c>
      <c r="F141" s="72" t="s">
        <v>714</v>
      </c>
      <c r="G141" s="33">
        <v>1700000</v>
      </c>
      <c r="H141" s="33" t="s">
        <v>133</v>
      </c>
      <c r="I141" s="103" t="s">
        <v>134</v>
      </c>
      <c r="J141" s="92">
        <v>12</v>
      </c>
      <c r="K141" s="72" t="s">
        <v>41</v>
      </c>
      <c r="L141" s="88"/>
      <c r="M141" s="88"/>
    </row>
    <row r="142" spans="1:13" s="7" customFormat="1" ht="12" customHeight="1">
      <c r="A142" s="31" t="s">
        <v>232</v>
      </c>
      <c r="B142" s="31" t="s">
        <v>232</v>
      </c>
      <c r="C142" s="31" t="s">
        <v>52</v>
      </c>
      <c r="D142" s="32" t="s">
        <v>53</v>
      </c>
      <c r="E142" s="33" t="s">
        <v>166</v>
      </c>
      <c r="F142" s="72" t="s">
        <v>167</v>
      </c>
      <c r="G142" s="33">
        <v>1502000</v>
      </c>
      <c r="H142" s="72">
        <v>3.1</v>
      </c>
      <c r="I142" s="101" t="s">
        <v>591</v>
      </c>
      <c r="J142" s="72">
        <v>200</v>
      </c>
      <c r="K142" s="72" t="s">
        <v>38</v>
      </c>
      <c r="L142" s="88"/>
      <c r="M142" s="88"/>
    </row>
    <row r="143" spans="1:13" s="7" customFormat="1" ht="12" customHeight="1">
      <c r="A143" s="31" t="s">
        <v>232</v>
      </c>
      <c r="B143" s="31" t="s">
        <v>232</v>
      </c>
      <c r="C143" s="32" t="s">
        <v>52</v>
      </c>
      <c r="D143" s="32" t="s">
        <v>1</v>
      </c>
      <c r="E143" s="33" t="s">
        <v>166</v>
      </c>
      <c r="F143" s="72" t="s">
        <v>715</v>
      </c>
      <c r="G143" s="33">
        <v>1502000</v>
      </c>
      <c r="H143" s="72">
        <v>3.2</v>
      </c>
      <c r="I143" s="101" t="s">
        <v>601</v>
      </c>
      <c r="J143" s="92">
        <v>10</v>
      </c>
      <c r="K143" s="72" t="s">
        <v>38</v>
      </c>
      <c r="L143" s="88"/>
      <c r="M143" s="88"/>
    </row>
    <row r="144" spans="1:13" s="7" customFormat="1" ht="12" customHeight="1">
      <c r="A144" s="31" t="s">
        <v>232</v>
      </c>
      <c r="B144" s="31" t="s">
        <v>232</v>
      </c>
      <c r="C144" s="31" t="s">
        <v>52</v>
      </c>
      <c r="D144" s="32" t="s">
        <v>54</v>
      </c>
      <c r="E144" s="33" t="s">
        <v>166</v>
      </c>
      <c r="F144" s="72" t="s">
        <v>716</v>
      </c>
      <c r="G144" s="33">
        <v>1502000</v>
      </c>
      <c r="H144" s="72" t="s">
        <v>63</v>
      </c>
      <c r="I144" s="101" t="s">
        <v>64</v>
      </c>
      <c r="J144" s="72">
        <v>12</v>
      </c>
      <c r="K144" s="72" t="s">
        <v>41</v>
      </c>
      <c r="L144" s="88"/>
      <c r="M144" s="88"/>
    </row>
    <row r="145" spans="1:13" s="29" customFormat="1" ht="12" customHeight="1">
      <c r="A145" s="31" t="s">
        <v>232</v>
      </c>
      <c r="B145" s="31" t="s">
        <v>232</v>
      </c>
      <c r="C145" s="31" t="s">
        <v>52</v>
      </c>
      <c r="D145" s="32" t="s">
        <v>54</v>
      </c>
      <c r="E145" s="33" t="s">
        <v>166</v>
      </c>
      <c r="F145" s="72" t="s">
        <v>173</v>
      </c>
      <c r="G145" s="33">
        <v>1502000</v>
      </c>
      <c r="H145" s="72" t="s">
        <v>65</v>
      </c>
      <c r="I145" s="101" t="s">
        <v>66</v>
      </c>
      <c r="J145" s="72">
        <v>12</v>
      </c>
      <c r="K145" s="72" t="s">
        <v>41</v>
      </c>
      <c r="L145" s="88"/>
      <c r="M145" s="88"/>
    </row>
    <row r="146" spans="1:13" s="21" customFormat="1" ht="12" customHeight="1">
      <c r="A146" s="31" t="s">
        <v>232</v>
      </c>
      <c r="B146" s="31" t="s">
        <v>232</v>
      </c>
      <c r="C146" s="31" t="s">
        <v>52</v>
      </c>
      <c r="D146" s="32" t="s">
        <v>54</v>
      </c>
      <c r="E146" s="33" t="s">
        <v>166</v>
      </c>
      <c r="F146" s="72" t="s">
        <v>598</v>
      </c>
      <c r="G146" s="33">
        <v>1502000</v>
      </c>
      <c r="H146" s="72" t="s">
        <v>71</v>
      </c>
      <c r="I146" s="101" t="s">
        <v>72</v>
      </c>
      <c r="J146" s="72">
        <v>12</v>
      </c>
      <c r="K146" s="72" t="s">
        <v>41</v>
      </c>
      <c r="L146" s="88"/>
      <c r="M146" s="88"/>
    </row>
    <row r="147" spans="1:13" s="7" customFormat="1" ht="12" customHeight="1">
      <c r="A147" s="31" t="s">
        <v>232</v>
      </c>
      <c r="B147" s="31" t="s">
        <v>232</v>
      </c>
      <c r="C147" s="31" t="s">
        <v>52</v>
      </c>
      <c r="D147" s="32" t="s">
        <v>54</v>
      </c>
      <c r="E147" s="33" t="s">
        <v>166</v>
      </c>
      <c r="F147" s="72" t="s">
        <v>599</v>
      </c>
      <c r="G147" s="33">
        <v>1502000</v>
      </c>
      <c r="H147" s="72" t="s">
        <v>73</v>
      </c>
      <c r="I147" s="101" t="s">
        <v>74</v>
      </c>
      <c r="J147" s="72">
        <v>12</v>
      </c>
      <c r="K147" s="72" t="s">
        <v>41</v>
      </c>
      <c r="L147" s="88"/>
      <c r="M147" s="88"/>
    </row>
    <row r="148" spans="1:13" s="7" customFormat="1" ht="12" customHeight="1">
      <c r="A148" s="31" t="s">
        <v>232</v>
      </c>
      <c r="B148" s="31" t="s">
        <v>232</v>
      </c>
      <c r="C148" s="32" t="s">
        <v>120</v>
      </c>
      <c r="D148" s="31" t="s">
        <v>10</v>
      </c>
      <c r="E148" s="33" t="s">
        <v>166</v>
      </c>
      <c r="F148" s="72" t="s">
        <v>174</v>
      </c>
      <c r="G148" s="33">
        <v>1700000</v>
      </c>
      <c r="H148" s="33" t="s">
        <v>128</v>
      </c>
      <c r="I148" s="103" t="s">
        <v>129</v>
      </c>
      <c r="J148" s="92">
        <v>12</v>
      </c>
      <c r="K148" s="72" t="s">
        <v>41</v>
      </c>
      <c r="L148" s="88"/>
      <c r="M148" s="88"/>
    </row>
    <row r="149" spans="1:13" s="29" customFormat="1" ht="12" customHeight="1">
      <c r="A149" s="31" t="s">
        <v>232</v>
      </c>
      <c r="B149" s="31" t="s">
        <v>232</v>
      </c>
      <c r="C149" s="32" t="s">
        <v>120</v>
      </c>
      <c r="D149" s="31" t="s">
        <v>10</v>
      </c>
      <c r="E149" s="33" t="s">
        <v>166</v>
      </c>
      <c r="F149" s="72" t="s">
        <v>175</v>
      </c>
      <c r="G149" s="33">
        <v>1700000</v>
      </c>
      <c r="H149" s="36" t="s">
        <v>133</v>
      </c>
      <c r="I149" s="103" t="s">
        <v>134</v>
      </c>
      <c r="J149" s="92">
        <v>12</v>
      </c>
      <c r="K149" s="72" t="s">
        <v>41</v>
      </c>
      <c r="L149" s="88"/>
      <c r="M149" s="88"/>
    </row>
    <row r="150" spans="1:13" s="7" customFormat="1" ht="12" customHeight="1">
      <c r="A150" s="31" t="s">
        <v>232</v>
      </c>
      <c r="B150" s="31" t="s">
        <v>232</v>
      </c>
      <c r="C150" s="31" t="s">
        <v>52</v>
      </c>
      <c r="D150" s="32" t="s">
        <v>53</v>
      </c>
      <c r="E150" s="33" t="s">
        <v>166</v>
      </c>
      <c r="F150" s="72" t="s">
        <v>177</v>
      </c>
      <c r="G150" s="33">
        <v>1502000</v>
      </c>
      <c r="H150" s="72">
        <v>3.1</v>
      </c>
      <c r="I150" s="101" t="s">
        <v>591</v>
      </c>
      <c r="J150" s="72">
        <v>120</v>
      </c>
      <c r="K150" s="72" t="s">
        <v>38</v>
      </c>
      <c r="L150" s="88"/>
      <c r="M150" s="88"/>
    </row>
    <row r="151" spans="1:13" s="7" customFormat="1" ht="12" customHeight="1">
      <c r="A151" s="31" t="s">
        <v>232</v>
      </c>
      <c r="B151" s="31" t="s">
        <v>232</v>
      </c>
      <c r="C151" s="31" t="s">
        <v>52</v>
      </c>
      <c r="D151" s="32" t="s">
        <v>54</v>
      </c>
      <c r="E151" s="33" t="s">
        <v>166</v>
      </c>
      <c r="F151" s="72" t="s">
        <v>178</v>
      </c>
      <c r="G151" s="33">
        <v>1502000</v>
      </c>
      <c r="H151" s="72" t="s">
        <v>61</v>
      </c>
      <c r="I151" s="101" t="s">
        <v>62</v>
      </c>
      <c r="J151" s="72">
        <v>12</v>
      </c>
      <c r="K151" s="72" t="s">
        <v>41</v>
      </c>
      <c r="L151" s="88"/>
      <c r="M151" s="88"/>
    </row>
    <row r="152" spans="1:13" s="7" customFormat="1" ht="12" customHeight="1">
      <c r="A152" s="31" t="s">
        <v>232</v>
      </c>
      <c r="B152" s="31" t="s">
        <v>232</v>
      </c>
      <c r="C152" s="31" t="s">
        <v>52</v>
      </c>
      <c r="D152" s="32" t="s">
        <v>80</v>
      </c>
      <c r="E152" s="33" t="s">
        <v>166</v>
      </c>
      <c r="F152" s="72" t="s">
        <v>180</v>
      </c>
      <c r="G152" s="33">
        <v>1502000</v>
      </c>
      <c r="H152" s="72" t="s">
        <v>83</v>
      </c>
      <c r="I152" s="101" t="s">
        <v>84</v>
      </c>
      <c r="J152" s="72">
        <v>12</v>
      </c>
      <c r="K152" s="72" t="s">
        <v>41</v>
      </c>
      <c r="L152" s="88"/>
      <c r="M152" s="88"/>
    </row>
    <row r="153" spans="1:13" s="7" customFormat="1" ht="12" customHeight="1">
      <c r="A153" s="31" t="s">
        <v>238</v>
      </c>
      <c r="B153" s="31" t="s">
        <v>238</v>
      </c>
      <c r="C153" s="31" t="s">
        <v>52</v>
      </c>
      <c r="D153" s="32" t="s">
        <v>53</v>
      </c>
      <c r="E153" s="33" t="s">
        <v>225</v>
      </c>
      <c r="F153" s="72" t="s">
        <v>226</v>
      </c>
      <c r="G153" s="33">
        <v>1502000</v>
      </c>
      <c r="H153" s="72">
        <v>3.1</v>
      </c>
      <c r="I153" s="101" t="s">
        <v>591</v>
      </c>
      <c r="J153" s="72">
        <v>30</v>
      </c>
      <c r="K153" s="72" t="s">
        <v>38</v>
      </c>
      <c r="L153" s="88"/>
      <c r="M153" s="88"/>
    </row>
    <row r="154" spans="1:13" s="7" customFormat="1" ht="12" customHeight="1">
      <c r="A154" s="31" t="s">
        <v>238</v>
      </c>
      <c r="B154" s="31" t="s">
        <v>238</v>
      </c>
      <c r="C154" s="31" t="s">
        <v>52</v>
      </c>
      <c r="D154" s="32" t="s">
        <v>54</v>
      </c>
      <c r="E154" s="33" t="s">
        <v>225</v>
      </c>
      <c r="F154" s="72" t="s">
        <v>717</v>
      </c>
      <c r="G154" s="33">
        <v>1502000</v>
      </c>
      <c r="H154" s="72" t="s">
        <v>57</v>
      </c>
      <c r="I154" s="101" t="s">
        <v>58</v>
      </c>
      <c r="J154" s="72">
        <v>12</v>
      </c>
      <c r="K154" s="72" t="s">
        <v>41</v>
      </c>
      <c r="L154" s="88"/>
      <c r="M154" s="88"/>
    </row>
    <row r="155" spans="1:13" s="7" customFormat="1" ht="12" customHeight="1">
      <c r="A155" s="31" t="s">
        <v>318</v>
      </c>
      <c r="B155" s="31" t="s">
        <v>318</v>
      </c>
      <c r="C155" s="31" t="s">
        <v>52</v>
      </c>
      <c r="D155" s="32" t="s">
        <v>53</v>
      </c>
      <c r="E155" s="33" t="s">
        <v>228</v>
      </c>
      <c r="F155" s="72" t="s">
        <v>718</v>
      </c>
      <c r="G155" s="33">
        <v>1502000</v>
      </c>
      <c r="H155" s="72">
        <v>3.1</v>
      </c>
      <c r="I155" s="101" t="s">
        <v>591</v>
      </c>
      <c r="J155" s="72">
        <v>75</v>
      </c>
      <c r="K155" s="72" t="s">
        <v>38</v>
      </c>
      <c r="L155" s="88"/>
      <c r="M155" s="88"/>
    </row>
    <row r="156" spans="1:13" s="7" customFormat="1" ht="12" customHeight="1">
      <c r="A156" s="31" t="s">
        <v>318</v>
      </c>
      <c r="B156" s="31" t="s">
        <v>318</v>
      </c>
      <c r="C156" s="32" t="s">
        <v>52</v>
      </c>
      <c r="D156" s="32" t="s">
        <v>1</v>
      </c>
      <c r="E156" s="33" t="s">
        <v>228</v>
      </c>
      <c r="F156" s="72" t="s">
        <v>719</v>
      </c>
      <c r="G156" s="33">
        <v>1502000</v>
      </c>
      <c r="H156" s="72">
        <v>3.2</v>
      </c>
      <c r="I156" s="101" t="s">
        <v>601</v>
      </c>
      <c r="J156" s="92">
        <v>10</v>
      </c>
      <c r="K156" s="72" t="s">
        <v>38</v>
      </c>
      <c r="L156" s="88"/>
      <c r="M156" s="88"/>
    </row>
    <row r="157" spans="1:13" s="7" customFormat="1" ht="12" customHeight="1">
      <c r="A157" s="31" t="s">
        <v>318</v>
      </c>
      <c r="B157" s="31" t="s">
        <v>318</v>
      </c>
      <c r="C157" s="32" t="s">
        <v>52</v>
      </c>
      <c r="D157" s="32" t="s">
        <v>54</v>
      </c>
      <c r="E157" s="33" t="s">
        <v>228</v>
      </c>
      <c r="F157" s="72" t="s">
        <v>229</v>
      </c>
      <c r="G157" s="33">
        <v>1502000</v>
      </c>
      <c r="H157" s="72" t="s">
        <v>59</v>
      </c>
      <c r="I157" s="101" t="s">
        <v>60</v>
      </c>
      <c r="J157" s="72">
        <v>12</v>
      </c>
      <c r="K157" s="72" t="s">
        <v>41</v>
      </c>
      <c r="L157" s="88"/>
      <c r="M157" s="88"/>
    </row>
    <row r="158" spans="1:13" s="7" customFormat="1" ht="12" customHeight="1">
      <c r="A158" s="31" t="s">
        <v>318</v>
      </c>
      <c r="B158" s="31" t="s">
        <v>318</v>
      </c>
      <c r="C158" s="32" t="s">
        <v>52</v>
      </c>
      <c r="D158" s="32" t="s">
        <v>54</v>
      </c>
      <c r="E158" s="33" t="s">
        <v>228</v>
      </c>
      <c r="F158" s="72" t="s">
        <v>2238</v>
      </c>
      <c r="G158" s="33">
        <v>1502000</v>
      </c>
      <c r="H158" s="72" t="s">
        <v>61</v>
      </c>
      <c r="I158" s="101" t="s">
        <v>62</v>
      </c>
      <c r="J158" s="72">
        <v>12</v>
      </c>
      <c r="K158" s="72" t="s">
        <v>41</v>
      </c>
      <c r="L158" s="88"/>
      <c r="M158" s="88"/>
    </row>
    <row r="159" spans="1:13" s="7" customFormat="1" ht="12" customHeight="1">
      <c r="A159" s="31" t="s">
        <v>318</v>
      </c>
      <c r="B159" s="31" t="s">
        <v>318</v>
      </c>
      <c r="C159" s="32" t="s">
        <v>52</v>
      </c>
      <c r="D159" s="32" t="s">
        <v>54</v>
      </c>
      <c r="E159" s="33" t="s">
        <v>228</v>
      </c>
      <c r="F159" s="72" t="s">
        <v>2239</v>
      </c>
      <c r="G159" s="33">
        <v>1502000</v>
      </c>
      <c r="H159" s="72" t="s">
        <v>63</v>
      </c>
      <c r="I159" s="101" t="s">
        <v>64</v>
      </c>
      <c r="J159" s="72">
        <v>12</v>
      </c>
      <c r="K159" s="72" t="s">
        <v>41</v>
      </c>
      <c r="L159" s="88"/>
      <c r="M159" s="88"/>
    </row>
    <row r="160" spans="1:13" s="7" customFormat="1" ht="12" customHeight="1">
      <c r="A160" s="31" t="s">
        <v>318</v>
      </c>
      <c r="B160" s="31" t="s">
        <v>318</v>
      </c>
      <c r="C160" s="32" t="s">
        <v>52</v>
      </c>
      <c r="D160" s="32" t="s">
        <v>54</v>
      </c>
      <c r="E160" s="33" t="s">
        <v>228</v>
      </c>
      <c r="F160" s="72" t="s">
        <v>2245</v>
      </c>
      <c r="G160" s="33">
        <v>1502000</v>
      </c>
      <c r="H160" s="72" t="s">
        <v>71</v>
      </c>
      <c r="I160" s="101" t="s">
        <v>72</v>
      </c>
      <c r="J160" s="72">
        <v>12</v>
      </c>
      <c r="K160" s="72" t="s">
        <v>41</v>
      </c>
      <c r="L160" s="88"/>
      <c r="M160" s="88"/>
    </row>
    <row r="161" spans="1:13" s="7" customFormat="1" ht="12" customHeight="1">
      <c r="A161" s="31" t="s">
        <v>318</v>
      </c>
      <c r="B161" s="31" t="s">
        <v>318</v>
      </c>
      <c r="C161" s="31" t="s">
        <v>52</v>
      </c>
      <c r="D161" s="32" t="s">
        <v>54</v>
      </c>
      <c r="E161" s="33" t="s">
        <v>228</v>
      </c>
      <c r="F161" s="72" t="s">
        <v>2240</v>
      </c>
      <c r="G161" s="33">
        <v>1502000</v>
      </c>
      <c r="H161" s="72" t="s">
        <v>73</v>
      </c>
      <c r="I161" s="101" t="s">
        <v>74</v>
      </c>
      <c r="J161" s="72">
        <v>12</v>
      </c>
      <c r="K161" s="72" t="s">
        <v>41</v>
      </c>
      <c r="L161" s="88"/>
      <c r="M161" s="88"/>
    </row>
    <row r="162" spans="1:13" s="7" customFormat="1" ht="12" customHeight="1">
      <c r="A162" s="31" t="s">
        <v>318</v>
      </c>
      <c r="B162" s="31" t="s">
        <v>318</v>
      </c>
      <c r="C162" s="32" t="s">
        <v>52</v>
      </c>
      <c r="D162" s="32" t="s">
        <v>54</v>
      </c>
      <c r="E162" s="33" t="s">
        <v>228</v>
      </c>
      <c r="F162" s="72" t="s">
        <v>2241</v>
      </c>
      <c r="G162" s="33">
        <v>1502000</v>
      </c>
      <c r="H162" s="72" t="s">
        <v>75</v>
      </c>
      <c r="I162" s="101" t="s">
        <v>2194</v>
      </c>
      <c r="J162" s="72">
        <v>12</v>
      </c>
      <c r="K162" s="72" t="s">
        <v>41</v>
      </c>
      <c r="L162" s="88"/>
      <c r="M162" s="88"/>
    </row>
    <row r="163" spans="1:13" s="7" customFormat="1" ht="12" customHeight="1">
      <c r="A163" s="31" t="s">
        <v>318</v>
      </c>
      <c r="B163" s="31" t="s">
        <v>318</v>
      </c>
      <c r="C163" s="32" t="s">
        <v>52</v>
      </c>
      <c r="D163" s="32" t="s">
        <v>80</v>
      </c>
      <c r="E163" s="33" t="s">
        <v>228</v>
      </c>
      <c r="F163" s="72" t="s">
        <v>2242</v>
      </c>
      <c r="G163" s="33">
        <v>1502000</v>
      </c>
      <c r="H163" s="72" t="s">
        <v>81</v>
      </c>
      <c r="I163" s="101" t="s">
        <v>82</v>
      </c>
      <c r="J163" s="72">
        <v>12</v>
      </c>
      <c r="K163" s="72" t="s">
        <v>41</v>
      </c>
      <c r="L163" s="88"/>
      <c r="M163" s="88"/>
    </row>
    <row r="164" spans="1:13" s="7" customFormat="1" ht="12" customHeight="1">
      <c r="A164" s="31" t="s">
        <v>318</v>
      </c>
      <c r="B164" s="31" t="s">
        <v>318</v>
      </c>
      <c r="C164" s="32" t="s">
        <v>52</v>
      </c>
      <c r="D164" s="32" t="s">
        <v>80</v>
      </c>
      <c r="E164" s="33" t="s">
        <v>228</v>
      </c>
      <c r="F164" s="72" t="s">
        <v>2243</v>
      </c>
      <c r="G164" s="33">
        <v>1502000</v>
      </c>
      <c r="H164" s="72" t="s">
        <v>83</v>
      </c>
      <c r="I164" s="101" t="s">
        <v>84</v>
      </c>
      <c r="J164" s="72">
        <v>12</v>
      </c>
      <c r="K164" s="72" t="s">
        <v>41</v>
      </c>
      <c r="L164" s="88"/>
      <c r="M164" s="88"/>
    </row>
    <row r="165" spans="1:13" s="7" customFormat="1" ht="12" customHeight="1">
      <c r="A165" s="31" t="s">
        <v>318</v>
      </c>
      <c r="B165" s="31" t="s">
        <v>318</v>
      </c>
      <c r="C165" s="32" t="s">
        <v>52</v>
      </c>
      <c r="D165" s="32" t="s">
        <v>89</v>
      </c>
      <c r="E165" s="33" t="s">
        <v>228</v>
      </c>
      <c r="F165" s="72" t="s">
        <v>2244</v>
      </c>
      <c r="G165" s="33">
        <v>1502000</v>
      </c>
      <c r="H165" s="72" t="s">
        <v>91</v>
      </c>
      <c r="I165" s="101" t="s">
        <v>92</v>
      </c>
      <c r="J165" s="72">
        <v>12</v>
      </c>
      <c r="K165" s="72" t="s">
        <v>41</v>
      </c>
      <c r="L165" s="88"/>
      <c r="M165" s="88"/>
    </row>
    <row r="166" spans="1:13" s="7" customFormat="1" ht="12" customHeight="1">
      <c r="A166" s="31" t="s">
        <v>318</v>
      </c>
      <c r="B166" s="31" t="s">
        <v>318</v>
      </c>
      <c r="C166" s="32" t="s">
        <v>52</v>
      </c>
      <c r="D166" s="32" t="s">
        <v>89</v>
      </c>
      <c r="E166" s="33" t="s">
        <v>228</v>
      </c>
      <c r="F166" s="72" t="s">
        <v>2246</v>
      </c>
      <c r="G166" s="33">
        <v>1502000</v>
      </c>
      <c r="H166" s="72" t="s">
        <v>99</v>
      </c>
      <c r="I166" s="101" t="s">
        <v>100</v>
      </c>
      <c r="J166" s="72">
        <v>12</v>
      </c>
      <c r="K166" s="72" t="s">
        <v>41</v>
      </c>
      <c r="L166" s="88"/>
      <c r="M166" s="88"/>
    </row>
    <row r="167" spans="1:13" s="7" customFormat="1" ht="12" customHeight="1">
      <c r="A167" s="32" t="s">
        <v>245</v>
      </c>
      <c r="B167" s="32" t="s">
        <v>245</v>
      </c>
      <c r="C167" s="32" t="s">
        <v>52</v>
      </c>
      <c r="D167" s="32" t="s">
        <v>53</v>
      </c>
      <c r="E167" s="33" t="s">
        <v>230</v>
      </c>
      <c r="F167" s="72" t="s">
        <v>720</v>
      </c>
      <c r="G167" s="33">
        <v>1502000</v>
      </c>
      <c r="H167" s="72">
        <v>3.1</v>
      </c>
      <c r="I167" s="101" t="s">
        <v>591</v>
      </c>
      <c r="J167" s="72">
        <v>12</v>
      </c>
      <c r="K167" s="72" t="s">
        <v>38</v>
      </c>
      <c r="L167" s="88"/>
      <c r="M167" s="88"/>
    </row>
    <row r="168" spans="1:13" s="7" customFormat="1" ht="12" customHeight="1">
      <c r="A168" s="32" t="s">
        <v>245</v>
      </c>
      <c r="B168" s="32" t="s">
        <v>245</v>
      </c>
      <c r="C168" s="32" t="s">
        <v>120</v>
      </c>
      <c r="D168" s="32" t="s">
        <v>10</v>
      </c>
      <c r="E168" s="33" t="s">
        <v>230</v>
      </c>
      <c r="F168" s="72" t="s">
        <v>721</v>
      </c>
      <c r="G168" s="38">
        <v>1700000</v>
      </c>
      <c r="H168" s="33" t="s">
        <v>128</v>
      </c>
      <c r="I168" s="103" t="s">
        <v>129</v>
      </c>
      <c r="J168" s="72">
        <v>12</v>
      </c>
      <c r="K168" s="72" t="s">
        <v>41</v>
      </c>
      <c r="L168" s="88"/>
      <c r="M168" s="88"/>
    </row>
    <row r="169" spans="1:13" s="7" customFormat="1" ht="12" customHeight="1">
      <c r="A169" s="32" t="s">
        <v>245</v>
      </c>
      <c r="B169" s="32" t="s">
        <v>245</v>
      </c>
      <c r="C169" s="32" t="s">
        <v>120</v>
      </c>
      <c r="D169" s="32" t="s">
        <v>10</v>
      </c>
      <c r="E169" s="33" t="s">
        <v>230</v>
      </c>
      <c r="F169" s="72" t="s">
        <v>231</v>
      </c>
      <c r="G169" s="38">
        <v>1700000</v>
      </c>
      <c r="H169" s="33" t="s">
        <v>133</v>
      </c>
      <c r="I169" s="103" t="s">
        <v>134</v>
      </c>
      <c r="J169" s="72">
        <v>12</v>
      </c>
      <c r="K169" s="72" t="s">
        <v>41</v>
      </c>
      <c r="L169" s="88"/>
      <c r="M169" s="88"/>
    </row>
    <row r="170" spans="1:13" s="7" customFormat="1" ht="12" customHeight="1">
      <c r="A170" s="32" t="s">
        <v>245</v>
      </c>
      <c r="B170" s="32" t="s">
        <v>245</v>
      </c>
      <c r="C170" s="32" t="s">
        <v>120</v>
      </c>
      <c r="D170" s="32" t="s">
        <v>10</v>
      </c>
      <c r="E170" s="33" t="s">
        <v>230</v>
      </c>
      <c r="F170" s="72" t="s">
        <v>2247</v>
      </c>
      <c r="G170" s="38">
        <v>1700000</v>
      </c>
      <c r="H170" s="33" t="s">
        <v>135</v>
      </c>
      <c r="I170" s="101" t="s">
        <v>136</v>
      </c>
      <c r="J170" s="72">
        <v>3</v>
      </c>
      <c r="K170" s="72" t="s">
        <v>38</v>
      </c>
      <c r="L170" s="88"/>
      <c r="M170" s="88"/>
    </row>
    <row r="171" spans="1:13" s="7" customFormat="1" ht="12" customHeight="1">
      <c r="A171" s="37" t="s">
        <v>248</v>
      </c>
      <c r="B171" s="37" t="s">
        <v>248</v>
      </c>
      <c r="C171" s="32" t="s">
        <v>120</v>
      </c>
      <c r="D171" s="32" t="s">
        <v>10</v>
      </c>
      <c r="E171" s="33" t="s">
        <v>233</v>
      </c>
      <c r="F171" s="72" t="s">
        <v>722</v>
      </c>
      <c r="G171" s="38">
        <v>1700000</v>
      </c>
      <c r="H171" s="33" t="s">
        <v>130</v>
      </c>
      <c r="I171" s="103" t="s">
        <v>131</v>
      </c>
      <c r="J171" s="72">
        <v>12</v>
      </c>
      <c r="K171" s="72" t="s">
        <v>41</v>
      </c>
      <c r="L171" s="88"/>
      <c r="M171" s="88"/>
    </row>
    <row r="172" spans="1:13" s="7" customFormat="1" ht="12" customHeight="1">
      <c r="A172" s="37" t="s">
        <v>248</v>
      </c>
      <c r="B172" s="37" t="s">
        <v>248</v>
      </c>
      <c r="C172" s="32" t="s">
        <v>120</v>
      </c>
      <c r="D172" s="32" t="s">
        <v>10</v>
      </c>
      <c r="E172" s="33" t="s">
        <v>233</v>
      </c>
      <c r="F172" s="72" t="s">
        <v>723</v>
      </c>
      <c r="G172" s="38">
        <v>1700000</v>
      </c>
      <c r="H172" s="33" t="s">
        <v>133</v>
      </c>
      <c r="I172" s="103" t="s">
        <v>134</v>
      </c>
      <c r="J172" s="72">
        <v>12</v>
      </c>
      <c r="K172" s="72" t="s">
        <v>41</v>
      </c>
      <c r="L172" s="88"/>
      <c r="M172" s="88"/>
    </row>
    <row r="173" spans="1:13" s="7" customFormat="1" ht="12" customHeight="1">
      <c r="A173" s="31" t="s">
        <v>249</v>
      </c>
      <c r="B173" s="31" t="s">
        <v>249</v>
      </c>
      <c r="C173" s="31" t="s">
        <v>52</v>
      </c>
      <c r="D173" s="32" t="s">
        <v>53</v>
      </c>
      <c r="E173" s="33" t="s">
        <v>609</v>
      </c>
      <c r="F173" s="72" t="s">
        <v>724</v>
      </c>
      <c r="G173" s="33">
        <v>1502000</v>
      </c>
      <c r="H173" s="72">
        <v>3.1</v>
      </c>
      <c r="I173" s="101" t="s">
        <v>591</v>
      </c>
      <c r="J173" s="72">
        <v>17</v>
      </c>
      <c r="K173" s="72" t="s">
        <v>38</v>
      </c>
      <c r="L173" s="88"/>
      <c r="M173" s="88"/>
    </row>
    <row r="174" spans="1:13" s="7" customFormat="1" ht="12" customHeight="1">
      <c r="A174" s="31" t="s">
        <v>249</v>
      </c>
      <c r="B174" s="31" t="s">
        <v>249</v>
      </c>
      <c r="C174" s="31" t="s">
        <v>52</v>
      </c>
      <c r="D174" s="32" t="s">
        <v>54</v>
      </c>
      <c r="E174" s="33" t="s">
        <v>609</v>
      </c>
      <c r="F174" s="72" t="s">
        <v>725</v>
      </c>
      <c r="G174" s="33">
        <v>1502000</v>
      </c>
      <c r="H174" s="72" t="s">
        <v>59</v>
      </c>
      <c r="I174" s="101" t="s">
        <v>60</v>
      </c>
      <c r="J174" s="72">
        <v>12</v>
      </c>
      <c r="K174" s="72" t="s">
        <v>41</v>
      </c>
      <c r="L174" s="88"/>
      <c r="M174" s="88"/>
    </row>
    <row r="175" spans="1:13" s="7" customFormat="1" ht="12" customHeight="1">
      <c r="A175" s="31" t="s">
        <v>249</v>
      </c>
      <c r="B175" s="31" t="s">
        <v>249</v>
      </c>
      <c r="C175" s="31" t="s">
        <v>52</v>
      </c>
      <c r="D175" s="32" t="s">
        <v>54</v>
      </c>
      <c r="E175" s="33" t="s">
        <v>609</v>
      </c>
      <c r="F175" s="72" t="s">
        <v>234</v>
      </c>
      <c r="G175" s="33">
        <v>1502000</v>
      </c>
      <c r="H175" s="72" t="s">
        <v>65</v>
      </c>
      <c r="I175" s="101" t="s">
        <v>66</v>
      </c>
      <c r="J175" s="72">
        <v>12</v>
      </c>
      <c r="K175" s="72" t="s">
        <v>41</v>
      </c>
      <c r="L175" s="88"/>
      <c r="M175" s="88"/>
    </row>
    <row r="176" spans="1:13" s="7" customFormat="1" ht="12" customHeight="1">
      <c r="A176" s="31" t="s">
        <v>249</v>
      </c>
      <c r="B176" s="31" t="s">
        <v>249</v>
      </c>
      <c r="C176" s="31" t="s">
        <v>52</v>
      </c>
      <c r="D176" s="32" t="s">
        <v>54</v>
      </c>
      <c r="E176" s="33" t="s">
        <v>609</v>
      </c>
      <c r="F176" s="72" t="s">
        <v>726</v>
      </c>
      <c r="G176" s="33">
        <v>1502000</v>
      </c>
      <c r="H176" s="72" t="s">
        <v>71</v>
      </c>
      <c r="I176" s="101" t="s">
        <v>72</v>
      </c>
      <c r="J176" s="72">
        <v>12</v>
      </c>
      <c r="K176" s="72" t="s">
        <v>41</v>
      </c>
      <c r="L176" s="88"/>
      <c r="M176" s="88"/>
    </row>
    <row r="177" spans="1:13" s="7" customFormat="1" ht="12" customHeight="1">
      <c r="A177" s="31" t="s">
        <v>249</v>
      </c>
      <c r="B177" s="31" t="s">
        <v>249</v>
      </c>
      <c r="C177" s="31" t="s">
        <v>52</v>
      </c>
      <c r="D177" s="32" t="s">
        <v>54</v>
      </c>
      <c r="E177" s="33" t="s">
        <v>609</v>
      </c>
      <c r="F177" s="72" t="s">
        <v>2248</v>
      </c>
      <c r="G177" s="33">
        <v>1502000</v>
      </c>
      <c r="H177" s="72" t="s">
        <v>76</v>
      </c>
      <c r="I177" s="101" t="s">
        <v>77</v>
      </c>
      <c r="J177" s="72">
        <v>12</v>
      </c>
      <c r="K177" s="72" t="s">
        <v>41</v>
      </c>
      <c r="L177" s="88"/>
      <c r="M177" s="88"/>
    </row>
    <row r="178" spans="1:13" s="7" customFormat="1" ht="12" customHeight="1">
      <c r="A178" s="31" t="s">
        <v>249</v>
      </c>
      <c r="B178" s="31" t="s">
        <v>249</v>
      </c>
      <c r="C178" s="31" t="s">
        <v>52</v>
      </c>
      <c r="D178" s="31" t="s">
        <v>80</v>
      </c>
      <c r="E178" s="33" t="s">
        <v>609</v>
      </c>
      <c r="F178" s="72" t="s">
        <v>2249</v>
      </c>
      <c r="G178" s="33">
        <v>1502000</v>
      </c>
      <c r="H178" s="72" t="s">
        <v>81</v>
      </c>
      <c r="I178" s="101" t="s">
        <v>82</v>
      </c>
      <c r="J178" s="72">
        <v>12</v>
      </c>
      <c r="K178" s="72" t="s">
        <v>41</v>
      </c>
      <c r="L178" s="88"/>
      <c r="M178" s="88"/>
    </row>
    <row r="179" spans="1:13" s="7" customFormat="1" ht="12" customHeight="1">
      <c r="A179" s="31" t="s">
        <v>249</v>
      </c>
      <c r="B179" s="31" t="s">
        <v>249</v>
      </c>
      <c r="C179" s="31" t="s">
        <v>52</v>
      </c>
      <c r="D179" s="31" t="s">
        <v>80</v>
      </c>
      <c r="E179" s="33" t="s">
        <v>609</v>
      </c>
      <c r="F179" s="72" t="s">
        <v>2250</v>
      </c>
      <c r="G179" s="33">
        <v>1502000</v>
      </c>
      <c r="H179" s="72" t="s">
        <v>87</v>
      </c>
      <c r="I179" s="101" t="s">
        <v>77</v>
      </c>
      <c r="J179" s="72">
        <v>12</v>
      </c>
      <c r="K179" s="72" t="s">
        <v>41</v>
      </c>
      <c r="L179" s="88"/>
      <c r="M179" s="88"/>
    </row>
    <row r="180" spans="1:13" s="7" customFormat="1" ht="12" customHeight="1">
      <c r="A180" s="31" t="s">
        <v>250</v>
      </c>
      <c r="B180" s="31" t="s">
        <v>250</v>
      </c>
      <c r="C180" s="31" t="s">
        <v>52</v>
      </c>
      <c r="D180" s="32" t="s">
        <v>54</v>
      </c>
      <c r="E180" s="33" t="s">
        <v>235</v>
      </c>
      <c r="F180" s="72" t="s">
        <v>236</v>
      </c>
      <c r="G180" s="33">
        <v>1502000</v>
      </c>
      <c r="H180" s="72" t="s">
        <v>57</v>
      </c>
      <c r="I180" s="101" t="s">
        <v>58</v>
      </c>
      <c r="J180" s="72">
        <v>12</v>
      </c>
      <c r="K180" s="72" t="s">
        <v>41</v>
      </c>
      <c r="L180" s="88"/>
      <c r="M180" s="88"/>
    </row>
    <row r="181" spans="1:13" s="7" customFormat="1" ht="12" customHeight="1">
      <c r="A181" s="31" t="s">
        <v>250</v>
      </c>
      <c r="B181" s="31" t="s">
        <v>250</v>
      </c>
      <c r="C181" s="32" t="s">
        <v>52</v>
      </c>
      <c r="D181" s="32" t="s">
        <v>54</v>
      </c>
      <c r="E181" s="33" t="s">
        <v>235</v>
      </c>
      <c r="F181" s="72" t="s">
        <v>237</v>
      </c>
      <c r="G181" s="33">
        <v>1502000</v>
      </c>
      <c r="H181" s="72" t="s">
        <v>71</v>
      </c>
      <c r="I181" s="101" t="s">
        <v>72</v>
      </c>
      <c r="J181" s="72">
        <v>12</v>
      </c>
      <c r="K181" s="72" t="s">
        <v>41</v>
      </c>
      <c r="L181" s="88"/>
      <c r="M181" s="88"/>
    </row>
    <row r="182" spans="1:13" s="7" customFormat="1" ht="12" customHeight="1">
      <c r="A182" s="31" t="s">
        <v>250</v>
      </c>
      <c r="B182" s="31" t="s">
        <v>250</v>
      </c>
      <c r="C182" s="31" t="s">
        <v>52</v>
      </c>
      <c r="D182" s="32" t="s">
        <v>54</v>
      </c>
      <c r="E182" s="33" t="s">
        <v>235</v>
      </c>
      <c r="F182" s="72" t="s">
        <v>2251</v>
      </c>
      <c r="G182" s="33">
        <v>1502000</v>
      </c>
      <c r="H182" s="72" t="s">
        <v>73</v>
      </c>
      <c r="I182" s="101" t="s">
        <v>74</v>
      </c>
      <c r="J182" s="72">
        <v>12</v>
      </c>
      <c r="K182" s="72" t="s">
        <v>41</v>
      </c>
      <c r="L182" s="88"/>
      <c r="M182" s="88"/>
    </row>
    <row r="183" spans="1:13" s="21" customFormat="1" ht="12" customHeight="1">
      <c r="A183" s="31" t="s">
        <v>250</v>
      </c>
      <c r="B183" s="31" t="s">
        <v>250</v>
      </c>
      <c r="C183" s="32" t="s">
        <v>52</v>
      </c>
      <c r="D183" s="32" t="s">
        <v>89</v>
      </c>
      <c r="E183" s="33" t="s">
        <v>235</v>
      </c>
      <c r="F183" s="72" t="s">
        <v>2252</v>
      </c>
      <c r="G183" s="33">
        <v>1502000</v>
      </c>
      <c r="H183" s="72" t="s">
        <v>95</v>
      </c>
      <c r="I183" s="101" t="s">
        <v>96</v>
      </c>
      <c r="J183" s="72">
        <v>12</v>
      </c>
      <c r="K183" s="72" t="s">
        <v>41</v>
      </c>
      <c r="L183" s="88"/>
      <c r="M183" s="88"/>
    </row>
    <row r="184" spans="1:13" s="7" customFormat="1" ht="12" customHeight="1">
      <c r="A184" s="31" t="s">
        <v>251</v>
      </c>
      <c r="B184" s="31" t="s">
        <v>251</v>
      </c>
      <c r="C184" s="31" t="s">
        <v>52</v>
      </c>
      <c r="D184" s="32" t="s">
        <v>54</v>
      </c>
      <c r="E184" s="33" t="s">
        <v>239</v>
      </c>
      <c r="F184" s="72" t="s">
        <v>727</v>
      </c>
      <c r="G184" s="33">
        <v>1502000</v>
      </c>
      <c r="H184" s="72" t="s">
        <v>59</v>
      </c>
      <c r="I184" s="101" t="s">
        <v>60</v>
      </c>
      <c r="J184" s="72">
        <v>12</v>
      </c>
      <c r="K184" s="72" t="s">
        <v>41</v>
      </c>
      <c r="L184" s="88"/>
      <c r="M184" s="88"/>
    </row>
    <row r="185" spans="1:13" s="7" customFormat="1" ht="12" customHeight="1">
      <c r="A185" s="31" t="s">
        <v>251</v>
      </c>
      <c r="B185" s="31" t="s">
        <v>251</v>
      </c>
      <c r="C185" s="32" t="s">
        <v>52</v>
      </c>
      <c r="D185" s="32" t="s">
        <v>54</v>
      </c>
      <c r="E185" s="33" t="s">
        <v>239</v>
      </c>
      <c r="F185" s="72" t="s">
        <v>728</v>
      </c>
      <c r="G185" s="33">
        <v>1502000</v>
      </c>
      <c r="H185" s="72" t="s">
        <v>71</v>
      </c>
      <c r="I185" s="101" t="s">
        <v>72</v>
      </c>
      <c r="J185" s="72">
        <v>12</v>
      </c>
      <c r="K185" s="72" t="s">
        <v>41</v>
      </c>
      <c r="L185" s="88"/>
      <c r="M185" s="88"/>
    </row>
    <row r="186" spans="1:13" s="7" customFormat="1" ht="12" customHeight="1">
      <c r="A186" s="31" t="s">
        <v>251</v>
      </c>
      <c r="B186" s="31" t="s">
        <v>251</v>
      </c>
      <c r="C186" s="32" t="s">
        <v>52</v>
      </c>
      <c r="D186" s="32" t="s">
        <v>54</v>
      </c>
      <c r="E186" s="33" t="s">
        <v>239</v>
      </c>
      <c r="F186" s="72" t="s">
        <v>240</v>
      </c>
      <c r="G186" s="33">
        <v>1502000</v>
      </c>
      <c r="H186" s="72" t="s">
        <v>76</v>
      </c>
      <c r="I186" s="101" t="s">
        <v>77</v>
      </c>
      <c r="J186" s="72">
        <v>12</v>
      </c>
      <c r="K186" s="72" t="s">
        <v>41</v>
      </c>
      <c r="L186" s="88"/>
      <c r="M186" s="88"/>
    </row>
    <row r="187" spans="1:13" s="7" customFormat="1" ht="12" customHeight="1">
      <c r="A187" s="31" t="s">
        <v>251</v>
      </c>
      <c r="B187" s="31" t="s">
        <v>251</v>
      </c>
      <c r="C187" s="31" t="s">
        <v>52</v>
      </c>
      <c r="D187" s="31" t="s">
        <v>80</v>
      </c>
      <c r="E187" s="33" t="s">
        <v>239</v>
      </c>
      <c r="F187" s="72" t="s">
        <v>241</v>
      </c>
      <c r="G187" s="33">
        <v>1502000</v>
      </c>
      <c r="H187" s="72" t="s">
        <v>87</v>
      </c>
      <c r="I187" s="101" t="s">
        <v>77</v>
      </c>
      <c r="J187" s="72">
        <v>12</v>
      </c>
      <c r="K187" s="72" t="s">
        <v>41</v>
      </c>
      <c r="L187" s="88"/>
      <c r="M187" s="88"/>
    </row>
    <row r="188" spans="1:13" s="7" customFormat="1" ht="12" customHeight="1">
      <c r="A188" s="31" t="s">
        <v>252</v>
      </c>
      <c r="B188" s="31" t="s">
        <v>252</v>
      </c>
      <c r="C188" s="31" t="s">
        <v>52</v>
      </c>
      <c r="D188" s="32" t="s">
        <v>54</v>
      </c>
      <c r="E188" s="33" t="s">
        <v>242</v>
      </c>
      <c r="F188" s="72" t="s">
        <v>729</v>
      </c>
      <c r="G188" s="33">
        <v>1502000</v>
      </c>
      <c r="H188" s="72" t="s">
        <v>65</v>
      </c>
      <c r="I188" s="101" t="s">
        <v>66</v>
      </c>
      <c r="J188" s="72">
        <v>12</v>
      </c>
      <c r="K188" s="72" t="s">
        <v>41</v>
      </c>
      <c r="L188" s="88"/>
      <c r="M188" s="88"/>
    </row>
    <row r="189" spans="1:13" s="7" customFormat="1" ht="12" customHeight="1">
      <c r="A189" s="31" t="s">
        <v>252</v>
      </c>
      <c r="B189" s="31" t="s">
        <v>252</v>
      </c>
      <c r="C189" s="32" t="s">
        <v>52</v>
      </c>
      <c r="D189" s="32" t="s">
        <v>54</v>
      </c>
      <c r="E189" s="33" t="s">
        <v>242</v>
      </c>
      <c r="F189" s="72" t="s">
        <v>730</v>
      </c>
      <c r="G189" s="33">
        <v>1502000</v>
      </c>
      <c r="H189" s="72" t="s">
        <v>57</v>
      </c>
      <c r="I189" s="101" t="s">
        <v>58</v>
      </c>
      <c r="J189" s="72">
        <v>12</v>
      </c>
      <c r="K189" s="72" t="s">
        <v>41</v>
      </c>
      <c r="L189" s="88"/>
      <c r="M189" s="88"/>
    </row>
    <row r="190" spans="1:13" s="7" customFormat="1" ht="12" customHeight="1">
      <c r="A190" s="31" t="s">
        <v>252</v>
      </c>
      <c r="B190" s="31" t="s">
        <v>252</v>
      </c>
      <c r="C190" s="32" t="s">
        <v>52</v>
      </c>
      <c r="D190" s="32" t="s">
        <v>54</v>
      </c>
      <c r="E190" s="33" t="s">
        <v>242</v>
      </c>
      <c r="F190" s="72" t="s">
        <v>243</v>
      </c>
      <c r="G190" s="33">
        <v>1502000</v>
      </c>
      <c r="H190" s="72" t="s">
        <v>71</v>
      </c>
      <c r="I190" s="101" t="s">
        <v>72</v>
      </c>
      <c r="J190" s="72">
        <v>12</v>
      </c>
      <c r="K190" s="72" t="s">
        <v>41</v>
      </c>
      <c r="L190" s="88"/>
      <c r="M190" s="88"/>
    </row>
    <row r="191" spans="1:13" s="7" customFormat="1" ht="12" customHeight="1">
      <c r="A191" s="31" t="s">
        <v>252</v>
      </c>
      <c r="B191" s="31" t="s">
        <v>252</v>
      </c>
      <c r="C191" s="31" t="s">
        <v>52</v>
      </c>
      <c r="D191" s="32" t="s">
        <v>89</v>
      </c>
      <c r="E191" s="33" t="s">
        <v>242</v>
      </c>
      <c r="F191" s="72" t="s">
        <v>244</v>
      </c>
      <c r="G191" s="33">
        <v>1502000</v>
      </c>
      <c r="H191" s="72" t="s">
        <v>95</v>
      </c>
      <c r="I191" s="101" t="s">
        <v>96</v>
      </c>
      <c r="J191" s="72">
        <v>12</v>
      </c>
      <c r="K191" s="72" t="s">
        <v>41</v>
      </c>
      <c r="L191" s="88"/>
      <c r="M191" s="88"/>
    </row>
    <row r="192" spans="1:13" s="7" customFormat="1" ht="12" customHeight="1">
      <c r="A192" s="31" t="s">
        <v>252</v>
      </c>
      <c r="B192" s="31" t="s">
        <v>252</v>
      </c>
      <c r="C192" s="32" t="s">
        <v>52</v>
      </c>
      <c r="D192" s="32" t="s">
        <v>54</v>
      </c>
      <c r="E192" s="33" t="s">
        <v>242</v>
      </c>
      <c r="F192" s="72" t="s">
        <v>2253</v>
      </c>
      <c r="G192" s="36">
        <v>1502000</v>
      </c>
      <c r="H192" s="72" t="s">
        <v>73</v>
      </c>
      <c r="I192" s="101" t="s">
        <v>74</v>
      </c>
      <c r="J192" s="72">
        <v>12</v>
      </c>
      <c r="K192" s="72" t="s">
        <v>41</v>
      </c>
      <c r="L192" s="88"/>
      <c r="M192" s="88"/>
    </row>
    <row r="193" spans="1:13" ht="12" customHeight="1">
      <c r="A193" s="3"/>
      <c r="B193" s="3"/>
      <c r="C193" s="3"/>
      <c r="D193" s="3"/>
      <c r="E193" s="3"/>
      <c r="F193" s="73"/>
      <c r="G193" s="26"/>
      <c r="H193" s="27"/>
      <c r="I193" s="104" t="s">
        <v>253</v>
      </c>
      <c r="J193" s="96"/>
      <c r="K193" s="96"/>
      <c r="L193" s="88"/>
      <c r="M193" s="88"/>
    </row>
  </sheetData>
  <autoFilter ref="A7:M193"/>
  <mergeCells count="3">
    <mergeCell ref="C1:I1"/>
    <mergeCell ref="C2:I2"/>
    <mergeCell ref="C3:I3"/>
  </mergeCells>
  <pageMargins left="0.7" right="0.7" top="0.75" bottom="0.75" header="0.3" footer="0.3"/>
  <pageSetup fitToHeight="0" orientation="portrait" horizontalDpi="1200" verticalDpi="1200" r:id="rId1"/>
  <ignoredErrors>
    <ignoredError sqref="G62 G65:G67 G88" numberStoredAsText="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0"/>
  <sheetViews>
    <sheetView topLeftCell="A4" zoomScale="120" zoomScaleNormal="120"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7.140625" style="2" customWidth="1"/>
    <col min="8" max="8" width="9.140625" style="2"/>
    <col min="9" max="9" width="9.140625" style="2" customWidth="1"/>
    <col min="10" max="16384" width="9.140625" style="2"/>
  </cols>
  <sheetData>
    <row r="1" spans="1:7">
      <c r="A1" s="14"/>
      <c r="B1" s="83" t="s">
        <v>18</v>
      </c>
      <c r="C1" s="84"/>
    </row>
    <row r="2" spans="1:7">
      <c r="A2" s="14"/>
      <c r="B2" s="83" t="s">
        <v>19</v>
      </c>
      <c r="C2" s="28"/>
    </row>
    <row r="3" spans="1:7">
      <c r="A3" s="14"/>
      <c r="B3" s="83" t="s">
        <v>761</v>
      </c>
      <c r="C3" s="28"/>
    </row>
    <row r="4" spans="1:7">
      <c r="A4" s="62"/>
      <c r="B4" s="80"/>
      <c r="C4" s="3"/>
    </row>
    <row r="5" spans="1:7">
      <c r="A5" s="63"/>
      <c r="B5" s="63" t="s">
        <v>734</v>
      </c>
      <c r="C5" s="16"/>
    </row>
    <row r="6" spans="1:7">
      <c r="A6" s="63"/>
      <c r="B6" s="63" t="s">
        <v>254</v>
      </c>
      <c r="C6" s="16"/>
    </row>
    <row r="7" spans="1:7" ht="14.45" customHeight="1">
      <c r="A7" s="19"/>
      <c r="B7" s="19" t="s">
        <v>2200</v>
      </c>
      <c r="C7" s="13"/>
    </row>
    <row r="8" spans="1:7" s="20" customFormat="1" ht="70.5" customHeight="1">
      <c r="A8" s="41" t="s">
        <v>24</v>
      </c>
      <c r="B8" s="41" t="s">
        <v>255</v>
      </c>
      <c r="C8" s="41" t="s">
        <v>256</v>
      </c>
      <c r="D8" s="42" t="s">
        <v>257</v>
      </c>
      <c r="E8" s="42" t="s">
        <v>29</v>
      </c>
      <c r="F8" s="42" t="s">
        <v>30</v>
      </c>
      <c r="G8" s="43" t="s">
        <v>31</v>
      </c>
    </row>
    <row r="9" spans="1:7" ht="282" customHeight="1">
      <c r="A9" s="44" t="s">
        <v>258</v>
      </c>
      <c r="B9" s="45" t="s">
        <v>259</v>
      </c>
      <c r="C9" s="46" t="s">
        <v>2620</v>
      </c>
      <c r="D9" s="47">
        <f>G10+G11</f>
        <v>0</v>
      </c>
      <c r="E9" s="33" t="s">
        <v>206</v>
      </c>
      <c r="F9" s="109">
        <v>1</v>
      </c>
      <c r="G9" s="40"/>
    </row>
    <row r="10" spans="1:7" ht="180" customHeight="1">
      <c r="A10" s="44" t="s">
        <v>2198</v>
      </c>
      <c r="B10" s="45" t="s">
        <v>2227</v>
      </c>
      <c r="C10" s="46" t="s">
        <v>2226</v>
      </c>
      <c r="D10" s="47">
        <v>16000</v>
      </c>
      <c r="E10" s="33" t="s">
        <v>260</v>
      </c>
      <c r="F10" s="40"/>
      <c r="G10" s="40"/>
    </row>
    <row r="11" spans="1:7" ht="204.75" customHeight="1">
      <c r="A11" s="44" t="s">
        <v>2199</v>
      </c>
      <c r="B11" s="45" t="s">
        <v>2228</v>
      </c>
      <c r="C11" s="46" t="s">
        <v>2197</v>
      </c>
      <c r="D11" s="47">
        <v>1600000</v>
      </c>
      <c r="E11" s="33" t="s">
        <v>206</v>
      </c>
      <c r="F11" s="40"/>
      <c r="G11" s="40"/>
    </row>
    <row r="12" spans="1:7" s="7" customFormat="1" ht="212.25" customHeight="1">
      <c r="A12" s="44" t="s">
        <v>261</v>
      </c>
      <c r="B12" s="45" t="s">
        <v>267</v>
      </c>
      <c r="C12" s="46" t="s">
        <v>2201</v>
      </c>
      <c r="D12" s="50">
        <v>2000000</v>
      </c>
      <c r="E12" s="33" t="s">
        <v>206</v>
      </c>
      <c r="F12" s="40"/>
      <c r="G12" s="40"/>
    </row>
    <row r="13" spans="1:7" s="7" customFormat="1" ht="144.75" customHeight="1">
      <c r="A13" s="44" t="s">
        <v>262</v>
      </c>
      <c r="B13" s="45" t="s">
        <v>269</v>
      </c>
      <c r="C13" s="46" t="s">
        <v>753</v>
      </c>
      <c r="D13" s="51">
        <v>115</v>
      </c>
      <c r="E13" s="52" t="s">
        <v>38</v>
      </c>
      <c r="F13" s="53"/>
      <c r="G13" s="40"/>
    </row>
    <row r="14" spans="1:7" ht="149.25" customHeight="1">
      <c r="A14" s="44" t="s">
        <v>263</v>
      </c>
      <c r="B14" s="45" t="s">
        <v>271</v>
      </c>
      <c r="C14" s="46" t="s">
        <v>754</v>
      </c>
      <c r="D14" s="51">
        <v>130</v>
      </c>
      <c r="E14" s="52" t="s">
        <v>38</v>
      </c>
      <c r="F14" s="54"/>
      <c r="G14" s="40"/>
    </row>
    <row r="15" spans="1:7" s="12" customFormat="1" ht="148.5" customHeight="1">
      <c r="A15" s="44" t="s">
        <v>264</v>
      </c>
      <c r="B15" s="45" t="s">
        <v>273</v>
      </c>
      <c r="C15" s="46" t="s">
        <v>756</v>
      </c>
      <c r="D15" s="51">
        <v>95</v>
      </c>
      <c r="E15" s="52" t="s">
        <v>38</v>
      </c>
      <c r="F15" s="54"/>
      <c r="G15" s="40"/>
    </row>
    <row r="16" spans="1:7" s="60" customFormat="1" ht="149.25" customHeight="1">
      <c r="A16" s="44" t="s">
        <v>265</v>
      </c>
      <c r="B16" s="48" t="s">
        <v>737</v>
      </c>
      <c r="C16" s="49" t="s">
        <v>757</v>
      </c>
      <c r="D16" s="51">
        <v>50</v>
      </c>
      <c r="E16" s="52" t="s">
        <v>38</v>
      </c>
      <c r="F16" s="53"/>
      <c r="G16" s="35"/>
    </row>
    <row r="17" spans="1:7" s="60" customFormat="1" ht="151.5" customHeight="1">
      <c r="A17" s="44" t="s">
        <v>266</v>
      </c>
      <c r="B17" s="48" t="s">
        <v>750</v>
      </c>
      <c r="C17" s="49" t="s">
        <v>758</v>
      </c>
      <c r="D17" s="51">
        <v>40</v>
      </c>
      <c r="E17" s="52" t="s">
        <v>38</v>
      </c>
      <c r="F17" s="53"/>
      <c r="G17" s="35"/>
    </row>
    <row r="18" spans="1:7" s="60" customFormat="1" ht="153.75" customHeight="1">
      <c r="A18" s="44" t="s">
        <v>268</v>
      </c>
      <c r="B18" s="48" t="s">
        <v>751</v>
      </c>
      <c r="C18" s="49" t="s">
        <v>759</v>
      </c>
      <c r="D18" s="51">
        <v>30</v>
      </c>
      <c r="E18" s="52" t="s">
        <v>38</v>
      </c>
      <c r="F18" s="53"/>
      <c r="G18" s="35"/>
    </row>
    <row r="19" spans="1:7" s="60" customFormat="1" ht="150" customHeight="1">
      <c r="A19" s="44" t="s">
        <v>270</v>
      </c>
      <c r="B19" s="48" t="s">
        <v>752</v>
      </c>
      <c r="C19" s="49" t="s">
        <v>760</v>
      </c>
      <c r="D19" s="51">
        <v>20</v>
      </c>
      <c r="E19" s="52" t="s">
        <v>38</v>
      </c>
      <c r="F19" s="53"/>
      <c r="G19" s="35"/>
    </row>
    <row r="20" spans="1:7" ht="114.75">
      <c r="A20" s="44" t="s">
        <v>272</v>
      </c>
      <c r="B20" s="56" t="s">
        <v>2638</v>
      </c>
      <c r="C20" s="45" t="s">
        <v>275</v>
      </c>
      <c r="D20" s="51">
        <v>20000</v>
      </c>
      <c r="E20" s="33" t="s">
        <v>276</v>
      </c>
      <c r="F20" s="55"/>
      <c r="G20" s="55"/>
    </row>
    <row r="21" spans="1:7" ht="114.75">
      <c r="A21" s="44" t="s">
        <v>274</v>
      </c>
      <c r="B21" s="56" t="s">
        <v>2637</v>
      </c>
      <c r="C21" s="45" t="s">
        <v>278</v>
      </c>
      <c r="D21" s="51">
        <v>30000</v>
      </c>
      <c r="E21" s="33" t="s">
        <v>276</v>
      </c>
      <c r="F21" s="55"/>
      <c r="G21" s="55"/>
    </row>
    <row r="22" spans="1:7" ht="76.5">
      <c r="A22" s="44" t="s">
        <v>277</v>
      </c>
      <c r="B22" s="56" t="s">
        <v>2636</v>
      </c>
      <c r="C22" s="45" t="s">
        <v>280</v>
      </c>
      <c r="D22" s="51">
        <v>18</v>
      </c>
      <c r="E22" s="33" t="s">
        <v>41</v>
      </c>
      <c r="F22" s="55"/>
      <c r="G22" s="55"/>
    </row>
    <row r="23" spans="1:7" ht="76.5">
      <c r="A23" s="44" t="s">
        <v>279</v>
      </c>
      <c r="B23" s="56" t="s">
        <v>2635</v>
      </c>
      <c r="C23" s="45" t="s">
        <v>282</v>
      </c>
      <c r="D23" s="51">
        <v>18</v>
      </c>
      <c r="E23" s="33" t="s">
        <v>41</v>
      </c>
      <c r="F23" s="55"/>
      <c r="G23" s="55"/>
    </row>
    <row r="24" spans="1:7" ht="91.5" customHeight="1">
      <c r="A24" s="44" t="s">
        <v>281</v>
      </c>
      <c r="B24" s="56" t="s">
        <v>2634</v>
      </c>
      <c r="C24" s="45" t="s">
        <v>284</v>
      </c>
      <c r="D24" s="51">
        <v>6</v>
      </c>
      <c r="E24" s="33" t="s">
        <v>38</v>
      </c>
      <c r="F24" s="55"/>
      <c r="G24" s="55"/>
    </row>
    <row r="25" spans="1:7" ht="127.5" customHeight="1">
      <c r="A25" s="44" t="s">
        <v>283</v>
      </c>
      <c r="B25" s="45" t="s">
        <v>2633</v>
      </c>
      <c r="C25" s="49" t="s">
        <v>769</v>
      </c>
      <c r="D25" s="51">
        <v>100</v>
      </c>
      <c r="E25" s="33" t="s">
        <v>287</v>
      </c>
      <c r="F25" s="55"/>
      <c r="G25" s="55"/>
    </row>
    <row r="26" spans="1:7" ht="127.5">
      <c r="A26" s="44" t="s">
        <v>285</v>
      </c>
      <c r="B26" s="45" t="s">
        <v>2629</v>
      </c>
      <c r="C26" s="49" t="s">
        <v>290</v>
      </c>
      <c r="D26" s="51">
        <v>5</v>
      </c>
      <c r="E26" s="33" t="s">
        <v>38</v>
      </c>
      <c r="F26" s="55"/>
      <c r="G26" s="55"/>
    </row>
    <row r="27" spans="1:7" ht="114.75">
      <c r="A27" s="44" t="s">
        <v>288</v>
      </c>
      <c r="B27" s="45" t="s">
        <v>2630</v>
      </c>
      <c r="C27" s="46" t="s">
        <v>292</v>
      </c>
      <c r="D27" s="51">
        <v>50</v>
      </c>
      <c r="E27" s="33" t="s">
        <v>38</v>
      </c>
      <c r="F27" s="55"/>
      <c r="G27" s="55"/>
    </row>
    <row r="28" spans="1:7" ht="102">
      <c r="A28" s="44" t="s">
        <v>289</v>
      </c>
      <c r="B28" s="45" t="s">
        <v>2631</v>
      </c>
      <c r="C28" s="46" t="s">
        <v>755</v>
      </c>
      <c r="D28" s="51">
        <v>30</v>
      </c>
      <c r="E28" s="33" t="s">
        <v>38</v>
      </c>
      <c r="F28" s="55"/>
      <c r="G28" s="55"/>
    </row>
    <row r="29" spans="1:7" ht="89.25">
      <c r="A29" s="44" t="s">
        <v>291</v>
      </c>
      <c r="B29" s="45" t="s">
        <v>2632</v>
      </c>
      <c r="C29" s="46" t="s">
        <v>732</v>
      </c>
      <c r="D29" s="51">
        <v>2</v>
      </c>
      <c r="E29" s="33" t="s">
        <v>38</v>
      </c>
      <c r="F29" s="55"/>
      <c r="G29" s="55"/>
    </row>
    <row r="30" spans="1:7" ht="47.25" customHeight="1">
      <c r="A30" s="67" t="s">
        <v>293</v>
      </c>
      <c r="B30" s="11"/>
      <c r="C30" s="11"/>
      <c r="G30" s="68"/>
    </row>
    <row r="63" spans="3:3">
      <c r="C63" s="2" t="s">
        <v>16</v>
      </c>
    </row>
    <row r="70" spans="3:3">
      <c r="C70" s="2" t="s">
        <v>16</v>
      </c>
    </row>
  </sheetData>
  <pageMargins left="0.7" right="0.7" top="0.75" bottom="0.75" header="0.3" footer="0.3"/>
  <pageSetup scale="22" fitToWidth="0" orientation="portrait" horizontalDpi="1200" verticalDpi="1200" r:id="rId1"/>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zoomScale="90" zoomScaleNormal="90" workbookViewId="0">
      <selection activeCell="L28" sqref="L2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2" ht="15">
      <c r="B1" s="113" t="s">
        <v>18</v>
      </c>
      <c r="C1" s="114"/>
      <c r="D1" s="114"/>
      <c r="E1" s="114"/>
      <c r="F1" s="114"/>
      <c r="G1" s="114"/>
      <c r="H1" s="114"/>
    </row>
    <row r="2" spans="1:12" ht="15">
      <c r="B2" s="113" t="s">
        <v>19</v>
      </c>
      <c r="C2" s="114"/>
      <c r="D2" s="114"/>
      <c r="E2" s="114"/>
      <c r="F2" s="114"/>
      <c r="G2" s="114"/>
      <c r="H2" s="114"/>
    </row>
    <row r="3" spans="1:12" ht="15">
      <c r="B3" s="113" t="s">
        <v>761</v>
      </c>
      <c r="C3" s="114"/>
      <c r="D3" s="114"/>
      <c r="E3" s="114"/>
      <c r="F3" s="114"/>
      <c r="G3" s="114"/>
      <c r="H3" s="114"/>
    </row>
    <row r="4" spans="1:12">
      <c r="B4" s="65"/>
      <c r="E4" s="10"/>
      <c r="F4" s="61"/>
      <c r="G4" s="61"/>
      <c r="H4" s="3"/>
    </row>
    <row r="5" spans="1:12">
      <c r="B5" s="65"/>
      <c r="E5" s="10"/>
      <c r="F5" s="61"/>
      <c r="G5" s="61"/>
      <c r="H5" s="3"/>
    </row>
    <row r="6" spans="1:12">
      <c r="B6" s="63" t="s">
        <v>735</v>
      </c>
      <c r="C6" s="16"/>
      <c r="D6" s="16"/>
      <c r="E6" s="16"/>
      <c r="F6" s="9"/>
      <c r="G6" s="16"/>
      <c r="H6" s="16"/>
    </row>
    <row r="7" spans="1:12" ht="12.95" customHeight="1">
      <c r="B7" s="64" t="s">
        <v>20</v>
      </c>
      <c r="C7" s="15"/>
      <c r="D7" s="15"/>
      <c r="E7" s="14"/>
      <c r="F7" s="61"/>
      <c r="G7" s="14"/>
      <c r="H7" s="14"/>
    </row>
    <row r="8" spans="1:12" ht="13.5" thickBot="1">
      <c r="B8" s="19" t="s">
        <v>2599</v>
      </c>
      <c r="C8" s="17"/>
      <c r="D8" s="17"/>
      <c r="E8" s="17"/>
      <c r="F8" s="18"/>
      <c r="G8" s="17"/>
      <c r="H8" s="17"/>
    </row>
    <row r="9" spans="1:12"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2" s="7" customFormat="1">
      <c r="A10" s="37" t="s">
        <v>108</v>
      </c>
      <c r="B10" s="32" t="s">
        <v>294</v>
      </c>
      <c r="C10" s="32" t="s">
        <v>111</v>
      </c>
      <c r="D10" s="33" t="s">
        <v>246</v>
      </c>
      <c r="E10" s="33" t="s">
        <v>731</v>
      </c>
      <c r="F10" s="33">
        <v>1606000</v>
      </c>
      <c r="G10" s="33">
        <v>3.1</v>
      </c>
      <c r="H10" s="37" t="s">
        <v>8</v>
      </c>
      <c r="I10" s="33">
        <v>12</v>
      </c>
      <c r="J10" s="33" t="s">
        <v>41</v>
      </c>
      <c r="K10" s="34"/>
      <c r="L10" s="34"/>
    </row>
    <row r="11" spans="1:12" s="7" customFormat="1">
      <c r="A11" s="37" t="s">
        <v>51</v>
      </c>
      <c r="B11" s="32" t="s">
        <v>294</v>
      </c>
      <c r="C11" s="32" t="s">
        <v>53</v>
      </c>
      <c r="D11" s="33" t="s">
        <v>246</v>
      </c>
      <c r="E11" s="33" t="s">
        <v>247</v>
      </c>
      <c r="F11" s="33">
        <v>1606000</v>
      </c>
      <c r="G11" s="33" t="s">
        <v>116</v>
      </c>
      <c r="H11" s="37" t="s">
        <v>53</v>
      </c>
      <c r="I11" s="39">
        <v>80</v>
      </c>
      <c r="J11" s="33" t="s">
        <v>38</v>
      </c>
      <c r="K11" s="34"/>
      <c r="L11" s="34"/>
    </row>
    <row r="12" spans="1:12" s="7" customFormat="1">
      <c r="A12" s="37" t="s">
        <v>51</v>
      </c>
      <c r="B12" s="32" t="s">
        <v>294</v>
      </c>
      <c r="C12" s="32" t="s">
        <v>111</v>
      </c>
      <c r="D12" s="33" t="s">
        <v>246</v>
      </c>
      <c r="E12" s="33" t="s">
        <v>2600</v>
      </c>
      <c r="F12" s="33">
        <v>1606000</v>
      </c>
      <c r="G12" s="33">
        <v>3.3</v>
      </c>
      <c r="H12" s="37" t="s">
        <v>295</v>
      </c>
      <c r="I12" s="33">
        <v>12</v>
      </c>
      <c r="J12" s="33" t="s">
        <v>41</v>
      </c>
      <c r="K12" s="34"/>
      <c r="L12" s="34"/>
    </row>
    <row r="13" spans="1:12" s="7" customFormat="1" ht="14.1" customHeight="1">
      <c r="A13" s="37" t="s">
        <v>108</v>
      </c>
      <c r="B13" s="32" t="s">
        <v>294</v>
      </c>
      <c r="C13" s="32" t="s">
        <v>111</v>
      </c>
      <c r="D13" s="33" t="s">
        <v>246</v>
      </c>
      <c r="E13" s="33" t="s">
        <v>2601</v>
      </c>
      <c r="F13" s="33">
        <v>1606000</v>
      </c>
      <c r="G13" s="33">
        <v>3.4</v>
      </c>
      <c r="H13" s="37" t="s">
        <v>296</v>
      </c>
      <c r="I13" s="33">
        <v>12</v>
      </c>
      <c r="J13" s="33" t="s">
        <v>41</v>
      </c>
      <c r="K13" s="34"/>
      <c r="L13" s="34"/>
    </row>
    <row r="14" spans="1:12">
      <c r="L14" s="68"/>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workbookViewId="0">
      <selection activeCell="O1" sqref="O1:P1"/>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2179</v>
      </c>
      <c r="D4" s="16"/>
      <c r="E4" s="16"/>
      <c r="F4" s="69"/>
      <c r="G4" s="9"/>
      <c r="H4" s="69"/>
      <c r="I4" s="98"/>
    </row>
    <row r="5" spans="1:16" ht="12" customHeight="1">
      <c r="C5" s="14" t="s">
        <v>20</v>
      </c>
      <c r="D5" s="15"/>
      <c r="E5" s="15"/>
      <c r="F5" s="70"/>
      <c r="G5" s="85"/>
      <c r="H5" s="70"/>
      <c r="I5" s="99"/>
    </row>
    <row r="6" spans="1:16" ht="12" customHeight="1">
      <c r="C6" s="13" t="s">
        <v>2255</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904</v>
      </c>
      <c r="F8" s="72" t="s">
        <v>905</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904</v>
      </c>
      <c r="F9" s="72" t="s">
        <v>906</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904</v>
      </c>
      <c r="F10" s="72" t="s">
        <v>907</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904</v>
      </c>
      <c r="F11" s="72" t="s">
        <v>908</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904</v>
      </c>
      <c r="F12" s="72" t="s">
        <v>909</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904</v>
      </c>
      <c r="F13" s="72" t="s">
        <v>910</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904</v>
      </c>
      <c r="F14" s="72" t="s">
        <v>911</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904</v>
      </c>
      <c r="F15" s="72" t="s">
        <v>912</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904</v>
      </c>
      <c r="F16" s="72" t="s">
        <v>913</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904</v>
      </c>
      <c r="F17" s="72" t="s">
        <v>914</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904</v>
      </c>
      <c r="F18" s="72" t="s">
        <v>915</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904</v>
      </c>
      <c r="F19" s="72" t="s">
        <v>916</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904</v>
      </c>
      <c r="F20" s="72" t="s">
        <v>917</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904</v>
      </c>
      <c r="F21" s="72" t="s">
        <v>918</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904</v>
      </c>
      <c r="F22" s="72" t="s">
        <v>919</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904</v>
      </c>
      <c r="F23" s="72" t="s">
        <v>920</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904</v>
      </c>
      <c r="F24" s="72" t="s">
        <v>921</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904</v>
      </c>
      <c r="F25" s="72" t="s">
        <v>922</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904</v>
      </c>
      <c r="F26" s="72" t="s">
        <v>923</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904</v>
      </c>
      <c r="F27" s="72" t="s">
        <v>924</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904</v>
      </c>
      <c r="F28" s="72" t="s">
        <v>925</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904</v>
      </c>
      <c r="F29" s="72" t="s">
        <v>926</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904</v>
      </c>
      <c r="F30" s="72" t="s">
        <v>927</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904</v>
      </c>
      <c r="F31" s="72" t="s">
        <v>928</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904</v>
      </c>
      <c r="F32" s="72" t="s">
        <v>929</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904</v>
      </c>
      <c r="F33" s="72" t="s">
        <v>930</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904</v>
      </c>
      <c r="F34" s="72" t="s">
        <v>931</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904</v>
      </c>
      <c r="F35" s="72" t="s">
        <v>932</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904</v>
      </c>
      <c r="F36" s="72" t="s">
        <v>933</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904</v>
      </c>
      <c r="F37" s="72" t="s">
        <v>934</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904</v>
      </c>
      <c r="F38" s="72" t="s">
        <v>935</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904</v>
      </c>
      <c r="F39" s="72" t="s">
        <v>936</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904</v>
      </c>
      <c r="F40" s="72" t="s">
        <v>2256</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904</v>
      </c>
      <c r="F41" s="72" t="s">
        <v>937</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904</v>
      </c>
      <c r="F42" s="72" t="s">
        <v>938</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904</v>
      </c>
      <c r="F43" s="72" t="s">
        <v>939</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904</v>
      </c>
      <c r="F44" s="72" t="s">
        <v>940</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904</v>
      </c>
      <c r="F45" s="72" t="s">
        <v>941</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904</v>
      </c>
      <c r="F46" s="72" t="s">
        <v>942</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904</v>
      </c>
      <c r="F47" s="72" t="s">
        <v>943</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904</v>
      </c>
      <c r="F48" s="72" t="s">
        <v>944</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904</v>
      </c>
      <c r="F49" s="72" t="s">
        <v>945</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904</v>
      </c>
      <c r="F50" s="72" t="s">
        <v>946</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904</v>
      </c>
      <c r="F51" s="72" t="s">
        <v>947</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904</v>
      </c>
      <c r="F52" s="72" t="s">
        <v>948</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904</v>
      </c>
      <c r="F53" s="72" t="s">
        <v>949</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904</v>
      </c>
      <c r="F54" s="72" t="s">
        <v>950</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904</v>
      </c>
      <c r="F55" s="72" t="s">
        <v>951</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904</v>
      </c>
      <c r="F56" s="72" t="s">
        <v>952</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904</v>
      </c>
      <c r="F57" s="72" t="s">
        <v>953</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904</v>
      </c>
      <c r="F58" s="72" t="s">
        <v>954</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904</v>
      </c>
      <c r="F59" s="72" t="s">
        <v>955</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904</v>
      </c>
      <c r="F60" s="72" t="s">
        <v>956</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904</v>
      </c>
      <c r="F61" s="72" t="s">
        <v>957</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904</v>
      </c>
      <c r="F62" s="72" t="s">
        <v>958</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904</v>
      </c>
      <c r="F63" s="72" t="s">
        <v>959</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904</v>
      </c>
      <c r="F64" s="72" t="s">
        <v>960</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904</v>
      </c>
      <c r="F65" s="72" t="s">
        <v>961</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904</v>
      </c>
      <c r="F66" s="72" t="s">
        <v>962</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904</v>
      </c>
      <c r="F67" s="72" t="s">
        <v>963</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904</v>
      </c>
      <c r="F68" s="72" t="s">
        <v>964</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904</v>
      </c>
      <c r="F69" s="72" t="s">
        <v>965</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904</v>
      </c>
      <c r="F70" s="72" t="s">
        <v>966</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904</v>
      </c>
      <c r="F71" s="72" t="s">
        <v>967</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904</v>
      </c>
      <c r="F72" s="72" t="s">
        <v>968</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904</v>
      </c>
      <c r="F73" s="72" t="s">
        <v>969</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904</v>
      </c>
      <c r="F74" s="72" t="s">
        <v>970</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904</v>
      </c>
      <c r="F75" s="72" t="s">
        <v>971</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904</v>
      </c>
      <c r="F76" s="72" t="s">
        <v>972</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904</v>
      </c>
      <c r="F77" s="72" t="s">
        <v>2257</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904</v>
      </c>
      <c r="F78" s="72" t="s">
        <v>973</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904</v>
      </c>
      <c r="F79" s="72" t="s">
        <v>974</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904</v>
      </c>
      <c r="F80" s="72" t="s">
        <v>975</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904</v>
      </c>
      <c r="F81" s="72" t="s">
        <v>976</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904</v>
      </c>
      <c r="F82" s="72" t="s">
        <v>977</v>
      </c>
      <c r="G82" s="33">
        <v>1502000</v>
      </c>
      <c r="H82" s="72" t="s">
        <v>63</v>
      </c>
      <c r="I82" s="101" t="s">
        <v>64</v>
      </c>
      <c r="J82" s="72">
        <v>13</v>
      </c>
      <c r="K82" s="72" t="s">
        <v>41</v>
      </c>
      <c r="L82" s="90"/>
      <c r="M82" s="90"/>
    </row>
    <row r="83" spans="1:13" s="7" customFormat="1" ht="12" customHeight="1">
      <c r="A83" s="37" t="s">
        <v>317</v>
      </c>
      <c r="B83" s="31" t="s">
        <v>2232</v>
      </c>
      <c r="C83" s="31" t="s">
        <v>52</v>
      </c>
      <c r="D83" s="32" t="s">
        <v>54</v>
      </c>
      <c r="E83" s="33" t="s">
        <v>904</v>
      </c>
      <c r="F83" s="72" t="s">
        <v>978</v>
      </c>
      <c r="G83" s="33">
        <v>1502000</v>
      </c>
      <c r="H83" s="72" t="s">
        <v>65</v>
      </c>
      <c r="I83" s="101" t="s">
        <v>66</v>
      </c>
      <c r="J83" s="72">
        <v>14</v>
      </c>
      <c r="K83" s="72" t="s">
        <v>41</v>
      </c>
      <c r="L83" s="90"/>
      <c r="M83" s="90"/>
    </row>
    <row r="84" spans="1:13" s="7" customFormat="1" ht="12" customHeight="1">
      <c r="A84" s="37" t="s">
        <v>317</v>
      </c>
      <c r="B84" s="31" t="s">
        <v>2232</v>
      </c>
      <c r="C84" s="31" t="s">
        <v>52</v>
      </c>
      <c r="D84" s="32" t="s">
        <v>54</v>
      </c>
      <c r="E84" s="33" t="s">
        <v>904</v>
      </c>
      <c r="F84" s="72" t="s">
        <v>2258</v>
      </c>
      <c r="G84" s="33">
        <v>1502000</v>
      </c>
      <c r="H84" s="72" t="s">
        <v>71</v>
      </c>
      <c r="I84" s="101" t="s">
        <v>72</v>
      </c>
      <c r="J84" s="72">
        <v>15</v>
      </c>
      <c r="K84" s="72" t="s">
        <v>41</v>
      </c>
      <c r="L84" s="90"/>
      <c r="M84" s="90"/>
    </row>
    <row r="85" spans="1:13" s="7" customFormat="1" ht="12" customHeight="1">
      <c r="A85" s="37" t="s">
        <v>317</v>
      </c>
      <c r="B85" s="31" t="s">
        <v>2232</v>
      </c>
      <c r="C85" s="31" t="s">
        <v>52</v>
      </c>
      <c r="D85" s="32" t="s">
        <v>80</v>
      </c>
      <c r="E85" s="33" t="s">
        <v>904</v>
      </c>
      <c r="F85" s="72" t="s">
        <v>2259</v>
      </c>
      <c r="G85" s="33">
        <v>1502000</v>
      </c>
      <c r="H85" s="33" t="s">
        <v>81</v>
      </c>
      <c r="I85" s="101" t="s">
        <v>82</v>
      </c>
      <c r="J85" s="72">
        <v>16</v>
      </c>
      <c r="K85" s="72" t="s">
        <v>41</v>
      </c>
      <c r="L85" s="90"/>
      <c r="M85" s="90"/>
    </row>
    <row r="86" spans="1:13" s="7" customFormat="1" ht="12" customHeight="1">
      <c r="A86" s="31" t="s">
        <v>160</v>
      </c>
      <c r="B86" s="31" t="s">
        <v>160</v>
      </c>
      <c r="C86" s="32" t="s">
        <v>120</v>
      </c>
      <c r="D86" s="32" t="s">
        <v>10</v>
      </c>
      <c r="E86" s="33" t="s">
        <v>979</v>
      </c>
      <c r="F86" s="72" t="s">
        <v>980</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979</v>
      </c>
      <c r="F87" s="72" t="s">
        <v>981</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979</v>
      </c>
      <c r="F88" s="72" t="s">
        <v>982</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983</v>
      </c>
      <c r="F89" s="72" t="s">
        <v>984</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983</v>
      </c>
      <c r="F90" s="72" t="s">
        <v>985</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983</v>
      </c>
      <c r="F91" s="72" t="s">
        <v>986</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983</v>
      </c>
      <c r="F92" s="72" t="s">
        <v>2260</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983</v>
      </c>
      <c r="F93" s="72" t="s">
        <v>987</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983</v>
      </c>
      <c r="F94" s="72" t="s">
        <v>988</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983</v>
      </c>
      <c r="F95" s="72" t="s">
        <v>989</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983</v>
      </c>
      <c r="F96" s="72" t="s">
        <v>990</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983</v>
      </c>
      <c r="F97" s="72" t="s">
        <v>991</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983</v>
      </c>
      <c r="F98" s="72" t="s">
        <v>992</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983</v>
      </c>
      <c r="F99" s="72" t="s">
        <v>993</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983</v>
      </c>
      <c r="F100" s="72" t="s">
        <v>994</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983</v>
      </c>
      <c r="F101" s="72" t="s">
        <v>995</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983</v>
      </c>
      <c r="F102" s="72" t="s">
        <v>996</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983</v>
      </c>
      <c r="F103" s="72" t="s">
        <v>997</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983</v>
      </c>
      <c r="F104" s="72" t="s">
        <v>998</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983</v>
      </c>
      <c r="F105" s="72" t="s">
        <v>999</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983</v>
      </c>
      <c r="F106" s="72" t="s">
        <v>1000</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983</v>
      </c>
      <c r="F107" s="72" t="s">
        <v>1001</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983</v>
      </c>
      <c r="F108" s="72" t="s">
        <v>1002</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983</v>
      </c>
      <c r="F109" s="72" t="s">
        <v>1003</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983</v>
      </c>
      <c r="F110" s="72" t="s">
        <v>1004</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983</v>
      </c>
      <c r="F111" s="72" t="s">
        <v>1005</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983</v>
      </c>
      <c r="F112" s="72" t="s">
        <v>1006</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983</v>
      </c>
      <c r="F113" s="72" t="s">
        <v>1007</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983</v>
      </c>
      <c r="F114" s="72" t="s">
        <v>1008</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983</v>
      </c>
      <c r="F115" s="72" t="s">
        <v>1009</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983</v>
      </c>
      <c r="F116" s="72" t="s">
        <v>1010</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983</v>
      </c>
      <c r="F117" s="72" t="s">
        <v>1011</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983</v>
      </c>
      <c r="F118" s="72" t="s">
        <v>1012</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983</v>
      </c>
      <c r="F119" s="72" t="s">
        <v>1013</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983</v>
      </c>
      <c r="F120" s="72" t="s">
        <v>1014</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983</v>
      </c>
      <c r="F121" s="72" t="s">
        <v>1015</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983</v>
      </c>
      <c r="F122" s="72" t="s">
        <v>1016</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983</v>
      </c>
      <c r="F123" s="72" t="s">
        <v>1017</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983</v>
      </c>
      <c r="F124" s="72" t="s">
        <v>1018</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983</v>
      </c>
      <c r="F125" s="72" t="s">
        <v>1019</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983</v>
      </c>
      <c r="F126" s="72" t="s">
        <v>1020</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983</v>
      </c>
      <c r="F127" s="72" t="s">
        <v>1021</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983</v>
      </c>
      <c r="F128" s="72" t="s">
        <v>1022</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983</v>
      </c>
      <c r="F129" s="72" t="s">
        <v>1023</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983</v>
      </c>
      <c r="F130" s="72" t="s">
        <v>1024</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983</v>
      </c>
      <c r="F131" s="72" t="s">
        <v>1025</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983</v>
      </c>
      <c r="F132" s="72" t="s">
        <v>1026</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983</v>
      </c>
      <c r="F133" s="72" t="s">
        <v>1027</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983</v>
      </c>
      <c r="F134" s="72" t="s">
        <v>1028</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983</v>
      </c>
      <c r="F135" s="72" t="s">
        <v>1029</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983</v>
      </c>
      <c r="F136" s="72" t="s">
        <v>1030</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1031</v>
      </c>
      <c r="F137" s="72" t="s">
        <v>1032</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2261</v>
      </c>
      <c r="F138" s="72" t="s">
        <v>2262</v>
      </c>
      <c r="G138" s="33">
        <v>1502000</v>
      </c>
      <c r="H138" s="72">
        <v>3.1</v>
      </c>
      <c r="I138" s="101" t="s">
        <v>591</v>
      </c>
      <c r="J138" s="72">
        <v>50</v>
      </c>
      <c r="K138" s="72" t="s">
        <v>38</v>
      </c>
      <c r="L138" s="90"/>
      <c r="M138" s="90"/>
    </row>
    <row r="139" spans="1:13" s="7" customFormat="1" ht="12" customHeight="1">
      <c r="A139" s="31" t="s">
        <v>227</v>
      </c>
      <c r="B139" s="31" t="s">
        <v>227</v>
      </c>
      <c r="C139" s="31" t="s">
        <v>52</v>
      </c>
      <c r="D139" s="31" t="s">
        <v>1</v>
      </c>
      <c r="E139" s="33" t="s">
        <v>2261</v>
      </c>
      <c r="F139" s="72" t="s">
        <v>2263</v>
      </c>
      <c r="G139" s="33">
        <v>1502000</v>
      </c>
      <c r="H139" s="72">
        <v>3.2</v>
      </c>
      <c r="I139" s="101" t="s">
        <v>601</v>
      </c>
      <c r="J139" s="72">
        <v>10</v>
      </c>
      <c r="K139" s="72" t="s">
        <v>38</v>
      </c>
      <c r="L139" s="90"/>
      <c r="M139" s="90"/>
    </row>
    <row r="140" spans="1:13" s="7" customFormat="1" ht="12" customHeight="1">
      <c r="A140" s="31" t="s">
        <v>227</v>
      </c>
      <c r="B140" s="31" t="s">
        <v>227</v>
      </c>
      <c r="C140" s="32" t="s">
        <v>120</v>
      </c>
      <c r="D140" s="32" t="s">
        <v>10</v>
      </c>
      <c r="E140" s="33" t="s">
        <v>2261</v>
      </c>
      <c r="F140" s="72" t="s">
        <v>2264</v>
      </c>
      <c r="G140" s="33">
        <v>1700000</v>
      </c>
      <c r="H140" s="33" t="s">
        <v>128</v>
      </c>
      <c r="I140" s="103" t="s">
        <v>129</v>
      </c>
      <c r="J140" s="92">
        <v>12</v>
      </c>
      <c r="K140" s="72" t="s">
        <v>41</v>
      </c>
      <c r="L140" s="90"/>
      <c r="M140" s="90"/>
    </row>
    <row r="141" spans="1:13" s="7" customFormat="1" ht="12" customHeight="1">
      <c r="A141" s="31" t="s">
        <v>227</v>
      </c>
      <c r="B141" s="31" t="s">
        <v>227</v>
      </c>
      <c r="C141" s="32" t="s">
        <v>120</v>
      </c>
      <c r="D141" s="32" t="s">
        <v>10</v>
      </c>
      <c r="E141" s="33" t="s">
        <v>2261</v>
      </c>
      <c r="F141" s="72" t="s">
        <v>2265</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2266</v>
      </c>
      <c r="F142" s="72" t="s">
        <v>2267</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2266</v>
      </c>
      <c r="F143" s="72" t="s">
        <v>2268</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2266</v>
      </c>
      <c r="F144" s="72" t="s">
        <v>2269</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2266</v>
      </c>
      <c r="F145" s="72" t="s">
        <v>2270</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2266</v>
      </c>
      <c r="F146" s="72" t="s">
        <v>2271</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2266</v>
      </c>
      <c r="F147" s="72" t="s">
        <v>2272</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2266</v>
      </c>
      <c r="F148" s="72" t="s">
        <v>2273</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2266</v>
      </c>
      <c r="F149" s="72" t="s">
        <v>2274</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2266</v>
      </c>
      <c r="F150" s="72" t="s">
        <v>2275</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2266</v>
      </c>
      <c r="F151" s="72" t="s">
        <v>2276</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2266</v>
      </c>
      <c r="F152" s="72" t="s">
        <v>2277</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1033</v>
      </c>
      <c r="F153" s="72" t="s">
        <v>1034</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1033</v>
      </c>
      <c r="F154" s="72" t="s">
        <v>1035</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2278</v>
      </c>
      <c r="F155" s="72" t="s">
        <v>2279</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2278</v>
      </c>
      <c r="F156" s="72" t="s">
        <v>2280</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2278</v>
      </c>
      <c r="F157" s="72" t="s">
        <v>2281</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2278</v>
      </c>
      <c r="F158" s="72" t="s">
        <v>2282</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2278</v>
      </c>
      <c r="F159" s="72" t="s">
        <v>2283</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2278</v>
      </c>
      <c r="F160" s="72" t="s">
        <v>2284</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2278</v>
      </c>
      <c r="F161" s="72" t="s">
        <v>2285</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2278</v>
      </c>
      <c r="F162" s="72" t="s">
        <v>2286</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2278</v>
      </c>
      <c r="F163" s="72" t="s">
        <v>2287</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2278</v>
      </c>
      <c r="F164" s="72" t="s">
        <v>2288</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2278</v>
      </c>
      <c r="F165" s="72" t="s">
        <v>2289</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2278</v>
      </c>
      <c r="F166" s="72" t="s">
        <v>2290</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1036</v>
      </c>
      <c r="F167" s="72" t="s">
        <v>1037</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1036</v>
      </c>
      <c r="F168" s="72" t="s">
        <v>1038</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1036</v>
      </c>
      <c r="F169" s="72" t="s">
        <v>1063</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1036</v>
      </c>
      <c r="F170" s="72" t="s">
        <v>2291</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1039</v>
      </c>
      <c r="F171" s="72" t="s">
        <v>1040</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1039</v>
      </c>
      <c r="F172" s="72" t="s">
        <v>1041</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1042</v>
      </c>
      <c r="F173" s="72" t="s">
        <v>1043</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1042</v>
      </c>
      <c r="F174" s="72" t="s">
        <v>1044</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1042</v>
      </c>
      <c r="F175" s="72" t="s">
        <v>1045</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1042</v>
      </c>
      <c r="F176" s="72" t="s">
        <v>1046</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1042</v>
      </c>
      <c r="F177" s="72" t="s">
        <v>2292</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1042</v>
      </c>
      <c r="F178" s="72" t="s">
        <v>2293</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1042</v>
      </c>
      <c r="F179" s="72" t="s">
        <v>2294</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1047</v>
      </c>
      <c r="F180" s="72" t="s">
        <v>1048</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1047</v>
      </c>
      <c r="F181" s="72" t="s">
        <v>1049</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1047</v>
      </c>
      <c r="F182" s="72" t="s">
        <v>2295</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1047</v>
      </c>
      <c r="F183" s="72" t="s">
        <v>2296</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1050</v>
      </c>
      <c r="F184" s="72" t="s">
        <v>1051</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1050</v>
      </c>
      <c r="F185" s="72" t="s">
        <v>1052</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1050</v>
      </c>
      <c r="F186" s="72" t="s">
        <v>1053</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1050</v>
      </c>
      <c r="F187" s="72" t="s">
        <v>1054</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1055</v>
      </c>
      <c r="F188" s="72" t="s">
        <v>1056</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1055</v>
      </c>
      <c r="F189" s="72" t="s">
        <v>1057</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1055</v>
      </c>
      <c r="F190" s="72" t="s">
        <v>1058</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1055</v>
      </c>
      <c r="F191" s="72" t="s">
        <v>1059</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1055</v>
      </c>
      <c r="F192" s="72" t="s">
        <v>2297</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pageSetup orientation="portrait" r:id="rId1"/>
  <ignoredErrors>
    <ignoredError sqref="G8:G9 G62:G67 G8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topLeftCell="A4"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762</v>
      </c>
      <c r="C5" s="16"/>
      <c r="I5" s="78"/>
      <c r="J5" s="79"/>
    </row>
    <row r="6" spans="1:10">
      <c r="A6" s="63"/>
      <c r="B6" s="63" t="s">
        <v>254</v>
      </c>
      <c r="C6" s="16"/>
      <c r="I6" s="78"/>
      <c r="J6" s="79"/>
    </row>
    <row r="7" spans="1:10" ht="14.45" customHeight="1">
      <c r="A7" s="19"/>
      <c r="B7" s="19" t="s">
        <v>2202</v>
      </c>
      <c r="C7" s="13"/>
    </row>
    <row r="8" spans="1:10" s="20" customFormat="1" ht="70.5" customHeight="1">
      <c r="A8" s="41" t="s">
        <v>24</v>
      </c>
      <c r="B8" s="41" t="s">
        <v>255</v>
      </c>
      <c r="C8" s="41" t="s">
        <v>256</v>
      </c>
      <c r="D8" s="42" t="s">
        <v>257</v>
      </c>
      <c r="E8" s="42" t="s">
        <v>29</v>
      </c>
      <c r="F8" s="42" t="s">
        <v>30</v>
      </c>
      <c r="G8" s="43" t="s">
        <v>31</v>
      </c>
    </row>
    <row r="9" spans="1:10" ht="282" customHeight="1">
      <c r="A9" s="44" t="s">
        <v>770</v>
      </c>
      <c r="B9" s="45" t="s">
        <v>259</v>
      </c>
      <c r="C9" s="46" t="s">
        <v>2621</v>
      </c>
      <c r="D9" s="47">
        <f>G10+G11</f>
        <v>0</v>
      </c>
      <c r="E9" s="33" t="s">
        <v>206</v>
      </c>
      <c r="F9" s="40">
        <v>1</v>
      </c>
      <c r="G9" s="40"/>
    </row>
    <row r="10" spans="1:10" ht="180" customHeight="1">
      <c r="A10" s="44" t="s">
        <v>2203</v>
      </c>
      <c r="B10" s="45" t="s">
        <v>2227</v>
      </c>
      <c r="C10" s="46" t="s">
        <v>2226</v>
      </c>
      <c r="D10" s="47">
        <f>'CLIN 0002 Base Period N-RW'!D10</f>
        <v>16000</v>
      </c>
      <c r="E10" s="33" t="s">
        <v>260</v>
      </c>
      <c r="F10" s="40"/>
      <c r="G10" s="40"/>
    </row>
    <row r="11" spans="1:10" ht="204.75" customHeight="1">
      <c r="A11" s="44" t="s">
        <v>2204</v>
      </c>
      <c r="B11" s="45" t="s">
        <v>2228</v>
      </c>
      <c r="C11" s="46" t="s">
        <v>2197</v>
      </c>
      <c r="D11" s="47">
        <f>'CLIN 0002 Base Period N-RW'!D11</f>
        <v>1600000</v>
      </c>
      <c r="E11" s="33" t="s">
        <v>206</v>
      </c>
      <c r="F11" s="40"/>
      <c r="G11" s="40"/>
    </row>
    <row r="12" spans="1:10" s="7" customFormat="1" ht="212.25" customHeight="1">
      <c r="A12" s="44" t="s">
        <v>771</v>
      </c>
      <c r="B12" s="45" t="s">
        <v>267</v>
      </c>
      <c r="C12" s="46" t="s">
        <v>2201</v>
      </c>
      <c r="D12" s="47">
        <f>'CLIN 0002 Base Period N-RW'!D12</f>
        <v>2000000</v>
      </c>
      <c r="E12" s="33" t="s">
        <v>206</v>
      </c>
      <c r="F12" s="40"/>
      <c r="G12" s="40"/>
    </row>
    <row r="13" spans="1:10" s="7" customFormat="1" ht="144.75" customHeight="1">
      <c r="A13" s="44" t="s">
        <v>772</v>
      </c>
      <c r="B13" s="45" t="s">
        <v>269</v>
      </c>
      <c r="C13" s="46" t="s">
        <v>753</v>
      </c>
      <c r="D13" s="47">
        <f>'CLIN 0002 Base Period N-RW'!D13</f>
        <v>115</v>
      </c>
      <c r="E13" s="52" t="s">
        <v>38</v>
      </c>
      <c r="F13" s="40"/>
      <c r="G13" s="40"/>
    </row>
    <row r="14" spans="1:10" ht="149.25" customHeight="1">
      <c r="A14" s="44" t="s">
        <v>773</v>
      </c>
      <c r="B14" s="45" t="s">
        <v>271</v>
      </c>
      <c r="C14" s="46" t="s">
        <v>754</v>
      </c>
      <c r="D14" s="47">
        <f>'CLIN 0002 Base Period N-RW'!D14</f>
        <v>130</v>
      </c>
      <c r="E14" s="52" t="s">
        <v>38</v>
      </c>
      <c r="F14" s="40"/>
      <c r="G14" s="40"/>
    </row>
    <row r="15" spans="1:10" s="12" customFormat="1" ht="148.5" customHeight="1">
      <c r="A15" s="44" t="s">
        <v>774</v>
      </c>
      <c r="B15" s="45" t="s">
        <v>273</v>
      </c>
      <c r="C15" s="46" t="s">
        <v>756</v>
      </c>
      <c r="D15" s="47">
        <f>'CLIN 0002 Base Period N-RW'!D15</f>
        <v>95</v>
      </c>
      <c r="E15" s="52" t="s">
        <v>38</v>
      </c>
      <c r="F15" s="40"/>
      <c r="G15" s="40"/>
    </row>
    <row r="16" spans="1:10" s="60" customFormat="1" ht="149.25" customHeight="1">
      <c r="A16" s="44" t="s">
        <v>775</v>
      </c>
      <c r="B16" s="48" t="s">
        <v>737</v>
      </c>
      <c r="C16" s="49" t="s">
        <v>757</v>
      </c>
      <c r="D16" s="47">
        <f>'CLIN 0002 Base Period N-RW'!D16</f>
        <v>50</v>
      </c>
      <c r="E16" s="52" t="s">
        <v>38</v>
      </c>
      <c r="F16" s="40"/>
      <c r="G16" s="40"/>
    </row>
    <row r="17" spans="1:7" s="60" customFormat="1" ht="151.5" customHeight="1">
      <c r="A17" s="44" t="s">
        <v>776</v>
      </c>
      <c r="B17" s="48" t="s">
        <v>750</v>
      </c>
      <c r="C17" s="49" t="s">
        <v>758</v>
      </c>
      <c r="D17" s="47">
        <f>'CLIN 0002 Base Period N-RW'!D17</f>
        <v>40</v>
      </c>
      <c r="E17" s="52" t="s">
        <v>38</v>
      </c>
      <c r="F17" s="40"/>
      <c r="G17" s="40"/>
    </row>
    <row r="18" spans="1:7" s="60" customFormat="1" ht="153.75" customHeight="1">
      <c r="A18" s="44" t="s">
        <v>777</v>
      </c>
      <c r="B18" s="48" t="s">
        <v>751</v>
      </c>
      <c r="C18" s="49" t="s">
        <v>759</v>
      </c>
      <c r="D18" s="47">
        <f>'CLIN 0002 Base Period N-RW'!D18</f>
        <v>30</v>
      </c>
      <c r="E18" s="52" t="s">
        <v>38</v>
      </c>
      <c r="F18" s="40"/>
      <c r="G18" s="40"/>
    </row>
    <row r="19" spans="1:7" s="60" customFormat="1" ht="150" customHeight="1">
      <c r="A19" s="44" t="s">
        <v>778</v>
      </c>
      <c r="B19" s="48" t="s">
        <v>752</v>
      </c>
      <c r="C19" s="49" t="s">
        <v>760</v>
      </c>
      <c r="D19" s="47">
        <f>'CLIN 0002 Base Period N-RW'!D19</f>
        <v>20</v>
      </c>
      <c r="E19" s="52" t="s">
        <v>38</v>
      </c>
      <c r="F19" s="40"/>
      <c r="G19" s="40"/>
    </row>
    <row r="20" spans="1:7" ht="114.75">
      <c r="A20" s="44" t="s">
        <v>779</v>
      </c>
      <c r="B20" s="56" t="s">
        <v>2638</v>
      </c>
      <c r="C20" s="45" t="s">
        <v>275</v>
      </c>
      <c r="D20" s="47">
        <f>'CLIN 0002 Base Period N-RW'!D20</f>
        <v>20000</v>
      </c>
      <c r="E20" s="33" t="s">
        <v>276</v>
      </c>
      <c r="F20" s="40"/>
      <c r="G20" s="40"/>
    </row>
    <row r="21" spans="1:7" ht="127.5">
      <c r="A21" s="44" t="s">
        <v>780</v>
      </c>
      <c r="B21" s="56" t="s">
        <v>2637</v>
      </c>
      <c r="C21" s="45" t="s">
        <v>278</v>
      </c>
      <c r="D21" s="47">
        <f>'CLIN 0002 Base Period N-RW'!D21</f>
        <v>30000</v>
      </c>
      <c r="E21" s="33" t="s">
        <v>276</v>
      </c>
      <c r="F21" s="40"/>
      <c r="G21" s="40"/>
    </row>
    <row r="22" spans="1:7" ht="76.5">
      <c r="A22" s="44" t="s">
        <v>781</v>
      </c>
      <c r="B22" s="56" t="s">
        <v>2636</v>
      </c>
      <c r="C22" s="45" t="s">
        <v>280</v>
      </c>
      <c r="D22" s="47">
        <f>'CLIN 0002 Base Period N-RW'!D22</f>
        <v>18</v>
      </c>
      <c r="E22" s="33" t="s">
        <v>41</v>
      </c>
      <c r="F22" s="40"/>
      <c r="G22" s="40"/>
    </row>
    <row r="23" spans="1:7" ht="76.5">
      <c r="A23" s="44" t="s">
        <v>782</v>
      </c>
      <c r="B23" s="56" t="s">
        <v>2635</v>
      </c>
      <c r="C23" s="45" t="s">
        <v>282</v>
      </c>
      <c r="D23" s="47">
        <f>'CLIN 0002 Base Period N-RW'!D23</f>
        <v>18</v>
      </c>
      <c r="E23" s="33" t="s">
        <v>41</v>
      </c>
      <c r="F23" s="40"/>
      <c r="G23" s="40"/>
    </row>
    <row r="24" spans="1:7" ht="91.5" customHeight="1">
      <c r="A24" s="44" t="s">
        <v>783</v>
      </c>
      <c r="B24" s="56" t="s">
        <v>2634</v>
      </c>
      <c r="C24" s="45" t="s">
        <v>284</v>
      </c>
      <c r="D24" s="47">
        <f>'CLIN 0002 Base Period N-RW'!D24</f>
        <v>6</v>
      </c>
      <c r="E24" s="33" t="s">
        <v>38</v>
      </c>
      <c r="F24" s="40"/>
      <c r="G24" s="40"/>
    </row>
    <row r="25" spans="1:7" ht="127.5" customHeight="1">
      <c r="A25" s="44" t="s">
        <v>784</v>
      </c>
      <c r="B25" s="45" t="s">
        <v>2633</v>
      </c>
      <c r="C25" s="49" t="s">
        <v>286</v>
      </c>
      <c r="D25" s="47">
        <f>'CLIN 0002 Base Period N-RW'!D25</f>
        <v>100</v>
      </c>
      <c r="E25" s="33" t="s">
        <v>287</v>
      </c>
      <c r="F25" s="40"/>
      <c r="G25" s="40"/>
    </row>
    <row r="26" spans="1:7" ht="127.5">
      <c r="A26" s="44" t="s">
        <v>785</v>
      </c>
      <c r="B26" s="45" t="s">
        <v>2629</v>
      </c>
      <c r="C26" s="49" t="s">
        <v>290</v>
      </c>
      <c r="D26" s="47">
        <f>'CLIN 0002 Base Period N-RW'!D26</f>
        <v>5</v>
      </c>
      <c r="E26" s="33" t="s">
        <v>38</v>
      </c>
      <c r="F26" s="40"/>
      <c r="G26" s="40"/>
    </row>
    <row r="27" spans="1:7" ht="114.75">
      <c r="A27" s="44" t="s">
        <v>786</v>
      </c>
      <c r="B27" s="45" t="s">
        <v>2630</v>
      </c>
      <c r="C27" s="46" t="s">
        <v>292</v>
      </c>
      <c r="D27" s="47">
        <f>'CLIN 0002 Base Period N-RW'!D27</f>
        <v>50</v>
      </c>
      <c r="E27" s="33" t="s">
        <v>38</v>
      </c>
      <c r="F27" s="40"/>
      <c r="G27" s="40"/>
    </row>
    <row r="28" spans="1:7" ht="102">
      <c r="A28" s="44" t="s">
        <v>787</v>
      </c>
      <c r="B28" s="45" t="s">
        <v>2631</v>
      </c>
      <c r="C28" s="46" t="s">
        <v>755</v>
      </c>
      <c r="D28" s="47">
        <f>'CLIN 0002 Base Period N-RW'!D28</f>
        <v>30</v>
      </c>
      <c r="E28" s="33" t="s">
        <v>38</v>
      </c>
      <c r="F28" s="40"/>
      <c r="G28" s="40"/>
    </row>
    <row r="29" spans="1:7" ht="89.25">
      <c r="A29" s="44" t="s">
        <v>788</v>
      </c>
      <c r="B29" s="45" t="s">
        <v>2632</v>
      </c>
      <c r="C29" s="46" t="s">
        <v>732</v>
      </c>
      <c r="D29" s="47">
        <f>'CLIN 0002 Base Period N-RW'!D29</f>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zoomScale="90" zoomScaleNormal="90" workbookViewId="0">
      <selection activeCell="L28" sqref="L2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4"/>
      <c r="D1" s="114"/>
      <c r="E1" s="114"/>
      <c r="F1" s="114"/>
      <c r="G1" s="114"/>
      <c r="H1" s="114"/>
      <c r="M1" s="78"/>
      <c r="N1" s="79"/>
    </row>
    <row r="2" spans="1:14" ht="15">
      <c r="B2" s="113" t="s">
        <v>19</v>
      </c>
      <c r="C2" s="114"/>
      <c r="D2" s="114"/>
      <c r="E2" s="114"/>
      <c r="F2" s="114"/>
      <c r="G2" s="114"/>
      <c r="H2" s="114"/>
    </row>
    <row r="3" spans="1:14" ht="15">
      <c r="B3" s="113" t="s">
        <v>761</v>
      </c>
      <c r="C3" s="114"/>
      <c r="D3" s="114"/>
      <c r="E3" s="114"/>
      <c r="F3" s="114"/>
      <c r="G3" s="114"/>
      <c r="H3" s="114"/>
    </row>
    <row r="4" spans="1:14">
      <c r="B4" s="65"/>
      <c r="E4" s="10"/>
      <c r="F4" s="76"/>
      <c r="G4" s="76"/>
      <c r="H4" s="3"/>
    </row>
    <row r="5" spans="1:14">
      <c r="B5" s="65"/>
      <c r="E5" s="10"/>
      <c r="F5" s="76"/>
      <c r="G5" s="76"/>
      <c r="H5" s="3"/>
    </row>
    <row r="6" spans="1:14">
      <c r="B6" s="63" t="s">
        <v>2187</v>
      </c>
      <c r="C6" s="16"/>
      <c r="D6" s="16"/>
      <c r="E6" s="16"/>
      <c r="F6" s="9"/>
      <c r="G6" s="16"/>
      <c r="H6" s="16"/>
    </row>
    <row r="7" spans="1:14" ht="12.95" customHeight="1">
      <c r="B7" s="64" t="s">
        <v>20</v>
      </c>
      <c r="C7" s="15"/>
      <c r="D7" s="15"/>
      <c r="E7" s="14"/>
      <c r="F7" s="76"/>
      <c r="G7" s="14"/>
      <c r="H7" s="14"/>
    </row>
    <row r="8" spans="1:14" ht="13.5" thickBot="1">
      <c r="B8" s="19" t="s">
        <v>2602</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1060</v>
      </c>
      <c r="E10" s="33" t="s">
        <v>1061</v>
      </c>
      <c r="F10" s="33">
        <v>1606000</v>
      </c>
      <c r="G10" s="33">
        <v>3.1</v>
      </c>
      <c r="H10" s="37" t="s">
        <v>8</v>
      </c>
      <c r="I10" s="33">
        <v>12</v>
      </c>
      <c r="J10" s="33" t="s">
        <v>41</v>
      </c>
      <c r="K10" s="34"/>
      <c r="L10" s="34"/>
    </row>
    <row r="11" spans="1:14" s="7" customFormat="1">
      <c r="A11" s="37" t="s">
        <v>51</v>
      </c>
      <c r="B11" s="32" t="s">
        <v>294</v>
      </c>
      <c r="C11" s="32" t="s">
        <v>53</v>
      </c>
      <c r="D11" s="33" t="s">
        <v>1060</v>
      </c>
      <c r="E11" s="33" t="s">
        <v>1062</v>
      </c>
      <c r="F11" s="33">
        <v>1606000</v>
      </c>
      <c r="G11" s="33" t="s">
        <v>116</v>
      </c>
      <c r="H11" s="37" t="s">
        <v>53</v>
      </c>
      <c r="I11" s="39">
        <v>80</v>
      </c>
      <c r="J11" s="33" t="s">
        <v>38</v>
      </c>
      <c r="K11" s="34"/>
      <c r="L11" s="34"/>
    </row>
    <row r="12" spans="1:14" s="7" customFormat="1">
      <c r="A12" s="37" t="s">
        <v>51</v>
      </c>
      <c r="B12" s="32" t="s">
        <v>294</v>
      </c>
      <c r="C12" s="32" t="s">
        <v>111</v>
      </c>
      <c r="D12" s="33" t="s">
        <v>1060</v>
      </c>
      <c r="E12" s="33" t="s">
        <v>2603</v>
      </c>
      <c r="F12" s="33">
        <v>1606000</v>
      </c>
      <c r="G12" s="33">
        <v>3.3</v>
      </c>
      <c r="H12" s="37" t="s">
        <v>295</v>
      </c>
      <c r="I12" s="33">
        <v>12</v>
      </c>
      <c r="J12" s="33" t="s">
        <v>41</v>
      </c>
      <c r="K12" s="34"/>
      <c r="L12" s="34"/>
    </row>
    <row r="13" spans="1:14" s="7" customFormat="1" ht="14.1" customHeight="1">
      <c r="A13" s="37" t="s">
        <v>108</v>
      </c>
      <c r="B13" s="32" t="s">
        <v>294</v>
      </c>
      <c r="C13" s="32" t="s">
        <v>111</v>
      </c>
      <c r="D13" s="33" t="s">
        <v>1060</v>
      </c>
      <c r="E13" s="33" t="s">
        <v>2604</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workbookViewId="0">
      <selection activeCell="I25" sqref="I25"/>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2178</v>
      </c>
      <c r="D4" s="16"/>
      <c r="E4" s="16"/>
      <c r="F4" s="69"/>
      <c r="G4" s="9"/>
      <c r="H4" s="69"/>
      <c r="I4" s="98"/>
    </row>
    <row r="5" spans="1:16" ht="12" customHeight="1">
      <c r="C5" s="15" t="s">
        <v>20</v>
      </c>
      <c r="D5" s="15"/>
      <c r="E5" s="15"/>
      <c r="F5" s="70"/>
      <c r="G5" s="85"/>
      <c r="H5" s="70"/>
      <c r="I5" s="99"/>
    </row>
    <row r="6" spans="1:16" ht="12" customHeight="1">
      <c r="C6" s="13" t="s">
        <v>2593</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1064</v>
      </c>
      <c r="F8" s="72" t="s">
        <v>1065</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1064</v>
      </c>
      <c r="F9" s="72" t="s">
        <v>1066</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1064</v>
      </c>
      <c r="F10" s="72" t="s">
        <v>1067</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1064</v>
      </c>
      <c r="F11" s="72" t="s">
        <v>1068</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1064</v>
      </c>
      <c r="F12" s="72" t="s">
        <v>1069</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1064</v>
      </c>
      <c r="F13" s="72" t="s">
        <v>1070</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1064</v>
      </c>
      <c r="F14" s="72" t="s">
        <v>1071</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1064</v>
      </c>
      <c r="F15" s="72" t="s">
        <v>1072</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1064</v>
      </c>
      <c r="F16" s="72" t="s">
        <v>1073</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1064</v>
      </c>
      <c r="F17" s="72" t="s">
        <v>1074</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1064</v>
      </c>
      <c r="F18" s="72" t="s">
        <v>1075</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1064</v>
      </c>
      <c r="F19" s="72" t="s">
        <v>1076</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1064</v>
      </c>
      <c r="F20" s="72" t="s">
        <v>1077</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1064</v>
      </c>
      <c r="F21" s="72" t="s">
        <v>1078</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1064</v>
      </c>
      <c r="F22" s="72" t="s">
        <v>1079</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1064</v>
      </c>
      <c r="F23" s="72" t="s">
        <v>1080</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1064</v>
      </c>
      <c r="F24" s="72" t="s">
        <v>1081</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1064</v>
      </c>
      <c r="F25" s="72" t="s">
        <v>1082</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1064</v>
      </c>
      <c r="F26" s="72" t="s">
        <v>1083</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1064</v>
      </c>
      <c r="F27" s="72" t="s">
        <v>1084</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1064</v>
      </c>
      <c r="F28" s="72" t="s">
        <v>1085</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1064</v>
      </c>
      <c r="F29" s="72" t="s">
        <v>1086</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1064</v>
      </c>
      <c r="F30" s="72" t="s">
        <v>1087</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1064</v>
      </c>
      <c r="F31" s="72" t="s">
        <v>1088</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1064</v>
      </c>
      <c r="F32" s="72" t="s">
        <v>1089</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1064</v>
      </c>
      <c r="F33" s="72" t="s">
        <v>1090</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1064</v>
      </c>
      <c r="F34" s="72" t="s">
        <v>1091</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1064</v>
      </c>
      <c r="F35" s="72" t="s">
        <v>1092</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1064</v>
      </c>
      <c r="F36" s="72" t="s">
        <v>1093</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1064</v>
      </c>
      <c r="F37" s="72" t="s">
        <v>1094</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1064</v>
      </c>
      <c r="F38" s="72" t="s">
        <v>1095</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1064</v>
      </c>
      <c r="F39" s="72" t="s">
        <v>1096</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1064</v>
      </c>
      <c r="F40" s="72" t="s">
        <v>2298</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1064</v>
      </c>
      <c r="F41" s="72" t="s">
        <v>1097</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1064</v>
      </c>
      <c r="F42" s="72" t="s">
        <v>1098</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1064</v>
      </c>
      <c r="F43" s="72" t="s">
        <v>1099</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1064</v>
      </c>
      <c r="F44" s="72" t="s">
        <v>1100</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1064</v>
      </c>
      <c r="F45" s="72" t="s">
        <v>1101</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1064</v>
      </c>
      <c r="F46" s="72" t="s">
        <v>1102</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1064</v>
      </c>
      <c r="F47" s="72" t="s">
        <v>1103</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1064</v>
      </c>
      <c r="F48" s="72" t="s">
        <v>1104</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1064</v>
      </c>
      <c r="F49" s="72" t="s">
        <v>1105</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1064</v>
      </c>
      <c r="F50" s="72" t="s">
        <v>1106</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1064</v>
      </c>
      <c r="F51" s="72" t="s">
        <v>1107</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1064</v>
      </c>
      <c r="F52" s="72" t="s">
        <v>1108</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1064</v>
      </c>
      <c r="F53" s="72" t="s">
        <v>1109</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1064</v>
      </c>
      <c r="F54" s="72" t="s">
        <v>1110</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1064</v>
      </c>
      <c r="F55" s="72" t="s">
        <v>1111</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1064</v>
      </c>
      <c r="F56" s="72" t="s">
        <v>1112</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1064</v>
      </c>
      <c r="F57" s="72" t="s">
        <v>1113</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1064</v>
      </c>
      <c r="F58" s="72" t="s">
        <v>1114</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1064</v>
      </c>
      <c r="F59" s="72" t="s">
        <v>1115</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1064</v>
      </c>
      <c r="F60" s="72" t="s">
        <v>1116</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1064</v>
      </c>
      <c r="F61" s="72" t="s">
        <v>1117</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1064</v>
      </c>
      <c r="F62" s="72" t="s">
        <v>1118</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1064</v>
      </c>
      <c r="F63" s="72" t="s">
        <v>1119</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1064</v>
      </c>
      <c r="F64" s="72" t="s">
        <v>1120</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1064</v>
      </c>
      <c r="F65" s="72" t="s">
        <v>1121</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1064</v>
      </c>
      <c r="F66" s="72" t="s">
        <v>1122</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1064</v>
      </c>
      <c r="F67" s="72" t="s">
        <v>1123</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1064</v>
      </c>
      <c r="F68" s="72" t="s">
        <v>1124</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1064</v>
      </c>
      <c r="F69" s="72" t="s">
        <v>1125</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1064</v>
      </c>
      <c r="F70" s="72" t="s">
        <v>1126</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1064</v>
      </c>
      <c r="F71" s="72" t="s">
        <v>1127</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1064</v>
      </c>
      <c r="F72" s="72" t="s">
        <v>1128</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1064</v>
      </c>
      <c r="F73" s="72" t="s">
        <v>1129</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1064</v>
      </c>
      <c r="F74" s="72" t="s">
        <v>1130</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1064</v>
      </c>
      <c r="F75" s="72" t="s">
        <v>1131</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1064</v>
      </c>
      <c r="F76" s="72" t="s">
        <v>1132</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1064</v>
      </c>
      <c r="F77" s="72" t="s">
        <v>2299</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1064</v>
      </c>
      <c r="F78" s="72" t="s">
        <v>1133</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1064</v>
      </c>
      <c r="F79" s="72" t="s">
        <v>1134</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1064</v>
      </c>
      <c r="F80" s="72" t="s">
        <v>1135</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1064</v>
      </c>
      <c r="F81" s="72" t="s">
        <v>1136</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1064</v>
      </c>
      <c r="F82" s="72" t="s">
        <v>1137</v>
      </c>
      <c r="G82" s="33">
        <v>1502000</v>
      </c>
      <c r="H82" s="72" t="s">
        <v>63</v>
      </c>
      <c r="I82" s="101" t="s">
        <v>64</v>
      </c>
      <c r="J82" s="72">
        <v>12</v>
      </c>
      <c r="K82" s="72" t="s">
        <v>41</v>
      </c>
      <c r="L82" s="90"/>
      <c r="M82" s="90"/>
    </row>
    <row r="83" spans="1:13" s="7" customFormat="1" ht="12" customHeight="1">
      <c r="A83" s="37" t="s">
        <v>317</v>
      </c>
      <c r="B83" s="31" t="s">
        <v>2232</v>
      </c>
      <c r="C83" s="31" t="s">
        <v>52</v>
      </c>
      <c r="D83" s="32" t="s">
        <v>54</v>
      </c>
      <c r="E83" s="33" t="s">
        <v>1064</v>
      </c>
      <c r="F83" s="72" t="s">
        <v>1138</v>
      </c>
      <c r="G83" s="33">
        <v>1502000</v>
      </c>
      <c r="H83" s="72" t="s">
        <v>65</v>
      </c>
      <c r="I83" s="101" t="s">
        <v>66</v>
      </c>
      <c r="J83" s="72">
        <v>12</v>
      </c>
      <c r="K83" s="72" t="s">
        <v>41</v>
      </c>
      <c r="L83" s="90"/>
      <c r="M83" s="90"/>
    </row>
    <row r="84" spans="1:13" s="7" customFormat="1" ht="12" customHeight="1">
      <c r="A84" s="37" t="s">
        <v>317</v>
      </c>
      <c r="B84" s="31" t="s">
        <v>2232</v>
      </c>
      <c r="C84" s="31" t="s">
        <v>52</v>
      </c>
      <c r="D84" s="32" t="s">
        <v>54</v>
      </c>
      <c r="E84" s="33" t="s">
        <v>1064</v>
      </c>
      <c r="F84" s="72" t="s">
        <v>2300</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1064</v>
      </c>
      <c r="F85" s="72" t="s">
        <v>2301</v>
      </c>
      <c r="G85" s="33">
        <v>1502000</v>
      </c>
      <c r="H85" s="33" t="s">
        <v>81</v>
      </c>
      <c r="I85" s="101" t="s">
        <v>82</v>
      </c>
      <c r="J85" s="72">
        <v>12</v>
      </c>
      <c r="K85" s="72" t="s">
        <v>41</v>
      </c>
      <c r="L85" s="90"/>
      <c r="M85" s="90"/>
    </row>
    <row r="86" spans="1:13" s="7" customFormat="1" ht="12" customHeight="1">
      <c r="A86" s="31" t="s">
        <v>160</v>
      </c>
      <c r="B86" s="31" t="s">
        <v>160</v>
      </c>
      <c r="C86" s="32" t="s">
        <v>120</v>
      </c>
      <c r="D86" s="32" t="s">
        <v>10</v>
      </c>
      <c r="E86" s="33" t="s">
        <v>1139</v>
      </c>
      <c r="F86" s="72" t="s">
        <v>1140</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1139</v>
      </c>
      <c r="F87" s="72" t="s">
        <v>1141</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1139</v>
      </c>
      <c r="F88" s="72" t="s">
        <v>1142</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1143</v>
      </c>
      <c r="F89" s="72" t="s">
        <v>1144</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1143</v>
      </c>
      <c r="F90" s="72" t="s">
        <v>1145</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1143</v>
      </c>
      <c r="F91" s="72" t="s">
        <v>1146</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1143</v>
      </c>
      <c r="F92" s="72" t="s">
        <v>2302</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1143</v>
      </c>
      <c r="F93" s="72" t="s">
        <v>1147</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1143</v>
      </c>
      <c r="F94" s="72" t="s">
        <v>1148</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1143</v>
      </c>
      <c r="F95" s="72" t="s">
        <v>1149</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1143</v>
      </c>
      <c r="F96" s="72" t="s">
        <v>1150</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1143</v>
      </c>
      <c r="F97" s="72" t="s">
        <v>1151</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1143</v>
      </c>
      <c r="F98" s="72" t="s">
        <v>1152</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1143</v>
      </c>
      <c r="F99" s="72" t="s">
        <v>1153</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1143</v>
      </c>
      <c r="F100" s="72" t="s">
        <v>1154</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1143</v>
      </c>
      <c r="F101" s="72" t="s">
        <v>1155</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1143</v>
      </c>
      <c r="F102" s="72" t="s">
        <v>1156</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1143</v>
      </c>
      <c r="F103" s="72" t="s">
        <v>1157</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1143</v>
      </c>
      <c r="F104" s="72" t="s">
        <v>1158</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1143</v>
      </c>
      <c r="F105" s="72" t="s">
        <v>1159</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1143</v>
      </c>
      <c r="F106" s="72" t="s">
        <v>1160</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1143</v>
      </c>
      <c r="F107" s="72" t="s">
        <v>1161</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1143</v>
      </c>
      <c r="F108" s="72" t="s">
        <v>1162</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1143</v>
      </c>
      <c r="F109" s="72" t="s">
        <v>1163</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1143</v>
      </c>
      <c r="F110" s="72" t="s">
        <v>1164</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1143</v>
      </c>
      <c r="F111" s="72" t="s">
        <v>1165</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1143</v>
      </c>
      <c r="F112" s="72" t="s">
        <v>1166</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1143</v>
      </c>
      <c r="F113" s="72" t="s">
        <v>1167</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1143</v>
      </c>
      <c r="F114" s="72" t="s">
        <v>1168</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1143</v>
      </c>
      <c r="F115" s="72" t="s">
        <v>1169</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1143</v>
      </c>
      <c r="F116" s="72" t="s">
        <v>1170</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1143</v>
      </c>
      <c r="F117" s="72" t="s">
        <v>1171</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1143</v>
      </c>
      <c r="F118" s="72" t="s">
        <v>1172</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1143</v>
      </c>
      <c r="F119" s="72" t="s">
        <v>1173</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1143</v>
      </c>
      <c r="F120" s="72" t="s">
        <v>1174</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1143</v>
      </c>
      <c r="F121" s="72" t="s">
        <v>1175</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1143</v>
      </c>
      <c r="F122" s="72" t="s">
        <v>1176</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1143</v>
      </c>
      <c r="F123" s="72" t="s">
        <v>1177</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1143</v>
      </c>
      <c r="F124" s="72" t="s">
        <v>1178</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1143</v>
      </c>
      <c r="F125" s="72" t="s">
        <v>1179</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1143</v>
      </c>
      <c r="F126" s="72" t="s">
        <v>1180</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1143</v>
      </c>
      <c r="F127" s="72" t="s">
        <v>1181</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1143</v>
      </c>
      <c r="F128" s="72" t="s">
        <v>1182</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1143</v>
      </c>
      <c r="F129" s="72" t="s">
        <v>1183</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1143</v>
      </c>
      <c r="F130" s="72" t="s">
        <v>1184</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1143</v>
      </c>
      <c r="F131" s="72" t="s">
        <v>1185</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1143</v>
      </c>
      <c r="F132" s="72" t="s">
        <v>1186</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1143</v>
      </c>
      <c r="F133" s="72" t="s">
        <v>1187</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1143</v>
      </c>
      <c r="F134" s="72" t="s">
        <v>1188</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1143</v>
      </c>
      <c r="F135" s="72" t="s">
        <v>1189</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1143</v>
      </c>
      <c r="F136" s="72" t="s">
        <v>1190</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1191</v>
      </c>
      <c r="F137" s="72" t="s">
        <v>1192</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2303</v>
      </c>
      <c r="F138" s="72" t="s">
        <v>2304</v>
      </c>
      <c r="G138" s="33">
        <v>1502000</v>
      </c>
      <c r="H138" s="72">
        <v>3.1</v>
      </c>
      <c r="I138" s="101" t="s">
        <v>591</v>
      </c>
      <c r="J138" s="72">
        <v>50</v>
      </c>
      <c r="K138" s="72" t="s">
        <v>41</v>
      </c>
      <c r="L138" s="90"/>
      <c r="M138" s="90"/>
    </row>
    <row r="139" spans="1:13" s="7" customFormat="1" ht="12" customHeight="1">
      <c r="A139" s="31" t="s">
        <v>227</v>
      </c>
      <c r="B139" s="31" t="s">
        <v>227</v>
      </c>
      <c r="C139" s="31" t="s">
        <v>52</v>
      </c>
      <c r="D139" s="31" t="s">
        <v>1</v>
      </c>
      <c r="E139" s="33" t="s">
        <v>2303</v>
      </c>
      <c r="F139" s="72" t="s">
        <v>2305</v>
      </c>
      <c r="G139" s="33">
        <v>1502000</v>
      </c>
      <c r="H139" s="72">
        <v>3.2</v>
      </c>
      <c r="I139" s="101" t="s">
        <v>601</v>
      </c>
      <c r="J139" s="72">
        <v>10</v>
      </c>
      <c r="K139" s="72" t="s">
        <v>41</v>
      </c>
      <c r="L139" s="90"/>
      <c r="M139" s="90"/>
    </row>
    <row r="140" spans="1:13" s="7" customFormat="1" ht="12" customHeight="1">
      <c r="A140" s="31" t="s">
        <v>227</v>
      </c>
      <c r="B140" s="31" t="s">
        <v>227</v>
      </c>
      <c r="C140" s="32" t="s">
        <v>120</v>
      </c>
      <c r="D140" s="32" t="s">
        <v>10</v>
      </c>
      <c r="E140" s="33" t="s">
        <v>2303</v>
      </c>
      <c r="F140" s="72" t="s">
        <v>2306</v>
      </c>
      <c r="G140" s="33">
        <v>1700000</v>
      </c>
      <c r="H140" s="33" t="s">
        <v>128</v>
      </c>
      <c r="I140" s="103" t="s">
        <v>129</v>
      </c>
      <c r="J140" s="72">
        <v>12</v>
      </c>
      <c r="K140" s="72" t="s">
        <v>41</v>
      </c>
      <c r="L140" s="90"/>
      <c r="M140" s="90"/>
    </row>
    <row r="141" spans="1:13" s="7" customFormat="1" ht="12" customHeight="1">
      <c r="A141" s="31" t="s">
        <v>227</v>
      </c>
      <c r="B141" s="31" t="s">
        <v>227</v>
      </c>
      <c r="C141" s="32" t="s">
        <v>120</v>
      </c>
      <c r="D141" s="32" t="s">
        <v>10</v>
      </c>
      <c r="E141" s="33" t="s">
        <v>2303</v>
      </c>
      <c r="F141" s="72" t="s">
        <v>2307</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2308</v>
      </c>
      <c r="F142" s="72" t="s">
        <v>2309</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2308</v>
      </c>
      <c r="F143" s="72" t="s">
        <v>2310</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2308</v>
      </c>
      <c r="F144" s="72" t="s">
        <v>2311</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2308</v>
      </c>
      <c r="F145" s="72" t="s">
        <v>2312</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2308</v>
      </c>
      <c r="F146" s="72" t="s">
        <v>2313</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2308</v>
      </c>
      <c r="F147" s="72" t="s">
        <v>2314</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2308</v>
      </c>
      <c r="F148" s="72" t="s">
        <v>2315</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2308</v>
      </c>
      <c r="F149" s="72" t="s">
        <v>2316</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2308</v>
      </c>
      <c r="F150" s="72" t="s">
        <v>2317</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2308</v>
      </c>
      <c r="F151" s="72" t="s">
        <v>2318</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2308</v>
      </c>
      <c r="F152" s="72" t="s">
        <v>2319</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1193</v>
      </c>
      <c r="F153" s="72" t="s">
        <v>1194</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1193</v>
      </c>
      <c r="F154" s="72" t="s">
        <v>1195</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2320</v>
      </c>
      <c r="F155" s="72" t="s">
        <v>2321</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2320</v>
      </c>
      <c r="F156" s="72" t="s">
        <v>2322</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2320</v>
      </c>
      <c r="F157" s="72" t="s">
        <v>2323</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2320</v>
      </c>
      <c r="F158" s="72" t="s">
        <v>2324</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2320</v>
      </c>
      <c r="F159" s="72" t="s">
        <v>2325</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2320</v>
      </c>
      <c r="F160" s="72" t="s">
        <v>2326</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2320</v>
      </c>
      <c r="F161" s="72" t="s">
        <v>2327</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2320</v>
      </c>
      <c r="F162" s="72" t="s">
        <v>2328</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2320</v>
      </c>
      <c r="F163" s="72" t="s">
        <v>2329</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2320</v>
      </c>
      <c r="F164" s="72" t="s">
        <v>2330</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2320</v>
      </c>
      <c r="F165" s="72" t="s">
        <v>2331</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2320</v>
      </c>
      <c r="F166" s="72" t="s">
        <v>2332</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1196</v>
      </c>
      <c r="F167" s="72" t="s">
        <v>1197</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1196</v>
      </c>
      <c r="F168" s="72" t="s">
        <v>1198</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1196</v>
      </c>
      <c r="F169" s="72" t="s">
        <v>1223</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1196</v>
      </c>
      <c r="F170" s="72" t="s">
        <v>2333</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1199</v>
      </c>
      <c r="F171" s="72" t="s">
        <v>1200</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1199</v>
      </c>
      <c r="F172" s="72" t="s">
        <v>1201</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1202</v>
      </c>
      <c r="F173" s="72" t="s">
        <v>1203</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1202</v>
      </c>
      <c r="F174" s="72" t="s">
        <v>1204</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1202</v>
      </c>
      <c r="F175" s="72" t="s">
        <v>1205</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1202</v>
      </c>
      <c r="F176" s="72" t="s">
        <v>1206</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1202</v>
      </c>
      <c r="F177" s="72" t="s">
        <v>2334</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1202</v>
      </c>
      <c r="F178" s="72" t="s">
        <v>2335</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1202</v>
      </c>
      <c r="F179" s="72" t="s">
        <v>2336</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1207</v>
      </c>
      <c r="F180" s="72" t="s">
        <v>1208</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1207</v>
      </c>
      <c r="F181" s="72" t="s">
        <v>1209</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1207</v>
      </c>
      <c r="F182" s="72" t="s">
        <v>2337</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1207</v>
      </c>
      <c r="F183" s="72" t="s">
        <v>2338</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1210</v>
      </c>
      <c r="F184" s="72" t="s">
        <v>1211</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1210</v>
      </c>
      <c r="F185" s="72" t="s">
        <v>1212</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1210</v>
      </c>
      <c r="F186" s="72" t="s">
        <v>1213</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1210</v>
      </c>
      <c r="F187" s="72" t="s">
        <v>1214</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1215</v>
      </c>
      <c r="F188" s="72" t="s">
        <v>1216</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1215</v>
      </c>
      <c r="F189" s="72" t="s">
        <v>1217</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1215</v>
      </c>
      <c r="F190" s="72" t="s">
        <v>1218</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1215</v>
      </c>
      <c r="F191" s="72" t="s">
        <v>1219</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1215</v>
      </c>
      <c r="F192" s="72" t="s">
        <v>2339</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763</v>
      </c>
      <c r="C5" s="16"/>
    </row>
    <row r="6" spans="1:10">
      <c r="A6" s="63"/>
      <c r="B6" s="63" t="s">
        <v>254</v>
      </c>
      <c r="C6" s="16"/>
    </row>
    <row r="7" spans="1:10" ht="14.45" customHeight="1">
      <c r="A7" s="19"/>
      <c r="B7" s="19" t="s">
        <v>2205</v>
      </c>
      <c r="C7" s="13"/>
    </row>
    <row r="8" spans="1:10" s="20" customFormat="1" ht="70.5" customHeight="1">
      <c r="A8" s="41" t="s">
        <v>24</v>
      </c>
      <c r="B8" s="41" t="s">
        <v>255</v>
      </c>
      <c r="C8" s="41" t="s">
        <v>256</v>
      </c>
      <c r="D8" s="42" t="s">
        <v>257</v>
      </c>
      <c r="E8" s="42" t="s">
        <v>29</v>
      </c>
      <c r="F8" s="42" t="s">
        <v>30</v>
      </c>
      <c r="G8" s="43" t="s">
        <v>31</v>
      </c>
    </row>
    <row r="9" spans="1:10" ht="282" customHeight="1">
      <c r="A9" s="44" t="s">
        <v>297</v>
      </c>
      <c r="B9" s="45" t="s">
        <v>259</v>
      </c>
      <c r="C9" s="46" t="s">
        <v>2622</v>
      </c>
      <c r="D9" s="47">
        <f>G10+G11</f>
        <v>0</v>
      </c>
      <c r="E9" s="33" t="s">
        <v>206</v>
      </c>
      <c r="F9" s="109">
        <v>1</v>
      </c>
      <c r="G9" s="40"/>
    </row>
    <row r="10" spans="1:10" ht="180" customHeight="1">
      <c r="A10" s="44" t="s">
        <v>2206</v>
      </c>
      <c r="B10" s="45" t="s">
        <v>2227</v>
      </c>
      <c r="C10" s="46" t="s">
        <v>2226</v>
      </c>
      <c r="D10" s="47">
        <f>'CLIN 0002 Base Period N-RW'!D10</f>
        <v>16000</v>
      </c>
      <c r="E10" s="33" t="s">
        <v>260</v>
      </c>
      <c r="F10" s="40"/>
      <c r="G10" s="40"/>
    </row>
    <row r="11" spans="1:10" ht="204.75" customHeight="1">
      <c r="A11" s="44" t="s">
        <v>2207</v>
      </c>
      <c r="B11" s="45" t="s">
        <v>2228</v>
      </c>
      <c r="C11" s="46" t="s">
        <v>2197</v>
      </c>
      <c r="D11" s="47">
        <f>'CLIN 0002 Base Period N-RW'!D11</f>
        <v>1600000</v>
      </c>
      <c r="E11" s="33" t="s">
        <v>206</v>
      </c>
      <c r="F11" s="40"/>
      <c r="G11" s="40"/>
    </row>
    <row r="12" spans="1:10" s="7" customFormat="1" ht="212.25" customHeight="1">
      <c r="A12" s="44" t="s">
        <v>298</v>
      </c>
      <c r="B12" s="45" t="s">
        <v>267</v>
      </c>
      <c r="C12" s="46" t="s">
        <v>2201</v>
      </c>
      <c r="D12" s="50">
        <v>2000000</v>
      </c>
      <c r="E12" s="33" t="s">
        <v>206</v>
      </c>
      <c r="F12" s="40"/>
      <c r="G12" s="40"/>
    </row>
    <row r="13" spans="1:10" s="7" customFormat="1" ht="144.75" customHeight="1">
      <c r="A13" s="44" t="s">
        <v>299</v>
      </c>
      <c r="B13" s="45" t="s">
        <v>269</v>
      </c>
      <c r="C13" s="46" t="s">
        <v>753</v>
      </c>
      <c r="D13" s="51">
        <v>115</v>
      </c>
      <c r="E13" s="52" t="s">
        <v>38</v>
      </c>
      <c r="F13" s="40"/>
      <c r="G13" s="40"/>
    </row>
    <row r="14" spans="1:10" ht="149.25" customHeight="1">
      <c r="A14" s="44" t="s">
        <v>300</v>
      </c>
      <c r="B14" s="45" t="s">
        <v>271</v>
      </c>
      <c r="C14" s="46" t="s">
        <v>754</v>
      </c>
      <c r="D14" s="51">
        <v>130</v>
      </c>
      <c r="E14" s="52" t="s">
        <v>38</v>
      </c>
      <c r="F14" s="40"/>
      <c r="G14" s="40"/>
    </row>
    <row r="15" spans="1:10" s="12" customFormat="1" ht="148.5" customHeight="1">
      <c r="A15" s="44" t="s">
        <v>301</v>
      </c>
      <c r="B15" s="45" t="s">
        <v>273</v>
      </c>
      <c r="C15" s="46" t="s">
        <v>756</v>
      </c>
      <c r="D15" s="51">
        <v>95</v>
      </c>
      <c r="E15" s="52" t="s">
        <v>38</v>
      </c>
      <c r="F15" s="40"/>
      <c r="G15" s="40"/>
    </row>
    <row r="16" spans="1:10" s="60" customFormat="1" ht="149.25" customHeight="1">
      <c r="A16" s="44" t="s">
        <v>302</v>
      </c>
      <c r="B16" s="48" t="s">
        <v>737</v>
      </c>
      <c r="C16" s="49" t="s">
        <v>757</v>
      </c>
      <c r="D16" s="51">
        <v>50</v>
      </c>
      <c r="E16" s="52" t="s">
        <v>38</v>
      </c>
      <c r="F16" s="40"/>
      <c r="G16" s="40"/>
    </row>
    <row r="17" spans="1:7" s="60" customFormat="1" ht="151.5" customHeight="1">
      <c r="A17" s="44" t="s">
        <v>303</v>
      </c>
      <c r="B17" s="48" t="s">
        <v>750</v>
      </c>
      <c r="C17" s="49" t="s">
        <v>758</v>
      </c>
      <c r="D17" s="51">
        <v>40</v>
      </c>
      <c r="E17" s="52" t="s">
        <v>38</v>
      </c>
      <c r="F17" s="40"/>
      <c r="G17" s="40"/>
    </row>
    <row r="18" spans="1:7" s="60" customFormat="1" ht="153.75" customHeight="1">
      <c r="A18" s="44" t="s">
        <v>304</v>
      </c>
      <c r="B18" s="48" t="s">
        <v>751</v>
      </c>
      <c r="C18" s="49" t="s">
        <v>759</v>
      </c>
      <c r="D18" s="51">
        <v>30</v>
      </c>
      <c r="E18" s="52" t="s">
        <v>38</v>
      </c>
      <c r="F18" s="40"/>
      <c r="G18" s="40"/>
    </row>
    <row r="19" spans="1:7" s="60" customFormat="1" ht="150" customHeight="1">
      <c r="A19" s="44" t="s">
        <v>305</v>
      </c>
      <c r="B19" s="48" t="s">
        <v>752</v>
      </c>
      <c r="C19" s="49" t="s">
        <v>760</v>
      </c>
      <c r="D19" s="51">
        <v>20</v>
      </c>
      <c r="E19" s="52" t="s">
        <v>38</v>
      </c>
      <c r="F19" s="40"/>
      <c r="G19" s="40"/>
    </row>
    <row r="20" spans="1:7" ht="114.75">
      <c r="A20" s="44" t="s">
        <v>306</v>
      </c>
      <c r="B20" s="56" t="s">
        <v>2638</v>
      </c>
      <c r="C20" s="45" t="s">
        <v>275</v>
      </c>
      <c r="D20" s="51">
        <v>20000</v>
      </c>
      <c r="E20" s="33" t="s">
        <v>276</v>
      </c>
      <c r="F20" s="40"/>
      <c r="G20" s="40"/>
    </row>
    <row r="21" spans="1:7" ht="127.5">
      <c r="A21" s="44" t="s">
        <v>307</v>
      </c>
      <c r="B21" s="56" t="s">
        <v>2637</v>
      </c>
      <c r="C21" s="45" t="s">
        <v>278</v>
      </c>
      <c r="D21" s="51">
        <v>30000</v>
      </c>
      <c r="E21" s="33" t="s">
        <v>276</v>
      </c>
      <c r="F21" s="40"/>
      <c r="G21" s="40"/>
    </row>
    <row r="22" spans="1:7" ht="76.5">
      <c r="A22" s="44" t="s">
        <v>308</v>
      </c>
      <c r="B22" s="56" t="s">
        <v>2636</v>
      </c>
      <c r="C22" s="45" t="s">
        <v>280</v>
      </c>
      <c r="D22" s="51">
        <v>18</v>
      </c>
      <c r="E22" s="33" t="s">
        <v>41</v>
      </c>
      <c r="F22" s="40"/>
      <c r="G22" s="40"/>
    </row>
    <row r="23" spans="1:7" ht="76.5">
      <c r="A23" s="44" t="s">
        <v>309</v>
      </c>
      <c r="B23" s="56" t="s">
        <v>2635</v>
      </c>
      <c r="C23" s="45" t="s">
        <v>282</v>
      </c>
      <c r="D23" s="51">
        <v>18</v>
      </c>
      <c r="E23" s="33" t="s">
        <v>41</v>
      </c>
      <c r="F23" s="40"/>
      <c r="G23" s="40"/>
    </row>
    <row r="24" spans="1:7" ht="91.5" customHeight="1">
      <c r="A24" s="44" t="s">
        <v>310</v>
      </c>
      <c r="B24" s="56" t="s">
        <v>2634</v>
      </c>
      <c r="C24" s="45" t="s">
        <v>284</v>
      </c>
      <c r="D24" s="51">
        <v>6</v>
      </c>
      <c r="E24" s="33" t="s">
        <v>38</v>
      </c>
      <c r="F24" s="40"/>
      <c r="G24" s="40"/>
    </row>
    <row r="25" spans="1:7" ht="127.5" customHeight="1">
      <c r="A25" s="44" t="s">
        <v>311</v>
      </c>
      <c r="B25" s="45" t="s">
        <v>2633</v>
      </c>
      <c r="C25" s="49" t="s">
        <v>286</v>
      </c>
      <c r="D25" s="51">
        <v>100</v>
      </c>
      <c r="E25" s="33" t="s">
        <v>287</v>
      </c>
      <c r="F25" s="40"/>
      <c r="G25" s="40"/>
    </row>
    <row r="26" spans="1:7" ht="127.5">
      <c r="A26" s="44" t="s">
        <v>312</v>
      </c>
      <c r="B26" s="45" t="s">
        <v>2629</v>
      </c>
      <c r="C26" s="49" t="s">
        <v>290</v>
      </c>
      <c r="D26" s="51">
        <v>5</v>
      </c>
      <c r="E26" s="33" t="s">
        <v>38</v>
      </c>
      <c r="F26" s="40"/>
      <c r="G26" s="40"/>
    </row>
    <row r="27" spans="1:7" ht="114.75">
      <c r="A27" s="44" t="s">
        <v>313</v>
      </c>
      <c r="B27" s="45" t="s">
        <v>2630</v>
      </c>
      <c r="C27" s="46" t="s">
        <v>292</v>
      </c>
      <c r="D27" s="51">
        <v>50</v>
      </c>
      <c r="E27" s="33" t="s">
        <v>38</v>
      </c>
      <c r="F27" s="40"/>
      <c r="G27" s="40"/>
    </row>
    <row r="28" spans="1:7" ht="102">
      <c r="A28" s="44" t="s">
        <v>314</v>
      </c>
      <c r="B28" s="45" t="s">
        <v>2631</v>
      </c>
      <c r="C28" s="46" t="s">
        <v>755</v>
      </c>
      <c r="D28" s="51">
        <v>30</v>
      </c>
      <c r="E28" s="33" t="s">
        <v>38</v>
      </c>
      <c r="F28" s="40"/>
      <c r="G28" s="40"/>
    </row>
    <row r="29" spans="1:7" ht="89.25">
      <c r="A29" s="44" t="s">
        <v>315</v>
      </c>
      <c r="B29" s="45" t="s">
        <v>2632</v>
      </c>
      <c r="C29" s="46" t="s">
        <v>732</v>
      </c>
      <c r="D29" s="51">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zoomScale="90" zoomScaleNormal="90" workbookViewId="0">
      <selection activeCell="L28" sqref="L28"/>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4"/>
      <c r="D1" s="114"/>
      <c r="E1" s="114"/>
      <c r="F1" s="114"/>
      <c r="G1" s="114"/>
      <c r="H1" s="114"/>
      <c r="M1" s="78"/>
      <c r="N1" s="79"/>
    </row>
    <row r="2" spans="1:14" ht="15">
      <c r="B2" s="113" t="s">
        <v>19</v>
      </c>
      <c r="C2" s="114"/>
      <c r="D2" s="114"/>
      <c r="E2" s="114"/>
      <c r="F2" s="114"/>
      <c r="G2" s="114"/>
      <c r="H2" s="114"/>
    </row>
    <row r="3" spans="1:14" ht="15">
      <c r="B3" s="113" t="s">
        <v>761</v>
      </c>
      <c r="C3" s="114"/>
      <c r="D3" s="114"/>
      <c r="E3" s="114"/>
      <c r="F3" s="114"/>
      <c r="G3" s="114"/>
      <c r="H3" s="114"/>
    </row>
    <row r="4" spans="1:14">
      <c r="B4" s="65"/>
      <c r="E4" s="10"/>
      <c r="F4" s="76"/>
      <c r="G4" s="76"/>
      <c r="H4" s="3"/>
    </row>
    <row r="5" spans="1:14">
      <c r="B5" s="65"/>
      <c r="E5" s="10"/>
      <c r="F5" s="76"/>
      <c r="G5" s="76"/>
      <c r="H5" s="3"/>
    </row>
    <row r="6" spans="1:14">
      <c r="B6" s="63" t="s">
        <v>2188</v>
      </c>
      <c r="C6" s="16"/>
      <c r="D6" s="16"/>
      <c r="E6" s="16"/>
      <c r="F6" s="9"/>
      <c r="G6" s="16"/>
      <c r="H6" s="16"/>
    </row>
    <row r="7" spans="1:14" ht="12.95" customHeight="1">
      <c r="B7" s="64" t="s">
        <v>20</v>
      </c>
      <c r="C7" s="15"/>
      <c r="D7" s="15"/>
      <c r="E7" s="14"/>
      <c r="F7" s="76"/>
      <c r="G7" s="14"/>
      <c r="H7" s="14"/>
    </row>
    <row r="8" spans="1:14" ht="13.5" thickBot="1">
      <c r="B8" s="19" t="s">
        <v>2605</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1220</v>
      </c>
      <c r="E10" s="33" t="s">
        <v>1221</v>
      </c>
      <c r="F10" s="33">
        <v>1606000</v>
      </c>
      <c r="G10" s="33">
        <v>3.1</v>
      </c>
      <c r="H10" s="37" t="s">
        <v>8</v>
      </c>
      <c r="I10" s="33">
        <v>12</v>
      </c>
      <c r="J10" s="33" t="s">
        <v>41</v>
      </c>
      <c r="K10" s="34"/>
      <c r="L10" s="34"/>
    </row>
    <row r="11" spans="1:14" s="7" customFormat="1">
      <c r="A11" s="37" t="s">
        <v>51</v>
      </c>
      <c r="B11" s="32" t="s">
        <v>294</v>
      </c>
      <c r="C11" s="32" t="s">
        <v>53</v>
      </c>
      <c r="D11" s="33" t="s">
        <v>1220</v>
      </c>
      <c r="E11" s="33" t="s">
        <v>1222</v>
      </c>
      <c r="F11" s="33">
        <v>1606000</v>
      </c>
      <c r="G11" s="33" t="s">
        <v>116</v>
      </c>
      <c r="H11" s="37" t="s">
        <v>53</v>
      </c>
      <c r="I11" s="39">
        <v>80</v>
      </c>
      <c r="J11" s="33" t="s">
        <v>38</v>
      </c>
      <c r="K11" s="34"/>
      <c r="L11" s="34"/>
    </row>
    <row r="12" spans="1:14" s="7" customFormat="1">
      <c r="A12" s="37" t="s">
        <v>51</v>
      </c>
      <c r="B12" s="32" t="s">
        <v>294</v>
      </c>
      <c r="C12" s="32" t="s">
        <v>111</v>
      </c>
      <c r="D12" s="33" t="s">
        <v>1220</v>
      </c>
      <c r="E12" s="33" t="s">
        <v>2606</v>
      </c>
      <c r="F12" s="33">
        <v>1606000</v>
      </c>
      <c r="G12" s="33">
        <v>3.3</v>
      </c>
      <c r="H12" s="37" t="s">
        <v>295</v>
      </c>
      <c r="I12" s="33">
        <v>12</v>
      </c>
      <c r="J12" s="33" t="s">
        <v>41</v>
      </c>
      <c r="K12" s="34"/>
      <c r="L12" s="34"/>
    </row>
    <row r="13" spans="1:14" s="7" customFormat="1" ht="14.1" customHeight="1">
      <c r="A13" s="37" t="s">
        <v>108</v>
      </c>
      <c r="B13" s="32" t="s">
        <v>294</v>
      </c>
      <c r="C13" s="32" t="s">
        <v>111</v>
      </c>
      <c r="D13" s="33" t="s">
        <v>1220</v>
      </c>
      <c r="E13" s="33" t="s">
        <v>2607</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pageSetup fitToHeight="0" orientation="portrait" horizontalDpi="1200" verticalDpi="1200" r:id="rId1"/>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topLeftCell="A166" workbookViewId="0">
      <selection activeCell="G18" sqref="G18"/>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3.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2180</v>
      </c>
      <c r="D4" s="16"/>
      <c r="E4" s="16"/>
      <c r="F4" s="69"/>
      <c r="G4" s="9"/>
      <c r="H4" s="69"/>
      <c r="I4" s="98"/>
    </row>
    <row r="5" spans="1:16" ht="12" customHeight="1">
      <c r="C5" s="14" t="s">
        <v>20</v>
      </c>
      <c r="D5" s="15"/>
      <c r="E5" s="15"/>
      <c r="F5" s="70"/>
      <c r="G5" s="85"/>
      <c r="H5" s="70"/>
      <c r="I5" s="99"/>
    </row>
    <row r="6" spans="1:16" ht="12" customHeight="1">
      <c r="C6" s="13" t="s">
        <v>2594</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1224</v>
      </c>
      <c r="F8" s="72" t="s">
        <v>1225</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1224</v>
      </c>
      <c r="F9" s="72" t="s">
        <v>1226</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1224</v>
      </c>
      <c r="F10" s="72" t="s">
        <v>1227</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1224</v>
      </c>
      <c r="F11" s="72" t="s">
        <v>1228</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1224</v>
      </c>
      <c r="F12" s="72" t="s">
        <v>1229</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1224</v>
      </c>
      <c r="F13" s="72" t="s">
        <v>1230</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1224</v>
      </c>
      <c r="F14" s="72" t="s">
        <v>1231</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1224</v>
      </c>
      <c r="F15" s="72" t="s">
        <v>1232</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1224</v>
      </c>
      <c r="F16" s="72" t="s">
        <v>1233</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1224</v>
      </c>
      <c r="F17" s="72" t="s">
        <v>1234</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1224</v>
      </c>
      <c r="F18" s="72" t="s">
        <v>1235</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1224</v>
      </c>
      <c r="F19" s="72" t="s">
        <v>1236</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1224</v>
      </c>
      <c r="F20" s="72" t="s">
        <v>1237</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1224</v>
      </c>
      <c r="F21" s="72" t="s">
        <v>1238</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1224</v>
      </c>
      <c r="F22" s="72" t="s">
        <v>1239</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1224</v>
      </c>
      <c r="F23" s="72" t="s">
        <v>1240</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1224</v>
      </c>
      <c r="F24" s="72" t="s">
        <v>1241</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1224</v>
      </c>
      <c r="F25" s="72" t="s">
        <v>1242</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1224</v>
      </c>
      <c r="F26" s="72" t="s">
        <v>1243</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1224</v>
      </c>
      <c r="F27" s="72" t="s">
        <v>1244</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1224</v>
      </c>
      <c r="F28" s="72" t="s">
        <v>1245</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1224</v>
      </c>
      <c r="F29" s="72" t="s">
        <v>1246</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1224</v>
      </c>
      <c r="F30" s="72" t="s">
        <v>1247</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1224</v>
      </c>
      <c r="F31" s="72" t="s">
        <v>1248</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1224</v>
      </c>
      <c r="F32" s="72" t="s">
        <v>1249</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1224</v>
      </c>
      <c r="F33" s="72" t="s">
        <v>1250</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1224</v>
      </c>
      <c r="F34" s="72" t="s">
        <v>1251</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1224</v>
      </c>
      <c r="F35" s="72" t="s">
        <v>1252</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1224</v>
      </c>
      <c r="F36" s="72" t="s">
        <v>1253</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1224</v>
      </c>
      <c r="F37" s="72" t="s">
        <v>1254</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1224</v>
      </c>
      <c r="F38" s="72" t="s">
        <v>1255</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1224</v>
      </c>
      <c r="F39" s="72" t="s">
        <v>1256</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1224</v>
      </c>
      <c r="F40" s="72" t="s">
        <v>2340</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1224</v>
      </c>
      <c r="F41" s="72" t="s">
        <v>1257</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1224</v>
      </c>
      <c r="F42" s="72" t="s">
        <v>1258</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1224</v>
      </c>
      <c r="F43" s="72" t="s">
        <v>1259</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1224</v>
      </c>
      <c r="F44" s="72" t="s">
        <v>1260</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1224</v>
      </c>
      <c r="F45" s="72" t="s">
        <v>1261</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1224</v>
      </c>
      <c r="F46" s="72" t="s">
        <v>1262</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1224</v>
      </c>
      <c r="F47" s="72" t="s">
        <v>1263</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1224</v>
      </c>
      <c r="F48" s="72" t="s">
        <v>1264</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1224</v>
      </c>
      <c r="F49" s="72" t="s">
        <v>1265</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1224</v>
      </c>
      <c r="F50" s="72" t="s">
        <v>1266</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1224</v>
      </c>
      <c r="F51" s="72" t="s">
        <v>1267</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1224</v>
      </c>
      <c r="F52" s="72" t="s">
        <v>1268</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1224</v>
      </c>
      <c r="F53" s="72" t="s">
        <v>1269</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1224</v>
      </c>
      <c r="F54" s="72" t="s">
        <v>1270</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1224</v>
      </c>
      <c r="F55" s="72" t="s">
        <v>1271</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1224</v>
      </c>
      <c r="F56" s="72" t="s">
        <v>1272</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1224</v>
      </c>
      <c r="F57" s="72" t="s">
        <v>1273</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1224</v>
      </c>
      <c r="F58" s="72" t="s">
        <v>1274</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1224</v>
      </c>
      <c r="F59" s="72" t="s">
        <v>1275</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1224</v>
      </c>
      <c r="F60" s="72" t="s">
        <v>1276</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1224</v>
      </c>
      <c r="F61" s="72" t="s">
        <v>1277</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1224</v>
      </c>
      <c r="F62" s="72" t="s">
        <v>1278</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1224</v>
      </c>
      <c r="F63" s="72" t="s">
        <v>1279</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1224</v>
      </c>
      <c r="F64" s="72" t="s">
        <v>1280</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1224</v>
      </c>
      <c r="F65" s="72" t="s">
        <v>1281</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1224</v>
      </c>
      <c r="F66" s="72" t="s">
        <v>1282</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1224</v>
      </c>
      <c r="F67" s="72" t="s">
        <v>1283</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1224</v>
      </c>
      <c r="F68" s="72" t="s">
        <v>1284</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1224</v>
      </c>
      <c r="F69" s="72" t="s">
        <v>1285</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1224</v>
      </c>
      <c r="F70" s="72" t="s">
        <v>1286</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1224</v>
      </c>
      <c r="F71" s="72" t="s">
        <v>1287</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1224</v>
      </c>
      <c r="F72" s="72" t="s">
        <v>1288</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1224</v>
      </c>
      <c r="F73" s="72" t="s">
        <v>1289</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1224</v>
      </c>
      <c r="F74" s="72" t="s">
        <v>1290</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1224</v>
      </c>
      <c r="F75" s="72" t="s">
        <v>1291</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1224</v>
      </c>
      <c r="F76" s="72" t="s">
        <v>1292</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1224</v>
      </c>
      <c r="F77" s="72" t="s">
        <v>2341</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1224</v>
      </c>
      <c r="F78" s="72" t="s">
        <v>1293</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1224</v>
      </c>
      <c r="F79" s="72" t="s">
        <v>1294</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1224</v>
      </c>
      <c r="F80" s="72" t="s">
        <v>1295</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1224</v>
      </c>
      <c r="F81" s="72" t="s">
        <v>1296</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1224</v>
      </c>
      <c r="F82" s="72" t="s">
        <v>1297</v>
      </c>
      <c r="G82" s="33">
        <v>1502000</v>
      </c>
      <c r="H82" s="72" t="s">
        <v>63</v>
      </c>
      <c r="I82" s="101" t="s">
        <v>64</v>
      </c>
      <c r="J82" s="72">
        <v>50</v>
      </c>
      <c r="K82" s="72" t="s">
        <v>38</v>
      </c>
      <c r="L82" s="90"/>
      <c r="M82" s="90"/>
    </row>
    <row r="83" spans="1:13" s="7" customFormat="1" ht="12" customHeight="1">
      <c r="A83" s="37" t="s">
        <v>317</v>
      </c>
      <c r="B83" s="31" t="s">
        <v>2232</v>
      </c>
      <c r="C83" s="31" t="s">
        <v>52</v>
      </c>
      <c r="D83" s="32" t="s">
        <v>54</v>
      </c>
      <c r="E83" s="33" t="s">
        <v>1224</v>
      </c>
      <c r="F83" s="72" t="s">
        <v>1298</v>
      </c>
      <c r="G83" s="33">
        <v>1502000</v>
      </c>
      <c r="H83" s="72" t="s">
        <v>65</v>
      </c>
      <c r="I83" s="101" t="s">
        <v>66</v>
      </c>
      <c r="J83" s="72">
        <v>10</v>
      </c>
      <c r="K83" s="72" t="s">
        <v>38</v>
      </c>
      <c r="L83" s="90"/>
      <c r="M83" s="90"/>
    </row>
    <row r="84" spans="1:13" s="7" customFormat="1" ht="12" customHeight="1">
      <c r="A84" s="37" t="s">
        <v>317</v>
      </c>
      <c r="B84" s="31" t="s">
        <v>2232</v>
      </c>
      <c r="C84" s="31" t="s">
        <v>52</v>
      </c>
      <c r="D84" s="32" t="s">
        <v>54</v>
      </c>
      <c r="E84" s="33" t="s">
        <v>1224</v>
      </c>
      <c r="F84" s="72" t="s">
        <v>2342</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1224</v>
      </c>
      <c r="F85" s="72" t="s">
        <v>2343</v>
      </c>
      <c r="G85" s="33">
        <v>1502000</v>
      </c>
      <c r="H85" s="33" t="s">
        <v>81</v>
      </c>
      <c r="I85" s="101" t="s">
        <v>82</v>
      </c>
      <c r="J85" s="92">
        <v>12</v>
      </c>
      <c r="K85" s="72" t="s">
        <v>41</v>
      </c>
      <c r="L85" s="90"/>
      <c r="M85" s="90"/>
    </row>
    <row r="86" spans="1:13" s="7" customFormat="1" ht="12" customHeight="1">
      <c r="A86" s="31" t="s">
        <v>160</v>
      </c>
      <c r="B86" s="31" t="s">
        <v>160</v>
      </c>
      <c r="C86" s="32" t="s">
        <v>120</v>
      </c>
      <c r="D86" s="32" t="s">
        <v>10</v>
      </c>
      <c r="E86" s="33" t="s">
        <v>1299</v>
      </c>
      <c r="F86" s="72" t="s">
        <v>1300</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1299</v>
      </c>
      <c r="F87" s="72" t="s">
        <v>1301</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1299</v>
      </c>
      <c r="F88" s="72" t="s">
        <v>1302</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1303</v>
      </c>
      <c r="F89" s="72" t="s">
        <v>1304</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1303</v>
      </c>
      <c r="F90" s="72" t="s">
        <v>1305</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1303</v>
      </c>
      <c r="F91" s="72" t="s">
        <v>1306</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1303</v>
      </c>
      <c r="F92" s="72" t="s">
        <v>2344</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1303</v>
      </c>
      <c r="F93" s="72" t="s">
        <v>1307</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1303</v>
      </c>
      <c r="F94" s="72" t="s">
        <v>1308</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1303</v>
      </c>
      <c r="F95" s="72" t="s">
        <v>1309</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1303</v>
      </c>
      <c r="F96" s="72" t="s">
        <v>1310</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1303</v>
      </c>
      <c r="F97" s="72" t="s">
        <v>1311</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1303</v>
      </c>
      <c r="F98" s="72" t="s">
        <v>1312</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1303</v>
      </c>
      <c r="F99" s="72" t="s">
        <v>1313</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1303</v>
      </c>
      <c r="F100" s="72" t="s">
        <v>1314</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1303</v>
      </c>
      <c r="F101" s="72" t="s">
        <v>1315</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1303</v>
      </c>
      <c r="F102" s="72" t="s">
        <v>1316</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1303</v>
      </c>
      <c r="F103" s="72" t="s">
        <v>1317</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1303</v>
      </c>
      <c r="F104" s="72" t="s">
        <v>1318</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1303</v>
      </c>
      <c r="F105" s="72" t="s">
        <v>1319</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1303</v>
      </c>
      <c r="F106" s="72" t="s">
        <v>1320</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1303</v>
      </c>
      <c r="F107" s="72" t="s">
        <v>1321</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1303</v>
      </c>
      <c r="F108" s="72" t="s">
        <v>1322</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1303</v>
      </c>
      <c r="F109" s="72" t="s">
        <v>1323</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1303</v>
      </c>
      <c r="F110" s="72" t="s">
        <v>1324</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1303</v>
      </c>
      <c r="F111" s="72" t="s">
        <v>1325</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1303</v>
      </c>
      <c r="F112" s="72" t="s">
        <v>1326</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1303</v>
      </c>
      <c r="F113" s="72" t="s">
        <v>1327</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1303</v>
      </c>
      <c r="F114" s="72" t="s">
        <v>1328</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1303</v>
      </c>
      <c r="F115" s="72" t="s">
        <v>1329</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1303</v>
      </c>
      <c r="F116" s="72" t="s">
        <v>1330</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1303</v>
      </c>
      <c r="F117" s="72" t="s">
        <v>1331</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1303</v>
      </c>
      <c r="F118" s="72" t="s">
        <v>1332</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1303</v>
      </c>
      <c r="F119" s="72" t="s">
        <v>1333</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1303</v>
      </c>
      <c r="F120" s="72" t="s">
        <v>1334</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1303</v>
      </c>
      <c r="F121" s="72" t="s">
        <v>1335</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1303</v>
      </c>
      <c r="F122" s="72" t="s">
        <v>1336</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1303</v>
      </c>
      <c r="F123" s="72" t="s">
        <v>1337</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1303</v>
      </c>
      <c r="F124" s="72" t="s">
        <v>1338</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1303</v>
      </c>
      <c r="F125" s="72" t="s">
        <v>1339</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1303</v>
      </c>
      <c r="F126" s="72" t="s">
        <v>1340</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1303</v>
      </c>
      <c r="F127" s="72" t="s">
        <v>1341</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1303</v>
      </c>
      <c r="F128" s="72" t="s">
        <v>1342</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1303</v>
      </c>
      <c r="F129" s="72" t="s">
        <v>1343</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1303</v>
      </c>
      <c r="F130" s="72" t="s">
        <v>1344</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1303</v>
      </c>
      <c r="F131" s="72" t="s">
        <v>1345</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1303</v>
      </c>
      <c r="F132" s="72" t="s">
        <v>1346</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1303</v>
      </c>
      <c r="F133" s="72" t="s">
        <v>1347</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1303</v>
      </c>
      <c r="F134" s="72" t="s">
        <v>1348</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1303</v>
      </c>
      <c r="F135" s="72" t="s">
        <v>1349</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1303</v>
      </c>
      <c r="F136" s="72" t="s">
        <v>1350</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1351</v>
      </c>
      <c r="F137" s="72" t="s">
        <v>1352</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2345</v>
      </c>
      <c r="F138" s="72" t="s">
        <v>2346</v>
      </c>
      <c r="G138" s="33">
        <v>1502000</v>
      </c>
      <c r="H138" s="72">
        <v>3.1</v>
      </c>
      <c r="I138" s="101" t="s">
        <v>591</v>
      </c>
      <c r="J138" s="72">
        <v>50</v>
      </c>
      <c r="K138" s="72" t="s">
        <v>41</v>
      </c>
      <c r="L138" s="90"/>
      <c r="M138" s="90"/>
    </row>
    <row r="139" spans="1:13" s="7" customFormat="1" ht="12" customHeight="1">
      <c r="A139" s="31" t="s">
        <v>227</v>
      </c>
      <c r="B139" s="31" t="s">
        <v>227</v>
      </c>
      <c r="C139" s="31" t="s">
        <v>52</v>
      </c>
      <c r="D139" s="31" t="s">
        <v>1</v>
      </c>
      <c r="E139" s="33" t="s">
        <v>2345</v>
      </c>
      <c r="F139" s="72" t="s">
        <v>2347</v>
      </c>
      <c r="G139" s="33">
        <v>1502000</v>
      </c>
      <c r="H139" s="72">
        <v>3.2</v>
      </c>
      <c r="I139" s="101" t="s">
        <v>601</v>
      </c>
      <c r="J139" s="72">
        <v>10</v>
      </c>
      <c r="K139" s="72" t="s">
        <v>41</v>
      </c>
      <c r="L139" s="90"/>
      <c r="M139" s="90"/>
    </row>
    <row r="140" spans="1:13" s="7" customFormat="1" ht="12" customHeight="1">
      <c r="A140" s="31" t="s">
        <v>227</v>
      </c>
      <c r="B140" s="31" t="s">
        <v>227</v>
      </c>
      <c r="C140" s="32" t="s">
        <v>120</v>
      </c>
      <c r="D140" s="32" t="s">
        <v>10</v>
      </c>
      <c r="E140" s="33" t="s">
        <v>2345</v>
      </c>
      <c r="F140" s="72" t="s">
        <v>2348</v>
      </c>
      <c r="G140" s="33">
        <v>1700000</v>
      </c>
      <c r="H140" s="33" t="s">
        <v>128</v>
      </c>
      <c r="I140" s="103" t="s">
        <v>129</v>
      </c>
      <c r="J140" s="72">
        <v>12</v>
      </c>
      <c r="K140" s="72" t="s">
        <v>41</v>
      </c>
      <c r="L140" s="90"/>
      <c r="M140" s="90"/>
    </row>
    <row r="141" spans="1:13" s="7" customFormat="1" ht="12" customHeight="1">
      <c r="A141" s="31" t="s">
        <v>227</v>
      </c>
      <c r="B141" s="31" t="s">
        <v>227</v>
      </c>
      <c r="C141" s="32" t="s">
        <v>120</v>
      </c>
      <c r="D141" s="32" t="s">
        <v>10</v>
      </c>
      <c r="E141" s="33" t="s">
        <v>2345</v>
      </c>
      <c r="F141" s="72" t="s">
        <v>2349</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2350</v>
      </c>
      <c r="F142" s="72" t="s">
        <v>2351</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2350</v>
      </c>
      <c r="F143" s="72" t="s">
        <v>2352</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2350</v>
      </c>
      <c r="F144" s="72" t="s">
        <v>2353</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2350</v>
      </c>
      <c r="F145" s="72" t="s">
        <v>2354</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2350</v>
      </c>
      <c r="F146" s="72" t="s">
        <v>2355</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2350</v>
      </c>
      <c r="F147" s="72" t="s">
        <v>2356</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2350</v>
      </c>
      <c r="F148" s="72" t="s">
        <v>2357</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2350</v>
      </c>
      <c r="F149" s="72" t="s">
        <v>2358</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2350</v>
      </c>
      <c r="F150" s="72" t="s">
        <v>2359</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2350</v>
      </c>
      <c r="F151" s="72" t="s">
        <v>2360</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2350</v>
      </c>
      <c r="F152" s="72" t="s">
        <v>2361</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1353</v>
      </c>
      <c r="F153" s="72" t="s">
        <v>1354</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1353</v>
      </c>
      <c r="F154" s="72" t="s">
        <v>1355</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2362</v>
      </c>
      <c r="F155" s="72" t="s">
        <v>2363</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2362</v>
      </c>
      <c r="F156" s="72" t="s">
        <v>2364</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2362</v>
      </c>
      <c r="F157" s="72" t="s">
        <v>2365</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2362</v>
      </c>
      <c r="F158" s="72" t="s">
        <v>2366</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2362</v>
      </c>
      <c r="F159" s="72" t="s">
        <v>2367</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2362</v>
      </c>
      <c r="F160" s="72" t="s">
        <v>2368</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2362</v>
      </c>
      <c r="F161" s="72" t="s">
        <v>2369</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2362</v>
      </c>
      <c r="F162" s="72" t="s">
        <v>2370</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2362</v>
      </c>
      <c r="F163" s="72" t="s">
        <v>2371</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2362</v>
      </c>
      <c r="F164" s="72" t="s">
        <v>2372</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2362</v>
      </c>
      <c r="F165" s="72" t="s">
        <v>2373</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2362</v>
      </c>
      <c r="F166" s="72" t="s">
        <v>2374</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1356</v>
      </c>
      <c r="F167" s="72" t="s">
        <v>1357</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1356</v>
      </c>
      <c r="F168" s="72" t="s">
        <v>1358</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1356</v>
      </c>
      <c r="F169" s="72" t="s">
        <v>1383</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1356</v>
      </c>
      <c r="F170" s="72" t="s">
        <v>2375</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1359</v>
      </c>
      <c r="F171" s="72" t="s">
        <v>1360</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1359</v>
      </c>
      <c r="F172" s="72" t="s">
        <v>1361</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1362</v>
      </c>
      <c r="F173" s="72" t="s">
        <v>1363</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1362</v>
      </c>
      <c r="F174" s="72" t="s">
        <v>1364</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1362</v>
      </c>
      <c r="F175" s="72" t="s">
        <v>1365</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1362</v>
      </c>
      <c r="F176" s="72" t="s">
        <v>1366</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1362</v>
      </c>
      <c r="F177" s="72" t="s">
        <v>2376</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1362</v>
      </c>
      <c r="F178" s="72" t="s">
        <v>2377</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1362</v>
      </c>
      <c r="F179" s="72" t="s">
        <v>2378</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1367</v>
      </c>
      <c r="F180" s="72" t="s">
        <v>1368</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1367</v>
      </c>
      <c r="F181" s="72" t="s">
        <v>1369</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1367</v>
      </c>
      <c r="F182" s="72" t="s">
        <v>2379</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1367</v>
      </c>
      <c r="F183" s="72" t="s">
        <v>2380</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1370</v>
      </c>
      <c r="F184" s="72" t="s">
        <v>1371</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1370</v>
      </c>
      <c r="F185" s="72" t="s">
        <v>1372</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1370</v>
      </c>
      <c r="F186" s="72" t="s">
        <v>1373</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1370</v>
      </c>
      <c r="F187" s="72" t="s">
        <v>1374</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1375</v>
      </c>
      <c r="F188" s="72" t="s">
        <v>1376</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1375</v>
      </c>
      <c r="F189" s="72" t="s">
        <v>1377</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1375</v>
      </c>
      <c r="F190" s="72" t="s">
        <v>1378</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1375</v>
      </c>
      <c r="F191" s="72" t="s">
        <v>1379</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1375</v>
      </c>
      <c r="F192" s="72" t="s">
        <v>2381</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764</v>
      </c>
      <c r="C5" s="16"/>
    </row>
    <row r="6" spans="1:10">
      <c r="A6" s="63"/>
      <c r="B6" s="63" t="s">
        <v>254</v>
      </c>
      <c r="C6" s="16"/>
    </row>
    <row r="7" spans="1:10" ht="14.45" customHeight="1">
      <c r="A7" s="19"/>
      <c r="B7" s="19" t="s">
        <v>2208</v>
      </c>
      <c r="C7" s="13"/>
    </row>
    <row r="8" spans="1:10" s="20" customFormat="1" ht="70.5" customHeight="1">
      <c r="A8" s="41" t="s">
        <v>24</v>
      </c>
      <c r="B8" s="41" t="s">
        <v>255</v>
      </c>
      <c r="C8" s="41" t="s">
        <v>256</v>
      </c>
      <c r="D8" s="42" t="s">
        <v>257</v>
      </c>
      <c r="E8" s="42" t="s">
        <v>29</v>
      </c>
      <c r="F8" s="42" t="s">
        <v>30</v>
      </c>
      <c r="G8" s="43" t="s">
        <v>31</v>
      </c>
    </row>
    <row r="9" spans="1:10" ht="282" customHeight="1">
      <c r="A9" s="44" t="s">
        <v>789</v>
      </c>
      <c r="B9" s="45" t="s">
        <v>259</v>
      </c>
      <c r="C9" s="46" t="s">
        <v>2623</v>
      </c>
      <c r="D9" s="47">
        <f>G10+G11</f>
        <v>0</v>
      </c>
      <c r="E9" s="33" t="s">
        <v>206</v>
      </c>
      <c r="F9" s="109">
        <v>1</v>
      </c>
      <c r="G9" s="40"/>
    </row>
    <row r="10" spans="1:10" ht="180" customHeight="1">
      <c r="A10" s="44" t="s">
        <v>2209</v>
      </c>
      <c r="B10" s="45" t="s">
        <v>2227</v>
      </c>
      <c r="C10" s="46" t="s">
        <v>2226</v>
      </c>
      <c r="D10" s="47">
        <f>'CLIN 0002 Base Period N-RW'!D10</f>
        <v>16000</v>
      </c>
      <c r="E10" s="33" t="s">
        <v>260</v>
      </c>
      <c r="F10" s="40"/>
      <c r="G10" s="40"/>
    </row>
    <row r="11" spans="1:10" ht="204.75" customHeight="1">
      <c r="A11" s="44" t="s">
        <v>2210</v>
      </c>
      <c r="B11" s="45" t="s">
        <v>2228</v>
      </c>
      <c r="C11" s="46" t="s">
        <v>2197</v>
      </c>
      <c r="D11" s="47">
        <f>'CLIN 0002 Base Period N-RW'!D11</f>
        <v>1600000</v>
      </c>
      <c r="E11" s="33" t="s">
        <v>206</v>
      </c>
      <c r="F11" s="40"/>
      <c r="G11" s="40"/>
    </row>
    <row r="12" spans="1:10" s="7" customFormat="1" ht="212.25" customHeight="1">
      <c r="A12" s="44" t="s">
        <v>790</v>
      </c>
      <c r="B12" s="45" t="s">
        <v>267</v>
      </c>
      <c r="C12" s="46" t="s">
        <v>2201</v>
      </c>
      <c r="D12" s="50">
        <v>2000000</v>
      </c>
      <c r="E12" s="33" t="s">
        <v>206</v>
      </c>
      <c r="F12" s="40"/>
      <c r="G12" s="40"/>
    </row>
    <row r="13" spans="1:10" s="7" customFormat="1" ht="144.75" customHeight="1">
      <c r="A13" s="44" t="s">
        <v>791</v>
      </c>
      <c r="B13" s="45" t="s">
        <v>269</v>
      </c>
      <c r="C13" s="46" t="s">
        <v>753</v>
      </c>
      <c r="D13" s="51">
        <v>115</v>
      </c>
      <c r="E13" s="52" t="s">
        <v>38</v>
      </c>
      <c r="F13" s="40"/>
      <c r="G13" s="40"/>
    </row>
    <row r="14" spans="1:10" ht="149.25" customHeight="1">
      <c r="A14" s="44" t="s">
        <v>792</v>
      </c>
      <c r="B14" s="45" t="s">
        <v>271</v>
      </c>
      <c r="C14" s="46" t="s">
        <v>754</v>
      </c>
      <c r="D14" s="51">
        <v>130</v>
      </c>
      <c r="E14" s="52" t="s">
        <v>38</v>
      </c>
      <c r="F14" s="40"/>
      <c r="G14" s="40"/>
    </row>
    <row r="15" spans="1:10" s="12" customFormat="1" ht="148.5" customHeight="1">
      <c r="A15" s="44" t="s">
        <v>793</v>
      </c>
      <c r="B15" s="45" t="s">
        <v>273</v>
      </c>
      <c r="C15" s="46" t="s">
        <v>756</v>
      </c>
      <c r="D15" s="51">
        <v>95</v>
      </c>
      <c r="E15" s="52" t="s">
        <v>38</v>
      </c>
      <c r="F15" s="40"/>
      <c r="G15" s="40"/>
    </row>
    <row r="16" spans="1:10" s="60" customFormat="1" ht="149.25" customHeight="1">
      <c r="A16" s="44" t="s">
        <v>794</v>
      </c>
      <c r="B16" s="48" t="s">
        <v>737</v>
      </c>
      <c r="C16" s="49" t="s">
        <v>757</v>
      </c>
      <c r="D16" s="51">
        <v>50</v>
      </c>
      <c r="E16" s="52" t="s">
        <v>38</v>
      </c>
      <c r="F16" s="40"/>
      <c r="G16" s="40"/>
    </row>
    <row r="17" spans="1:7" s="60" customFormat="1" ht="151.5" customHeight="1">
      <c r="A17" s="44" t="s">
        <v>795</v>
      </c>
      <c r="B17" s="48" t="s">
        <v>750</v>
      </c>
      <c r="C17" s="49" t="s">
        <v>758</v>
      </c>
      <c r="D17" s="51">
        <v>40</v>
      </c>
      <c r="E17" s="52" t="s">
        <v>38</v>
      </c>
      <c r="F17" s="40"/>
      <c r="G17" s="40"/>
    </row>
    <row r="18" spans="1:7" s="60" customFormat="1" ht="153.75" customHeight="1">
      <c r="A18" s="44" t="s">
        <v>796</v>
      </c>
      <c r="B18" s="48" t="s">
        <v>751</v>
      </c>
      <c r="C18" s="49" t="s">
        <v>759</v>
      </c>
      <c r="D18" s="51">
        <v>30</v>
      </c>
      <c r="E18" s="52" t="s">
        <v>38</v>
      </c>
      <c r="F18" s="40"/>
      <c r="G18" s="40"/>
    </row>
    <row r="19" spans="1:7" s="60" customFormat="1" ht="150" customHeight="1">
      <c r="A19" s="44" t="s">
        <v>797</v>
      </c>
      <c r="B19" s="48" t="s">
        <v>752</v>
      </c>
      <c r="C19" s="49" t="s">
        <v>760</v>
      </c>
      <c r="D19" s="51">
        <v>20</v>
      </c>
      <c r="E19" s="52" t="s">
        <v>38</v>
      </c>
      <c r="F19" s="40"/>
      <c r="G19" s="40"/>
    </row>
    <row r="20" spans="1:7" ht="114.75">
      <c r="A20" s="44" t="s">
        <v>798</v>
      </c>
      <c r="B20" s="56" t="s">
        <v>2638</v>
      </c>
      <c r="C20" s="45" t="s">
        <v>275</v>
      </c>
      <c r="D20" s="51">
        <v>20000</v>
      </c>
      <c r="E20" s="33" t="s">
        <v>276</v>
      </c>
      <c r="F20" s="40"/>
      <c r="G20" s="40"/>
    </row>
    <row r="21" spans="1:7" ht="127.5">
      <c r="A21" s="44" t="s">
        <v>799</v>
      </c>
      <c r="B21" s="56" t="s">
        <v>2637</v>
      </c>
      <c r="C21" s="45" t="s">
        <v>278</v>
      </c>
      <c r="D21" s="51">
        <v>30000</v>
      </c>
      <c r="E21" s="33" t="s">
        <v>276</v>
      </c>
      <c r="F21" s="40"/>
      <c r="G21" s="40"/>
    </row>
    <row r="22" spans="1:7" ht="76.5">
      <c r="A22" s="44" t="s">
        <v>800</v>
      </c>
      <c r="B22" s="56" t="s">
        <v>2636</v>
      </c>
      <c r="C22" s="45" t="s">
        <v>280</v>
      </c>
      <c r="D22" s="51">
        <v>18</v>
      </c>
      <c r="E22" s="33" t="s">
        <v>41</v>
      </c>
      <c r="F22" s="40"/>
      <c r="G22" s="40"/>
    </row>
    <row r="23" spans="1:7" ht="76.5">
      <c r="A23" s="44" t="s">
        <v>801</v>
      </c>
      <c r="B23" s="56" t="s">
        <v>2635</v>
      </c>
      <c r="C23" s="45" t="s">
        <v>282</v>
      </c>
      <c r="D23" s="51">
        <v>18</v>
      </c>
      <c r="E23" s="33" t="s">
        <v>41</v>
      </c>
      <c r="F23" s="40"/>
      <c r="G23" s="40"/>
    </row>
    <row r="24" spans="1:7" ht="91.5" customHeight="1">
      <c r="A24" s="44" t="s">
        <v>802</v>
      </c>
      <c r="B24" s="56" t="s">
        <v>2634</v>
      </c>
      <c r="C24" s="45" t="s">
        <v>284</v>
      </c>
      <c r="D24" s="51">
        <v>6</v>
      </c>
      <c r="E24" s="33" t="s">
        <v>38</v>
      </c>
      <c r="F24" s="40"/>
      <c r="G24" s="40"/>
    </row>
    <row r="25" spans="1:7" ht="127.5" customHeight="1">
      <c r="A25" s="44" t="s">
        <v>803</v>
      </c>
      <c r="B25" s="45" t="s">
        <v>2633</v>
      </c>
      <c r="C25" s="49" t="s">
        <v>286</v>
      </c>
      <c r="D25" s="51">
        <v>100</v>
      </c>
      <c r="E25" s="33" t="s">
        <v>287</v>
      </c>
      <c r="F25" s="40"/>
      <c r="G25" s="40"/>
    </row>
    <row r="26" spans="1:7" ht="127.5">
      <c r="A26" s="44" t="s">
        <v>804</v>
      </c>
      <c r="B26" s="45" t="s">
        <v>2629</v>
      </c>
      <c r="C26" s="49" t="s">
        <v>290</v>
      </c>
      <c r="D26" s="51">
        <v>5</v>
      </c>
      <c r="E26" s="33" t="s">
        <v>38</v>
      </c>
      <c r="F26" s="40"/>
      <c r="G26" s="40"/>
    </row>
    <row r="27" spans="1:7" ht="114.75">
      <c r="A27" s="44" t="s">
        <v>805</v>
      </c>
      <c r="B27" s="45" t="s">
        <v>2630</v>
      </c>
      <c r="C27" s="46" t="s">
        <v>292</v>
      </c>
      <c r="D27" s="51">
        <v>50</v>
      </c>
      <c r="E27" s="33" t="s">
        <v>38</v>
      </c>
      <c r="F27" s="40"/>
      <c r="G27" s="40"/>
    </row>
    <row r="28" spans="1:7" ht="102">
      <c r="A28" s="44" t="s">
        <v>806</v>
      </c>
      <c r="B28" s="45" t="s">
        <v>2631</v>
      </c>
      <c r="C28" s="46" t="s">
        <v>755</v>
      </c>
      <c r="D28" s="51">
        <v>30</v>
      </c>
      <c r="E28" s="33" t="s">
        <v>38</v>
      </c>
      <c r="F28" s="40"/>
      <c r="G28" s="40"/>
    </row>
    <row r="29" spans="1:7" ht="89.25">
      <c r="A29" s="44" t="s">
        <v>807</v>
      </c>
      <c r="B29" s="45" t="s">
        <v>2632</v>
      </c>
      <c r="C29" s="46" t="s">
        <v>732</v>
      </c>
      <c r="D29" s="51">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K10" sqref="K10:L14"/>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4"/>
      <c r="D1" s="114"/>
      <c r="E1" s="114"/>
      <c r="F1" s="114"/>
      <c r="G1" s="114"/>
      <c r="H1" s="114"/>
      <c r="M1" s="78"/>
      <c r="N1" s="79"/>
    </row>
    <row r="2" spans="1:14" ht="15">
      <c r="B2" s="113" t="s">
        <v>19</v>
      </c>
      <c r="C2" s="114"/>
      <c r="D2" s="114"/>
      <c r="E2" s="114"/>
      <c r="F2" s="114"/>
      <c r="G2" s="114"/>
      <c r="H2" s="114"/>
    </row>
    <row r="3" spans="1:14" ht="15">
      <c r="B3" s="113" t="s">
        <v>761</v>
      </c>
      <c r="C3" s="114"/>
      <c r="D3" s="114"/>
      <c r="E3" s="114"/>
      <c r="F3" s="114"/>
      <c r="G3" s="114"/>
      <c r="H3" s="114"/>
    </row>
    <row r="4" spans="1:14">
      <c r="B4" s="65"/>
      <c r="E4" s="10"/>
      <c r="F4" s="76"/>
      <c r="G4" s="76"/>
      <c r="H4" s="3"/>
    </row>
    <row r="5" spans="1:14">
      <c r="B5" s="65"/>
      <c r="E5" s="10"/>
      <c r="F5" s="76"/>
      <c r="G5" s="76"/>
      <c r="H5" s="3"/>
    </row>
    <row r="6" spans="1:14">
      <c r="B6" s="63" t="s">
        <v>2189</v>
      </c>
      <c r="C6" s="16"/>
      <c r="D6" s="16"/>
      <c r="E6" s="16"/>
      <c r="F6" s="9"/>
      <c r="G6" s="16"/>
      <c r="H6" s="16"/>
    </row>
    <row r="7" spans="1:14" ht="12.95" customHeight="1">
      <c r="B7" s="64" t="s">
        <v>20</v>
      </c>
      <c r="C7" s="15"/>
      <c r="D7" s="15"/>
      <c r="E7" s="14"/>
      <c r="F7" s="76"/>
      <c r="G7" s="14"/>
      <c r="H7" s="14"/>
    </row>
    <row r="8" spans="1:14" ht="13.5" thickBot="1">
      <c r="B8" s="19" t="s">
        <v>2608</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1380</v>
      </c>
      <c r="E10" s="33" t="s">
        <v>1381</v>
      </c>
      <c r="F10" s="33">
        <v>1606000</v>
      </c>
      <c r="G10" s="33">
        <v>3.1</v>
      </c>
      <c r="H10" s="37" t="s">
        <v>8</v>
      </c>
      <c r="I10" s="33">
        <v>12</v>
      </c>
      <c r="J10" s="33" t="s">
        <v>41</v>
      </c>
      <c r="K10" s="34"/>
      <c r="L10" s="34"/>
    </row>
    <row r="11" spans="1:14" s="7" customFormat="1">
      <c r="A11" s="37" t="s">
        <v>51</v>
      </c>
      <c r="B11" s="32" t="s">
        <v>294</v>
      </c>
      <c r="C11" s="32" t="s">
        <v>53</v>
      </c>
      <c r="D11" s="33" t="s">
        <v>1380</v>
      </c>
      <c r="E11" s="33" t="s">
        <v>1382</v>
      </c>
      <c r="F11" s="33">
        <v>1606000</v>
      </c>
      <c r="G11" s="33" t="s">
        <v>116</v>
      </c>
      <c r="H11" s="37" t="s">
        <v>53</v>
      </c>
      <c r="I11" s="39">
        <v>80</v>
      </c>
      <c r="J11" s="33" t="s">
        <v>38</v>
      </c>
      <c r="K11" s="34"/>
      <c r="L11" s="34"/>
    </row>
    <row r="12" spans="1:14" s="7" customFormat="1">
      <c r="A12" s="37" t="s">
        <v>51</v>
      </c>
      <c r="B12" s="32" t="s">
        <v>294</v>
      </c>
      <c r="C12" s="32" t="s">
        <v>111</v>
      </c>
      <c r="D12" s="33" t="s">
        <v>1380</v>
      </c>
      <c r="E12" s="33" t="s">
        <v>2609</v>
      </c>
      <c r="F12" s="33">
        <v>1606000</v>
      </c>
      <c r="G12" s="33">
        <v>3.3</v>
      </c>
      <c r="H12" s="37" t="s">
        <v>295</v>
      </c>
      <c r="I12" s="33">
        <v>12</v>
      </c>
      <c r="J12" s="33" t="s">
        <v>41</v>
      </c>
      <c r="K12" s="34"/>
      <c r="L12" s="34"/>
    </row>
    <row r="13" spans="1:14" s="7" customFormat="1" ht="14.1" customHeight="1">
      <c r="A13" s="37" t="s">
        <v>108</v>
      </c>
      <c r="B13" s="32" t="s">
        <v>294</v>
      </c>
      <c r="C13" s="32" t="s">
        <v>111</v>
      </c>
      <c r="D13" s="33" t="s">
        <v>1380</v>
      </c>
      <c r="E13" s="33" t="s">
        <v>2610</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topLeftCell="A106" workbookViewId="0">
      <selection activeCell="L21" sqref="L21"/>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2181</v>
      </c>
      <c r="D4" s="16"/>
      <c r="E4" s="16"/>
      <c r="F4" s="69"/>
      <c r="G4" s="9"/>
      <c r="H4" s="69"/>
      <c r="I4" s="98"/>
    </row>
    <row r="5" spans="1:16" ht="12" customHeight="1">
      <c r="C5" s="14" t="s">
        <v>20</v>
      </c>
      <c r="D5" s="15"/>
      <c r="E5" s="15"/>
      <c r="F5" s="70"/>
      <c r="G5" s="85"/>
      <c r="H5" s="70"/>
      <c r="I5" s="99"/>
    </row>
    <row r="6" spans="1:16" ht="12" customHeight="1">
      <c r="C6" s="13" t="s">
        <v>2595</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1384</v>
      </c>
      <c r="F8" s="72" t="s">
        <v>1385</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1384</v>
      </c>
      <c r="F9" s="72" t="s">
        <v>1386</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1384</v>
      </c>
      <c r="F10" s="72" t="s">
        <v>1387</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1384</v>
      </c>
      <c r="F11" s="72" t="s">
        <v>1388</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1384</v>
      </c>
      <c r="F12" s="72" t="s">
        <v>1389</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1384</v>
      </c>
      <c r="F13" s="72" t="s">
        <v>1390</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1384</v>
      </c>
      <c r="F14" s="72" t="s">
        <v>1391</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1384</v>
      </c>
      <c r="F15" s="72" t="s">
        <v>1392</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1384</v>
      </c>
      <c r="F16" s="72" t="s">
        <v>1393</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1384</v>
      </c>
      <c r="F17" s="72" t="s">
        <v>1394</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1384</v>
      </c>
      <c r="F18" s="72" t="s">
        <v>1395</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1384</v>
      </c>
      <c r="F19" s="72" t="s">
        <v>1396</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1384</v>
      </c>
      <c r="F20" s="72" t="s">
        <v>1397</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1384</v>
      </c>
      <c r="F21" s="72" t="s">
        <v>1398</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1384</v>
      </c>
      <c r="F22" s="72" t="s">
        <v>1399</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1384</v>
      </c>
      <c r="F23" s="72" t="s">
        <v>1400</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1384</v>
      </c>
      <c r="F24" s="72" t="s">
        <v>1401</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1384</v>
      </c>
      <c r="F25" s="72" t="s">
        <v>1402</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1384</v>
      </c>
      <c r="F26" s="72" t="s">
        <v>1403</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1384</v>
      </c>
      <c r="F27" s="72" t="s">
        <v>1404</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1384</v>
      </c>
      <c r="F28" s="72" t="s">
        <v>1405</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1384</v>
      </c>
      <c r="F29" s="72" t="s">
        <v>1406</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1384</v>
      </c>
      <c r="F30" s="72" t="s">
        <v>1407</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1384</v>
      </c>
      <c r="F31" s="72" t="s">
        <v>1408</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1384</v>
      </c>
      <c r="F32" s="72" t="s">
        <v>1409</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1384</v>
      </c>
      <c r="F33" s="72" t="s">
        <v>1410</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1384</v>
      </c>
      <c r="F34" s="72" t="s">
        <v>1411</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1384</v>
      </c>
      <c r="F35" s="72" t="s">
        <v>1412</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1384</v>
      </c>
      <c r="F36" s="72" t="s">
        <v>1413</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1384</v>
      </c>
      <c r="F37" s="72" t="s">
        <v>1414</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1384</v>
      </c>
      <c r="F38" s="72" t="s">
        <v>1415</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1384</v>
      </c>
      <c r="F39" s="72" t="s">
        <v>1416</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1384</v>
      </c>
      <c r="F40" s="72" t="s">
        <v>2382</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1384</v>
      </c>
      <c r="F41" s="72" t="s">
        <v>1417</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1384</v>
      </c>
      <c r="F42" s="72" t="s">
        <v>1418</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1384</v>
      </c>
      <c r="F43" s="72" t="s">
        <v>1419</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1384</v>
      </c>
      <c r="F44" s="72" t="s">
        <v>1420</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1384</v>
      </c>
      <c r="F45" s="72" t="s">
        <v>1421</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1384</v>
      </c>
      <c r="F46" s="72" t="s">
        <v>1422</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1384</v>
      </c>
      <c r="F47" s="72" t="s">
        <v>1423</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1384</v>
      </c>
      <c r="F48" s="72" t="s">
        <v>1424</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1384</v>
      </c>
      <c r="F49" s="72" t="s">
        <v>1425</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1384</v>
      </c>
      <c r="F50" s="72" t="s">
        <v>1426</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1384</v>
      </c>
      <c r="F51" s="72" t="s">
        <v>1427</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1384</v>
      </c>
      <c r="F52" s="72" t="s">
        <v>1428</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1384</v>
      </c>
      <c r="F53" s="72" t="s">
        <v>1429</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1384</v>
      </c>
      <c r="F54" s="72" t="s">
        <v>1430</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1384</v>
      </c>
      <c r="F55" s="72" t="s">
        <v>1431</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1384</v>
      </c>
      <c r="F56" s="72" t="s">
        <v>1432</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1384</v>
      </c>
      <c r="F57" s="72" t="s">
        <v>1433</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1384</v>
      </c>
      <c r="F58" s="72" t="s">
        <v>1434</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1384</v>
      </c>
      <c r="F59" s="72" t="s">
        <v>1435</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1384</v>
      </c>
      <c r="F60" s="72" t="s">
        <v>1436</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1384</v>
      </c>
      <c r="F61" s="72" t="s">
        <v>1437</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1384</v>
      </c>
      <c r="F62" s="72" t="s">
        <v>1438</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1384</v>
      </c>
      <c r="F63" s="72" t="s">
        <v>1439</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1384</v>
      </c>
      <c r="F64" s="72" t="s">
        <v>1440</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1384</v>
      </c>
      <c r="F65" s="72" t="s">
        <v>1441</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1384</v>
      </c>
      <c r="F66" s="72" t="s">
        <v>1442</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1384</v>
      </c>
      <c r="F67" s="72" t="s">
        <v>1443</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1384</v>
      </c>
      <c r="F68" s="72" t="s">
        <v>1444</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1384</v>
      </c>
      <c r="F69" s="72" t="s">
        <v>1445</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1384</v>
      </c>
      <c r="F70" s="72" t="s">
        <v>1446</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1384</v>
      </c>
      <c r="F71" s="72" t="s">
        <v>1447</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1384</v>
      </c>
      <c r="F72" s="72" t="s">
        <v>1448</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1384</v>
      </c>
      <c r="F73" s="72" t="s">
        <v>1449</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1384</v>
      </c>
      <c r="F74" s="72" t="s">
        <v>1450</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1384</v>
      </c>
      <c r="F75" s="72" t="s">
        <v>1451</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1384</v>
      </c>
      <c r="F76" s="72" t="s">
        <v>1452</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1384</v>
      </c>
      <c r="F77" s="72" t="s">
        <v>2383</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1384</v>
      </c>
      <c r="F78" s="72" t="s">
        <v>1453</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1384</v>
      </c>
      <c r="F79" s="72" t="s">
        <v>1454</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1384</v>
      </c>
      <c r="F80" s="72" t="s">
        <v>1455</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1384</v>
      </c>
      <c r="F81" s="72" t="s">
        <v>1456</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1384</v>
      </c>
      <c r="F82" s="72" t="s">
        <v>1457</v>
      </c>
      <c r="G82" s="33">
        <v>1502000</v>
      </c>
      <c r="H82" s="72" t="s">
        <v>63</v>
      </c>
      <c r="I82" s="101" t="s">
        <v>64</v>
      </c>
      <c r="J82" s="72">
        <v>50</v>
      </c>
      <c r="K82" s="72" t="s">
        <v>38</v>
      </c>
      <c r="L82" s="90"/>
      <c r="M82" s="90"/>
    </row>
    <row r="83" spans="1:13" s="7" customFormat="1" ht="12" customHeight="1">
      <c r="A83" s="37" t="s">
        <v>317</v>
      </c>
      <c r="B83" s="31" t="s">
        <v>2232</v>
      </c>
      <c r="C83" s="31" t="s">
        <v>52</v>
      </c>
      <c r="D83" s="32" t="s">
        <v>54</v>
      </c>
      <c r="E83" s="33" t="s">
        <v>1384</v>
      </c>
      <c r="F83" s="72" t="s">
        <v>1458</v>
      </c>
      <c r="G83" s="33">
        <v>1502000</v>
      </c>
      <c r="H83" s="72" t="s">
        <v>65</v>
      </c>
      <c r="I83" s="101" t="s">
        <v>66</v>
      </c>
      <c r="J83" s="72">
        <v>10</v>
      </c>
      <c r="K83" s="72" t="s">
        <v>38</v>
      </c>
      <c r="L83" s="90"/>
      <c r="M83" s="90"/>
    </row>
    <row r="84" spans="1:13" s="7" customFormat="1" ht="12" customHeight="1">
      <c r="A84" s="37" t="s">
        <v>317</v>
      </c>
      <c r="B84" s="31" t="s">
        <v>2232</v>
      </c>
      <c r="C84" s="31" t="s">
        <v>52</v>
      </c>
      <c r="D84" s="32" t="s">
        <v>54</v>
      </c>
      <c r="E84" s="33" t="s">
        <v>1384</v>
      </c>
      <c r="F84" s="72" t="s">
        <v>2384</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1384</v>
      </c>
      <c r="F85" s="72" t="s">
        <v>2385</v>
      </c>
      <c r="G85" s="33">
        <v>1502000</v>
      </c>
      <c r="H85" s="33" t="s">
        <v>81</v>
      </c>
      <c r="I85" s="101" t="s">
        <v>82</v>
      </c>
      <c r="J85" s="92">
        <v>12</v>
      </c>
      <c r="K85" s="72" t="s">
        <v>41</v>
      </c>
      <c r="L85" s="90"/>
      <c r="M85" s="90"/>
    </row>
    <row r="86" spans="1:13" s="7" customFormat="1" ht="12" customHeight="1">
      <c r="A86" s="31" t="s">
        <v>160</v>
      </c>
      <c r="B86" s="31" t="s">
        <v>160</v>
      </c>
      <c r="C86" s="32" t="s">
        <v>120</v>
      </c>
      <c r="D86" s="32" t="s">
        <v>10</v>
      </c>
      <c r="E86" s="33" t="s">
        <v>1459</v>
      </c>
      <c r="F86" s="72" t="s">
        <v>1460</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1459</v>
      </c>
      <c r="F87" s="72" t="s">
        <v>1461</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1459</v>
      </c>
      <c r="F88" s="72" t="s">
        <v>1462</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1463</v>
      </c>
      <c r="F89" s="72" t="s">
        <v>1464</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1463</v>
      </c>
      <c r="F90" s="72" t="s">
        <v>1465</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1463</v>
      </c>
      <c r="F91" s="72" t="s">
        <v>1466</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1463</v>
      </c>
      <c r="F92" s="72" t="s">
        <v>2386</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1463</v>
      </c>
      <c r="F93" s="72" t="s">
        <v>1467</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1463</v>
      </c>
      <c r="F94" s="72" t="s">
        <v>1468</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1463</v>
      </c>
      <c r="F95" s="72" t="s">
        <v>1469</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1463</v>
      </c>
      <c r="F96" s="72" t="s">
        <v>1470</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1463</v>
      </c>
      <c r="F97" s="72" t="s">
        <v>1471</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1463</v>
      </c>
      <c r="F98" s="72" t="s">
        <v>1472</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1463</v>
      </c>
      <c r="F99" s="72" t="s">
        <v>1473</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1463</v>
      </c>
      <c r="F100" s="72" t="s">
        <v>1474</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1463</v>
      </c>
      <c r="F101" s="72" t="s">
        <v>1475</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1463</v>
      </c>
      <c r="F102" s="72" t="s">
        <v>1476</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1463</v>
      </c>
      <c r="F103" s="72" t="s">
        <v>1477</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1463</v>
      </c>
      <c r="F104" s="72" t="s">
        <v>1478</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1463</v>
      </c>
      <c r="F105" s="72" t="s">
        <v>1479</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1463</v>
      </c>
      <c r="F106" s="72" t="s">
        <v>1480</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1463</v>
      </c>
      <c r="F107" s="72" t="s">
        <v>1481</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1463</v>
      </c>
      <c r="F108" s="72" t="s">
        <v>1482</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1463</v>
      </c>
      <c r="F109" s="72" t="s">
        <v>1483</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1463</v>
      </c>
      <c r="F110" s="72" t="s">
        <v>1484</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1463</v>
      </c>
      <c r="F111" s="72" t="s">
        <v>1485</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1463</v>
      </c>
      <c r="F112" s="72" t="s">
        <v>1486</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1463</v>
      </c>
      <c r="F113" s="72" t="s">
        <v>1487</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1463</v>
      </c>
      <c r="F114" s="72" t="s">
        <v>1488</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1463</v>
      </c>
      <c r="F115" s="72" t="s">
        <v>1489</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1463</v>
      </c>
      <c r="F116" s="72" t="s">
        <v>1490</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1463</v>
      </c>
      <c r="F117" s="72" t="s">
        <v>1491</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1463</v>
      </c>
      <c r="F118" s="72" t="s">
        <v>1492</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1463</v>
      </c>
      <c r="F119" s="72" t="s">
        <v>1493</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1463</v>
      </c>
      <c r="F120" s="72" t="s">
        <v>1494</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1463</v>
      </c>
      <c r="F121" s="72" t="s">
        <v>1495</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1463</v>
      </c>
      <c r="F122" s="72" t="s">
        <v>1496</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1463</v>
      </c>
      <c r="F123" s="72" t="s">
        <v>1497</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1463</v>
      </c>
      <c r="F124" s="72" t="s">
        <v>1498</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1463</v>
      </c>
      <c r="F125" s="72" t="s">
        <v>1499</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1463</v>
      </c>
      <c r="F126" s="72" t="s">
        <v>1500</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1463</v>
      </c>
      <c r="F127" s="72" t="s">
        <v>1501</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1463</v>
      </c>
      <c r="F128" s="72" t="s">
        <v>1502</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1463</v>
      </c>
      <c r="F129" s="72" t="s">
        <v>1503</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1463</v>
      </c>
      <c r="F130" s="72" t="s">
        <v>1504</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1463</v>
      </c>
      <c r="F131" s="72" t="s">
        <v>1505</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1463</v>
      </c>
      <c r="F132" s="72" t="s">
        <v>1506</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1463</v>
      </c>
      <c r="F133" s="72" t="s">
        <v>1507</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1463</v>
      </c>
      <c r="F134" s="72" t="s">
        <v>1508</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1463</v>
      </c>
      <c r="F135" s="72" t="s">
        <v>1509</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1463</v>
      </c>
      <c r="F136" s="72" t="s">
        <v>1510</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1511</v>
      </c>
      <c r="F137" s="72" t="s">
        <v>1512</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2387</v>
      </c>
      <c r="F138" s="72" t="s">
        <v>2388</v>
      </c>
      <c r="G138" s="33">
        <v>1502000</v>
      </c>
      <c r="H138" s="72">
        <v>3.1</v>
      </c>
      <c r="I138" s="101" t="s">
        <v>591</v>
      </c>
      <c r="J138" s="72">
        <v>50</v>
      </c>
      <c r="K138" s="72" t="s">
        <v>41</v>
      </c>
      <c r="L138" s="90"/>
      <c r="M138" s="90"/>
    </row>
    <row r="139" spans="1:13" s="7" customFormat="1" ht="12" customHeight="1">
      <c r="A139" s="31" t="s">
        <v>227</v>
      </c>
      <c r="B139" s="31" t="s">
        <v>227</v>
      </c>
      <c r="C139" s="31" t="s">
        <v>52</v>
      </c>
      <c r="D139" s="31" t="s">
        <v>1</v>
      </c>
      <c r="E139" s="33" t="s">
        <v>2387</v>
      </c>
      <c r="F139" s="72" t="s">
        <v>2389</v>
      </c>
      <c r="G139" s="33">
        <v>1502000</v>
      </c>
      <c r="H139" s="72">
        <v>3.2</v>
      </c>
      <c r="I139" s="101" t="s">
        <v>601</v>
      </c>
      <c r="J139" s="72">
        <v>10</v>
      </c>
      <c r="K139" s="72" t="s">
        <v>41</v>
      </c>
      <c r="L139" s="90"/>
      <c r="M139" s="90"/>
    </row>
    <row r="140" spans="1:13" s="7" customFormat="1" ht="12" customHeight="1">
      <c r="A140" s="31" t="s">
        <v>227</v>
      </c>
      <c r="B140" s="31" t="s">
        <v>227</v>
      </c>
      <c r="C140" s="32" t="s">
        <v>120</v>
      </c>
      <c r="D140" s="32" t="s">
        <v>10</v>
      </c>
      <c r="E140" s="33" t="s">
        <v>2387</v>
      </c>
      <c r="F140" s="72" t="s">
        <v>2390</v>
      </c>
      <c r="G140" s="33">
        <v>1700000</v>
      </c>
      <c r="H140" s="33" t="s">
        <v>128</v>
      </c>
      <c r="I140" s="103" t="s">
        <v>129</v>
      </c>
      <c r="J140" s="72">
        <v>12</v>
      </c>
      <c r="K140" s="72" t="s">
        <v>41</v>
      </c>
      <c r="L140" s="90"/>
      <c r="M140" s="90"/>
    </row>
    <row r="141" spans="1:13" s="7" customFormat="1" ht="12" customHeight="1">
      <c r="A141" s="31" t="s">
        <v>227</v>
      </c>
      <c r="B141" s="31" t="s">
        <v>227</v>
      </c>
      <c r="C141" s="32" t="s">
        <v>120</v>
      </c>
      <c r="D141" s="32" t="s">
        <v>10</v>
      </c>
      <c r="E141" s="33" t="s">
        <v>2387</v>
      </c>
      <c r="F141" s="72" t="s">
        <v>2391</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2392</v>
      </c>
      <c r="F142" s="72" t="s">
        <v>2393</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2392</v>
      </c>
      <c r="F143" s="72" t="s">
        <v>2394</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2392</v>
      </c>
      <c r="F144" s="72" t="s">
        <v>2395</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2392</v>
      </c>
      <c r="F145" s="72" t="s">
        <v>2396</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2392</v>
      </c>
      <c r="F146" s="72" t="s">
        <v>2397</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2392</v>
      </c>
      <c r="F147" s="72" t="s">
        <v>2398</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2392</v>
      </c>
      <c r="F148" s="72" t="s">
        <v>2399</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2392</v>
      </c>
      <c r="F149" s="72" t="s">
        <v>2400</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2392</v>
      </c>
      <c r="F150" s="72" t="s">
        <v>2401</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2392</v>
      </c>
      <c r="F151" s="72" t="s">
        <v>2402</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2392</v>
      </c>
      <c r="F152" s="72" t="s">
        <v>2403</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1513</v>
      </c>
      <c r="F153" s="72" t="s">
        <v>1514</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1513</v>
      </c>
      <c r="F154" s="72" t="s">
        <v>1515</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2404</v>
      </c>
      <c r="F155" s="72" t="s">
        <v>2405</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2404</v>
      </c>
      <c r="F156" s="72" t="s">
        <v>2406</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2404</v>
      </c>
      <c r="F157" s="72" t="s">
        <v>2407</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2404</v>
      </c>
      <c r="F158" s="72" t="s">
        <v>2408</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2404</v>
      </c>
      <c r="F159" s="72" t="s">
        <v>2409</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2404</v>
      </c>
      <c r="F160" s="72" t="s">
        <v>2410</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2404</v>
      </c>
      <c r="F161" s="72" t="s">
        <v>2411</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2404</v>
      </c>
      <c r="F162" s="72" t="s">
        <v>2412</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2404</v>
      </c>
      <c r="F163" s="72" t="s">
        <v>2413</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2404</v>
      </c>
      <c r="F164" s="72" t="s">
        <v>2414</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2404</v>
      </c>
      <c r="F165" s="72" t="s">
        <v>2415</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2404</v>
      </c>
      <c r="F166" s="72" t="s">
        <v>2416</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1516</v>
      </c>
      <c r="F167" s="72" t="s">
        <v>1517</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1516</v>
      </c>
      <c r="F168" s="72" t="s">
        <v>1518</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1516</v>
      </c>
      <c r="F169" s="72" t="s">
        <v>1540</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1516</v>
      </c>
      <c r="F170" s="72" t="s">
        <v>2417</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1519</v>
      </c>
      <c r="F171" s="72" t="s">
        <v>1520</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1519</v>
      </c>
      <c r="F172" s="72" t="s">
        <v>1521</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1522</v>
      </c>
      <c r="F173" s="72" t="s">
        <v>1523</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1522</v>
      </c>
      <c r="F174" s="72" t="s">
        <v>1524</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1522</v>
      </c>
      <c r="F175" s="72" t="s">
        <v>1525</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1522</v>
      </c>
      <c r="F176" s="72" t="s">
        <v>1526</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1522</v>
      </c>
      <c r="F177" s="72" t="s">
        <v>2418</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1522</v>
      </c>
      <c r="F178" s="72" t="s">
        <v>2419</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1522</v>
      </c>
      <c r="F179" s="72" t="s">
        <v>2420</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1527</v>
      </c>
      <c r="F180" s="72" t="s">
        <v>1528</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1527</v>
      </c>
      <c r="F181" s="72" t="s">
        <v>1529</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1527</v>
      </c>
      <c r="F182" s="72" t="s">
        <v>2421</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1527</v>
      </c>
      <c r="F183" s="72" t="s">
        <v>2422</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1530</v>
      </c>
      <c r="F184" s="72" t="s">
        <v>1531</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1530</v>
      </c>
      <c r="F185" s="72" t="s">
        <v>1532</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1530</v>
      </c>
      <c r="F186" s="72" t="s">
        <v>1533</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1530</v>
      </c>
      <c r="F187" s="72" t="s">
        <v>1534</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1535</v>
      </c>
      <c r="F188" s="72" t="s">
        <v>1536</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1535</v>
      </c>
      <c r="F189" s="72" t="s">
        <v>1537</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1535</v>
      </c>
      <c r="F190" s="72" t="s">
        <v>1538</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1535</v>
      </c>
      <c r="F191" s="72" t="s">
        <v>1539</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1535</v>
      </c>
      <c r="F192" s="72" t="s">
        <v>2423</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765</v>
      </c>
      <c r="C5" s="16"/>
    </row>
    <row r="6" spans="1:10">
      <c r="A6" s="63"/>
      <c r="B6" s="63" t="s">
        <v>254</v>
      </c>
      <c r="C6" s="16"/>
    </row>
    <row r="7" spans="1:10" ht="14.45" customHeight="1">
      <c r="A7" s="19"/>
      <c r="B7" s="19" t="s">
        <v>2211</v>
      </c>
      <c r="C7" s="13"/>
    </row>
    <row r="8" spans="1:10" s="20" customFormat="1" ht="70.5" customHeight="1">
      <c r="A8" s="41" t="s">
        <v>24</v>
      </c>
      <c r="B8" s="41" t="s">
        <v>255</v>
      </c>
      <c r="C8" s="41" t="s">
        <v>256</v>
      </c>
      <c r="D8" s="42" t="s">
        <v>257</v>
      </c>
      <c r="E8" s="42" t="s">
        <v>29</v>
      </c>
      <c r="F8" s="42" t="s">
        <v>30</v>
      </c>
      <c r="G8" s="43" t="s">
        <v>31</v>
      </c>
    </row>
    <row r="9" spans="1:10" ht="282" customHeight="1">
      <c r="A9" s="44" t="s">
        <v>808</v>
      </c>
      <c r="B9" s="45" t="s">
        <v>259</v>
      </c>
      <c r="C9" s="46" t="s">
        <v>2624</v>
      </c>
      <c r="D9" s="47">
        <f>G10+G11</f>
        <v>0</v>
      </c>
      <c r="E9" s="33" t="s">
        <v>206</v>
      </c>
      <c r="F9" s="109">
        <v>1</v>
      </c>
      <c r="G9" s="40"/>
    </row>
    <row r="10" spans="1:10" ht="180" customHeight="1">
      <c r="A10" s="44" t="s">
        <v>2212</v>
      </c>
      <c r="B10" s="45" t="s">
        <v>2227</v>
      </c>
      <c r="C10" s="46" t="s">
        <v>2226</v>
      </c>
      <c r="D10" s="47">
        <f>'CLIN 0002 Base Period N-RW'!D10</f>
        <v>16000</v>
      </c>
      <c r="E10" s="33" t="s">
        <v>260</v>
      </c>
      <c r="F10" s="40"/>
      <c r="G10" s="40"/>
    </row>
    <row r="11" spans="1:10" ht="204.75" customHeight="1">
      <c r="A11" s="44" t="s">
        <v>2213</v>
      </c>
      <c r="B11" s="45" t="s">
        <v>2228</v>
      </c>
      <c r="C11" s="46" t="s">
        <v>2197</v>
      </c>
      <c r="D11" s="47">
        <f>'CLIN 0002 Base Period N-RW'!D11</f>
        <v>1600000</v>
      </c>
      <c r="E11" s="33" t="s">
        <v>206</v>
      </c>
      <c r="F11" s="40"/>
      <c r="G11" s="40"/>
    </row>
    <row r="12" spans="1:10" s="7" customFormat="1" ht="212.25" customHeight="1">
      <c r="A12" s="44" t="s">
        <v>809</v>
      </c>
      <c r="B12" s="45" t="s">
        <v>267</v>
      </c>
      <c r="C12" s="46" t="s">
        <v>2201</v>
      </c>
      <c r="D12" s="50">
        <v>2000000</v>
      </c>
      <c r="E12" s="33" t="s">
        <v>206</v>
      </c>
      <c r="F12" s="40"/>
      <c r="G12" s="40"/>
    </row>
    <row r="13" spans="1:10" s="7" customFormat="1" ht="144.75" customHeight="1">
      <c r="A13" s="44" t="s">
        <v>810</v>
      </c>
      <c r="B13" s="45" t="s">
        <v>269</v>
      </c>
      <c r="C13" s="46" t="s">
        <v>753</v>
      </c>
      <c r="D13" s="51">
        <v>115</v>
      </c>
      <c r="E13" s="52" t="s">
        <v>38</v>
      </c>
      <c r="F13" s="40"/>
      <c r="G13" s="40"/>
    </row>
    <row r="14" spans="1:10" ht="149.25" customHeight="1">
      <c r="A14" s="44" t="s">
        <v>811</v>
      </c>
      <c r="B14" s="45" t="s">
        <v>271</v>
      </c>
      <c r="C14" s="46" t="s">
        <v>754</v>
      </c>
      <c r="D14" s="51">
        <v>130</v>
      </c>
      <c r="E14" s="52" t="s">
        <v>38</v>
      </c>
      <c r="F14" s="40"/>
      <c r="G14" s="40"/>
    </row>
    <row r="15" spans="1:10" s="12" customFormat="1" ht="148.5" customHeight="1">
      <c r="A15" s="44" t="s">
        <v>812</v>
      </c>
      <c r="B15" s="45" t="s">
        <v>273</v>
      </c>
      <c r="C15" s="46" t="s">
        <v>756</v>
      </c>
      <c r="D15" s="51">
        <v>95</v>
      </c>
      <c r="E15" s="52" t="s">
        <v>38</v>
      </c>
      <c r="F15" s="40"/>
      <c r="G15" s="40"/>
    </row>
    <row r="16" spans="1:10" s="60" customFormat="1" ht="149.25" customHeight="1">
      <c r="A16" s="44" t="s">
        <v>813</v>
      </c>
      <c r="B16" s="48" t="s">
        <v>737</v>
      </c>
      <c r="C16" s="49" t="s">
        <v>757</v>
      </c>
      <c r="D16" s="51">
        <v>50</v>
      </c>
      <c r="E16" s="52" t="s">
        <v>38</v>
      </c>
      <c r="F16" s="40"/>
      <c r="G16" s="40"/>
    </row>
    <row r="17" spans="1:7" s="60" customFormat="1" ht="151.5" customHeight="1">
      <c r="A17" s="44" t="s">
        <v>814</v>
      </c>
      <c r="B17" s="48" t="s">
        <v>750</v>
      </c>
      <c r="C17" s="49" t="s">
        <v>758</v>
      </c>
      <c r="D17" s="51">
        <v>40</v>
      </c>
      <c r="E17" s="52" t="s">
        <v>38</v>
      </c>
      <c r="F17" s="40"/>
      <c r="G17" s="40"/>
    </row>
    <row r="18" spans="1:7" s="60" customFormat="1" ht="153.75" customHeight="1">
      <c r="A18" s="44" t="s">
        <v>815</v>
      </c>
      <c r="B18" s="48" t="s">
        <v>751</v>
      </c>
      <c r="C18" s="49" t="s">
        <v>759</v>
      </c>
      <c r="D18" s="51">
        <v>30</v>
      </c>
      <c r="E18" s="52" t="s">
        <v>38</v>
      </c>
      <c r="F18" s="40"/>
      <c r="G18" s="40"/>
    </row>
    <row r="19" spans="1:7" s="60" customFormat="1" ht="150" customHeight="1">
      <c r="A19" s="44" t="s">
        <v>816</v>
      </c>
      <c r="B19" s="48" t="s">
        <v>752</v>
      </c>
      <c r="C19" s="49" t="s">
        <v>760</v>
      </c>
      <c r="D19" s="51">
        <v>20</v>
      </c>
      <c r="E19" s="52" t="s">
        <v>38</v>
      </c>
      <c r="F19" s="40"/>
      <c r="G19" s="40"/>
    </row>
    <row r="20" spans="1:7" ht="114.75">
      <c r="A20" s="44" t="s">
        <v>817</v>
      </c>
      <c r="B20" s="56" t="s">
        <v>2638</v>
      </c>
      <c r="C20" s="45" t="s">
        <v>275</v>
      </c>
      <c r="D20" s="51">
        <v>20000</v>
      </c>
      <c r="E20" s="33" t="s">
        <v>276</v>
      </c>
      <c r="F20" s="40"/>
      <c r="G20" s="40"/>
    </row>
    <row r="21" spans="1:7" ht="127.5">
      <c r="A21" s="44" t="s">
        <v>818</v>
      </c>
      <c r="B21" s="56" t="s">
        <v>2637</v>
      </c>
      <c r="C21" s="45" t="s">
        <v>278</v>
      </c>
      <c r="D21" s="51">
        <v>30000</v>
      </c>
      <c r="E21" s="33" t="s">
        <v>276</v>
      </c>
      <c r="F21" s="40"/>
      <c r="G21" s="40"/>
    </row>
    <row r="22" spans="1:7" ht="76.5">
      <c r="A22" s="44" t="s">
        <v>819</v>
      </c>
      <c r="B22" s="56" t="s">
        <v>2636</v>
      </c>
      <c r="C22" s="45" t="s">
        <v>280</v>
      </c>
      <c r="D22" s="51">
        <v>18</v>
      </c>
      <c r="E22" s="33" t="s">
        <v>41</v>
      </c>
      <c r="F22" s="40"/>
      <c r="G22" s="40"/>
    </row>
    <row r="23" spans="1:7" ht="76.5">
      <c r="A23" s="44" t="s">
        <v>820</v>
      </c>
      <c r="B23" s="56" t="s">
        <v>2635</v>
      </c>
      <c r="C23" s="45" t="s">
        <v>282</v>
      </c>
      <c r="D23" s="51">
        <v>18</v>
      </c>
      <c r="E23" s="33" t="s">
        <v>41</v>
      </c>
      <c r="F23" s="40"/>
      <c r="G23" s="40"/>
    </row>
    <row r="24" spans="1:7" ht="91.5" customHeight="1">
      <c r="A24" s="44" t="s">
        <v>821</v>
      </c>
      <c r="B24" s="56" t="s">
        <v>2634</v>
      </c>
      <c r="C24" s="45" t="s">
        <v>284</v>
      </c>
      <c r="D24" s="51">
        <v>6</v>
      </c>
      <c r="E24" s="33" t="s">
        <v>38</v>
      </c>
      <c r="F24" s="40"/>
      <c r="G24" s="40"/>
    </row>
    <row r="25" spans="1:7" ht="127.5" customHeight="1">
      <c r="A25" s="44" t="s">
        <v>822</v>
      </c>
      <c r="B25" s="45" t="s">
        <v>2633</v>
      </c>
      <c r="C25" s="49" t="s">
        <v>286</v>
      </c>
      <c r="D25" s="51">
        <v>100</v>
      </c>
      <c r="E25" s="33" t="s">
        <v>287</v>
      </c>
      <c r="F25" s="40"/>
      <c r="G25" s="40"/>
    </row>
    <row r="26" spans="1:7" ht="127.5">
      <c r="A26" s="44" t="s">
        <v>823</v>
      </c>
      <c r="B26" s="45" t="s">
        <v>2629</v>
      </c>
      <c r="C26" s="49" t="s">
        <v>290</v>
      </c>
      <c r="D26" s="51">
        <v>5</v>
      </c>
      <c r="E26" s="33" t="s">
        <v>38</v>
      </c>
      <c r="F26" s="40"/>
      <c r="G26" s="40"/>
    </row>
    <row r="27" spans="1:7" ht="114.75">
      <c r="A27" s="44" t="s">
        <v>824</v>
      </c>
      <c r="B27" s="45" t="s">
        <v>2630</v>
      </c>
      <c r="C27" s="46" t="s">
        <v>292</v>
      </c>
      <c r="D27" s="51">
        <v>50</v>
      </c>
      <c r="E27" s="33" t="s">
        <v>38</v>
      </c>
      <c r="F27" s="40"/>
      <c r="G27" s="40"/>
    </row>
    <row r="28" spans="1:7" ht="102">
      <c r="A28" s="44" t="s">
        <v>825</v>
      </c>
      <c r="B28" s="45" t="s">
        <v>2631</v>
      </c>
      <c r="C28" s="46" t="s">
        <v>755</v>
      </c>
      <c r="D28" s="51">
        <v>30</v>
      </c>
      <c r="E28" s="33" t="s">
        <v>38</v>
      </c>
      <c r="F28" s="40"/>
      <c r="G28" s="40"/>
    </row>
    <row r="29" spans="1:7" ht="89.25">
      <c r="A29" s="44" t="s">
        <v>826</v>
      </c>
      <c r="B29" s="45" t="s">
        <v>2632</v>
      </c>
      <c r="C29" s="46" t="s">
        <v>732</v>
      </c>
      <c r="D29" s="51">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K10" sqref="K10:L14"/>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4"/>
      <c r="D1" s="114"/>
      <c r="E1" s="114"/>
      <c r="F1" s="114"/>
      <c r="G1" s="114"/>
      <c r="H1" s="114"/>
      <c r="M1" s="78"/>
      <c r="N1" s="79"/>
    </row>
    <row r="2" spans="1:14" ht="15">
      <c r="B2" s="113" t="s">
        <v>19</v>
      </c>
      <c r="C2" s="114"/>
      <c r="D2" s="114"/>
      <c r="E2" s="114"/>
      <c r="F2" s="114"/>
      <c r="G2" s="114"/>
      <c r="H2" s="114"/>
    </row>
    <row r="3" spans="1:14" ht="15">
      <c r="B3" s="113" t="s">
        <v>761</v>
      </c>
      <c r="C3" s="114"/>
      <c r="D3" s="114"/>
      <c r="E3" s="114"/>
      <c r="F3" s="114"/>
      <c r="G3" s="114"/>
      <c r="H3" s="114"/>
    </row>
    <row r="4" spans="1:14">
      <c r="B4" s="65"/>
      <c r="E4" s="10"/>
      <c r="F4" s="76"/>
      <c r="G4" s="76"/>
      <c r="H4" s="3"/>
    </row>
    <row r="5" spans="1:14">
      <c r="B5" s="65"/>
      <c r="E5" s="10"/>
      <c r="F5" s="76"/>
      <c r="G5" s="76"/>
      <c r="H5" s="3"/>
    </row>
    <row r="6" spans="1:14">
      <c r="B6" s="63" t="s">
        <v>2190</v>
      </c>
      <c r="C6" s="16"/>
      <c r="D6" s="16"/>
      <c r="E6" s="16"/>
      <c r="F6" s="9"/>
      <c r="G6" s="16"/>
      <c r="H6" s="16"/>
    </row>
    <row r="7" spans="1:14" ht="12.95" customHeight="1">
      <c r="B7" s="64" t="s">
        <v>20</v>
      </c>
      <c r="C7" s="15"/>
      <c r="D7" s="15"/>
      <c r="E7" s="14"/>
      <c r="F7" s="76"/>
      <c r="G7" s="14"/>
      <c r="H7" s="14"/>
    </row>
    <row r="8" spans="1:14" ht="13.5" thickBot="1">
      <c r="B8" s="19" t="s">
        <v>738</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739</v>
      </c>
      <c r="E10" s="33" t="s">
        <v>740</v>
      </c>
      <c r="F10" s="33">
        <v>1606000</v>
      </c>
      <c r="G10" s="33">
        <v>3.1</v>
      </c>
      <c r="H10" s="37" t="s">
        <v>8</v>
      </c>
      <c r="I10" s="33">
        <v>12</v>
      </c>
      <c r="J10" s="33" t="s">
        <v>41</v>
      </c>
      <c r="K10" s="34"/>
      <c r="L10" s="34"/>
    </row>
    <row r="11" spans="1:14" s="7" customFormat="1">
      <c r="A11" s="37" t="s">
        <v>51</v>
      </c>
      <c r="B11" s="32" t="s">
        <v>294</v>
      </c>
      <c r="C11" s="32" t="s">
        <v>53</v>
      </c>
      <c r="D11" s="33" t="s">
        <v>739</v>
      </c>
      <c r="E11" s="33" t="s">
        <v>741</v>
      </c>
      <c r="F11" s="33">
        <v>1606000</v>
      </c>
      <c r="G11" s="33" t="s">
        <v>116</v>
      </c>
      <c r="H11" s="37" t="s">
        <v>53</v>
      </c>
      <c r="I11" s="39">
        <v>80</v>
      </c>
      <c r="J11" s="33" t="s">
        <v>38</v>
      </c>
      <c r="K11" s="34"/>
      <c r="L11" s="34"/>
    </row>
    <row r="12" spans="1:14" s="7" customFormat="1">
      <c r="A12" s="37" t="s">
        <v>51</v>
      </c>
      <c r="B12" s="32" t="s">
        <v>294</v>
      </c>
      <c r="C12" s="32" t="s">
        <v>111</v>
      </c>
      <c r="D12" s="33" t="s">
        <v>739</v>
      </c>
      <c r="E12" s="33" t="s">
        <v>742</v>
      </c>
      <c r="F12" s="33">
        <v>1606000</v>
      </c>
      <c r="G12" s="33">
        <v>3.3</v>
      </c>
      <c r="H12" s="37" t="s">
        <v>295</v>
      </c>
      <c r="I12" s="33">
        <v>12</v>
      </c>
      <c r="J12" s="33" t="s">
        <v>41</v>
      </c>
      <c r="K12" s="34"/>
      <c r="L12" s="34"/>
    </row>
    <row r="13" spans="1:14" s="7" customFormat="1" ht="14.1" customHeight="1">
      <c r="A13" s="37" t="s">
        <v>108</v>
      </c>
      <c r="B13" s="32" t="s">
        <v>294</v>
      </c>
      <c r="C13" s="32" t="s">
        <v>111</v>
      </c>
      <c r="D13" s="33" t="s">
        <v>739</v>
      </c>
      <c r="E13" s="33" t="s">
        <v>743</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workbookViewId="0">
      <selection activeCell="G8" sqref="G8:G193"/>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2182</v>
      </c>
      <c r="D4" s="16"/>
      <c r="E4" s="16"/>
      <c r="F4" s="69"/>
      <c r="G4" s="9"/>
      <c r="H4" s="69"/>
      <c r="I4" s="98"/>
    </row>
    <row r="5" spans="1:16" ht="12" customHeight="1">
      <c r="C5" s="14" t="s">
        <v>20</v>
      </c>
      <c r="D5" s="15"/>
      <c r="E5" s="15"/>
      <c r="F5" s="70"/>
      <c r="G5" s="85"/>
      <c r="H5" s="70"/>
      <c r="I5" s="99"/>
    </row>
    <row r="6" spans="1:16" ht="12" customHeight="1">
      <c r="C6" s="13" t="s">
        <v>2596</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1541</v>
      </c>
      <c r="F8" s="72" t="s">
        <v>1542</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1541</v>
      </c>
      <c r="F9" s="72" t="s">
        <v>1543</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1541</v>
      </c>
      <c r="F10" s="72" t="s">
        <v>1544</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1541</v>
      </c>
      <c r="F11" s="72" t="s">
        <v>1545</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1541</v>
      </c>
      <c r="F12" s="72" t="s">
        <v>1546</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1541</v>
      </c>
      <c r="F13" s="72" t="s">
        <v>1547</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1541</v>
      </c>
      <c r="F14" s="72" t="s">
        <v>1548</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1541</v>
      </c>
      <c r="F15" s="72" t="s">
        <v>1549</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1541</v>
      </c>
      <c r="F16" s="72" t="s">
        <v>1550</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1541</v>
      </c>
      <c r="F17" s="72" t="s">
        <v>1551</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1541</v>
      </c>
      <c r="F18" s="72" t="s">
        <v>1552</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1541</v>
      </c>
      <c r="F19" s="72" t="s">
        <v>1553</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1541</v>
      </c>
      <c r="F20" s="72" t="s">
        <v>1554</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1541</v>
      </c>
      <c r="F21" s="72" t="s">
        <v>1555</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1541</v>
      </c>
      <c r="F22" s="72" t="s">
        <v>1556</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1541</v>
      </c>
      <c r="F23" s="72" t="s">
        <v>1557</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1541</v>
      </c>
      <c r="F24" s="72" t="s">
        <v>1558</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1541</v>
      </c>
      <c r="F25" s="72" t="s">
        <v>1559</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1541</v>
      </c>
      <c r="F26" s="72" t="s">
        <v>1560</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1541</v>
      </c>
      <c r="F27" s="72" t="s">
        <v>1561</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1541</v>
      </c>
      <c r="F28" s="72" t="s">
        <v>1562</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1541</v>
      </c>
      <c r="F29" s="72" t="s">
        <v>1563</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1541</v>
      </c>
      <c r="F30" s="72" t="s">
        <v>1564</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1541</v>
      </c>
      <c r="F31" s="72" t="s">
        <v>1565</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1541</v>
      </c>
      <c r="F32" s="72" t="s">
        <v>1566</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1541</v>
      </c>
      <c r="F33" s="72" t="s">
        <v>1567</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1541</v>
      </c>
      <c r="F34" s="72" t="s">
        <v>1568</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1541</v>
      </c>
      <c r="F35" s="72" t="s">
        <v>1569</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1541</v>
      </c>
      <c r="F36" s="72" t="s">
        <v>1570</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1541</v>
      </c>
      <c r="F37" s="72" t="s">
        <v>1571</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1541</v>
      </c>
      <c r="F38" s="72" t="s">
        <v>1572</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1541</v>
      </c>
      <c r="F39" s="72" t="s">
        <v>1573</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1541</v>
      </c>
      <c r="F40" s="72" t="s">
        <v>2424</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1541</v>
      </c>
      <c r="F41" s="72" t="s">
        <v>1574</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1541</v>
      </c>
      <c r="F42" s="72" t="s">
        <v>1575</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1541</v>
      </c>
      <c r="F43" s="72" t="s">
        <v>1576</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1541</v>
      </c>
      <c r="F44" s="72" t="s">
        <v>1577</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1541</v>
      </c>
      <c r="F45" s="72" t="s">
        <v>1578</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1541</v>
      </c>
      <c r="F46" s="72" t="s">
        <v>1579</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1541</v>
      </c>
      <c r="F47" s="72" t="s">
        <v>1580</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1541</v>
      </c>
      <c r="F48" s="72" t="s">
        <v>1581</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1541</v>
      </c>
      <c r="F49" s="72" t="s">
        <v>1582</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1541</v>
      </c>
      <c r="F50" s="72" t="s">
        <v>1583</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1541</v>
      </c>
      <c r="F51" s="72" t="s">
        <v>1584</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1541</v>
      </c>
      <c r="F52" s="72" t="s">
        <v>1585</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1541</v>
      </c>
      <c r="F53" s="72" t="s">
        <v>1586</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1541</v>
      </c>
      <c r="F54" s="72" t="s">
        <v>1587</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1541</v>
      </c>
      <c r="F55" s="72" t="s">
        <v>1588</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1541</v>
      </c>
      <c r="F56" s="72" t="s">
        <v>1589</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1541</v>
      </c>
      <c r="F57" s="72" t="s">
        <v>1590</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1541</v>
      </c>
      <c r="F58" s="72" t="s">
        <v>1591</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1541</v>
      </c>
      <c r="F59" s="72" t="s">
        <v>1592</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1541</v>
      </c>
      <c r="F60" s="72" t="s">
        <v>1593</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1541</v>
      </c>
      <c r="F61" s="72" t="s">
        <v>1594</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1541</v>
      </c>
      <c r="F62" s="72" t="s">
        <v>1595</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1541</v>
      </c>
      <c r="F63" s="72" t="s">
        <v>1596</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1541</v>
      </c>
      <c r="F64" s="72" t="s">
        <v>1597</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1541</v>
      </c>
      <c r="F65" s="72" t="s">
        <v>1598</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1541</v>
      </c>
      <c r="F66" s="72" t="s">
        <v>1599</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1541</v>
      </c>
      <c r="F67" s="72" t="s">
        <v>1600</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1541</v>
      </c>
      <c r="F68" s="72" t="s">
        <v>1601</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1541</v>
      </c>
      <c r="F69" s="72" t="s">
        <v>1602</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1541</v>
      </c>
      <c r="F70" s="72" t="s">
        <v>1603</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1541</v>
      </c>
      <c r="F71" s="72" t="s">
        <v>1604</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1541</v>
      </c>
      <c r="F72" s="72" t="s">
        <v>1605</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1541</v>
      </c>
      <c r="F73" s="72" t="s">
        <v>1606</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1541</v>
      </c>
      <c r="F74" s="72" t="s">
        <v>1607</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1541</v>
      </c>
      <c r="F75" s="72" t="s">
        <v>1608</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1541</v>
      </c>
      <c r="F76" s="72" t="s">
        <v>1609</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1541</v>
      </c>
      <c r="F77" s="72" t="s">
        <v>2425</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1541</v>
      </c>
      <c r="F78" s="72" t="s">
        <v>1610</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1541</v>
      </c>
      <c r="F79" s="72" t="s">
        <v>1611</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1541</v>
      </c>
      <c r="F80" s="72" t="s">
        <v>1612</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1541</v>
      </c>
      <c r="F81" s="72" t="s">
        <v>1613</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1541</v>
      </c>
      <c r="F82" s="72" t="s">
        <v>1614</v>
      </c>
      <c r="G82" s="33">
        <v>1502000</v>
      </c>
      <c r="H82" s="72" t="s">
        <v>63</v>
      </c>
      <c r="I82" s="101" t="s">
        <v>64</v>
      </c>
      <c r="J82" s="72">
        <v>50</v>
      </c>
      <c r="K82" s="72" t="s">
        <v>38</v>
      </c>
      <c r="L82" s="90"/>
      <c r="M82" s="90"/>
    </row>
    <row r="83" spans="1:13" s="7" customFormat="1" ht="12" customHeight="1">
      <c r="A83" s="37" t="s">
        <v>317</v>
      </c>
      <c r="B83" s="31" t="s">
        <v>2232</v>
      </c>
      <c r="C83" s="31" t="s">
        <v>52</v>
      </c>
      <c r="D83" s="32" t="s">
        <v>54</v>
      </c>
      <c r="E83" s="33" t="s">
        <v>1541</v>
      </c>
      <c r="F83" s="72" t="s">
        <v>1615</v>
      </c>
      <c r="G83" s="33">
        <v>1502000</v>
      </c>
      <c r="H83" s="72" t="s">
        <v>65</v>
      </c>
      <c r="I83" s="101" t="s">
        <v>66</v>
      </c>
      <c r="J83" s="72">
        <v>10</v>
      </c>
      <c r="K83" s="72" t="s">
        <v>38</v>
      </c>
      <c r="L83" s="90"/>
      <c r="M83" s="90"/>
    </row>
    <row r="84" spans="1:13" s="7" customFormat="1" ht="12" customHeight="1">
      <c r="A84" s="37" t="s">
        <v>317</v>
      </c>
      <c r="B84" s="31" t="s">
        <v>2232</v>
      </c>
      <c r="C84" s="31" t="s">
        <v>52</v>
      </c>
      <c r="D84" s="32" t="s">
        <v>54</v>
      </c>
      <c r="E84" s="33" t="s">
        <v>1541</v>
      </c>
      <c r="F84" s="72" t="s">
        <v>2426</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1541</v>
      </c>
      <c r="F85" s="72" t="s">
        <v>2427</v>
      </c>
      <c r="G85" s="33">
        <v>1502000</v>
      </c>
      <c r="H85" s="33" t="s">
        <v>81</v>
      </c>
      <c r="I85" s="101" t="s">
        <v>82</v>
      </c>
      <c r="J85" s="92">
        <v>12</v>
      </c>
      <c r="K85" s="72" t="s">
        <v>41</v>
      </c>
      <c r="L85" s="90"/>
      <c r="M85" s="90"/>
    </row>
    <row r="86" spans="1:13" s="7" customFormat="1" ht="12" customHeight="1">
      <c r="A86" s="31" t="s">
        <v>160</v>
      </c>
      <c r="B86" s="31" t="s">
        <v>160</v>
      </c>
      <c r="C86" s="32" t="s">
        <v>120</v>
      </c>
      <c r="D86" s="32" t="s">
        <v>10</v>
      </c>
      <c r="E86" s="33" t="s">
        <v>1616</v>
      </c>
      <c r="F86" s="72" t="s">
        <v>1617</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1616</v>
      </c>
      <c r="F87" s="72" t="s">
        <v>1618</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1616</v>
      </c>
      <c r="F88" s="72" t="s">
        <v>1619</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1620</v>
      </c>
      <c r="F89" s="72" t="s">
        <v>1621</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1620</v>
      </c>
      <c r="F90" s="72" t="s">
        <v>1622</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1620</v>
      </c>
      <c r="F91" s="72" t="s">
        <v>1623</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1620</v>
      </c>
      <c r="F92" s="72" t="s">
        <v>2428</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1620</v>
      </c>
      <c r="F93" s="72" t="s">
        <v>1624</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1620</v>
      </c>
      <c r="F94" s="72" t="s">
        <v>1625</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1620</v>
      </c>
      <c r="F95" s="72" t="s">
        <v>1626</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1620</v>
      </c>
      <c r="F96" s="72" t="s">
        <v>1627</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1620</v>
      </c>
      <c r="F97" s="72" t="s">
        <v>1628</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1620</v>
      </c>
      <c r="F98" s="72" t="s">
        <v>1629</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1620</v>
      </c>
      <c r="F99" s="72" t="s">
        <v>1630</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1620</v>
      </c>
      <c r="F100" s="72" t="s">
        <v>1631</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1620</v>
      </c>
      <c r="F101" s="72" t="s">
        <v>1632</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1620</v>
      </c>
      <c r="F102" s="72" t="s">
        <v>1633</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1620</v>
      </c>
      <c r="F103" s="72" t="s">
        <v>1634</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1620</v>
      </c>
      <c r="F104" s="72" t="s">
        <v>1635</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1620</v>
      </c>
      <c r="F105" s="72" t="s">
        <v>1636</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1620</v>
      </c>
      <c r="F106" s="72" t="s">
        <v>1637</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1620</v>
      </c>
      <c r="F107" s="72" t="s">
        <v>1638</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1620</v>
      </c>
      <c r="F108" s="72" t="s">
        <v>1639</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1620</v>
      </c>
      <c r="F109" s="72" t="s">
        <v>1640</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1620</v>
      </c>
      <c r="F110" s="72" t="s">
        <v>1641</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1620</v>
      </c>
      <c r="F111" s="72" t="s">
        <v>1642</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1620</v>
      </c>
      <c r="F112" s="72" t="s">
        <v>1643</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1620</v>
      </c>
      <c r="F113" s="72" t="s">
        <v>1644</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1620</v>
      </c>
      <c r="F114" s="72" t="s">
        <v>1645</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1620</v>
      </c>
      <c r="F115" s="72" t="s">
        <v>1646</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1620</v>
      </c>
      <c r="F116" s="72" t="s">
        <v>1647</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1620</v>
      </c>
      <c r="F117" s="72" t="s">
        <v>1648</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1620</v>
      </c>
      <c r="F118" s="72" t="s">
        <v>1649</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1620</v>
      </c>
      <c r="F119" s="72" t="s">
        <v>1650</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1620</v>
      </c>
      <c r="F120" s="72" t="s">
        <v>1651</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1620</v>
      </c>
      <c r="F121" s="72" t="s">
        <v>1652</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1620</v>
      </c>
      <c r="F122" s="72" t="s">
        <v>1653</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1620</v>
      </c>
      <c r="F123" s="72" t="s">
        <v>1654</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1620</v>
      </c>
      <c r="F124" s="72" t="s">
        <v>1655</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1620</v>
      </c>
      <c r="F125" s="72" t="s">
        <v>1656</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1620</v>
      </c>
      <c r="F126" s="72" t="s">
        <v>1657</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1620</v>
      </c>
      <c r="F127" s="72" t="s">
        <v>1658</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1620</v>
      </c>
      <c r="F128" s="72" t="s">
        <v>1659</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1620</v>
      </c>
      <c r="F129" s="72" t="s">
        <v>1660</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1620</v>
      </c>
      <c r="F130" s="72" t="s">
        <v>1661</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1620</v>
      </c>
      <c r="F131" s="72" t="s">
        <v>1662</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1620</v>
      </c>
      <c r="F132" s="72" t="s">
        <v>1663</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1620</v>
      </c>
      <c r="F133" s="72" t="s">
        <v>1664</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1620</v>
      </c>
      <c r="F134" s="72" t="s">
        <v>1665</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1620</v>
      </c>
      <c r="F135" s="72" t="s">
        <v>1666</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1620</v>
      </c>
      <c r="F136" s="72" t="s">
        <v>1667</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1668</v>
      </c>
      <c r="F137" s="72" t="s">
        <v>1669</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2429</v>
      </c>
      <c r="F138" s="72" t="s">
        <v>2430</v>
      </c>
      <c r="G138" s="33">
        <v>1502000</v>
      </c>
      <c r="H138" s="72">
        <v>3.1</v>
      </c>
      <c r="I138" s="101" t="s">
        <v>591</v>
      </c>
      <c r="J138" s="72">
        <v>50</v>
      </c>
      <c r="K138" s="72" t="s">
        <v>41</v>
      </c>
      <c r="L138" s="90"/>
      <c r="M138" s="90"/>
    </row>
    <row r="139" spans="1:13" s="7" customFormat="1" ht="12" customHeight="1">
      <c r="A139" s="31" t="s">
        <v>227</v>
      </c>
      <c r="B139" s="31" t="s">
        <v>227</v>
      </c>
      <c r="C139" s="31" t="s">
        <v>52</v>
      </c>
      <c r="D139" s="31" t="s">
        <v>1</v>
      </c>
      <c r="E139" s="33" t="s">
        <v>2429</v>
      </c>
      <c r="F139" s="72" t="s">
        <v>2431</v>
      </c>
      <c r="G139" s="33">
        <v>1502000</v>
      </c>
      <c r="H139" s="72">
        <v>3.2</v>
      </c>
      <c r="I139" s="101" t="s">
        <v>601</v>
      </c>
      <c r="J139" s="72">
        <v>10</v>
      </c>
      <c r="K139" s="72" t="s">
        <v>41</v>
      </c>
      <c r="L139" s="90"/>
      <c r="M139" s="90"/>
    </row>
    <row r="140" spans="1:13" s="7" customFormat="1" ht="12" customHeight="1">
      <c r="A140" s="31" t="s">
        <v>227</v>
      </c>
      <c r="B140" s="31" t="s">
        <v>227</v>
      </c>
      <c r="C140" s="32" t="s">
        <v>120</v>
      </c>
      <c r="D140" s="32" t="s">
        <v>10</v>
      </c>
      <c r="E140" s="33" t="s">
        <v>2429</v>
      </c>
      <c r="F140" s="72" t="s">
        <v>2432</v>
      </c>
      <c r="G140" s="33">
        <v>1700000</v>
      </c>
      <c r="H140" s="33" t="s">
        <v>128</v>
      </c>
      <c r="I140" s="103" t="s">
        <v>129</v>
      </c>
      <c r="J140" s="72">
        <v>12</v>
      </c>
      <c r="K140" s="72" t="s">
        <v>41</v>
      </c>
      <c r="L140" s="90"/>
      <c r="M140" s="90"/>
    </row>
    <row r="141" spans="1:13" s="7" customFormat="1" ht="12" customHeight="1">
      <c r="A141" s="31" t="s">
        <v>227</v>
      </c>
      <c r="B141" s="31" t="s">
        <v>227</v>
      </c>
      <c r="C141" s="32" t="s">
        <v>120</v>
      </c>
      <c r="D141" s="32" t="s">
        <v>10</v>
      </c>
      <c r="E141" s="33" t="s">
        <v>2429</v>
      </c>
      <c r="F141" s="72" t="s">
        <v>2433</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2434</v>
      </c>
      <c r="F142" s="72" t="s">
        <v>2435</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2434</v>
      </c>
      <c r="F143" s="72" t="s">
        <v>2436</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2434</v>
      </c>
      <c r="F144" s="72" t="s">
        <v>2437</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2434</v>
      </c>
      <c r="F145" s="72" t="s">
        <v>2438</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2434</v>
      </c>
      <c r="F146" s="72" t="s">
        <v>2439</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2434</v>
      </c>
      <c r="F147" s="72" t="s">
        <v>2440</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2434</v>
      </c>
      <c r="F148" s="72" t="s">
        <v>2441</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2434</v>
      </c>
      <c r="F149" s="72" t="s">
        <v>2442</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2434</v>
      </c>
      <c r="F150" s="72" t="s">
        <v>2443</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2434</v>
      </c>
      <c r="F151" s="72" t="s">
        <v>2444</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2434</v>
      </c>
      <c r="F152" s="72" t="s">
        <v>2445</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1670</v>
      </c>
      <c r="F153" s="72" t="s">
        <v>1671</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1670</v>
      </c>
      <c r="F154" s="72" t="s">
        <v>1672</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2446</v>
      </c>
      <c r="F155" s="72" t="s">
        <v>2447</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2446</v>
      </c>
      <c r="F156" s="72" t="s">
        <v>2448</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2446</v>
      </c>
      <c r="F157" s="72" t="s">
        <v>2449</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2446</v>
      </c>
      <c r="F158" s="72" t="s">
        <v>2450</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2446</v>
      </c>
      <c r="F159" s="72" t="s">
        <v>2451</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2446</v>
      </c>
      <c r="F160" s="72" t="s">
        <v>2452</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2446</v>
      </c>
      <c r="F161" s="72" t="s">
        <v>2453</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2446</v>
      </c>
      <c r="F162" s="72" t="s">
        <v>2454</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2446</v>
      </c>
      <c r="F163" s="72" t="s">
        <v>2455</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2446</v>
      </c>
      <c r="F164" s="72" t="s">
        <v>2456</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2446</v>
      </c>
      <c r="F165" s="72" t="s">
        <v>2457</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2446</v>
      </c>
      <c r="F166" s="72" t="s">
        <v>2458</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1673</v>
      </c>
      <c r="F167" s="72" t="s">
        <v>1674</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1673</v>
      </c>
      <c r="F168" s="72" t="s">
        <v>1675</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1673</v>
      </c>
      <c r="F169" s="72" t="s">
        <v>1697</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1673</v>
      </c>
      <c r="F170" s="72" t="s">
        <v>2459</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1676</v>
      </c>
      <c r="F171" s="72" t="s">
        <v>1677</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1676</v>
      </c>
      <c r="F172" s="72" t="s">
        <v>1678</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1679</v>
      </c>
      <c r="F173" s="72" t="s">
        <v>1680</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1679</v>
      </c>
      <c r="F174" s="72" t="s">
        <v>1681</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1679</v>
      </c>
      <c r="F175" s="72" t="s">
        <v>1682</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1679</v>
      </c>
      <c r="F176" s="72" t="s">
        <v>1683</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1679</v>
      </c>
      <c r="F177" s="72" t="s">
        <v>2460</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1679</v>
      </c>
      <c r="F178" s="72" t="s">
        <v>2461</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1679</v>
      </c>
      <c r="F179" s="72" t="s">
        <v>2462</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1684</v>
      </c>
      <c r="F180" s="72" t="s">
        <v>1685</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1684</v>
      </c>
      <c r="F181" s="72" t="s">
        <v>1686</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1684</v>
      </c>
      <c r="F182" s="72" t="s">
        <v>2463</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1684</v>
      </c>
      <c r="F183" s="72" t="s">
        <v>2464</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1687</v>
      </c>
      <c r="F184" s="72" t="s">
        <v>1688</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1687</v>
      </c>
      <c r="F185" s="72" t="s">
        <v>1689</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1687</v>
      </c>
      <c r="F186" s="72" t="s">
        <v>1690</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1687</v>
      </c>
      <c r="F187" s="72" t="s">
        <v>1691</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1692</v>
      </c>
      <c r="F188" s="72" t="s">
        <v>1693</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1692</v>
      </c>
      <c r="F189" s="72" t="s">
        <v>1694</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1692</v>
      </c>
      <c r="F190" s="72" t="s">
        <v>1695</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1692</v>
      </c>
      <c r="F191" s="72" t="s">
        <v>1696</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1692</v>
      </c>
      <c r="F192" s="72" t="s">
        <v>2465</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3"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topLeftCell="A6"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766</v>
      </c>
      <c r="C5" s="16"/>
    </row>
    <row r="6" spans="1:10">
      <c r="A6" s="63"/>
      <c r="B6" s="63" t="s">
        <v>254</v>
      </c>
      <c r="C6" s="16"/>
    </row>
    <row r="7" spans="1:10" ht="14.45" customHeight="1">
      <c r="A7" s="19"/>
      <c r="B7" s="19" t="s">
        <v>2214</v>
      </c>
      <c r="C7" s="13"/>
    </row>
    <row r="8" spans="1:10" s="20" customFormat="1" ht="70.5" customHeight="1">
      <c r="A8" s="41" t="s">
        <v>24</v>
      </c>
      <c r="B8" s="41" t="s">
        <v>255</v>
      </c>
      <c r="C8" s="41" t="s">
        <v>256</v>
      </c>
      <c r="D8" s="42" t="s">
        <v>257</v>
      </c>
      <c r="E8" s="42" t="s">
        <v>29</v>
      </c>
      <c r="F8" s="42" t="s">
        <v>30</v>
      </c>
      <c r="G8" s="43" t="s">
        <v>31</v>
      </c>
    </row>
    <row r="9" spans="1:10" ht="282" customHeight="1">
      <c r="A9" s="44" t="s">
        <v>827</v>
      </c>
      <c r="B9" s="45" t="s">
        <v>259</v>
      </c>
      <c r="C9" s="46" t="s">
        <v>2625</v>
      </c>
      <c r="D9" s="47">
        <f>G10+G11</f>
        <v>0</v>
      </c>
      <c r="E9" s="33" t="s">
        <v>206</v>
      </c>
      <c r="F9" s="109">
        <v>1</v>
      </c>
      <c r="G9" s="40"/>
    </row>
    <row r="10" spans="1:10" ht="180" customHeight="1">
      <c r="A10" s="44" t="s">
        <v>2215</v>
      </c>
      <c r="B10" s="45" t="s">
        <v>2227</v>
      </c>
      <c r="C10" s="46" t="s">
        <v>2226</v>
      </c>
      <c r="D10" s="47">
        <f>'CLIN 0002 Base Period N-RW'!D10</f>
        <v>16000</v>
      </c>
      <c r="E10" s="33" t="s">
        <v>260</v>
      </c>
      <c r="F10" s="40"/>
      <c r="G10" s="40"/>
    </row>
    <row r="11" spans="1:10" ht="204.75" customHeight="1">
      <c r="A11" s="44" t="s">
        <v>2216</v>
      </c>
      <c r="B11" s="45" t="s">
        <v>2228</v>
      </c>
      <c r="C11" s="46" t="s">
        <v>2197</v>
      </c>
      <c r="D11" s="47">
        <f>'CLIN 0002 Base Period N-RW'!D11</f>
        <v>1600000</v>
      </c>
      <c r="E11" s="33" t="s">
        <v>206</v>
      </c>
      <c r="F11" s="40"/>
      <c r="G11" s="40"/>
    </row>
    <row r="12" spans="1:10" s="7" customFormat="1" ht="212.25" customHeight="1">
      <c r="A12" s="44" t="s">
        <v>828</v>
      </c>
      <c r="B12" s="45" t="s">
        <v>267</v>
      </c>
      <c r="C12" s="46" t="s">
        <v>2201</v>
      </c>
      <c r="D12" s="50">
        <v>2000000</v>
      </c>
      <c r="E12" s="33" t="s">
        <v>206</v>
      </c>
      <c r="F12" s="40"/>
      <c r="G12" s="40"/>
    </row>
    <row r="13" spans="1:10" s="7" customFormat="1" ht="144.75" customHeight="1">
      <c r="A13" s="44" t="s">
        <v>829</v>
      </c>
      <c r="B13" s="45" t="s">
        <v>269</v>
      </c>
      <c r="C13" s="46" t="s">
        <v>753</v>
      </c>
      <c r="D13" s="51">
        <v>115</v>
      </c>
      <c r="E13" s="52" t="s">
        <v>38</v>
      </c>
      <c r="F13" s="40"/>
      <c r="G13" s="40"/>
    </row>
    <row r="14" spans="1:10" ht="149.25" customHeight="1">
      <c r="A14" s="44" t="s">
        <v>830</v>
      </c>
      <c r="B14" s="45" t="s">
        <v>271</v>
      </c>
      <c r="C14" s="46" t="s">
        <v>754</v>
      </c>
      <c r="D14" s="51">
        <v>130</v>
      </c>
      <c r="E14" s="52" t="s">
        <v>38</v>
      </c>
      <c r="F14" s="40"/>
      <c r="G14" s="40"/>
    </row>
    <row r="15" spans="1:10" s="12" customFormat="1" ht="148.5" customHeight="1">
      <c r="A15" s="44" t="s">
        <v>831</v>
      </c>
      <c r="B15" s="45" t="s">
        <v>273</v>
      </c>
      <c r="C15" s="46" t="s">
        <v>756</v>
      </c>
      <c r="D15" s="51">
        <v>95</v>
      </c>
      <c r="E15" s="52" t="s">
        <v>38</v>
      </c>
      <c r="F15" s="40"/>
      <c r="G15" s="40"/>
    </row>
    <row r="16" spans="1:10" s="60" customFormat="1" ht="149.25" customHeight="1">
      <c r="A16" s="44" t="s">
        <v>832</v>
      </c>
      <c r="B16" s="48" t="s">
        <v>737</v>
      </c>
      <c r="C16" s="49" t="s">
        <v>757</v>
      </c>
      <c r="D16" s="51">
        <v>50</v>
      </c>
      <c r="E16" s="52" t="s">
        <v>38</v>
      </c>
      <c r="F16" s="40"/>
      <c r="G16" s="40"/>
    </row>
    <row r="17" spans="1:7" s="60" customFormat="1" ht="151.5" customHeight="1">
      <c r="A17" s="44" t="s">
        <v>833</v>
      </c>
      <c r="B17" s="48" t="s">
        <v>750</v>
      </c>
      <c r="C17" s="49" t="s">
        <v>758</v>
      </c>
      <c r="D17" s="51">
        <v>40</v>
      </c>
      <c r="E17" s="52" t="s">
        <v>38</v>
      </c>
      <c r="F17" s="40"/>
      <c r="G17" s="40"/>
    </row>
    <row r="18" spans="1:7" s="60" customFormat="1" ht="153.75" customHeight="1">
      <c r="A18" s="44" t="s">
        <v>834</v>
      </c>
      <c r="B18" s="48" t="s">
        <v>751</v>
      </c>
      <c r="C18" s="49" t="s">
        <v>759</v>
      </c>
      <c r="D18" s="51">
        <v>30</v>
      </c>
      <c r="E18" s="52" t="s">
        <v>38</v>
      </c>
      <c r="F18" s="40"/>
      <c r="G18" s="40"/>
    </row>
    <row r="19" spans="1:7" s="60" customFormat="1" ht="150" customHeight="1">
      <c r="A19" s="44" t="s">
        <v>835</v>
      </c>
      <c r="B19" s="48" t="s">
        <v>752</v>
      </c>
      <c r="C19" s="49" t="s">
        <v>760</v>
      </c>
      <c r="D19" s="51">
        <v>20</v>
      </c>
      <c r="E19" s="52" t="s">
        <v>38</v>
      </c>
      <c r="F19" s="40"/>
      <c r="G19" s="40"/>
    </row>
    <row r="20" spans="1:7" ht="114.75">
      <c r="A20" s="44" t="s">
        <v>836</v>
      </c>
      <c r="B20" s="56" t="s">
        <v>2638</v>
      </c>
      <c r="C20" s="45" t="s">
        <v>275</v>
      </c>
      <c r="D20" s="51">
        <v>20000</v>
      </c>
      <c r="E20" s="33" t="s">
        <v>276</v>
      </c>
      <c r="F20" s="40"/>
      <c r="G20" s="40"/>
    </row>
    <row r="21" spans="1:7" ht="127.5">
      <c r="A21" s="44" t="s">
        <v>837</v>
      </c>
      <c r="B21" s="56" t="s">
        <v>2637</v>
      </c>
      <c r="C21" s="45" t="s">
        <v>278</v>
      </c>
      <c r="D21" s="51">
        <v>30000</v>
      </c>
      <c r="E21" s="33" t="s">
        <v>276</v>
      </c>
      <c r="F21" s="40"/>
      <c r="G21" s="40"/>
    </row>
    <row r="22" spans="1:7" ht="76.5">
      <c r="A22" s="44" t="s">
        <v>838</v>
      </c>
      <c r="B22" s="56" t="s">
        <v>2636</v>
      </c>
      <c r="C22" s="45" t="s">
        <v>280</v>
      </c>
      <c r="D22" s="51">
        <v>18</v>
      </c>
      <c r="E22" s="33" t="s">
        <v>41</v>
      </c>
      <c r="F22" s="40"/>
      <c r="G22" s="40"/>
    </row>
    <row r="23" spans="1:7" ht="76.5">
      <c r="A23" s="44" t="s">
        <v>839</v>
      </c>
      <c r="B23" s="56" t="s">
        <v>2635</v>
      </c>
      <c r="C23" s="45" t="s">
        <v>282</v>
      </c>
      <c r="D23" s="51">
        <v>18</v>
      </c>
      <c r="E23" s="33" t="s">
        <v>41</v>
      </c>
      <c r="F23" s="40"/>
      <c r="G23" s="40"/>
    </row>
    <row r="24" spans="1:7" ht="91.5" customHeight="1">
      <c r="A24" s="44" t="s">
        <v>840</v>
      </c>
      <c r="B24" s="56" t="s">
        <v>2634</v>
      </c>
      <c r="C24" s="45" t="s">
        <v>284</v>
      </c>
      <c r="D24" s="51">
        <v>6</v>
      </c>
      <c r="E24" s="33" t="s">
        <v>38</v>
      </c>
      <c r="F24" s="40"/>
      <c r="G24" s="40"/>
    </row>
    <row r="25" spans="1:7" ht="127.5" customHeight="1">
      <c r="A25" s="44" t="s">
        <v>841</v>
      </c>
      <c r="B25" s="45" t="s">
        <v>2633</v>
      </c>
      <c r="C25" s="49" t="s">
        <v>286</v>
      </c>
      <c r="D25" s="51">
        <v>100</v>
      </c>
      <c r="E25" s="33" t="s">
        <v>287</v>
      </c>
      <c r="F25" s="40"/>
      <c r="G25" s="40"/>
    </row>
    <row r="26" spans="1:7" ht="127.5">
      <c r="A26" s="44" t="s">
        <v>842</v>
      </c>
      <c r="B26" s="45" t="s">
        <v>2629</v>
      </c>
      <c r="C26" s="49" t="s">
        <v>290</v>
      </c>
      <c r="D26" s="51">
        <v>5</v>
      </c>
      <c r="E26" s="33" t="s">
        <v>38</v>
      </c>
      <c r="F26" s="40"/>
      <c r="G26" s="40"/>
    </row>
    <row r="27" spans="1:7" ht="114.75">
      <c r="A27" s="44" t="s">
        <v>843</v>
      </c>
      <c r="B27" s="45" t="s">
        <v>2630</v>
      </c>
      <c r="C27" s="46" t="s">
        <v>292</v>
      </c>
      <c r="D27" s="51">
        <v>50</v>
      </c>
      <c r="E27" s="33" t="s">
        <v>38</v>
      </c>
      <c r="F27" s="40"/>
      <c r="G27" s="40"/>
    </row>
    <row r="28" spans="1:7" ht="102">
      <c r="A28" s="44" t="s">
        <v>844</v>
      </c>
      <c r="B28" s="45" t="s">
        <v>2631</v>
      </c>
      <c r="C28" s="46" t="s">
        <v>755</v>
      </c>
      <c r="D28" s="51">
        <v>30</v>
      </c>
      <c r="E28" s="33" t="s">
        <v>38</v>
      </c>
      <c r="F28" s="40"/>
      <c r="G28" s="40"/>
    </row>
    <row r="29" spans="1:7" ht="89.25">
      <c r="A29" s="44" t="s">
        <v>845</v>
      </c>
      <c r="B29" s="45" t="s">
        <v>2632</v>
      </c>
      <c r="C29" s="46" t="s">
        <v>732</v>
      </c>
      <c r="D29" s="51">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K10" sqref="K10:L14"/>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4"/>
      <c r="D1" s="114"/>
      <c r="E1" s="114"/>
      <c r="F1" s="114"/>
      <c r="G1" s="114"/>
      <c r="H1" s="114"/>
      <c r="M1" s="78"/>
      <c r="N1" s="79"/>
    </row>
    <row r="2" spans="1:14" ht="15">
      <c r="B2" s="113" t="s">
        <v>19</v>
      </c>
      <c r="C2" s="114"/>
      <c r="D2" s="114"/>
      <c r="E2" s="114"/>
      <c r="F2" s="114"/>
      <c r="G2" s="114"/>
      <c r="H2" s="114"/>
    </row>
    <row r="3" spans="1:14" ht="15">
      <c r="B3" s="113" t="s">
        <v>761</v>
      </c>
      <c r="C3" s="114"/>
      <c r="D3" s="114"/>
      <c r="E3" s="114"/>
      <c r="F3" s="114"/>
      <c r="G3" s="114"/>
      <c r="H3" s="114"/>
    </row>
    <row r="4" spans="1:14">
      <c r="B4" s="65"/>
      <c r="E4" s="10"/>
      <c r="F4" s="76"/>
      <c r="G4" s="76"/>
      <c r="H4" s="3"/>
    </row>
    <row r="5" spans="1:14">
      <c r="B5" s="65"/>
      <c r="E5" s="10"/>
      <c r="F5" s="76"/>
      <c r="G5" s="76"/>
      <c r="H5" s="3"/>
    </row>
    <row r="6" spans="1:14">
      <c r="B6" s="63" t="s">
        <v>2191</v>
      </c>
      <c r="C6" s="16"/>
      <c r="D6" s="16"/>
      <c r="E6" s="16"/>
      <c r="F6" s="9"/>
      <c r="G6" s="16"/>
      <c r="H6" s="16"/>
    </row>
    <row r="7" spans="1:14" ht="12.95" customHeight="1">
      <c r="B7" s="64" t="s">
        <v>20</v>
      </c>
      <c r="C7" s="15"/>
      <c r="D7" s="15"/>
      <c r="E7" s="14"/>
      <c r="F7" s="76"/>
      <c r="G7" s="14"/>
      <c r="H7" s="14"/>
    </row>
    <row r="8" spans="1:14" ht="13.5" thickBot="1">
      <c r="B8" s="19" t="s">
        <v>744</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745</v>
      </c>
      <c r="E10" s="33" t="s">
        <v>746</v>
      </c>
      <c r="F10" s="33">
        <v>1606000</v>
      </c>
      <c r="G10" s="33">
        <v>3.1</v>
      </c>
      <c r="H10" s="37" t="s">
        <v>8</v>
      </c>
      <c r="I10" s="33">
        <v>12</v>
      </c>
      <c r="J10" s="33" t="s">
        <v>41</v>
      </c>
      <c r="K10" s="34"/>
      <c r="L10" s="34"/>
    </row>
    <row r="11" spans="1:14" s="7" customFormat="1">
      <c r="A11" s="37" t="s">
        <v>51</v>
      </c>
      <c r="B11" s="32" t="s">
        <v>294</v>
      </c>
      <c r="C11" s="32" t="s">
        <v>53</v>
      </c>
      <c r="D11" s="33" t="s">
        <v>745</v>
      </c>
      <c r="E11" s="33" t="s">
        <v>747</v>
      </c>
      <c r="F11" s="33">
        <v>1606000</v>
      </c>
      <c r="G11" s="33" t="s">
        <v>116</v>
      </c>
      <c r="H11" s="37" t="s">
        <v>53</v>
      </c>
      <c r="I11" s="39">
        <v>80</v>
      </c>
      <c r="J11" s="33" t="s">
        <v>38</v>
      </c>
      <c r="K11" s="34"/>
      <c r="L11" s="34"/>
    </row>
    <row r="12" spans="1:14" s="7" customFormat="1">
      <c r="A12" s="37" t="s">
        <v>51</v>
      </c>
      <c r="B12" s="32" t="s">
        <v>294</v>
      </c>
      <c r="C12" s="32" t="s">
        <v>111</v>
      </c>
      <c r="D12" s="33" t="s">
        <v>745</v>
      </c>
      <c r="E12" s="33" t="s">
        <v>748</v>
      </c>
      <c r="F12" s="33">
        <v>1606000</v>
      </c>
      <c r="G12" s="33">
        <v>3.3</v>
      </c>
      <c r="H12" s="37" t="s">
        <v>295</v>
      </c>
      <c r="I12" s="33">
        <v>12</v>
      </c>
      <c r="J12" s="33" t="s">
        <v>41</v>
      </c>
      <c r="K12" s="34"/>
      <c r="L12" s="34"/>
    </row>
    <row r="13" spans="1:14" s="7" customFormat="1" ht="14.1" customHeight="1">
      <c r="A13" s="37" t="s">
        <v>108</v>
      </c>
      <c r="B13" s="32" t="s">
        <v>294</v>
      </c>
      <c r="C13" s="32" t="s">
        <v>111</v>
      </c>
      <c r="D13" s="33" t="s">
        <v>745</v>
      </c>
      <c r="E13" s="33" t="s">
        <v>749</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topLeftCell="A151" workbookViewId="0">
      <selection activeCell="I23" sqref="I23"/>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2183</v>
      </c>
      <c r="D4" s="16"/>
      <c r="E4" s="16"/>
      <c r="F4" s="69"/>
      <c r="G4" s="9"/>
      <c r="H4" s="69"/>
      <c r="I4" s="98"/>
    </row>
    <row r="5" spans="1:16" ht="12" customHeight="1">
      <c r="C5" s="14" t="s">
        <v>20</v>
      </c>
      <c r="D5" s="15"/>
      <c r="E5" s="15"/>
      <c r="F5" s="70"/>
      <c r="G5" s="85"/>
      <c r="H5" s="70"/>
      <c r="I5" s="99"/>
    </row>
    <row r="6" spans="1:16" ht="12" customHeight="1">
      <c r="C6" s="13" t="s">
        <v>2597</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1698</v>
      </c>
      <c r="F8" s="72" t="s">
        <v>1699</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1698</v>
      </c>
      <c r="F9" s="72" t="s">
        <v>1700</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1698</v>
      </c>
      <c r="F10" s="72" t="s">
        <v>1701</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1698</v>
      </c>
      <c r="F11" s="72" t="s">
        <v>1702</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1698</v>
      </c>
      <c r="F12" s="72" t="s">
        <v>1703</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1698</v>
      </c>
      <c r="F13" s="72" t="s">
        <v>1704</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1698</v>
      </c>
      <c r="F14" s="72" t="s">
        <v>1705</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1698</v>
      </c>
      <c r="F15" s="72" t="s">
        <v>1706</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1698</v>
      </c>
      <c r="F16" s="72" t="s">
        <v>1707</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1698</v>
      </c>
      <c r="F17" s="72" t="s">
        <v>1708</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1698</v>
      </c>
      <c r="F18" s="72" t="s">
        <v>1709</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1698</v>
      </c>
      <c r="F19" s="72" t="s">
        <v>1710</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1698</v>
      </c>
      <c r="F20" s="72" t="s">
        <v>1711</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1698</v>
      </c>
      <c r="F21" s="72" t="s">
        <v>1712</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1698</v>
      </c>
      <c r="F22" s="72" t="s">
        <v>1713</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1698</v>
      </c>
      <c r="F23" s="72" t="s">
        <v>1714</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1698</v>
      </c>
      <c r="F24" s="72" t="s">
        <v>1715</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1698</v>
      </c>
      <c r="F25" s="72" t="s">
        <v>1716</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1698</v>
      </c>
      <c r="F26" s="72" t="s">
        <v>1717</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1698</v>
      </c>
      <c r="F27" s="72" t="s">
        <v>1718</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1698</v>
      </c>
      <c r="F28" s="72" t="s">
        <v>1719</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1698</v>
      </c>
      <c r="F29" s="72" t="s">
        <v>1720</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1698</v>
      </c>
      <c r="F30" s="72" t="s">
        <v>1721</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1698</v>
      </c>
      <c r="F31" s="72" t="s">
        <v>1722</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1698</v>
      </c>
      <c r="F32" s="72" t="s">
        <v>1723</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1698</v>
      </c>
      <c r="F33" s="72" t="s">
        <v>1724</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1698</v>
      </c>
      <c r="F34" s="72" t="s">
        <v>1725</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1698</v>
      </c>
      <c r="F35" s="72" t="s">
        <v>1726</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1698</v>
      </c>
      <c r="F36" s="72" t="s">
        <v>1727</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1698</v>
      </c>
      <c r="F37" s="72" t="s">
        <v>1728</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1698</v>
      </c>
      <c r="F38" s="72" t="s">
        <v>1729</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1698</v>
      </c>
      <c r="F39" s="72" t="s">
        <v>1730</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1698</v>
      </c>
      <c r="F40" s="72" t="s">
        <v>2466</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1698</v>
      </c>
      <c r="F41" s="72" t="s">
        <v>1731</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1698</v>
      </c>
      <c r="F42" s="72" t="s">
        <v>1732</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1698</v>
      </c>
      <c r="F43" s="72" t="s">
        <v>1733</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1698</v>
      </c>
      <c r="F44" s="72" t="s">
        <v>1734</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1698</v>
      </c>
      <c r="F45" s="72" t="s">
        <v>1735</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1698</v>
      </c>
      <c r="F46" s="72" t="s">
        <v>1736</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1698</v>
      </c>
      <c r="F47" s="72" t="s">
        <v>1737</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1698</v>
      </c>
      <c r="F48" s="72" t="s">
        <v>1738</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1698</v>
      </c>
      <c r="F49" s="72" t="s">
        <v>1739</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1698</v>
      </c>
      <c r="F50" s="72" t="s">
        <v>1740</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1698</v>
      </c>
      <c r="F51" s="72" t="s">
        <v>1741</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1698</v>
      </c>
      <c r="F52" s="72" t="s">
        <v>1742</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1698</v>
      </c>
      <c r="F53" s="72" t="s">
        <v>1743</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1698</v>
      </c>
      <c r="F54" s="72" t="s">
        <v>1744</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1698</v>
      </c>
      <c r="F55" s="72" t="s">
        <v>1745</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1698</v>
      </c>
      <c r="F56" s="72" t="s">
        <v>1746</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1698</v>
      </c>
      <c r="F57" s="72" t="s">
        <v>1747</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1698</v>
      </c>
      <c r="F58" s="72" t="s">
        <v>1748</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1698</v>
      </c>
      <c r="F59" s="72" t="s">
        <v>1749</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1698</v>
      </c>
      <c r="F60" s="72" t="s">
        <v>1750</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1698</v>
      </c>
      <c r="F61" s="72" t="s">
        <v>1751</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1698</v>
      </c>
      <c r="F62" s="72" t="s">
        <v>1752</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1698</v>
      </c>
      <c r="F63" s="72" t="s">
        <v>1753</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1698</v>
      </c>
      <c r="F64" s="72" t="s">
        <v>1754</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1698</v>
      </c>
      <c r="F65" s="72" t="s">
        <v>1755</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1698</v>
      </c>
      <c r="F66" s="72" t="s">
        <v>1756</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1698</v>
      </c>
      <c r="F67" s="72" t="s">
        <v>1757</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1698</v>
      </c>
      <c r="F68" s="72" t="s">
        <v>1758</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1698</v>
      </c>
      <c r="F69" s="72" t="s">
        <v>1759</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1698</v>
      </c>
      <c r="F70" s="72" t="s">
        <v>1760</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1698</v>
      </c>
      <c r="F71" s="72" t="s">
        <v>1761</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1698</v>
      </c>
      <c r="F72" s="72" t="s">
        <v>1762</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1698</v>
      </c>
      <c r="F73" s="72" t="s">
        <v>1763</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1698</v>
      </c>
      <c r="F74" s="72" t="s">
        <v>1764</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1698</v>
      </c>
      <c r="F75" s="72" t="s">
        <v>1765</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1698</v>
      </c>
      <c r="F76" s="72" t="s">
        <v>1766</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1698</v>
      </c>
      <c r="F77" s="72" t="s">
        <v>2467</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1698</v>
      </c>
      <c r="F78" s="72" t="s">
        <v>1767</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1698</v>
      </c>
      <c r="F79" s="72" t="s">
        <v>1768</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1698</v>
      </c>
      <c r="F80" s="72" t="s">
        <v>1769</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1698</v>
      </c>
      <c r="F81" s="72" t="s">
        <v>1770</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1698</v>
      </c>
      <c r="F82" s="72" t="s">
        <v>1771</v>
      </c>
      <c r="G82" s="33">
        <v>1502000</v>
      </c>
      <c r="H82" s="72" t="s">
        <v>63</v>
      </c>
      <c r="I82" s="101" t="s">
        <v>64</v>
      </c>
      <c r="J82" s="72">
        <v>50</v>
      </c>
      <c r="K82" s="72" t="s">
        <v>38</v>
      </c>
      <c r="L82" s="90"/>
      <c r="M82" s="90"/>
    </row>
    <row r="83" spans="1:13" s="7" customFormat="1" ht="12" customHeight="1">
      <c r="A83" s="37" t="s">
        <v>317</v>
      </c>
      <c r="B83" s="31" t="s">
        <v>2232</v>
      </c>
      <c r="C83" s="31" t="s">
        <v>52</v>
      </c>
      <c r="D83" s="32" t="s">
        <v>54</v>
      </c>
      <c r="E83" s="33" t="s">
        <v>1698</v>
      </c>
      <c r="F83" s="72" t="s">
        <v>1772</v>
      </c>
      <c r="G83" s="33">
        <v>1502000</v>
      </c>
      <c r="H83" s="72" t="s">
        <v>65</v>
      </c>
      <c r="I83" s="101" t="s">
        <v>66</v>
      </c>
      <c r="J83" s="72">
        <v>10</v>
      </c>
      <c r="K83" s="72" t="s">
        <v>38</v>
      </c>
      <c r="L83" s="90"/>
      <c r="M83" s="90"/>
    </row>
    <row r="84" spans="1:13" s="7" customFormat="1" ht="12" customHeight="1">
      <c r="A84" s="37" t="s">
        <v>317</v>
      </c>
      <c r="B84" s="31" t="s">
        <v>2232</v>
      </c>
      <c r="C84" s="31" t="s">
        <v>52</v>
      </c>
      <c r="D84" s="32" t="s">
        <v>54</v>
      </c>
      <c r="E84" s="33" t="s">
        <v>1698</v>
      </c>
      <c r="F84" s="72" t="s">
        <v>2468</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1698</v>
      </c>
      <c r="F85" s="72" t="s">
        <v>2469</v>
      </c>
      <c r="G85" s="33">
        <v>1502000</v>
      </c>
      <c r="H85" s="33" t="s">
        <v>81</v>
      </c>
      <c r="I85" s="101" t="s">
        <v>82</v>
      </c>
      <c r="J85" s="92">
        <v>12</v>
      </c>
      <c r="K85" s="72" t="s">
        <v>41</v>
      </c>
      <c r="L85" s="90"/>
      <c r="M85" s="90"/>
    </row>
    <row r="86" spans="1:13" s="7" customFormat="1" ht="12" customHeight="1">
      <c r="A86" s="31" t="s">
        <v>160</v>
      </c>
      <c r="B86" s="31" t="s">
        <v>160</v>
      </c>
      <c r="C86" s="32" t="s">
        <v>120</v>
      </c>
      <c r="D86" s="32" t="s">
        <v>10</v>
      </c>
      <c r="E86" s="33" t="s">
        <v>1773</v>
      </c>
      <c r="F86" s="72" t="s">
        <v>1774</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1773</v>
      </c>
      <c r="F87" s="72" t="s">
        <v>1775</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1773</v>
      </c>
      <c r="F88" s="72" t="s">
        <v>1776</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1777</v>
      </c>
      <c r="F89" s="72" t="s">
        <v>1778</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1777</v>
      </c>
      <c r="F90" s="72" t="s">
        <v>1779</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1777</v>
      </c>
      <c r="F91" s="72" t="s">
        <v>1780</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1777</v>
      </c>
      <c r="F92" s="72" t="s">
        <v>2470</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1777</v>
      </c>
      <c r="F93" s="72" t="s">
        <v>1781</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1777</v>
      </c>
      <c r="F94" s="72" t="s">
        <v>1782</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1777</v>
      </c>
      <c r="F95" s="72" t="s">
        <v>1783</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1777</v>
      </c>
      <c r="F96" s="72" t="s">
        <v>1784</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1777</v>
      </c>
      <c r="F97" s="72" t="s">
        <v>1785</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1777</v>
      </c>
      <c r="F98" s="72" t="s">
        <v>1786</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1777</v>
      </c>
      <c r="F99" s="72" t="s">
        <v>1787</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1777</v>
      </c>
      <c r="F100" s="72" t="s">
        <v>1788</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1777</v>
      </c>
      <c r="F101" s="72" t="s">
        <v>1789</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1777</v>
      </c>
      <c r="F102" s="72" t="s">
        <v>1790</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1777</v>
      </c>
      <c r="F103" s="72" t="s">
        <v>1791</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1777</v>
      </c>
      <c r="F104" s="72" t="s">
        <v>1792</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1777</v>
      </c>
      <c r="F105" s="72" t="s">
        <v>1793</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1777</v>
      </c>
      <c r="F106" s="72" t="s">
        <v>1794</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1777</v>
      </c>
      <c r="F107" s="72" t="s">
        <v>1795</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1777</v>
      </c>
      <c r="F108" s="72" t="s">
        <v>1796</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1777</v>
      </c>
      <c r="F109" s="72" t="s">
        <v>1797</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1777</v>
      </c>
      <c r="F110" s="72" t="s">
        <v>1798</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1777</v>
      </c>
      <c r="F111" s="72" t="s">
        <v>1799</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1777</v>
      </c>
      <c r="F112" s="72" t="s">
        <v>1800</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1777</v>
      </c>
      <c r="F113" s="72" t="s">
        <v>1801</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1777</v>
      </c>
      <c r="F114" s="72" t="s">
        <v>1802</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1777</v>
      </c>
      <c r="F115" s="72" t="s">
        <v>1803</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1777</v>
      </c>
      <c r="F116" s="72" t="s">
        <v>1804</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1777</v>
      </c>
      <c r="F117" s="72" t="s">
        <v>1805</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1777</v>
      </c>
      <c r="F118" s="72" t="s">
        <v>1806</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1777</v>
      </c>
      <c r="F119" s="72" t="s">
        <v>1807</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1777</v>
      </c>
      <c r="F120" s="72" t="s">
        <v>1808</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1777</v>
      </c>
      <c r="F121" s="72" t="s">
        <v>1809</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1777</v>
      </c>
      <c r="F122" s="72" t="s">
        <v>1810</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1777</v>
      </c>
      <c r="F123" s="72" t="s">
        <v>1811</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1777</v>
      </c>
      <c r="F124" s="72" t="s">
        <v>1812</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1777</v>
      </c>
      <c r="F125" s="72" t="s">
        <v>1813</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1777</v>
      </c>
      <c r="F126" s="72" t="s">
        <v>1814</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1777</v>
      </c>
      <c r="F127" s="72" t="s">
        <v>1815</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1777</v>
      </c>
      <c r="F128" s="72" t="s">
        <v>1816</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1777</v>
      </c>
      <c r="F129" s="72" t="s">
        <v>1817</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1777</v>
      </c>
      <c r="F130" s="72" t="s">
        <v>1818</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1777</v>
      </c>
      <c r="F131" s="72" t="s">
        <v>1819</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1777</v>
      </c>
      <c r="F132" s="72" t="s">
        <v>1820</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1777</v>
      </c>
      <c r="F133" s="72" t="s">
        <v>1821</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1777</v>
      </c>
      <c r="F134" s="72" t="s">
        <v>1822</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1777</v>
      </c>
      <c r="F135" s="72" t="s">
        <v>1823</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1777</v>
      </c>
      <c r="F136" s="72" t="s">
        <v>1824</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1825</v>
      </c>
      <c r="F137" s="72" t="s">
        <v>1826</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2471</v>
      </c>
      <c r="F138" s="72" t="s">
        <v>2472</v>
      </c>
      <c r="G138" s="33">
        <v>1502000</v>
      </c>
      <c r="H138" s="72">
        <v>3.1</v>
      </c>
      <c r="I138" s="101" t="s">
        <v>591</v>
      </c>
      <c r="J138" s="72">
        <v>50</v>
      </c>
      <c r="K138" s="72" t="s">
        <v>41</v>
      </c>
      <c r="L138" s="90"/>
      <c r="M138" s="90"/>
    </row>
    <row r="139" spans="1:13" s="7" customFormat="1" ht="12" customHeight="1">
      <c r="A139" s="31" t="s">
        <v>227</v>
      </c>
      <c r="B139" s="31" t="s">
        <v>227</v>
      </c>
      <c r="C139" s="31" t="s">
        <v>52</v>
      </c>
      <c r="D139" s="31" t="s">
        <v>1</v>
      </c>
      <c r="E139" s="33" t="s">
        <v>2471</v>
      </c>
      <c r="F139" s="72" t="s">
        <v>2473</v>
      </c>
      <c r="G139" s="33">
        <v>1502000</v>
      </c>
      <c r="H139" s="72">
        <v>3.2</v>
      </c>
      <c r="I139" s="101" t="s">
        <v>601</v>
      </c>
      <c r="J139" s="72">
        <v>10</v>
      </c>
      <c r="K139" s="72" t="s">
        <v>41</v>
      </c>
      <c r="L139" s="90"/>
      <c r="M139" s="90"/>
    </row>
    <row r="140" spans="1:13" s="7" customFormat="1" ht="12" customHeight="1">
      <c r="A140" s="31" t="s">
        <v>227</v>
      </c>
      <c r="B140" s="31" t="s">
        <v>227</v>
      </c>
      <c r="C140" s="32" t="s">
        <v>120</v>
      </c>
      <c r="D140" s="32" t="s">
        <v>10</v>
      </c>
      <c r="E140" s="33" t="s">
        <v>2471</v>
      </c>
      <c r="F140" s="72" t="s">
        <v>2474</v>
      </c>
      <c r="G140" s="33">
        <v>1700000</v>
      </c>
      <c r="H140" s="33" t="s">
        <v>128</v>
      </c>
      <c r="I140" s="103" t="s">
        <v>129</v>
      </c>
      <c r="J140" s="72">
        <v>12</v>
      </c>
      <c r="K140" s="72" t="s">
        <v>41</v>
      </c>
      <c r="L140" s="90"/>
      <c r="M140" s="90"/>
    </row>
    <row r="141" spans="1:13" s="7" customFormat="1" ht="12" customHeight="1">
      <c r="A141" s="31" t="s">
        <v>227</v>
      </c>
      <c r="B141" s="31" t="s">
        <v>227</v>
      </c>
      <c r="C141" s="32" t="s">
        <v>120</v>
      </c>
      <c r="D141" s="32" t="s">
        <v>10</v>
      </c>
      <c r="E141" s="33" t="s">
        <v>2471</v>
      </c>
      <c r="F141" s="72" t="s">
        <v>2475</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2476</v>
      </c>
      <c r="F142" s="72" t="s">
        <v>2477</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2476</v>
      </c>
      <c r="F143" s="72" t="s">
        <v>2478</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2476</v>
      </c>
      <c r="F144" s="72" t="s">
        <v>2479</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2476</v>
      </c>
      <c r="F145" s="72" t="s">
        <v>2480</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2476</v>
      </c>
      <c r="F146" s="72" t="s">
        <v>2481</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2476</v>
      </c>
      <c r="F147" s="72" t="s">
        <v>2482</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2476</v>
      </c>
      <c r="F148" s="72" t="s">
        <v>2483</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2476</v>
      </c>
      <c r="F149" s="72" t="s">
        <v>2484</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2476</v>
      </c>
      <c r="F150" s="72" t="s">
        <v>2485</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2476</v>
      </c>
      <c r="F151" s="72" t="s">
        <v>2486</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2476</v>
      </c>
      <c r="F152" s="72" t="s">
        <v>2487</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1827</v>
      </c>
      <c r="F153" s="72" t="s">
        <v>1828</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1827</v>
      </c>
      <c r="F154" s="72" t="s">
        <v>1829</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2488</v>
      </c>
      <c r="F155" s="72" t="s">
        <v>2489</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2488</v>
      </c>
      <c r="F156" s="72" t="s">
        <v>2490</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2488</v>
      </c>
      <c r="F157" s="72" t="s">
        <v>2491</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2488</v>
      </c>
      <c r="F158" s="72" t="s">
        <v>2492</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2488</v>
      </c>
      <c r="F159" s="72" t="s">
        <v>2493</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2488</v>
      </c>
      <c r="F160" s="72" t="s">
        <v>2494</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2488</v>
      </c>
      <c r="F161" s="72" t="s">
        <v>2495</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2488</v>
      </c>
      <c r="F162" s="72" t="s">
        <v>2496</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2488</v>
      </c>
      <c r="F163" s="72" t="s">
        <v>2497</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2488</v>
      </c>
      <c r="F164" s="72" t="s">
        <v>2498</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2488</v>
      </c>
      <c r="F165" s="72" t="s">
        <v>2499</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2488</v>
      </c>
      <c r="F166" s="72" t="s">
        <v>2500</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1830</v>
      </c>
      <c r="F167" s="72" t="s">
        <v>1831</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1830</v>
      </c>
      <c r="F168" s="72" t="s">
        <v>1832</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1830</v>
      </c>
      <c r="F169" s="72" t="s">
        <v>1857</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1830</v>
      </c>
      <c r="F170" s="72" t="s">
        <v>2501</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1833</v>
      </c>
      <c r="F171" s="72" t="s">
        <v>1834</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1833</v>
      </c>
      <c r="F172" s="72" t="s">
        <v>1835</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1836</v>
      </c>
      <c r="F173" s="72" t="s">
        <v>1837</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1836</v>
      </c>
      <c r="F174" s="72" t="s">
        <v>1838</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1836</v>
      </c>
      <c r="F175" s="72" t="s">
        <v>1839</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1836</v>
      </c>
      <c r="F176" s="72" t="s">
        <v>1840</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1836</v>
      </c>
      <c r="F177" s="72" t="s">
        <v>2502</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1836</v>
      </c>
      <c r="F178" s="72" t="s">
        <v>2503</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1836</v>
      </c>
      <c r="F179" s="72" t="s">
        <v>2504</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1841</v>
      </c>
      <c r="F180" s="72" t="s">
        <v>1842</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1841</v>
      </c>
      <c r="F181" s="72" t="s">
        <v>1843</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1841</v>
      </c>
      <c r="F182" s="72" t="s">
        <v>2505</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1841</v>
      </c>
      <c r="F183" s="72" t="s">
        <v>2506</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1844</v>
      </c>
      <c r="F184" s="72" t="s">
        <v>1845</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1844</v>
      </c>
      <c r="F185" s="72" t="s">
        <v>1846</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1844</v>
      </c>
      <c r="F186" s="72" t="s">
        <v>1847</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1844</v>
      </c>
      <c r="F187" s="72" t="s">
        <v>1848</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1849</v>
      </c>
      <c r="F188" s="72" t="s">
        <v>1850</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1849</v>
      </c>
      <c r="F189" s="72" t="s">
        <v>1851</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1849</v>
      </c>
      <c r="F190" s="72" t="s">
        <v>1852</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1849</v>
      </c>
      <c r="F191" s="72" t="s">
        <v>1853</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1849</v>
      </c>
      <c r="F192" s="72" t="s">
        <v>2507</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2"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767</v>
      </c>
      <c r="C5" s="16"/>
    </row>
    <row r="6" spans="1:10">
      <c r="A6" s="63"/>
      <c r="B6" s="63" t="s">
        <v>254</v>
      </c>
      <c r="C6" s="16"/>
    </row>
    <row r="7" spans="1:10" ht="14.45" customHeight="1">
      <c r="A7" s="19"/>
      <c r="B7" s="19" t="s">
        <v>2217</v>
      </c>
      <c r="C7" s="13"/>
    </row>
    <row r="8" spans="1:10" s="20" customFormat="1" ht="70.5" customHeight="1">
      <c r="A8" s="41" t="s">
        <v>24</v>
      </c>
      <c r="B8" s="41" t="s">
        <v>255</v>
      </c>
      <c r="C8" s="41" t="s">
        <v>256</v>
      </c>
      <c r="D8" s="42" t="s">
        <v>257</v>
      </c>
      <c r="E8" s="42" t="s">
        <v>29</v>
      </c>
      <c r="F8" s="42" t="s">
        <v>30</v>
      </c>
      <c r="G8" s="43" t="s">
        <v>31</v>
      </c>
    </row>
    <row r="9" spans="1:10" ht="282" customHeight="1">
      <c r="A9" s="44" t="s">
        <v>846</v>
      </c>
      <c r="B9" s="45" t="s">
        <v>259</v>
      </c>
      <c r="C9" s="46" t="s">
        <v>2626</v>
      </c>
      <c r="D9" s="47">
        <f>G10+G11</f>
        <v>0</v>
      </c>
      <c r="E9" s="33" t="s">
        <v>206</v>
      </c>
      <c r="F9" s="109">
        <v>1</v>
      </c>
      <c r="G9" s="40"/>
    </row>
    <row r="10" spans="1:10" ht="180" customHeight="1">
      <c r="A10" s="44" t="s">
        <v>2218</v>
      </c>
      <c r="B10" s="45" t="s">
        <v>2227</v>
      </c>
      <c r="C10" s="46" t="s">
        <v>2226</v>
      </c>
      <c r="D10" s="47">
        <f>'CLIN 0002 Base Period N-RW'!D10</f>
        <v>16000</v>
      </c>
      <c r="E10" s="33" t="s">
        <v>260</v>
      </c>
      <c r="F10" s="40"/>
      <c r="G10" s="40"/>
    </row>
    <row r="11" spans="1:10" ht="204.75" customHeight="1">
      <c r="A11" s="44" t="s">
        <v>2219</v>
      </c>
      <c r="B11" s="45" t="s">
        <v>2228</v>
      </c>
      <c r="C11" s="46" t="s">
        <v>2197</v>
      </c>
      <c r="D11" s="47">
        <f>'CLIN 0002 Base Period N-RW'!D11</f>
        <v>1600000</v>
      </c>
      <c r="E11" s="33" t="s">
        <v>206</v>
      </c>
      <c r="F11" s="40"/>
      <c r="G11" s="40"/>
    </row>
    <row r="12" spans="1:10" s="7" customFormat="1" ht="212.25" customHeight="1">
      <c r="A12" s="44" t="s">
        <v>847</v>
      </c>
      <c r="B12" s="45" t="s">
        <v>267</v>
      </c>
      <c r="C12" s="46" t="s">
        <v>2201</v>
      </c>
      <c r="D12" s="50">
        <v>2000000</v>
      </c>
      <c r="E12" s="33" t="s">
        <v>206</v>
      </c>
      <c r="F12" s="40"/>
      <c r="G12" s="40"/>
    </row>
    <row r="13" spans="1:10" s="7" customFormat="1" ht="144.75" customHeight="1">
      <c r="A13" s="44" t="s">
        <v>848</v>
      </c>
      <c r="B13" s="45" t="s">
        <v>269</v>
      </c>
      <c r="C13" s="46" t="s">
        <v>753</v>
      </c>
      <c r="D13" s="51">
        <v>115</v>
      </c>
      <c r="E13" s="52" t="s">
        <v>38</v>
      </c>
      <c r="F13" s="40"/>
      <c r="G13" s="40"/>
    </row>
    <row r="14" spans="1:10" ht="149.25" customHeight="1">
      <c r="A14" s="44" t="s">
        <v>849</v>
      </c>
      <c r="B14" s="45" t="s">
        <v>271</v>
      </c>
      <c r="C14" s="46" t="s">
        <v>754</v>
      </c>
      <c r="D14" s="51">
        <v>130</v>
      </c>
      <c r="E14" s="52" t="s">
        <v>38</v>
      </c>
      <c r="F14" s="40"/>
      <c r="G14" s="40"/>
    </row>
    <row r="15" spans="1:10" s="12" customFormat="1" ht="148.5" customHeight="1">
      <c r="A15" s="44" t="s">
        <v>850</v>
      </c>
      <c r="B15" s="45" t="s">
        <v>273</v>
      </c>
      <c r="C15" s="46" t="s">
        <v>756</v>
      </c>
      <c r="D15" s="51">
        <v>95</v>
      </c>
      <c r="E15" s="52" t="s">
        <v>38</v>
      </c>
      <c r="F15" s="40"/>
      <c r="G15" s="40"/>
    </row>
    <row r="16" spans="1:10" s="60" customFormat="1" ht="149.25" customHeight="1">
      <c r="A16" s="44" t="s">
        <v>851</v>
      </c>
      <c r="B16" s="48" t="s">
        <v>737</v>
      </c>
      <c r="C16" s="49" t="s">
        <v>757</v>
      </c>
      <c r="D16" s="51">
        <v>50</v>
      </c>
      <c r="E16" s="52" t="s">
        <v>38</v>
      </c>
      <c r="F16" s="40"/>
      <c r="G16" s="40"/>
    </row>
    <row r="17" spans="1:7" s="60" customFormat="1" ht="151.5" customHeight="1">
      <c r="A17" s="44" t="s">
        <v>852</v>
      </c>
      <c r="B17" s="48" t="s">
        <v>750</v>
      </c>
      <c r="C17" s="49" t="s">
        <v>758</v>
      </c>
      <c r="D17" s="51">
        <v>40</v>
      </c>
      <c r="E17" s="52" t="s">
        <v>38</v>
      </c>
      <c r="F17" s="40"/>
      <c r="G17" s="40"/>
    </row>
    <row r="18" spans="1:7" s="60" customFormat="1" ht="153.75" customHeight="1">
      <c r="A18" s="44" t="s">
        <v>853</v>
      </c>
      <c r="B18" s="48" t="s">
        <v>751</v>
      </c>
      <c r="C18" s="49" t="s">
        <v>759</v>
      </c>
      <c r="D18" s="51">
        <v>30</v>
      </c>
      <c r="E18" s="52" t="s">
        <v>38</v>
      </c>
      <c r="F18" s="40"/>
      <c r="G18" s="40"/>
    </row>
    <row r="19" spans="1:7" s="60" customFormat="1" ht="150" customHeight="1">
      <c r="A19" s="44" t="s">
        <v>854</v>
      </c>
      <c r="B19" s="48" t="s">
        <v>752</v>
      </c>
      <c r="C19" s="49" t="s">
        <v>760</v>
      </c>
      <c r="D19" s="51">
        <v>20</v>
      </c>
      <c r="E19" s="52" t="s">
        <v>38</v>
      </c>
      <c r="F19" s="40"/>
      <c r="G19" s="40"/>
    </row>
    <row r="20" spans="1:7" ht="114.75">
      <c r="A20" s="44" t="s">
        <v>855</v>
      </c>
      <c r="B20" s="56" t="s">
        <v>2638</v>
      </c>
      <c r="C20" s="45" t="s">
        <v>275</v>
      </c>
      <c r="D20" s="51">
        <v>20000</v>
      </c>
      <c r="E20" s="33" t="s">
        <v>276</v>
      </c>
      <c r="F20" s="40"/>
      <c r="G20" s="40"/>
    </row>
    <row r="21" spans="1:7" ht="127.5">
      <c r="A21" s="44" t="s">
        <v>856</v>
      </c>
      <c r="B21" s="56" t="s">
        <v>2637</v>
      </c>
      <c r="C21" s="45" t="s">
        <v>278</v>
      </c>
      <c r="D21" s="51">
        <v>30000</v>
      </c>
      <c r="E21" s="33" t="s">
        <v>276</v>
      </c>
      <c r="F21" s="40"/>
      <c r="G21" s="40"/>
    </row>
    <row r="22" spans="1:7" ht="76.5">
      <c r="A22" s="44" t="s">
        <v>857</v>
      </c>
      <c r="B22" s="56" t="s">
        <v>2636</v>
      </c>
      <c r="C22" s="45" t="s">
        <v>280</v>
      </c>
      <c r="D22" s="51">
        <v>18</v>
      </c>
      <c r="E22" s="33" t="s">
        <v>41</v>
      </c>
      <c r="F22" s="40"/>
      <c r="G22" s="40"/>
    </row>
    <row r="23" spans="1:7" ht="76.5">
      <c r="A23" s="44" t="s">
        <v>858</v>
      </c>
      <c r="B23" s="56" t="s">
        <v>2635</v>
      </c>
      <c r="C23" s="45" t="s">
        <v>282</v>
      </c>
      <c r="D23" s="51">
        <v>18</v>
      </c>
      <c r="E23" s="33" t="s">
        <v>41</v>
      </c>
      <c r="F23" s="40"/>
      <c r="G23" s="40"/>
    </row>
    <row r="24" spans="1:7" ht="91.5" customHeight="1">
      <c r="A24" s="44" t="s">
        <v>859</v>
      </c>
      <c r="B24" s="56" t="s">
        <v>2634</v>
      </c>
      <c r="C24" s="45" t="s">
        <v>284</v>
      </c>
      <c r="D24" s="51">
        <v>6</v>
      </c>
      <c r="E24" s="33" t="s">
        <v>38</v>
      </c>
      <c r="F24" s="40"/>
      <c r="G24" s="40"/>
    </row>
    <row r="25" spans="1:7" ht="127.5" customHeight="1">
      <c r="A25" s="44" t="s">
        <v>860</v>
      </c>
      <c r="B25" s="45" t="s">
        <v>2633</v>
      </c>
      <c r="C25" s="49" t="s">
        <v>286</v>
      </c>
      <c r="D25" s="51">
        <v>100</v>
      </c>
      <c r="E25" s="33" t="s">
        <v>287</v>
      </c>
      <c r="F25" s="40"/>
      <c r="G25" s="40"/>
    </row>
    <row r="26" spans="1:7" ht="127.5">
      <c r="A26" s="44" t="s">
        <v>861</v>
      </c>
      <c r="B26" s="45" t="s">
        <v>2629</v>
      </c>
      <c r="C26" s="49" t="s">
        <v>290</v>
      </c>
      <c r="D26" s="51">
        <v>5</v>
      </c>
      <c r="E26" s="33" t="s">
        <v>38</v>
      </c>
      <c r="F26" s="40"/>
      <c r="G26" s="40"/>
    </row>
    <row r="27" spans="1:7" ht="114.75">
      <c r="A27" s="44" t="s">
        <v>862</v>
      </c>
      <c r="B27" s="45" t="s">
        <v>2630</v>
      </c>
      <c r="C27" s="46" t="s">
        <v>292</v>
      </c>
      <c r="D27" s="51">
        <v>50</v>
      </c>
      <c r="E27" s="33" t="s">
        <v>38</v>
      </c>
      <c r="F27" s="40"/>
      <c r="G27" s="40"/>
    </row>
    <row r="28" spans="1:7" ht="102">
      <c r="A28" s="44" t="s">
        <v>863</v>
      </c>
      <c r="B28" s="45" t="s">
        <v>2631</v>
      </c>
      <c r="C28" s="46" t="s">
        <v>755</v>
      </c>
      <c r="D28" s="51">
        <v>30</v>
      </c>
      <c r="E28" s="33" t="s">
        <v>38</v>
      </c>
      <c r="F28" s="40"/>
      <c r="G28" s="40"/>
    </row>
    <row r="29" spans="1:7" ht="89.25">
      <c r="A29" s="44" t="s">
        <v>864</v>
      </c>
      <c r="B29" s="45" t="s">
        <v>2632</v>
      </c>
      <c r="C29" s="46" t="s">
        <v>732</v>
      </c>
      <c r="D29" s="51">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K10" sqref="K10:M15"/>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4"/>
      <c r="D1" s="114"/>
      <c r="E1" s="114"/>
      <c r="F1" s="114"/>
      <c r="G1" s="114"/>
      <c r="H1" s="114"/>
      <c r="M1" s="78"/>
      <c r="N1" s="79"/>
    </row>
    <row r="2" spans="1:14" ht="15">
      <c r="B2" s="113" t="s">
        <v>19</v>
      </c>
      <c r="C2" s="114"/>
      <c r="D2" s="114"/>
      <c r="E2" s="114"/>
      <c r="F2" s="114"/>
      <c r="G2" s="114"/>
      <c r="H2" s="114"/>
    </row>
    <row r="3" spans="1:14" ht="15">
      <c r="B3" s="113" t="s">
        <v>761</v>
      </c>
      <c r="C3" s="114"/>
      <c r="D3" s="114"/>
      <c r="E3" s="114"/>
      <c r="F3" s="114"/>
      <c r="G3" s="114"/>
      <c r="H3" s="114"/>
    </row>
    <row r="4" spans="1:14">
      <c r="B4" s="65"/>
      <c r="E4" s="10"/>
      <c r="F4" s="76"/>
      <c r="G4" s="76"/>
      <c r="H4" s="3"/>
    </row>
    <row r="5" spans="1:14">
      <c r="B5" s="65"/>
      <c r="E5" s="10"/>
      <c r="F5" s="76"/>
      <c r="G5" s="76"/>
      <c r="H5" s="3"/>
    </row>
    <row r="6" spans="1:14">
      <c r="B6" s="63" t="s">
        <v>2229</v>
      </c>
      <c r="C6" s="16"/>
      <c r="D6" s="16"/>
      <c r="E6" s="16"/>
      <c r="F6" s="9"/>
      <c r="G6" s="16"/>
      <c r="H6" s="16"/>
    </row>
    <row r="7" spans="1:14" ht="12.95" customHeight="1">
      <c r="B7" s="64" t="s">
        <v>20</v>
      </c>
      <c r="C7" s="15"/>
      <c r="D7" s="15"/>
      <c r="E7" s="14"/>
      <c r="F7" s="76"/>
      <c r="G7" s="14"/>
      <c r="H7" s="14"/>
    </row>
    <row r="8" spans="1:14" ht="13.5" thickBot="1">
      <c r="B8" s="19" t="s">
        <v>2611</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1854</v>
      </c>
      <c r="E10" s="33" t="s">
        <v>1855</v>
      </c>
      <c r="F10" s="33">
        <v>1606000</v>
      </c>
      <c r="G10" s="33">
        <v>3.1</v>
      </c>
      <c r="H10" s="37" t="s">
        <v>8</v>
      </c>
      <c r="I10" s="33">
        <v>12</v>
      </c>
      <c r="J10" s="33" t="s">
        <v>41</v>
      </c>
      <c r="K10" s="34"/>
      <c r="L10" s="34"/>
    </row>
    <row r="11" spans="1:14" s="7" customFormat="1">
      <c r="A11" s="37" t="s">
        <v>51</v>
      </c>
      <c r="B11" s="32" t="s">
        <v>294</v>
      </c>
      <c r="C11" s="32" t="s">
        <v>53</v>
      </c>
      <c r="D11" s="33" t="s">
        <v>1854</v>
      </c>
      <c r="E11" s="33" t="s">
        <v>1856</v>
      </c>
      <c r="F11" s="33">
        <v>1606000</v>
      </c>
      <c r="G11" s="33" t="s">
        <v>116</v>
      </c>
      <c r="H11" s="37" t="s">
        <v>53</v>
      </c>
      <c r="I11" s="39">
        <v>80</v>
      </c>
      <c r="J11" s="33" t="s">
        <v>38</v>
      </c>
      <c r="K11" s="34"/>
      <c r="L11" s="34"/>
    </row>
    <row r="12" spans="1:14" s="7" customFormat="1">
      <c r="A12" s="37" t="s">
        <v>51</v>
      </c>
      <c r="B12" s="32" t="s">
        <v>294</v>
      </c>
      <c r="C12" s="32" t="s">
        <v>111</v>
      </c>
      <c r="D12" s="33" t="s">
        <v>1854</v>
      </c>
      <c r="E12" s="33" t="s">
        <v>2612</v>
      </c>
      <c r="F12" s="33">
        <v>1606000</v>
      </c>
      <c r="G12" s="33">
        <v>3.3</v>
      </c>
      <c r="H12" s="37" t="s">
        <v>295</v>
      </c>
      <c r="I12" s="33">
        <v>12</v>
      </c>
      <c r="J12" s="33" t="s">
        <v>41</v>
      </c>
      <c r="K12" s="34"/>
      <c r="L12" s="34"/>
    </row>
    <row r="13" spans="1:14" s="7" customFormat="1" ht="14.1" customHeight="1">
      <c r="A13" s="37" t="s">
        <v>108</v>
      </c>
      <c r="B13" s="32" t="s">
        <v>294</v>
      </c>
      <c r="C13" s="32" t="s">
        <v>111</v>
      </c>
      <c r="D13" s="33" t="s">
        <v>1854</v>
      </c>
      <c r="E13" s="33" t="s">
        <v>2613</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topLeftCell="A34" workbookViewId="0">
      <selection activeCell="L58" sqref="L58"/>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2184</v>
      </c>
      <c r="D4" s="16"/>
      <c r="E4" s="16"/>
      <c r="F4" s="69"/>
      <c r="G4" s="9"/>
      <c r="H4" s="69"/>
      <c r="I4" s="98"/>
    </row>
    <row r="5" spans="1:16" ht="12" customHeight="1">
      <c r="C5" s="14" t="s">
        <v>20</v>
      </c>
      <c r="D5" s="15"/>
      <c r="E5" s="15"/>
      <c r="F5" s="70"/>
      <c r="G5" s="85"/>
      <c r="H5" s="70"/>
      <c r="I5" s="99"/>
    </row>
    <row r="6" spans="1:16" ht="12" customHeight="1">
      <c r="C6" s="13" t="s">
        <v>2598</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1858</v>
      </c>
      <c r="F8" s="72" t="s">
        <v>1859</v>
      </c>
      <c r="G8" s="38" t="s">
        <v>590</v>
      </c>
      <c r="H8" s="33">
        <v>3.1</v>
      </c>
      <c r="I8" s="101" t="s">
        <v>34</v>
      </c>
      <c r="J8" s="89">
        <v>20</v>
      </c>
      <c r="K8" s="89" t="s">
        <v>38</v>
      </c>
      <c r="L8" s="90"/>
      <c r="M8" s="90"/>
      <c r="O8" s="97"/>
    </row>
    <row r="9" spans="1:16" s="7" customFormat="1" ht="12" customHeight="1">
      <c r="A9" s="31" t="s">
        <v>317</v>
      </c>
      <c r="B9" s="31" t="s">
        <v>32</v>
      </c>
      <c r="C9" s="32" t="s">
        <v>33</v>
      </c>
      <c r="D9" s="31" t="s">
        <v>1</v>
      </c>
      <c r="E9" s="33" t="s">
        <v>1858</v>
      </c>
      <c r="F9" s="72" t="s">
        <v>1860</v>
      </c>
      <c r="G9" s="38" t="s">
        <v>590</v>
      </c>
      <c r="H9" s="33">
        <v>3.2</v>
      </c>
      <c r="I9" s="102" t="s">
        <v>40</v>
      </c>
      <c r="J9" s="72">
        <v>12</v>
      </c>
      <c r="K9" s="72" t="s">
        <v>41</v>
      </c>
      <c r="L9" s="90"/>
      <c r="M9" s="90"/>
      <c r="O9" s="97"/>
    </row>
    <row r="10" spans="1:16" s="7" customFormat="1" ht="12" customHeight="1">
      <c r="A10" s="37" t="s">
        <v>317</v>
      </c>
      <c r="B10" s="37" t="s">
        <v>42</v>
      </c>
      <c r="C10" s="32" t="s">
        <v>43</v>
      </c>
      <c r="D10" s="32" t="s">
        <v>1</v>
      </c>
      <c r="E10" s="33" t="s">
        <v>1858</v>
      </c>
      <c r="F10" s="72" t="s">
        <v>1861</v>
      </c>
      <c r="G10" s="33">
        <v>1501000</v>
      </c>
      <c r="H10" s="33">
        <v>3.1</v>
      </c>
      <c r="I10" s="101" t="s">
        <v>46</v>
      </c>
      <c r="J10" s="72">
        <v>12</v>
      </c>
      <c r="K10" s="72" t="s">
        <v>41</v>
      </c>
      <c r="L10" s="90"/>
      <c r="M10" s="90"/>
      <c r="O10" s="97"/>
    </row>
    <row r="11" spans="1:16" s="7" customFormat="1" ht="12" customHeight="1">
      <c r="A11" s="37" t="s">
        <v>317</v>
      </c>
      <c r="B11" s="37" t="s">
        <v>42</v>
      </c>
      <c r="C11" s="32" t="s">
        <v>43</v>
      </c>
      <c r="D11" s="32" t="s">
        <v>1</v>
      </c>
      <c r="E11" s="33" t="s">
        <v>1858</v>
      </c>
      <c r="F11" s="72" t="s">
        <v>1862</v>
      </c>
      <c r="G11" s="33">
        <v>1501000</v>
      </c>
      <c r="H11" s="33">
        <v>3.2</v>
      </c>
      <c r="I11" s="101" t="s">
        <v>48</v>
      </c>
      <c r="J11" s="72">
        <v>12</v>
      </c>
      <c r="K11" s="72" t="s">
        <v>41</v>
      </c>
      <c r="L11" s="90"/>
      <c r="M11" s="90"/>
      <c r="O11" s="97"/>
    </row>
    <row r="12" spans="1:16" s="7" customFormat="1" ht="12" customHeight="1">
      <c r="A12" s="37" t="s">
        <v>317</v>
      </c>
      <c r="B12" s="37" t="s">
        <v>42</v>
      </c>
      <c r="C12" s="32" t="s">
        <v>43</v>
      </c>
      <c r="D12" s="32" t="s">
        <v>1</v>
      </c>
      <c r="E12" s="33" t="s">
        <v>1858</v>
      </c>
      <c r="F12" s="72" t="s">
        <v>1863</v>
      </c>
      <c r="G12" s="33">
        <v>1501000</v>
      </c>
      <c r="H12" s="33">
        <v>3.3</v>
      </c>
      <c r="I12" s="101" t="s">
        <v>50</v>
      </c>
      <c r="J12" s="72">
        <v>12</v>
      </c>
      <c r="K12" s="72" t="s">
        <v>41</v>
      </c>
      <c r="L12" s="90"/>
      <c r="M12" s="90"/>
      <c r="O12" s="97"/>
    </row>
    <row r="13" spans="1:16" s="7" customFormat="1" ht="12" customHeight="1">
      <c r="A13" s="37" t="s">
        <v>317</v>
      </c>
      <c r="B13" s="37" t="s">
        <v>2231</v>
      </c>
      <c r="C13" s="32" t="s">
        <v>52</v>
      </c>
      <c r="D13" s="32" t="s">
        <v>53</v>
      </c>
      <c r="E13" s="33" t="s">
        <v>1858</v>
      </c>
      <c r="F13" s="72" t="s">
        <v>1864</v>
      </c>
      <c r="G13" s="33">
        <v>1502000</v>
      </c>
      <c r="H13" s="72">
        <v>3.1</v>
      </c>
      <c r="I13" s="101" t="s">
        <v>591</v>
      </c>
      <c r="J13" s="91">
        <v>3658</v>
      </c>
      <c r="K13" s="91" t="s">
        <v>38</v>
      </c>
      <c r="L13" s="90"/>
      <c r="M13" s="90"/>
      <c r="O13" s="97"/>
    </row>
    <row r="14" spans="1:16" s="7" customFormat="1" ht="12" customHeight="1">
      <c r="A14" s="37" t="s">
        <v>317</v>
      </c>
      <c r="B14" s="37" t="s">
        <v>2231</v>
      </c>
      <c r="C14" s="32" t="s">
        <v>52</v>
      </c>
      <c r="D14" s="32" t="s">
        <v>1</v>
      </c>
      <c r="E14" s="33" t="s">
        <v>1858</v>
      </c>
      <c r="F14" s="72" t="s">
        <v>1865</v>
      </c>
      <c r="G14" s="33">
        <v>1502000</v>
      </c>
      <c r="H14" s="72">
        <v>3.2</v>
      </c>
      <c r="I14" s="101" t="s">
        <v>601</v>
      </c>
      <c r="J14" s="92">
        <v>50</v>
      </c>
      <c r="K14" s="72" t="s">
        <v>38</v>
      </c>
      <c r="L14" s="90"/>
      <c r="M14" s="90"/>
      <c r="O14" s="97"/>
    </row>
    <row r="15" spans="1:16" s="7" customFormat="1" ht="12" customHeight="1">
      <c r="A15" s="37" t="s">
        <v>317</v>
      </c>
      <c r="B15" s="37" t="s">
        <v>2231</v>
      </c>
      <c r="C15" s="32" t="s">
        <v>52</v>
      </c>
      <c r="D15" s="32" t="s">
        <v>54</v>
      </c>
      <c r="E15" s="33" t="s">
        <v>1858</v>
      </c>
      <c r="F15" s="72" t="s">
        <v>1866</v>
      </c>
      <c r="G15" s="33">
        <v>1502000</v>
      </c>
      <c r="H15" s="72" t="s">
        <v>55</v>
      </c>
      <c r="I15" s="101" t="s">
        <v>56</v>
      </c>
      <c r="J15" s="72">
        <v>12</v>
      </c>
      <c r="K15" s="72" t="s">
        <v>41</v>
      </c>
      <c r="L15" s="90"/>
      <c r="M15" s="90"/>
      <c r="O15" s="97"/>
    </row>
    <row r="16" spans="1:16" s="7" customFormat="1" ht="12" customHeight="1">
      <c r="A16" s="37" t="s">
        <v>317</v>
      </c>
      <c r="B16" s="37" t="s">
        <v>2231</v>
      </c>
      <c r="C16" s="32" t="s">
        <v>52</v>
      </c>
      <c r="D16" s="32" t="s">
        <v>54</v>
      </c>
      <c r="E16" s="33" t="s">
        <v>1858</v>
      </c>
      <c r="F16" s="72" t="s">
        <v>1867</v>
      </c>
      <c r="G16" s="33">
        <v>1502000</v>
      </c>
      <c r="H16" s="72" t="s">
        <v>57</v>
      </c>
      <c r="I16" s="101" t="s">
        <v>58</v>
      </c>
      <c r="J16" s="72">
        <v>12</v>
      </c>
      <c r="K16" s="72" t="s">
        <v>41</v>
      </c>
      <c r="L16" s="90"/>
      <c r="M16" s="90"/>
      <c r="O16" s="97"/>
    </row>
    <row r="17" spans="1:15" s="7" customFormat="1" ht="12" customHeight="1">
      <c r="A17" s="37" t="s">
        <v>317</v>
      </c>
      <c r="B17" s="37" t="s">
        <v>2231</v>
      </c>
      <c r="C17" s="32" t="s">
        <v>52</v>
      </c>
      <c r="D17" s="32" t="s">
        <v>54</v>
      </c>
      <c r="E17" s="33" t="s">
        <v>1858</v>
      </c>
      <c r="F17" s="72" t="s">
        <v>1868</v>
      </c>
      <c r="G17" s="33">
        <v>1502000</v>
      </c>
      <c r="H17" s="72" t="s">
        <v>59</v>
      </c>
      <c r="I17" s="101" t="s">
        <v>60</v>
      </c>
      <c r="J17" s="72">
        <v>12</v>
      </c>
      <c r="K17" s="72" t="s">
        <v>41</v>
      </c>
      <c r="L17" s="90"/>
      <c r="M17" s="90"/>
      <c r="O17" s="97"/>
    </row>
    <row r="18" spans="1:15" s="7" customFormat="1" ht="12" customHeight="1">
      <c r="A18" s="37" t="s">
        <v>317</v>
      </c>
      <c r="B18" s="37" t="s">
        <v>2231</v>
      </c>
      <c r="C18" s="32" t="s">
        <v>52</v>
      </c>
      <c r="D18" s="32" t="s">
        <v>54</v>
      </c>
      <c r="E18" s="33" t="s">
        <v>1858</v>
      </c>
      <c r="F18" s="72" t="s">
        <v>1869</v>
      </c>
      <c r="G18" s="33">
        <v>1502000</v>
      </c>
      <c r="H18" s="72" t="s">
        <v>61</v>
      </c>
      <c r="I18" s="101" t="s">
        <v>62</v>
      </c>
      <c r="J18" s="72">
        <v>12</v>
      </c>
      <c r="K18" s="72" t="s">
        <v>41</v>
      </c>
      <c r="L18" s="90"/>
      <c r="M18" s="90"/>
      <c r="O18" s="97"/>
    </row>
    <row r="19" spans="1:15" s="7" customFormat="1" ht="12" customHeight="1">
      <c r="A19" s="37" t="s">
        <v>317</v>
      </c>
      <c r="B19" s="37" t="s">
        <v>2231</v>
      </c>
      <c r="C19" s="32" t="s">
        <v>52</v>
      </c>
      <c r="D19" s="32" t="s">
        <v>54</v>
      </c>
      <c r="E19" s="33" t="s">
        <v>1858</v>
      </c>
      <c r="F19" s="72" t="s">
        <v>1870</v>
      </c>
      <c r="G19" s="33">
        <v>1502000</v>
      </c>
      <c r="H19" s="72" t="s">
        <v>63</v>
      </c>
      <c r="I19" s="101" t="s">
        <v>64</v>
      </c>
      <c r="J19" s="72">
        <v>12</v>
      </c>
      <c r="K19" s="72" t="s">
        <v>41</v>
      </c>
      <c r="L19" s="90"/>
      <c r="M19" s="90"/>
      <c r="O19" s="97"/>
    </row>
    <row r="20" spans="1:15" s="7" customFormat="1" ht="12" customHeight="1">
      <c r="A20" s="37" t="s">
        <v>317</v>
      </c>
      <c r="B20" s="37" t="s">
        <v>2231</v>
      </c>
      <c r="C20" s="32" t="s">
        <v>52</v>
      </c>
      <c r="D20" s="32" t="s">
        <v>54</v>
      </c>
      <c r="E20" s="33" t="s">
        <v>1858</v>
      </c>
      <c r="F20" s="72" t="s">
        <v>1871</v>
      </c>
      <c r="G20" s="33">
        <v>1502000</v>
      </c>
      <c r="H20" s="72" t="s">
        <v>65</v>
      </c>
      <c r="I20" s="101" t="s">
        <v>66</v>
      </c>
      <c r="J20" s="72">
        <v>12</v>
      </c>
      <c r="K20" s="72" t="s">
        <v>41</v>
      </c>
      <c r="L20" s="90"/>
      <c r="M20" s="90"/>
      <c r="O20" s="97"/>
    </row>
    <row r="21" spans="1:15" s="7" customFormat="1" ht="12" customHeight="1">
      <c r="A21" s="37" t="s">
        <v>317</v>
      </c>
      <c r="B21" s="37" t="s">
        <v>2231</v>
      </c>
      <c r="C21" s="32" t="s">
        <v>52</v>
      </c>
      <c r="D21" s="32" t="s">
        <v>54</v>
      </c>
      <c r="E21" s="33" t="s">
        <v>1858</v>
      </c>
      <c r="F21" s="72" t="s">
        <v>1872</v>
      </c>
      <c r="G21" s="33">
        <v>1502000</v>
      </c>
      <c r="H21" s="72" t="s">
        <v>67</v>
      </c>
      <c r="I21" s="101" t="s">
        <v>68</v>
      </c>
      <c r="J21" s="72">
        <v>12</v>
      </c>
      <c r="K21" s="72" t="s">
        <v>41</v>
      </c>
      <c r="L21" s="90"/>
      <c r="M21" s="90"/>
      <c r="O21" s="97"/>
    </row>
    <row r="22" spans="1:15" s="7" customFormat="1" ht="12" customHeight="1">
      <c r="A22" s="37" t="s">
        <v>317</v>
      </c>
      <c r="B22" s="37" t="s">
        <v>2231</v>
      </c>
      <c r="C22" s="32" t="s">
        <v>52</v>
      </c>
      <c r="D22" s="32" t="s">
        <v>54</v>
      </c>
      <c r="E22" s="33" t="s">
        <v>1858</v>
      </c>
      <c r="F22" s="72" t="s">
        <v>1873</v>
      </c>
      <c r="G22" s="33">
        <v>1502000</v>
      </c>
      <c r="H22" s="72" t="s">
        <v>69</v>
      </c>
      <c r="I22" s="101" t="s">
        <v>70</v>
      </c>
      <c r="J22" s="72">
        <v>12</v>
      </c>
      <c r="K22" s="72" t="s">
        <v>41</v>
      </c>
      <c r="L22" s="90"/>
      <c r="M22" s="90"/>
      <c r="O22" s="97"/>
    </row>
    <row r="23" spans="1:15" s="7" customFormat="1" ht="12" customHeight="1">
      <c r="A23" s="37" t="s">
        <v>317</v>
      </c>
      <c r="B23" s="37" t="s">
        <v>2231</v>
      </c>
      <c r="C23" s="32" t="s">
        <v>52</v>
      </c>
      <c r="D23" s="32" t="s">
        <v>54</v>
      </c>
      <c r="E23" s="33" t="s">
        <v>1858</v>
      </c>
      <c r="F23" s="72" t="s">
        <v>1874</v>
      </c>
      <c r="G23" s="33">
        <v>1502000</v>
      </c>
      <c r="H23" s="72" t="s">
        <v>71</v>
      </c>
      <c r="I23" s="101" t="s">
        <v>72</v>
      </c>
      <c r="J23" s="72">
        <v>12</v>
      </c>
      <c r="K23" s="72" t="s">
        <v>41</v>
      </c>
      <c r="L23" s="90"/>
      <c r="M23" s="90"/>
      <c r="O23" s="97"/>
    </row>
    <row r="24" spans="1:15" s="29" customFormat="1" ht="12" customHeight="1">
      <c r="A24" s="37" t="s">
        <v>317</v>
      </c>
      <c r="B24" s="37" t="s">
        <v>2231</v>
      </c>
      <c r="C24" s="32" t="s">
        <v>52</v>
      </c>
      <c r="D24" s="32" t="s">
        <v>54</v>
      </c>
      <c r="E24" s="33" t="s">
        <v>1858</v>
      </c>
      <c r="F24" s="72" t="s">
        <v>1875</v>
      </c>
      <c r="G24" s="36">
        <v>1502000</v>
      </c>
      <c r="H24" s="72" t="s">
        <v>73</v>
      </c>
      <c r="I24" s="101" t="s">
        <v>74</v>
      </c>
      <c r="J24" s="72">
        <v>12</v>
      </c>
      <c r="K24" s="72" t="s">
        <v>41</v>
      </c>
      <c r="L24" s="90"/>
      <c r="M24" s="90"/>
      <c r="O24" s="97"/>
    </row>
    <row r="25" spans="1:15" s="7" customFormat="1" ht="12" customHeight="1">
      <c r="A25" s="37" t="s">
        <v>317</v>
      </c>
      <c r="B25" s="37" t="s">
        <v>2231</v>
      </c>
      <c r="C25" s="32" t="s">
        <v>52</v>
      </c>
      <c r="D25" s="32" t="s">
        <v>54</v>
      </c>
      <c r="E25" s="33" t="s">
        <v>1858</v>
      </c>
      <c r="F25" s="72" t="s">
        <v>1876</v>
      </c>
      <c r="G25" s="33">
        <v>1502000</v>
      </c>
      <c r="H25" s="72" t="s">
        <v>75</v>
      </c>
      <c r="I25" s="101" t="s">
        <v>2194</v>
      </c>
      <c r="J25" s="72">
        <v>12</v>
      </c>
      <c r="K25" s="72" t="s">
        <v>41</v>
      </c>
      <c r="L25" s="90"/>
      <c r="M25" s="90"/>
      <c r="O25" s="97"/>
    </row>
    <row r="26" spans="1:15" s="7" customFormat="1" ht="13.5" customHeight="1">
      <c r="A26" s="37" t="s">
        <v>317</v>
      </c>
      <c r="B26" s="37" t="s">
        <v>2231</v>
      </c>
      <c r="C26" s="32" t="s">
        <v>52</v>
      </c>
      <c r="D26" s="32" t="s">
        <v>54</v>
      </c>
      <c r="E26" s="33" t="s">
        <v>1858</v>
      </c>
      <c r="F26" s="72" t="s">
        <v>1877</v>
      </c>
      <c r="G26" s="33">
        <v>1502000</v>
      </c>
      <c r="H26" s="72" t="s">
        <v>76</v>
      </c>
      <c r="I26" s="101" t="s">
        <v>77</v>
      </c>
      <c r="J26" s="72">
        <v>12</v>
      </c>
      <c r="K26" s="72" t="s">
        <v>41</v>
      </c>
      <c r="L26" s="90"/>
      <c r="M26" s="90"/>
      <c r="O26" s="97"/>
    </row>
    <row r="27" spans="1:15" s="7" customFormat="1" ht="12" customHeight="1">
      <c r="A27" s="37" t="s">
        <v>317</v>
      </c>
      <c r="B27" s="37" t="s">
        <v>2231</v>
      </c>
      <c r="C27" s="32" t="s">
        <v>52</v>
      </c>
      <c r="D27" s="32" t="s">
        <v>54</v>
      </c>
      <c r="E27" s="33" t="s">
        <v>1858</v>
      </c>
      <c r="F27" s="72" t="s">
        <v>1878</v>
      </c>
      <c r="G27" s="33">
        <v>1502000</v>
      </c>
      <c r="H27" s="72" t="s">
        <v>78</v>
      </c>
      <c r="I27" s="101" t="s">
        <v>79</v>
      </c>
      <c r="J27" s="72">
        <v>12</v>
      </c>
      <c r="K27" s="72" t="s">
        <v>41</v>
      </c>
      <c r="L27" s="90"/>
      <c r="M27" s="90"/>
      <c r="O27" s="97"/>
    </row>
    <row r="28" spans="1:15" s="7" customFormat="1" ht="12" customHeight="1">
      <c r="A28" s="37" t="s">
        <v>317</v>
      </c>
      <c r="B28" s="37" t="s">
        <v>2231</v>
      </c>
      <c r="C28" s="32" t="s">
        <v>52</v>
      </c>
      <c r="D28" s="32" t="s">
        <v>54</v>
      </c>
      <c r="E28" s="33" t="s">
        <v>1858</v>
      </c>
      <c r="F28" s="72" t="s">
        <v>1879</v>
      </c>
      <c r="G28" s="33">
        <v>1502000</v>
      </c>
      <c r="H28" s="72" t="s">
        <v>594</v>
      </c>
      <c r="I28" s="101" t="s">
        <v>595</v>
      </c>
      <c r="J28" s="72">
        <v>12</v>
      </c>
      <c r="K28" s="72" t="s">
        <v>41</v>
      </c>
      <c r="L28" s="90"/>
      <c r="M28" s="90"/>
      <c r="O28" s="97"/>
    </row>
    <row r="29" spans="1:15" s="7" customFormat="1" ht="12" customHeight="1">
      <c r="A29" s="37" t="s">
        <v>317</v>
      </c>
      <c r="B29" s="37" t="s">
        <v>2231</v>
      </c>
      <c r="C29" s="32" t="s">
        <v>52</v>
      </c>
      <c r="D29" s="32" t="s">
        <v>80</v>
      </c>
      <c r="E29" s="33" t="s">
        <v>1858</v>
      </c>
      <c r="F29" s="72" t="s">
        <v>1880</v>
      </c>
      <c r="G29" s="33">
        <v>1502000</v>
      </c>
      <c r="H29" s="72" t="s">
        <v>81</v>
      </c>
      <c r="I29" s="101" t="s">
        <v>82</v>
      </c>
      <c r="J29" s="72">
        <v>12</v>
      </c>
      <c r="K29" s="72" t="s">
        <v>41</v>
      </c>
      <c r="L29" s="90"/>
      <c r="M29" s="90"/>
      <c r="O29" s="97"/>
    </row>
    <row r="30" spans="1:15" s="7" customFormat="1" ht="12" customHeight="1">
      <c r="A30" s="37" t="s">
        <v>317</v>
      </c>
      <c r="B30" s="37" t="s">
        <v>2231</v>
      </c>
      <c r="C30" s="32" t="s">
        <v>52</v>
      </c>
      <c r="D30" s="32" t="s">
        <v>80</v>
      </c>
      <c r="E30" s="33" t="s">
        <v>1858</v>
      </c>
      <c r="F30" s="72" t="s">
        <v>1881</v>
      </c>
      <c r="G30" s="33">
        <v>1502000</v>
      </c>
      <c r="H30" s="72" t="s">
        <v>83</v>
      </c>
      <c r="I30" s="101" t="s">
        <v>84</v>
      </c>
      <c r="J30" s="72">
        <v>12</v>
      </c>
      <c r="K30" s="72" t="s">
        <v>41</v>
      </c>
      <c r="L30" s="90"/>
      <c r="M30" s="90"/>
      <c r="O30" s="97"/>
    </row>
    <row r="31" spans="1:15" s="7" customFormat="1" ht="12" customHeight="1">
      <c r="A31" s="37" t="s">
        <v>317</v>
      </c>
      <c r="B31" s="37" t="s">
        <v>2231</v>
      </c>
      <c r="C31" s="32" t="s">
        <v>52</v>
      </c>
      <c r="D31" s="32" t="s">
        <v>80</v>
      </c>
      <c r="E31" s="33" t="s">
        <v>1858</v>
      </c>
      <c r="F31" s="72" t="s">
        <v>1882</v>
      </c>
      <c r="G31" s="33">
        <v>1502000</v>
      </c>
      <c r="H31" s="72" t="s">
        <v>85</v>
      </c>
      <c r="I31" s="101" t="s">
        <v>86</v>
      </c>
      <c r="J31" s="72">
        <v>12</v>
      </c>
      <c r="K31" s="72" t="s">
        <v>41</v>
      </c>
      <c r="L31" s="90"/>
      <c r="M31" s="90"/>
      <c r="O31" s="97"/>
    </row>
    <row r="32" spans="1:15" s="7" customFormat="1" ht="12" customHeight="1">
      <c r="A32" s="37" t="s">
        <v>317</v>
      </c>
      <c r="B32" s="37" t="s">
        <v>2231</v>
      </c>
      <c r="C32" s="32" t="s">
        <v>52</v>
      </c>
      <c r="D32" s="32" t="s">
        <v>80</v>
      </c>
      <c r="E32" s="33" t="s">
        <v>1858</v>
      </c>
      <c r="F32" s="72" t="s">
        <v>1883</v>
      </c>
      <c r="G32" s="33">
        <v>1502000</v>
      </c>
      <c r="H32" s="72" t="s">
        <v>87</v>
      </c>
      <c r="I32" s="101" t="s">
        <v>77</v>
      </c>
      <c r="J32" s="72">
        <v>12</v>
      </c>
      <c r="K32" s="72" t="s">
        <v>41</v>
      </c>
      <c r="L32" s="90"/>
      <c r="M32" s="90"/>
      <c r="O32" s="97"/>
    </row>
    <row r="33" spans="1:15" s="7" customFormat="1" ht="12" customHeight="1">
      <c r="A33" s="37" t="s">
        <v>317</v>
      </c>
      <c r="B33" s="37" t="s">
        <v>2231</v>
      </c>
      <c r="C33" s="32" t="s">
        <v>52</v>
      </c>
      <c r="D33" s="32" t="s">
        <v>80</v>
      </c>
      <c r="E33" s="33" t="s">
        <v>1858</v>
      </c>
      <c r="F33" s="72" t="s">
        <v>1884</v>
      </c>
      <c r="G33" s="33">
        <v>1502000</v>
      </c>
      <c r="H33" s="72" t="s">
        <v>88</v>
      </c>
      <c r="I33" s="101" t="s">
        <v>79</v>
      </c>
      <c r="J33" s="72">
        <v>12</v>
      </c>
      <c r="K33" s="72" t="s">
        <v>41</v>
      </c>
      <c r="L33" s="90"/>
      <c r="M33" s="90"/>
      <c r="O33" s="97"/>
    </row>
    <row r="34" spans="1:15" s="7" customFormat="1" ht="12" customHeight="1">
      <c r="A34" s="37" t="s">
        <v>317</v>
      </c>
      <c r="B34" s="37" t="s">
        <v>2231</v>
      </c>
      <c r="C34" s="32" t="s">
        <v>52</v>
      </c>
      <c r="D34" s="32" t="s">
        <v>80</v>
      </c>
      <c r="E34" s="33" t="s">
        <v>1858</v>
      </c>
      <c r="F34" s="72" t="s">
        <v>1885</v>
      </c>
      <c r="G34" s="33">
        <v>1502000</v>
      </c>
      <c r="H34" s="72" t="s">
        <v>596</v>
      </c>
      <c r="I34" s="101" t="s">
        <v>595</v>
      </c>
      <c r="J34" s="72">
        <v>12</v>
      </c>
      <c r="K34" s="72" t="s">
        <v>41</v>
      </c>
      <c r="L34" s="90"/>
      <c r="M34" s="90"/>
    </row>
    <row r="35" spans="1:15" s="7" customFormat="1" ht="12" customHeight="1">
      <c r="A35" s="37" t="s">
        <v>317</v>
      </c>
      <c r="B35" s="37" t="s">
        <v>2231</v>
      </c>
      <c r="C35" s="32" t="s">
        <v>52</v>
      </c>
      <c r="D35" s="32" t="s">
        <v>89</v>
      </c>
      <c r="E35" s="33" t="s">
        <v>1858</v>
      </c>
      <c r="F35" s="72" t="s">
        <v>1886</v>
      </c>
      <c r="G35" s="33">
        <v>1502000</v>
      </c>
      <c r="H35" s="72" t="s">
        <v>2235</v>
      </c>
      <c r="I35" s="101" t="s">
        <v>2236</v>
      </c>
      <c r="J35" s="72">
        <v>12</v>
      </c>
      <c r="K35" s="72" t="s">
        <v>41</v>
      </c>
      <c r="L35" s="90"/>
      <c r="M35" s="90"/>
    </row>
    <row r="36" spans="1:15" s="7" customFormat="1" ht="12" customHeight="1">
      <c r="A36" s="37" t="s">
        <v>317</v>
      </c>
      <c r="B36" s="37" t="s">
        <v>2231</v>
      </c>
      <c r="C36" s="32" t="s">
        <v>52</v>
      </c>
      <c r="D36" s="32" t="s">
        <v>89</v>
      </c>
      <c r="E36" s="33" t="s">
        <v>1858</v>
      </c>
      <c r="F36" s="72" t="s">
        <v>1887</v>
      </c>
      <c r="G36" s="33">
        <v>1502000</v>
      </c>
      <c r="H36" s="72" t="s">
        <v>91</v>
      </c>
      <c r="I36" s="101" t="s">
        <v>92</v>
      </c>
      <c r="J36" s="72">
        <v>12</v>
      </c>
      <c r="K36" s="72" t="s">
        <v>41</v>
      </c>
      <c r="L36" s="90"/>
      <c r="M36" s="90"/>
    </row>
    <row r="37" spans="1:15" s="7" customFormat="1" ht="12" customHeight="1">
      <c r="A37" s="37" t="s">
        <v>317</v>
      </c>
      <c r="B37" s="37" t="s">
        <v>2231</v>
      </c>
      <c r="C37" s="32" t="s">
        <v>52</v>
      </c>
      <c r="D37" s="32" t="s">
        <v>89</v>
      </c>
      <c r="E37" s="33" t="s">
        <v>1858</v>
      </c>
      <c r="F37" s="72" t="s">
        <v>1888</v>
      </c>
      <c r="G37" s="33">
        <v>1502000</v>
      </c>
      <c r="H37" s="72" t="s">
        <v>93</v>
      </c>
      <c r="I37" s="101" t="s">
        <v>94</v>
      </c>
      <c r="J37" s="72">
        <v>12</v>
      </c>
      <c r="K37" s="72" t="s">
        <v>41</v>
      </c>
      <c r="L37" s="90"/>
      <c r="M37" s="90"/>
    </row>
    <row r="38" spans="1:15" s="21" customFormat="1" ht="12" customHeight="1">
      <c r="A38" s="37" t="s">
        <v>317</v>
      </c>
      <c r="B38" s="37" t="s">
        <v>2231</v>
      </c>
      <c r="C38" s="32" t="s">
        <v>52</v>
      </c>
      <c r="D38" s="32" t="s">
        <v>89</v>
      </c>
      <c r="E38" s="33" t="s">
        <v>1858</v>
      </c>
      <c r="F38" s="72" t="s">
        <v>1889</v>
      </c>
      <c r="G38" s="33">
        <v>1502000</v>
      </c>
      <c r="H38" s="72" t="s">
        <v>95</v>
      </c>
      <c r="I38" s="101" t="s">
        <v>96</v>
      </c>
      <c r="J38" s="72">
        <v>12</v>
      </c>
      <c r="K38" s="72" t="s">
        <v>41</v>
      </c>
      <c r="L38" s="90"/>
      <c r="M38" s="90"/>
    </row>
    <row r="39" spans="1:15" s="7" customFormat="1" ht="12" customHeight="1">
      <c r="A39" s="37" t="s">
        <v>317</v>
      </c>
      <c r="B39" s="37" t="s">
        <v>2231</v>
      </c>
      <c r="C39" s="32" t="s">
        <v>52</v>
      </c>
      <c r="D39" s="32" t="s">
        <v>89</v>
      </c>
      <c r="E39" s="33" t="s">
        <v>1858</v>
      </c>
      <c r="F39" s="72" t="s">
        <v>1890</v>
      </c>
      <c r="G39" s="33">
        <v>1502000</v>
      </c>
      <c r="H39" s="72" t="s">
        <v>97</v>
      </c>
      <c r="I39" s="101" t="s">
        <v>98</v>
      </c>
      <c r="J39" s="72">
        <v>12</v>
      </c>
      <c r="K39" s="72" t="s">
        <v>41</v>
      </c>
      <c r="L39" s="90"/>
      <c r="M39" s="90"/>
    </row>
    <row r="40" spans="1:15" s="7" customFormat="1" ht="12" customHeight="1">
      <c r="A40" s="37" t="s">
        <v>317</v>
      </c>
      <c r="B40" s="37" t="s">
        <v>2231</v>
      </c>
      <c r="C40" s="32" t="s">
        <v>52</v>
      </c>
      <c r="D40" s="32" t="s">
        <v>89</v>
      </c>
      <c r="E40" s="33" t="s">
        <v>1858</v>
      </c>
      <c r="F40" s="72" t="s">
        <v>2508</v>
      </c>
      <c r="G40" s="33">
        <v>1502000</v>
      </c>
      <c r="H40" s="72" t="s">
        <v>99</v>
      </c>
      <c r="I40" s="101" t="s">
        <v>100</v>
      </c>
      <c r="J40" s="72">
        <v>12</v>
      </c>
      <c r="K40" s="72" t="s">
        <v>41</v>
      </c>
      <c r="L40" s="90"/>
      <c r="M40" s="90"/>
    </row>
    <row r="41" spans="1:15" s="7" customFormat="1" ht="12" customHeight="1">
      <c r="A41" s="37" t="s">
        <v>317</v>
      </c>
      <c r="B41" s="37" t="s">
        <v>2231</v>
      </c>
      <c r="C41" s="32" t="s">
        <v>52</v>
      </c>
      <c r="D41" s="32" t="s">
        <v>89</v>
      </c>
      <c r="E41" s="33" t="s">
        <v>1858</v>
      </c>
      <c r="F41" s="72" t="s">
        <v>1891</v>
      </c>
      <c r="G41" s="33">
        <v>1502000</v>
      </c>
      <c r="H41" s="72" t="s">
        <v>101</v>
      </c>
      <c r="I41" s="101" t="s">
        <v>102</v>
      </c>
      <c r="J41" s="72">
        <v>12</v>
      </c>
      <c r="K41" s="72" t="s">
        <v>41</v>
      </c>
      <c r="L41" s="90"/>
      <c r="M41" s="90"/>
    </row>
    <row r="42" spans="1:15" s="7" customFormat="1" ht="12" customHeight="1">
      <c r="A42" s="37" t="s">
        <v>317</v>
      </c>
      <c r="B42" s="37" t="s">
        <v>2231</v>
      </c>
      <c r="C42" s="32" t="s">
        <v>52</v>
      </c>
      <c r="D42" s="32" t="s">
        <v>89</v>
      </c>
      <c r="E42" s="33" t="s">
        <v>1858</v>
      </c>
      <c r="F42" s="72" t="s">
        <v>1892</v>
      </c>
      <c r="G42" s="33">
        <v>1502000</v>
      </c>
      <c r="H42" s="72" t="s">
        <v>103</v>
      </c>
      <c r="I42" s="101" t="s">
        <v>104</v>
      </c>
      <c r="J42" s="72">
        <v>12</v>
      </c>
      <c r="K42" s="72" t="s">
        <v>41</v>
      </c>
      <c r="L42" s="90"/>
      <c r="M42" s="90"/>
    </row>
    <row r="43" spans="1:15" s="7" customFormat="1" ht="12" customHeight="1">
      <c r="A43" s="37" t="s">
        <v>317</v>
      </c>
      <c r="B43" s="37" t="s">
        <v>2231</v>
      </c>
      <c r="C43" s="32" t="s">
        <v>52</v>
      </c>
      <c r="D43" s="32" t="s">
        <v>105</v>
      </c>
      <c r="E43" s="33" t="s">
        <v>1858</v>
      </c>
      <c r="F43" s="72" t="s">
        <v>1893</v>
      </c>
      <c r="G43" s="33">
        <v>1503040</v>
      </c>
      <c r="H43" s="33">
        <v>3.1</v>
      </c>
      <c r="I43" s="101" t="s">
        <v>2</v>
      </c>
      <c r="J43" s="72">
        <v>12</v>
      </c>
      <c r="K43" s="72" t="s">
        <v>41</v>
      </c>
      <c r="L43" s="90"/>
      <c r="M43" s="90"/>
    </row>
    <row r="44" spans="1:15" s="7" customFormat="1" ht="12" customHeight="1">
      <c r="A44" s="37" t="s">
        <v>317</v>
      </c>
      <c r="B44" s="37" t="s">
        <v>2231</v>
      </c>
      <c r="C44" s="32" t="s">
        <v>52</v>
      </c>
      <c r="D44" s="32" t="s">
        <v>105</v>
      </c>
      <c r="E44" s="33" t="s">
        <v>1858</v>
      </c>
      <c r="F44" s="72" t="s">
        <v>1894</v>
      </c>
      <c r="G44" s="33">
        <v>1503040</v>
      </c>
      <c r="H44" s="33">
        <v>3.2</v>
      </c>
      <c r="I44" s="101" t="s">
        <v>106</v>
      </c>
      <c r="J44" s="72">
        <v>12</v>
      </c>
      <c r="K44" s="72" t="s">
        <v>41</v>
      </c>
      <c r="L44" s="90"/>
      <c r="M44" s="90"/>
    </row>
    <row r="45" spans="1:15" s="7" customFormat="1" ht="12" customHeight="1">
      <c r="A45" s="37" t="s">
        <v>317</v>
      </c>
      <c r="B45" s="37" t="s">
        <v>107</v>
      </c>
      <c r="C45" s="32" t="s">
        <v>52</v>
      </c>
      <c r="D45" s="32" t="s">
        <v>105</v>
      </c>
      <c r="E45" s="33" t="s">
        <v>1858</v>
      </c>
      <c r="F45" s="72" t="s">
        <v>1895</v>
      </c>
      <c r="G45" s="33">
        <v>1503040</v>
      </c>
      <c r="H45" s="33">
        <v>3.3</v>
      </c>
      <c r="I45" s="101" t="s">
        <v>328</v>
      </c>
      <c r="J45" s="72">
        <v>12</v>
      </c>
      <c r="K45" s="72" t="s">
        <v>41</v>
      </c>
      <c r="L45" s="90"/>
      <c r="M45" s="90"/>
    </row>
    <row r="46" spans="1:15" s="7" customFormat="1" ht="12" customHeight="1">
      <c r="A46" s="37" t="s">
        <v>317</v>
      </c>
      <c r="B46" s="37" t="s">
        <v>108</v>
      </c>
      <c r="C46" s="32" t="s">
        <v>109</v>
      </c>
      <c r="D46" s="32" t="s">
        <v>110</v>
      </c>
      <c r="E46" s="33" t="s">
        <v>1858</v>
      </c>
      <c r="F46" s="72" t="s">
        <v>1896</v>
      </c>
      <c r="G46" s="33">
        <v>1601000</v>
      </c>
      <c r="H46" s="33">
        <v>3.1</v>
      </c>
      <c r="I46" s="101" t="s">
        <v>110</v>
      </c>
      <c r="J46" s="72">
        <v>12</v>
      </c>
      <c r="K46" s="72" t="s">
        <v>41</v>
      </c>
      <c r="L46" s="90"/>
      <c r="M46" s="90"/>
    </row>
    <row r="47" spans="1:15" s="7" customFormat="1" ht="12" customHeight="1">
      <c r="A47" s="37" t="s">
        <v>317</v>
      </c>
      <c r="B47" s="37" t="s">
        <v>108</v>
      </c>
      <c r="C47" s="32" t="s">
        <v>109</v>
      </c>
      <c r="D47" s="32" t="s">
        <v>1</v>
      </c>
      <c r="E47" s="33" t="s">
        <v>1858</v>
      </c>
      <c r="F47" s="72" t="s">
        <v>1897</v>
      </c>
      <c r="G47" s="33">
        <v>1601000</v>
      </c>
      <c r="H47" s="33">
        <v>3.2</v>
      </c>
      <c r="I47" s="101" t="s">
        <v>7</v>
      </c>
      <c r="J47" s="72">
        <v>12</v>
      </c>
      <c r="K47" s="72" t="s">
        <v>41</v>
      </c>
      <c r="L47" s="90"/>
      <c r="M47" s="90"/>
    </row>
    <row r="48" spans="1:15" s="7" customFormat="1" ht="12" customHeight="1">
      <c r="A48" s="37" t="s">
        <v>317</v>
      </c>
      <c r="B48" s="37" t="s">
        <v>108</v>
      </c>
      <c r="C48" s="32" t="s">
        <v>109</v>
      </c>
      <c r="D48" s="32" t="s">
        <v>1</v>
      </c>
      <c r="E48" s="33" t="s">
        <v>1858</v>
      </c>
      <c r="F48" s="72" t="s">
        <v>1898</v>
      </c>
      <c r="G48" s="33">
        <v>1601000</v>
      </c>
      <c r="H48" s="33">
        <v>3.3</v>
      </c>
      <c r="I48" s="101" t="s">
        <v>112</v>
      </c>
      <c r="J48" s="72">
        <v>12</v>
      </c>
      <c r="K48" s="72" t="s">
        <v>41</v>
      </c>
      <c r="L48" s="90"/>
      <c r="M48" s="90"/>
    </row>
    <row r="49" spans="1:13" s="7" customFormat="1" ht="12" customHeight="1">
      <c r="A49" s="37" t="s">
        <v>317</v>
      </c>
      <c r="B49" s="37" t="s">
        <v>108</v>
      </c>
      <c r="C49" s="32" t="s">
        <v>109</v>
      </c>
      <c r="D49" s="32" t="s">
        <v>1</v>
      </c>
      <c r="E49" s="33" t="s">
        <v>1858</v>
      </c>
      <c r="F49" s="72" t="s">
        <v>1899</v>
      </c>
      <c r="G49" s="33">
        <v>1601000</v>
      </c>
      <c r="H49" s="33">
        <v>3.4</v>
      </c>
      <c r="I49" s="101" t="s">
        <v>46</v>
      </c>
      <c r="J49" s="72">
        <v>12</v>
      </c>
      <c r="K49" s="72" t="s">
        <v>41</v>
      </c>
      <c r="L49" s="90"/>
      <c r="M49" s="90"/>
    </row>
    <row r="50" spans="1:13" s="7" customFormat="1" ht="12" customHeight="1">
      <c r="A50" s="37" t="s">
        <v>317</v>
      </c>
      <c r="B50" s="37" t="s">
        <v>108</v>
      </c>
      <c r="C50" s="32" t="s">
        <v>113</v>
      </c>
      <c r="D50" s="32" t="s">
        <v>1</v>
      </c>
      <c r="E50" s="33" t="s">
        <v>1858</v>
      </c>
      <c r="F50" s="72" t="s">
        <v>1900</v>
      </c>
      <c r="G50" s="33">
        <v>1602000</v>
      </c>
      <c r="H50" s="33">
        <v>3.1</v>
      </c>
      <c r="I50" s="101" t="s">
        <v>114</v>
      </c>
      <c r="J50" s="72">
        <v>12</v>
      </c>
      <c r="K50" s="72" t="s">
        <v>41</v>
      </c>
      <c r="L50" s="90"/>
      <c r="M50" s="90"/>
    </row>
    <row r="51" spans="1:13" s="7" customFormat="1" ht="12" customHeight="1">
      <c r="A51" s="37" t="s">
        <v>317</v>
      </c>
      <c r="B51" s="37" t="s">
        <v>51</v>
      </c>
      <c r="C51" s="32" t="s">
        <v>113</v>
      </c>
      <c r="D51" s="32" t="s">
        <v>53</v>
      </c>
      <c r="E51" s="33" t="s">
        <v>1858</v>
      </c>
      <c r="F51" s="72" t="s">
        <v>1901</v>
      </c>
      <c r="G51" s="36">
        <v>1602000</v>
      </c>
      <c r="H51" s="33">
        <v>3.2</v>
      </c>
      <c r="I51" s="101" t="s">
        <v>591</v>
      </c>
      <c r="J51" s="72">
        <v>220</v>
      </c>
      <c r="K51" s="72" t="s">
        <v>38</v>
      </c>
      <c r="L51" s="90"/>
      <c r="M51" s="90"/>
    </row>
    <row r="52" spans="1:13" s="7" customFormat="1" ht="12" customHeight="1">
      <c r="A52" s="37" t="s">
        <v>317</v>
      </c>
      <c r="B52" s="37" t="s">
        <v>51</v>
      </c>
      <c r="C52" s="32" t="s">
        <v>113</v>
      </c>
      <c r="D52" s="32" t="s">
        <v>1</v>
      </c>
      <c r="E52" s="33" t="s">
        <v>1858</v>
      </c>
      <c r="F52" s="72" t="s">
        <v>1902</v>
      </c>
      <c r="G52" s="33">
        <v>1602000</v>
      </c>
      <c r="H52" s="33">
        <v>3.3</v>
      </c>
      <c r="I52" s="101" t="s">
        <v>106</v>
      </c>
      <c r="J52" s="72">
        <v>12</v>
      </c>
      <c r="K52" s="72" t="s">
        <v>41</v>
      </c>
      <c r="L52" s="90"/>
      <c r="M52" s="90"/>
    </row>
    <row r="53" spans="1:13" s="21" customFormat="1" ht="12" customHeight="1">
      <c r="A53" s="37" t="s">
        <v>317</v>
      </c>
      <c r="B53" s="37" t="s">
        <v>108</v>
      </c>
      <c r="C53" s="32" t="s">
        <v>113</v>
      </c>
      <c r="D53" s="32" t="s">
        <v>89</v>
      </c>
      <c r="E53" s="33" t="s">
        <v>1858</v>
      </c>
      <c r="F53" s="72" t="s">
        <v>1903</v>
      </c>
      <c r="G53" s="33">
        <v>1602000</v>
      </c>
      <c r="H53" s="33">
        <v>3.4</v>
      </c>
      <c r="I53" s="101" t="s">
        <v>117</v>
      </c>
      <c r="J53" s="72">
        <v>12</v>
      </c>
      <c r="K53" s="72" t="s">
        <v>41</v>
      </c>
      <c r="L53" s="90"/>
      <c r="M53" s="90"/>
    </row>
    <row r="54" spans="1:13" s="29" customFormat="1" ht="12" customHeight="1">
      <c r="A54" s="37" t="s">
        <v>317</v>
      </c>
      <c r="B54" s="37" t="s">
        <v>108</v>
      </c>
      <c r="C54" s="32" t="s">
        <v>113</v>
      </c>
      <c r="D54" s="32" t="s">
        <v>89</v>
      </c>
      <c r="E54" s="33" t="s">
        <v>1858</v>
      </c>
      <c r="F54" s="72" t="s">
        <v>1904</v>
      </c>
      <c r="G54" s="36">
        <v>1602000</v>
      </c>
      <c r="H54" s="36">
        <v>3.5</v>
      </c>
      <c r="I54" s="101" t="s">
        <v>118</v>
      </c>
      <c r="J54" s="72">
        <v>12</v>
      </c>
      <c r="K54" s="72" t="s">
        <v>41</v>
      </c>
      <c r="L54" s="90"/>
      <c r="M54" s="90"/>
    </row>
    <row r="55" spans="1:13" s="7" customFormat="1" ht="12" customHeight="1">
      <c r="A55" s="37" t="s">
        <v>317</v>
      </c>
      <c r="B55" s="37" t="s">
        <v>119</v>
      </c>
      <c r="C55" s="32" t="s">
        <v>120</v>
      </c>
      <c r="D55" s="32" t="s">
        <v>3</v>
      </c>
      <c r="E55" s="33" t="s">
        <v>1858</v>
      </c>
      <c r="F55" s="72" t="s">
        <v>1905</v>
      </c>
      <c r="G55" s="33">
        <v>1700000</v>
      </c>
      <c r="H55" s="33" t="s">
        <v>37</v>
      </c>
      <c r="I55" s="101" t="s">
        <v>121</v>
      </c>
      <c r="J55" s="92">
        <v>12</v>
      </c>
      <c r="K55" s="72" t="s">
        <v>41</v>
      </c>
      <c r="L55" s="90"/>
      <c r="M55" s="90"/>
    </row>
    <row r="56" spans="1:13" s="7" customFormat="1" ht="12" customHeight="1">
      <c r="A56" s="37" t="s">
        <v>317</v>
      </c>
      <c r="B56" s="37" t="s">
        <v>119</v>
      </c>
      <c r="C56" s="32" t="s">
        <v>120</v>
      </c>
      <c r="D56" s="32" t="s">
        <v>3</v>
      </c>
      <c r="E56" s="33" t="s">
        <v>1858</v>
      </c>
      <c r="F56" s="72" t="s">
        <v>1906</v>
      </c>
      <c r="G56" s="33">
        <v>1700000</v>
      </c>
      <c r="H56" s="33" t="s">
        <v>39</v>
      </c>
      <c r="I56" s="101" t="s">
        <v>122</v>
      </c>
      <c r="J56" s="92">
        <v>12</v>
      </c>
      <c r="K56" s="72" t="s">
        <v>41</v>
      </c>
      <c r="L56" s="90"/>
      <c r="M56" s="90"/>
    </row>
    <row r="57" spans="1:13" s="7" customFormat="1" ht="12" customHeight="1">
      <c r="A57" s="37" t="s">
        <v>317</v>
      </c>
      <c r="B57" s="37" t="s">
        <v>119</v>
      </c>
      <c r="C57" s="32" t="s">
        <v>120</v>
      </c>
      <c r="D57" s="32" t="s">
        <v>9</v>
      </c>
      <c r="E57" s="33" t="s">
        <v>1858</v>
      </c>
      <c r="F57" s="72" t="s">
        <v>1907</v>
      </c>
      <c r="G57" s="33">
        <v>1700000</v>
      </c>
      <c r="H57" s="33" t="s">
        <v>115</v>
      </c>
      <c r="I57" s="101" t="s">
        <v>123</v>
      </c>
      <c r="J57" s="92">
        <v>12</v>
      </c>
      <c r="K57" s="72" t="s">
        <v>41</v>
      </c>
      <c r="L57" s="90"/>
      <c r="M57" s="90"/>
    </row>
    <row r="58" spans="1:13" s="7" customFormat="1" ht="12" customHeight="1">
      <c r="A58" s="37" t="s">
        <v>317</v>
      </c>
      <c r="B58" s="37" t="s">
        <v>119</v>
      </c>
      <c r="C58" s="32" t="s">
        <v>120</v>
      </c>
      <c r="D58" s="32" t="s">
        <v>9</v>
      </c>
      <c r="E58" s="33" t="s">
        <v>1858</v>
      </c>
      <c r="F58" s="72" t="s">
        <v>1908</v>
      </c>
      <c r="G58" s="33">
        <v>1700000</v>
      </c>
      <c r="H58" s="33" t="s">
        <v>116</v>
      </c>
      <c r="I58" s="101" t="s">
        <v>2195</v>
      </c>
      <c r="J58" s="92">
        <v>12</v>
      </c>
      <c r="K58" s="72" t="s">
        <v>41</v>
      </c>
      <c r="L58" s="90"/>
      <c r="M58" s="90"/>
    </row>
    <row r="59" spans="1:13" s="7" customFormat="1" ht="12" customHeight="1">
      <c r="A59" s="37" t="s">
        <v>317</v>
      </c>
      <c r="B59" s="37" t="s">
        <v>119</v>
      </c>
      <c r="C59" s="32" t="s">
        <v>120</v>
      </c>
      <c r="D59" s="32" t="s">
        <v>124</v>
      </c>
      <c r="E59" s="33" t="s">
        <v>1858</v>
      </c>
      <c r="F59" s="72" t="s">
        <v>1909</v>
      </c>
      <c r="G59" s="38">
        <v>1700000</v>
      </c>
      <c r="H59" s="33" t="s">
        <v>125</v>
      </c>
      <c r="I59" s="101" t="s">
        <v>126</v>
      </c>
      <c r="J59" s="92">
        <v>12</v>
      </c>
      <c r="K59" s="72" t="s">
        <v>41</v>
      </c>
      <c r="L59" s="90"/>
      <c r="M59" s="90"/>
    </row>
    <row r="60" spans="1:13" s="7" customFormat="1" ht="12" customHeight="1">
      <c r="A60" s="37" t="s">
        <v>317</v>
      </c>
      <c r="B60" s="37" t="s">
        <v>119</v>
      </c>
      <c r="C60" s="32" t="s">
        <v>120</v>
      </c>
      <c r="D60" s="32" t="s">
        <v>127</v>
      </c>
      <c r="E60" s="33" t="s">
        <v>1858</v>
      </c>
      <c r="F60" s="72" t="s">
        <v>1910</v>
      </c>
      <c r="G60" s="38">
        <v>1700000</v>
      </c>
      <c r="H60" s="33" t="s">
        <v>128</v>
      </c>
      <c r="I60" s="101" t="s">
        <v>129</v>
      </c>
      <c r="J60" s="92">
        <v>12</v>
      </c>
      <c r="K60" s="72" t="s">
        <v>41</v>
      </c>
      <c r="L60" s="90"/>
      <c r="M60" s="90"/>
    </row>
    <row r="61" spans="1:13" s="7" customFormat="1" ht="12" customHeight="1">
      <c r="A61" s="37" t="s">
        <v>317</v>
      </c>
      <c r="B61" s="37" t="s">
        <v>119</v>
      </c>
      <c r="C61" s="32" t="s">
        <v>120</v>
      </c>
      <c r="D61" s="32" t="s">
        <v>127</v>
      </c>
      <c r="E61" s="33" t="s">
        <v>1858</v>
      </c>
      <c r="F61" s="72" t="s">
        <v>1911</v>
      </c>
      <c r="G61" s="38">
        <v>1700000</v>
      </c>
      <c r="H61" s="33" t="s">
        <v>130</v>
      </c>
      <c r="I61" s="101" t="s">
        <v>131</v>
      </c>
      <c r="J61" s="92">
        <v>12</v>
      </c>
      <c r="K61" s="72" t="s">
        <v>41</v>
      </c>
      <c r="L61" s="90"/>
      <c r="M61" s="90"/>
    </row>
    <row r="62" spans="1:13" s="7" customFormat="1" ht="12" customHeight="1">
      <c r="A62" s="37" t="s">
        <v>317</v>
      </c>
      <c r="B62" s="37" t="s">
        <v>119</v>
      </c>
      <c r="C62" s="32" t="s">
        <v>120</v>
      </c>
      <c r="D62" s="32" t="s">
        <v>127</v>
      </c>
      <c r="E62" s="33" t="s">
        <v>1858</v>
      </c>
      <c r="F62" s="72" t="s">
        <v>1912</v>
      </c>
      <c r="G62" s="38" t="s">
        <v>132</v>
      </c>
      <c r="H62" s="33" t="s">
        <v>133</v>
      </c>
      <c r="I62" s="101" t="s">
        <v>134</v>
      </c>
      <c r="J62" s="92">
        <v>12</v>
      </c>
      <c r="K62" s="72" t="s">
        <v>41</v>
      </c>
      <c r="L62" s="90"/>
      <c r="M62" s="90"/>
    </row>
    <row r="63" spans="1:13" s="7" customFormat="1" ht="12" customHeight="1">
      <c r="A63" s="37" t="s">
        <v>317</v>
      </c>
      <c r="B63" s="37" t="s">
        <v>119</v>
      </c>
      <c r="C63" s="32" t="s">
        <v>120</v>
      </c>
      <c r="D63" s="32" t="s">
        <v>127</v>
      </c>
      <c r="E63" s="33" t="s">
        <v>1858</v>
      </c>
      <c r="F63" s="72" t="s">
        <v>1913</v>
      </c>
      <c r="G63" s="38">
        <v>1700000</v>
      </c>
      <c r="H63" s="33" t="s">
        <v>135</v>
      </c>
      <c r="I63" s="101" t="s">
        <v>136</v>
      </c>
      <c r="J63" s="92">
        <v>150</v>
      </c>
      <c r="K63" s="72" t="s">
        <v>38</v>
      </c>
      <c r="L63" s="90"/>
      <c r="M63" s="90"/>
    </row>
    <row r="64" spans="1:13" s="7" customFormat="1" ht="12" customHeight="1">
      <c r="A64" s="37" t="s">
        <v>317</v>
      </c>
      <c r="B64" s="37" t="s">
        <v>119</v>
      </c>
      <c r="C64" s="32" t="s">
        <v>120</v>
      </c>
      <c r="D64" s="32" t="s">
        <v>127</v>
      </c>
      <c r="E64" s="33" t="s">
        <v>1858</v>
      </c>
      <c r="F64" s="72" t="s">
        <v>1914</v>
      </c>
      <c r="G64" s="38">
        <v>1700000</v>
      </c>
      <c r="H64" s="33" t="s">
        <v>57</v>
      </c>
      <c r="I64" s="101" t="s">
        <v>137</v>
      </c>
      <c r="J64" s="92">
        <v>12</v>
      </c>
      <c r="K64" s="72" t="s">
        <v>41</v>
      </c>
      <c r="L64" s="90"/>
      <c r="M64" s="90"/>
    </row>
    <row r="65" spans="1:13" s="7" customFormat="1" ht="12" customHeight="1">
      <c r="A65" s="37" t="s">
        <v>317</v>
      </c>
      <c r="B65" s="37" t="s">
        <v>140</v>
      </c>
      <c r="C65" s="32" t="s">
        <v>138</v>
      </c>
      <c r="D65" s="32" t="s">
        <v>1</v>
      </c>
      <c r="E65" s="33" t="s">
        <v>1858</v>
      </c>
      <c r="F65" s="72" t="s">
        <v>1915</v>
      </c>
      <c r="G65" s="38" t="s">
        <v>139</v>
      </c>
      <c r="H65" s="33">
        <v>3.1</v>
      </c>
      <c r="I65" s="101" t="s">
        <v>11</v>
      </c>
      <c r="J65" s="92">
        <v>12</v>
      </c>
      <c r="K65" s="72" t="s">
        <v>41</v>
      </c>
      <c r="L65" s="90"/>
      <c r="M65" s="90"/>
    </row>
    <row r="66" spans="1:13" s="7" customFormat="1" ht="12" customHeight="1">
      <c r="A66" s="37" t="s">
        <v>317</v>
      </c>
      <c r="B66" s="37" t="s">
        <v>140</v>
      </c>
      <c r="C66" s="32" t="s">
        <v>138</v>
      </c>
      <c r="D66" s="32" t="s">
        <v>1</v>
      </c>
      <c r="E66" s="33" t="s">
        <v>1858</v>
      </c>
      <c r="F66" s="72" t="s">
        <v>1916</v>
      </c>
      <c r="G66" s="38" t="s">
        <v>139</v>
      </c>
      <c r="H66" s="33">
        <v>3.2</v>
      </c>
      <c r="I66" s="101" t="s">
        <v>12</v>
      </c>
      <c r="J66" s="92">
        <v>12</v>
      </c>
      <c r="K66" s="72" t="s">
        <v>41</v>
      </c>
      <c r="L66" s="90"/>
      <c r="M66" s="90"/>
    </row>
    <row r="67" spans="1:13" s="7" customFormat="1" ht="12" customHeight="1">
      <c r="A67" s="37" t="s">
        <v>317</v>
      </c>
      <c r="B67" s="37" t="s">
        <v>140</v>
      </c>
      <c r="C67" s="32" t="s">
        <v>138</v>
      </c>
      <c r="D67" s="32" t="s">
        <v>1</v>
      </c>
      <c r="E67" s="33" t="s">
        <v>1858</v>
      </c>
      <c r="F67" s="72" t="s">
        <v>1917</v>
      </c>
      <c r="G67" s="38" t="s">
        <v>139</v>
      </c>
      <c r="H67" s="33">
        <v>3.3</v>
      </c>
      <c r="I67" s="101" t="s">
        <v>13</v>
      </c>
      <c r="J67" s="92">
        <v>12</v>
      </c>
      <c r="K67" s="72" t="s">
        <v>41</v>
      </c>
      <c r="L67" s="90"/>
      <c r="M67" s="90"/>
    </row>
    <row r="68" spans="1:13" s="7" customFormat="1" ht="12" customHeight="1">
      <c r="A68" s="37" t="s">
        <v>317</v>
      </c>
      <c r="B68" s="31" t="s">
        <v>2230</v>
      </c>
      <c r="C68" s="32" t="s">
        <v>52</v>
      </c>
      <c r="D68" s="32" t="s">
        <v>53</v>
      </c>
      <c r="E68" s="33" t="s">
        <v>1858</v>
      </c>
      <c r="F68" s="72" t="s">
        <v>1918</v>
      </c>
      <c r="G68" s="33">
        <v>1502000</v>
      </c>
      <c r="H68" s="72">
        <v>3.1</v>
      </c>
      <c r="I68" s="101" t="s">
        <v>591</v>
      </c>
      <c r="J68" s="72">
        <v>1350</v>
      </c>
      <c r="K68" s="72" t="s">
        <v>38</v>
      </c>
      <c r="L68" s="90"/>
      <c r="M68" s="90"/>
    </row>
    <row r="69" spans="1:13" s="29" customFormat="1" ht="12" customHeight="1">
      <c r="A69" s="37" t="s">
        <v>317</v>
      </c>
      <c r="B69" s="31" t="s">
        <v>2230</v>
      </c>
      <c r="C69" s="32" t="s">
        <v>52</v>
      </c>
      <c r="D69" s="32" t="s">
        <v>54</v>
      </c>
      <c r="E69" s="33" t="s">
        <v>1858</v>
      </c>
      <c r="F69" s="72" t="s">
        <v>1919</v>
      </c>
      <c r="G69" s="33">
        <v>1502000</v>
      </c>
      <c r="H69" s="72" t="s">
        <v>59</v>
      </c>
      <c r="I69" s="101" t="s">
        <v>60</v>
      </c>
      <c r="J69" s="72">
        <v>12</v>
      </c>
      <c r="K69" s="72" t="s">
        <v>41</v>
      </c>
      <c r="L69" s="90"/>
      <c r="M69" s="90"/>
    </row>
    <row r="70" spans="1:13" s="7" customFormat="1" ht="12" customHeight="1">
      <c r="A70" s="37" t="s">
        <v>317</v>
      </c>
      <c r="B70" s="31" t="s">
        <v>2230</v>
      </c>
      <c r="C70" s="31" t="s">
        <v>52</v>
      </c>
      <c r="D70" s="32" t="s">
        <v>54</v>
      </c>
      <c r="E70" s="33" t="s">
        <v>1858</v>
      </c>
      <c r="F70" s="72" t="s">
        <v>1920</v>
      </c>
      <c r="G70" s="33">
        <v>1502000</v>
      </c>
      <c r="H70" s="72" t="s">
        <v>65</v>
      </c>
      <c r="I70" s="101" t="s">
        <v>66</v>
      </c>
      <c r="J70" s="72">
        <v>12</v>
      </c>
      <c r="K70" s="72" t="s">
        <v>41</v>
      </c>
      <c r="L70" s="90"/>
      <c r="M70" s="90"/>
    </row>
    <row r="71" spans="1:13" s="21" customFormat="1" ht="12" customHeight="1">
      <c r="A71" s="37" t="s">
        <v>317</v>
      </c>
      <c r="B71" s="31" t="s">
        <v>2230</v>
      </c>
      <c r="C71" s="32" t="s">
        <v>52</v>
      </c>
      <c r="D71" s="32" t="s">
        <v>54</v>
      </c>
      <c r="E71" s="33" t="s">
        <v>1858</v>
      </c>
      <c r="F71" s="72" t="s">
        <v>1921</v>
      </c>
      <c r="G71" s="33">
        <v>1502000</v>
      </c>
      <c r="H71" s="72" t="s">
        <v>71</v>
      </c>
      <c r="I71" s="101" t="s">
        <v>72</v>
      </c>
      <c r="J71" s="72">
        <v>12</v>
      </c>
      <c r="K71" s="72" t="s">
        <v>41</v>
      </c>
      <c r="L71" s="90"/>
      <c r="M71" s="90"/>
    </row>
    <row r="72" spans="1:13" s="7" customFormat="1" ht="12" customHeight="1">
      <c r="A72" s="37" t="s">
        <v>317</v>
      </c>
      <c r="B72" s="31" t="s">
        <v>2230</v>
      </c>
      <c r="C72" s="32" t="s">
        <v>52</v>
      </c>
      <c r="D72" s="32" t="s">
        <v>80</v>
      </c>
      <c r="E72" s="33" t="s">
        <v>1858</v>
      </c>
      <c r="F72" s="72" t="s">
        <v>1922</v>
      </c>
      <c r="G72" s="33">
        <v>1502000</v>
      </c>
      <c r="H72" s="72" t="s">
        <v>81</v>
      </c>
      <c r="I72" s="101" t="s">
        <v>82</v>
      </c>
      <c r="J72" s="72">
        <v>12</v>
      </c>
      <c r="K72" s="72" t="s">
        <v>41</v>
      </c>
      <c r="L72" s="90"/>
      <c r="M72" s="90"/>
    </row>
    <row r="73" spans="1:13" s="7" customFormat="1" ht="12" customHeight="1">
      <c r="A73" s="37" t="s">
        <v>317</v>
      </c>
      <c r="B73" s="31" t="s">
        <v>2230</v>
      </c>
      <c r="C73" s="32" t="s">
        <v>52</v>
      </c>
      <c r="D73" s="32" t="s">
        <v>80</v>
      </c>
      <c r="E73" s="33" t="s">
        <v>1858</v>
      </c>
      <c r="F73" s="72" t="s">
        <v>1923</v>
      </c>
      <c r="G73" s="33">
        <v>1502000</v>
      </c>
      <c r="H73" s="72" t="s">
        <v>83</v>
      </c>
      <c r="I73" s="101" t="s">
        <v>84</v>
      </c>
      <c r="J73" s="72">
        <v>12</v>
      </c>
      <c r="K73" s="72" t="s">
        <v>41</v>
      </c>
      <c r="L73" s="90"/>
      <c r="M73" s="90"/>
    </row>
    <row r="74" spans="1:13" s="29" customFormat="1" ht="12" customHeight="1">
      <c r="A74" s="37" t="s">
        <v>317</v>
      </c>
      <c r="B74" s="31" t="s">
        <v>2230</v>
      </c>
      <c r="C74" s="32" t="s">
        <v>52</v>
      </c>
      <c r="D74" s="32" t="s">
        <v>89</v>
      </c>
      <c r="E74" s="33" t="s">
        <v>1858</v>
      </c>
      <c r="F74" s="72" t="s">
        <v>1924</v>
      </c>
      <c r="G74" s="33">
        <v>1502000</v>
      </c>
      <c r="H74" s="72" t="s">
        <v>2235</v>
      </c>
      <c r="I74" s="101" t="s">
        <v>2236</v>
      </c>
      <c r="J74" s="72">
        <v>12</v>
      </c>
      <c r="K74" s="72" t="s">
        <v>41</v>
      </c>
      <c r="L74" s="90"/>
      <c r="M74" s="90"/>
    </row>
    <row r="75" spans="1:13" s="29" customFormat="1" ht="12" customHeight="1">
      <c r="A75" s="37" t="s">
        <v>317</v>
      </c>
      <c r="B75" s="31" t="s">
        <v>2230</v>
      </c>
      <c r="C75" s="32" t="s">
        <v>52</v>
      </c>
      <c r="D75" s="32" t="s">
        <v>89</v>
      </c>
      <c r="E75" s="33" t="s">
        <v>1858</v>
      </c>
      <c r="F75" s="72" t="s">
        <v>1925</v>
      </c>
      <c r="G75" s="33">
        <v>1502000</v>
      </c>
      <c r="H75" s="72" t="s">
        <v>91</v>
      </c>
      <c r="I75" s="101" t="s">
        <v>92</v>
      </c>
      <c r="J75" s="72">
        <v>12</v>
      </c>
      <c r="K75" s="72" t="s">
        <v>41</v>
      </c>
      <c r="L75" s="90"/>
      <c r="M75" s="90"/>
    </row>
    <row r="76" spans="1:13" s="21" customFormat="1" ht="12" customHeight="1">
      <c r="A76" s="37" t="s">
        <v>317</v>
      </c>
      <c r="B76" s="31" t="s">
        <v>2230</v>
      </c>
      <c r="C76" s="32" t="s">
        <v>52</v>
      </c>
      <c r="D76" s="32" t="s">
        <v>89</v>
      </c>
      <c r="E76" s="33" t="s">
        <v>1858</v>
      </c>
      <c r="F76" s="72" t="s">
        <v>1926</v>
      </c>
      <c r="G76" s="33">
        <v>1502000</v>
      </c>
      <c r="H76" s="72" t="s">
        <v>99</v>
      </c>
      <c r="I76" s="101" t="s">
        <v>100</v>
      </c>
      <c r="J76" s="72">
        <v>12</v>
      </c>
      <c r="K76" s="72" t="s">
        <v>41</v>
      </c>
      <c r="L76" s="90"/>
      <c r="M76" s="90"/>
    </row>
    <row r="77" spans="1:13" s="21" customFormat="1" ht="12" customHeight="1">
      <c r="A77" s="37" t="s">
        <v>317</v>
      </c>
      <c r="B77" s="31" t="s">
        <v>2230</v>
      </c>
      <c r="C77" s="32" t="s">
        <v>52</v>
      </c>
      <c r="D77" s="32" t="s">
        <v>89</v>
      </c>
      <c r="E77" s="33" t="s">
        <v>1858</v>
      </c>
      <c r="F77" s="72" t="s">
        <v>2509</v>
      </c>
      <c r="G77" s="33">
        <v>1502000</v>
      </c>
      <c r="H77" s="72" t="s">
        <v>101</v>
      </c>
      <c r="I77" s="101" t="s">
        <v>102</v>
      </c>
      <c r="J77" s="72">
        <v>12</v>
      </c>
      <c r="K77" s="72" t="s">
        <v>41</v>
      </c>
      <c r="L77" s="90"/>
      <c r="M77" s="90"/>
    </row>
    <row r="78" spans="1:13" s="7" customFormat="1" ht="12" customHeight="1">
      <c r="A78" s="37" t="s">
        <v>317</v>
      </c>
      <c r="B78" s="31" t="s">
        <v>2230</v>
      </c>
      <c r="C78" s="32" t="s">
        <v>52</v>
      </c>
      <c r="D78" s="32" t="s">
        <v>89</v>
      </c>
      <c r="E78" s="33" t="s">
        <v>1858</v>
      </c>
      <c r="F78" s="72" t="s">
        <v>1927</v>
      </c>
      <c r="G78" s="33">
        <v>1502000</v>
      </c>
      <c r="H78" s="72" t="s">
        <v>152</v>
      </c>
      <c r="I78" s="101" t="s">
        <v>153</v>
      </c>
      <c r="J78" s="72">
        <v>50</v>
      </c>
      <c r="K78" s="72" t="s">
        <v>38</v>
      </c>
      <c r="L78" s="90"/>
      <c r="M78" s="90"/>
    </row>
    <row r="79" spans="1:13" s="7" customFormat="1" ht="12" customHeight="1">
      <c r="A79" s="37" t="s">
        <v>317</v>
      </c>
      <c r="B79" s="31" t="s">
        <v>2230</v>
      </c>
      <c r="C79" s="32" t="s">
        <v>52</v>
      </c>
      <c r="D79" s="32" t="s">
        <v>89</v>
      </c>
      <c r="E79" s="33" t="s">
        <v>1858</v>
      </c>
      <c r="F79" s="72" t="s">
        <v>1928</v>
      </c>
      <c r="G79" s="33">
        <v>1502000</v>
      </c>
      <c r="H79" s="72" t="s">
        <v>155</v>
      </c>
      <c r="I79" s="101" t="s">
        <v>156</v>
      </c>
      <c r="J79" s="72">
        <v>12</v>
      </c>
      <c r="K79" s="72" t="s">
        <v>41</v>
      </c>
      <c r="L79" s="90"/>
      <c r="M79" s="90"/>
    </row>
    <row r="80" spans="1:13" s="7" customFormat="1" ht="12" customHeight="1">
      <c r="A80" s="37" t="s">
        <v>317</v>
      </c>
      <c r="B80" s="37" t="s">
        <v>323</v>
      </c>
      <c r="C80" s="31" t="s">
        <v>157</v>
      </c>
      <c r="D80" s="32" t="s">
        <v>54</v>
      </c>
      <c r="E80" s="33" t="s">
        <v>1858</v>
      </c>
      <c r="F80" s="72" t="s">
        <v>1929</v>
      </c>
      <c r="G80" s="33">
        <v>1502000</v>
      </c>
      <c r="H80" s="72" t="s">
        <v>71</v>
      </c>
      <c r="I80" s="101" t="s">
        <v>72</v>
      </c>
      <c r="J80" s="72">
        <v>12</v>
      </c>
      <c r="K80" s="72" t="s">
        <v>41</v>
      </c>
      <c r="L80" s="90"/>
      <c r="M80" s="90"/>
    </row>
    <row r="81" spans="1:13" s="7" customFormat="1" ht="12" customHeight="1">
      <c r="A81" s="37" t="s">
        <v>317</v>
      </c>
      <c r="B81" s="37" t="s">
        <v>323</v>
      </c>
      <c r="C81" s="31" t="s">
        <v>52</v>
      </c>
      <c r="D81" s="32" t="s">
        <v>54</v>
      </c>
      <c r="E81" s="33" t="s">
        <v>1858</v>
      </c>
      <c r="F81" s="72" t="s">
        <v>1930</v>
      </c>
      <c r="G81" s="33">
        <v>1502000</v>
      </c>
      <c r="H81" s="72" t="s">
        <v>65</v>
      </c>
      <c r="I81" s="101" t="s">
        <v>66</v>
      </c>
      <c r="J81" s="72">
        <v>12</v>
      </c>
      <c r="K81" s="72" t="s">
        <v>41</v>
      </c>
      <c r="L81" s="90"/>
      <c r="M81" s="90"/>
    </row>
    <row r="82" spans="1:13" s="7" customFormat="1" ht="12" customHeight="1">
      <c r="A82" s="37" t="s">
        <v>317</v>
      </c>
      <c r="B82" s="31" t="s">
        <v>2232</v>
      </c>
      <c r="C82" s="31" t="s">
        <v>52</v>
      </c>
      <c r="D82" s="32" t="s">
        <v>54</v>
      </c>
      <c r="E82" s="33" t="s">
        <v>1858</v>
      </c>
      <c r="F82" s="72" t="s">
        <v>1931</v>
      </c>
      <c r="G82" s="33">
        <v>1502000</v>
      </c>
      <c r="H82" s="72" t="s">
        <v>63</v>
      </c>
      <c r="I82" s="101" t="s">
        <v>64</v>
      </c>
      <c r="J82" s="72">
        <v>50</v>
      </c>
      <c r="K82" s="72" t="s">
        <v>38</v>
      </c>
      <c r="L82" s="90"/>
      <c r="M82" s="90"/>
    </row>
    <row r="83" spans="1:13" s="7" customFormat="1" ht="12" customHeight="1">
      <c r="A83" s="37" t="s">
        <v>317</v>
      </c>
      <c r="B83" s="31" t="s">
        <v>2232</v>
      </c>
      <c r="C83" s="31" t="s">
        <v>52</v>
      </c>
      <c r="D83" s="32" t="s">
        <v>54</v>
      </c>
      <c r="E83" s="33" t="s">
        <v>1858</v>
      </c>
      <c r="F83" s="72" t="s">
        <v>1932</v>
      </c>
      <c r="G83" s="33">
        <v>1502000</v>
      </c>
      <c r="H83" s="72" t="s">
        <v>65</v>
      </c>
      <c r="I83" s="101" t="s">
        <v>66</v>
      </c>
      <c r="J83" s="72">
        <v>10</v>
      </c>
      <c r="K83" s="72" t="s">
        <v>38</v>
      </c>
      <c r="L83" s="90"/>
      <c r="M83" s="90"/>
    </row>
    <row r="84" spans="1:13" s="7" customFormat="1" ht="12" customHeight="1">
      <c r="A84" s="37" t="s">
        <v>317</v>
      </c>
      <c r="B84" s="31" t="s">
        <v>2232</v>
      </c>
      <c r="C84" s="31" t="s">
        <v>52</v>
      </c>
      <c r="D84" s="32" t="s">
        <v>54</v>
      </c>
      <c r="E84" s="33" t="s">
        <v>1858</v>
      </c>
      <c r="F84" s="72" t="s">
        <v>2510</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1858</v>
      </c>
      <c r="F85" s="72" t="s">
        <v>2511</v>
      </c>
      <c r="G85" s="33">
        <v>1502000</v>
      </c>
      <c r="H85" s="33" t="s">
        <v>81</v>
      </c>
      <c r="I85" s="101" t="s">
        <v>82</v>
      </c>
      <c r="J85" s="92">
        <v>12</v>
      </c>
      <c r="K85" s="72" t="s">
        <v>41</v>
      </c>
      <c r="L85" s="90"/>
      <c r="M85" s="90"/>
    </row>
    <row r="86" spans="1:13" s="7" customFormat="1" ht="12" customHeight="1">
      <c r="A86" s="31" t="s">
        <v>160</v>
      </c>
      <c r="B86" s="31" t="s">
        <v>160</v>
      </c>
      <c r="C86" s="32" t="s">
        <v>120</v>
      </c>
      <c r="D86" s="32" t="s">
        <v>10</v>
      </c>
      <c r="E86" s="33" t="s">
        <v>1933</v>
      </c>
      <c r="F86" s="72" t="s">
        <v>1934</v>
      </c>
      <c r="G86" s="38">
        <v>1700000</v>
      </c>
      <c r="H86" s="33" t="s">
        <v>128</v>
      </c>
      <c r="I86" s="103" t="s">
        <v>129</v>
      </c>
      <c r="J86" s="92">
        <v>12</v>
      </c>
      <c r="K86" s="72" t="s">
        <v>41</v>
      </c>
      <c r="L86" s="90"/>
      <c r="M86" s="90"/>
    </row>
    <row r="87" spans="1:13" s="7" customFormat="1" ht="12" customHeight="1">
      <c r="A87" s="31" t="s">
        <v>160</v>
      </c>
      <c r="B87" s="31" t="s">
        <v>160</v>
      </c>
      <c r="C87" s="32" t="s">
        <v>120</v>
      </c>
      <c r="D87" s="32" t="s">
        <v>10</v>
      </c>
      <c r="E87" s="33" t="s">
        <v>1933</v>
      </c>
      <c r="F87" s="72" t="s">
        <v>1935</v>
      </c>
      <c r="G87" s="38">
        <v>1700000</v>
      </c>
      <c r="H87" s="33" t="s">
        <v>133</v>
      </c>
      <c r="I87" s="103" t="s">
        <v>134</v>
      </c>
      <c r="J87" s="92">
        <v>12</v>
      </c>
      <c r="K87" s="72" t="s">
        <v>41</v>
      </c>
      <c r="L87" s="90"/>
      <c r="M87" s="90"/>
    </row>
    <row r="88" spans="1:13" s="7" customFormat="1" ht="12" customHeight="1">
      <c r="A88" s="31" t="s">
        <v>160</v>
      </c>
      <c r="B88" s="31" t="s">
        <v>160</v>
      </c>
      <c r="C88" s="32" t="s">
        <v>138</v>
      </c>
      <c r="D88" s="32" t="s">
        <v>1</v>
      </c>
      <c r="E88" s="33" t="s">
        <v>1933</v>
      </c>
      <c r="F88" s="72" t="s">
        <v>1936</v>
      </c>
      <c r="G88" s="38" t="s">
        <v>139</v>
      </c>
      <c r="H88" s="33">
        <v>3.2</v>
      </c>
      <c r="I88" s="103" t="s">
        <v>12</v>
      </c>
      <c r="J88" s="92">
        <v>12</v>
      </c>
      <c r="K88" s="72" t="s">
        <v>41</v>
      </c>
      <c r="L88" s="90"/>
      <c r="M88" s="90"/>
    </row>
    <row r="89" spans="1:13" s="7" customFormat="1" ht="12" customHeight="1">
      <c r="A89" s="31" t="s">
        <v>165</v>
      </c>
      <c r="B89" s="31" t="s">
        <v>165</v>
      </c>
      <c r="C89" s="31" t="s">
        <v>43</v>
      </c>
      <c r="D89" s="75" t="s">
        <v>1</v>
      </c>
      <c r="E89" s="33" t="s">
        <v>1937</v>
      </c>
      <c r="F89" s="72" t="s">
        <v>1938</v>
      </c>
      <c r="G89" s="33" t="s">
        <v>168</v>
      </c>
      <c r="H89" s="33" t="s">
        <v>169</v>
      </c>
      <c r="I89" s="101" t="s">
        <v>170</v>
      </c>
      <c r="J89" s="72">
        <v>12</v>
      </c>
      <c r="K89" s="72" t="s">
        <v>41</v>
      </c>
      <c r="L89" s="90"/>
      <c r="M89" s="90"/>
    </row>
    <row r="90" spans="1:13" s="7" customFormat="1" ht="12" customHeight="1">
      <c r="A90" s="31" t="s">
        <v>165</v>
      </c>
      <c r="B90" s="31" t="s">
        <v>165</v>
      </c>
      <c r="C90" s="31" t="s">
        <v>171</v>
      </c>
      <c r="D90" s="32" t="s">
        <v>53</v>
      </c>
      <c r="E90" s="33" t="s">
        <v>1937</v>
      </c>
      <c r="F90" s="72" t="s">
        <v>1939</v>
      </c>
      <c r="G90" s="33" t="s">
        <v>172</v>
      </c>
      <c r="H90" s="33">
        <v>3.1</v>
      </c>
      <c r="I90" s="101" t="s">
        <v>591</v>
      </c>
      <c r="J90" s="72">
        <v>750</v>
      </c>
      <c r="K90" s="72" t="s">
        <v>38</v>
      </c>
      <c r="L90" s="90"/>
      <c r="M90" s="90"/>
    </row>
    <row r="91" spans="1:13" s="7" customFormat="1" ht="12" customHeight="1">
      <c r="A91" s="31" t="s">
        <v>165</v>
      </c>
      <c r="B91" s="31" t="s">
        <v>165</v>
      </c>
      <c r="C91" s="31" t="s">
        <v>171</v>
      </c>
      <c r="D91" s="31" t="s">
        <v>1</v>
      </c>
      <c r="E91" s="33" t="s">
        <v>1937</v>
      </c>
      <c r="F91" s="72" t="s">
        <v>1940</v>
      </c>
      <c r="G91" s="33" t="s">
        <v>172</v>
      </c>
      <c r="H91" s="33">
        <v>3.2</v>
      </c>
      <c r="I91" s="101" t="s">
        <v>736</v>
      </c>
      <c r="J91" s="72">
        <v>48</v>
      </c>
      <c r="K91" s="72" t="s">
        <v>38</v>
      </c>
      <c r="L91" s="90"/>
      <c r="M91" s="90"/>
    </row>
    <row r="92" spans="1:13" s="7" customFormat="1" ht="12" customHeight="1">
      <c r="A92" s="31" t="s">
        <v>165</v>
      </c>
      <c r="B92" s="31" t="s">
        <v>165</v>
      </c>
      <c r="C92" s="31" t="s">
        <v>171</v>
      </c>
      <c r="D92" s="32" t="s">
        <v>54</v>
      </c>
      <c r="E92" s="33" t="s">
        <v>1937</v>
      </c>
      <c r="F92" s="72" t="s">
        <v>2512</v>
      </c>
      <c r="G92" s="33" t="s">
        <v>172</v>
      </c>
      <c r="H92" s="33" t="s">
        <v>55</v>
      </c>
      <c r="I92" s="101" t="s">
        <v>58</v>
      </c>
      <c r="J92" s="72">
        <v>12</v>
      </c>
      <c r="K92" s="72" t="s">
        <v>41</v>
      </c>
      <c r="L92" s="90"/>
      <c r="M92" s="90"/>
    </row>
    <row r="93" spans="1:13" s="7" customFormat="1" ht="12" customHeight="1">
      <c r="A93" s="31" t="s">
        <v>165</v>
      </c>
      <c r="B93" s="31" t="s">
        <v>165</v>
      </c>
      <c r="C93" s="31" t="s">
        <v>171</v>
      </c>
      <c r="D93" s="32" t="s">
        <v>54</v>
      </c>
      <c r="E93" s="33" t="s">
        <v>1937</v>
      </c>
      <c r="F93" s="72" t="s">
        <v>1941</v>
      </c>
      <c r="G93" s="33" t="s">
        <v>172</v>
      </c>
      <c r="H93" s="33" t="s">
        <v>57</v>
      </c>
      <c r="I93" s="101" t="s">
        <v>176</v>
      </c>
      <c r="J93" s="72">
        <v>12</v>
      </c>
      <c r="K93" s="72" t="s">
        <v>41</v>
      </c>
      <c r="L93" s="90"/>
      <c r="M93" s="90"/>
    </row>
    <row r="94" spans="1:13" s="7" customFormat="1" ht="12" customHeight="1">
      <c r="A94" s="31" t="s">
        <v>165</v>
      </c>
      <c r="B94" s="31" t="s">
        <v>165</v>
      </c>
      <c r="C94" s="31" t="s">
        <v>171</v>
      </c>
      <c r="D94" s="32" t="s">
        <v>54</v>
      </c>
      <c r="E94" s="33" t="s">
        <v>1937</v>
      </c>
      <c r="F94" s="72" t="s">
        <v>1942</v>
      </c>
      <c r="G94" s="33" t="s">
        <v>172</v>
      </c>
      <c r="H94" s="33" t="s">
        <v>59</v>
      </c>
      <c r="I94" s="101" t="s">
        <v>62</v>
      </c>
      <c r="J94" s="72">
        <v>12</v>
      </c>
      <c r="K94" s="72" t="s">
        <v>41</v>
      </c>
      <c r="L94" s="90"/>
      <c r="M94" s="90"/>
    </row>
    <row r="95" spans="1:13" s="7" customFormat="1" ht="12" customHeight="1">
      <c r="A95" s="31" t="s">
        <v>165</v>
      </c>
      <c r="B95" s="31" t="s">
        <v>165</v>
      </c>
      <c r="C95" s="31" t="s">
        <v>171</v>
      </c>
      <c r="D95" s="32" t="s">
        <v>54</v>
      </c>
      <c r="E95" s="33" t="s">
        <v>1937</v>
      </c>
      <c r="F95" s="72" t="s">
        <v>1943</v>
      </c>
      <c r="G95" s="33" t="s">
        <v>172</v>
      </c>
      <c r="H95" s="33" t="s">
        <v>61</v>
      </c>
      <c r="I95" s="101" t="s">
        <v>179</v>
      </c>
      <c r="J95" s="72">
        <v>12</v>
      </c>
      <c r="K95" s="72" t="s">
        <v>41</v>
      </c>
      <c r="L95" s="90"/>
      <c r="M95" s="90"/>
    </row>
    <row r="96" spans="1:13" s="7" customFormat="1" ht="12" customHeight="1">
      <c r="A96" s="31" t="s">
        <v>165</v>
      </c>
      <c r="B96" s="31" t="s">
        <v>165</v>
      </c>
      <c r="C96" s="31" t="s">
        <v>171</v>
      </c>
      <c r="D96" s="32" t="s">
        <v>54</v>
      </c>
      <c r="E96" s="33" t="s">
        <v>1937</v>
      </c>
      <c r="F96" s="72" t="s">
        <v>1944</v>
      </c>
      <c r="G96" s="33" t="s">
        <v>172</v>
      </c>
      <c r="H96" s="33" t="s">
        <v>63</v>
      </c>
      <c r="I96" s="101" t="s">
        <v>66</v>
      </c>
      <c r="J96" s="72">
        <v>12</v>
      </c>
      <c r="K96" s="72" t="s">
        <v>41</v>
      </c>
      <c r="L96" s="90"/>
      <c r="M96" s="90"/>
    </row>
    <row r="97" spans="1:13" s="7" customFormat="1" ht="12" customHeight="1">
      <c r="A97" s="31" t="s">
        <v>165</v>
      </c>
      <c r="B97" s="31" t="s">
        <v>165</v>
      </c>
      <c r="C97" s="31" t="s">
        <v>171</v>
      </c>
      <c r="D97" s="32" t="s">
        <v>54</v>
      </c>
      <c r="E97" s="33" t="s">
        <v>1937</v>
      </c>
      <c r="F97" s="72" t="s">
        <v>1945</v>
      </c>
      <c r="G97" s="33" t="s">
        <v>172</v>
      </c>
      <c r="H97" s="33" t="s">
        <v>65</v>
      </c>
      <c r="I97" s="101" t="s">
        <v>181</v>
      </c>
      <c r="J97" s="72">
        <v>12</v>
      </c>
      <c r="K97" s="72" t="s">
        <v>41</v>
      </c>
      <c r="L97" s="90"/>
      <c r="M97" s="90"/>
    </row>
    <row r="98" spans="1:13" s="7" customFormat="1" ht="12" customHeight="1">
      <c r="A98" s="31" t="s">
        <v>165</v>
      </c>
      <c r="B98" s="31" t="s">
        <v>165</v>
      </c>
      <c r="C98" s="31" t="s">
        <v>171</v>
      </c>
      <c r="D98" s="32" t="s">
        <v>54</v>
      </c>
      <c r="E98" s="33" t="s">
        <v>1937</v>
      </c>
      <c r="F98" s="72" t="s">
        <v>1946</v>
      </c>
      <c r="G98" s="33" t="s">
        <v>172</v>
      </c>
      <c r="H98" s="33" t="s">
        <v>67</v>
      </c>
      <c r="I98" s="101" t="s">
        <v>182</v>
      </c>
      <c r="J98" s="72">
        <v>12</v>
      </c>
      <c r="K98" s="72" t="s">
        <v>41</v>
      </c>
      <c r="L98" s="90"/>
      <c r="M98" s="90"/>
    </row>
    <row r="99" spans="1:13" s="7" customFormat="1" ht="12" customHeight="1">
      <c r="A99" s="31" t="s">
        <v>165</v>
      </c>
      <c r="B99" s="31" t="s">
        <v>165</v>
      </c>
      <c r="C99" s="31" t="s">
        <v>171</v>
      </c>
      <c r="D99" s="32" t="s">
        <v>54</v>
      </c>
      <c r="E99" s="33" t="s">
        <v>1937</v>
      </c>
      <c r="F99" s="72" t="s">
        <v>1947</v>
      </c>
      <c r="G99" s="33" t="s">
        <v>172</v>
      </c>
      <c r="H99" s="33" t="s">
        <v>69</v>
      </c>
      <c r="I99" s="101" t="s">
        <v>77</v>
      </c>
      <c r="J99" s="72">
        <v>12</v>
      </c>
      <c r="K99" s="72" t="s">
        <v>41</v>
      </c>
      <c r="L99" s="90"/>
      <c r="M99" s="90"/>
    </row>
    <row r="100" spans="1:13" s="7" customFormat="1" ht="12" customHeight="1">
      <c r="A100" s="31" t="s">
        <v>165</v>
      </c>
      <c r="B100" s="31" t="s">
        <v>165</v>
      </c>
      <c r="C100" s="31" t="s">
        <v>171</v>
      </c>
      <c r="D100" s="32" t="s">
        <v>4</v>
      </c>
      <c r="E100" s="33" t="s">
        <v>1937</v>
      </c>
      <c r="F100" s="72" t="s">
        <v>1948</v>
      </c>
      <c r="G100" s="33" t="s">
        <v>172</v>
      </c>
      <c r="H100" s="33" t="s">
        <v>81</v>
      </c>
      <c r="I100" s="101" t="s">
        <v>183</v>
      </c>
      <c r="J100" s="72">
        <v>12</v>
      </c>
      <c r="K100" s="72" t="s">
        <v>41</v>
      </c>
      <c r="L100" s="90"/>
      <c r="M100" s="90"/>
    </row>
    <row r="101" spans="1:13" s="7" customFormat="1" ht="12" customHeight="1">
      <c r="A101" s="31" t="s">
        <v>165</v>
      </c>
      <c r="B101" s="31" t="s">
        <v>165</v>
      </c>
      <c r="C101" s="31" t="s">
        <v>171</v>
      </c>
      <c r="D101" s="32" t="s">
        <v>4</v>
      </c>
      <c r="E101" s="33" t="s">
        <v>1937</v>
      </c>
      <c r="F101" s="72" t="s">
        <v>1949</v>
      </c>
      <c r="G101" s="33" t="s">
        <v>172</v>
      </c>
      <c r="H101" s="33" t="s">
        <v>83</v>
      </c>
      <c r="I101" s="101" t="s">
        <v>184</v>
      </c>
      <c r="J101" s="72">
        <v>12</v>
      </c>
      <c r="K101" s="72" t="s">
        <v>41</v>
      </c>
      <c r="L101" s="90"/>
      <c r="M101" s="90"/>
    </row>
    <row r="102" spans="1:13" s="7" customFormat="1" ht="12" customHeight="1">
      <c r="A102" s="31" t="s">
        <v>165</v>
      </c>
      <c r="B102" s="31" t="s">
        <v>165</v>
      </c>
      <c r="C102" s="31" t="s">
        <v>171</v>
      </c>
      <c r="D102" s="32" t="s">
        <v>4</v>
      </c>
      <c r="E102" s="33" t="s">
        <v>1937</v>
      </c>
      <c r="F102" s="72" t="s">
        <v>1950</v>
      </c>
      <c r="G102" s="33" t="s">
        <v>172</v>
      </c>
      <c r="H102" s="33" t="s">
        <v>85</v>
      </c>
      <c r="I102" s="101" t="s">
        <v>72</v>
      </c>
      <c r="J102" s="72">
        <v>12</v>
      </c>
      <c r="K102" s="72" t="s">
        <v>41</v>
      </c>
      <c r="L102" s="90"/>
      <c r="M102" s="90"/>
    </row>
    <row r="103" spans="1:13" s="7" customFormat="1" ht="12" customHeight="1">
      <c r="A103" s="31" t="s">
        <v>165</v>
      </c>
      <c r="B103" s="31" t="s">
        <v>165</v>
      </c>
      <c r="C103" s="31" t="s">
        <v>171</v>
      </c>
      <c r="D103" s="32" t="s">
        <v>4</v>
      </c>
      <c r="E103" s="33" t="s">
        <v>1937</v>
      </c>
      <c r="F103" s="72" t="s">
        <v>1951</v>
      </c>
      <c r="G103" s="33" t="s">
        <v>172</v>
      </c>
      <c r="H103" s="33" t="s">
        <v>87</v>
      </c>
      <c r="I103" s="101" t="s">
        <v>185</v>
      </c>
      <c r="J103" s="72">
        <v>12</v>
      </c>
      <c r="K103" s="72" t="s">
        <v>41</v>
      </c>
      <c r="L103" s="90"/>
      <c r="M103" s="90"/>
    </row>
    <row r="104" spans="1:13" s="7" customFormat="1" ht="12" customHeight="1">
      <c r="A104" s="31" t="s">
        <v>165</v>
      </c>
      <c r="B104" s="31" t="s">
        <v>165</v>
      </c>
      <c r="C104" s="31" t="s">
        <v>171</v>
      </c>
      <c r="D104" s="32" t="s">
        <v>4</v>
      </c>
      <c r="E104" s="33" t="s">
        <v>1937</v>
      </c>
      <c r="F104" s="72" t="s">
        <v>1952</v>
      </c>
      <c r="G104" s="33" t="s">
        <v>172</v>
      </c>
      <c r="H104" s="33" t="s">
        <v>88</v>
      </c>
      <c r="I104" s="101" t="s">
        <v>186</v>
      </c>
      <c r="J104" s="72">
        <v>12</v>
      </c>
      <c r="K104" s="72" t="s">
        <v>41</v>
      </c>
      <c r="L104" s="90"/>
      <c r="M104" s="90"/>
    </row>
    <row r="105" spans="1:13" s="7" customFormat="1" ht="12" customHeight="1">
      <c r="A105" s="31" t="s">
        <v>165</v>
      </c>
      <c r="B105" s="31" t="s">
        <v>165</v>
      </c>
      <c r="C105" s="31" t="s">
        <v>171</v>
      </c>
      <c r="D105" s="32" t="s">
        <v>80</v>
      </c>
      <c r="E105" s="33" t="s">
        <v>1937</v>
      </c>
      <c r="F105" s="72" t="s">
        <v>1953</v>
      </c>
      <c r="G105" s="33" t="s">
        <v>172</v>
      </c>
      <c r="H105" s="33" t="s">
        <v>90</v>
      </c>
      <c r="I105" s="101" t="s">
        <v>82</v>
      </c>
      <c r="J105" s="72">
        <v>12</v>
      </c>
      <c r="K105" s="72" t="s">
        <v>41</v>
      </c>
      <c r="L105" s="90"/>
      <c r="M105" s="90"/>
    </row>
    <row r="106" spans="1:13" s="7" customFormat="1" ht="12" customHeight="1">
      <c r="A106" s="31" t="s">
        <v>165</v>
      </c>
      <c r="B106" s="31" t="s">
        <v>165</v>
      </c>
      <c r="C106" s="31" t="s">
        <v>171</v>
      </c>
      <c r="D106" s="32" t="s">
        <v>80</v>
      </c>
      <c r="E106" s="33" t="s">
        <v>1937</v>
      </c>
      <c r="F106" s="72" t="s">
        <v>1954</v>
      </c>
      <c r="G106" s="33" t="s">
        <v>172</v>
      </c>
      <c r="H106" s="33" t="s">
        <v>91</v>
      </c>
      <c r="I106" s="101" t="s">
        <v>84</v>
      </c>
      <c r="J106" s="72">
        <v>12</v>
      </c>
      <c r="K106" s="72" t="s">
        <v>41</v>
      </c>
      <c r="L106" s="90"/>
      <c r="M106" s="90"/>
    </row>
    <row r="107" spans="1:13" s="7" customFormat="1" ht="12" customHeight="1">
      <c r="A107" s="31" t="s">
        <v>165</v>
      </c>
      <c r="B107" s="31" t="s">
        <v>165</v>
      </c>
      <c r="C107" s="31" t="s">
        <v>171</v>
      </c>
      <c r="D107" s="32" t="s">
        <v>80</v>
      </c>
      <c r="E107" s="33" t="s">
        <v>1937</v>
      </c>
      <c r="F107" s="72" t="s">
        <v>1955</v>
      </c>
      <c r="G107" s="33" t="s">
        <v>172</v>
      </c>
      <c r="H107" s="33" t="s">
        <v>152</v>
      </c>
      <c r="I107" s="101" t="s">
        <v>186</v>
      </c>
      <c r="J107" s="72">
        <v>12</v>
      </c>
      <c r="K107" s="72" t="s">
        <v>41</v>
      </c>
      <c r="L107" s="90"/>
      <c r="M107" s="90"/>
    </row>
    <row r="108" spans="1:13" s="7" customFormat="1" ht="12" customHeight="1">
      <c r="A108" s="31" t="s">
        <v>165</v>
      </c>
      <c r="B108" s="31" t="s">
        <v>165</v>
      </c>
      <c r="C108" s="31" t="s">
        <v>171</v>
      </c>
      <c r="D108" s="32" t="s">
        <v>80</v>
      </c>
      <c r="E108" s="33" t="s">
        <v>1937</v>
      </c>
      <c r="F108" s="72" t="s">
        <v>1956</v>
      </c>
      <c r="G108" s="33" t="s">
        <v>172</v>
      </c>
      <c r="H108" s="33" t="s">
        <v>93</v>
      </c>
      <c r="I108" s="101" t="s">
        <v>187</v>
      </c>
      <c r="J108" s="72">
        <v>12</v>
      </c>
      <c r="K108" s="72" t="s">
        <v>41</v>
      </c>
      <c r="L108" s="90"/>
      <c r="M108" s="90"/>
    </row>
    <row r="109" spans="1:13" s="7" customFormat="1" ht="12" customHeight="1">
      <c r="A109" s="31" t="s">
        <v>165</v>
      </c>
      <c r="B109" s="31" t="s">
        <v>165</v>
      </c>
      <c r="C109" s="31" t="s">
        <v>171</v>
      </c>
      <c r="D109" s="32" t="s">
        <v>80</v>
      </c>
      <c r="E109" s="33" t="s">
        <v>1937</v>
      </c>
      <c r="F109" s="72" t="s">
        <v>1957</v>
      </c>
      <c r="G109" s="33" t="s">
        <v>172</v>
      </c>
      <c r="H109" s="33" t="s">
        <v>95</v>
      </c>
      <c r="I109" s="101" t="s">
        <v>77</v>
      </c>
      <c r="J109" s="72">
        <v>12</v>
      </c>
      <c r="K109" s="72" t="s">
        <v>41</v>
      </c>
      <c r="L109" s="90"/>
      <c r="M109" s="90"/>
    </row>
    <row r="110" spans="1:13" s="7" customFormat="1" ht="12" customHeight="1">
      <c r="A110" s="31" t="s">
        <v>165</v>
      </c>
      <c r="B110" s="31" t="s">
        <v>165</v>
      </c>
      <c r="C110" s="31" t="s">
        <v>171</v>
      </c>
      <c r="D110" s="32" t="s">
        <v>89</v>
      </c>
      <c r="E110" s="33" t="s">
        <v>1937</v>
      </c>
      <c r="F110" s="72" t="s">
        <v>1958</v>
      </c>
      <c r="G110" s="33" t="s">
        <v>172</v>
      </c>
      <c r="H110" s="33" t="s">
        <v>188</v>
      </c>
      <c r="I110" s="101" t="s">
        <v>189</v>
      </c>
      <c r="J110" s="72">
        <v>12</v>
      </c>
      <c r="K110" s="72" t="s">
        <v>41</v>
      </c>
      <c r="L110" s="90"/>
      <c r="M110" s="90"/>
    </row>
    <row r="111" spans="1:13" s="7" customFormat="1" ht="12" customHeight="1">
      <c r="A111" s="31" t="s">
        <v>165</v>
      </c>
      <c r="B111" s="31" t="s">
        <v>165</v>
      </c>
      <c r="C111" s="31" t="s">
        <v>171</v>
      </c>
      <c r="D111" s="32" t="s">
        <v>89</v>
      </c>
      <c r="E111" s="33" t="s">
        <v>1937</v>
      </c>
      <c r="F111" s="72" t="s">
        <v>1959</v>
      </c>
      <c r="G111" s="33" t="s">
        <v>172</v>
      </c>
      <c r="H111" s="33" t="s">
        <v>190</v>
      </c>
      <c r="I111" s="101" t="s">
        <v>191</v>
      </c>
      <c r="J111" s="72">
        <v>12</v>
      </c>
      <c r="K111" s="72" t="s">
        <v>41</v>
      </c>
      <c r="L111" s="90"/>
      <c r="M111" s="90"/>
    </row>
    <row r="112" spans="1:13" s="7" customFormat="1" ht="12" customHeight="1">
      <c r="A112" s="31" t="s">
        <v>165</v>
      </c>
      <c r="B112" s="31" t="s">
        <v>165</v>
      </c>
      <c r="C112" s="31" t="s">
        <v>171</v>
      </c>
      <c r="D112" s="32" t="s">
        <v>89</v>
      </c>
      <c r="E112" s="33" t="s">
        <v>1937</v>
      </c>
      <c r="F112" s="72" t="s">
        <v>1960</v>
      </c>
      <c r="G112" s="33" t="s">
        <v>172</v>
      </c>
      <c r="H112" s="33" t="s">
        <v>192</v>
      </c>
      <c r="I112" s="101" t="s">
        <v>193</v>
      </c>
      <c r="J112" s="72">
        <v>12</v>
      </c>
      <c r="K112" s="72" t="s">
        <v>41</v>
      </c>
      <c r="L112" s="90"/>
      <c r="M112" s="90"/>
    </row>
    <row r="113" spans="1:13" s="7" customFormat="1" ht="12" customHeight="1">
      <c r="A113" s="31" t="s">
        <v>165</v>
      </c>
      <c r="B113" s="31" t="s">
        <v>165</v>
      </c>
      <c r="C113" s="31" t="s">
        <v>171</v>
      </c>
      <c r="D113" s="32" t="s">
        <v>89</v>
      </c>
      <c r="E113" s="33" t="s">
        <v>1937</v>
      </c>
      <c r="F113" s="72" t="s">
        <v>1961</v>
      </c>
      <c r="G113" s="33" t="s">
        <v>172</v>
      </c>
      <c r="H113" s="33" t="s">
        <v>194</v>
      </c>
      <c r="I113" s="101" t="s">
        <v>195</v>
      </c>
      <c r="J113" s="72">
        <v>12</v>
      </c>
      <c r="K113" s="72" t="s">
        <v>41</v>
      </c>
      <c r="L113" s="90"/>
      <c r="M113" s="90"/>
    </row>
    <row r="114" spans="1:13" s="7" customFormat="1" ht="12" customHeight="1">
      <c r="A114" s="31" t="s">
        <v>165</v>
      </c>
      <c r="B114" s="31" t="s">
        <v>165</v>
      </c>
      <c r="C114" s="31" t="s">
        <v>171</v>
      </c>
      <c r="D114" s="32" t="s">
        <v>89</v>
      </c>
      <c r="E114" s="33" t="s">
        <v>1937</v>
      </c>
      <c r="F114" s="72" t="s">
        <v>1962</v>
      </c>
      <c r="G114" s="33" t="s">
        <v>172</v>
      </c>
      <c r="H114" s="33" t="s">
        <v>196</v>
      </c>
      <c r="I114" s="101" t="s">
        <v>197</v>
      </c>
      <c r="J114" s="72">
        <v>12</v>
      </c>
      <c r="K114" s="72" t="s">
        <v>41</v>
      </c>
      <c r="L114" s="90"/>
      <c r="M114" s="90"/>
    </row>
    <row r="115" spans="1:13" s="7" customFormat="1" ht="12" customHeight="1">
      <c r="A115" s="31" t="s">
        <v>165</v>
      </c>
      <c r="B115" s="31" t="s">
        <v>165</v>
      </c>
      <c r="C115" s="31" t="s">
        <v>171</v>
      </c>
      <c r="D115" s="32" t="s">
        <v>89</v>
      </c>
      <c r="E115" s="33" t="s">
        <v>1937</v>
      </c>
      <c r="F115" s="72" t="s">
        <v>1963</v>
      </c>
      <c r="G115" s="33" t="s">
        <v>172</v>
      </c>
      <c r="H115" s="33" t="s">
        <v>198</v>
      </c>
      <c r="I115" s="101" t="s">
        <v>593</v>
      </c>
      <c r="J115" s="72">
        <v>12</v>
      </c>
      <c r="K115" s="72" t="s">
        <v>41</v>
      </c>
      <c r="L115" s="90"/>
      <c r="M115" s="90"/>
    </row>
    <row r="116" spans="1:13" s="7" customFormat="1" ht="12" customHeight="1">
      <c r="A116" s="31" t="s">
        <v>165</v>
      </c>
      <c r="B116" s="31" t="s">
        <v>165</v>
      </c>
      <c r="C116" s="31" t="s">
        <v>171</v>
      </c>
      <c r="D116" s="32" t="s">
        <v>89</v>
      </c>
      <c r="E116" s="33" t="s">
        <v>1937</v>
      </c>
      <c r="F116" s="72" t="s">
        <v>1964</v>
      </c>
      <c r="G116" s="33" t="s">
        <v>172</v>
      </c>
      <c r="H116" s="33" t="s">
        <v>199</v>
      </c>
      <c r="I116" s="101" t="s">
        <v>202</v>
      </c>
      <c r="J116" s="72">
        <v>12</v>
      </c>
      <c r="K116" s="72" t="s">
        <v>41</v>
      </c>
      <c r="L116" s="90"/>
      <c r="M116" s="90"/>
    </row>
    <row r="117" spans="1:13" s="7" customFormat="1" ht="12" customHeight="1">
      <c r="A117" s="31" t="s">
        <v>165</v>
      </c>
      <c r="B117" s="31" t="s">
        <v>165</v>
      </c>
      <c r="C117" s="31" t="s">
        <v>171</v>
      </c>
      <c r="D117" s="32" t="s">
        <v>89</v>
      </c>
      <c r="E117" s="33" t="s">
        <v>1937</v>
      </c>
      <c r="F117" s="72" t="s">
        <v>1965</v>
      </c>
      <c r="G117" s="33" t="s">
        <v>172</v>
      </c>
      <c r="H117" s="33" t="s">
        <v>201</v>
      </c>
      <c r="I117" s="101" t="s">
        <v>200</v>
      </c>
      <c r="J117" s="72">
        <v>12</v>
      </c>
      <c r="K117" s="72" t="s">
        <v>41</v>
      </c>
      <c r="L117" s="90"/>
      <c r="M117" s="90"/>
    </row>
    <row r="118" spans="1:13" s="7" customFormat="1" ht="12" customHeight="1">
      <c r="A118" s="31" t="s">
        <v>165</v>
      </c>
      <c r="B118" s="31" t="s">
        <v>165</v>
      </c>
      <c r="C118" s="31" t="s">
        <v>171</v>
      </c>
      <c r="D118" s="32" t="s">
        <v>89</v>
      </c>
      <c r="E118" s="33" t="s">
        <v>1937</v>
      </c>
      <c r="F118" s="72" t="s">
        <v>1966</v>
      </c>
      <c r="G118" s="33" t="s">
        <v>172</v>
      </c>
      <c r="H118" s="33" t="s">
        <v>203</v>
      </c>
      <c r="I118" s="101" t="s">
        <v>204</v>
      </c>
      <c r="J118" s="72">
        <v>12</v>
      </c>
      <c r="K118" s="72" t="s">
        <v>41</v>
      </c>
      <c r="L118" s="90"/>
      <c r="M118" s="90"/>
    </row>
    <row r="119" spans="1:13" s="7" customFormat="1" ht="12" customHeight="1">
      <c r="A119" s="31" t="s">
        <v>165</v>
      </c>
      <c r="B119" s="31" t="s">
        <v>165</v>
      </c>
      <c r="C119" s="31" t="s">
        <v>171</v>
      </c>
      <c r="D119" s="32" t="s">
        <v>89</v>
      </c>
      <c r="E119" s="33" t="s">
        <v>1937</v>
      </c>
      <c r="F119" s="72" t="s">
        <v>1967</v>
      </c>
      <c r="G119" s="33" t="s">
        <v>172</v>
      </c>
      <c r="H119" s="33" t="s">
        <v>205</v>
      </c>
      <c r="I119" s="101" t="s">
        <v>96</v>
      </c>
      <c r="J119" s="72">
        <v>12</v>
      </c>
      <c r="K119" s="72" t="s">
        <v>41</v>
      </c>
      <c r="L119" s="90"/>
      <c r="M119" s="90"/>
    </row>
    <row r="120" spans="1:13" s="7" customFormat="1" ht="12" customHeight="1">
      <c r="A120" s="31" t="s">
        <v>165</v>
      </c>
      <c r="B120" s="31" t="s">
        <v>165</v>
      </c>
      <c r="C120" s="32" t="s">
        <v>207</v>
      </c>
      <c r="D120" s="32" t="s">
        <v>1</v>
      </c>
      <c r="E120" s="33" t="s">
        <v>1937</v>
      </c>
      <c r="F120" s="72" t="s">
        <v>1968</v>
      </c>
      <c r="G120" s="33" t="s">
        <v>208</v>
      </c>
      <c r="H120" s="33">
        <v>3.1</v>
      </c>
      <c r="I120" s="101" t="s">
        <v>209</v>
      </c>
      <c r="J120" s="72">
        <v>12</v>
      </c>
      <c r="K120" s="72" t="s">
        <v>41</v>
      </c>
      <c r="L120" s="90"/>
      <c r="M120" s="90"/>
    </row>
    <row r="121" spans="1:13" s="7" customFormat="1" ht="12" customHeight="1">
      <c r="A121" s="31" t="s">
        <v>165</v>
      </c>
      <c r="B121" s="31" t="s">
        <v>165</v>
      </c>
      <c r="C121" s="32" t="s">
        <v>207</v>
      </c>
      <c r="D121" s="32" t="s">
        <v>1</v>
      </c>
      <c r="E121" s="33" t="s">
        <v>1937</v>
      </c>
      <c r="F121" s="72" t="s">
        <v>1969</v>
      </c>
      <c r="G121" s="33" t="s">
        <v>208</v>
      </c>
      <c r="H121" s="33">
        <v>3.2</v>
      </c>
      <c r="I121" s="101" t="s">
        <v>210</v>
      </c>
      <c r="J121" s="72">
        <v>12</v>
      </c>
      <c r="K121" s="72" t="s">
        <v>38</v>
      </c>
      <c r="L121" s="90"/>
      <c r="M121" s="90"/>
    </row>
    <row r="122" spans="1:13" s="7" customFormat="1" ht="12" customHeight="1">
      <c r="A122" s="31" t="s">
        <v>165</v>
      </c>
      <c r="B122" s="31" t="s">
        <v>165</v>
      </c>
      <c r="C122" s="32" t="s">
        <v>211</v>
      </c>
      <c r="D122" s="31" t="s">
        <v>1</v>
      </c>
      <c r="E122" s="33" t="s">
        <v>1937</v>
      </c>
      <c r="F122" s="72" t="s">
        <v>1970</v>
      </c>
      <c r="G122" s="33" t="s">
        <v>212</v>
      </c>
      <c r="H122" s="33">
        <v>3.1</v>
      </c>
      <c r="I122" s="101" t="s">
        <v>213</v>
      </c>
      <c r="J122" s="72">
        <v>12</v>
      </c>
      <c r="K122" s="72" t="s">
        <v>41</v>
      </c>
      <c r="L122" s="90"/>
      <c r="M122" s="90"/>
    </row>
    <row r="123" spans="1:13" s="7" customFormat="1" ht="12" customHeight="1">
      <c r="A123" s="31" t="s">
        <v>165</v>
      </c>
      <c r="B123" s="31" t="s">
        <v>165</v>
      </c>
      <c r="C123" s="32" t="s">
        <v>211</v>
      </c>
      <c r="D123" s="31" t="s">
        <v>1</v>
      </c>
      <c r="E123" s="33" t="s">
        <v>1937</v>
      </c>
      <c r="F123" s="72" t="s">
        <v>1971</v>
      </c>
      <c r="G123" s="33" t="s">
        <v>212</v>
      </c>
      <c r="H123" s="33">
        <v>3.2</v>
      </c>
      <c r="I123" s="101" t="s">
        <v>214</v>
      </c>
      <c r="J123" s="72">
        <v>100</v>
      </c>
      <c r="K123" s="72" t="s">
        <v>38</v>
      </c>
      <c r="L123" s="90"/>
      <c r="M123" s="90"/>
    </row>
    <row r="124" spans="1:13" s="7" customFormat="1" ht="12" customHeight="1">
      <c r="A124" s="31" t="s">
        <v>165</v>
      </c>
      <c r="B124" s="31" t="s">
        <v>165</v>
      </c>
      <c r="C124" s="32" t="s">
        <v>211</v>
      </c>
      <c r="D124" s="31" t="s">
        <v>1</v>
      </c>
      <c r="E124" s="33" t="s">
        <v>1937</v>
      </c>
      <c r="F124" s="72" t="s">
        <v>1972</v>
      </c>
      <c r="G124" s="33" t="s">
        <v>212</v>
      </c>
      <c r="H124" s="33">
        <v>3.3</v>
      </c>
      <c r="I124" s="101" t="s">
        <v>0</v>
      </c>
      <c r="J124" s="72">
        <v>12</v>
      </c>
      <c r="K124" s="72" t="s">
        <v>41</v>
      </c>
      <c r="L124" s="90"/>
      <c r="M124" s="90"/>
    </row>
    <row r="125" spans="1:13" s="7" customFormat="1" ht="12" customHeight="1">
      <c r="A125" s="31" t="s">
        <v>165</v>
      </c>
      <c r="B125" s="31" t="s">
        <v>165</v>
      </c>
      <c r="C125" s="32" t="s">
        <v>215</v>
      </c>
      <c r="D125" s="31" t="s">
        <v>1</v>
      </c>
      <c r="E125" s="33" t="s">
        <v>1937</v>
      </c>
      <c r="F125" s="72" t="s">
        <v>1973</v>
      </c>
      <c r="G125" s="33" t="s">
        <v>216</v>
      </c>
      <c r="H125" s="33">
        <v>3</v>
      </c>
      <c r="I125" s="101" t="s">
        <v>592</v>
      </c>
      <c r="J125" s="72">
        <v>12</v>
      </c>
      <c r="K125" s="72" t="s">
        <v>41</v>
      </c>
      <c r="L125" s="90"/>
      <c r="M125" s="90"/>
    </row>
    <row r="126" spans="1:13" s="7" customFormat="1" ht="12" customHeight="1">
      <c r="A126" s="31" t="s">
        <v>165</v>
      </c>
      <c r="B126" s="31" t="s">
        <v>165</v>
      </c>
      <c r="C126" s="32" t="s">
        <v>217</v>
      </c>
      <c r="D126" s="31" t="s">
        <v>1</v>
      </c>
      <c r="E126" s="33" t="s">
        <v>1937</v>
      </c>
      <c r="F126" s="72" t="s">
        <v>1974</v>
      </c>
      <c r="G126" s="33" t="s">
        <v>218</v>
      </c>
      <c r="H126" s="33">
        <v>3.1</v>
      </c>
      <c r="I126" s="101" t="s">
        <v>5</v>
      </c>
      <c r="J126" s="91">
        <v>12</v>
      </c>
      <c r="K126" s="91" t="s">
        <v>41</v>
      </c>
      <c r="L126" s="90"/>
      <c r="M126" s="90"/>
    </row>
    <row r="127" spans="1:13" s="7" customFormat="1" ht="12" customHeight="1">
      <c r="A127" s="31" t="s">
        <v>165</v>
      </c>
      <c r="B127" s="31" t="s">
        <v>165</v>
      </c>
      <c r="C127" s="32" t="s">
        <v>217</v>
      </c>
      <c r="D127" s="31" t="s">
        <v>1</v>
      </c>
      <c r="E127" s="33" t="s">
        <v>1937</v>
      </c>
      <c r="F127" s="72" t="s">
        <v>1975</v>
      </c>
      <c r="G127" s="33" t="s">
        <v>218</v>
      </c>
      <c r="H127" s="33">
        <v>3.2</v>
      </c>
      <c r="I127" s="101" t="s">
        <v>219</v>
      </c>
      <c r="J127" s="91">
        <v>12</v>
      </c>
      <c r="K127" s="91" t="s">
        <v>41</v>
      </c>
      <c r="L127" s="90"/>
      <c r="M127" s="90"/>
    </row>
    <row r="128" spans="1:13" s="7" customFormat="1" ht="12" customHeight="1">
      <c r="A128" s="31" t="s">
        <v>165</v>
      </c>
      <c r="B128" s="31" t="s">
        <v>165</v>
      </c>
      <c r="C128" s="32" t="s">
        <v>217</v>
      </c>
      <c r="D128" s="31" t="s">
        <v>1</v>
      </c>
      <c r="E128" s="33" t="s">
        <v>1937</v>
      </c>
      <c r="F128" s="72" t="s">
        <v>1976</v>
      </c>
      <c r="G128" s="33" t="s">
        <v>218</v>
      </c>
      <c r="H128" s="33">
        <v>3.3</v>
      </c>
      <c r="I128" s="101" t="s">
        <v>6</v>
      </c>
      <c r="J128" s="72">
        <v>12</v>
      </c>
      <c r="K128" s="72" t="s">
        <v>41</v>
      </c>
      <c r="L128" s="90"/>
      <c r="M128" s="90"/>
    </row>
    <row r="129" spans="1:13" s="7" customFormat="1" ht="12" customHeight="1">
      <c r="A129" s="31" t="s">
        <v>165</v>
      </c>
      <c r="B129" s="31" t="s">
        <v>165</v>
      </c>
      <c r="C129" s="32" t="s">
        <v>217</v>
      </c>
      <c r="D129" s="31" t="s">
        <v>1</v>
      </c>
      <c r="E129" s="33" t="s">
        <v>1937</v>
      </c>
      <c r="F129" s="72" t="s">
        <v>1977</v>
      </c>
      <c r="G129" s="33" t="s">
        <v>218</v>
      </c>
      <c r="H129" s="33">
        <v>3.4</v>
      </c>
      <c r="I129" s="101" t="s">
        <v>597</v>
      </c>
      <c r="J129" s="72">
        <v>12</v>
      </c>
      <c r="K129" s="72" t="s">
        <v>41</v>
      </c>
      <c r="L129" s="90"/>
      <c r="M129" s="90"/>
    </row>
    <row r="130" spans="1:13" s="7" customFormat="1" ht="12" customHeight="1">
      <c r="A130" s="31" t="s">
        <v>165</v>
      </c>
      <c r="B130" s="31" t="s">
        <v>165</v>
      </c>
      <c r="C130" s="32" t="s">
        <v>217</v>
      </c>
      <c r="D130" s="31" t="s">
        <v>1</v>
      </c>
      <c r="E130" s="33" t="s">
        <v>1937</v>
      </c>
      <c r="F130" s="72" t="s">
        <v>1978</v>
      </c>
      <c r="G130" s="33" t="s">
        <v>218</v>
      </c>
      <c r="H130" s="33">
        <v>3.5</v>
      </c>
      <c r="I130" s="101" t="s">
        <v>220</v>
      </c>
      <c r="J130" s="72">
        <v>12</v>
      </c>
      <c r="K130" s="72" t="s">
        <v>38</v>
      </c>
      <c r="L130" s="90"/>
      <c r="M130" s="90"/>
    </row>
    <row r="131" spans="1:13" s="7" customFormat="1" ht="12" customHeight="1">
      <c r="A131" s="31" t="s">
        <v>165</v>
      </c>
      <c r="B131" s="31" t="s">
        <v>165</v>
      </c>
      <c r="C131" s="32" t="s">
        <v>221</v>
      </c>
      <c r="D131" s="31" t="s">
        <v>1</v>
      </c>
      <c r="E131" s="33" t="s">
        <v>1937</v>
      </c>
      <c r="F131" s="72" t="s">
        <v>1979</v>
      </c>
      <c r="G131" s="33" t="s">
        <v>222</v>
      </c>
      <c r="H131" s="33">
        <v>3.1</v>
      </c>
      <c r="I131" s="101" t="s">
        <v>14</v>
      </c>
      <c r="J131" s="92">
        <v>12</v>
      </c>
      <c r="K131" s="72" t="s">
        <v>41</v>
      </c>
      <c r="L131" s="90"/>
      <c r="M131" s="90"/>
    </row>
    <row r="132" spans="1:13" s="7" customFormat="1" ht="12" customHeight="1">
      <c r="A132" s="31" t="s">
        <v>165</v>
      </c>
      <c r="B132" s="31" t="s">
        <v>165</v>
      </c>
      <c r="C132" s="32" t="s">
        <v>221</v>
      </c>
      <c r="D132" s="31" t="s">
        <v>1</v>
      </c>
      <c r="E132" s="33" t="s">
        <v>1937</v>
      </c>
      <c r="F132" s="72" t="s">
        <v>1980</v>
      </c>
      <c r="G132" s="33" t="s">
        <v>222</v>
      </c>
      <c r="H132" s="33">
        <v>3.2</v>
      </c>
      <c r="I132" s="103" t="s">
        <v>12</v>
      </c>
      <c r="J132" s="92">
        <v>12</v>
      </c>
      <c r="K132" s="72" t="s">
        <v>41</v>
      </c>
      <c r="L132" s="90"/>
      <c r="M132" s="90"/>
    </row>
    <row r="133" spans="1:13" s="7" customFormat="1" ht="12" customHeight="1">
      <c r="A133" s="31" t="s">
        <v>165</v>
      </c>
      <c r="B133" s="31" t="s">
        <v>165</v>
      </c>
      <c r="C133" s="32" t="s">
        <v>221</v>
      </c>
      <c r="D133" s="31" t="s">
        <v>1</v>
      </c>
      <c r="E133" s="33" t="s">
        <v>1937</v>
      </c>
      <c r="F133" s="72" t="s">
        <v>1981</v>
      </c>
      <c r="G133" s="33" t="s">
        <v>222</v>
      </c>
      <c r="H133" s="33">
        <v>3.3</v>
      </c>
      <c r="I133" s="103" t="s">
        <v>223</v>
      </c>
      <c r="J133" s="92">
        <v>12</v>
      </c>
      <c r="K133" s="72" t="s">
        <v>41</v>
      </c>
      <c r="L133" s="90"/>
      <c r="M133" s="90"/>
    </row>
    <row r="134" spans="1:13" s="7" customFormat="1" ht="12" customHeight="1">
      <c r="A134" s="31" t="s">
        <v>165</v>
      </c>
      <c r="B134" s="31" t="s">
        <v>165</v>
      </c>
      <c r="C134" s="32" t="s">
        <v>221</v>
      </c>
      <c r="D134" s="31" t="s">
        <v>1</v>
      </c>
      <c r="E134" s="33" t="s">
        <v>1937</v>
      </c>
      <c r="F134" s="72" t="s">
        <v>1982</v>
      </c>
      <c r="G134" s="33" t="s">
        <v>222</v>
      </c>
      <c r="H134" s="33">
        <v>3.4</v>
      </c>
      <c r="I134" s="103" t="s">
        <v>15</v>
      </c>
      <c r="J134" s="92">
        <v>12</v>
      </c>
      <c r="K134" s="72" t="s">
        <v>41</v>
      </c>
      <c r="L134" s="90"/>
      <c r="M134" s="90"/>
    </row>
    <row r="135" spans="1:13" s="7" customFormat="1" ht="12" customHeight="1">
      <c r="A135" s="31" t="s">
        <v>165</v>
      </c>
      <c r="B135" s="31" t="s">
        <v>165</v>
      </c>
      <c r="C135" s="32" t="s">
        <v>221</v>
      </c>
      <c r="D135" s="31" t="s">
        <v>1</v>
      </c>
      <c r="E135" s="33" t="s">
        <v>1937</v>
      </c>
      <c r="F135" s="72" t="s">
        <v>1983</v>
      </c>
      <c r="G135" s="33" t="s">
        <v>222</v>
      </c>
      <c r="H135" s="33">
        <v>3.5</v>
      </c>
      <c r="I135" s="103" t="s">
        <v>13</v>
      </c>
      <c r="J135" s="92">
        <v>12</v>
      </c>
      <c r="K135" s="72" t="s">
        <v>41</v>
      </c>
      <c r="L135" s="90"/>
      <c r="M135" s="90"/>
    </row>
    <row r="136" spans="1:13" s="29" customFormat="1" ht="12.6" customHeight="1">
      <c r="A136" s="31" t="s">
        <v>165</v>
      </c>
      <c r="B136" s="31" t="s">
        <v>165</v>
      </c>
      <c r="C136" s="32" t="s">
        <v>221</v>
      </c>
      <c r="D136" s="31" t="s">
        <v>1</v>
      </c>
      <c r="E136" s="33" t="s">
        <v>1937</v>
      </c>
      <c r="F136" s="72" t="s">
        <v>1984</v>
      </c>
      <c r="G136" s="36" t="s">
        <v>222</v>
      </c>
      <c r="H136" s="36">
        <v>3.6</v>
      </c>
      <c r="I136" s="103" t="s">
        <v>2196</v>
      </c>
      <c r="J136" s="92">
        <v>12</v>
      </c>
      <c r="K136" s="72" t="s">
        <v>41</v>
      </c>
      <c r="L136" s="90"/>
      <c r="M136" s="90"/>
    </row>
    <row r="137" spans="1:13" s="7" customFormat="1" ht="12" customHeight="1">
      <c r="A137" s="31" t="s">
        <v>224</v>
      </c>
      <c r="B137" s="31" t="s">
        <v>224</v>
      </c>
      <c r="C137" s="31" t="s">
        <v>52</v>
      </c>
      <c r="D137" s="32" t="s">
        <v>54</v>
      </c>
      <c r="E137" s="33" t="s">
        <v>1985</v>
      </c>
      <c r="F137" s="72" t="s">
        <v>1986</v>
      </c>
      <c r="G137" s="33">
        <v>1502000</v>
      </c>
      <c r="H137" s="72" t="s">
        <v>73</v>
      </c>
      <c r="I137" s="101" t="s">
        <v>74</v>
      </c>
      <c r="J137" s="72">
        <v>12</v>
      </c>
      <c r="K137" s="72" t="s">
        <v>41</v>
      </c>
      <c r="L137" s="90"/>
      <c r="M137" s="90"/>
    </row>
    <row r="138" spans="1:13" s="7" customFormat="1" ht="12" customHeight="1">
      <c r="A138" s="31" t="s">
        <v>227</v>
      </c>
      <c r="B138" s="31" t="s">
        <v>227</v>
      </c>
      <c r="C138" s="31" t="s">
        <v>52</v>
      </c>
      <c r="D138" s="32" t="s">
        <v>53</v>
      </c>
      <c r="E138" s="33" t="s">
        <v>2513</v>
      </c>
      <c r="F138" s="72" t="s">
        <v>2514</v>
      </c>
      <c r="G138" s="33">
        <v>1502000</v>
      </c>
      <c r="H138" s="72">
        <v>3.1</v>
      </c>
      <c r="I138" s="101" t="s">
        <v>591</v>
      </c>
      <c r="J138" s="72">
        <v>50</v>
      </c>
      <c r="K138" s="72" t="s">
        <v>41</v>
      </c>
      <c r="L138" s="90"/>
      <c r="M138" s="90"/>
    </row>
    <row r="139" spans="1:13" s="7" customFormat="1" ht="12" customHeight="1">
      <c r="A139" s="31" t="s">
        <v>227</v>
      </c>
      <c r="B139" s="31" t="s">
        <v>227</v>
      </c>
      <c r="C139" s="31" t="s">
        <v>52</v>
      </c>
      <c r="D139" s="31" t="s">
        <v>1</v>
      </c>
      <c r="E139" s="33" t="s">
        <v>2513</v>
      </c>
      <c r="F139" s="72" t="s">
        <v>2515</v>
      </c>
      <c r="G139" s="33">
        <v>1502000</v>
      </c>
      <c r="H139" s="72">
        <v>3.2</v>
      </c>
      <c r="I139" s="101" t="s">
        <v>601</v>
      </c>
      <c r="J139" s="72">
        <v>10</v>
      </c>
      <c r="K139" s="72" t="s">
        <v>41</v>
      </c>
      <c r="L139" s="90"/>
      <c r="M139" s="90"/>
    </row>
    <row r="140" spans="1:13" s="7" customFormat="1" ht="12" customHeight="1">
      <c r="A140" s="31" t="s">
        <v>227</v>
      </c>
      <c r="B140" s="31" t="s">
        <v>227</v>
      </c>
      <c r="C140" s="32" t="s">
        <v>120</v>
      </c>
      <c r="D140" s="32" t="s">
        <v>10</v>
      </c>
      <c r="E140" s="33" t="s">
        <v>2513</v>
      </c>
      <c r="F140" s="72" t="s">
        <v>2516</v>
      </c>
      <c r="G140" s="33">
        <v>1700000</v>
      </c>
      <c r="H140" s="33" t="s">
        <v>128</v>
      </c>
      <c r="I140" s="103" t="s">
        <v>129</v>
      </c>
      <c r="J140" s="72">
        <v>12</v>
      </c>
      <c r="K140" s="72" t="s">
        <v>41</v>
      </c>
      <c r="L140" s="90"/>
      <c r="M140" s="90"/>
    </row>
    <row r="141" spans="1:13" s="7" customFormat="1" ht="12" customHeight="1">
      <c r="A141" s="31" t="s">
        <v>227</v>
      </c>
      <c r="B141" s="31" t="s">
        <v>227</v>
      </c>
      <c r="C141" s="32" t="s">
        <v>120</v>
      </c>
      <c r="D141" s="32" t="s">
        <v>10</v>
      </c>
      <c r="E141" s="33" t="s">
        <v>2513</v>
      </c>
      <c r="F141" s="72" t="s">
        <v>2517</v>
      </c>
      <c r="G141" s="33">
        <v>1700000</v>
      </c>
      <c r="H141" s="33" t="s">
        <v>133</v>
      </c>
      <c r="I141" s="103" t="s">
        <v>134</v>
      </c>
      <c r="J141" s="92">
        <v>12</v>
      </c>
      <c r="K141" s="72" t="s">
        <v>41</v>
      </c>
      <c r="L141" s="90"/>
      <c r="M141" s="90"/>
    </row>
    <row r="142" spans="1:13" s="7" customFormat="1" ht="12" customHeight="1">
      <c r="A142" s="31" t="s">
        <v>232</v>
      </c>
      <c r="B142" s="31" t="s">
        <v>232</v>
      </c>
      <c r="C142" s="31" t="s">
        <v>52</v>
      </c>
      <c r="D142" s="32" t="s">
        <v>53</v>
      </c>
      <c r="E142" s="33" t="s">
        <v>2518</v>
      </c>
      <c r="F142" s="72" t="s">
        <v>2519</v>
      </c>
      <c r="G142" s="33">
        <v>1502000</v>
      </c>
      <c r="H142" s="72">
        <v>3.1</v>
      </c>
      <c r="I142" s="101" t="s">
        <v>591</v>
      </c>
      <c r="J142" s="72">
        <v>200</v>
      </c>
      <c r="K142" s="72" t="s">
        <v>38</v>
      </c>
      <c r="L142" s="90"/>
      <c r="M142" s="90"/>
    </row>
    <row r="143" spans="1:13" s="7" customFormat="1" ht="12" customHeight="1">
      <c r="A143" s="31" t="s">
        <v>232</v>
      </c>
      <c r="B143" s="31" t="s">
        <v>232</v>
      </c>
      <c r="C143" s="32" t="s">
        <v>52</v>
      </c>
      <c r="D143" s="32" t="s">
        <v>1</v>
      </c>
      <c r="E143" s="33" t="s">
        <v>2518</v>
      </c>
      <c r="F143" s="72" t="s">
        <v>2520</v>
      </c>
      <c r="G143" s="33">
        <v>1502000</v>
      </c>
      <c r="H143" s="72">
        <v>3.2</v>
      </c>
      <c r="I143" s="101" t="s">
        <v>601</v>
      </c>
      <c r="J143" s="92">
        <v>10</v>
      </c>
      <c r="K143" s="72" t="s">
        <v>38</v>
      </c>
      <c r="L143" s="90"/>
      <c r="M143" s="90"/>
    </row>
    <row r="144" spans="1:13" s="7" customFormat="1" ht="12" customHeight="1">
      <c r="A144" s="31" t="s">
        <v>232</v>
      </c>
      <c r="B144" s="31" t="s">
        <v>232</v>
      </c>
      <c r="C144" s="31" t="s">
        <v>52</v>
      </c>
      <c r="D144" s="32" t="s">
        <v>54</v>
      </c>
      <c r="E144" s="33" t="s">
        <v>2518</v>
      </c>
      <c r="F144" s="72" t="s">
        <v>2521</v>
      </c>
      <c r="G144" s="33">
        <v>1502000</v>
      </c>
      <c r="H144" s="72" t="s">
        <v>63</v>
      </c>
      <c r="I144" s="101" t="s">
        <v>64</v>
      </c>
      <c r="J144" s="72">
        <v>12</v>
      </c>
      <c r="K144" s="72" t="s">
        <v>41</v>
      </c>
      <c r="L144" s="90"/>
      <c r="M144" s="90"/>
    </row>
    <row r="145" spans="1:13" s="29" customFormat="1" ht="12" customHeight="1">
      <c r="A145" s="31" t="s">
        <v>232</v>
      </c>
      <c r="B145" s="31" t="s">
        <v>232</v>
      </c>
      <c r="C145" s="31" t="s">
        <v>52</v>
      </c>
      <c r="D145" s="32" t="s">
        <v>54</v>
      </c>
      <c r="E145" s="33" t="s">
        <v>2518</v>
      </c>
      <c r="F145" s="72" t="s">
        <v>2522</v>
      </c>
      <c r="G145" s="33">
        <v>1502000</v>
      </c>
      <c r="H145" s="72" t="s">
        <v>65</v>
      </c>
      <c r="I145" s="101" t="s">
        <v>66</v>
      </c>
      <c r="J145" s="72">
        <v>12</v>
      </c>
      <c r="K145" s="72" t="s">
        <v>41</v>
      </c>
      <c r="L145" s="90"/>
      <c r="M145" s="90"/>
    </row>
    <row r="146" spans="1:13" s="21" customFormat="1" ht="12" customHeight="1">
      <c r="A146" s="31" t="s">
        <v>232</v>
      </c>
      <c r="B146" s="31" t="s">
        <v>232</v>
      </c>
      <c r="C146" s="31" t="s">
        <v>52</v>
      </c>
      <c r="D146" s="32" t="s">
        <v>54</v>
      </c>
      <c r="E146" s="33" t="s">
        <v>2518</v>
      </c>
      <c r="F146" s="72" t="s">
        <v>2523</v>
      </c>
      <c r="G146" s="33">
        <v>1502000</v>
      </c>
      <c r="H146" s="72" t="s">
        <v>71</v>
      </c>
      <c r="I146" s="101" t="s">
        <v>72</v>
      </c>
      <c r="J146" s="72">
        <v>12</v>
      </c>
      <c r="K146" s="72" t="s">
        <v>41</v>
      </c>
      <c r="L146" s="90"/>
      <c r="M146" s="90"/>
    </row>
    <row r="147" spans="1:13" s="7" customFormat="1" ht="12" customHeight="1">
      <c r="A147" s="31" t="s">
        <v>232</v>
      </c>
      <c r="B147" s="31" t="s">
        <v>232</v>
      </c>
      <c r="C147" s="31" t="s">
        <v>52</v>
      </c>
      <c r="D147" s="32" t="s">
        <v>54</v>
      </c>
      <c r="E147" s="33" t="s">
        <v>2518</v>
      </c>
      <c r="F147" s="72" t="s">
        <v>2524</v>
      </c>
      <c r="G147" s="33">
        <v>1502000</v>
      </c>
      <c r="H147" s="72" t="s">
        <v>73</v>
      </c>
      <c r="I147" s="101" t="s">
        <v>74</v>
      </c>
      <c r="J147" s="72">
        <v>12</v>
      </c>
      <c r="K147" s="72" t="s">
        <v>41</v>
      </c>
      <c r="L147" s="90"/>
      <c r="M147" s="90"/>
    </row>
    <row r="148" spans="1:13" s="7" customFormat="1" ht="12" customHeight="1">
      <c r="A148" s="31" t="s">
        <v>232</v>
      </c>
      <c r="B148" s="31" t="s">
        <v>232</v>
      </c>
      <c r="C148" s="32" t="s">
        <v>120</v>
      </c>
      <c r="D148" s="31" t="s">
        <v>10</v>
      </c>
      <c r="E148" s="33" t="s">
        <v>2518</v>
      </c>
      <c r="F148" s="72" t="s">
        <v>2525</v>
      </c>
      <c r="G148" s="33">
        <v>1700000</v>
      </c>
      <c r="H148" s="33" t="s">
        <v>128</v>
      </c>
      <c r="I148" s="103" t="s">
        <v>129</v>
      </c>
      <c r="J148" s="92">
        <v>12</v>
      </c>
      <c r="K148" s="72" t="s">
        <v>41</v>
      </c>
      <c r="L148" s="90"/>
      <c r="M148" s="90"/>
    </row>
    <row r="149" spans="1:13" s="29" customFormat="1" ht="12" customHeight="1">
      <c r="A149" s="31" t="s">
        <v>232</v>
      </c>
      <c r="B149" s="31" t="s">
        <v>232</v>
      </c>
      <c r="C149" s="32" t="s">
        <v>120</v>
      </c>
      <c r="D149" s="31" t="s">
        <v>10</v>
      </c>
      <c r="E149" s="33" t="s">
        <v>2518</v>
      </c>
      <c r="F149" s="72" t="s">
        <v>2526</v>
      </c>
      <c r="G149" s="33">
        <v>1700000</v>
      </c>
      <c r="H149" s="36" t="s">
        <v>133</v>
      </c>
      <c r="I149" s="103" t="s">
        <v>134</v>
      </c>
      <c r="J149" s="92">
        <v>12</v>
      </c>
      <c r="K149" s="72" t="s">
        <v>41</v>
      </c>
      <c r="L149" s="90"/>
      <c r="M149" s="90"/>
    </row>
    <row r="150" spans="1:13" s="7" customFormat="1" ht="12" customHeight="1">
      <c r="A150" s="31" t="s">
        <v>232</v>
      </c>
      <c r="B150" s="31" t="s">
        <v>232</v>
      </c>
      <c r="C150" s="31" t="s">
        <v>52</v>
      </c>
      <c r="D150" s="32" t="s">
        <v>53</v>
      </c>
      <c r="E150" s="33" t="s">
        <v>2518</v>
      </c>
      <c r="F150" s="72" t="s">
        <v>2527</v>
      </c>
      <c r="G150" s="33">
        <v>1502000</v>
      </c>
      <c r="H150" s="72">
        <v>3.1</v>
      </c>
      <c r="I150" s="101" t="s">
        <v>591</v>
      </c>
      <c r="J150" s="72">
        <v>120</v>
      </c>
      <c r="K150" s="72" t="s">
        <v>38</v>
      </c>
      <c r="L150" s="90"/>
      <c r="M150" s="90"/>
    </row>
    <row r="151" spans="1:13" s="7" customFormat="1" ht="12" customHeight="1">
      <c r="A151" s="31" t="s">
        <v>232</v>
      </c>
      <c r="B151" s="31" t="s">
        <v>232</v>
      </c>
      <c r="C151" s="31" t="s">
        <v>52</v>
      </c>
      <c r="D151" s="32" t="s">
        <v>54</v>
      </c>
      <c r="E151" s="33" t="s">
        <v>2518</v>
      </c>
      <c r="F151" s="72" t="s">
        <v>2528</v>
      </c>
      <c r="G151" s="33">
        <v>1502000</v>
      </c>
      <c r="H151" s="72" t="s">
        <v>61</v>
      </c>
      <c r="I151" s="101" t="s">
        <v>62</v>
      </c>
      <c r="J151" s="72">
        <v>12</v>
      </c>
      <c r="K151" s="72" t="s">
        <v>41</v>
      </c>
      <c r="L151" s="90"/>
      <c r="M151" s="90"/>
    </row>
    <row r="152" spans="1:13" s="7" customFormat="1" ht="12" customHeight="1">
      <c r="A152" s="31" t="s">
        <v>232</v>
      </c>
      <c r="B152" s="31" t="s">
        <v>232</v>
      </c>
      <c r="C152" s="31" t="s">
        <v>52</v>
      </c>
      <c r="D152" s="32" t="s">
        <v>80</v>
      </c>
      <c r="E152" s="33" t="s">
        <v>2518</v>
      </c>
      <c r="F152" s="72" t="s">
        <v>2529</v>
      </c>
      <c r="G152" s="33">
        <v>1502000</v>
      </c>
      <c r="H152" s="72" t="s">
        <v>83</v>
      </c>
      <c r="I152" s="101" t="s">
        <v>84</v>
      </c>
      <c r="J152" s="72">
        <v>12</v>
      </c>
      <c r="K152" s="72" t="s">
        <v>41</v>
      </c>
      <c r="L152" s="90"/>
      <c r="M152" s="90"/>
    </row>
    <row r="153" spans="1:13" s="7" customFormat="1" ht="12" customHeight="1">
      <c r="A153" s="31" t="s">
        <v>238</v>
      </c>
      <c r="B153" s="31" t="s">
        <v>238</v>
      </c>
      <c r="C153" s="31" t="s">
        <v>52</v>
      </c>
      <c r="D153" s="32" t="s">
        <v>53</v>
      </c>
      <c r="E153" s="33" t="s">
        <v>1987</v>
      </c>
      <c r="F153" s="72" t="s">
        <v>1988</v>
      </c>
      <c r="G153" s="33">
        <v>1502000</v>
      </c>
      <c r="H153" s="72">
        <v>3.1</v>
      </c>
      <c r="I153" s="101" t="s">
        <v>591</v>
      </c>
      <c r="J153" s="72">
        <v>30</v>
      </c>
      <c r="K153" s="72" t="s">
        <v>38</v>
      </c>
      <c r="L153" s="90"/>
      <c r="M153" s="90"/>
    </row>
    <row r="154" spans="1:13" s="7" customFormat="1" ht="12" customHeight="1">
      <c r="A154" s="31" t="s">
        <v>238</v>
      </c>
      <c r="B154" s="31" t="s">
        <v>238</v>
      </c>
      <c r="C154" s="31" t="s">
        <v>52</v>
      </c>
      <c r="D154" s="32" t="s">
        <v>54</v>
      </c>
      <c r="E154" s="33" t="s">
        <v>1987</v>
      </c>
      <c r="F154" s="72" t="s">
        <v>1989</v>
      </c>
      <c r="G154" s="33">
        <v>1502000</v>
      </c>
      <c r="H154" s="72" t="s">
        <v>57</v>
      </c>
      <c r="I154" s="101" t="s">
        <v>58</v>
      </c>
      <c r="J154" s="72">
        <v>12</v>
      </c>
      <c r="K154" s="72" t="s">
        <v>41</v>
      </c>
      <c r="L154" s="90"/>
      <c r="M154" s="90"/>
    </row>
    <row r="155" spans="1:13" s="7" customFormat="1" ht="12" customHeight="1">
      <c r="A155" s="31" t="s">
        <v>318</v>
      </c>
      <c r="B155" s="31" t="s">
        <v>318</v>
      </c>
      <c r="C155" s="31" t="s">
        <v>52</v>
      </c>
      <c r="D155" s="32" t="s">
        <v>53</v>
      </c>
      <c r="E155" s="33" t="s">
        <v>2530</v>
      </c>
      <c r="F155" s="72" t="s">
        <v>2531</v>
      </c>
      <c r="G155" s="33">
        <v>1502000</v>
      </c>
      <c r="H155" s="72">
        <v>3.1</v>
      </c>
      <c r="I155" s="101" t="s">
        <v>591</v>
      </c>
      <c r="J155" s="72">
        <v>75</v>
      </c>
      <c r="K155" s="72" t="s">
        <v>38</v>
      </c>
      <c r="L155" s="90"/>
      <c r="M155" s="90"/>
    </row>
    <row r="156" spans="1:13" s="7" customFormat="1" ht="12" customHeight="1">
      <c r="A156" s="31" t="s">
        <v>318</v>
      </c>
      <c r="B156" s="31" t="s">
        <v>318</v>
      </c>
      <c r="C156" s="32" t="s">
        <v>52</v>
      </c>
      <c r="D156" s="32" t="s">
        <v>1</v>
      </c>
      <c r="E156" s="33" t="s">
        <v>2530</v>
      </c>
      <c r="F156" s="72" t="s">
        <v>2532</v>
      </c>
      <c r="G156" s="33">
        <v>1502000</v>
      </c>
      <c r="H156" s="72">
        <v>3.2</v>
      </c>
      <c r="I156" s="101" t="s">
        <v>601</v>
      </c>
      <c r="J156" s="92">
        <v>10</v>
      </c>
      <c r="K156" s="72" t="s">
        <v>38</v>
      </c>
      <c r="L156" s="90"/>
      <c r="M156" s="90"/>
    </row>
    <row r="157" spans="1:13" s="7" customFormat="1" ht="12" customHeight="1">
      <c r="A157" s="31" t="s">
        <v>318</v>
      </c>
      <c r="B157" s="31" t="s">
        <v>318</v>
      </c>
      <c r="C157" s="32" t="s">
        <v>52</v>
      </c>
      <c r="D157" s="32" t="s">
        <v>54</v>
      </c>
      <c r="E157" s="33" t="s">
        <v>2530</v>
      </c>
      <c r="F157" s="72" t="s">
        <v>2533</v>
      </c>
      <c r="G157" s="33">
        <v>1502000</v>
      </c>
      <c r="H157" s="72" t="s">
        <v>59</v>
      </c>
      <c r="I157" s="101" t="s">
        <v>60</v>
      </c>
      <c r="J157" s="72">
        <v>12</v>
      </c>
      <c r="K157" s="72" t="s">
        <v>41</v>
      </c>
      <c r="L157" s="90"/>
      <c r="M157" s="90"/>
    </row>
    <row r="158" spans="1:13" s="7" customFormat="1" ht="12" customHeight="1">
      <c r="A158" s="31" t="s">
        <v>318</v>
      </c>
      <c r="B158" s="31" t="s">
        <v>318</v>
      </c>
      <c r="C158" s="32" t="s">
        <v>52</v>
      </c>
      <c r="D158" s="32" t="s">
        <v>54</v>
      </c>
      <c r="E158" s="33" t="s">
        <v>2530</v>
      </c>
      <c r="F158" s="72" t="s">
        <v>2534</v>
      </c>
      <c r="G158" s="33">
        <v>1502000</v>
      </c>
      <c r="H158" s="72" t="s">
        <v>61</v>
      </c>
      <c r="I158" s="101" t="s">
        <v>62</v>
      </c>
      <c r="J158" s="72">
        <v>12</v>
      </c>
      <c r="K158" s="72" t="s">
        <v>41</v>
      </c>
      <c r="L158" s="90"/>
      <c r="M158" s="90"/>
    </row>
    <row r="159" spans="1:13" s="7" customFormat="1" ht="12" customHeight="1">
      <c r="A159" s="31" t="s">
        <v>318</v>
      </c>
      <c r="B159" s="31" t="s">
        <v>318</v>
      </c>
      <c r="C159" s="32" t="s">
        <v>52</v>
      </c>
      <c r="D159" s="32" t="s">
        <v>54</v>
      </c>
      <c r="E159" s="33" t="s">
        <v>2530</v>
      </c>
      <c r="F159" s="72" t="s">
        <v>2535</v>
      </c>
      <c r="G159" s="33">
        <v>1502000</v>
      </c>
      <c r="H159" s="72" t="s">
        <v>63</v>
      </c>
      <c r="I159" s="101" t="s">
        <v>64</v>
      </c>
      <c r="J159" s="72">
        <v>12</v>
      </c>
      <c r="K159" s="72" t="s">
        <v>41</v>
      </c>
      <c r="L159" s="90"/>
      <c r="M159" s="90"/>
    </row>
    <row r="160" spans="1:13" s="7" customFormat="1" ht="12" customHeight="1">
      <c r="A160" s="31" t="s">
        <v>318</v>
      </c>
      <c r="B160" s="31" t="s">
        <v>318</v>
      </c>
      <c r="C160" s="32" t="s">
        <v>52</v>
      </c>
      <c r="D160" s="32" t="s">
        <v>54</v>
      </c>
      <c r="E160" s="33" t="s">
        <v>2530</v>
      </c>
      <c r="F160" s="72" t="s">
        <v>2536</v>
      </c>
      <c r="G160" s="33">
        <v>1502000</v>
      </c>
      <c r="H160" s="72" t="s">
        <v>71</v>
      </c>
      <c r="I160" s="101" t="s">
        <v>72</v>
      </c>
      <c r="J160" s="72">
        <v>12</v>
      </c>
      <c r="K160" s="72" t="s">
        <v>41</v>
      </c>
      <c r="L160" s="90"/>
      <c r="M160" s="90"/>
    </row>
    <row r="161" spans="1:13" s="7" customFormat="1" ht="12" customHeight="1">
      <c r="A161" s="31" t="s">
        <v>318</v>
      </c>
      <c r="B161" s="31" t="s">
        <v>318</v>
      </c>
      <c r="C161" s="31" t="s">
        <v>52</v>
      </c>
      <c r="D161" s="32" t="s">
        <v>54</v>
      </c>
      <c r="E161" s="33" t="s">
        <v>2530</v>
      </c>
      <c r="F161" s="72" t="s">
        <v>2537</v>
      </c>
      <c r="G161" s="33">
        <v>1502000</v>
      </c>
      <c r="H161" s="72" t="s">
        <v>73</v>
      </c>
      <c r="I161" s="101" t="s">
        <v>74</v>
      </c>
      <c r="J161" s="72">
        <v>12</v>
      </c>
      <c r="K161" s="72" t="s">
        <v>41</v>
      </c>
      <c r="L161" s="90"/>
      <c r="M161" s="90"/>
    </row>
    <row r="162" spans="1:13" s="7" customFormat="1" ht="12" customHeight="1">
      <c r="A162" s="31" t="s">
        <v>318</v>
      </c>
      <c r="B162" s="31" t="s">
        <v>318</v>
      </c>
      <c r="C162" s="32" t="s">
        <v>52</v>
      </c>
      <c r="D162" s="32" t="s">
        <v>54</v>
      </c>
      <c r="E162" s="33" t="s">
        <v>2530</v>
      </c>
      <c r="F162" s="72" t="s">
        <v>2538</v>
      </c>
      <c r="G162" s="33">
        <v>1502000</v>
      </c>
      <c r="H162" s="72" t="s">
        <v>75</v>
      </c>
      <c r="I162" s="101" t="s">
        <v>2194</v>
      </c>
      <c r="J162" s="72">
        <v>12</v>
      </c>
      <c r="K162" s="72" t="s">
        <v>41</v>
      </c>
      <c r="L162" s="90"/>
      <c r="M162" s="90"/>
    </row>
    <row r="163" spans="1:13" s="7" customFormat="1" ht="12" customHeight="1">
      <c r="A163" s="31" t="s">
        <v>318</v>
      </c>
      <c r="B163" s="31" t="s">
        <v>318</v>
      </c>
      <c r="C163" s="32" t="s">
        <v>52</v>
      </c>
      <c r="D163" s="32" t="s">
        <v>80</v>
      </c>
      <c r="E163" s="33" t="s">
        <v>2530</v>
      </c>
      <c r="F163" s="72" t="s">
        <v>2539</v>
      </c>
      <c r="G163" s="33">
        <v>1502000</v>
      </c>
      <c r="H163" s="72" t="s">
        <v>81</v>
      </c>
      <c r="I163" s="101" t="s">
        <v>82</v>
      </c>
      <c r="J163" s="72">
        <v>12</v>
      </c>
      <c r="K163" s="72" t="s">
        <v>41</v>
      </c>
      <c r="L163" s="90"/>
      <c r="M163" s="90"/>
    </row>
    <row r="164" spans="1:13" s="7" customFormat="1" ht="12" customHeight="1">
      <c r="A164" s="31" t="s">
        <v>318</v>
      </c>
      <c r="B164" s="31" t="s">
        <v>318</v>
      </c>
      <c r="C164" s="32" t="s">
        <v>52</v>
      </c>
      <c r="D164" s="32" t="s">
        <v>80</v>
      </c>
      <c r="E164" s="33" t="s">
        <v>2530</v>
      </c>
      <c r="F164" s="72" t="s">
        <v>2540</v>
      </c>
      <c r="G164" s="33">
        <v>1502000</v>
      </c>
      <c r="H164" s="72" t="s">
        <v>83</v>
      </c>
      <c r="I164" s="101" t="s">
        <v>84</v>
      </c>
      <c r="J164" s="72">
        <v>12</v>
      </c>
      <c r="K164" s="72" t="s">
        <v>41</v>
      </c>
      <c r="L164" s="90"/>
      <c r="M164" s="90"/>
    </row>
    <row r="165" spans="1:13" s="7" customFormat="1" ht="12" customHeight="1">
      <c r="A165" s="31" t="s">
        <v>318</v>
      </c>
      <c r="B165" s="31" t="s">
        <v>318</v>
      </c>
      <c r="C165" s="32" t="s">
        <v>52</v>
      </c>
      <c r="D165" s="32" t="s">
        <v>89</v>
      </c>
      <c r="E165" s="33" t="s">
        <v>2530</v>
      </c>
      <c r="F165" s="72" t="s">
        <v>2541</v>
      </c>
      <c r="G165" s="33">
        <v>1502000</v>
      </c>
      <c r="H165" s="72" t="s">
        <v>91</v>
      </c>
      <c r="I165" s="101" t="s">
        <v>92</v>
      </c>
      <c r="J165" s="72">
        <v>12</v>
      </c>
      <c r="K165" s="72" t="s">
        <v>41</v>
      </c>
      <c r="L165" s="90"/>
      <c r="M165" s="90"/>
    </row>
    <row r="166" spans="1:13" s="7" customFormat="1" ht="12" customHeight="1">
      <c r="A166" s="31" t="s">
        <v>318</v>
      </c>
      <c r="B166" s="31" t="s">
        <v>318</v>
      </c>
      <c r="C166" s="32" t="s">
        <v>52</v>
      </c>
      <c r="D166" s="32" t="s">
        <v>89</v>
      </c>
      <c r="E166" s="33" t="s">
        <v>2530</v>
      </c>
      <c r="F166" s="72" t="s">
        <v>2542</v>
      </c>
      <c r="G166" s="33">
        <v>1502000</v>
      </c>
      <c r="H166" s="72" t="s">
        <v>99</v>
      </c>
      <c r="I166" s="101" t="s">
        <v>100</v>
      </c>
      <c r="J166" s="72">
        <v>12</v>
      </c>
      <c r="K166" s="72" t="s">
        <v>41</v>
      </c>
      <c r="L166" s="90"/>
      <c r="M166" s="90"/>
    </row>
    <row r="167" spans="1:13" s="7" customFormat="1" ht="12" customHeight="1">
      <c r="A167" s="32" t="s">
        <v>245</v>
      </c>
      <c r="B167" s="32" t="s">
        <v>245</v>
      </c>
      <c r="C167" s="32" t="s">
        <v>52</v>
      </c>
      <c r="D167" s="32" t="s">
        <v>53</v>
      </c>
      <c r="E167" s="33" t="s">
        <v>1990</v>
      </c>
      <c r="F167" s="72" t="s">
        <v>1991</v>
      </c>
      <c r="G167" s="33">
        <v>1502000</v>
      </c>
      <c r="H167" s="72">
        <v>3.1</v>
      </c>
      <c r="I167" s="101" t="s">
        <v>591</v>
      </c>
      <c r="J167" s="72">
        <v>12</v>
      </c>
      <c r="K167" s="72" t="s">
        <v>38</v>
      </c>
      <c r="L167" s="90"/>
      <c r="M167" s="90"/>
    </row>
    <row r="168" spans="1:13" s="7" customFormat="1" ht="12" customHeight="1">
      <c r="A168" s="32" t="s">
        <v>245</v>
      </c>
      <c r="B168" s="32" t="s">
        <v>245</v>
      </c>
      <c r="C168" s="32" t="s">
        <v>120</v>
      </c>
      <c r="D168" s="32" t="s">
        <v>10</v>
      </c>
      <c r="E168" s="33" t="s">
        <v>1990</v>
      </c>
      <c r="F168" s="72" t="s">
        <v>1992</v>
      </c>
      <c r="G168" s="38">
        <v>1700000</v>
      </c>
      <c r="H168" s="33" t="s">
        <v>128</v>
      </c>
      <c r="I168" s="103" t="s">
        <v>129</v>
      </c>
      <c r="J168" s="72">
        <v>12</v>
      </c>
      <c r="K168" s="72" t="s">
        <v>41</v>
      </c>
      <c r="L168" s="90"/>
      <c r="M168" s="90"/>
    </row>
    <row r="169" spans="1:13" s="7" customFormat="1" ht="12" customHeight="1">
      <c r="A169" s="32" t="s">
        <v>245</v>
      </c>
      <c r="B169" s="32" t="s">
        <v>245</v>
      </c>
      <c r="C169" s="32" t="s">
        <v>120</v>
      </c>
      <c r="D169" s="32" t="s">
        <v>10</v>
      </c>
      <c r="E169" s="33" t="s">
        <v>1990</v>
      </c>
      <c r="F169" s="72" t="s">
        <v>2017</v>
      </c>
      <c r="G169" s="38">
        <v>1700000</v>
      </c>
      <c r="H169" s="33" t="s">
        <v>133</v>
      </c>
      <c r="I169" s="103" t="s">
        <v>134</v>
      </c>
      <c r="J169" s="72">
        <v>12</v>
      </c>
      <c r="K169" s="72" t="s">
        <v>41</v>
      </c>
      <c r="L169" s="90"/>
      <c r="M169" s="90"/>
    </row>
    <row r="170" spans="1:13" s="7" customFormat="1" ht="12" customHeight="1">
      <c r="A170" s="32" t="s">
        <v>245</v>
      </c>
      <c r="B170" s="32" t="s">
        <v>245</v>
      </c>
      <c r="C170" s="32" t="s">
        <v>120</v>
      </c>
      <c r="D170" s="32" t="s">
        <v>10</v>
      </c>
      <c r="E170" s="33" t="s">
        <v>1990</v>
      </c>
      <c r="F170" s="72" t="s">
        <v>2543</v>
      </c>
      <c r="G170" s="38">
        <v>1700000</v>
      </c>
      <c r="H170" s="33" t="s">
        <v>135</v>
      </c>
      <c r="I170" s="101" t="s">
        <v>136</v>
      </c>
      <c r="J170" s="72">
        <v>3</v>
      </c>
      <c r="K170" s="72" t="s">
        <v>38</v>
      </c>
      <c r="L170" s="90"/>
      <c r="M170" s="90"/>
    </row>
    <row r="171" spans="1:13" s="7" customFormat="1" ht="12" customHeight="1">
      <c r="A171" s="37" t="s">
        <v>248</v>
      </c>
      <c r="B171" s="37" t="s">
        <v>248</v>
      </c>
      <c r="C171" s="32" t="s">
        <v>120</v>
      </c>
      <c r="D171" s="32" t="s">
        <v>10</v>
      </c>
      <c r="E171" s="33" t="s">
        <v>1993</v>
      </c>
      <c r="F171" s="72" t="s">
        <v>1994</v>
      </c>
      <c r="G171" s="38">
        <v>1700000</v>
      </c>
      <c r="H171" s="33" t="s">
        <v>130</v>
      </c>
      <c r="I171" s="103" t="s">
        <v>131</v>
      </c>
      <c r="J171" s="72">
        <v>12</v>
      </c>
      <c r="K171" s="72" t="s">
        <v>41</v>
      </c>
      <c r="L171" s="90"/>
      <c r="M171" s="90"/>
    </row>
    <row r="172" spans="1:13" s="7" customFormat="1" ht="12" customHeight="1">
      <c r="A172" s="37" t="s">
        <v>248</v>
      </c>
      <c r="B172" s="37" t="s">
        <v>248</v>
      </c>
      <c r="C172" s="32" t="s">
        <v>120</v>
      </c>
      <c r="D172" s="32" t="s">
        <v>10</v>
      </c>
      <c r="E172" s="33" t="s">
        <v>1993</v>
      </c>
      <c r="F172" s="72" t="s">
        <v>1995</v>
      </c>
      <c r="G172" s="38">
        <v>1700000</v>
      </c>
      <c r="H172" s="33" t="s">
        <v>133</v>
      </c>
      <c r="I172" s="103" t="s">
        <v>134</v>
      </c>
      <c r="J172" s="72">
        <v>12</v>
      </c>
      <c r="K172" s="72" t="s">
        <v>41</v>
      </c>
      <c r="L172" s="90"/>
      <c r="M172" s="90"/>
    </row>
    <row r="173" spans="1:13" s="7" customFormat="1" ht="12" customHeight="1">
      <c r="A173" s="31" t="s">
        <v>249</v>
      </c>
      <c r="B173" s="31" t="s">
        <v>249</v>
      </c>
      <c r="C173" s="31" t="s">
        <v>52</v>
      </c>
      <c r="D173" s="32" t="s">
        <v>53</v>
      </c>
      <c r="E173" s="33" t="s">
        <v>1996</v>
      </c>
      <c r="F173" s="72" t="s">
        <v>1997</v>
      </c>
      <c r="G173" s="33">
        <v>1502000</v>
      </c>
      <c r="H173" s="72">
        <v>3.1</v>
      </c>
      <c r="I173" s="101" t="s">
        <v>591</v>
      </c>
      <c r="J173" s="72">
        <v>17</v>
      </c>
      <c r="K173" s="72" t="s">
        <v>38</v>
      </c>
      <c r="L173" s="90"/>
      <c r="M173" s="90"/>
    </row>
    <row r="174" spans="1:13" s="7" customFormat="1" ht="12" customHeight="1">
      <c r="A174" s="31" t="s">
        <v>249</v>
      </c>
      <c r="B174" s="31" t="s">
        <v>249</v>
      </c>
      <c r="C174" s="31" t="s">
        <v>52</v>
      </c>
      <c r="D174" s="32" t="s">
        <v>54</v>
      </c>
      <c r="E174" s="33" t="s">
        <v>1996</v>
      </c>
      <c r="F174" s="72" t="s">
        <v>1998</v>
      </c>
      <c r="G174" s="33">
        <v>1502000</v>
      </c>
      <c r="H174" s="72" t="s">
        <v>59</v>
      </c>
      <c r="I174" s="101" t="s">
        <v>60</v>
      </c>
      <c r="J174" s="72">
        <v>12</v>
      </c>
      <c r="K174" s="72" t="s">
        <v>41</v>
      </c>
      <c r="L174" s="90"/>
      <c r="M174" s="90"/>
    </row>
    <row r="175" spans="1:13" s="7" customFormat="1" ht="12" customHeight="1">
      <c r="A175" s="31" t="s">
        <v>249</v>
      </c>
      <c r="B175" s="31" t="s">
        <v>249</v>
      </c>
      <c r="C175" s="31" t="s">
        <v>52</v>
      </c>
      <c r="D175" s="32" t="s">
        <v>54</v>
      </c>
      <c r="E175" s="33" t="s">
        <v>1996</v>
      </c>
      <c r="F175" s="72" t="s">
        <v>1999</v>
      </c>
      <c r="G175" s="33">
        <v>1502000</v>
      </c>
      <c r="H175" s="72" t="s">
        <v>65</v>
      </c>
      <c r="I175" s="101" t="s">
        <v>66</v>
      </c>
      <c r="J175" s="72">
        <v>12</v>
      </c>
      <c r="K175" s="72" t="s">
        <v>41</v>
      </c>
      <c r="L175" s="90"/>
      <c r="M175" s="90"/>
    </row>
    <row r="176" spans="1:13" s="7" customFormat="1" ht="12" customHeight="1">
      <c r="A176" s="31" t="s">
        <v>249</v>
      </c>
      <c r="B176" s="31" t="s">
        <v>249</v>
      </c>
      <c r="C176" s="31" t="s">
        <v>52</v>
      </c>
      <c r="D176" s="32" t="s">
        <v>54</v>
      </c>
      <c r="E176" s="33" t="s">
        <v>1996</v>
      </c>
      <c r="F176" s="72" t="s">
        <v>2000</v>
      </c>
      <c r="G176" s="33">
        <v>1502000</v>
      </c>
      <c r="H176" s="72" t="s">
        <v>71</v>
      </c>
      <c r="I176" s="101" t="s">
        <v>72</v>
      </c>
      <c r="J176" s="72">
        <v>12</v>
      </c>
      <c r="K176" s="72" t="s">
        <v>41</v>
      </c>
      <c r="L176" s="90"/>
      <c r="M176" s="90"/>
    </row>
    <row r="177" spans="1:13" s="7" customFormat="1" ht="12" customHeight="1">
      <c r="A177" s="31" t="s">
        <v>249</v>
      </c>
      <c r="B177" s="31" t="s">
        <v>249</v>
      </c>
      <c r="C177" s="31" t="s">
        <v>52</v>
      </c>
      <c r="D177" s="32" t="s">
        <v>54</v>
      </c>
      <c r="E177" s="33" t="s">
        <v>1996</v>
      </c>
      <c r="F177" s="72" t="s">
        <v>2544</v>
      </c>
      <c r="G177" s="33">
        <v>1502000</v>
      </c>
      <c r="H177" s="72" t="s">
        <v>76</v>
      </c>
      <c r="I177" s="101" t="s">
        <v>77</v>
      </c>
      <c r="J177" s="72">
        <v>12</v>
      </c>
      <c r="K177" s="72" t="s">
        <v>41</v>
      </c>
      <c r="L177" s="90"/>
      <c r="M177" s="90"/>
    </row>
    <row r="178" spans="1:13" s="7" customFormat="1" ht="12" customHeight="1">
      <c r="A178" s="31" t="s">
        <v>249</v>
      </c>
      <c r="B178" s="31" t="s">
        <v>249</v>
      </c>
      <c r="C178" s="31" t="s">
        <v>52</v>
      </c>
      <c r="D178" s="31" t="s">
        <v>80</v>
      </c>
      <c r="E178" s="33" t="s">
        <v>1996</v>
      </c>
      <c r="F178" s="72" t="s">
        <v>2545</v>
      </c>
      <c r="G178" s="33">
        <v>1502000</v>
      </c>
      <c r="H178" s="72" t="s">
        <v>81</v>
      </c>
      <c r="I178" s="101" t="s">
        <v>82</v>
      </c>
      <c r="J178" s="72">
        <v>12</v>
      </c>
      <c r="K178" s="72" t="s">
        <v>41</v>
      </c>
      <c r="L178" s="90"/>
      <c r="M178" s="90"/>
    </row>
    <row r="179" spans="1:13" s="7" customFormat="1" ht="12" customHeight="1">
      <c r="A179" s="31" t="s">
        <v>249</v>
      </c>
      <c r="B179" s="31" t="s">
        <v>249</v>
      </c>
      <c r="C179" s="31" t="s">
        <v>52</v>
      </c>
      <c r="D179" s="31" t="s">
        <v>80</v>
      </c>
      <c r="E179" s="33" t="s">
        <v>1996</v>
      </c>
      <c r="F179" s="72" t="s">
        <v>2546</v>
      </c>
      <c r="G179" s="33">
        <v>1502000</v>
      </c>
      <c r="H179" s="72" t="s">
        <v>87</v>
      </c>
      <c r="I179" s="101" t="s">
        <v>77</v>
      </c>
      <c r="J179" s="72">
        <v>12</v>
      </c>
      <c r="K179" s="72" t="s">
        <v>41</v>
      </c>
      <c r="L179" s="90"/>
      <c r="M179" s="90"/>
    </row>
    <row r="180" spans="1:13" s="7" customFormat="1" ht="12" customHeight="1">
      <c r="A180" s="31" t="s">
        <v>250</v>
      </c>
      <c r="B180" s="31" t="s">
        <v>250</v>
      </c>
      <c r="C180" s="31" t="s">
        <v>52</v>
      </c>
      <c r="D180" s="32" t="s">
        <v>54</v>
      </c>
      <c r="E180" s="33" t="s">
        <v>2001</v>
      </c>
      <c r="F180" s="72" t="s">
        <v>2002</v>
      </c>
      <c r="G180" s="33">
        <v>1502000</v>
      </c>
      <c r="H180" s="72" t="s">
        <v>57</v>
      </c>
      <c r="I180" s="101" t="s">
        <v>58</v>
      </c>
      <c r="J180" s="72">
        <v>12</v>
      </c>
      <c r="K180" s="72" t="s">
        <v>41</v>
      </c>
      <c r="L180" s="90"/>
      <c r="M180" s="90"/>
    </row>
    <row r="181" spans="1:13" s="7" customFormat="1" ht="12" customHeight="1">
      <c r="A181" s="31" t="s">
        <v>250</v>
      </c>
      <c r="B181" s="31" t="s">
        <v>250</v>
      </c>
      <c r="C181" s="32" t="s">
        <v>52</v>
      </c>
      <c r="D181" s="32" t="s">
        <v>54</v>
      </c>
      <c r="E181" s="33" t="s">
        <v>2001</v>
      </c>
      <c r="F181" s="72" t="s">
        <v>2003</v>
      </c>
      <c r="G181" s="33">
        <v>1502000</v>
      </c>
      <c r="H181" s="72" t="s">
        <v>71</v>
      </c>
      <c r="I181" s="101" t="s">
        <v>72</v>
      </c>
      <c r="J181" s="72">
        <v>12</v>
      </c>
      <c r="K181" s="72" t="s">
        <v>41</v>
      </c>
      <c r="L181" s="90"/>
      <c r="M181" s="90"/>
    </row>
    <row r="182" spans="1:13" s="7" customFormat="1" ht="12" customHeight="1">
      <c r="A182" s="31" t="s">
        <v>250</v>
      </c>
      <c r="B182" s="31" t="s">
        <v>250</v>
      </c>
      <c r="C182" s="31" t="s">
        <v>52</v>
      </c>
      <c r="D182" s="32" t="s">
        <v>54</v>
      </c>
      <c r="E182" s="33" t="s">
        <v>2001</v>
      </c>
      <c r="F182" s="72" t="s">
        <v>2547</v>
      </c>
      <c r="G182" s="33">
        <v>1502000</v>
      </c>
      <c r="H182" s="72" t="s">
        <v>73</v>
      </c>
      <c r="I182" s="101" t="s">
        <v>74</v>
      </c>
      <c r="J182" s="72">
        <v>12</v>
      </c>
      <c r="K182" s="72" t="s">
        <v>41</v>
      </c>
      <c r="L182" s="90"/>
      <c r="M182" s="90"/>
    </row>
    <row r="183" spans="1:13" s="21" customFormat="1" ht="12" customHeight="1">
      <c r="A183" s="31" t="s">
        <v>250</v>
      </c>
      <c r="B183" s="31" t="s">
        <v>250</v>
      </c>
      <c r="C183" s="32" t="s">
        <v>52</v>
      </c>
      <c r="D183" s="32" t="s">
        <v>89</v>
      </c>
      <c r="E183" s="33" t="s">
        <v>2001</v>
      </c>
      <c r="F183" s="72" t="s">
        <v>2548</v>
      </c>
      <c r="G183" s="33">
        <v>1502000</v>
      </c>
      <c r="H183" s="72" t="s">
        <v>95</v>
      </c>
      <c r="I183" s="101" t="s">
        <v>96</v>
      </c>
      <c r="J183" s="72">
        <v>12</v>
      </c>
      <c r="K183" s="72" t="s">
        <v>41</v>
      </c>
      <c r="L183" s="90"/>
      <c r="M183" s="90"/>
    </row>
    <row r="184" spans="1:13" s="7" customFormat="1" ht="12" customHeight="1">
      <c r="A184" s="31" t="s">
        <v>251</v>
      </c>
      <c r="B184" s="31" t="s">
        <v>251</v>
      </c>
      <c r="C184" s="31" t="s">
        <v>52</v>
      </c>
      <c r="D184" s="32" t="s">
        <v>54</v>
      </c>
      <c r="E184" s="33" t="s">
        <v>2004</v>
      </c>
      <c r="F184" s="72" t="s">
        <v>2005</v>
      </c>
      <c r="G184" s="33">
        <v>1502000</v>
      </c>
      <c r="H184" s="72" t="s">
        <v>59</v>
      </c>
      <c r="I184" s="101" t="s">
        <v>60</v>
      </c>
      <c r="J184" s="72">
        <v>12</v>
      </c>
      <c r="K184" s="72" t="s">
        <v>41</v>
      </c>
      <c r="L184" s="90"/>
      <c r="M184" s="90"/>
    </row>
    <row r="185" spans="1:13" s="7" customFormat="1" ht="12" customHeight="1">
      <c r="A185" s="31" t="s">
        <v>251</v>
      </c>
      <c r="B185" s="31" t="s">
        <v>251</v>
      </c>
      <c r="C185" s="32" t="s">
        <v>52</v>
      </c>
      <c r="D185" s="32" t="s">
        <v>54</v>
      </c>
      <c r="E185" s="33" t="s">
        <v>2004</v>
      </c>
      <c r="F185" s="72" t="s">
        <v>2006</v>
      </c>
      <c r="G185" s="33">
        <v>1502000</v>
      </c>
      <c r="H185" s="72" t="s">
        <v>71</v>
      </c>
      <c r="I185" s="101" t="s">
        <v>72</v>
      </c>
      <c r="J185" s="72">
        <v>12</v>
      </c>
      <c r="K185" s="72" t="s">
        <v>41</v>
      </c>
      <c r="L185" s="90"/>
      <c r="M185" s="90"/>
    </row>
    <row r="186" spans="1:13" s="7" customFormat="1" ht="12" customHeight="1">
      <c r="A186" s="31" t="s">
        <v>251</v>
      </c>
      <c r="B186" s="31" t="s">
        <v>251</v>
      </c>
      <c r="C186" s="32" t="s">
        <v>52</v>
      </c>
      <c r="D186" s="32" t="s">
        <v>54</v>
      </c>
      <c r="E186" s="33" t="s">
        <v>2004</v>
      </c>
      <c r="F186" s="72" t="s">
        <v>2007</v>
      </c>
      <c r="G186" s="33">
        <v>1502000</v>
      </c>
      <c r="H186" s="72" t="s">
        <v>76</v>
      </c>
      <c r="I186" s="101" t="s">
        <v>77</v>
      </c>
      <c r="J186" s="72">
        <v>12</v>
      </c>
      <c r="K186" s="72" t="s">
        <v>41</v>
      </c>
      <c r="L186" s="90"/>
      <c r="M186" s="90"/>
    </row>
    <row r="187" spans="1:13" s="7" customFormat="1" ht="12" customHeight="1">
      <c r="A187" s="31" t="s">
        <v>251</v>
      </c>
      <c r="B187" s="31" t="s">
        <v>251</v>
      </c>
      <c r="C187" s="31" t="s">
        <v>52</v>
      </c>
      <c r="D187" s="31" t="s">
        <v>80</v>
      </c>
      <c r="E187" s="33" t="s">
        <v>2004</v>
      </c>
      <c r="F187" s="72" t="s">
        <v>2008</v>
      </c>
      <c r="G187" s="33">
        <v>1502000</v>
      </c>
      <c r="H187" s="72" t="s">
        <v>87</v>
      </c>
      <c r="I187" s="101" t="s">
        <v>77</v>
      </c>
      <c r="J187" s="72">
        <v>12</v>
      </c>
      <c r="K187" s="72" t="s">
        <v>41</v>
      </c>
      <c r="L187" s="90"/>
      <c r="M187" s="90"/>
    </row>
    <row r="188" spans="1:13" s="7" customFormat="1" ht="12" customHeight="1">
      <c r="A188" s="31" t="s">
        <v>252</v>
      </c>
      <c r="B188" s="31" t="s">
        <v>252</v>
      </c>
      <c r="C188" s="31" t="s">
        <v>52</v>
      </c>
      <c r="D188" s="32" t="s">
        <v>54</v>
      </c>
      <c r="E188" s="33" t="s">
        <v>2009</v>
      </c>
      <c r="F188" s="72" t="s">
        <v>2010</v>
      </c>
      <c r="G188" s="33">
        <v>1502000</v>
      </c>
      <c r="H188" s="72" t="s">
        <v>65</v>
      </c>
      <c r="I188" s="101" t="s">
        <v>66</v>
      </c>
      <c r="J188" s="72">
        <v>12</v>
      </c>
      <c r="K188" s="72" t="s">
        <v>41</v>
      </c>
      <c r="L188" s="90"/>
      <c r="M188" s="90"/>
    </row>
    <row r="189" spans="1:13" s="7" customFormat="1" ht="12" customHeight="1">
      <c r="A189" s="31" t="s">
        <v>252</v>
      </c>
      <c r="B189" s="31" t="s">
        <v>252</v>
      </c>
      <c r="C189" s="32" t="s">
        <v>52</v>
      </c>
      <c r="D189" s="32" t="s">
        <v>54</v>
      </c>
      <c r="E189" s="33" t="s">
        <v>2009</v>
      </c>
      <c r="F189" s="72" t="s">
        <v>2011</v>
      </c>
      <c r="G189" s="33">
        <v>1502000</v>
      </c>
      <c r="H189" s="72" t="s">
        <v>57</v>
      </c>
      <c r="I189" s="101" t="s">
        <v>58</v>
      </c>
      <c r="J189" s="72">
        <v>12</v>
      </c>
      <c r="K189" s="72" t="s">
        <v>41</v>
      </c>
      <c r="L189" s="90"/>
      <c r="M189" s="90"/>
    </row>
    <row r="190" spans="1:13" s="7" customFormat="1" ht="12" customHeight="1">
      <c r="A190" s="31" t="s">
        <v>252</v>
      </c>
      <c r="B190" s="31" t="s">
        <v>252</v>
      </c>
      <c r="C190" s="32" t="s">
        <v>52</v>
      </c>
      <c r="D190" s="32" t="s">
        <v>54</v>
      </c>
      <c r="E190" s="33" t="s">
        <v>2009</v>
      </c>
      <c r="F190" s="72" t="s">
        <v>2012</v>
      </c>
      <c r="G190" s="33">
        <v>1502000</v>
      </c>
      <c r="H190" s="72" t="s">
        <v>71</v>
      </c>
      <c r="I190" s="101" t="s">
        <v>72</v>
      </c>
      <c r="J190" s="72">
        <v>12</v>
      </c>
      <c r="K190" s="72" t="s">
        <v>41</v>
      </c>
      <c r="L190" s="90"/>
      <c r="M190" s="90"/>
    </row>
    <row r="191" spans="1:13" s="7" customFormat="1" ht="12" customHeight="1">
      <c r="A191" s="31" t="s">
        <v>252</v>
      </c>
      <c r="B191" s="31" t="s">
        <v>252</v>
      </c>
      <c r="C191" s="31" t="s">
        <v>52</v>
      </c>
      <c r="D191" s="32" t="s">
        <v>89</v>
      </c>
      <c r="E191" s="33" t="s">
        <v>2009</v>
      </c>
      <c r="F191" s="72" t="s">
        <v>2013</v>
      </c>
      <c r="G191" s="33">
        <v>1502000</v>
      </c>
      <c r="H191" s="72" t="s">
        <v>95</v>
      </c>
      <c r="I191" s="101" t="s">
        <v>96</v>
      </c>
      <c r="J191" s="72">
        <v>12</v>
      </c>
      <c r="K191" s="72" t="s">
        <v>41</v>
      </c>
      <c r="L191" s="90"/>
      <c r="M191" s="90"/>
    </row>
    <row r="192" spans="1:13" s="7" customFormat="1" ht="12" customHeight="1">
      <c r="A192" s="31" t="s">
        <v>252</v>
      </c>
      <c r="B192" s="31" t="s">
        <v>252</v>
      </c>
      <c r="C192" s="32" t="s">
        <v>52</v>
      </c>
      <c r="D192" s="32" t="s">
        <v>54</v>
      </c>
      <c r="E192" s="33" t="s">
        <v>2009</v>
      </c>
      <c r="F192" s="72" t="s">
        <v>2549</v>
      </c>
      <c r="G192" s="36">
        <v>1502000</v>
      </c>
      <c r="H192" s="72" t="s">
        <v>73</v>
      </c>
      <c r="I192" s="101" t="s">
        <v>74</v>
      </c>
      <c r="J192" s="72">
        <v>12</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topLeftCell="A28" workbookViewId="0">
      <selection activeCell="B21" sqref="B21"/>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768</v>
      </c>
      <c r="C5" s="16"/>
    </row>
    <row r="6" spans="1:10">
      <c r="A6" s="63"/>
      <c r="B6" s="63" t="s">
        <v>254</v>
      </c>
      <c r="C6" s="16"/>
    </row>
    <row r="7" spans="1:10" ht="14.45" customHeight="1">
      <c r="A7" s="19"/>
      <c r="B7" s="19" t="s">
        <v>2220</v>
      </c>
      <c r="C7" s="13"/>
    </row>
    <row r="8" spans="1:10" s="20" customFormat="1" ht="70.5" customHeight="1">
      <c r="A8" s="41" t="s">
        <v>24</v>
      </c>
      <c r="B8" s="41" t="s">
        <v>255</v>
      </c>
      <c r="C8" s="41" t="s">
        <v>256</v>
      </c>
      <c r="D8" s="42" t="s">
        <v>257</v>
      </c>
      <c r="E8" s="42" t="s">
        <v>29</v>
      </c>
      <c r="F8" s="42" t="s">
        <v>30</v>
      </c>
      <c r="G8" s="43" t="s">
        <v>31</v>
      </c>
    </row>
    <row r="9" spans="1:10" ht="282" customHeight="1">
      <c r="A9" s="44" t="s">
        <v>865</v>
      </c>
      <c r="B9" s="45" t="s">
        <v>259</v>
      </c>
      <c r="C9" s="46" t="s">
        <v>2627</v>
      </c>
      <c r="D9" s="47">
        <f>G10+G11</f>
        <v>0</v>
      </c>
      <c r="E9" s="33" t="s">
        <v>206</v>
      </c>
      <c r="F9" s="109">
        <v>1</v>
      </c>
      <c r="G9" s="40"/>
    </row>
    <row r="10" spans="1:10" ht="180" customHeight="1">
      <c r="A10" s="44" t="s">
        <v>2221</v>
      </c>
      <c r="B10" s="45" t="s">
        <v>2227</v>
      </c>
      <c r="C10" s="46" t="s">
        <v>2226</v>
      </c>
      <c r="D10" s="47">
        <f>'CLIN 0002 Base Period N-RW'!D10</f>
        <v>16000</v>
      </c>
      <c r="E10" s="33" t="s">
        <v>260</v>
      </c>
      <c r="F10" s="40"/>
      <c r="G10" s="40"/>
    </row>
    <row r="11" spans="1:10" ht="204.75" customHeight="1">
      <c r="A11" s="44" t="s">
        <v>2222</v>
      </c>
      <c r="B11" s="45" t="s">
        <v>2228</v>
      </c>
      <c r="C11" s="46" t="s">
        <v>2197</v>
      </c>
      <c r="D11" s="47">
        <f>'CLIN 0002 Base Period N-RW'!D11</f>
        <v>1600000</v>
      </c>
      <c r="E11" s="33" t="s">
        <v>206</v>
      </c>
      <c r="F11" s="40"/>
      <c r="G11" s="40"/>
    </row>
    <row r="12" spans="1:10" s="7" customFormat="1" ht="212.25" customHeight="1">
      <c r="A12" s="44" t="s">
        <v>866</v>
      </c>
      <c r="B12" s="45" t="s">
        <v>267</v>
      </c>
      <c r="C12" s="46" t="s">
        <v>2201</v>
      </c>
      <c r="D12" s="50">
        <v>2000000</v>
      </c>
      <c r="E12" s="33" t="s">
        <v>206</v>
      </c>
      <c r="F12" s="40"/>
      <c r="G12" s="40"/>
    </row>
    <row r="13" spans="1:10" s="7" customFormat="1" ht="144.75" customHeight="1">
      <c r="A13" s="44" t="s">
        <v>867</v>
      </c>
      <c r="B13" s="45" t="s">
        <v>269</v>
      </c>
      <c r="C13" s="46" t="s">
        <v>753</v>
      </c>
      <c r="D13" s="51">
        <v>115</v>
      </c>
      <c r="E13" s="52" t="s">
        <v>38</v>
      </c>
      <c r="F13" s="40"/>
      <c r="G13" s="40"/>
    </row>
    <row r="14" spans="1:10" ht="149.25" customHeight="1">
      <c r="A14" s="44" t="s">
        <v>868</v>
      </c>
      <c r="B14" s="45" t="s">
        <v>271</v>
      </c>
      <c r="C14" s="46" t="s">
        <v>754</v>
      </c>
      <c r="D14" s="51">
        <v>130</v>
      </c>
      <c r="E14" s="52" t="s">
        <v>38</v>
      </c>
      <c r="F14" s="40"/>
      <c r="G14" s="40"/>
    </row>
    <row r="15" spans="1:10" s="12" customFormat="1" ht="148.5" customHeight="1">
      <c r="A15" s="44" t="s">
        <v>869</v>
      </c>
      <c r="B15" s="45" t="s">
        <v>273</v>
      </c>
      <c r="C15" s="46" t="s">
        <v>756</v>
      </c>
      <c r="D15" s="51">
        <v>95</v>
      </c>
      <c r="E15" s="52" t="s">
        <v>38</v>
      </c>
      <c r="F15" s="40"/>
      <c r="G15" s="40"/>
    </row>
    <row r="16" spans="1:10" s="60" customFormat="1" ht="149.25" customHeight="1">
      <c r="A16" s="44" t="s">
        <v>870</v>
      </c>
      <c r="B16" s="48" t="s">
        <v>737</v>
      </c>
      <c r="C16" s="49" t="s">
        <v>757</v>
      </c>
      <c r="D16" s="51">
        <v>50</v>
      </c>
      <c r="E16" s="52" t="s">
        <v>38</v>
      </c>
      <c r="F16" s="40"/>
      <c r="G16" s="40"/>
    </row>
    <row r="17" spans="1:7" s="60" customFormat="1" ht="151.5" customHeight="1">
      <c r="A17" s="44" t="s">
        <v>871</v>
      </c>
      <c r="B17" s="48" t="s">
        <v>750</v>
      </c>
      <c r="C17" s="49" t="s">
        <v>758</v>
      </c>
      <c r="D17" s="51">
        <v>40</v>
      </c>
      <c r="E17" s="52" t="s">
        <v>38</v>
      </c>
      <c r="F17" s="40"/>
      <c r="G17" s="40"/>
    </row>
    <row r="18" spans="1:7" s="60" customFormat="1" ht="153.75" customHeight="1">
      <c r="A18" s="44" t="s">
        <v>872</v>
      </c>
      <c r="B18" s="48" t="s">
        <v>751</v>
      </c>
      <c r="C18" s="49" t="s">
        <v>759</v>
      </c>
      <c r="D18" s="51">
        <v>30</v>
      </c>
      <c r="E18" s="52" t="s">
        <v>38</v>
      </c>
      <c r="F18" s="40"/>
      <c r="G18" s="40"/>
    </row>
    <row r="19" spans="1:7" s="60" customFormat="1" ht="150" customHeight="1">
      <c r="A19" s="44" t="s">
        <v>873</v>
      </c>
      <c r="B19" s="48" t="s">
        <v>752</v>
      </c>
      <c r="C19" s="49" t="s">
        <v>760</v>
      </c>
      <c r="D19" s="51">
        <v>20</v>
      </c>
      <c r="E19" s="52" t="s">
        <v>38</v>
      </c>
      <c r="F19" s="40"/>
      <c r="G19" s="40"/>
    </row>
    <row r="20" spans="1:7" ht="114.75">
      <c r="A20" s="44" t="s">
        <v>874</v>
      </c>
      <c r="B20" s="56" t="s">
        <v>2638</v>
      </c>
      <c r="C20" s="45" t="s">
        <v>275</v>
      </c>
      <c r="D20" s="51">
        <v>20000</v>
      </c>
      <c r="E20" s="33" t="s">
        <v>276</v>
      </c>
      <c r="F20" s="40"/>
      <c r="G20" s="40"/>
    </row>
    <row r="21" spans="1:7" ht="127.5">
      <c r="A21" s="44" t="s">
        <v>875</v>
      </c>
      <c r="B21" s="56" t="s">
        <v>2637</v>
      </c>
      <c r="C21" s="45" t="s">
        <v>278</v>
      </c>
      <c r="D21" s="51">
        <v>30000</v>
      </c>
      <c r="E21" s="33" t="s">
        <v>276</v>
      </c>
      <c r="F21" s="40"/>
      <c r="G21" s="40"/>
    </row>
    <row r="22" spans="1:7" ht="76.5">
      <c r="A22" s="44" t="s">
        <v>876</v>
      </c>
      <c r="B22" s="56" t="s">
        <v>2636</v>
      </c>
      <c r="C22" s="45" t="s">
        <v>280</v>
      </c>
      <c r="D22" s="51">
        <v>18</v>
      </c>
      <c r="E22" s="33" t="s">
        <v>41</v>
      </c>
      <c r="F22" s="40"/>
      <c r="G22" s="40"/>
    </row>
    <row r="23" spans="1:7" ht="76.5">
      <c r="A23" s="44" t="s">
        <v>877</v>
      </c>
      <c r="B23" s="56" t="s">
        <v>2635</v>
      </c>
      <c r="C23" s="45" t="s">
        <v>282</v>
      </c>
      <c r="D23" s="51">
        <v>18</v>
      </c>
      <c r="E23" s="33" t="s">
        <v>41</v>
      </c>
      <c r="F23" s="40"/>
      <c r="G23" s="40"/>
    </row>
    <row r="24" spans="1:7" ht="91.5" customHeight="1">
      <c r="A24" s="44" t="s">
        <v>878</v>
      </c>
      <c r="B24" s="56" t="s">
        <v>2634</v>
      </c>
      <c r="C24" s="45" t="s">
        <v>284</v>
      </c>
      <c r="D24" s="51">
        <v>6</v>
      </c>
      <c r="E24" s="33" t="s">
        <v>38</v>
      </c>
      <c r="F24" s="40"/>
      <c r="G24" s="40"/>
    </row>
    <row r="25" spans="1:7" ht="127.5" customHeight="1">
      <c r="A25" s="44" t="s">
        <v>879</v>
      </c>
      <c r="B25" s="45" t="s">
        <v>2633</v>
      </c>
      <c r="C25" s="49" t="s">
        <v>286</v>
      </c>
      <c r="D25" s="51">
        <v>100</v>
      </c>
      <c r="E25" s="33" t="s">
        <v>287</v>
      </c>
      <c r="F25" s="40"/>
      <c r="G25" s="40"/>
    </row>
    <row r="26" spans="1:7" ht="127.5">
      <c r="A26" s="44" t="s">
        <v>880</v>
      </c>
      <c r="B26" s="45" t="s">
        <v>2629</v>
      </c>
      <c r="C26" s="49" t="s">
        <v>290</v>
      </c>
      <c r="D26" s="51">
        <v>5</v>
      </c>
      <c r="E26" s="33" t="s">
        <v>38</v>
      </c>
      <c r="F26" s="40"/>
      <c r="G26" s="40"/>
    </row>
    <row r="27" spans="1:7" ht="114.75">
      <c r="A27" s="44" t="s">
        <v>881</v>
      </c>
      <c r="B27" s="45" t="s">
        <v>2630</v>
      </c>
      <c r="C27" s="46" t="s">
        <v>292</v>
      </c>
      <c r="D27" s="51">
        <v>50</v>
      </c>
      <c r="E27" s="33" t="s">
        <v>38</v>
      </c>
      <c r="F27" s="40"/>
      <c r="G27" s="40"/>
    </row>
    <row r="28" spans="1:7" ht="102">
      <c r="A28" s="44" t="s">
        <v>882</v>
      </c>
      <c r="B28" s="45" t="s">
        <v>2631</v>
      </c>
      <c r="C28" s="46" t="s">
        <v>755</v>
      </c>
      <c r="D28" s="51">
        <v>30</v>
      </c>
      <c r="E28" s="33" t="s">
        <v>38</v>
      </c>
      <c r="F28" s="40"/>
      <c r="G28" s="40"/>
    </row>
    <row r="29" spans="1:7" ht="89.25">
      <c r="A29" s="44" t="s">
        <v>883</v>
      </c>
      <c r="B29" s="45" t="s">
        <v>2632</v>
      </c>
      <c r="C29" s="46" t="s">
        <v>732</v>
      </c>
      <c r="D29" s="51">
        <v>2</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K10" sqref="K10:M15"/>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B1" s="113" t="s">
        <v>18</v>
      </c>
      <c r="C1" s="115"/>
      <c r="D1" s="115"/>
      <c r="E1" s="115"/>
      <c r="F1" s="115"/>
      <c r="G1" s="115"/>
      <c r="H1" s="115"/>
      <c r="M1" s="78"/>
      <c r="N1" s="79"/>
    </row>
    <row r="2" spans="1:14" ht="15">
      <c r="B2" s="113" t="s">
        <v>19</v>
      </c>
      <c r="C2" s="115"/>
      <c r="D2" s="115"/>
      <c r="E2" s="115"/>
      <c r="F2" s="115"/>
      <c r="G2" s="115"/>
      <c r="H2" s="115"/>
    </row>
    <row r="3" spans="1:14" ht="15">
      <c r="B3" s="113" t="s">
        <v>761</v>
      </c>
      <c r="C3" s="115"/>
      <c r="D3" s="115"/>
      <c r="E3" s="115"/>
      <c r="F3" s="115"/>
      <c r="G3" s="115"/>
      <c r="H3" s="115"/>
    </row>
    <row r="4" spans="1:14">
      <c r="B4" s="65"/>
      <c r="E4" s="10"/>
      <c r="F4" s="76"/>
      <c r="G4" s="76"/>
      <c r="H4" s="3"/>
    </row>
    <row r="5" spans="1:14">
      <c r="B5" s="65"/>
      <c r="E5" s="10"/>
      <c r="F5" s="76"/>
      <c r="G5" s="76"/>
      <c r="H5" s="3"/>
    </row>
    <row r="6" spans="1:14">
      <c r="B6" s="63" t="s">
        <v>2192</v>
      </c>
      <c r="C6" s="16"/>
      <c r="D6" s="16"/>
      <c r="E6" s="16"/>
      <c r="F6" s="9"/>
      <c r="G6" s="16"/>
      <c r="H6" s="16"/>
    </row>
    <row r="7" spans="1:14" ht="12.95" customHeight="1">
      <c r="B7" s="64" t="s">
        <v>20</v>
      </c>
      <c r="C7" s="15"/>
      <c r="D7" s="15"/>
      <c r="E7" s="14"/>
      <c r="F7" s="76"/>
      <c r="G7" s="14"/>
      <c r="H7" s="14"/>
    </row>
    <row r="8" spans="1:14" ht="13.5" thickBot="1">
      <c r="B8" s="19" t="s">
        <v>2614</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2014</v>
      </c>
      <c r="E10" s="33" t="s">
        <v>2015</v>
      </c>
      <c r="F10" s="33">
        <v>1606000</v>
      </c>
      <c r="G10" s="33">
        <v>3.1</v>
      </c>
      <c r="H10" s="37" t="s">
        <v>8</v>
      </c>
      <c r="I10" s="33">
        <v>12</v>
      </c>
      <c r="J10" s="33" t="s">
        <v>41</v>
      </c>
      <c r="K10" s="34"/>
      <c r="L10" s="34"/>
    </row>
    <row r="11" spans="1:14" s="7" customFormat="1">
      <c r="A11" s="37" t="s">
        <v>51</v>
      </c>
      <c r="B11" s="32" t="s">
        <v>294</v>
      </c>
      <c r="C11" s="32" t="s">
        <v>53</v>
      </c>
      <c r="D11" s="33" t="s">
        <v>2014</v>
      </c>
      <c r="E11" s="33" t="s">
        <v>2016</v>
      </c>
      <c r="F11" s="33">
        <v>1606000</v>
      </c>
      <c r="G11" s="33" t="s">
        <v>116</v>
      </c>
      <c r="H11" s="37" t="s">
        <v>53</v>
      </c>
      <c r="I11" s="39">
        <v>80</v>
      </c>
      <c r="J11" s="33" t="s">
        <v>38</v>
      </c>
      <c r="K11" s="34"/>
      <c r="L11" s="34"/>
    </row>
    <row r="12" spans="1:14" s="7" customFormat="1">
      <c r="A12" s="37" t="s">
        <v>51</v>
      </c>
      <c r="B12" s="32" t="s">
        <v>294</v>
      </c>
      <c r="C12" s="32" t="s">
        <v>111</v>
      </c>
      <c r="D12" s="33" t="s">
        <v>2014</v>
      </c>
      <c r="E12" s="33" t="s">
        <v>2615</v>
      </c>
      <c r="F12" s="33">
        <v>1606000</v>
      </c>
      <c r="G12" s="33">
        <v>3.3</v>
      </c>
      <c r="H12" s="37" t="s">
        <v>295</v>
      </c>
      <c r="I12" s="33">
        <v>12</v>
      </c>
      <c r="J12" s="33" t="s">
        <v>41</v>
      </c>
      <c r="K12" s="34"/>
      <c r="L12" s="34"/>
    </row>
    <row r="13" spans="1:14" s="7" customFormat="1" ht="14.1" customHeight="1">
      <c r="A13" s="37" t="s">
        <v>108</v>
      </c>
      <c r="B13" s="32" t="s">
        <v>294</v>
      </c>
      <c r="C13" s="32" t="s">
        <v>111</v>
      </c>
      <c r="D13" s="33" t="s">
        <v>2014</v>
      </c>
      <c r="E13" s="33" t="s">
        <v>2616</v>
      </c>
      <c r="F13" s="33">
        <v>1606000</v>
      </c>
      <c r="G13" s="33">
        <v>3.4</v>
      </c>
      <c r="H13" s="37" t="s">
        <v>296</v>
      </c>
      <c r="I13" s="33">
        <v>12</v>
      </c>
      <c r="J13" s="33" t="s">
        <v>41</v>
      </c>
      <c r="K13" s="34"/>
      <c r="L13" s="34"/>
    </row>
    <row r="14" spans="1:14">
      <c r="L14" s="68"/>
    </row>
  </sheetData>
  <mergeCells count="3">
    <mergeCell ref="B1:H1"/>
    <mergeCell ref="B2:H2"/>
    <mergeCell ref="B3:H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5"/>
  <sheetViews>
    <sheetView topLeftCell="A109" workbookViewId="0">
      <selection activeCell="L125" sqref="L125"/>
    </sheetView>
  </sheetViews>
  <sheetFormatPr defaultColWidth="9.140625" defaultRowHeight="12.75"/>
  <cols>
    <col min="1" max="1" width="25.5703125" style="2" customWidth="1"/>
    <col min="2" max="2" width="19.42578125" style="2" customWidth="1"/>
    <col min="3" max="3" width="20.7109375" style="2" customWidth="1"/>
    <col min="4" max="4" width="29.42578125" style="2" customWidth="1"/>
    <col min="5" max="5" width="7.140625" style="2" customWidth="1"/>
    <col min="6" max="6" width="9.5703125" style="74" customWidth="1"/>
    <col min="7" max="7" width="17.140625" style="5" customWidth="1"/>
    <col min="8" max="8" width="10.28515625" style="4" customWidth="1"/>
    <col min="9" max="9" width="50.7109375" style="105" customWidth="1"/>
    <col min="10" max="10" width="13.5703125" style="87" customWidth="1"/>
    <col min="11" max="11" width="12" style="87" customWidth="1"/>
    <col min="12" max="13" width="14.140625" style="87" customWidth="1"/>
    <col min="14" max="15" width="9.140625" style="2"/>
    <col min="16" max="16" width="9.140625" style="2" customWidth="1"/>
    <col min="17" max="16384" width="9.140625" style="2"/>
  </cols>
  <sheetData>
    <row r="1" spans="1:16" ht="12" customHeight="1">
      <c r="C1" s="110" t="s">
        <v>18</v>
      </c>
      <c r="D1" s="111"/>
      <c r="E1" s="111"/>
      <c r="F1" s="111"/>
      <c r="G1" s="111"/>
      <c r="H1" s="111"/>
      <c r="I1" s="111"/>
      <c r="O1" s="78"/>
      <c r="P1" s="79"/>
    </row>
    <row r="2" spans="1:16" ht="12" customHeight="1">
      <c r="C2" s="110" t="s">
        <v>19</v>
      </c>
      <c r="D2" s="111"/>
      <c r="E2" s="111"/>
      <c r="F2" s="111"/>
      <c r="G2" s="111"/>
      <c r="H2" s="111"/>
      <c r="I2" s="111"/>
    </row>
    <row r="3" spans="1:16" ht="12" customHeight="1">
      <c r="C3" s="112" t="s">
        <v>761</v>
      </c>
      <c r="D3" s="111"/>
      <c r="E3" s="111"/>
      <c r="F3" s="111"/>
      <c r="G3" s="111"/>
      <c r="H3" s="111"/>
      <c r="I3" s="111"/>
    </row>
    <row r="4" spans="1:16" ht="12" customHeight="1">
      <c r="C4" s="16" t="s">
        <v>2185</v>
      </c>
      <c r="D4" s="16"/>
      <c r="E4" s="16"/>
      <c r="F4" s="69"/>
      <c r="G4" s="9"/>
      <c r="H4" s="69"/>
      <c r="I4" s="98"/>
    </row>
    <row r="5" spans="1:16" ht="12" customHeight="1">
      <c r="C5" s="14" t="s">
        <v>20</v>
      </c>
      <c r="D5" s="15"/>
      <c r="E5" s="15"/>
      <c r="F5" s="70"/>
      <c r="G5" s="85"/>
      <c r="H5" s="70"/>
      <c r="I5" s="99"/>
    </row>
    <row r="6" spans="1:16" ht="12" customHeight="1">
      <c r="C6" s="13" t="s">
        <v>2592</v>
      </c>
      <c r="D6" s="13"/>
      <c r="E6" s="13"/>
      <c r="F6" s="71"/>
      <c r="G6" s="8"/>
      <c r="H6" s="71"/>
      <c r="I6" s="100"/>
    </row>
    <row r="7" spans="1:16" ht="138.6" customHeight="1">
      <c r="A7" s="30" t="s">
        <v>604</v>
      </c>
      <c r="B7" s="30" t="s">
        <v>605</v>
      </c>
      <c r="C7" s="30" t="s">
        <v>22</v>
      </c>
      <c r="D7" s="30" t="s">
        <v>23</v>
      </c>
      <c r="E7" s="30" t="s">
        <v>24</v>
      </c>
      <c r="F7" s="57" t="s">
        <v>25</v>
      </c>
      <c r="G7" s="30" t="s">
        <v>26</v>
      </c>
      <c r="H7" s="57" t="s">
        <v>27</v>
      </c>
      <c r="I7" s="86" t="s">
        <v>17</v>
      </c>
      <c r="J7" s="86" t="s">
        <v>28</v>
      </c>
      <c r="K7" s="57" t="s">
        <v>29</v>
      </c>
      <c r="L7" s="57" t="s">
        <v>30</v>
      </c>
      <c r="M7" s="57" t="s">
        <v>31</v>
      </c>
    </row>
    <row r="8" spans="1:16" s="77" customFormat="1" ht="12" customHeight="1">
      <c r="A8" s="31" t="s">
        <v>317</v>
      </c>
      <c r="B8" s="31" t="s">
        <v>32</v>
      </c>
      <c r="C8" s="32" t="s">
        <v>33</v>
      </c>
      <c r="D8" s="32" t="s">
        <v>34</v>
      </c>
      <c r="E8" s="33" t="s">
        <v>2018</v>
      </c>
      <c r="F8" s="72" t="s">
        <v>2019</v>
      </c>
      <c r="G8" s="38" t="s">
        <v>590</v>
      </c>
      <c r="H8" s="33">
        <v>3.1</v>
      </c>
      <c r="I8" s="101" t="s">
        <v>34</v>
      </c>
      <c r="J8" s="89">
        <v>10</v>
      </c>
      <c r="K8" s="89" t="s">
        <v>38</v>
      </c>
      <c r="L8" s="90"/>
      <c r="M8" s="90"/>
      <c r="O8" s="97"/>
    </row>
    <row r="9" spans="1:16" s="7" customFormat="1" ht="12" customHeight="1">
      <c r="A9" s="31" t="s">
        <v>317</v>
      </c>
      <c r="B9" s="31" t="s">
        <v>32</v>
      </c>
      <c r="C9" s="32" t="s">
        <v>33</v>
      </c>
      <c r="D9" s="31" t="s">
        <v>1</v>
      </c>
      <c r="E9" s="33" t="s">
        <v>2018</v>
      </c>
      <c r="F9" s="72" t="s">
        <v>2020</v>
      </c>
      <c r="G9" s="38" t="s">
        <v>590</v>
      </c>
      <c r="H9" s="33">
        <v>3.2</v>
      </c>
      <c r="I9" s="102" t="s">
        <v>40</v>
      </c>
      <c r="J9" s="72">
        <v>6</v>
      </c>
      <c r="K9" s="72" t="s">
        <v>41</v>
      </c>
      <c r="L9" s="90"/>
      <c r="M9" s="90"/>
      <c r="O9" s="97"/>
    </row>
    <row r="10" spans="1:16" s="7" customFormat="1" ht="12" customHeight="1">
      <c r="A10" s="37" t="s">
        <v>317</v>
      </c>
      <c r="B10" s="37" t="s">
        <v>42</v>
      </c>
      <c r="C10" s="32" t="s">
        <v>43</v>
      </c>
      <c r="D10" s="32" t="s">
        <v>1</v>
      </c>
      <c r="E10" s="33" t="s">
        <v>2018</v>
      </c>
      <c r="F10" s="72" t="s">
        <v>2021</v>
      </c>
      <c r="G10" s="33">
        <v>1501000</v>
      </c>
      <c r="H10" s="33">
        <v>3.1</v>
      </c>
      <c r="I10" s="101" t="s">
        <v>46</v>
      </c>
      <c r="J10" s="72">
        <v>6</v>
      </c>
      <c r="K10" s="72" t="s">
        <v>41</v>
      </c>
      <c r="L10" s="90"/>
      <c r="M10" s="90"/>
      <c r="O10" s="97"/>
    </row>
    <row r="11" spans="1:16" s="7" customFormat="1" ht="12" customHeight="1">
      <c r="A11" s="37" t="s">
        <v>317</v>
      </c>
      <c r="B11" s="37" t="s">
        <v>42</v>
      </c>
      <c r="C11" s="32" t="s">
        <v>43</v>
      </c>
      <c r="D11" s="32" t="s">
        <v>1</v>
      </c>
      <c r="E11" s="33" t="s">
        <v>2018</v>
      </c>
      <c r="F11" s="72" t="s">
        <v>2022</v>
      </c>
      <c r="G11" s="33">
        <v>1501000</v>
      </c>
      <c r="H11" s="33">
        <v>3.2</v>
      </c>
      <c r="I11" s="101" t="s">
        <v>48</v>
      </c>
      <c r="J11" s="72">
        <v>6</v>
      </c>
      <c r="K11" s="72" t="s">
        <v>41</v>
      </c>
      <c r="L11" s="90"/>
      <c r="M11" s="90"/>
      <c r="O11" s="97"/>
    </row>
    <row r="12" spans="1:16" s="7" customFormat="1" ht="12" customHeight="1">
      <c r="A12" s="37" t="s">
        <v>317</v>
      </c>
      <c r="B12" s="37" t="s">
        <v>42</v>
      </c>
      <c r="C12" s="32" t="s">
        <v>43</v>
      </c>
      <c r="D12" s="32" t="s">
        <v>1</v>
      </c>
      <c r="E12" s="33" t="s">
        <v>2018</v>
      </c>
      <c r="F12" s="72" t="s">
        <v>2023</v>
      </c>
      <c r="G12" s="33">
        <v>1501000</v>
      </c>
      <c r="H12" s="33">
        <v>3.3</v>
      </c>
      <c r="I12" s="101" t="s">
        <v>50</v>
      </c>
      <c r="J12" s="72">
        <v>6</v>
      </c>
      <c r="K12" s="72" t="s">
        <v>41</v>
      </c>
      <c r="L12" s="90"/>
      <c r="M12" s="90"/>
      <c r="O12" s="97"/>
    </row>
    <row r="13" spans="1:16" s="7" customFormat="1" ht="12" customHeight="1">
      <c r="A13" s="37" t="s">
        <v>317</v>
      </c>
      <c r="B13" s="37" t="s">
        <v>2231</v>
      </c>
      <c r="C13" s="32" t="s">
        <v>52</v>
      </c>
      <c r="D13" s="32" t="s">
        <v>53</v>
      </c>
      <c r="E13" s="33" t="s">
        <v>2018</v>
      </c>
      <c r="F13" s="72" t="s">
        <v>2024</v>
      </c>
      <c r="G13" s="33">
        <v>1502000</v>
      </c>
      <c r="H13" s="72">
        <v>3.1</v>
      </c>
      <c r="I13" s="101" t="s">
        <v>591</v>
      </c>
      <c r="J13" s="91">
        <v>1829</v>
      </c>
      <c r="K13" s="91" t="s">
        <v>38</v>
      </c>
      <c r="L13" s="90"/>
      <c r="M13" s="90"/>
      <c r="O13" s="97"/>
    </row>
    <row r="14" spans="1:16" s="7" customFormat="1" ht="12" customHeight="1">
      <c r="A14" s="37" t="s">
        <v>317</v>
      </c>
      <c r="B14" s="37" t="s">
        <v>2231</v>
      </c>
      <c r="C14" s="32" t="s">
        <v>52</v>
      </c>
      <c r="D14" s="32" t="s">
        <v>1</v>
      </c>
      <c r="E14" s="33" t="s">
        <v>2018</v>
      </c>
      <c r="F14" s="72" t="s">
        <v>2025</v>
      </c>
      <c r="G14" s="33">
        <v>1502000</v>
      </c>
      <c r="H14" s="72">
        <v>3.2</v>
      </c>
      <c r="I14" s="101" t="s">
        <v>601</v>
      </c>
      <c r="J14" s="92">
        <v>25</v>
      </c>
      <c r="K14" s="72" t="s">
        <v>38</v>
      </c>
      <c r="L14" s="90"/>
      <c r="M14" s="90"/>
      <c r="O14" s="97"/>
    </row>
    <row r="15" spans="1:16" s="7" customFormat="1" ht="12" customHeight="1">
      <c r="A15" s="37" t="s">
        <v>317</v>
      </c>
      <c r="B15" s="37" t="s">
        <v>2231</v>
      </c>
      <c r="C15" s="32" t="s">
        <v>52</v>
      </c>
      <c r="D15" s="32" t="s">
        <v>54</v>
      </c>
      <c r="E15" s="33" t="s">
        <v>2018</v>
      </c>
      <c r="F15" s="72" t="s">
        <v>2026</v>
      </c>
      <c r="G15" s="33">
        <v>1502000</v>
      </c>
      <c r="H15" s="72" t="s">
        <v>55</v>
      </c>
      <c r="I15" s="101" t="s">
        <v>56</v>
      </c>
      <c r="J15" s="72">
        <v>6</v>
      </c>
      <c r="K15" s="72" t="s">
        <v>41</v>
      </c>
      <c r="L15" s="90"/>
      <c r="M15" s="90"/>
      <c r="O15" s="97"/>
    </row>
    <row r="16" spans="1:16" s="7" customFormat="1" ht="12" customHeight="1">
      <c r="A16" s="37" t="s">
        <v>317</v>
      </c>
      <c r="B16" s="37" t="s">
        <v>2231</v>
      </c>
      <c r="C16" s="32" t="s">
        <v>52</v>
      </c>
      <c r="D16" s="32" t="s">
        <v>54</v>
      </c>
      <c r="E16" s="33" t="s">
        <v>2018</v>
      </c>
      <c r="F16" s="72" t="s">
        <v>2027</v>
      </c>
      <c r="G16" s="33">
        <v>1502000</v>
      </c>
      <c r="H16" s="72" t="s">
        <v>57</v>
      </c>
      <c r="I16" s="101" t="s">
        <v>58</v>
      </c>
      <c r="J16" s="72">
        <v>6</v>
      </c>
      <c r="K16" s="72" t="s">
        <v>41</v>
      </c>
      <c r="L16" s="90"/>
      <c r="M16" s="90"/>
      <c r="O16" s="97"/>
    </row>
    <row r="17" spans="1:15" s="7" customFormat="1" ht="12" customHeight="1">
      <c r="A17" s="37" t="s">
        <v>317</v>
      </c>
      <c r="B17" s="37" t="s">
        <v>2231</v>
      </c>
      <c r="C17" s="32" t="s">
        <v>52</v>
      </c>
      <c r="D17" s="32" t="s">
        <v>54</v>
      </c>
      <c r="E17" s="33" t="s">
        <v>2018</v>
      </c>
      <c r="F17" s="72" t="s">
        <v>2028</v>
      </c>
      <c r="G17" s="33">
        <v>1502000</v>
      </c>
      <c r="H17" s="72" t="s">
        <v>59</v>
      </c>
      <c r="I17" s="101" t="s">
        <v>60</v>
      </c>
      <c r="J17" s="72">
        <v>6</v>
      </c>
      <c r="K17" s="72" t="s">
        <v>41</v>
      </c>
      <c r="L17" s="90"/>
      <c r="M17" s="90"/>
      <c r="O17" s="97"/>
    </row>
    <row r="18" spans="1:15" s="7" customFormat="1" ht="12" customHeight="1">
      <c r="A18" s="37" t="s">
        <v>317</v>
      </c>
      <c r="B18" s="37" t="s">
        <v>2231</v>
      </c>
      <c r="C18" s="32" t="s">
        <v>52</v>
      </c>
      <c r="D18" s="32" t="s">
        <v>54</v>
      </c>
      <c r="E18" s="33" t="s">
        <v>2018</v>
      </c>
      <c r="F18" s="72" t="s">
        <v>2029</v>
      </c>
      <c r="G18" s="33">
        <v>1502000</v>
      </c>
      <c r="H18" s="72" t="s">
        <v>61</v>
      </c>
      <c r="I18" s="101" t="s">
        <v>62</v>
      </c>
      <c r="J18" s="72">
        <v>6</v>
      </c>
      <c r="K18" s="72" t="s">
        <v>41</v>
      </c>
      <c r="L18" s="90"/>
      <c r="M18" s="90"/>
      <c r="O18" s="97"/>
    </row>
    <row r="19" spans="1:15" s="7" customFormat="1" ht="12" customHeight="1">
      <c r="A19" s="37" t="s">
        <v>317</v>
      </c>
      <c r="B19" s="37" t="s">
        <v>2231</v>
      </c>
      <c r="C19" s="32" t="s">
        <v>52</v>
      </c>
      <c r="D19" s="32" t="s">
        <v>54</v>
      </c>
      <c r="E19" s="33" t="s">
        <v>2018</v>
      </c>
      <c r="F19" s="72" t="s">
        <v>2030</v>
      </c>
      <c r="G19" s="33">
        <v>1502000</v>
      </c>
      <c r="H19" s="72" t="s">
        <v>63</v>
      </c>
      <c r="I19" s="101" t="s">
        <v>64</v>
      </c>
      <c r="J19" s="72">
        <v>6</v>
      </c>
      <c r="K19" s="72" t="s">
        <v>41</v>
      </c>
      <c r="L19" s="90"/>
      <c r="M19" s="90"/>
      <c r="O19" s="97"/>
    </row>
    <row r="20" spans="1:15" s="7" customFormat="1" ht="12" customHeight="1">
      <c r="A20" s="37" t="s">
        <v>317</v>
      </c>
      <c r="B20" s="37" t="s">
        <v>2231</v>
      </c>
      <c r="C20" s="32" t="s">
        <v>52</v>
      </c>
      <c r="D20" s="32" t="s">
        <v>54</v>
      </c>
      <c r="E20" s="33" t="s">
        <v>2018</v>
      </c>
      <c r="F20" s="72" t="s">
        <v>2031</v>
      </c>
      <c r="G20" s="33">
        <v>1502000</v>
      </c>
      <c r="H20" s="72" t="s">
        <v>65</v>
      </c>
      <c r="I20" s="101" t="s">
        <v>66</v>
      </c>
      <c r="J20" s="72">
        <v>6</v>
      </c>
      <c r="K20" s="72" t="s">
        <v>41</v>
      </c>
      <c r="L20" s="90"/>
      <c r="M20" s="90"/>
      <c r="O20" s="97"/>
    </row>
    <row r="21" spans="1:15" s="7" customFormat="1" ht="12" customHeight="1">
      <c r="A21" s="37" t="s">
        <v>317</v>
      </c>
      <c r="B21" s="37" t="s">
        <v>2231</v>
      </c>
      <c r="C21" s="32" t="s">
        <v>52</v>
      </c>
      <c r="D21" s="32" t="s">
        <v>54</v>
      </c>
      <c r="E21" s="33" t="s">
        <v>2018</v>
      </c>
      <c r="F21" s="72" t="s">
        <v>2032</v>
      </c>
      <c r="G21" s="33">
        <v>1502000</v>
      </c>
      <c r="H21" s="72" t="s">
        <v>67</v>
      </c>
      <c r="I21" s="101" t="s">
        <v>68</v>
      </c>
      <c r="J21" s="72">
        <v>6</v>
      </c>
      <c r="K21" s="72" t="s">
        <v>41</v>
      </c>
      <c r="L21" s="90"/>
      <c r="M21" s="90"/>
      <c r="O21" s="97"/>
    </row>
    <row r="22" spans="1:15" s="7" customFormat="1" ht="12" customHeight="1">
      <c r="A22" s="37" t="s">
        <v>317</v>
      </c>
      <c r="B22" s="37" t="s">
        <v>2231</v>
      </c>
      <c r="C22" s="32" t="s">
        <v>52</v>
      </c>
      <c r="D22" s="32" t="s">
        <v>54</v>
      </c>
      <c r="E22" s="33" t="s">
        <v>2018</v>
      </c>
      <c r="F22" s="72" t="s">
        <v>2033</v>
      </c>
      <c r="G22" s="33">
        <v>1502000</v>
      </c>
      <c r="H22" s="72" t="s">
        <v>69</v>
      </c>
      <c r="I22" s="101" t="s">
        <v>70</v>
      </c>
      <c r="J22" s="72">
        <v>6</v>
      </c>
      <c r="K22" s="72" t="s">
        <v>41</v>
      </c>
      <c r="L22" s="90"/>
      <c r="M22" s="90"/>
      <c r="O22" s="97"/>
    </row>
    <row r="23" spans="1:15" s="7" customFormat="1" ht="12" customHeight="1">
      <c r="A23" s="37" t="s">
        <v>317</v>
      </c>
      <c r="B23" s="37" t="s">
        <v>2231</v>
      </c>
      <c r="C23" s="32" t="s">
        <v>52</v>
      </c>
      <c r="D23" s="32" t="s">
        <v>54</v>
      </c>
      <c r="E23" s="33" t="s">
        <v>2018</v>
      </c>
      <c r="F23" s="72" t="s">
        <v>2034</v>
      </c>
      <c r="G23" s="33">
        <v>1502000</v>
      </c>
      <c r="H23" s="72" t="s">
        <v>71</v>
      </c>
      <c r="I23" s="101" t="s">
        <v>72</v>
      </c>
      <c r="J23" s="72">
        <v>6</v>
      </c>
      <c r="K23" s="72" t="s">
        <v>41</v>
      </c>
      <c r="L23" s="90"/>
      <c r="M23" s="90"/>
      <c r="O23" s="97"/>
    </row>
    <row r="24" spans="1:15" s="29" customFormat="1" ht="12" customHeight="1">
      <c r="A24" s="37" t="s">
        <v>317</v>
      </c>
      <c r="B24" s="37" t="s">
        <v>2231</v>
      </c>
      <c r="C24" s="32" t="s">
        <v>52</v>
      </c>
      <c r="D24" s="32" t="s">
        <v>54</v>
      </c>
      <c r="E24" s="33" t="s">
        <v>2018</v>
      </c>
      <c r="F24" s="72" t="s">
        <v>2035</v>
      </c>
      <c r="G24" s="36">
        <v>1502000</v>
      </c>
      <c r="H24" s="72" t="s">
        <v>73</v>
      </c>
      <c r="I24" s="101" t="s">
        <v>74</v>
      </c>
      <c r="J24" s="72">
        <v>6</v>
      </c>
      <c r="K24" s="72" t="s">
        <v>41</v>
      </c>
      <c r="L24" s="90"/>
      <c r="M24" s="90"/>
      <c r="O24" s="97"/>
    </row>
    <row r="25" spans="1:15" s="7" customFormat="1" ht="12" customHeight="1">
      <c r="A25" s="37" t="s">
        <v>317</v>
      </c>
      <c r="B25" s="37" t="s">
        <v>2231</v>
      </c>
      <c r="C25" s="32" t="s">
        <v>52</v>
      </c>
      <c r="D25" s="32" t="s">
        <v>54</v>
      </c>
      <c r="E25" s="33" t="s">
        <v>2018</v>
      </c>
      <c r="F25" s="72" t="s">
        <v>2036</v>
      </c>
      <c r="G25" s="33">
        <v>1502000</v>
      </c>
      <c r="H25" s="72" t="s">
        <v>75</v>
      </c>
      <c r="I25" s="101" t="s">
        <v>2194</v>
      </c>
      <c r="J25" s="72">
        <v>6</v>
      </c>
      <c r="K25" s="72" t="s">
        <v>41</v>
      </c>
      <c r="L25" s="90"/>
      <c r="M25" s="90"/>
      <c r="O25" s="97"/>
    </row>
    <row r="26" spans="1:15" s="7" customFormat="1" ht="13.5" customHeight="1">
      <c r="A26" s="37" t="s">
        <v>317</v>
      </c>
      <c r="B26" s="37" t="s">
        <v>2231</v>
      </c>
      <c r="C26" s="32" t="s">
        <v>52</v>
      </c>
      <c r="D26" s="32" t="s">
        <v>54</v>
      </c>
      <c r="E26" s="33" t="s">
        <v>2018</v>
      </c>
      <c r="F26" s="72" t="s">
        <v>2037</v>
      </c>
      <c r="G26" s="33">
        <v>1502000</v>
      </c>
      <c r="H26" s="72" t="s">
        <v>76</v>
      </c>
      <c r="I26" s="101" t="s">
        <v>77</v>
      </c>
      <c r="J26" s="72">
        <v>6</v>
      </c>
      <c r="K26" s="72" t="s">
        <v>41</v>
      </c>
      <c r="L26" s="90"/>
      <c r="M26" s="90"/>
      <c r="O26" s="97"/>
    </row>
    <row r="27" spans="1:15" s="7" customFormat="1" ht="12" customHeight="1">
      <c r="A27" s="37" t="s">
        <v>317</v>
      </c>
      <c r="B27" s="37" t="s">
        <v>2231</v>
      </c>
      <c r="C27" s="32" t="s">
        <v>52</v>
      </c>
      <c r="D27" s="32" t="s">
        <v>54</v>
      </c>
      <c r="E27" s="33" t="s">
        <v>2018</v>
      </c>
      <c r="F27" s="72" t="s">
        <v>2038</v>
      </c>
      <c r="G27" s="33">
        <v>1502000</v>
      </c>
      <c r="H27" s="72" t="s">
        <v>78</v>
      </c>
      <c r="I27" s="101" t="s">
        <v>79</v>
      </c>
      <c r="J27" s="72">
        <v>6</v>
      </c>
      <c r="K27" s="72" t="s">
        <v>41</v>
      </c>
      <c r="L27" s="90"/>
      <c r="M27" s="90"/>
      <c r="O27" s="97"/>
    </row>
    <row r="28" spans="1:15" s="7" customFormat="1" ht="12" customHeight="1">
      <c r="A28" s="37" t="s">
        <v>317</v>
      </c>
      <c r="B28" s="37" t="s">
        <v>2231</v>
      </c>
      <c r="C28" s="32" t="s">
        <v>52</v>
      </c>
      <c r="D28" s="32" t="s">
        <v>54</v>
      </c>
      <c r="E28" s="33" t="s">
        <v>2018</v>
      </c>
      <c r="F28" s="72" t="s">
        <v>2039</v>
      </c>
      <c r="G28" s="33">
        <v>1502000</v>
      </c>
      <c r="H28" s="72" t="s">
        <v>594</v>
      </c>
      <c r="I28" s="101" t="s">
        <v>595</v>
      </c>
      <c r="J28" s="72">
        <v>6</v>
      </c>
      <c r="K28" s="72" t="s">
        <v>41</v>
      </c>
      <c r="L28" s="90"/>
      <c r="M28" s="90"/>
      <c r="O28" s="97"/>
    </row>
    <row r="29" spans="1:15" s="7" customFormat="1" ht="12" customHeight="1">
      <c r="A29" s="37" t="s">
        <v>317</v>
      </c>
      <c r="B29" s="37" t="s">
        <v>2231</v>
      </c>
      <c r="C29" s="32" t="s">
        <v>52</v>
      </c>
      <c r="D29" s="32" t="s">
        <v>80</v>
      </c>
      <c r="E29" s="33" t="s">
        <v>2018</v>
      </c>
      <c r="F29" s="72" t="s">
        <v>2040</v>
      </c>
      <c r="G29" s="33">
        <v>1502000</v>
      </c>
      <c r="H29" s="72" t="s">
        <v>81</v>
      </c>
      <c r="I29" s="101" t="s">
        <v>82</v>
      </c>
      <c r="J29" s="72">
        <v>6</v>
      </c>
      <c r="K29" s="72" t="s">
        <v>41</v>
      </c>
      <c r="L29" s="90"/>
      <c r="M29" s="90"/>
      <c r="O29" s="97"/>
    </row>
    <row r="30" spans="1:15" s="7" customFormat="1" ht="12" customHeight="1">
      <c r="A30" s="37" t="s">
        <v>317</v>
      </c>
      <c r="B30" s="37" t="s">
        <v>2231</v>
      </c>
      <c r="C30" s="32" t="s">
        <v>52</v>
      </c>
      <c r="D30" s="32" t="s">
        <v>80</v>
      </c>
      <c r="E30" s="33" t="s">
        <v>2018</v>
      </c>
      <c r="F30" s="72" t="s">
        <v>2041</v>
      </c>
      <c r="G30" s="33">
        <v>1502000</v>
      </c>
      <c r="H30" s="72" t="s">
        <v>83</v>
      </c>
      <c r="I30" s="101" t="s">
        <v>84</v>
      </c>
      <c r="J30" s="72">
        <v>6</v>
      </c>
      <c r="K30" s="72" t="s">
        <v>41</v>
      </c>
      <c r="L30" s="90"/>
      <c r="M30" s="90"/>
      <c r="O30" s="97"/>
    </row>
    <row r="31" spans="1:15" s="7" customFormat="1" ht="12" customHeight="1">
      <c r="A31" s="37" t="s">
        <v>317</v>
      </c>
      <c r="B31" s="37" t="s">
        <v>2231</v>
      </c>
      <c r="C31" s="32" t="s">
        <v>52</v>
      </c>
      <c r="D31" s="32" t="s">
        <v>80</v>
      </c>
      <c r="E31" s="33" t="s">
        <v>2018</v>
      </c>
      <c r="F31" s="72" t="s">
        <v>2042</v>
      </c>
      <c r="G31" s="33">
        <v>1502000</v>
      </c>
      <c r="H31" s="72" t="s">
        <v>85</v>
      </c>
      <c r="I31" s="101" t="s">
        <v>86</v>
      </c>
      <c r="J31" s="72">
        <v>6</v>
      </c>
      <c r="K31" s="72" t="s">
        <v>41</v>
      </c>
      <c r="L31" s="90"/>
      <c r="M31" s="90"/>
      <c r="O31" s="97"/>
    </row>
    <row r="32" spans="1:15" s="7" customFormat="1" ht="12" customHeight="1">
      <c r="A32" s="37" t="s">
        <v>317</v>
      </c>
      <c r="B32" s="37" t="s">
        <v>2231</v>
      </c>
      <c r="C32" s="32" t="s">
        <v>52</v>
      </c>
      <c r="D32" s="32" t="s">
        <v>80</v>
      </c>
      <c r="E32" s="33" t="s">
        <v>2018</v>
      </c>
      <c r="F32" s="72" t="s">
        <v>2043</v>
      </c>
      <c r="G32" s="33">
        <v>1502000</v>
      </c>
      <c r="H32" s="72" t="s">
        <v>87</v>
      </c>
      <c r="I32" s="101" t="s">
        <v>77</v>
      </c>
      <c r="J32" s="72">
        <v>6</v>
      </c>
      <c r="K32" s="72" t="s">
        <v>41</v>
      </c>
      <c r="L32" s="90"/>
      <c r="M32" s="90"/>
      <c r="O32" s="97"/>
    </row>
    <row r="33" spans="1:15" s="7" customFormat="1" ht="12" customHeight="1">
      <c r="A33" s="37" t="s">
        <v>317</v>
      </c>
      <c r="B33" s="37" t="s">
        <v>2231</v>
      </c>
      <c r="C33" s="32" t="s">
        <v>52</v>
      </c>
      <c r="D33" s="32" t="s">
        <v>80</v>
      </c>
      <c r="E33" s="33" t="s">
        <v>2018</v>
      </c>
      <c r="F33" s="72" t="s">
        <v>2044</v>
      </c>
      <c r="G33" s="33">
        <v>1502000</v>
      </c>
      <c r="H33" s="72" t="s">
        <v>88</v>
      </c>
      <c r="I33" s="101" t="s">
        <v>79</v>
      </c>
      <c r="J33" s="72">
        <v>6</v>
      </c>
      <c r="K33" s="72" t="s">
        <v>41</v>
      </c>
      <c r="L33" s="90"/>
      <c r="M33" s="90"/>
      <c r="O33" s="97"/>
    </row>
    <row r="34" spans="1:15" s="7" customFormat="1" ht="12" customHeight="1">
      <c r="A34" s="37" t="s">
        <v>317</v>
      </c>
      <c r="B34" s="37" t="s">
        <v>2231</v>
      </c>
      <c r="C34" s="32" t="s">
        <v>52</v>
      </c>
      <c r="D34" s="32" t="s">
        <v>80</v>
      </c>
      <c r="E34" s="33" t="s">
        <v>2018</v>
      </c>
      <c r="F34" s="72" t="s">
        <v>2045</v>
      </c>
      <c r="G34" s="33">
        <v>1502000</v>
      </c>
      <c r="H34" s="72" t="s">
        <v>596</v>
      </c>
      <c r="I34" s="101" t="s">
        <v>595</v>
      </c>
      <c r="J34" s="72">
        <v>6</v>
      </c>
      <c r="K34" s="72" t="s">
        <v>41</v>
      </c>
      <c r="L34" s="90"/>
      <c r="M34" s="90"/>
    </row>
    <row r="35" spans="1:15" s="7" customFormat="1" ht="12" customHeight="1">
      <c r="A35" s="37" t="s">
        <v>317</v>
      </c>
      <c r="B35" s="37" t="s">
        <v>2231</v>
      </c>
      <c r="C35" s="32" t="s">
        <v>52</v>
      </c>
      <c r="D35" s="32" t="s">
        <v>89</v>
      </c>
      <c r="E35" s="33" t="s">
        <v>2018</v>
      </c>
      <c r="F35" s="72" t="s">
        <v>2046</v>
      </c>
      <c r="G35" s="33">
        <v>1502000</v>
      </c>
      <c r="H35" s="72" t="s">
        <v>2235</v>
      </c>
      <c r="I35" s="101" t="s">
        <v>2236</v>
      </c>
      <c r="J35" s="72">
        <v>6</v>
      </c>
      <c r="K35" s="72" t="s">
        <v>41</v>
      </c>
      <c r="L35" s="90"/>
      <c r="M35" s="90"/>
    </row>
    <row r="36" spans="1:15" s="7" customFormat="1" ht="12" customHeight="1">
      <c r="A36" s="37" t="s">
        <v>317</v>
      </c>
      <c r="B36" s="37" t="s">
        <v>2231</v>
      </c>
      <c r="C36" s="32" t="s">
        <v>52</v>
      </c>
      <c r="D36" s="32" t="s">
        <v>89</v>
      </c>
      <c r="E36" s="33" t="s">
        <v>2018</v>
      </c>
      <c r="F36" s="72" t="s">
        <v>2047</v>
      </c>
      <c r="G36" s="33">
        <v>1502000</v>
      </c>
      <c r="H36" s="72" t="s">
        <v>91</v>
      </c>
      <c r="I36" s="101" t="s">
        <v>92</v>
      </c>
      <c r="J36" s="72">
        <v>6</v>
      </c>
      <c r="K36" s="72" t="s">
        <v>41</v>
      </c>
      <c r="L36" s="90"/>
      <c r="M36" s="90"/>
    </row>
    <row r="37" spans="1:15" s="7" customFormat="1" ht="12" customHeight="1">
      <c r="A37" s="37" t="s">
        <v>317</v>
      </c>
      <c r="B37" s="37" t="s">
        <v>2231</v>
      </c>
      <c r="C37" s="32" t="s">
        <v>52</v>
      </c>
      <c r="D37" s="32" t="s">
        <v>89</v>
      </c>
      <c r="E37" s="33" t="s">
        <v>2018</v>
      </c>
      <c r="F37" s="72" t="s">
        <v>2048</v>
      </c>
      <c r="G37" s="33">
        <v>1502000</v>
      </c>
      <c r="H37" s="72" t="s">
        <v>93</v>
      </c>
      <c r="I37" s="101" t="s">
        <v>94</v>
      </c>
      <c r="J37" s="72">
        <v>6</v>
      </c>
      <c r="K37" s="72" t="s">
        <v>41</v>
      </c>
      <c r="L37" s="90"/>
      <c r="M37" s="90"/>
    </row>
    <row r="38" spans="1:15" s="21" customFormat="1" ht="12" customHeight="1">
      <c r="A38" s="37" t="s">
        <v>317</v>
      </c>
      <c r="B38" s="37" t="s">
        <v>2231</v>
      </c>
      <c r="C38" s="32" t="s">
        <v>52</v>
      </c>
      <c r="D38" s="32" t="s">
        <v>89</v>
      </c>
      <c r="E38" s="33" t="s">
        <v>2018</v>
      </c>
      <c r="F38" s="72" t="s">
        <v>2049</v>
      </c>
      <c r="G38" s="33">
        <v>1502000</v>
      </c>
      <c r="H38" s="72" t="s">
        <v>95</v>
      </c>
      <c r="I38" s="101" t="s">
        <v>96</v>
      </c>
      <c r="J38" s="72">
        <v>6</v>
      </c>
      <c r="K38" s="72" t="s">
        <v>41</v>
      </c>
      <c r="L38" s="90"/>
      <c r="M38" s="90"/>
    </row>
    <row r="39" spans="1:15" s="7" customFormat="1" ht="12" customHeight="1">
      <c r="A39" s="37" t="s">
        <v>317</v>
      </c>
      <c r="B39" s="37" t="s">
        <v>2231</v>
      </c>
      <c r="C39" s="32" t="s">
        <v>52</v>
      </c>
      <c r="D39" s="32" t="s">
        <v>89</v>
      </c>
      <c r="E39" s="33" t="s">
        <v>2018</v>
      </c>
      <c r="F39" s="72" t="s">
        <v>2050</v>
      </c>
      <c r="G39" s="33">
        <v>1502000</v>
      </c>
      <c r="H39" s="72" t="s">
        <v>97</v>
      </c>
      <c r="I39" s="101" t="s">
        <v>98</v>
      </c>
      <c r="J39" s="72">
        <v>6</v>
      </c>
      <c r="K39" s="72" t="s">
        <v>41</v>
      </c>
      <c r="L39" s="90"/>
      <c r="M39" s="90"/>
    </row>
    <row r="40" spans="1:15" s="7" customFormat="1" ht="12" customHeight="1">
      <c r="A40" s="37" t="s">
        <v>317</v>
      </c>
      <c r="B40" s="37" t="s">
        <v>2231</v>
      </c>
      <c r="C40" s="32" t="s">
        <v>52</v>
      </c>
      <c r="D40" s="32" t="s">
        <v>89</v>
      </c>
      <c r="E40" s="33" t="s">
        <v>2018</v>
      </c>
      <c r="F40" s="72" t="s">
        <v>2550</v>
      </c>
      <c r="G40" s="33">
        <v>1502000</v>
      </c>
      <c r="H40" s="72" t="s">
        <v>99</v>
      </c>
      <c r="I40" s="101" t="s">
        <v>100</v>
      </c>
      <c r="J40" s="72">
        <v>6</v>
      </c>
      <c r="K40" s="72" t="s">
        <v>41</v>
      </c>
      <c r="L40" s="90"/>
      <c r="M40" s="90"/>
    </row>
    <row r="41" spans="1:15" s="7" customFormat="1" ht="12" customHeight="1">
      <c r="A41" s="37" t="s">
        <v>317</v>
      </c>
      <c r="B41" s="37" t="s">
        <v>2231</v>
      </c>
      <c r="C41" s="32" t="s">
        <v>52</v>
      </c>
      <c r="D41" s="32" t="s">
        <v>89</v>
      </c>
      <c r="E41" s="33" t="s">
        <v>2018</v>
      </c>
      <c r="F41" s="72" t="s">
        <v>2051</v>
      </c>
      <c r="G41" s="33">
        <v>1502000</v>
      </c>
      <c r="H41" s="72" t="s">
        <v>101</v>
      </c>
      <c r="I41" s="101" t="s">
        <v>102</v>
      </c>
      <c r="J41" s="72">
        <v>6</v>
      </c>
      <c r="K41" s="72" t="s">
        <v>41</v>
      </c>
      <c r="L41" s="90"/>
      <c r="M41" s="90"/>
    </row>
    <row r="42" spans="1:15" s="7" customFormat="1" ht="12" customHeight="1">
      <c r="A42" s="37" t="s">
        <v>317</v>
      </c>
      <c r="B42" s="37" t="s">
        <v>2231</v>
      </c>
      <c r="C42" s="32" t="s">
        <v>52</v>
      </c>
      <c r="D42" s="32" t="s">
        <v>89</v>
      </c>
      <c r="E42" s="33" t="s">
        <v>2018</v>
      </c>
      <c r="F42" s="72" t="s">
        <v>2052</v>
      </c>
      <c r="G42" s="33">
        <v>1502000</v>
      </c>
      <c r="H42" s="72" t="s">
        <v>103</v>
      </c>
      <c r="I42" s="101" t="s">
        <v>104</v>
      </c>
      <c r="J42" s="72">
        <v>6</v>
      </c>
      <c r="K42" s="72" t="s">
        <v>41</v>
      </c>
      <c r="L42" s="90"/>
      <c r="M42" s="90"/>
    </row>
    <row r="43" spans="1:15" s="7" customFormat="1" ht="12" customHeight="1">
      <c r="A43" s="37" t="s">
        <v>317</v>
      </c>
      <c r="B43" s="37" t="s">
        <v>2231</v>
      </c>
      <c r="C43" s="32" t="s">
        <v>52</v>
      </c>
      <c r="D43" s="32" t="s">
        <v>105</v>
      </c>
      <c r="E43" s="33" t="s">
        <v>2018</v>
      </c>
      <c r="F43" s="72" t="s">
        <v>2053</v>
      </c>
      <c r="G43" s="33">
        <v>1503040</v>
      </c>
      <c r="H43" s="33">
        <v>3.1</v>
      </c>
      <c r="I43" s="101" t="s">
        <v>2</v>
      </c>
      <c r="J43" s="72">
        <v>6</v>
      </c>
      <c r="K43" s="72" t="s">
        <v>41</v>
      </c>
      <c r="L43" s="90"/>
      <c r="M43" s="90"/>
    </row>
    <row r="44" spans="1:15" s="7" customFormat="1" ht="12" customHeight="1">
      <c r="A44" s="37" t="s">
        <v>317</v>
      </c>
      <c r="B44" s="37" t="s">
        <v>2231</v>
      </c>
      <c r="C44" s="32" t="s">
        <v>52</v>
      </c>
      <c r="D44" s="32" t="s">
        <v>105</v>
      </c>
      <c r="E44" s="33" t="s">
        <v>2018</v>
      </c>
      <c r="F44" s="72" t="s">
        <v>2054</v>
      </c>
      <c r="G44" s="33">
        <v>1503040</v>
      </c>
      <c r="H44" s="33">
        <v>3.2</v>
      </c>
      <c r="I44" s="101" t="s">
        <v>106</v>
      </c>
      <c r="J44" s="72">
        <v>6</v>
      </c>
      <c r="K44" s="72" t="s">
        <v>41</v>
      </c>
      <c r="L44" s="90"/>
      <c r="M44" s="90"/>
    </row>
    <row r="45" spans="1:15" s="7" customFormat="1" ht="12" customHeight="1">
      <c r="A45" s="37" t="s">
        <v>317</v>
      </c>
      <c r="B45" s="37" t="s">
        <v>107</v>
      </c>
      <c r="C45" s="32" t="s">
        <v>52</v>
      </c>
      <c r="D45" s="32" t="s">
        <v>105</v>
      </c>
      <c r="E45" s="33" t="s">
        <v>2018</v>
      </c>
      <c r="F45" s="72" t="s">
        <v>2055</v>
      </c>
      <c r="G45" s="33">
        <v>1503040</v>
      </c>
      <c r="H45" s="33">
        <v>3.3</v>
      </c>
      <c r="I45" s="101" t="s">
        <v>328</v>
      </c>
      <c r="J45" s="72">
        <v>6</v>
      </c>
      <c r="K45" s="72" t="s">
        <v>41</v>
      </c>
      <c r="L45" s="90"/>
      <c r="M45" s="90"/>
    </row>
    <row r="46" spans="1:15" s="7" customFormat="1" ht="12" customHeight="1">
      <c r="A46" s="37" t="s">
        <v>317</v>
      </c>
      <c r="B46" s="37" t="s">
        <v>108</v>
      </c>
      <c r="C46" s="32" t="s">
        <v>109</v>
      </c>
      <c r="D46" s="32" t="s">
        <v>110</v>
      </c>
      <c r="E46" s="33" t="s">
        <v>2018</v>
      </c>
      <c r="F46" s="72" t="s">
        <v>2056</v>
      </c>
      <c r="G46" s="33">
        <v>1601000</v>
      </c>
      <c r="H46" s="33">
        <v>3.1</v>
      </c>
      <c r="I46" s="101" t="s">
        <v>110</v>
      </c>
      <c r="J46" s="72">
        <v>6</v>
      </c>
      <c r="K46" s="72" t="s">
        <v>41</v>
      </c>
      <c r="L46" s="90"/>
      <c r="M46" s="90"/>
    </row>
    <row r="47" spans="1:15" s="7" customFormat="1" ht="12" customHeight="1">
      <c r="A47" s="37" t="s">
        <v>317</v>
      </c>
      <c r="B47" s="37" t="s">
        <v>108</v>
      </c>
      <c r="C47" s="32" t="s">
        <v>109</v>
      </c>
      <c r="D47" s="32" t="s">
        <v>1</v>
      </c>
      <c r="E47" s="33" t="s">
        <v>2018</v>
      </c>
      <c r="F47" s="72" t="s">
        <v>2057</v>
      </c>
      <c r="G47" s="33">
        <v>1601000</v>
      </c>
      <c r="H47" s="33">
        <v>3.2</v>
      </c>
      <c r="I47" s="101" t="s">
        <v>7</v>
      </c>
      <c r="J47" s="72">
        <v>6</v>
      </c>
      <c r="K47" s="72" t="s">
        <v>41</v>
      </c>
      <c r="L47" s="90"/>
      <c r="M47" s="90"/>
    </row>
    <row r="48" spans="1:15" s="7" customFormat="1" ht="12" customHeight="1">
      <c r="A48" s="37" t="s">
        <v>317</v>
      </c>
      <c r="B48" s="37" t="s">
        <v>108</v>
      </c>
      <c r="C48" s="32" t="s">
        <v>109</v>
      </c>
      <c r="D48" s="32" t="s">
        <v>1</v>
      </c>
      <c r="E48" s="33" t="s">
        <v>2018</v>
      </c>
      <c r="F48" s="72" t="s">
        <v>2058</v>
      </c>
      <c r="G48" s="33">
        <v>1601000</v>
      </c>
      <c r="H48" s="33">
        <v>3.3</v>
      </c>
      <c r="I48" s="101" t="s">
        <v>112</v>
      </c>
      <c r="J48" s="72">
        <v>6</v>
      </c>
      <c r="K48" s="72" t="s">
        <v>41</v>
      </c>
      <c r="L48" s="90"/>
      <c r="M48" s="90"/>
    </row>
    <row r="49" spans="1:13" s="7" customFormat="1" ht="12" customHeight="1">
      <c r="A49" s="37" t="s">
        <v>317</v>
      </c>
      <c r="B49" s="37" t="s">
        <v>108</v>
      </c>
      <c r="C49" s="32" t="s">
        <v>109</v>
      </c>
      <c r="D49" s="32" t="s">
        <v>1</v>
      </c>
      <c r="E49" s="33" t="s">
        <v>2018</v>
      </c>
      <c r="F49" s="72" t="s">
        <v>2059</v>
      </c>
      <c r="G49" s="33">
        <v>1601000</v>
      </c>
      <c r="H49" s="33">
        <v>3.4</v>
      </c>
      <c r="I49" s="101" t="s">
        <v>46</v>
      </c>
      <c r="J49" s="72">
        <v>6</v>
      </c>
      <c r="K49" s="72" t="s">
        <v>41</v>
      </c>
      <c r="L49" s="90"/>
      <c r="M49" s="90"/>
    </row>
    <row r="50" spans="1:13" s="7" customFormat="1" ht="12" customHeight="1">
      <c r="A50" s="37" t="s">
        <v>317</v>
      </c>
      <c r="B50" s="37" t="s">
        <v>108</v>
      </c>
      <c r="C50" s="32" t="s">
        <v>113</v>
      </c>
      <c r="D50" s="32" t="s">
        <v>1</v>
      </c>
      <c r="E50" s="33" t="s">
        <v>2018</v>
      </c>
      <c r="F50" s="72" t="s">
        <v>2060</v>
      </c>
      <c r="G50" s="33">
        <v>1602000</v>
      </c>
      <c r="H50" s="33">
        <v>3.1</v>
      </c>
      <c r="I50" s="101" t="s">
        <v>114</v>
      </c>
      <c r="J50" s="72">
        <v>6</v>
      </c>
      <c r="K50" s="72" t="s">
        <v>41</v>
      </c>
      <c r="L50" s="90"/>
      <c r="M50" s="90"/>
    </row>
    <row r="51" spans="1:13" s="7" customFormat="1" ht="12" customHeight="1">
      <c r="A51" s="37" t="s">
        <v>317</v>
      </c>
      <c r="B51" s="37" t="s">
        <v>51</v>
      </c>
      <c r="C51" s="32" t="s">
        <v>113</v>
      </c>
      <c r="D51" s="32" t="s">
        <v>53</v>
      </c>
      <c r="E51" s="33" t="s">
        <v>2018</v>
      </c>
      <c r="F51" s="72" t="s">
        <v>2061</v>
      </c>
      <c r="G51" s="36">
        <v>1602000</v>
      </c>
      <c r="H51" s="33">
        <v>3.2</v>
      </c>
      <c r="I51" s="101" t="s">
        <v>591</v>
      </c>
      <c r="J51" s="72">
        <v>110</v>
      </c>
      <c r="K51" s="72" t="s">
        <v>38</v>
      </c>
      <c r="L51" s="90"/>
      <c r="M51" s="90"/>
    </row>
    <row r="52" spans="1:13" s="7" customFormat="1" ht="12" customHeight="1">
      <c r="A52" s="37" t="s">
        <v>317</v>
      </c>
      <c r="B52" s="37" t="s">
        <v>51</v>
      </c>
      <c r="C52" s="32" t="s">
        <v>113</v>
      </c>
      <c r="D52" s="32" t="s">
        <v>1</v>
      </c>
      <c r="E52" s="33" t="s">
        <v>2018</v>
      </c>
      <c r="F52" s="72" t="s">
        <v>2062</v>
      </c>
      <c r="G52" s="33">
        <v>1602000</v>
      </c>
      <c r="H52" s="33">
        <v>3.3</v>
      </c>
      <c r="I52" s="101" t="s">
        <v>106</v>
      </c>
      <c r="J52" s="72">
        <v>6</v>
      </c>
      <c r="K52" s="72" t="s">
        <v>41</v>
      </c>
      <c r="L52" s="90"/>
      <c r="M52" s="90"/>
    </row>
    <row r="53" spans="1:13" s="21" customFormat="1" ht="12" customHeight="1">
      <c r="A53" s="37" t="s">
        <v>317</v>
      </c>
      <c r="B53" s="37" t="s">
        <v>108</v>
      </c>
      <c r="C53" s="32" t="s">
        <v>113</v>
      </c>
      <c r="D53" s="32" t="s">
        <v>89</v>
      </c>
      <c r="E53" s="33" t="s">
        <v>2018</v>
      </c>
      <c r="F53" s="72" t="s">
        <v>2063</v>
      </c>
      <c r="G53" s="33">
        <v>1602000</v>
      </c>
      <c r="H53" s="33">
        <v>3.4</v>
      </c>
      <c r="I53" s="101" t="s">
        <v>117</v>
      </c>
      <c r="J53" s="72">
        <v>6</v>
      </c>
      <c r="K53" s="72" t="s">
        <v>41</v>
      </c>
      <c r="L53" s="90"/>
      <c r="M53" s="90"/>
    </row>
    <row r="54" spans="1:13" s="29" customFormat="1" ht="12" customHeight="1">
      <c r="A54" s="37" t="s">
        <v>317</v>
      </c>
      <c r="B54" s="37" t="s">
        <v>108</v>
      </c>
      <c r="C54" s="32" t="s">
        <v>113</v>
      </c>
      <c r="D54" s="32" t="s">
        <v>89</v>
      </c>
      <c r="E54" s="33" t="s">
        <v>2018</v>
      </c>
      <c r="F54" s="72" t="s">
        <v>2064</v>
      </c>
      <c r="G54" s="36">
        <v>1602000</v>
      </c>
      <c r="H54" s="36">
        <v>3.5</v>
      </c>
      <c r="I54" s="101" t="s">
        <v>118</v>
      </c>
      <c r="J54" s="72">
        <v>6</v>
      </c>
      <c r="K54" s="72" t="s">
        <v>41</v>
      </c>
      <c r="L54" s="90"/>
      <c r="M54" s="90"/>
    </row>
    <row r="55" spans="1:13" s="7" customFormat="1" ht="12" customHeight="1">
      <c r="A55" s="37" t="s">
        <v>317</v>
      </c>
      <c r="B55" s="37" t="s">
        <v>119</v>
      </c>
      <c r="C55" s="32" t="s">
        <v>120</v>
      </c>
      <c r="D55" s="32" t="s">
        <v>3</v>
      </c>
      <c r="E55" s="33" t="s">
        <v>2018</v>
      </c>
      <c r="F55" s="72" t="s">
        <v>2065</v>
      </c>
      <c r="G55" s="33">
        <v>1700000</v>
      </c>
      <c r="H55" s="33" t="s">
        <v>37</v>
      </c>
      <c r="I55" s="101" t="s">
        <v>121</v>
      </c>
      <c r="J55" s="72">
        <v>6</v>
      </c>
      <c r="K55" s="72" t="s">
        <v>41</v>
      </c>
      <c r="L55" s="90"/>
      <c r="M55" s="90"/>
    </row>
    <row r="56" spans="1:13" s="7" customFormat="1" ht="12" customHeight="1">
      <c r="A56" s="37" t="s">
        <v>317</v>
      </c>
      <c r="B56" s="37" t="s">
        <v>119</v>
      </c>
      <c r="C56" s="32" t="s">
        <v>120</v>
      </c>
      <c r="D56" s="32" t="s">
        <v>3</v>
      </c>
      <c r="E56" s="33" t="s">
        <v>2018</v>
      </c>
      <c r="F56" s="72" t="s">
        <v>2066</v>
      </c>
      <c r="G56" s="33">
        <v>1700000</v>
      </c>
      <c r="H56" s="33" t="s">
        <v>39</v>
      </c>
      <c r="I56" s="101" t="s">
        <v>122</v>
      </c>
      <c r="J56" s="72">
        <v>6</v>
      </c>
      <c r="K56" s="72" t="s">
        <v>41</v>
      </c>
      <c r="L56" s="90"/>
      <c r="M56" s="90"/>
    </row>
    <row r="57" spans="1:13" s="7" customFormat="1" ht="12" customHeight="1">
      <c r="A57" s="37" t="s">
        <v>317</v>
      </c>
      <c r="B57" s="37" t="s">
        <v>119</v>
      </c>
      <c r="C57" s="32" t="s">
        <v>120</v>
      </c>
      <c r="D57" s="32" t="s">
        <v>9</v>
      </c>
      <c r="E57" s="33" t="s">
        <v>2018</v>
      </c>
      <c r="F57" s="72" t="s">
        <v>2067</v>
      </c>
      <c r="G57" s="33">
        <v>1700000</v>
      </c>
      <c r="H57" s="33" t="s">
        <v>115</v>
      </c>
      <c r="I57" s="101" t="s">
        <v>123</v>
      </c>
      <c r="J57" s="72">
        <v>6</v>
      </c>
      <c r="K57" s="72" t="s">
        <v>41</v>
      </c>
      <c r="L57" s="90"/>
      <c r="M57" s="90"/>
    </row>
    <row r="58" spans="1:13" s="7" customFormat="1" ht="12" customHeight="1">
      <c r="A58" s="37" t="s">
        <v>317</v>
      </c>
      <c r="B58" s="37" t="s">
        <v>119</v>
      </c>
      <c r="C58" s="32" t="s">
        <v>120</v>
      </c>
      <c r="D58" s="32" t="s">
        <v>9</v>
      </c>
      <c r="E58" s="33" t="s">
        <v>2018</v>
      </c>
      <c r="F58" s="72" t="s">
        <v>2068</v>
      </c>
      <c r="G58" s="33">
        <v>1700000</v>
      </c>
      <c r="H58" s="33" t="s">
        <v>116</v>
      </c>
      <c r="I58" s="101" t="s">
        <v>2195</v>
      </c>
      <c r="J58" s="72">
        <v>6</v>
      </c>
      <c r="K58" s="72" t="s">
        <v>41</v>
      </c>
      <c r="L58" s="90"/>
      <c r="M58" s="90"/>
    </row>
    <row r="59" spans="1:13" s="7" customFormat="1" ht="12" customHeight="1">
      <c r="A59" s="37" t="s">
        <v>317</v>
      </c>
      <c r="B59" s="37" t="s">
        <v>119</v>
      </c>
      <c r="C59" s="32" t="s">
        <v>120</v>
      </c>
      <c r="D59" s="32" t="s">
        <v>124</v>
      </c>
      <c r="E59" s="33" t="s">
        <v>2018</v>
      </c>
      <c r="F59" s="72" t="s">
        <v>2069</v>
      </c>
      <c r="G59" s="38">
        <v>1700000</v>
      </c>
      <c r="H59" s="33" t="s">
        <v>125</v>
      </c>
      <c r="I59" s="101" t="s">
        <v>126</v>
      </c>
      <c r="J59" s="72">
        <v>6</v>
      </c>
      <c r="K59" s="72" t="s">
        <v>41</v>
      </c>
      <c r="L59" s="90"/>
      <c r="M59" s="90"/>
    </row>
    <row r="60" spans="1:13" s="7" customFormat="1" ht="12" customHeight="1">
      <c r="A60" s="37" t="s">
        <v>317</v>
      </c>
      <c r="B60" s="37" t="s">
        <v>119</v>
      </c>
      <c r="C60" s="32" t="s">
        <v>120</v>
      </c>
      <c r="D60" s="32" t="s">
        <v>127</v>
      </c>
      <c r="E60" s="33" t="s">
        <v>2018</v>
      </c>
      <c r="F60" s="72" t="s">
        <v>2070</v>
      </c>
      <c r="G60" s="38">
        <v>1700000</v>
      </c>
      <c r="H60" s="33" t="s">
        <v>128</v>
      </c>
      <c r="I60" s="101" t="s">
        <v>129</v>
      </c>
      <c r="J60" s="72">
        <v>6</v>
      </c>
      <c r="K60" s="72" t="s">
        <v>41</v>
      </c>
      <c r="L60" s="90"/>
      <c r="M60" s="90"/>
    </row>
    <row r="61" spans="1:13" s="7" customFormat="1" ht="12" customHeight="1">
      <c r="A61" s="37" t="s">
        <v>317</v>
      </c>
      <c r="B61" s="37" t="s">
        <v>119</v>
      </c>
      <c r="C61" s="32" t="s">
        <v>120</v>
      </c>
      <c r="D61" s="32" t="s">
        <v>127</v>
      </c>
      <c r="E61" s="33" t="s">
        <v>2018</v>
      </c>
      <c r="F61" s="72" t="s">
        <v>2071</v>
      </c>
      <c r="G61" s="38">
        <v>1700000</v>
      </c>
      <c r="H61" s="33" t="s">
        <v>130</v>
      </c>
      <c r="I61" s="101" t="s">
        <v>131</v>
      </c>
      <c r="J61" s="72">
        <v>6</v>
      </c>
      <c r="K61" s="72" t="s">
        <v>41</v>
      </c>
      <c r="L61" s="90"/>
      <c r="M61" s="90"/>
    </row>
    <row r="62" spans="1:13" s="7" customFormat="1" ht="12" customHeight="1">
      <c r="A62" s="37" t="s">
        <v>317</v>
      </c>
      <c r="B62" s="37" t="s">
        <v>119</v>
      </c>
      <c r="C62" s="32" t="s">
        <v>120</v>
      </c>
      <c r="D62" s="32" t="s">
        <v>127</v>
      </c>
      <c r="E62" s="33" t="s">
        <v>2018</v>
      </c>
      <c r="F62" s="72" t="s">
        <v>2072</v>
      </c>
      <c r="G62" s="38" t="s">
        <v>132</v>
      </c>
      <c r="H62" s="33" t="s">
        <v>133</v>
      </c>
      <c r="I62" s="101" t="s">
        <v>134</v>
      </c>
      <c r="J62" s="72">
        <v>6</v>
      </c>
      <c r="K62" s="72" t="s">
        <v>41</v>
      </c>
      <c r="L62" s="90"/>
      <c r="M62" s="90"/>
    </row>
    <row r="63" spans="1:13" s="7" customFormat="1" ht="12" customHeight="1">
      <c r="A63" s="37" t="s">
        <v>317</v>
      </c>
      <c r="B63" s="37" t="s">
        <v>119</v>
      </c>
      <c r="C63" s="32" t="s">
        <v>120</v>
      </c>
      <c r="D63" s="32" t="s">
        <v>127</v>
      </c>
      <c r="E63" s="33" t="s">
        <v>2018</v>
      </c>
      <c r="F63" s="72" t="s">
        <v>2073</v>
      </c>
      <c r="G63" s="38">
        <v>1700000</v>
      </c>
      <c r="H63" s="33" t="s">
        <v>135</v>
      </c>
      <c r="I63" s="101" t="s">
        <v>136</v>
      </c>
      <c r="J63" s="92">
        <v>75</v>
      </c>
      <c r="K63" s="72" t="s">
        <v>38</v>
      </c>
      <c r="L63" s="90"/>
      <c r="M63" s="90"/>
    </row>
    <row r="64" spans="1:13" s="7" customFormat="1" ht="12" customHeight="1">
      <c r="A64" s="37" t="s">
        <v>317</v>
      </c>
      <c r="B64" s="37" t="s">
        <v>119</v>
      </c>
      <c r="C64" s="32" t="s">
        <v>120</v>
      </c>
      <c r="D64" s="32" t="s">
        <v>127</v>
      </c>
      <c r="E64" s="33" t="s">
        <v>2018</v>
      </c>
      <c r="F64" s="72" t="s">
        <v>2074</v>
      </c>
      <c r="G64" s="38">
        <v>1700000</v>
      </c>
      <c r="H64" s="33" t="s">
        <v>57</v>
      </c>
      <c r="I64" s="101" t="s">
        <v>137</v>
      </c>
      <c r="J64" s="92">
        <v>6</v>
      </c>
      <c r="K64" s="72" t="s">
        <v>41</v>
      </c>
      <c r="L64" s="90"/>
      <c r="M64" s="90"/>
    </row>
    <row r="65" spans="1:13" s="7" customFormat="1" ht="12" customHeight="1">
      <c r="A65" s="37" t="s">
        <v>317</v>
      </c>
      <c r="B65" s="37" t="s">
        <v>140</v>
      </c>
      <c r="C65" s="32" t="s">
        <v>138</v>
      </c>
      <c r="D65" s="32" t="s">
        <v>1</v>
      </c>
      <c r="E65" s="33" t="s">
        <v>2018</v>
      </c>
      <c r="F65" s="72" t="s">
        <v>2075</v>
      </c>
      <c r="G65" s="38" t="s">
        <v>139</v>
      </c>
      <c r="H65" s="33">
        <v>3.1</v>
      </c>
      <c r="I65" s="101" t="s">
        <v>11</v>
      </c>
      <c r="J65" s="92">
        <v>6</v>
      </c>
      <c r="K65" s="72" t="s">
        <v>41</v>
      </c>
      <c r="L65" s="90"/>
      <c r="M65" s="90"/>
    </row>
    <row r="66" spans="1:13" s="7" customFormat="1" ht="12" customHeight="1">
      <c r="A66" s="37" t="s">
        <v>317</v>
      </c>
      <c r="B66" s="37" t="s">
        <v>140</v>
      </c>
      <c r="C66" s="32" t="s">
        <v>138</v>
      </c>
      <c r="D66" s="32" t="s">
        <v>1</v>
      </c>
      <c r="E66" s="33" t="s">
        <v>2018</v>
      </c>
      <c r="F66" s="72" t="s">
        <v>2076</v>
      </c>
      <c r="G66" s="38" t="s">
        <v>139</v>
      </c>
      <c r="H66" s="33">
        <v>3.2</v>
      </c>
      <c r="I66" s="101" t="s">
        <v>12</v>
      </c>
      <c r="J66" s="92">
        <v>6</v>
      </c>
      <c r="K66" s="72" t="s">
        <v>41</v>
      </c>
      <c r="L66" s="90"/>
      <c r="M66" s="90"/>
    </row>
    <row r="67" spans="1:13" s="7" customFormat="1" ht="12" customHeight="1">
      <c r="A67" s="37" t="s">
        <v>317</v>
      </c>
      <c r="B67" s="37" t="s">
        <v>140</v>
      </c>
      <c r="C67" s="32" t="s">
        <v>138</v>
      </c>
      <c r="D67" s="32" t="s">
        <v>1</v>
      </c>
      <c r="E67" s="33" t="s">
        <v>2018</v>
      </c>
      <c r="F67" s="72" t="s">
        <v>2077</v>
      </c>
      <c r="G67" s="38" t="s">
        <v>139</v>
      </c>
      <c r="H67" s="33">
        <v>3.3</v>
      </c>
      <c r="I67" s="101" t="s">
        <v>13</v>
      </c>
      <c r="J67" s="92">
        <v>6</v>
      </c>
      <c r="K67" s="72" t="s">
        <v>41</v>
      </c>
      <c r="L67" s="90"/>
      <c r="M67" s="90"/>
    </row>
    <row r="68" spans="1:13" s="7" customFormat="1" ht="12" customHeight="1">
      <c r="A68" s="37" t="s">
        <v>317</v>
      </c>
      <c r="B68" s="31" t="s">
        <v>2230</v>
      </c>
      <c r="C68" s="32" t="s">
        <v>52</v>
      </c>
      <c r="D68" s="32" t="s">
        <v>53</v>
      </c>
      <c r="E68" s="33" t="s">
        <v>2018</v>
      </c>
      <c r="F68" s="72" t="s">
        <v>2078</v>
      </c>
      <c r="G68" s="33">
        <v>1502000</v>
      </c>
      <c r="H68" s="72">
        <v>3.1</v>
      </c>
      <c r="I68" s="101" t="s">
        <v>591</v>
      </c>
      <c r="J68" s="72">
        <v>675</v>
      </c>
      <c r="K68" s="72" t="s">
        <v>38</v>
      </c>
      <c r="L68" s="90"/>
      <c r="M68" s="90"/>
    </row>
    <row r="69" spans="1:13" s="29" customFormat="1" ht="12" customHeight="1">
      <c r="A69" s="37" t="s">
        <v>317</v>
      </c>
      <c r="B69" s="31" t="s">
        <v>2230</v>
      </c>
      <c r="C69" s="32" t="s">
        <v>52</v>
      </c>
      <c r="D69" s="32" t="s">
        <v>54</v>
      </c>
      <c r="E69" s="33" t="s">
        <v>2018</v>
      </c>
      <c r="F69" s="72" t="s">
        <v>2079</v>
      </c>
      <c r="G69" s="33">
        <v>1502000</v>
      </c>
      <c r="H69" s="72" t="s">
        <v>59</v>
      </c>
      <c r="I69" s="101" t="s">
        <v>60</v>
      </c>
      <c r="J69" s="72">
        <v>6</v>
      </c>
      <c r="K69" s="72" t="s">
        <v>41</v>
      </c>
      <c r="L69" s="90"/>
      <c r="M69" s="90"/>
    </row>
    <row r="70" spans="1:13" s="7" customFormat="1" ht="12" customHeight="1">
      <c r="A70" s="37" t="s">
        <v>317</v>
      </c>
      <c r="B70" s="31" t="s">
        <v>2230</v>
      </c>
      <c r="C70" s="31" t="s">
        <v>52</v>
      </c>
      <c r="D70" s="32" t="s">
        <v>54</v>
      </c>
      <c r="E70" s="33" t="s">
        <v>2018</v>
      </c>
      <c r="F70" s="72" t="s">
        <v>2080</v>
      </c>
      <c r="G70" s="33">
        <v>1502000</v>
      </c>
      <c r="H70" s="72" t="s">
        <v>65</v>
      </c>
      <c r="I70" s="101" t="s">
        <v>66</v>
      </c>
      <c r="J70" s="72">
        <v>6</v>
      </c>
      <c r="K70" s="72" t="s">
        <v>41</v>
      </c>
      <c r="L70" s="90"/>
      <c r="M70" s="90"/>
    </row>
    <row r="71" spans="1:13" s="21" customFormat="1" ht="12" customHeight="1">
      <c r="A71" s="37" t="s">
        <v>317</v>
      </c>
      <c r="B71" s="31" t="s">
        <v>2230</v>
      </c>
      <c r="C71" s="32" t="s">
        <v>52</v>
      </c>
      <c r="D71" s="32" t="s">
        <v>54</v>
      </c>
      <c r="E71" s="33" t="s">
        <v>2018</v>
      </c>
      <c r="F71" s="72" t="s">
        <v>2081</v>
      </c>
      <c r="G71" s="33">
        <v>1502000</v>
      </c>
      <c r="H71" s="72" t="s">
        <v>71</v>
      </c>
      <c r="I71" s="101" t="s">
        <v>72</v>
      </c>
      <c r="J71" s="72">
        <v>6</v>
      </c>
      <c r="K71" s="72" t="s">
        <v>41</v>
      </c>
      <c r="L71" s="90"/>
      <c r="M71" s="90"/>
    </row>
    <row r="72" spans="1:13" s="7" customFormat="1" ht="12" customHeight="1">
      <c r="A72" s="37" t="s">
        <v>317</v>
      </c>
      <c r="B72" s="31" t="s">
        <v>2230</v>
      </c>
      <c r="C72" s="32" t="s">
        <v>52</v>
      </c>
      <c r="D72" s="32" t="s">
        <v>80</v>
      </c>
      <c r="E72" s="33" t="s">
        <v>2018</v>
      </c>
      <c r="F72" s="72" t="s">
        <v>2082</v>
      </c>
      <c r="G72" s="33">
        <v>1502000</v>
      </c>
      <c r="H72" s="72" t="s">
        <v>81</v>
      </c>
      <c r="I72" s="101" t="s">
        <v>82</v>
      </c>
      <c r="J72" s="72">
        <v>6</v>
      </c>
      <c r="K72" s="72" t="s">
        <v>41</v>
      </c>
      <c r="L72" s="90"/>
      <c r="M72" s="90"/>
    </row>
    <row r="73" spans="1:13" s="7" customFormat="1" ht="12" customHeight="1">
      <c r="A73" s="37" t="s">
        <v>317</v>
      </c>
      <c r="B73" s="31" t="s">
        <v>2230</v>
      </c>
      <c r="C73" s="32" t="s">
        <v>52</v>
      </c>
      <c r="D73" s="32" t="s">
        <v>80</v>
      </c>
      <c r="E73" s="33" t="s">
        <v>2018</v>
      </c>
      <c r="F73" s="72" t="s">
        <v>2083</v>
      </c>
      <c r="G73" s="33">
        <v>1502000</v>
      </c>
      <c r="H73" s="72" t="s">
        <v>83</v>
      </c>
      <c r="I73" s="101" t="s">
        <v>84</v>
      </c>
      <c r="J73" s="72">
        <v>6</v>
      </c>
      <c r="K73" s="72" t="s">
        <v>41</v>
      </c>
      <c r="L73" s="90"/>
      <c r="M73" s="90"/>
    </row>
    <row r="74" spans="1:13" s="29" customFormat="1" ht="12" customHeight="1">
      <c r="A74" s="37" t="s">
        <v>317</v>
      </c>
      <c r="B74" s="31" t="s">
        <v>2230</v>
      </c>
      <c r="C74" s="32" t="s">
        <v>52</v>
      </c>
      <c r="D74" s="32" t="s">
        <v>89</v>
      </c>
      <c r="E74" s="33" t="s">
        <v>2018</v>
      </c>
      <c r="F74" s="72" t="s">
        <v>2084</v>
      </c>
      <c r="G74" s="33">
        <v>1502000</v>
      </c>
      <c r="H74" s="72" t="s">
        <v>2235</v>
      </c>
      <c r="I74" s="101" t="s">
        <v>2236</v>
      </c>
      <c r="J74" s="72">
        <v>6</v>
      </c>
      <c r="K74" s="72" t="s">
        <v>41</v>
      </c>
      <c r="L74" s="90"/>
      <c r="M74" s="90"/>
    </row>
    <row r="75" spans="1:13" s="29" customFormat="1" ht="12" customHeight="1">
      <c r="A75" s="37" t="s">
        <v>317</v>
      </c>
      <c r="B75" s="31" t="s">
        <v>2230</v>
      </c>
      <c r="C75" s="32" t="s">
        <v>52</v>
      </c>
      <c r="D75" s="32" t="s">
        <v>89</v>
      </c>
      <c r="E75" s="33" t="s">
        <v>2018</v>
      </c>
      <c r="F75" s="72" t="s">
        <v>2085</v>
      </c>
      <c r="G75" s="33">
        <v>1502000</v>
      </c>
      <c r="H75" s="72" t="s">
        <v>91</v>
      </c>
      <c r="I75" s="101" t="s">
        <v>92</v>
      </c>
      <c r="J75" s="72">
        <v>6</v>
      </c>
      <c r="K75" s="72" t="s">
        <v>41</v>
      </c>
      <c r="L75" s="90"/>
      <c r="M75" s="90"/>
    </row>
    <row r="76" spans="1:13" s="21" customFormat="1" ht="12" customHeight="1">
      <c r="A76" s="37" t="s">
        <v>317</v>
      </c>
      <c r="B76" s="31" t="s">
        <v>2230</v>
      </c>
      <c r="C76" s="32" t="s">
        <v>52</v>
      </c>
      <c r="D76" s="32" t="s">
        <v>89</v>
      </c>
      <c r="E76" s="33" t="s">
        <v>2018</v>
      </c>
      <c r="F76" s="72" t="s">
        <v>2086</v>
      </c>
      <c r="G76" s="33">
        <v>1502000</v>
      </c>
      <c r="H76" s="72" t="s">
        <v>99</v>
      </c>
      <c r="I76" s="101" t="s">
        <v>100</v>
      </c>
      <c r="J76" s="72">
        <v>6</v>
      </c>
      <c r="K76" s="72" t="s">
        <v>41</v>
      </c>
      <c r="L76" s="90"/>
      <c r="M76" s="90"/>
    </row>
    <row r="77" spans="1:13" s="21" customFormat="1" ht="12" customHeight="1">
      <c r="A77" s="37" t="s">
        <v>317</v>
      </c>
      <c r="B77" s="31" t="s">
        <v>2230</v>
      </c>
      <c r="C77" s="32" t="s">
        <v>52</v>
      </c>
      <c r="D77" s="32" t="s">
        <v>89</v>
      </c>
      <c r="E77" s="33" t="s">
        <v>2018</v>
      </c>
      <c r="F77" s="72" t="s">
        <v>2551</v>
      </c>
      <c r="G77" s="33">
        <v>1502000</v>
      </c>
      <c r="H77" s="72" t="s">
        <v>101</v>
      </c>
      <c r="I77" s="101" t="s">
        <v>102</v>
      </c>
      <c r="J77" s="72">
        <v>6</v>
      </c>
      <c r="K77" s="72" t="s">
        <v>41</v>
      </c>
      <c r="L77" s="90"/>
      <c r="M77" s="90"/>
    </row>
    <row r="78" spans="1:13" s="7" customFormat="1" ht="12" customHeight="1">
      <c r="A78" s="37" t="s">
        <v>317</v>
      </c>
      <c r="B78" s="31" t="s">
        <v>2230</v>
      </c>
      <c r="C78" s="32" t="s">
        <v>52</v>
      </c>
      <c r="D78" s="32" t="s">
        <v>89</v>
      </c>
      <c r="E78" s="33" t="s">
        <v>2018</v>
      </c>
      <c r="F78" s="72" t="s">
        <v>2087</v>
      </c>
      <c r="G78" s="33">
        <v>1502000</v>
      </c>
      <c r="H78" s="72" t="s">
        <v>152</v>
      </c>
      <c r="I78" s="101" t="s">
        <v>153</v>
      </c>
      <c r="J78" s="72">
        <v>25</v>
      </c>
      <c r="K78" s="72" t="s">
        <v>38</v>
      </c>
      <c r="L78" s="90"/>
      <c r="M78" s="90"/>
    </row>
    <row r="79" spans="1:13" s="7" customFormat="1" ht="12" customHeight="1">
      <c r="A79" s="37" t="s">
        <v>317</v>
      </c>
      <c r="B79" s="31" t="s">
        <v>2230</v>
      </c>
      <c r="C79" s="32" t="s">
        <v>52</v>
      </c>
      <c r="D79" s="32" t="s">
        <v>89</v>
      </c>
      <c r="E79" s="33" t="s">
        <v>2018</v>
      </c>
      <c r="F79" s="72" t="s">
        <v>2088</v>
      </c>
      <c r="G79" s="33">
        <v>1502000</v>
      </c>
      <c r="H79" s="72" t="s">
        <v>155</v>
      </c>
      <c r="I79" s="101" t="s">
        <v>156</v>
      </c>
      <c r="J79" s="72">
        <v>6</v>
      </c>
      <c r="K79" s="72" t="s">
        <v>41</v>
      </c>
      <c r="L79" s="90"/>
      <c r="M79" s="90"/>
    </row>
    <row r="80" spans="1:13" s="7" customFormat="1" ht="12" customHeight="1">
      <c r="A80" s="37" t="s">
        <v>317</v>
      </c>
      <c r="B80" s="37" t="s">
        <v>323</v>
      </c>
      <c r="C80" s="31" t="s">
        <v>157</v>
      </c>
      <c r="D80" s="32" t="s">
        <v>54</v>
      </c>
      <c r="E80" s="33" t="s">
        <v>2018</v>
      </c>
      <c r="F80" s="72" t="s">
        <v>2089</v>
      </c>
      <c r="G80" s="33">
        <v>1502000</v>
      </c>
      <c r="H80" s="72" t="s">
        <v>71</v>
      </c>
      <c r="I80" s="101" t="s">
        <v>72</v>
      </c>
      <c r="J80" s="72">
        <v>6</v>
      </c>
      <c r="K80" s="72" t="s">
        <v>41</v>
      </c>
      <c r="L80" s="90"/>
      <c r="M80" s="90"/>
    </row>
    <row r="81" spans="1:13" s="7" customFormat="1" ht="12" customHeight="1">
      <c r="A81" s="37" t="s">
        <v>317</v>
      </c>
      <c r="B81" s="37" t="s">
        <v>323</v>
      </c>
      <c r="C81" s="31" t="s">
        <v>52</v>
      </c>
      <c r="D81" s="32" t="s">
        <v>54</v>
      </c>
      <c r="E81" s="33" t="s">
        <v>2018</v>
      </c>
      <c r="F81" s="72" t="s">
        <v>2090</v>
      </c>
      <c r="G81" s="33">
        <v>1502000</v>
      </c>
      <c r="H81" s="72" t="s">
        <v>65</v>
      </c>
      <c r="I81" s="101" t="s">
        <v>66</v>
      </c>
      <c r="J81" s="72">
        <v>6</v>
      </c>
      <c r="K81" s="72" t="s">
        <v>41</v>
      </c>
      <c r="L81" s="90"/>
      <c r="M81" s="90"/>
    </row>
    <row r="82" spans="1:13" s="7" customFormat="1" ht="12" customHeight="1">
      <c r="A82" s="37" t="s">
        <v>317</v>
      </c>
      <c r="B82" s="31" t="s">
        <v>2232</v>
      </c>
      <c r="C82" s="31" t="s">
        <v>52</v>
      </c>
      <c r="D82" s="32" t="s">
        <v>54</v>
      </c>
      <c r="E82" s="33" t="s">
        <v>2018</v>
      </c>
      <c r="F82" s="72" t="s">
        <v>2091</v>
      </c>
      <c r="G82" s="33">
        <v>1502000</v>
      </c>
      <c r="H82" s="72" t="s">
        <v>63</v>
      </c>
      <c r="I82" s="101" t="s">
        <v>64</v>
      </c>
      <c r="J82" s="72">
        <v>50</v>
      </c>
      <c r="K82" s="72" t="s">
        <v>38</v>
      </c>
      <c r="L82" s="90"/>
      <c r="M82" s="90"/>
    </row>
    <row r="83" spans="1:13" s="7" customFormat="1" ht="12" customHeight="1">
      <c r="A83" s="37" t="s">
        <v>317</v>
      </c>
      <c r="B83" s="31" t="s">
        <v>2232</v>
      </c>
      <c r="C83" s="31" t="s">
        <v>52</v>
      </c>
      <c r="D83" s="32" t="s">
        <v>54</v>
      </c>
      <c r="E83" s="33" t="s">
        <v>2018</v>
      </c>
      <c r="F83" s="72" t="s">
        <v>2092</v>
      </c>
      <c r="G83" s="33">
        <v>1502000</v>
      </c>
      <c r="H83" s="72" t="s">
        <v>65</v>
      </c>
      <c r="I83" s="101" t="s">
        <v>66</v>
      </c>
      <c r="J83" s="72">
        <v>10</v>
      </c>
      <c r="K83" s="72" t="s">
        <v>38</v>
      </c>
      <c r="L83" s="90"/>
      <c r="M83" s="90"/>
    </row>
    <row r="84" spans="1:13" s="7" customFormat="1" ht="12" customHeight="1">
      <c r="A84" s="37" t="s">
        <v>317</v>
      </c>
      <c r="B84" s="31" t="s">
        <v>2232</v>
      </c>
      <c r="C84" s="31" t="s">
        <v>52</v>
      </c>
      <c r="D84" s="32" t="s">
        <v>54</v>
      </c>
      <c r="E84" s="33" t="s">
        <v>2018</v>
      </c>
      <c r="F84" s="72" t="s">
        <v>2552</v>
      </c>
      <c r="G84" s="33">
        <v>1502000</v>
      </c>
      <c r="H84" s="72" t="s">
        <v>71</v>
      </c>
      <c r="I84" s="101" t="s">
        <v>72</v>
      </c>
      <c r="J84" s="72">
        <v>12</v>
      </c>
      <c r="K84" s="72" t="s">
        <v>41</v>
      </c>
      <c r="L84" s="90"/>
      <c r="M84" s="90"/>
    </row>
    <row r="85" spans="1:13" s="7" customFormat="1" ht="12" customHeight="1">
      <c r="A85" s="37" t="s">
        <v>317</v>
      </c>
      <c r="B85" s="31" t="s">
        <v>2232</v>
      </c>
      <c r="C85" s="31" t="s">
        <v>52</v>
      </c>
      <c r="D85" s="32" t="s">
        <v>80</v>
      </c>
      <c r="E85" s="33" t="s">
        <v>2018</v>
      </c>
      <c r="F85" s="72" t="s">
        <v>2553</v>
      </c>
      <c r="G85" s="33">
        <v>1502000</v>
      </c>
      <c r="H85" s="33" t="s">
        <v>81</v>
      </c>
      <c r="I85" s="101" t="s">
        <v>82</v>
      </c>
      <c r="J85" s="92">
        <v>12</v>
      </c>
      <c r="K85" s="72" t="s">
        <v>41</v>
      </c>
      <c r="L85" s="90"/>
      <c r="M85" s="90"/>
    </row>
    <row r="86" spans="1:13" s="7" customFormat="1" ht="12" customHeight="1">
      <c r="A86" s="31" t="s">
        <v>160</v>
      </c>
      <c r="B86" s="31" t="s">
        <v>160</v>
      </c>
      <c r="C86" s="32" t="s">
        <v>120</v>
      </c>
      <c r="D86" s="32" t="s">
        <v>10</v>
      </c>
      <c r="E86" s="33" t="s">
        <v>2093</v>
      </c>
      <c r="F86" s="72" t="s">
        <v>2094</v>
      </c>
      <c r="G86" s="38">
        <v>1700000</v>
      </c>
      <c r="H86" s="33" t="s">
        <v>128</v>
      </c>
      <c r="I86" s="103" t="s">
        <v>129</v>
      </c>
      <c r="J86" s="72">
        <v>6</v>
      </c>
      <c r="K86" s="72" t="s">
        <v>41</v>
      </c>
      <c r="L86" s="90"/>
      <c r="M86" s="90"/>
    </row>
    <row r="87" spans="1:13" s="7" customFormat="1" ht="12" customHeight="1">
      <c r="A87" s="31" t="s">
        <v>160</v>
      </c>
      <c r="B87" s="31" t="s">
        <v>160</v>
      </c>
      <c r="C87" s="32" t="s">
        <v>120</v>
      </c>
      <c r="D87" s="32" t="s">
        <v>10</v>
      </c>
      <c r="E87" s="33" t="s">
        <v>2093</v>
      </c>
      <c r="F87" s="72" t="s">
        <v>2095</v>
      </c>
      <c r="G87" s="38">
        <v>1700000</v>
      </c>
      <c r="H87" s="33" t="s">
        <v>133</v>
      </c>
      <c r="I87" s="103" t="s">
        <v>134</v>
      </c>
      <c r="J87" s="72">
        <v>6</v>
      </c>
      <c r="K87" s="72" t="s">
        <v>41</v>
      </c>
      <c r="L87" s="90"/>
      <c r="M87" s="90"/>
    </row>
    <row r="88" spans="1:13" s="7" customFormat="1" ht="12" customHeight="1">
      <c r="A88" s="31" t="s">
        <v>160</v>
      </c>
      <c r="B88" s="31" t="s">
        <v>160</v>
      </c>
      <c r="C88" s="32" t="s">
        <v>138</v>
      </c>
      <c r="D88" s="32" t="s">
        <v>1</v>
      </c>
      <c r="E88" s="33" t="s">
        <v>2093</v>
      </c>
      <c r="F88" s="72" t="s">
        <v>2096</v>
      </c>
      <c r="G88" s="38" t="s">
        <v>139</v>
      </c>
      <c r="H88" s="33">
        <v>3.2</v>
      </c>
      <c r="I88" s="103" t="s">
        <v>12</v>
      </c>
      <c r="J88" s="72">
        <v>6</v>
      </c>
      <c r="K88" s="72" t="s">
        <v>41</v>
      </c>
      <c r="L88" s="90"/>
      <c r="M88" s="90"/>
    </row>
    <row r="89" spans="1:13" s="7" customFormat="1" ht="12" customHeight="1">
      <c r="A89" s="31" t="s">
        <v>165</v>
      </c>
      <c r="B89" s="31" t="s">
        <v>165</v>
      </c>
      <c r="C89" s="31" t="s">
        <v>43</v>
      </c>
      <c r="D89" s="75" t="s">
        <v>1</v>
      </c>
      <c r="E89" s="33" t="s">
        <v>2097</v>
      </c>
      <c r="F89" s="72" t="s">
        <v>2098</v>
      </c>
      <c r="G89" s="33" t="s">
        <v>168</v>
      </c>
      <c r="H89" s="33" t="s">
        <v>169</v>
      </c>
      <c r="I89" s="101" t="s">
        <v>170</v>
      </c>
      <c r="J89" s="72">
        <v>6</v>
      </c>
      <c r="K89" s="72" t="s">
        <v>41</v>
      </c>
      <c r="L89" s="90"/>
      <c r="M89" s="90"/>
    </row>
    <row r="90" spans="1:13" s="7" customFormat="1" ht="12" customHeight="1">
      <c r="A90" s="31" t="s">
        <v>165</v>
      </c>
      <c r="B90" s="31" t="s">
        <v>165</v>
      </c>
      <c r="C90" s="31" t="s">
        <v>171</v>
      </c>
      <c r="D90" s="32" t="s">
        <v>53</v>
      </c>
      <c r="E90" s="33" t="s">
        <v>2097</v>
      </c>
      <c r="F90" s="72" t="s">
        <v>2099</v>
      </c>
      <c r="G90" s="33" t="s">
        <v>172</v>
      </c>
      <c r="H90" s="33">
        <v>3.1</v>
      </c>
      <c r="I90" s="101" t="s">
        <v>591</v>
      </c>
      <c r="J90" s="72">
        <v>375</v>
      </c>
      <c r="K90" s="72" t="s">
        <v>38</v>
      </c>
      <c r="L90" s="90"/>
      <c r="M90" s="90"/>
    </row>
    <row r="91" spans="1:13" s="7" customFormat="1" ht="12" customHeight="1">
      <c r="A91" s="31" t="s">
        <v>165</v>
      </c>
      <c r="B91" s="31" t="s">
        <v>165</v>
      </c>
      <c r="C91" s="31" t="s">
        <v>171</v>
      </c>
      <c r="D91" s="31" t="s">
        <v>1</v>
      </c>
      <c r="E91" s="33" t="s">
        <v>2097</v>
      </c>
      <c r="F91" s="72" t="s">
        <v>2100</v>
      </c>
      <c r="G91" s="33" t="s">
        <v>172</v>
      </c>
      <c r="H91" s="33">
        <v>3.2</v>
      </c>
      <c r="I91" s="101" t="s">
        <v>736</v>
      </c>
      <c r="J91" s="72">
        <v>24</v>
      </c>
      <c r="K91" s="72" t="s">
        <v>38</v>
      </c>
      <c r="L91" s="90"/>
      <c r="M91" s="90"/>
    </row>
    <row r="92" spans="1:13" s="7" customFormat="1" ht="12" customHeight="1">
      <c r="A92" s="31" t="s">
        <v>165</v>
      </c>
      <c r="B92" s="31" t="s">
        <v>165</v>
      </c>
      <c r="C92" s="31" t="s">
        <v>171</v>
      </c>
      <c r="D92" s="32" t="s">
        <v>54</v>
      </c>
      <c r="E92" s="33" t="s">
        <v>2097</v>
      </c>
      <c r="F92" s="72" t="s">
        <v>2554</v>
      </c>
      <c r="G92" s="33" t="s">
        <v>172</v>
      </c>
      <c r="H92" s="33" t="s">
        <v>55</v>
      </c>
      <c r="I92" s="101" t="s">
        <v>58</v>
      </c>
      <c r="J92" s="72">
        <v>6</v>
      </c>
      <c r="K92" s="72" t="s">
        <v>41</v>
      </c>
      <c r="L92" s="90"/>
      <c r="M92" s="90"/>
    </row>
    <row r="93" spans="1:13" s="7" customFormat="1" ht="12" customHeight="1">
      <c r="A93" s="31" t="s">
        <v>165</v>
      </c>
      <c r="B93" s="31" t="s">
        <v>165</v>
      </c>
      <c r="C93" s="31" t="s">
        <v>171</v>
      </c>
      <c r="D93" s="32" t="s">
        <v>54</v>
      </c>
      <c r="E93" s="33" t="s">
        <v>2097</v>
      </c>
      <c r="F93" s="72" t="s">
        <v>2101</v>
      </c>
      <c r="G93" s="33" t="s">
        <v>172</v>
      </c>
      <c r="H93" s="33" t="s">
        <v>57</v>
      </c>
      <c r="I93" s="101" t="s">
        <v>176</v>
      </c>
      <c r="J93" s="72">
        <v>6</v>
      </c>
      <c r="K93" s="72" t="s">
        <v>41</v>
      </c>
      <c r="L93" s="90"/>
      <c r="M93" s="90"/>
    </row>
    <row r="94" spans="1:13" s="7" customFormat="1" ht="12" customHeight="1">
      <c r="A94" s="31" t="s">
        <v>165</v>
      </c>
      <c r="B94" s="31" t="s">
        <v>165</v>
      </c>
      <c r="C94" s="31" t="s">
        <v>171</v>
      </c>
      <c r="D94" s="32" t="s">
        <v>54</v>
      </c>
      <c r="E94" s="33" t="s">
        <v>2097</v>
      </c>
      <c r="F94" s="72" t="s">
        <v>2102</v>
      </c>
      <c r="G94" s="33" t="s">
        <v>172</v>
      </c>
      <c r="H94" s="33" t="s">
        <v>59</v>
      </c>
      <c r="I94" s="101" t="s">
        <v>62</v>
      </c>
      <c r="J94" s="72">
        <v>6</v>
      </c>
      <c r="K94" s="72" t="s">
        <v>41</v>
      </c>
      <c r="L94" s="90"/>
      <c r="M94" s="90"/>
    </row>
    <row r="95" spans="1:13" s="7" customFormat="1" ht="12" customHeight="1">
      <c r="A95" s="31" t="s">
        <v>165</v>
      </c>
      <c r="B95" s="31" t="s">
        <v>165</v>
      </c>
      <c r="C95" s="31" t="s">
        <v>171</v>
      </c>
      <c r="D95" s="32" t="s">
        <v>54</v>
      </c>
      <c r="E95" s="33" t="s">
        <v>2097</v>
      </c>
      <c r="F95" s="72" t="s">
        <v>2103</v>
      </c>
      <c r="G95" s="33" t="s">
        <v>172</v>
      </c>
      <c r="H95" s="33" t="s">
        <v>61</v>
      </c>
      <c r="I95" s="101" t="s">
        <v>179</v>
      </c>
      <c r="J95" s="72">
        <v>6</v>
      </c>
      <c r="K95" s="72" t="s">
        <v>41</v>
      </c>
      <c r="L95" s="90"/>
      <c r="M95" s="90"/>
    </row>
    <row r="96" spans="1:13" s="7" customFormat="1" ht="12" customHeight="1">
      <c r="A96" s="31" t="s">
        <v>165</v>
      </c>
      <c r="B96" s="31" t="s">
        <v>165</v>
      </c>
      <c r="C96" s="31" t="s">
        <v>171</v>
      </c>
      <c r="D96" s="32" t="s">
        <v>54</v>
      </c>
      <c r="E96" s="33" t="s">
        <v>2097</v>
      </c>
      <c r="F96" s="72" t="s">
        <v>2104</v>
      </c>
      <c r="G96" s="33" t="s">
        <v>172</v>
      </c>
      <c r="H96" s="33" t="s">
        <v>63</v>
      </c>
      <c r="I96" s="101" t="s">
        <v>66</v>
      </c>
      <c r="J96" s="72">
        <v>6</v>
      </c>
      <c r="K96" s="72" t="s">
        <v>41</v>
      </c>
      <c r="L96" s="90"/>
      <c r="M96" s="90"/>
    </row>
    <row r="97" spans="1:13" s="7" customFormat="1" ht="12" customHeight="1">
      <c r="A97" s="31" t="s">
        <v>165</v>
      </c>
      <c r="B97" s="31" t="s">
        <v>165</v>
      </c>
      <c r="C97" s="31" t="s">
        <v>171</v>
      </c>
      <c r="D97" s="32" t="s">
        <v>54</v>
      </c>
      <c r="E97" s="33" t="s">
        <v>2097</v>
      </c>
      <c r="F97" s="72" t="s">
        <v>2105</v>
      </c>
      <c r="G97" s="33" t="s">
        <v>172</v>
      </c>
      <c r="H97" s="33" t="s">
        <v>65</v>
      </c>
      <c r="I97" s="101" t="s">
        <v>181</v>
      </c>
      <c r="J97" s="72">
        <v>6</v>
      </c>
      <c r="K97" s="72" t="s">
        <v>41</v>
      </c>
      <c r="L97" s="90"/>
      <c r="M97" s="90"/>
    </row>
    <row r="98" spans="1:13" s="7" customFormat="1" ht="12" customHeight="1">
      <c r="A98" s="31" t="s">
        <v>165</v>
      </c>
      <c r="B98" s="31" t="s">
        <v>165</v>
      </c>
      <c r="C98" s="31" t="s">
        <v>171</v>
      </c>
      <c r="D98" s="32" t="s">
        <v>54</v>
      </c>
      <c r="E98" s="33" t="s">
        <v>2097</v>
      </c>
      <c r="F98" s="72" t="s">
        <v>2106</v>
      </c>
      <c r="G98" s="33" t="s">
        <v>172</v>
      </c>
      <c r="H98" s="33" t="s">
        <v>67</v>
      </c>
      <c r="I98" s="101" t="s">
        <v>182</v>
      </c>
      <c r="J98" s="72">
        <v>6</v>
      </c>
      <c r="K98" s="72" t="s">
        <v>41</v>
      </c>
      <c r="L98" s="90"/>
      <c r="M98" s="90"/>
    </row>
    <row r="99" spans="1:13" s="7" customFormat="1" ht="12" customHeight="1">
      <c r="A99" s="31" t="s">
        <v>165</v>
      </c>
      <c r="B99" s="31" t="s">
        <v>165</v>
      </c>
      <c r="C99" s="31" t="s">
        <v>171</v>
      </c>
      <c r="D99" s="32" t="s">
        <v>54</v>
      </c>
      <c r="E99" s="33" t="s">
        <v>2097</v>
      </c>
      <c r="F99" s="72" t="s">
        <v>2107</v>
      </c>
      <c r="G99" s="33" t="s">
        <v>172</v>
      </c>
      <c r="H99" s="33" t="s">
        <v>69</v>
      </c>
      <c r="I99" s="101" t="s">
        <v>77</v>
      </c>
      <c r="J99" s="72">
        <v>6</v>
      </c>
      <c r="K99" s="72" t="s">
        <v>41</v>
      </c>
      <c r="L99" s="90"/>
      <c r="M99" s="90"/>
    </row>
    <row r="100" spans="1:13" s="7" customFormat="1" ht="12" customHeight="1">
      <c r="A100" s="31" t="s">
        <v>165</v>
      </c>
      <c r="B100" s="31" t="s">
        <v>165</v>
      </c>
      <c r="C100" s="31" t="s">
        <v>171</v>
      </c>
      <c r="D100" s="32" t="s">
        <v>4</v>
      </c>
      <c r="E100" s="33" t="s">
        <v>2097</v>
      </c>
      <c r="F100" s="72" t="s">
        <v>2108</v>
      </c>
      <c r="G100" s="33" t="s">
        <v>172</v>
      </c>
      <c r="H100" s="33" t="s">
        <v>81</v>
      </c>
      <c r="I100" s="101" t="s">
        <v>183</v>
      </c>
      <c r="J100" s="72">
        <v>6</v>
      </c>
      <c r="K100" s="72" t="s">
        <v>41</v>
      </c>
      <c r="L100" s="90"/>
      <c r="M100" s="90"/>
    </row>
    <row r="101" spans="1:13" s="7" customFormat="1" ht="12" customHeight="1">
      <c r="A101" s="31" t="s">
        <v>165</v>
      </c>
      <c r="B101" s="31" t="s">
        <v>165</v>
      </c>
      <c r="C101" s="31" t="s">
        <v>171</v>
      </c>
      <c r="D101" s="32" t="s">
        <v>4</v>
      </c>
      <c r="E101" s="33" t="s">
        <v>2097</v>
      </c>
      <c r="F101" s="72" t="s">
        <v>2109</v>
      </c>
      <c r="G101" s="33" t="s">
        <v>172</v>
      </c>
      <c r="H101" s="33" t="s">
        <v>83</v>
      </c>
      <c r="I101" s="101" t="s">
        <v>184</v>
      </c>
      <c r="J101" s="72">
        <v>6</v>
      </c>
      <c r="K101" s="72" t="s">
        <v>41</v>
      </c>
      <c r="L101" s="90"/>
      <c r="M101" s="90"/>
    </row>
    <row r="102" spans="1:13" s="7" customFormat="1" ht="12" customHeight="1">
      <c r="A102" s="31" t="s">
        <v>165</v>
      </c>
      <c r="B102" s="31" t="s">
        <v>165</v>
      </c>
      <c r="C102" s="31" t="s">
        <v>171</v>
      </c>
      <c r="D102" s="32" t="s">
        <v>4</v>
      </c>
      <c r="E102" s="33" t="s">
        <v>2097</v>
      </c>
      <c r="F102" s="72" t="s">
        <v>2110</v>
      </c>
      <c r="G102" s="33" t="s">
        <v>172</v>
      </c>
      <c r="H102" s="33" t="s">
        <v>85</v>
      </c>
      <c r="I102" s="101" t="s">
        <v>72</v>
      </c>
      <c r="J102" s="72">
        <v>6</v>
      </c>
      <c r="K102" s="72" t="s">
        <v>41</v>
      </c>
      <c r="L102" s="90"/>
      <c r="M102" s="90"/>
    </row>
    <row r="103" spans="1:13" s="7" customFormat="1" ht="12" customHeight="1">
      <c r="A103" s="31" t="s">
        <v>165</v>
      </c>
      <c r="B103" s="31" t="s">
        <v>165</v>
      </c>
      <c r="C103" s="31" t="s">
        <v>171</v>
      </c>
      <c r="D103" s="32" t="s">
        <v>4</v>
      </c>
      <c r="E103" s="33" t="s">
        <v>2097</v>
      </c>
      <c r="F103" s="72" t="s">
        <v>2111</v>
      </c>
      <c r="G103" s="33" t="s">
        <v>172</v>
      </c>
      <c r="H103" s="33" t="s">
        <v>87</v>
      </c>
      <c r="I103" s="101" t="s">
        <v>185</v>
      </c>
      <c r="J103" s="72">
        <v>6</v>
      </c>
      <c r="K103" s="72" t="s">
        <v>41</v>
      </c>
      <c r="L103" s="90"/>
      <c r="M103" s="90"/>
    </row>
    <row r="104" spans="1:13" s="7" customFormat="1" ht="12" customHeight="1">
      <c r="A104" s="31" t="s">
        <v>165</v>
      </c>
      <c r="B104" s="31" t="s">
        <v>165</v>
      </c>
      <c r="C104" s="31" t="s">
        <v>171</v>
      </c>
      <c r="D104" s="32" t="s">
        <v>4</v>
      </c>
      <c r="E104" s="33" t="s">
        <v>2097</v>
      </c>
      <c r="F104" s="72" t="s">
        <v>2112</v>
      </c>
      <c r="G104" s="33" t="s">
        <v>172</v>
      </c>
      <c r="H104" s="33" t="s">
        <v>88</v>
      </c>
      <c r="I104" s="101" t="s">
        <v>186</v>
      </c>
      <c r="J104" s="72">
        <v>6</v>
      </c>
      <c r="K104" s="72" t="s">
        <v>41</v>
      </c>
      <c r="L104" s="90"/>
      <c r="M104" s="90"/>
    </row>
    <row r="105" spans="1:13" s="7" customFormat="1" ht="12" customHeight="1">
      <c r="A105" s="31" t="s">
        <v>165</v>
      </c>
      <c r="B105" s="31" t="s">
        <v>165</v>
      </c>
      <c r="C105" s="31" t="s">
        <v>171</v>
      </c>
      <c r="D105" s="32" t="s">
        <v>80</v>
      </c>
      <c r="E105" s="33" t="s">
        <v>2097</v>
      </c>
      <c r="F105" s="72" t="s">
        <v>2113</v>
      </c>
      <c r="G105" s="33" t="s">
        <v>172</v>
      </c>
      <c r="H105" s="33" t="s">
        <v>90</v>
      </c>
      <c r="I105" s="101" t="s">
        <v>82</v>
      </c>
      <c r="J105" s="72">
        <v>6</v>
      </c>
      <c r="K105" s="72" t="s">
        <v>41</v>
      </c>
      <c r="L105" s="90"/>
      <c r="M105" s="90"/>
    </row>
    <row r="106" spans="1:13" s="7" customFormat="1" ht="12" customHeight="1">
      <c r="A106" s="31" t="s">
        <v>165</v>
      </c>
      <c r="B106" s="31" t="s">
        <v>165</v>
      </c>
      <c r="C106" s="31" t="s">
        <v>171</v>
      </c>
      <c r="D106" s="32" t="s">
        <v>80</v>
      </c>
      <c r="E106" s="33" t="s">
        <v>2097</v>
      </c>
      <c r="F106" s="72" t="s">
        <v>2114</v>
      </c>
      <c r="G106" s="33" t="s">
        <v>172</v>
      </c>
      <c r="H106" s="33" t="s">
        <v>91</v>
      </c>
      <c r="I106" s="101" t="s">
        <v>84</v>
      </c>
      <c r="J106" s="72">
        <v>6</v>
      </c>
      <c r="K106" s="72" t="s">
        <v>41</v>
      </c>
      <c r="L106" s="90"/>
      <c r="M106" s="90"/>
    </row>
    <row r="107" spans="1:13" s="7" customFormat="1" ht="12" customHeight="1">
      <c r="A107" s="31" t="s">
        <v>165</v>
      </c>
      <c r="B107" s="31" t="s">
        <v>165</v>
      </c>
      <c r="C107" s="31" t="s">
        <v>171</v>
      </c>
      <c r="D107" s="32" t="s">
        <v>80</v>
      </c>
      <c r="E107" s="33" t="s">
        <v>2097</v>
      </c>
      <c r="F107" s="72" t="s">
        <v>2115</v>
      </c>
      <c r="G107" s="33" t="s">
        <v>172</v>
      </c>
      <c r="H107" s="33" t="s">
        <v>152</v>
      </c>
      <c r="I107" s="101" t="s">
        <v>186</v>
      </c>
      <c r="J107" s="72">
        <v>6</v>
      </c>
      <c r="K107" s="72" t="s">
        <v>41</v>
      </c>
      <c r="L107" s="90"/>
      <c r="M107" s="90"/>
    </row>
    <row r="108" spans="1:13" s="7" customFormat="1" ht="12" customHeight="1">
      <c r="A108" s="31" t="s">
        <v>165</v>
      </c>
      <c r="B108" s="31" t="s">
        <v>165</v>
      </c>
      <c r="C108" s="31" t="s">
        <v>171</v>
      </c>
      <c r="D108" s="32" t="s">
        <v>80</v>
      </c>
      <c r="E108" s="33" t="s">
        <v>2097</v>
      </c>
      <c r="F108" s="72" t="s">
        <v>2116</v>
      </c>
      <c r="G108" s="33" t="s">
        <v>172</v>
      </c>
      <c r="H108" s="33" t="s">
        <v>93</v>
      </c>
      <c r="I108" s="101" t="s">
        <v>187</v>
      </c>
      <c r="J108" s="72">
        <v>6</v>
      </c>
      <c r="K108" s="72" t="s">
        <v>41</v>
      </c>
      <c r="L108" s="90"/>
      <c r="M108" s="90"/>
    </row>
    <row r="109" spans="1:13" s="7" customFormat="1" ht="12" customHeight="1">
      <c r="A109" s="31" t="s">
        <v>165</v>
      </c>
      <c r="B109" s="31" t="s">
        <v>165</v>
      </c>
      <c r="C109" s="31" t="s">
        <v>171</v>
      </c>
      <c r="D109" s="32" t="s">
        <v>80</v>
      </c>
      <c r="E109" s="33" t="s">
        <v>2097</v>
      </c>
      <c r="F109" s="72" t="s">
        <v>2117</v>
      </c>
      <c r="G109" s="33" t="s">
        <v>172</v>
      </c>
      <c r="H109" s="33" t="s">
        <v>95</v>
      </c>
      <c r="I109" s="101" t="s">
        <v>77</v>
      </c>
      <c r="J109" s="72">
        <v>6</v>
      </c>
      <c r="K109" s="72" t="s">
        <v>41</v>
      </c>
      <c r="L109" s="90"/>
      <c r="M109" s="90"/>
    </row>
    <row r="110" spans="1:13" s="7" customFormat="1" ht="12" customHeight="1">
      <c r="A110" s="31" t="s">
        <v>165</v>
      </c>
      <c r="B110" s="31" t="s">
        <v>165</v>
      </c>
      <c r="C110" s="31" t="s">
        <v>171</v>
      </c>
      <c r="D110" s="32" t="s">
        <v>89</v>
      </c>
      <c r="E110" s="33" t="s">
        <v>2097</v>
      </c>
      <c r="F110" s="72" t="s">
        <v>2118</v>
      </c>
      <c r="G110" s="33" t="s">
        <v>172</v>
      </c>
      <c r="H110" s="33" t="s">
        <v>188</v>
      </c>
      <c r="I110" s="101" t="s">
        <v>189</v>
      </c>
      <c r="J110" s="72">
        <v>6</v>
      </c>
      <c r="K110" s="72" t="s">
        <v>41</v>
      </c>
      <c r="L110" s="90"/>
      <c r="M110" s="90"/>
    </row>
    <row r="111" spans="1:13" s="7" customFormat="1" ht="12" customHeight="1">
      <c r="A111" s="31" t="s">
        <v>165</v>
      </c>
      <c r="B111" s="31" t="s">
        <v>165</v>
      </c>
      <c r="C111" s="31" t="s">
        <v>171</v>
      </c>
      <c r="D111" s="32" t="s">
        <v>89</v>
      </c>
      <c r="E111" s="33" t="s">
        <v>2097</v>
      </c>
      <c r="F111" s="72" t="s">
        <v>2119</v>
      </c>
      <c r="G111" s="33" t="s">
        <v>172</v>
      </c>
      <c r="H111" s="33" t="s">
        <v>190</v>
      </c>
      <c r="I111" s="101" t="s">
        <v>191</v>
      </c>
      <c r="J111" s="72">
        <v>6</v>
      </c>
      <c r="K111" s="72" t="s">
        <v>41</v>
      </c>
      <c r="L111" s="90"/>
      <c r="M111" s="90"/>
    </row>
    <row r="112" spans="1:13" s="7" customFormat="1" ht="12" customHeight="1">
      <c r="A112" s="31" t="s">
        <v>165</v>
      </c>
      <c r="B112" s="31" t="s">
        <v>165</v>
      </c>
      <c r="C112" s="31" t="s">
        <v>171</v>
      </c>
      <c r="D112" s="32" t="s">
        <v>89</v>
      </c>
      <c r="E112" s="33" t="s">
        <v>2097</v>
      </c>
      <c r="F112" s="72" t="s">
        <v>2120</v>
      </c>
      <c r="G112" s="33" t="s">
        <v>172</v>
      </c>
      <c r="H112" s="33" t="s">
        <v>192</v>
      </c>
      <c r="I112" s="101" t="s">
        <v>193</v>
      </c>
      <c r="J112" s="72">
        <v>6</v>
      </c>
      <c r="K112" s="72" t="s">
        <v>41</v>
      </c>
      <c r="L112" s="90"/>
      <c r="M112" s="90"/>
    </row>
    <row r="113" spans="1:13" s="7" customFormat="1" ht="12" customHeight="1">
      <c r="A113" s="31" t="s">
        <v>165</v>
      </c>
      <c r="B113" s="31" t="s">
        <v>165</v>
      </c>
      <c r="C113" s="31" t="s">
        <v>171</v>
      </c>
      <c r="D113" s="32" t="s">
        <v>89</v>
      </c>
      <c r="E113" s="33" t="s">
        <v>2097</v>
      </c>
      <c r="F113" s="72" t="s">
        <v>2121</v>
      </c>
      <c r="G113" s="33" t="s">
        <v>172</v>
      </c>
      <c r="H113" s="33" t="s">
        <v>194</v>
      </c>
      <c r="I113" s="101" t="s">
        <v>195</v>
      </c>
      <c r="J113" s="72">
        <v>6</v>
      </c>
      <c r="K113" s="72" t="s">
        <v>41</v>
      </c>
      <c r="L113" s="90"/>
      <c r="M113" s="90"/>
    </row>
    <row r="114" spans="1:13" s="7" customFormat="1" ht="12" customHeight="1">
      <c r="A114" s="31" t="s">
        <v>165</v>
      </c>
      <c r="B114" s="31" t="s">
        <v>165</v>
      </c>
      <c r="C114" s="31" t="s">
        <v>171</v>
      </c>
      <c r="D114" s="32" t="s">
        <v>89</v>
      </c>
      <c r="E114" s="33" t="s">
        <v>2097</v>
      </c>
      <c r="F114" s="72" t="s">
        <v>2122</v>
      </c>
      <c r="G114" s="33" t="s">
        <v>172</v>
      </c>
      <c r="H114" s="33" t="s">
        <v>196</v>
      </c>
      <c r="I114" s="101" t="s">
        <v>197</v>
      </c>
      <c r="J114" s="72">
        <v>6</v>
      </c>
      <c r="K114" s="72" t="s">
        <v>41</v>
      </c>
      <c r="L114" s="90"/>
      <c r="M114" s="90"/>
    </row>
    <row r="115" spans="1:13" s="7" customFormat="1" ht="12" customHeight="1">
      <c r="A115" s="31" t="s">
        <v>165</v>
      </c>
      <c r="B115" s="31" t="s">
        <v>165</v>
      </c>
      <c r="C115" s="31" t="s">
        <v>171</v>
      </c>
      <c r="D115" s="32" t="s">
        <v>89</v>
      </c>
      <c r="E115" s="33" t="s">
        <v>2097</v>
      </c>
      <c r="F115" s="72" t="s">
        <v>2123</v>
      </c>
      <c r="G115" s="33" t="s">
        <v>172</v>
      </c>
      <c r="H115" s="33" t="s">
        <v>198</v>
      </c>
      <c r="I115" s="101" t="s">
        <v>593</v>
      </c>
      <c r="J115" s="72">
        <v>6</v>
      </c>
      <c r="K115" s="72" t="s">
        <v>41</v>
      </c>
      <c r="L115" s="90"/>
      <c r="M115" s="90"/>
    </row>
    <row r="116" spans="1:13" s="7" customFormat="1" ht="12" customHeight="1">
      <c r="A116" s="31" t="s">
        <v>165</v>
      </c>
      <c r="B116" s="31" t="s">
        <v>165</v>
      </c>
      <c r="C116" s="31" t="s">
        <v>171</v>
      </c>
      <c r="D116" s="32" t="s">
        <v>89</v>
      </c>
      <c r="E116" s="33" t="s">
        <v>2097</v>
      </c>
      <c r="F116" s="72" t="s">
        <v>2124</v>
      </c>
      <c r="G116" s="33" t="s">
        <v>172</v>
      </c>
      <c r="H116" s="33" t="s">
        <v>199</v>
      </c>
      <c r="I116" s="101" t="s">
        <v>202</v>
      </c>
      <c r="J116" s="72">
        <v>6</v>
      </c>
      <c r="K116" s="72" t="s">
        <v>41</v>
      </c>
      <c r="L116" s="90"/>
      <c r="M116" s="90"/>
    </row>
    <row r="117" spans="1:13" s="7" customFormat="1" ht="12" customHeight="1">
      <c r="A117" s="31" t="s">
        <v>165</v>
      </c>
      <c r="B117" s="31" t="s">
        <v>165</v>
      </c>
      <c r="C117" s="31" t="s">
        <v>171</v>
      </c>
      <c r="D117" s="32" t="s">
        <v>89</v>
      </c>
      <c r="E117" s="33" t="s">
        <v>2097</v>
      </c>
      <c r="F117" s="72" t="s">
        <v>2125</v>
      </c>
      <c r="G117" s="33" t="s">
        <v>172</v>
      </c>
      <c r="H117" s="33" t="s">
        <v>201</v>
      </c>
      <c r="I117" s="101" t="s">
        <v>200</v>
      </c>
      <c r="J117" s="72">
        <v>6</v>
      </c>
      <c r="K117" s="72" t="s">
        <v>41</v>
      </c>
      <c r="L117" s="90"/>
      <c r="M117" s="90"/>
    </row>
    <row r="118" spans="1:13" s="7" customFormat="1" ht="12" customHeight="1">
      <c r="A118" s="31" t="s">
        <v>165</v>
      </c>
      <c r="B118" s="31" t="s">
        <v>165</v>
      </c>
      <c r="C118" s="31" t="s">
        <v>171</v>
      </c>
      <c r="D118" s="32" t="s">
        <v>89</v>
      </c>
      <c r="E118" s="33" t="s">
        <v>2097</v>
      </c>
      <c r="F118" s="72" t="s">
        <v>2126</v>
      </c>
      <c r="G118" s="33" t="s">
        <v>172</v>
      </c>
      <c r="H118" s="33" t="s">
        <v>203</v>
      </c>
      <c r="I118" s="101" t="s">
        <v>204</v>
      </c>
      <c r="J118" s="72">
        <v>6</v>
      </c>
      <c r="K118" s="72" t="s">
        <v>41</v>
      </c>
      <c r="L118" s="90"/>
      <c r="M118" s="90"/>
    </row>
    <row r="119" spans="1:13" s="7" customFormat="1" ht="12" customHeight="1">
      <c r="A119" s="31" t="s">
        <v>165</v>
      </c>
      <c r="B119" s="31" t="s">
        <v>165</v>
      </c>
      <c r="C119" s="31" t="s">
        <v>171</v>
      </c>
      <c r="D119" s="32" t="s">
        <v>89</v>
      </c>
      <c r="E119" s="33" t="s">
        <v>2097</v>
      </c>
      <c r="F119" s="72" t="s">
        <v>2127</v>
      </c>
      <c r="G119" s="33" t="s">
        <v>172</v>
      </c>
      <c r="H119" s="33" t="s">
        <v>205</v>
      </c>
      <c r="I119" s="101" t="s">
        <v>96</v>
      </c>
      <c r="J119" s="72">
        <v>6</v>
      </c>
      <c r="K119" s="72" t="s">
        <v>41</v>
      </c>
      <c r="L119" s="90"/>
      <c r="M119" s="90"/>
    </row>
    <row r="120" spans="1:13" s="7" customFormat="1" ht="12" customHeight="1">
      <c r="A120" s="31" t="s">
        <v>165</v>
      </c>
      <c r="B120" s="31" t="s">
        <v>165</v>
      </c>
      <c r="C120" s="32" t="s">
        <v>207</v>
      </c>
      <c r="D120" s="32" t="s">
        <v>1</v>
      </c>
      <c r="E120" s="33" t="s">
        <v>2097</v>
      </c>
      <c r="F120" s="72" t="s">
        <v>2128</v>
      </c>
      <c r="G120" s="33" t="s">
        <v>208</v>
      </c>
      <c r="H120" s="33">
        <v>3.1</v>
      </c>
      <c r="I120" s="101" t="s">
        <v>209</v>
      </c>
      <c r="J120" s="72">
        <v>6</v>
      </c>
      <c r="K120" s="72" t="s">
        <v>41</v>
      </c>
      <c r="L120" s="90"/>
      <c r="M120" s="90"/>
    </row>
    <row r="121" spans="1:13" s="7" customFormat="1" ht="12" customHeight="1">
      <c r="A121" s="31" t="s">
        <v>165</v>
      </c>
      <c r="B121" s="31" t="s">
        <v>165</v>
      </c>
      <c r="C121" s="32" t="s">
        <v>207</v>
      </c>
      <c r="D121" s="32" t="s">
        <v>1</v>
      </c>
      <c r="E121" s="33" t="s">
        <v>2097</v>
      </c>
      <c r="F121" s="72" t="s">
        <v>2129</v>
      </c>
      <c r="G121" s="33" t="s">
        <v>208</v>
      </c>
      <c r="H121" s="33">
        <v>3.2</v>
      </c>
      <c r="I121" s="101" t="s">
        <v>210</v>
      </c>
      <c r="J121" s="72">
        <v>6</v>
      </c>
      <c r="K121" s="72" t="s">
        <v>38</v>
      </c>
      <c r="L121" s="90"/>
      <c r="M121" s="90"/>
    </row>
    <row r="122" spans="1:13" s="7" customFormat="1" ht="12" customHeight="1">
      <c r="A122" s="31" t="s">
        <v>165</v>
      </c>
      <c r="B122" s="31" t="s">
        <v>165</v>
      </c>
      <c r="C122" s="32" t="s">
        <v>211</v>
      </c>
      <c r="D122" s="31" t="s">
        <v>1</v>
      </c>
      <c r="E122" s="33" t="s">
        <v>2097</v>
      </c>
      <c r="F122" s="72" t="s">
        <v>2130</v>
      </c>
      <c r="G122" s="33" t="s">
        <v>212</v>
      </c>
      <c r="H122" s="33">
        <v>3.1</v>
      </c>
      <c r="I122" s="101" t="s">
        <v>213</v>
      </c>
      <c r="J122" s="72">
        <v>6</v>
      </c>
      <c r="K122" s="72" t="s">
        <v>41</v>
      </c>
      <c r="L122" s="90"/>
      <c r="M122" s="90"/>
    </row>
    <row r="123" spans="1:13" s="7" customFormat="1" ht="12" customHeight="1">
      <c r="A123" s="31" t="s">
        <v>165</v>
      </c>
      <c r="B123" s="31" t="s">
        <v>165</v>
      </c>
      <c r="C123" s="32" t="s">
        <v>211</v>
      </c>
      <c r="D123" s="31" t="s">
        <v>1</v>
      </c>
      <c r="E123" s="33" t="s">
        <v>2097</v>
      </c>
      <c r="F123" s="72" t="s">
        <v>2131</v>
      </c>
      <c r="G123" s="33" t="s">
        <v>212</v>
      </c>
      <c r="H123" s="33">
        <v>3.2</v>
      </c>
      <c r="I123" s="101" t="s">
        <v>214</v>
      </c>
      <c r="J123" s="72">
        <v>50</v>
      </c>
      <c r="K123" s="72" t="s">
        <v>38</v>
      </c>
      <c r="L123" s="90"/>
      <c r="M123" s="90"/>
    </row>
    <row r="124" spans="1:13" s="7" customFormat="1" ht="12" customHeight="1">
      <c r="A124" s="31" t="s">
        <v>165</v>
      </c>
      <c r="B124" s="31" t="s">
        <v>165</v>
      </c>
      <c r="C124" s="32" t="s">
        <v>211</v>
      </c>
      <c r="D124" s="31" t="s">
        <v>1</v>
      </c>
      <c r="E124" s="33" t="s">
        <v>2097</v>
      </c>
      <c r="F124" s="72" t="s">
        <v>2132</v>
      </c>
      <c r="G124" s="33" t="s">
        <v>212</v>
      </c>
      <c r="H124" s="33">
        <v>3.3</v>
      </c>
      <c r="I124" s="101" t="s">
        <v>0</v>
      </c>
      <c r="J124" s="72">
        <v>6</v>
      </c>
      <c r="K124" s="72" t="s">
        <v>41</v>
      </c>
      <c r="L124" s="90"/>
      <c r="M124" s="90"/>
    </row>
    <row r="125" spans="1:13" s="7" customFormat="1" ht="12" customHeight="1">
      <c r="A125" s="31" t="s">
        <v>165</v>
      </c>
      <c r="B125" s="31" t="s">
        <v>165</v>
      </c>
      <c r="C125" s="32" t="s">
        <v>215</v>
      </c>
      <c r="D125" s="31" t="s">
        <v>1</v>
      </c>
      <c r="E125" s="33" t="s">
        <v>2097</v>
      </c>
      <c r="F125" s="72" t="s">
        <v>2133</v>
      </c>
      <c r="G125" s="33" t="s">
        <v>216</v>
      </c>
      <c r="H125" s="33">
        <v>3</v>
      </c>
      <c r="I125" s="101" t="s">
        <v>592</v>
      </c>
      <c r="J125" s="72">
        <v>6</v>
      </c>
      <c r="K125" s="72" t="s">
        <v>41</v>
      </c>
      <c r="L125" s="90"/>
      <c r="M125" s="90"/>
    </row>
    <row r="126" spans="1:13" s="7" customFormat="1" ht="12" customHeight="1">
      <c r="A126" s="31" t="s">
        <v>165</v>
      </c>
      <c r="B126" s="31" t="s">
        <v>165</v>
      </c>
      <c r="C126" s="32" t="s">
        <v>217</v>
      </c>
      <c r="D126" s="31" t="s">
        <v>1</v>
      </c>
      <c r="E126" s="33" t="s">
        <v>2097</v>
      </c>
      <c r="F126" s="72" t="s">
        <v>2134</v>
      </c>
      <c r="G126" s="33" t="s">
        <v>218</v>
      </c>
      <c r="H126" s="33">
        <v>3.1</v>
      </c>
      <c r="I126" s="101" t="s">
        <v>5</v>
      </c>
      <c r="J126" s="72">
        <v>6</v>
      </c>
      <c r="K126" s="91" t="s">
        <v>41</v>
      </c>
      <c r="L126" s="90"/>
      <c r="M126" s="90"/>
    </row>
    <row r="127" spans="1:13" s="7" customFormat="1" ht="12" customHeight="1">
      <c r="A127" s="31" t="s">
        <v>165</v>
      </c>
      <c r="B127" s="31" t="s">
        <v>165</v>
      </c>
      <c r="C127" s="32" t="s">
        <v>217</v>
      </c>
      <c r="D127" s="31" t="s">
        <v>1</v>
      </c>
      <c r="E127" s="33" t="s">
        <v>2097</v>
      </c>
      <c r="F127" s="72" t="s">
        <v>2135</v>
      </c>
      <c r="G127" s="33" t="s">
        <v>218</v>
      </c>
      <c r="H127" s="33">
        <v>3.2</v>
      </c>
      <c r="I127" s="101" t="s">
        <v>219</v>
      </c>
      <c r="J127" s="72">
        <v>6</v>
      </c>
      <c r="K127" s="91" t="s">
        <v>41</v>
      </c>
      <c r="L127" s="90"/>
      <c r="M127" s="90"/>
    </row>
    <row r="128" spans="1:13" s="7" customFormat="1" ht="12" customHeight="1">
      <c r="A128" s="31" t="s">
        <v>165</v>
      </c>
      <c r="B128" s="31" t="s">
        <v>165</v>
      </c>
      <c r="C128" s="32" t="s">
        <v>217</v>
      </c>
      <c r="D128" s="31" t="s">
        <v>1</v>
      </c>
      <c r="E128" s="33" t="s">
        <v>2097</v>
      </c>
      <c r="F128" s="72" t="s">
        <v>2136</v>
      </c>
      <c r="G128" s="33" t="s">
        <v>218</v>
      </c>
      <c r="H128" s="33">
        <v>3.3</v>
      </c>
      <c r="I128" s="101" t="s">
        <v>6</v>
      </c>
      <c r="J128" s="72">
        <v>6</v>
      </c>
      <c r="K128" s="72" t="s">
        <v>41</v>
      </c>
      <c r="L128" s="90"/>
      <c r="M128" s="90"/>
    </row>
    <row r="129" spans="1:13" s="7" customFormat="1" ht="12" customHeight="1">
      <c r="A129" s="31" t="s">
        <v>165</v>
      </c>
      <c r="B129" s="31" t="s">
        <v>165</v>
      </c>
      <c r="C129" s="32" t="s">
        <v>217</v>
      </c>
      <c r="D129" s="31" t="s">
        <v>1</v>
      </c>
      <c r="E129" s="33" t="s">
        <v>2097</v>
      </c>
      <c r="F129" s="72" t="s">
        <v>2137</v>
      </c>
      <c r="G129" s="33" t="s">
        <v>218</v>
      </c>
      <c r="H129" s="33">
        <v>3.4</v>
      </c>
      <c r="I129" s="101" t="s">
        <v>597</v>
      </c>
      <c r="J129" s="72">
        <v>6</v>
      </c>
      <c r="K129" s="72" t="s">
        <v>41</v>
      </c>
      <c r="L129" s="90"/>
      <c r="M129" s="90"/>
    </row>
    <row r="130" spans="1:13" s="7" customFormat="1" ht="12" customHeight="1">
      <c r="A130" s="31" t="s">
        <v>165</v>
      </c>
      <c r="B130" s="31" t="s">
        <v>165</v>
      </c>
      <c r="C130" s="32" t="s">
        <v>217</v>
      </c>
      <c r="D130" s="31" t="s">
        <v>1</v>
      </c>
      <c r="E130" s="33" t="s">
        <v>2097</v>
      </c>
      <c r="F130" s="72" t="s">
        <v>2138</v>
      </c>
      <c r="G130" s="33" t="s">
        <v>218</v>
      </c>
      <c r="H130" s="33">
        <v>3.5</v>
      </c>
      <c r="I130" s="101" t="s">
        <v>220</v>
      </c>
      <c r="J130" s="72">
        <v>6</v>
      </c>
      <c r="K130" s="72" t="s">
        <v>38</v>
      </c>
      <c r="L130" s="90"/>
      <c r="M130" s="90"/>
    </row>
    <row r="131" spans="1:13" s="7" customFormat="1" ht="12" customHeight="1">
      <c r="A131" s="31" t="s">
        <v>165</v>
      </c>
      <c r="B131" s="31" t="s">
        <v>165</v>
      </c>
      <c r="C131" s="32" t="s">
        <v>221</v>
      </c>
      <c r="D131" s="31" t="s">
        <v>1</v>
      </c>
      <c r="E131" s="33" t="s">
        <v>2097</v>
      </c>
      <c r="F131" s="72" t="s">
        <v>2139</v>
      </c>
      <c r="G131" s="33" t="s">
        <v>222</v>
      </c>
      <c r="H131" s="33">
        <v>3.1</v>
      </c>
      <c r="I131" s="101" t="s">
        <v>14</v>
      </c>
      <c r="J131" s="72">
        <v>6</v>
      </c>
      <c r="K131" s="72" t="s">
        <v>41</v>
      </c>
      <c r="L131" s="90"/>
      <c r="M131" s="90"/>
    </row>
    <row r="132" spans="1:13" s="7" customFormat="1" ht="12" customHeight="1">
      <c r="A132" s="31" t="s">
        <v>165</v>
      </c>
      <c r="B132" s="31" t="s">
        <v>165</v>
      </c>
      <c r="C132" s="32" t="s">
        <v>221</v>
      </c>
      <c r="D132" s="31" t="s">
        <v>1</v>
      </c>
      <c r="E132" s="33" t="s">
        <v>2097</v>
      </c>
      <c r="F132" s="72" t="s">
        <v>2140</v>
      </c>
      <c r="G132" s="33" t="s">
        <v>222</v>
      </c>
      <c r="H132" s="33">
        <v>3.2</v>
      </c>
      <c r="I132" s="103" t="s">
        <v>12</v>
      </c>
      <c r="J132" s="72">
        <v>6</v>
      </c>
      <c r="K132" s="72" t="s">
        <v>41</v>
      </c>
      <c r="L132" s="90"/>
      <c r="M132" s="90"/>
    </row>
    <row r="133" spans="1:13" s="7" customFormat="1" ht="12" customHeight="1">
      <c r="A133" s="31" t="s">
        <v>165</v>
      </c>
      <c r="B133" s="31" t="s">
        <v>165</v>
      </c>
      <c r="C133" s="32" t="s">
        <v>221</v>
      </c>
      <c r="D133" s="31" t="s">
        <v>1</v>
      </c>
      <c r="E133" s="33" t="s">
        <v>2097</v>
      </c>
      <c r="F133" s="72" t="s">
        <v>2141</v>
      </c>
      <c r="G133" s="33" t="s">
        <v>222</v>
      </c>
      <c r="H133" s="33">
        <v>3.3</v>
      </c>
      <c r="I133" s="103" t="s">
        <v>223</v>
      </c>
      <c r="J133" s="72">
        <v>6</v>
      </c>
      <c r="K133" s="72" t="s">
        <v>41</v>
      </c>
      <c r="L133" s="90"/>
      <c r="M133" s="90"/>
    </row>
    <row r="134" spans="1:13" s="7" customFormat="1" ht="12" customHeight="1">
      <c r="A134" s="31" t="s">
        <v>165</v>
      </c>
      <c r="B134" s="31" t="s">
        <v>165</v>
      </c>
      <c r="C134" s="32" t="s">
        <v>221</v>
      </c>
      <c r="D134" s="31" t="s">
        <v>1</v>
      </c>
      <c r="E134" s="33" t="s">
        <v>2097</v>
      </c>
      <c r="F134" s="72" t="s">
        <v>2142</v>
      </c>
      <c r="G134" s="33" t="s">
        <v>222</v>
      </c>
      <c r="H134" s="33">
        <v>3.4</v>
      </c>
      <c r="I134" s="103" t="s">
        <v>15</v>
      </c>
      <c r="J134" s="72">
        <v>6</v>
      </c>
      <c r="K134" s="72" t="s">
        <v>41</v>
      </c>
      <c r="L134" s="90"/>
      <c r="M134" s="90"/>
    </row>
    <row r="135" spans="1:13" s="7" customFormat="1" ht="12" customHeight="1">
      <c r="A135" s="31" t="s">
        <v>165</v>
      </c>
      <c r="B135" s="31" t="s">
        <v>165</v>
      </c>
      <c r="C135" s="32" t="s">
        <v>221</v>
      </c>
      <c r="D135" s="31" t="s">
        <v>1</v>
      </c>
      <c r="E135" s="33" t="s">
        <v>2097</v>
      </c>
      <c r="F135" s="72" t="s">
        <v>2143</v>
      </c>
      <c r="G135" s="33" t="s">
        <v>222</v>
      </c>
      <c r="H135" s="33">
        <v>3.5</v>
      </c>
      <c r="I135" s="103" t="s">
        <v>13</v>
      </c>
      <c r="J135" s="72">
        <v>6</v>
      </c>
      <c r="K135" s="72" t="s">
        <v>41</v>
      </c>
      <c r="L135" s="90"/>
      <c r="M135" s="90"/>
    </row>
    <row r="136" spans="1:13" s="29" customFormat="1" ht="12.6" customHeight="1">
      <c r="A136" s="31" t="s">
        <v>165</v>
      </c>
      <c r="B136" s="31" t="s">
        <v>165</v>
      </c>
      <c r="C136" s="32" t="s">
        <v>221</v>
      </c>
      <c r="D136" s="31" t="s">
        <v>1</v>
      </c>
      <c r="E136" s="33" t="s">
        <v>2097</v>
      </c>
      <c r="F136" s="72" t="s">
        <v>2144</v>
      </c>
      <c r="G136" s="36" t="s">
        <v>222</v>
      </c>
      <c r="H136" s="36">
        <v>3.6</v>
      </c>
      <c r="I136" s="103" t="s">
        <v>2196</v>
      </c>
      <c r="J136" s="72">
        <v>6</v>
      </c>
      <c r="K136" s="72" t="s">
        <v>41</v>
      </c>
      <c r="L136" s="90"/>
      <c r="M136" s="90"/>
    </row>
    <row r="137" spans="1:13" s="7" customFormat="1" ht="12" customHeight="1">
      <c r="A137" s="31" t="s">
        <v>224</v>
      </c>
      <c r="B137" s="31" t="s">
        <v>224</v>
      </c>
      <c r="C137" s="31" t="s">
        <v>52</v>
      </c>
      <c r="D137" s="32" t="s">
        <v>54</v>
      </c>
      <c r="E137" s="33" t="s">
        <v>2145</v>
      </c>
      <c r="F137" s="72" t="s">
        <v>2146</v>
      </c>
      <c r="G137" s="33">
        <v>1502000</v>
      </c>
      <c r="H137" s="72" t="s">
        <v>73</v>
      </c>
      <c r="I137" s="101" t="s">
        <v>74</v>
      </c>
      <c r="J137" s="72">
        <v>6</v>
      </c>
      <c r="K137" s="72" t="s">
        <v>41</v>
      </c>
      <c r="L137" s="90"/>
      <c r="M137" s="90"/>
    </row>
    <row r="138" spans="1:13" s="7" customFormat="1" ht="12" customHeight="1">
      <c r="A138" s="31" t="s">
        <v>227</v>
      </c>
      <c r="B138" s="31" t="s">
        <v>227</v>
      </c>
      <c r="C138" s="31" t="s">
        <v>52</v>
      </c>
      <c r="D138" s="32" t="s">
        <v>53</v>
      </c>
      <c r="E138" s="33" t="s">
        <v>2555</v>
      </c>
      <c r="F138" s="72" t="s">
        <v>2556</v>
      </c>
      <c r="G138" s="33">
        <v>1502000</v>
      </c>
      <c r="H138" s="72">
        <v>3.1</v>
      </c>
      <c r="I138" s="101" t="s">
        <v>591</v>
      </c>
      <c r="J138" s="72">
        <v>25</v>
      </c>
      <c r="K138" s="72" t="s">
        <v>41</v>
      </c>
      <c r="L138" s="90"/>
      <c r="M138" s="90"/>
    </row>
    <row r="139" spans="1:13" s="7" customFormat="1" ht="12" customHeight="1">
      <c r="A139" s="31" t="s">
        <v>227</v>
      </c>
      <c r="B139" s="31" t="s">
        <v>227</v>
      </c>
      <c r="C139" s="31" t="s">
        <v>52</v>
      </c>
      <c r="D139" s="31" t="s">
        <v>1</v>
      </c>
      <c r="E139" s="33" t="s">
        <v>2555</v>
      </c>
      <c r="F139" s="72" t="s">
        <v>2557</v>
      </c>
      <c r="G139" s="33">
        <v>1502000</v>
      </c>
      <c r="H139" s="72">
        <v>3.2</v>
      </c>
      <c r="I139" s="101" t="s">
        <v>601</v>
      </c>
      <c r="J139" s="72">
        <v>5</v>
      </c>
      <c r="K139" s="72" t="s">
        <v>41</v>
      </c>
      <c r="L139" s="90"/>
      <c r="M139" s="90"/>
    </row>
    <row r="140" spans="1:13" s="7" customFormat="1" ht="12" customHeight="1">
      <c r="A140" s="31" t="s">
        <v>227</v>
      </c>
      <c r="B140" s="31" t="s">
        <v>227</v>
      </c>
      <c r="C140" s="32" t="s">
        <v>120</v>
      </c>
      <c r="D140" s="32" t="s">
        <v>10</v>
      </c>
      <c r="E140" s="33" t="s">
        <v>2555</v>
      </c>
      <c r="F140" s="72" t="s">
        <v>2558</v>
      </c>
      <c r="G140" s="33">
        <v>1700000</v>
      </c>
      <c r="H140" s="33" t="s">
        <v>128</v>
      </c>
      <c r="I140" s="103" t="s">
        <v>129</v>
      </c>
      <c r="J140" s="72">
        <v>6</v>
      </c>
      <c r="K140" s="72" t="s">
        <v>41</v>
      </c>
      <c r="L140" s="90"/>
      <c r="M140" s="90"/>
    </row>
    <row r="141" spans="1:13" s="7" customFormat="1" ht="12" customHeight="1">
      <c r="A141" s="31" t="s">
        <v>227</v>
      </c>
      <c r="B141" s="31" t="s">
        <v>227</v>
      </c>
      <c r="C141" s="32" t="s">
        <v>120</v>
      </c>
      <c r="D141" s="32" t="s">
        <v>10</v>
      </c>
      <c r="E141" s="33" t="s">
        <v>2555</v>
      </c>
      <c r="F141" s="72" t="s">
        <v>2559</v>
      </c>
      <c r="G141" s="33">
        <v>1700000</v>
      </c>
      <c r="H141" s="33" t="s">
        <v>133</v>
      </c>
      <c r="I141" s="103" t="s">
        <v>134</v>
      </c>
      <c r="J141" s="92">
        <v>6</v>
      </c>
      <c r="K141" s="72" t="s">
        <v>41</v>
      </c>
      <c r="L141" s="90"/>
      <c r="M141" s="90"/>
    </row>
    <row r="142" spans="1:13" s="7" customFormat="1" ht="12" customHeight="1">
      <c r="A142" s="31" t="s">
        <v>232</v>
      </c>
      <c r="B142" s="31" t="s">
        <v>232</v>
      </c>
      <c r="C142" s="31" t="s">
        <v>52</v>
      </c>
      <c r="D142" s="32" t="s">
        <v>53</v>
      </c>
      <c r="E142" s="33" t="s">
        <v>2560</v>
      </c>
      <c r="F142" s="72" t="s">
        <v>2561</v>
      </c>
      <c r="G142" s="33">
        <v>1502000</v>
      </c>
      <c r="H142" s="72">
        <v>3.1</v>
      </c>
      <c r="I142" s="101" t="s">
        <v>591</v>
      </c>
      <c r="J142" s="72">
        <v>100</v>
      </c>
      <c r="K142" s="72" t="s">
        <v>38</v>
      </c>
      <c r="L142" s="90"/>
      <c r="M142" s="90"/>
    </row>
    <row r="143" spans="1:13" s="7" customFormat="1" ht="12" customHeight="1">
      <c r="A143" s="31" t="s">
        <v>232</v>
      </c>
      <c r="B143" s="31" t="s">
        <v>232</v>
      </c>
      <c r="C143" s="32" t="s">
        <v>52</v>
      </c>
      <c r="D143" s="32" t="s">
        <v>1</v>
      </c>
      <c r="E143" s="33" t="s">
        <v>2560</v>
      </c>
      <c r="F143" s="72" t="s">
        <v>2562</v>
      </c>
      <c r="G143" s="33">
        <v>1502000</v>
      </c>
      <c r="H143" s="72">
        <v>3.2</v>
      </c>
      <c r="I143" s="101" t="s">
        <v>601</v>
      </c>
      <c r="J143" s="92">
        <v>5</v>
      </c>
      <c r="K143" s="72" t="s">
        <v>38</v>
      </c>
      <c r="L143" s="90"/>
      <c r="M143" s="90"/>
    </row>
    <row r="144" spans="1:13" s="7" customFormat="1" ht="12" customHeight="1">
      <c r="A144" s="31" t="s">
        <v>232</v>
      </c>
      <c r="B144" s="31" t="s">
        <v>232</v>
      </c>
      <c r="C144" s="31" t="s">
        <v>52</v>
      </c>
      <c r="D144" s="32" t="s">
        <v>54</v>
      </c>
      <c r="E144" s="33" t="s">
        <v>2560</v>
      </c>
      <c r="F144" s="72" t="s">
        <v>2563</v>
      </c>
      <c r="G144" s="33">
        <v>1502000</v>
      </c>
      <c r="H144" s="72" t="s">
        <v>63</v>
      </c>
      <c r="I144" s="101" t="s">
        <v>64</v>
      </c>
      <c r="J144" s="72">
        <v>6</v>
      </c>
      <c r="K144" s="72" t="s">
        <v>41</v>
      </c>
      <c r="L144" s="90"/>
      <c r="M144" s="90"/>
    </row>
    <row r="145" spans="1:13" s="29" customFormat="1" ht="12" customHeight="1">
      <c r="A145" s="31" t="s">
        <v>232</v>
      </c>
      <c r="B145" s="31" t="s">
        <v>232</v>
      </c>
      <c r="C145" s="31" t="s">
        <v>52</v>
      </c>
      <c r="D145" s="32" t="s">
        <v>54</v>
      </c>
      <c r="E145" s="33" t="s">
        <v>2560</v>
      </c>
      <c r="F145" s="72" t="s">
        <v>2564</v>
      </c>
      <c r="G145" s="33">
        <v>1502000</v>
      </c>
      <c r="H145" s="72" t="s">
        <v>65</v>
      </c>
      <c r="I145" s="101" t="s">
        <v>66</v>
      </c>
      <c r="J145" s="72">
        <v>6</v>
      </c>
      <c r="K145" s="72" t="s">
        <v>41</v>
      </c>
      <c r="L145" s="90"/>
      <c r="M145" s="90"/>
    </row>
    <row r="146" spans="1:13" s="21" customFormat="1" ht="12" customHeight="1">
      <c r="A146" s="31" t="s">
        <v>232</v>
      </c>
      <c r="B146" s="31" t="s">
        <v>232</v>
      </c>
      <c r="C146" s="31" t="s">
        <v>52</v>
      </c>
      <c r="D146" s="32" t="s">
        <v>54</v>
      </c>
      <c r="E146" s="33" t="s">
        <v>2560</v>
      </c>
      <c r="F146" s="72" t="s">
        <v>2565</v>
      </c>
      <c r="G146" s="33">
        <v>1502000</v>
      </c>
      <c r="H146" s="72" t="s">
        <v>71</v>
      </c>
      <c r="I146" s="101" t="s">
        <v>72</v>
      </c>
      <c r="J146" s="72">
        <v>6</v>
      </c>
      <c r="K146" s="72" t="s">
        <v>41</v>
      </c>
      <c r="L146" s="90"/>
      <c r="M146" s="90"/>
    </row>
    <row r="147" spans="1:13" s="7" customFormat="1" ht="12" customHeight="1">
      <c r="A147" s="31" t="s">
        <v>232</v>
      </c>
      <c r="B147" s="31" t="s">
        <v>232</v>
      </c>
      <c r="C147" s="31" t="s">
        <v>52</v>
      </c>
      <c r="D147" s="32" t="s">
        <v>54</v>
      </c>
      <c r="E147" s="33" t="s">
        <v>2560</v>
      </c>
      <c r="F147" s="72" t="s">
        <v>2566</v>
      </c>
      <c r="G147" s="33">
        <v>1502000</v>
      </c>
      <c r="H147" s="72" t="s">
        <v>73</v>
      </c>
      <c r="I147" s="101" t="s">
        <v>74</v>
      </c>
      <c r="J147" s="72">
        <v>6</v>
      </c>
      <c r="K147" s="72" t="s">
        <v>41</v>
      </c>
      <c r="L147" s="90"/>
      <c r="M147" s="90"/>
    </row>
    <row r="148" spans="1:13" s="7" customFormat="1" ht="12" customHeight="1">
      <c r="A148" s="31" t="s">
        <v>232</v>
      </c>
      <c r="B148" s="31" t="s">
        <v>232</v>
      </c>
      <c r="C148" s="32" t="s">
        <v>120</v>
      </c>
      <c r="D148" s="31" t="s">
        <v>10</v>
      </c>
      <c r="E148" s="33" t="s">
        <v>2560</v>
      </c>
      <c r="F148" s="72" t="s">
        <v>2567</v>
      </c>
      <c r="G148" s="33">
        <v>1700000</v>
      </c>
      <c r="H148" s="33" t="s">
        <v>128</v>
      </c>
      <c r="I148" s="103" t="s">
        <v>129</v>
      </c>
      <c r="J148" s="72">
        <v>6</v>
      </c>
      <c r="K148" s="72" t="s">
        <v>41</v>
      </c>
      <c r="L148" s="90"/>
      <c r="M148" s="90"/>
    </row>
    <row r="149" spans="1:13" s="29" customFormat="1" ht="12" customHeight="1">
      <c r="A149" s="31" t="s">
        <v>232</v>
      </c>
      <c r="B149" s="31" t="s">
        <v>232</v>
      </c>
      <c r="C149" s="32" t="s">
        <v>120</v>
      </c>
      <c r="D149" s="31" t="s">
        <v>10</v>
      </c>
      <c r="E149" s="33" t="s">
        <v>2560</v>
      </c>
      <c r="F149" s="72" t="s">
        <v>2568</v>
      </c>
      <c r="G149" s="33">
        <v>1700000</v>
      </c>
      <c r="H149" s="36" t="s">
        <v>133</v>
      </c>
      <c r="I149" s="103" t="s">
        <v>134</v>
      </c>
      <c r="J149" s="72">
        <v>6</v>
      </c>
      <c r="K149" s="72" t="s">
        <v>41</v>
      </c>
      <c r="L149" s="90"/>
      <c r="M149" s="90"/>
    </row>
    <row r="150" spans="1:13" s="7" customFormat="1" ht="12" customHeight="1">
      <c r="A150" s="31" t="s">
        <v>232</v>
      </c>
      <c r="B150" s="31" t="s">
        <v>232</v>
      </c>
      <c r="C150" s="31" t="s">
        <v>52</v>
      </c>
      <c r="D150" s="32" t="s">
        <v>53</v>
      </c>
      <c r="E150" s="33" t="s">
        <v>2560</v>
      </c>
      <c r="F150" s="72" t="s">
        <v>2569</v>
      </c>
      <c r="G150" s="33">
        <v>1502000</v>
      </c>
      <c r="H150" s="72">
        <v>3.1</v>
      </c>
      <c r="I150" s="101" t="s">
        <v>591</v>
      </c>
      <c r="J150" s="72">
        <v>60</v>
      </c>
      <c r="K150" s="72" t="s">
        <v>38</v>
      </c>
      <c r="L150" s="90"/>
      <c r="M150" s="90"/>
    </row>
    <row r="151" spans="1:13" s="7" customFormat="1" ht="12" customHeight="1">
      <c r="A151" s="31" t="s">
        <v>232</v>
      </c>
      <c r="B151" s="31" t="s">
        <v>232</v>
      </c>
      <c r="C151" s="31" t="s">
        <v>52</v>
      </c>
      <c r="D151" s="32" t="s">
        <v>54</v>
      </c>
      <c r="E151" s="33" t="s">
        <v>2560</v>
      </c>
      <c r="F151" s="72" t="s">
        <v>2570</v>
      </c>
      <c r="G151" s="33">
        <v>1502000</v>
      </c>
      <c r="H151" s="72" t="s">
        <v>61</v>
      </c>
      <c r="I151" s="101" t="s">
        <v>62</v>
      </c>
      <c r="J151" s="72">
        <v>6</v>
      </c>
      <c r="K151" s="72" t="s">
        <v>41</v>
      </c>
      <c r="L151" s="90"/>
      <c r="M151" s="90"/>
    </row>
    <row r="152" spans="1:13" s="7" customFormat="1" ht="12" customHeight="1">
      <c r="A152" s="31" t="s">
        <v>232</v>
      </c>
      <c r="B152" s="31" t="s">
        <v>232</v>
      </c>
      <c r="C152" s="31" t="s">
        <v>52</v>
      </c>
      <c r="D152" s="32" t="s">
        <v>80</v>
      </c>
      <c r="E152" s="33" t="s">
        <v>2560</v>
      </c>
      <c r="F152" s="72" t="s">
        <v>2571</v>
      </c>
      <c r="G152" s="33">
        <v>1502000</v>
      </c>
      <c r="H152" s="72" t="s">
        <v>83</v>
      </c>
      <c r="I152" s="101" t="s">
        <v>84</v>
      </c>
      <c r="J152" s="72">
        <v>6</v>
      </c>
      <c r="K152" s="72" t="s">
        <v>41</v>
      </c>
      <c r="L152" s="90"/>
      <c r="M152" s="90"/>
    </row>
    <row r="153" spans="1:13" s="7" customFormat="1" ht="12" customHeight="1">
      <c r="A153" s="31" t="s">
        <v>238</v>
      </c>
      <c r="B153" s="31" t="s">
        <v>238</v>
      </c>
      <c r="C153" s="31" t="s">
        <v>52</v>
      </c>
      <c r="D153" s="32" t="s">
        <v>53</v>
      </c>
      <c r="E153" s="33" t="s">
        <v>2147</v>
      </c>
      <c r="F153" s="72" t="s">
        <v>2148</v>
      </c>
      <c r="G153" s="33">
        <v>1502000</v>
      </c>
      <c r="H153" s="72">
        <v>3.1</v>
      </c>
      <c r="I153" s="101" t="s">
        <v>591</v>
      </c>
      <c r="J153" s="72">
        <v>15</v>
      </c>
      <c r="K153" s="72" t="s">
        <v>38</v>
      </c>
      <c r="L153" s="90"/>
      <c r="M153" s="90"/>
    </row>
    <row r="154" spans="1:13" s="7" customFormat="1" ht="12" customHeight="1">
      <c r="A154" s="31" t="s">
        <v>238</v>
      </c>
      <c r="B154" s="31" t="s">
        <v>238</v>
      </c>
      <c r="C154" s="31" t="s">
        <v>52</v>
      </c>
      <c r="D154" s="32" t="s">
        <v>54</v>
      </c>
      <c r="E154" s="33" t="s">
        <v>2147</v>
      </c>
      <c r="F154" s="72" t="s">
        <v>2149</v>
      </c>
      <c r="G154" s="33">
        <v>1502000</v>
      </c>
      <c r="H154" s="72" t="s">
        <v>57</v>
      </c>
      <c r="I154" s="101" t="s">
        <v>58</v>
      </c>
      <c r="J154" s="72">
        <v>6</v>
      </c>
      <c r="K154" s="72" t="s">
        <v>41</v>
      </c>
      <c r="L154" s="90"/>
      <c r="M154" s="90"/>
    </row>
    <row r="155" spans="1:13" s="7" customFormat="1" ht="12" customHeight="1">
      <c r="A155" s="31" t="s">
        <v>318</v>
      </c>
      <c r="B155" s="31" t="s">
        <v>318</v>
      </c>
      <c r="C155" s="31" t="s">
        <v>52</v>
      </c>
      <c r="D155" s="32" t="s">
        <v>53</v>
      </c>
      <c r="E155" s="33" t="s">
        <v>2572</v>
      </c>
      <c r="F155" s="72" t="s">
        <v>2573</v>
      </c>
      <c r="G155" s="33">
        <v>1502000</v>
      </c>
      <c r="H155" s="72">
        <v>3.1</v>
      </c>
      <c r="I155" s="101" t="s">
        <v>591</v>
      </c>
      <c r="J155" s="72">
        <v>38</v>
      </c>
      <c r="K155" s="72" t="s">
        <v>38</v>
      </c>
      <c r="L155" s="90"/>
      <c r="M155" s="90"/>
    </row>
    <row r="156" spans="1:13" s="7" customFormat="1" ht="12" customHeight="1">
      <c r="A156" s="31" t="s">
        <v>318</v>
      </c>
      <c r="B156" s="31" t="s">
        <v>318</v>
      </c>
      <c r="C156" s="32" t="s">
        <v>52</v>
      </c>
      <c r="D156" s="32" t="s">
        <v>1</v>
      </c>
      <c r="E156" s="33" t="s">
        <v>2572</v>
      </c>
      <c r="F156" s="72" t="s">
        <v>2574</v>
      </c>
      <c r="G156" s="33">
        <v>1502000</v>
      </c>
      <c r="H156" s="72">
        <v>3.2</v>
      </c>
      <c r="I156" s="101" t="s">
        <v>601</v>
      </c>
      <c r="J156" s="92">
        <v>5</v>
      </c>
      <c r="K156" s="72" t="s">
        <v>38</v>
      </c>
      <c r="L156" s="90"/>
      <c r="M156" s="90"/>
    </row>
    <row r="157" spans="1:13" s="7" customFormat="1" ht="12" customHeight="1">
      <c r="A157" s="31" t="s">
        <v>318</v>
      </c>
      <c r="B157" s="31" t="s">
        <v>318</v>
      </c>
      <c r="C157" s="32" t="s">
        <v>52</v>
      </c>
      <c r="D157" s="32" t="s">
        <v>54</v>
      </c>
      <c r="E157" s="33" t="s">
        <v>2572</v>
      </c>
      <c r="F157" s="72" t="s">
        <v>2575</v>
      </c>
      <c r="G157" s="33">
        <v>1502000</v>
      </c>
      <c r="H157" s="72" t="s">
        <v>59</v>
      </c>
      <c r="I157" s="101" t="s">
        <v>60</v>
      </c>
      <c r="J157" s="72">
        <v>6</v>
      </c>
      <c r="K157" s="72" t="s">
        <v>41</v>
      </c>
      <c r="L157" s="90"/>
      <c r="M157" s="90"/>
    </row>
    <row r="158" spans="1:13" s="7" customFormat="1" ht="12" customHeight="1">
      <c r="A158" s="31" t="s">
        <v>318</v>
      </c>
      <c r="B158" s="31" t="s">
        <v>318</v>
      </c>
      <c r="C158" s="32" t="s">
        <v>52</v>
      </c>
      <c r="D158" s="32" t="s">
        <v>54</v>
      </c>
      <c r="E158" s="33" t="s">
        <v>2572</v>
      </c>
      <c r="F158" s="72" t="s">
        <v>2576</v>
      </c>
      <c r="G158" s="33">
        <v>1502000</v>
      </c>
      <c r="H158" s="72" t="s">
        <v>61</v>
      </c>
      <c r="I158" s="101" t="s">
        <v>62</v>
      </c>
      <c r="J158" s="72">
        <v>6</v>
      </c>
      <c r="K158" s="72" t="s">
        <v>41</v>
      </c>
      <c r="L158" s="90"/>
      <c r="M158" s="90"/>
    </row>
    <row r="159" spans="1:13" s="7" customFormat="1" ht="12" customHeight="1">
      <c r="A159" s="31" t="s">
        <v>318</v>
      </c>
      <c r="B159" s="31" t="s">
        <v>318</v>
      </c>
      <c r="C159" s="32" t="s">
        <v>52</v>
      </c>
      <c r="D159" s="32" t="s">
        <v>54</v>
      </c>
      <c r="E159" s="33" t="s">
        <v>2572</v>
      </c>
      <c r="F159" s="72" t="s">
        <v>2577</v>
      </c>
      <c r="G159" s="33">
        <v>1502000</v>
      </c>
      <c r="H159" s="72" t="s">
        <v>63</v>
      </c>
      <c r="I159" s="101" t="s">
        <v>64</v>
      </c>
      <c r="J159" s="72">
        <v>6</v>
      </c>
      <c r="K159" s="72" t="s">
        <v>41</v>
      </c>
      <c r="L159" s="90"/>
      <c r="M159" s="90"/>
    </row>
    <row r="160" spans="1:13" s="7" customFormat="1" ht="12" customHeight="1">
      <c r="A160" s="31" t="s">
        <v>318</v>
      </c>
      <c r="B160" s="31" t="s">
        <v>318</v>
      </c>
      <c r="C160" s="32" t="s">
        <v>52</v>
      </c>
      <c r="D160" s="32" t="s">
        <v>54</v>
      </c>
      <c r="E160" s="33" t="s">
        <v>2572</v>
      </c>
      <c r="F160" s="72" t="s">
        <v>2578</v>
      </c>
      <c r="G160" s="33">
        <v>1502000</v>
      </c>
      <c r="H160" s="72" t="s">
        <v>71</v>
      </c>
      <c r="I160" s="101" t="s">
        <v>72</v>
      </c>
      <c r="J160" s="72">
        <v>6</v>
      </c>
      <c r="K160" s="72" t="s">
        <v>41</v>
      </c>
      <c r="L160" s="90"/>
      <c r="M160" s="90"/>
    </row>
    <row r="161" spans="1:13" s="7" customFormat="1" ht="12" customHeight="1">
      <c r="A161" s="31" t="s">
        <v>318</v>
      </c>
      <c r="B161" s="31" t="s">
        <v>318</v>
      </c>
      <c r="C161" s="31" t="s">
        <v>52</v>
      </c>
      <c r="D161" s="32" t="s">
        <v>54</v>
      </c>
      <c r="E161" s="33" t="s">
        <v>2572</v>
      </c>
      <c r="F161" s="72" t="s">
        <v>2579</v>
      </c>
      <c r="G161" s="33">
        <v>1502000</v>
      </c>
      <c r="H161" s="72" t="s">
        <v>73</v>
      </c>
      <c r="I161" s="101" t="s">
        <v>74</v>
      </c>
      <c r="J161" s="72">
        <v>6</v>
      </c>
      <c r="K161" s="72" t="s">
        <v>41</v>
      </c>
      <c r="L161" s="90"/>
      <c r="M161" s="90"/>
    </row>
    <row r="162" spans="1:13" s="7" customFormat="1" ht="12" customHeight="1">
      <c r="A162" s="31" t="s">
        <v>318</v>
      </c>
      <c r="B162" s="31" t="s">
        <v>318</v>
      </c>
      <c r="C162" s="32" t="s">
        <v>52</v>
      </c>
      <c r="D162" s="32" t="s">
        <v>54</v>
      </c>
      <c r="E162" s="33" t="s">
        <v>2572</v>
      </c>
      <c r="F162" s="72" t="s">
        <v>2580</v>
      </c>
      <c r="G162" s="33">
        <v>1502000</v>
      </c>
      <c r="H162" s="72" t="s">
        <v>75</v>
      </c>
      <c r="I162" s="101" t="s">
        <v>2194</v>
      </c>
      <c r="J162" s="72">
        <v>6</v>
      </c>
      <c r="K162" s="72" t="s">
        <v>41</v>
      </c>
      <c r="L162" s="90"/>
      <c r="M162" s="90"/>
    </row>
    <row r="163" spans="1:13" s="7" customFormat="1" ht="12" customHeight="1">
      <c r="A163" s="31" t="s">
        <v>318</v>
      </c>
      <c r="B163" s="31" t="s">
        <v>318</v>
      </c>
      <c r="C163" s="32" t="s">
        <v>52</v>
      </c>
      <c r="D163" s="32" t="s">
        <v>80</v>
      </c>
      <c r="E163" s="33" t="s">
        <v>2572</v>
      </c>
      <c r="F163" s="72" t="s">
        <v>2581</v>
      </c>
      <c r="G163" s="33">
        <v>1502000</v>
      </c>
      <c r="H163" s="72" t="s">
        <v>81</v>
      </c>
      <c r="I163" s="101" t="s">
        <v>82</v>
      </c>
      <c r="J163" s="72">
        <v>6</v>
      </c>
      <c r="K163" s="72" t="s">
        <v>41</v>
      </c>
      <c r="L163" s="90"/>
      <c r="M163" s="90"/>
    </row>
    <row r="164" spans="1:13" s="7" customFormat="1" ht="12" customHeight="1">
      <c r="A164" s="31" t="s">
        <v>318</v>
      </c>
      <c r="B164" s="31" t="s">
        <v>318</v>
      </c>
      <c r="C164" s="32" t="s">
        <v>52</v>
      </c>
      <c r="D164" s="32" t="s">
        <v>80</v>
      </c>
      <c r="E164" s="33" t="s">
        <v>2572</v>
      </c>
      <c r="F164" s="72" t="s">
        <v>2582</v>
      </c>
      <c r="G164" s="33">
        <v>1502000</v>
      </c>
      <c r="H164" s="72" t="s">
        <v>83</v>
      </c>
      <c r="I164" s="101" t="s">
        <v>84</v>
      </c>
      <c r="J164" s="72">
        <v>6</v>
      </c>
      <c r="K164" s="72" t="s">
        <v>41</v>
      </c>
      <c r="L164" s="90"/>
      <c r="M164" s="90"/>
    </row>
    <row r="165" spans="1:13" s="7" customFormat="1" ht="12" customHeight="1">
      <c r="A165" s="31" t="s">
        <v>318</v>
      </c>
      <c r="B165" s="31" t="s">
        <v>318</v>
      </c>
      <c r="C165" s="32" t="s">
        <v>52</v>
      </c>
      <c r="D165" s="32" t="s">
        <v>89</v>
      </c>
      <c r="E165" s="33" t="s">
        <v>2572</v>
      </c>
      <c r="F165" s="72" t="s">
        <v>2583</v>
      </c>
      <c r="G165" s="33">
        <v>1502000</v>
      </c>
      <c r="H165" s="72" t="s">
        <v>91</v>
      </c>
      <c r="I165" s="101" t="s">
        <v>92</v>
      </c>
      <c r="J165" s="72">
        <v>6</v>
      </c>
      <c r="K165" s="72" t="s">
        <v>41</v>
      </c>
      <c r="L165" s="90"/>
      <c r="M165" s="90"/>
    </row>
    <row r="166" spans="1:13" s="7" customFormat="1" ht="12" customHeight="1">
      <c r="A166" s="31" t="s">
        <v>318</v>
      </c>
      <c r="B166" s="31" t="s">
        <v>318</v>
      </c>
      <c r="C166" s="32" t="s">
        <v>52</v>
      </c>
      <c r="D166" s="32" t="s">
        <v>89</v>
      </c>
      <c r="E166" s="33" t="s">
        <v>2572</v>
      </c>
      <c r="F166" s="72" t="s">
        <v>2584</v>
      </c>
      <c r="G166" s="33">
        <v>1502000</v>
      </c>
      <c r="H166" s="72" t="s">
        <v>99</v>
      </c>
      <c r="I166" s="101" t="s">
        <v>100</v>
      </c>
      <c r="J166" s="72">
        <v>6</v>
      </c>
      <c r="K166" s="72" t="s">
        <v>41</v>
      </c>
      <c r="L166" s="90"/>
      <c r="M166" s="90"/>
    </row>
    <row r="167" spans="1:13" s="7" customFormat="1" ht="12" customHeight="1">
      <c r="A167" s="32" t="s">
        <v>245</v>
      </c>
      <c r="B167" s="32" t="s">
        <v>245</v>
      </c>
      <c r="C167" s="32" t="s">
        <v>52</v>
      </c>
      <c r="D167" s="32" t="s">
        <v>53</v>
      </c>
      <c r="E167" s="33" t="s">
        <v>2150</v>
      </c>
      <c r="F167" s="72" t="s">
        <v>2151</v>
      </c>
      <c r="G167" s="33">
        <v>1502000</v>
      </c>
      <c r="H167" s="72">
        <v>3.1</v>
      </c>
      <c r="I167" s="101" t="s">
        <v>591</v>
      </c>
      <c r="J167" s="72">
        <v>6</v>
      </c>
      <c r="K167" s="72" t="s">
        <v>38</v>
      </c>
      <c r="L167" s="90"/>
      <c r="M167" s="90"/>
    </row>
    <row r="168" spans="1:13" s="7" customFormat="1" ht="12" customHeight="1">
      <c r="A168" s="32" t="s">
        <v>245</v>
      </c>
      <c r="B168" s="32" t="s">
        <v>245</v>
      </c>
      <c r="C168" s="32" t="s">
        <v>120</v>
      </c>
      <c r="D168" s="32" t="s">
        <v>10</v>
      </c>
      <c r="E168" s="33" t="s">
        <v>2150</v>
      </c>
      <c r="F168" s="72" t="s">
        <v>2152</v>
      </c>
      <c r="G168" s="38">
        <v>1700000</v>
      </c>
      <c r="H168" s="33" t="s">
        <v>128</v>
      </c>
      <c r="I168" s="103" t="s">
        <v>129</v>
      </c>
      <c r="J168" s="72">
        <v>6</v>
      </c>
      <c r="K168" s="72" t="s">
        <v>41</v>
      </c>
      <c r="L168" s="90"/>
      <c r="M168" s="90"/>
    </row>
    <row r="169" spans="1:13" s="7" customFormat="1" ht="12" customHeight="1">
      <c r="A169" s="32" t="s">
        <v>245</v>
      </c>
      <c r="B169" s="32" t="s">
        <v>245</v>
      </c>
      <c r="C169" s="32" t="s">
        <v>120</v>
      </c>
      <c r="D169" s="32" t="s">
        <v>10</v>
      </c>
      <c r="E169" s="33" t="s">
        <v>2150</v>
      </c>
      <c r="F169" s="72" t="s">
        <v>2177</v>
      </c>
      <c r="G169" s="38">
        <v>1700000</v>
      </c>
      <c r="H169" s="33" t="s">
        <v>133</v>
      </c>
      <c r="I169" s="103" t="s">
        <v>134</v>
      </c>
      <c r="J169" s="72">
        <v>6</v>
      </c>
      <c r="K169" s="72" t="s">
        <v>41</v>
      </c>
      <c r="L169" s="90"/>
      <c r="M169" s="90"/>
    </row>
    <row r="170" spans="1:13" s="7" customFormat="1" ht="12" customHeight="1">
      <c r="A170" s="32" t="s">
        <v>245</v>
      </c>
      <c r="B170" s="32" t="s">
        <v>245</v>
      </c>
      <c r="C170" s="32" t="s">
        <v>120</v>
      </c>
      <c r="D170" s="32" t="s">
        <v>10</v>
      </c>
      <c r="E170" s="33" t="s">
        <v>2150</v>
      </c>
      <c r="F170" s="72" t="s">
        <v>2585</v>
      </c>
      <c r="G170" s="38">
        <v>1700000</v>
      </c>
      <c r="H170" s="33" t="s">
        <v>135</v>
      </c>
      <c r="I170" s="101" t="s">
        <v>136</v>
      </c>
      <c r="J170" s="72">
        <v>2</v>
      </c>
      <c r="K170" s="72" t="s">
        <v>38</v>
      </c>
      <c r="L170" s="90"/>
      <c r="M170" s="90"/>
    </row>
    <row r="171" spans="1:13" s="7" customFormat="1" ht="12" customHeight="1">
      <c r="A171" s="37" t="s">
        <v>248</v>
      </c>
      <c r="B171" s="37" t="s">
        <v>248</v>
      </c>
      <c r="C171" s="32" t="s">
        <v>120</v>
      </c>
      <c r="D171" s="32" t="s">
        <v>10</v>
      </c>
      <c r="E171" s="33" t="s">
        <v>2153</v>
      </c>
      <c r="F171" s="72" t="s">
        <v>2154</v>
      </c>
      <c r="G171" s="38">
        <v>1700000</v>
      </c>
      <c r="H171" s="33" t="s">
        <v>130</v>
      </c>
      <c r="I171" s="103" t="s">
        <v>131</v>
      </c>
      <c r="J171" s="72">
        <v>6</v>
      </c>
      <c r="K171" s="72" t="s">
        <v>41</v>
      </c>
      <c r="L171" s="90"/>
      <c r="M171" s="90"/>
    </row>
    <row r="172" spans="1:13" s="7" customFormat="1" ht="12" customHeight="1">
      <c r="A172" s="37" t="s">
        <v>248</v>
      </c>
      <c r="B172" s="37" t="s">
        <v>248</v>
      </c>
      <c r="C172" s="32" t="s">
        <v>120</v>
      </c>
      <c r="D172" s="32" t="s">
        <v>10</v>
      </c>
      <c r="E172" s="33" t="s">
        <v>2153</v>
      </c>
      <c r="F172" s="72" t="s">
        <v>2155</v>
      </c>
      <c r="G172" s="38">
        <v>1700000</v>
      </c>
      <c r="H172" s="33" t="s">
        <v>133</v>
      </c>
      <c r="I172" s="103" t="s">
        <v>134</v>
      </c>
      <c r="J172" s="72">
        <v>6</v>
      </c>
      <c r="K172" s="72" t="s">
        <v>41</v>
      </c>
      <c r="L172" s="90"/>
      <c r="M172" s="90"/>
    </row>
    <row r="173" spans="1:13" s="7" customFormat="1" ht="12" customHeight="1">
      <c r="A173" s="31" t="s">
        <v>249</v>
      </c>
      <c r="B173" s="31" t="s">
        <v>249</v>
      </c>
      <c r="C173" s="31" t="s">
        <v>52</v>
      </c>
      <c r="D173" s="32" t="s">
        <v>53</v>
      </c>
      <c r="E173" s="33" t="s">
        <v>2156</v>
      </c>
      <c r="F173" s="72" t="s">
        <v>2157</v>
      </c>
      <c r="G173" s="33">
        <v>1502000</v>
      </c>
      <c r="H173" s="72">
        <v>3.1</v>
      </c>
      <c r="I173" s="101" t="s">
        <v>591</v>
      </c>
      <c r="J173" s="72">
        <v>9</v>
      </c>
      <c r="K173" s="72" t="s">
        <v>38</v>
      </c>
      <c r="L173" s="90"/>
      <c r="M173" s="90"/>
    </row>
    <row r="174" spans="1:13" s="7" customFormat="1" ht="12" customHeight="1">
      <c r="A174" s="31" t="s">
        <v>249</v>
      </c>
      <c r="B174" s="31" t="s">
        <v>249</v>
      </c>
      <c r="C174" s="31" t="s">
        <v>52</v>
      </c>
      <c r="D174" s="32" t="s">
        <v>54</v>
      </c>
      <c r="E174" s="33" t="s">
        <v>2156</v>
      </c>
      <c r="F174" s="72" t="s">
        <v>2158</v>
      </c>
      <c r="G174" s="33">
        <v>1502000</v>
      </c>
      <c r="H174" s="72" t="s">
        <v>59</v>
      </c>
      <c r="I174" s="101" t="s">
        <v>60</v>
      </c>
      <c r="J174" s="72">
        <v>6</v>
      </c>
      <c r="K174" s="72" t="s">
        <v>41</v>
      </c>
      <c r="L174" s="90"/>
      <c r="M174" s="90"/>
    </row>
    <row r="175" spans="1:13" s="7" customFormat="1" ht="12" customHeight="1">
      <c r="A175" s="31" t="s">
        <v>249</v>
      </c>
      <c r="B175" s="31" t="s">
        <v>249</v>
      </c>
      <c r="C175" s="31" t="s">
        <v>52</v>
      </c>
      <c r="D175" s="32" t="s">
        <v>54</v>
      </c>
      <c r="E175" s="33" t="s">
        <v>2156</v>
      </c>
      <c r="F175" s="72" t="s">
        <v>2159</v>
      </c>
      <c r="G175" s="33">
        <v>1502000</v>
      </c>
      <c r="H175" s="72" t="s">
        <v>65</v>
      </c>
      <c r="I175" s="101" t="s">
        <v>66</v>
      </c>
      <c r="J175" s="72">
        <v>6</v>
      </c>
      <c r="K175" s="72" t="s">
        <v>41</v>
      </c>
      <c r="L175" s="90"/>
      <c r="M175" s="90"/>
    </row>
    <row r="176" spans="1:13" s="7" customFormat="1" ht="12" customHeight="1">
      <c r="A176" s="31" t="s">
        <v>249</v>
      </c>
      <c r="B176" s="31" t="s">
        <v>249</v>
      </c>
      <c r="C176" s="31" t="s">
        <v>52</v>
      </c>
      <c r="D176" s="32" t="s">
        <v>54</v>
      </c>
      <c r="E176" s="33" t="s">
        <v>2156</v>
      </c>
      <c r="F176" s="72" t="s">
        <v>2160</v>
      </c>
      <c r="G176" s="33">
        <v>1502000</v>
      </c>
      <c r="H176" s="72" t="s">
        <v>71</v>
      </c>
      <c r="I176" s="101" t="s">
        <v>72</v>
      </c>
      <c r="J176" s="72">
        <v>6</v>
      </c>
      <c r="K176" s="72" t="s">
        <v>41</v>
      </c>
      <c r="L176" s="90"/>
      <c r="M176" s="90"/>
    </row>
    <row r="177" spans="1:13" s="7" customFormat="1" ht="12" customHeight="1">
      <c r="A177" s="31" t="s">
        <v>249</v>
      </c>
      <c r="B177" s="31" t="s">
        <v>249</v>
      </c>
      <c r="C177" s="31" t="s">
        <v>52</v>
      </c>
      <c r="D177" s="32" t="s">
        <v>54</v>
      </c>
      <c r="E177" s="33" t="s">
        <v>2156</v>
      </c>
      <c r="F177" s="72" t="s">
        <v>2586</v>
      </c>
      <c r="G177" s="33">
        <v>1502000</v>
      </c>
      <c r="H177" s="72" t="s">
        <v>76</v>
      </c>
      <c r="I177" s="101" t="s">
        <v>77</v>
      </c>
      <c r="J177" s="72">
        <v>6</v>
      </c>
      <c r="K177" s="72" t="s">
        <v>41</v>
      </c>
      <c r="L177" s="90"/>
      <c r="M177" s="90"/>
    </row>
    <row r="178" spans="1:13" s="7" customFormat="1" ht="12" customHeight="1">
      <c r="A178" s="31" t="s">
        <v>249</v>
      </c>
      <c r="B178" s="31" t="s">
        <v>249</v>
      </c>
      <c r="C178" s="31" t="s">
        <v>52</v>
      </c>
      <c r="D178" s="31" t="s">
        <v>80</v>
      </c>
      <c r="E178" s="33" t="s">
        <v>2156</v>
      </c>
      <c r="F178" s="72" t="s">
        <v>2587</v>
      </c>
      <c r="G178" s="33">
        <v>1502000</v>
      </c>
      <c r="H178" s="72" t="s">
        <v>81</v>
      </c>
      <c r="I178" s="101" t="s">
        <v>82</v>
      </c>
      <c r="J178" s="72">
        <v>6</v>
      </c>
      <c r="K178" s="72" t="s">
        <v>41</v>
      </c>
      <c r="L178" s="90"/>
      <c r="M178" s="90"/>
    </row>
    <row r="179" spans="1:13" s="7" customFormat="1" ht="12" customHeight="1">
      <c r="A179" s="31" t="s">
        <v>249</v>
      </c>
      <c r="B179" s="31" t="s">
        <v>249</v>
      </c>
      <c r="C179" s="31" t="s">
        <v>52</v>
      </c>
      <c r="D179" s="31" t="s">
        <v>80</v>
      </c>
      <c r="E179" s="33" t="s">
        <v>2156</v>
      </c>
      <c r="F179" s="72" t="s">
        <v>2588</v>
      </c>
      <c r="G179" s="33">
        <v>1502000</v>
      </c>
      <c r="H179" s="72" t="s">
        <v>87</v>
      </c>
      <c r="I179" s="101" t="s">
        <v>77</v>
      </c>
      <c r="J179" s="72">
        <v>6</v>
      </c>
      <c r="K179" s="72" t="s">
        <v>41</v>
      </c>
      <c r="L179" s="90"/>
      <c r="M179" s="90"/>
    </row>
    <row r="180" spans="1:13" s="7" customFormat="1" ht="12" customHeight="1">
      <c r="A180" s="31" t="s">
        <v>250</v>
      </c>
      <c r="B180" s="31" t="s">
        <v>250</v>
      </c>
      <c r="C180" s="31" t="s">
        <v>52</v>
      </c>
      <c r="D180" s="32" t="s">
        <v>54</v>
      </c>
      <c r="E180" s="33" t="s">
        <v>2161</v>
      </c>
      <c r="F180" s="72" t="s">
        <v>2162</v>
      </c>
      <c r="G180" s="33">
        <v>1502000</v>
      </c>
      <c r="H180" s="72" t="s">
        <v>57</v>
      </c>
      <c r="I180" s="101" t="s">
        <v>58</v>
      </c>
      <c r="J180" s="72">
        <v>6</v>
      </c>
      <c r="K180" s="72" t="s">
        <v>41</v>
      </c>
      <c r="L180" s="90"/>
      <c r="M180" s="90"/>
    </row>
    <row r="181" spans="1:13" s="7" customFormat="1" ht="12" customHeight="1">
      <c r="A181" s="31" t="s">
        <v>250</v>
      </c>
      <c r="B181" s="31" t="s">
        <v>250</v>
      </c>
      <c r="C181" s="32" t="s">
        <v>52</v>
      </c>
      <c r="D181" s="32" t="s">
        <v>54</v>
      </c>
      <c r="E181" s="33" t="s">
        <v>2161</v>
      </c>
      <c r="F181" s="72" t="s">
        <v>2163</v>
      </c>
      <c r="G181" s="33">
        <v>1502000</v>
      </c>
      <c r="H181" s="72" t="s">
        <v>71</v>
      </c>
      <c r="I181" s="101" t="s">
        <v>72</v>
      </c>
      <c r="J181" s="72">
        <v>6</v>
      </c>
      <c r="K181" s="72" t="s">
        <v>41</v>
      </c>
      <c r="L181" s="90"/>
      <c r="M181" s="90"/>
    </row>
    <row r="182" spans="1:13" s="7" customFormat="1" ht="12" customHeight="1">
      <c r="A182" s="31" t="s">
        <v>250</v>
      </c>
      <c r="B182" s="31" t="s">
        <v>250</v>
      </c>
      <c r="C182" s="31" t="s">
        <v>52</v>
      </c>
      <c r="D182" s="32" t="s">
        <v>54</v>
      </c>
      <c r="E182" s="33" t="s">
        <v>2161</v>
      </c>
      <c r="F182" s="72" t="s">
        <v>2589</v>
      </c>
      <c r="G182" s="33">
        <v>1502000</v>
      </c>
      <c r="H182" s="72" t="s">
        <v>73</v>
      </c>
      <c r="I182" s="101" t="s">
        <v>74</v>
      </c>
      <c r="J182" s="72">
        <v>6</v>
      </c>
      <c r="K182" s="72" t="s">
        <v>41</v>
      </c>
      <c r="L182" s="90"/>
      <c r="M182" s="90"/>
    </row>
    <row r="183" spans="1:13" s="21" customFormat="1" ht="12" customHeight="1">
      <c r="A183" s="31" t="s">
        <v>250</v>
      </c>
      <c r="B183" s="31" t="s">
        <v>250</v>
      </c>
      <c r="C183" s="32" t="s">
        <v>52</v>
      </c>
      <c r="D183" s="32" t="s">
        <v>89</v>
      </c>
      <c r="E183" s="33" t="s">
        <v>2161</v>
      </c>
      <c r="F183" s="72" t="s">
        <v>2590</v>
      </c>
      <c r="G183" s="33">
        <v>1502000</v>
      </c>
      <c r="H183" s="72" t="s">
        <v>95</v>
      </c>
      <c r="I183" s="101" t="s">
        <v>96</v>
      </c>
      <c r="J183" s="72">
        <v>6</v>
      </c>
      <c r="K183" s="72" t="s">
        <v>41</v>
      </c>
      <c r="L183" s="90"/>
      <c r="M183" s="90"/>
    </row>
    <row r="184" spans="1:13" s="7" customFormat="1" ht="12" customHeight="1">
      <c r="A184" s="31" t="s">
        <v>251</v>
      </c>
      <c r="B184" s="31" t="s">
        <v>251</v>
      </c>
      <c r="C184" s="31" t="s">
        <v>52</v>
      </c>
      <c r="D184" s="32" t="s">
        <v>54</v>
      </c>
      <c r="E184" s="33" t="s">
        <v>2164</v>
      </c>
      <c r="F184" s="72" t="s">
        <v>2165</v>
      </c>
      <c r="G184" s="33">
        <v>1502000</v>
      </c>
      <c r="H184" s="72" t="s">
        <v>59</v>
      </c>
      <c r="I184" s="101" t="s">
        <v>60</v>
      </c>
      <c r="J184" s="72">
        <v>6</v>
      </c>
      <c r="K184" s="72" t="s">
        <v>41</v>
      </c>
      <c r="L184" s="90"/>
      <c r="M184" s="90"/>
    </row>
    <row r="185" spans="1:13" s="7" customFormat="1" ht="12" customHeight="1">
      <c r="A185" s="31" t="s">
        <v>251</v>
      </c>
      <c r="B185" s="31" t="s">
        <v>251</v>
      </c>
      <c r="C185" s="32" t="s">
        <v>52</v>
      </c>
      <c r="D185" s="32" t="s">
        <v>54</v>
      </c>
      <c r="E185" s="33" t="s">
        <v>2164</v>
      </c>
      <c r="F185" s="72" t="s">
        <v>2166</v>
      </c>
      <c r="G185" s="33">
        <v>1502000</v>
      </c>
      <c r="H185" s="72" t="s">
        <v>71</v>
      </c>
      <c r="I185" s="101" t="s">
        <v>72</v>
      </c>
      <c r="J185" s="72">
        <v>6</v>
      </c>
      <c r="K185" s="72" t="s">
        <v>41</v>
      </c>
      <c r="L185" s="90"/>
      <c r="M185" s="90"/>
    </row>
    <row r="186" spans="1:13" s="7" customFormat="1" ht="12" customHeight="1">
      <c r="A186" s="31" t="s">
        <v>251</v>
      </c>
      <c r="B186" s="31" t="s">
        <v>251</v>
      </c>
      <c r="C186" s="32" t="s">
        <v>52</v>
      </c>
      <c r="D186" s="32" t="s">
        <v>54</v>
      </c>
      <c r="E186" s="33" t="s">
        <v>2164</v>
      </c>
      <c r="F186" s="72" t="s">
        <v>2167</v>
      </c>
      <c r="G186" s="33">
        <v>1502000</v>
      </c>
      <c r="H186" s="72" t="s">
        <v>76</v>
      </c>
      <c r="I186" s="101" t="s">
        <v>77</v>
      </c>
      <c r="J186" s="72">
        <v>6</v>
      </c>
      <c r="K186" s="72" t="s">
        <v>41</v>
      </c>
      <c r="L186" s="90"/>
      <c r="M186" s="90"/>
    </row>
    <row r="187" spans="1:13" s="7" customFormat="1" ht="12" customHeight="1">
      <c r="A187" s="31" t="s">
        <v>251</v>
      </c>
      <c r="B187" s="31" t="s">
        <v>251</v>
      </c>
      <c r="C187" s="31" t="s">
        <v>52</v>
      </c>
      <c r="D187" s="31" t="s">
        <v>80</v>
      </c>
      <c r="E187" s="33" t="s">
        <v>2164</v>
      </c>
      <c r="F187" s="72" t="s">
        <v>2168</v>
      </c>
      <c r="G187" s="33">
        <v>1502000</v>
      </c>
      <c r="H187" s="72" t="s">
        <v>87</v>
      </c>
      <c r="I187" s="101" t="s">
        <v>77</v>
      </c>
      <c r="J187" s="72">
        <v>6</v>
      </c>
      <c r="K187" s="72" t="s">
        <v>41</v>
      </c>
      <c r="L187" s="90"/>
      <c r="M187" s="90"/>
    </row>
    <row r="188" spans="1:13" s="7" customFormat="1" ht="12" customHeight="1">
      <c r="A188" s="31" t="s">
        <v>252</v>
      </c>
      <c r="B188" s="31" t="s">
        <v>252</v>
      </c>
      <c r="C188" s="31" t="s">
        <v>52</v>
      </c>
      <c r="D188" s="32" t="s">
        <v>54</v>
      </c>
      <c r="E188" s="33" t="s">
        <v>2169</v>
      </c>
      <c r="F188" s="72" t="s">
        <v>2170</v>
      </c>
      <c r="G188" s="33">
        <v>1502000</v>
      </c>
      <c r="H188" s="72" t="s">
        <v>65</v>
      </c>
      <c r="I188" s="101" t="s">
        <v>66</v>
      </c>
      <c r="J188" s="72">
        <v>6</v>
      </c>
      <c r="K188" s="72" t="s">
        <v>41</v>
      </c>
      <c r="L188" s="90"/>
      <c r="M188" s="90"/>
    </row>
    <row r="189" spans="1:13" s="7" customFormat="1" ht="12" customHeight="1">
      <c r="A189" s="31" t="s">
        <v>252</v>
      </c>
      <c r="B189" s="31" t="s">
        <v>252</v>
      </c>
      <c r="C189" s="32" t="s">
        <v>52</v>
      </c>
      <c r="D189" s="32" t="s">
        <v>54</v>
      </c>
      <c r="E189" s="33" t="s">
        <v>2169</v>
      </c>
      <c r="F189" s="72" t="s">
        <v>2171</v>
      </c>
      <c r="G189" s="33">
        <v>1502000</v>
      </c>
      <c r="H189" s="72" t="s">
        <v>57</v>
      </c>
      <c r="I189" s="101" t="s">
        <v>58</v>
      </c>
      <c r="J189" s="72">
        <v>6</v>
      </c>
      <c r="K189" s="72" t="s">
        <v>41</v>
      </c>
      <c r="L189" s="90"/>
      <c r="M189" s="90"/>
    </row>
    <row r="190" spans="1:13" s="7" customFormat="1" ht="12" customHeight="1">
      <c r="A190" s="31" t="s">
        <v>252</v>
      </c>
      <c r="B190" s="31" t="s">
        <v>252</v>
      </c>
      <c r="C190" s="32" t="s">
        <v>52</v>
      </c>
      <c r="D190" s="32" t="s">
        <v>54</v>
      </c>
      <c r="E190" s="33" t="s">
        <v>2169</v>
      </c>
      <c r="F190" s="72" t="s">
        <v>2172</v>
      </c>
      <c r="G190" s="33">
        <v>1502000</v>
      </c>
      <c r="H190" s="72" t="s">
        <v>71</v>
      </c>
      <c r="I190" s="101" t="s">
        <v>72</v>
      </c>
      <c r="J190" s="72">
        <v>6</v>
      </c>
      <c r="K190" s="72" t="s">
        <v>41</v>
      </c>
      <c r="L190" s="90"/>
      <c r="M190" s="90"/>
    </row>
    <row r="191" spans="1:13" s="7" customFormat="1" ht="12" customHeight="1">
      <c r="A191" s="31" t="s">
        <v>252</v>
      </c>
      <c r="B191" s="31" t="s">
        <v>252</v>
      </c>
      <c r="C191" s="31" t="s">
        <v>52</v>
      </c>
      <c r="D191" s="32" t="s">
        <v>89</v>
      </c>
      <c r="E191" s="33" t="s">
        <v>2169</v>
      </c>
      <c r="F191" s="72" t="s">
        <v>2173</v>
      </c>
      <c r="G191" s="33">
        <v>1502000</v>
      </c>
      <c r="H191" s="72" t="s">
        <v>95</v>
      </c>
      <c r="I191" s="101" t="s">
        <v>96</v>
      </c>
      <c r="J191" s="72">
        <v>6</v>
      </c>
      <c r="K191" s="72" t="s">
        <v>41</v>
      </c>
      <c r="L191" s="90"/>
      <c r="M191" s="90"/>
    </row>
    <row r="192" spans="1:13" s="7" customFormat="1" ht="12" customHeight="1">
      <c r="A192" s="31" t="s">
        <v>252</v>
      </c>
      <c r="B192" s="31" t="s">
        <v>252</v>
      </c>
      <c r="C192" s="32" t="s">
        <v>52</v>
      </c>
      <c r="D192" s="32" t="s">
        <v>54</v>
      </c>
      <c r="E192" s="33" t="s">
        <v>2169</v>
      </c>
      <c r="F192" s="72" t="s">
        <v>2591</v>
      </c>
      <c r="G192" s="36">
        <v>1502000</v>
      </c>
      <c r="H192" s="72" t="s">
        <v>73</v>
      </c>
      <c r="I192" s="101" t="s">
        <v>74</v>
      </c>
      <c r="J192" s="72">
        <v>6</v>
      </c>
      <c r="K192" s="72" t="s">
        <v>41</v>
      </c>
      <c r="L192" s="90"/>
      <c r="M192" s="90"/>
    </row>
    <row r="193" spans="1:13" ht="12" customHeight="1">
      <c r="A193" s="3"/>
      <c r="B193" s="3"/>
      <c r="C193" s="3"/>
      <c r="D193" s="3"/>
      <c r="E193" s="3"/>
      <c r="F193" s="73"/>
      <c r="G193" s="26"/>
      <c r="H193" s="27"/>
      <c r="I193" s="104" t="s">
        <v>253</v>
      </c>
      <c r="J193" s="96"/>
      <c r="K193" s="96"/>
      <c r="L193" s="106"/>
      <c r="M193" s="107"/>
    </row>
    <row r="195" spans="1:13" ht="12" customHeight="1"/>
  </sheetData>
  <mergeCells count="3">
    <mergeCell ref="C1:I1"/>
    <mergeCell ref="C2:I2"/>
    <mergeCell ref="C3:I3"/>
  </mergeCells>
  <pageMargins left="0.7" right="0.7" top="0.75" bottom="0.75" header="0.3" footer="0.3"/>
  <ignoredErrors>
    <ignoredError sqref="G8:G194"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topLeftCell="A7" workbookViewId="0">
      <selection activeCell="B26" sqref="B26"/>
    </sheetView>
  </sheetViews>
  <sheetFormatPr defaultColWidth="9.140625" defaultRowHeight="12.75"/>
  <cols>
    <col min="1" max="1" width="12.5703125" style="5" customWidth="1"/>
    <col min="2" max="2" width="15.7109375" style="2" customWidth="1"/>
    <col min="3" max="3" width="76.42578125" style="2" customWidth="1"/>
    <col min="4" max="4" width="17" style="2" customWidth="1"/>
    <col min="5" max="5" width="9.140625" style="2"/>
    <col min="6" max="6" width="11.42578125" style="2" customWidth="1"/>
    <col min="7" max="7" width="19.140625" style="2" customWidth="1"/>
    <col min="8" max="8" width="9.140625" style="2"/>
    <col min="9" max="9" width="9.140625" style="2" customWidth="1"/>
    <col min="10" max="16384" width="9.140625" style="2"/>
  </cols>
  <sheetData>
    <row r="1" spans="1:10">
      <c r="A1" s="14"/>
      <c r="B1" s="83" t="s">
        <v>18</v>
      </c>
      <c r="C1" s="84"/>
      <c r="I1" s="78"/>
      <c r="J1" s="79"/>
    </row>
    <row r="2" spans="1:10">
      <c r="A2" s="14"/>
      <c r="B2" s="83" t="s">
        <v>19</v>
      </c>
      <c r="C2" s="28"/>
    </row>
    <row r="3" spans="1:10">
      <c r="A3" s="14"/>
      <c r="B3" s="83" t="s">
        <v>761</v>
      </c>
      <c r="C3" s="28"/>
    </row>
    <row r="4" spans="1:10">
      <c r="A4" s="80"/>
      <c r="B4" s="80"/>
      <c r="C4" s="3"/>
    </row>
    <row r="5" spans="1:10">
      <c r="A5" s="63"/>
      <c r="B5" s="63" t="s">
        <v>2186</v>
      </c>
      <c r="C5" s="16"/>
    </row>
    <row r="6" spans="1:10">
      <c r="A6" s="63"/>
      <c r="B6" s="63" t="s">
        <v>254</v>
      </c>
      <c r="C6" s="16"/>
    </row>
    <row r="7" spans="1:10" ht="14.45" customHeight="1">
      <c r="A7" s="19"/>
      <c r="B7" s="19" t="s">
        <v>2223</v>
      </c>
      <c r="C7" s="13"/>
    </row>
    <row r="8" spans="1:10" s="20" customFormat="1" ht="70.5" customHeight="1">
      <c r="A8" s="41" t="s">
        <v>24</v>
      </c>
      <c r="B8" s="41" t="s">
        <v>255</v>
      </c>
      <c r="C8" s="41" t="s">
        <v>256</v>
      </c>
      <c r="D8" s="42" t="s">
        <v>257</v>
      </c>
      <c r="E8" s="42" t="s">
        <v>29</v>
      </c>
      <c r="F8" s="42" t="s">
        <v>30</v>
      </c>
      <c r="G8" s="43" t="s">
        <v>31</v>
      </c>
    </row>
    <row r="9" spans="1:10" ht="282" customHeight="1">
      <c r="A9" s="44" t="s">
        <v>884</v>
      </c>
      <c r="B9" s="45" t="s">
        <v>259</v>
      </c>
      <c r="C9" s="46" t="s">
        <v>2628</v>
      </c>
      <c r="D9" s="47">
        <f>G10+G11</f>
        <v>0</v>
      </c>
      <c r="E9" s="33" t="s">
        <v>206</v>
      </c>
      <c r="F9" s="109">
        <v>1</v>
      </c>
      <c r="G9" s="40"/>
    </row>
    <row r="10" spans="1:10" ht="180" customHeight="1">
      <c r="A10" s="44" t="s">
        <v>2224</v>
      </c>
      <c r="B10" s="45" t="s">
        <v>2227</v>
      </c>
      <c r="C10" s="46" t="s">
        <v>2226</v>
      </c>
      <c r="D10" s="47">
        <v>8000</v>
      </c>
      <c r="E10" s="33" t="s">
        <v>260</v>
      </c>
      <c r="F10" s="40"/>
      <c r="G10" s="40"/>
    </row>
    <row r="11" spans="1:10" ht="204.75" customHeight="1">
      <c r="A11" s="44" t="s">
        <v>2225</v>
      </c>
      <c r="B11" s="45" t="s">
        <v>2228</v>
      </c>
      <c r="C11" s="46" t="s">
        <v>2197</v>
      </c>
      <c r="D11" s="47">
        <v>800000</v>
      </c>
      <c r="E11" s="33" t="s">
        <v>206</v>
      </c>
      <c r="F11" s="40"/>
      <c r="G11" s="40"/>
    </row>
    <row r="12" spans="1:10" s="7" customFormat="1" ht="212.25" customHeight="1">
      <c r="A12" s="44" t="s">
        <v>885</v>
      </c>
      <c r="B12" s="45" t="s">
        <v>267</v>
      </c>
      <c r="C12" s="46" t="s">
        <v>2201</v>
      </c>
      <c r="D12" s="50">
        <f>2000000/2</f>
        <v>1000000</v>
      </c>
      <c r="E12" s="33" t="s">
        <v>206</v>
      </c>
      <c r="F12" s="40"/>
      <c r="G12" s="40"/>
    </row>
    <row r="13" spans="1:10" s="7" customFormat="1" ht="144.75" customHeight="1">
      <c r="A13" s="44" t="s">
        <v>886</v>
      </c>
      <c r="B13" s="45" t="s">
        <v>269</v>
      </c>
      <c r="C13" s="46" t="s">
        <v>753</v>
      </c>
      <c r="D13" s="51">
        <v>57</v>
      </c>
      <c r="E13" s="52" t="s">
        <v>38</v>
      </c>
      <c r="F13" s="40"/>
      <c r="G13" s="40"/>
    </row>
    <row r="14" spans="1:10" ht="149.25" customHeight="1">
      <c r="A14" s="44" t="s">
        <v>887</v>
      </c>
      <c r="B14" s="45" t="s">
        <v>271</v>
      </c>
      <c r="C14" s="46" t="s">
        <v>754</v>
      </c>
      <c r="D14" s="51">
        <v>65</v>
      </c>
      <c r="E14" s="52" t="s">
        <v>38</v>
      </c>
      <c r="F14" s="40"/>
      <c r="G14" s="40"/>
    </row>
    <row r="15" spans="1:10" s="12" customFormat="1" ht="148.5" customHeight="1">
      <c r="A15" s="44" t="s">
        <v>888</v>
      </c>
      <c r="B15" s="45" t="s">
        <v>273</v>
      </c>
      <c r="C15" s="46" t="s">
        <v>756</v>
      </c>
      <c r="D15" s="51">
        <v>47</v>
      </c>
      <c r="E15" s="52" t="s">
        <v>38</v>
      </c>
      <c r="F15" s="40"/>
      <c r="G15" s="40"/>
    </row>
    <row r="16" spans="1:10" s="60" customFormat="1" ht="149.25" customHeight="1">
      <c r="A16" s="44" t="s">
        <v>889</v>
      </c>
      <c r="B16" s="48" t="s">
        <v>737</v>
      </c>
      <c r="C16" s="49" t="s">
        <v>757</v>
      </c>
      <c r="D16" s="51">
        <v>25</v>
      </c>
      <c r="E16" s="52" t="s">
        <v>38</v>
      </c>
      <c r="F16" s="40"/>
      <c r="G16" s="40"/>
    </row>
    <row r="17" spans="1:7" s="60" customFormat="1" ht="151.5" customHeight="1">
      <c r="A17" s="44" t="s">
        <v>890</v>
      </c>
      <c r="B17" s="48" t="s">
        <v>750</v>
      </c>
      <c r="C17" s="49" t="s">
        <v>758</v>
      </c>
      <c r="D17" s="51">
        <v>20</v>
      </c>
      <c r="E17" s="52" t="s">
        <v>38</v>
      </c>
      <c r="F17" s="40"/>
      <c r="G17" s="40"/>
    </row>
    <row r="18" spans="1:7" s="60" customFormat="1" ht="153.75" customHeight="1">
      <c r="A18" s="44" t="s">
        <v>891</v>
      </c>
      <c r="B18" s="48" t="s">
        <v>751</v>
      </c>
      <c r="C18" s="49" t="s">
        <v>759</v>
      </c>
      <c r="D18" s="51">
        <v>15</v>
      </c>
      <c r="E18" s="52" t="s">
        <v>38</v>
      </c>
      <c r="F18" s="40"/>
      <c r="G18" s="40"/>
    </row>
    <row r="19" spans="1:7" s="60" customFormat="1" ht="150" customHeight="1">
      <c r="A19" s="44" t="s">
        <v>892</v>
      </c>
      <c r="B19" s="48" t="s">
        <v>752</v>
      </c>
      <c r="C19" s="49" t="s">
        <v>760</v>
      </c>
      <c r="D19" s="51">
        <v>10</v>
      </c>
      <c r="E19" s="52" t="s">
        <v>38</v>
      </c>
      <c r="F19" s="40"/>
      <c r="G19" s="40"/>
    </row>
    <row r="20" spans="1:7" ht="114.75">
      <c r="A20" s="44" t="s">
        <v>893</v>
      </c>
      <c r="B20" s="56" t="s">
        <v>2638</v>
      </c>
      <c r="C20" s="45" t="s">
        <v>275</v>
      </c>
      <c r="D20" s="51">
        <v>10000</v>
      </c>
      <c r="E20" s="33" t="s">
        <v>276</v>
      </c>
      <c r="F20" s="40"/>
      <c r="G20" s="40"/>
    </row>
    <row r="21" spans="1:7" ht="127.5">
      <c r="A21" s="44" t="s">
        <v>894</v>
      </c>
      <c r="B21" s="56" t="s">
        <v>2637</v>
      </c>
      <c r="C21" s="45" t="s">
        <v>278</v>
      </c>
      <c r="D21" s="51">
        <v>15000</v>
      </c>
      <c r="E21" s="33" t="s">
        <v>276</v>
      </c>
      <c r="F21" s="40"/>
      <c r="G21" s="40"/>
    </row>
    <row r="22" spans="1:7" ht="76.5">
      <c r="A22" s="44" t="s">
        <v>895</v>
      </c>
      <c r="B22" s="56" t="s">
        <v>2636</v>
      </c>
      <c r="C22" s="45" t="s">
        <v>280</v>
      </c>
      <c r="D22" s="51">
        <v>9</v>
      </c>
      <c r="E22" s="33" t="s">
        <v>41</v>
      </c>
      <c r="F22" s="40"/>
      <c r="G22" s="40"/>
    </row>
    <row r="23" spans="1:7" ht="76.5">
      <c r="A23" s="44" t="s">
        <v>896</v>
      </c>
      <c r="B23" s="56" t="s">
        <v>2635</v>
      </c>
      <c r="C23" s="45" t="s">
        <v>282</v>
      </c>
      <c r="D23" s="51">
        <v>9</v>
      </c>
      <c r="E23" s="33" t="s">
        <v>41</v>
      </c>
      <c r="F23" s="40"/>
      <c r="G23" s="40"/>
    </row>
    <row r="24" spans="1:7" ht="91.5" customHeight="1">
      <c r="A24" s="44" t="s">
        <v>897</v>
      </c>
      <c r="B24" s="56" t="s">
        <v>2634</v>
      </c>
      <c r="C24" s="45" t="s">
        <v>284</v>
      </c>
      <c r="D24" s="51">
        <v>3</v>
      </c>
      <c r="E24" s="33" t="s">
        <v>38</v>
      </c>
      <c r="F24" s="40"/>
      <c r="G24" s="40"/>
    </row>
    <row r="25" spans="1:7" ht="127.5" customHeight="1">
      <c r="A25" s="44" t="s">
        <v>898</v>
      </c>
      <c r="B25" s="45" t="s">
        <v>2633</v>
      </c>
      <c r="C25" s="49" t="s">
        <v>286</v>
      </c>
      <c r="D25" s="51">
        <v>50</v>
      </c>
      <c r="E25" s="33" t="s">
        <v>287</v>
      </c>
      <c r="F25" s="40"/>
      <c r="G25" s="40"/>
    </row>
    <row r="26" spans="1:7" ht="127.5">
      <c r="A26" s="44" t="s">
        <v>899</v>
      </c>
      <c r="B26" s="45" t="s">
        <v>2629</v>
      </c>
      <c r="C26" s="49" t="s">
        <v>290</v>
      </c>
      <c r="D26" s="51">
        <v>3</v>
      </c>
      <c r="E26" s="33" t="s">
        <v>38</v>
      </c>
      <c r="F26" s="40"/>
      <c r="G26" s="40"/>
    </row>
    <row r="27" spans="1:7" ht="114.75">
      <c r="A27" s="44" t="s">
        <v>900</v>
      </c>
      <c r="B27" s="45" t="s">
        <v>2630</v>
      </c>
      <c r="C27" s="46" t="s">
        <v>292</v>
      </c>
      <c r="D27" s="51">
        <v>25</v>
      </c>
      <c r="E27" s="33" t="s">
        <v>38</v>
      </c>
      <c r="F27" s="40"/>
      <c r="G27" s="40"/>
    </row>
    <row r="28" spans="1:7" ht="102">
      <c r="A28" s="44" t="s">
        <v>901</v>
      </c>
      <c r="B28" s="45" t="s">
        <v>2631</v>
      </c>
      <c r="C28" s="46" t="s">
        <v>755</v>
      </c>
      <c r="D28" s="51">
        <v>15</v>
      </c>
      <c r="E28" s="33" t="s">
        <v>38</v>
      </c>
      <c r="F28" s="40"/>
      <c r="G28" s="40"/>
    </row>
    <row r="29" spans="1:7" ht="89.25">
      <c r="A29" s="44" t="s">
        <v>902</v>
      </c>
      <c r="B29" s="45" t="s">
        <v>2632</v>
      </c>
      <c r="C29" s="46" t="s">
        <v>732</v>
      </c>
      <c r="D29" s="51">
        <v>1</v>
      </c>
      <c r="E29" s="33" t="s">
        <v>38</v>
      </c>
      <c r="F29" s="40"/>
      <c r="G29" s="40"/>
    </row>
    <row r="30" spans="1:7" ht="47.25" customHeight="1">
      <c r="A30" s="67" t="s">
        <v>293</v>
      </c>
      <c r="B30" s="11"/>
      <c r="C30" s="11"/>
      <c r="G30" s="68"/>
    </row>
    <row r="63" spans="3:3">
      <c r="C63" s="2" t="s">
        <v>16</v>
      </c>
    </row>
    <row r="70" spans="3:3">
      <c r="C70" s="2" t="s">
        <v>16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
  <sheetViews>
    <sheetView workbookViewId="0">
      <selection activeCell="J24" sqref="J24"/>
    </sheetView>
  </sheetViews>
  <sheetFormatPr defaultColWidth="9.140625" defaultRowHeight="12.75"/>
  <cols>
    <col min="1" max="1" width="10.85546875" style="2" customWidth="1"/>
    <col min="2" max="2" width="17.140625" style="2" customWidth="1"/>
    <col min="3" max="3" width="16.5703125" style="2" customWidth="1"/>
    <col min="4" max="4" width="9.140625" style="2"/>
    <col min="5" max="5" width="10.7109375" style="6" customWidth="1"/>
    <col min="6" max="6" width="10.7109375" style="5" customWidth="1"/>
    <col min="7" max="7" width="10.42578125" style="5" customWidth="1"/>
    <col min="8" max="8" width="53.140625" style="2" customWidth="1"/>
    <col min="9" max="10" width="9.140625" style="2"/>
    <col min="11" max="11" width="11.140625" style="2" customWidth="1"/>
    <col min="12" max="12" width="13.5703125" style="2" customWidth="1"/>
    <col min="13" max="16384" width="9.140625" style="2"/>
  </cols>
  <sheetData>
    <row r="1" spans="1:14" ht="15">
      <c r="A1" s="82"/>
      <c r="B1" s="113" t="s">
        <v>18</v>
      </c>
      <c r="C1" s="115"/>
      <c r="D1" s="115"/>
      <c r="E1" s="115"/>
      <c r="F1" s="115"/>
      <c r="G1" s="115"/>
      <c r="H1" s="115"/>
      <c r="M1" s="78"/>
      <c r="N1" s="79"/>
    </row>
    <row r="2" spans="1:14" ht="15">
      <c r="A2" s="82"/>
      <c r="B2" s="113" t="s">
        <v>19</v>
      </c>
      <c r="C2" s="115"/>
      <c r="D2" s="115"/>
      <c r="E2" s="115"/>
      <c r="F2" s="115"/>
      <c r="G2" s="115"/>
      <c r="H2" s="115"/>
    </row>
    <row r="3" spans="1:14" ht="15">
      <c r="A3" s="82"/>
      <c r="B3" s="113" t="s">
        <v>761</v>
      </c>
      <c r="C3" s="115"/>
      <c r="D3" s="115"/>
      <c r="E3" s="115"/>
      <c r="F3" s="115"/>
      <c r="G3" s="115"/>
      <c r="H3" s="115"/>
    </row>
    <row r="4" spans="1:14">
      <c r="A4" s="82"/>
      <c r="B4" s="65"/>
      <c r="E4" s="10"/>
      <c r="F4" s="76"/>
      <c r="G4" s="76"/>
      <c r="H4" s="3"/>
    </row>
    <row r="5" spans="1:14">
      <c r="A5" s="82"/>
      <c r="B5" s="65"/>
      <c r="E5" s="10"/>
      <c r="F5" s="76"/>
      <c r="G5" s="76"/>
      <c r="H5" s="3"/>
    </row>
    <row r="6" spans="1:14">
      <c r="A6" s="82"/>
      <c r="B6" s="63" t="s">
        <v>2193</v>
      </c>
      <c r="C6" s="16"/>
      <c r="D6" s="16"/>
      <c r="E6" s="16"/>
      <c r="F6" s="9"/>
      <c r="G6" s="16"/>
      <c r="H6" s="16"/>
    </row>
    <row r="7" spans="1:14" ht="12.95" customHeight="1">
      <c r="A7" s="82"/>
      <c r="B7" s="64" t="s">
        <v>20</v>
      </c>
      <c r="C7" s="15"/>
      <c r="D7" s="15"/>
      <c r="E7" s="14"/>
      <c r="F7" s="76"/>
      <c r="G7" s="14"/>
      <c r="H7" s="14"/>
    </row>
    <row r="8" spans="1:14" ht="13.5" thickBot="1">
      <c r="A8" s="82"/>
      <c r="B8" s="19" t="s">
        <v>2617</v>
      </c>
      <c r="C8" s="17"/>
      <c r="D8" s="17"/>
      <c r="E8" s="17"/>
      <c r="F8" s="18"/>
      <c r="G8" s="17"/>
      <c r="H8" s="17"/>
    </row>
    <row r="9" spans="1:14" s="5" customFormat="1" ht="38.25">
      <c r="A9" s="22" t="s">
        <v>21</v>
      </c>
      <c r="B9" s="22" t="s">
        <v>22</v>
      </c>
      <c r="C9" s="22" t="s">
        <v>23</v>
      </c>
      <c r="D9" s="22" t="s">
        <v>24</v>
      </c>
      <c r="E9" s="22" t="s">
        <v>25</v>
      </c>
      <c r="F9" s="22" t="s">
        <v>26</v>
      </c>
      <c r="G9" s="22" t="s">
        <v>27</v>
      </c>
      <c r="H9" s="23" t="s">
        <v>17</v>
      </c>
      <c r="I9" s="23" t="s">
        <v>28</v>
      </c>
      <c r="J9" s="23" t="s">
        <v>29</v>
      </c>
      <c r="K9" s="24" t="s">
        <v>30</v>
      </c>
      <c r="L9" s="25" t="s">
        <v>31</v>
      </c>
    </row>
    <row r="10" spans="1:14" s="7" customFormat="1">
      <c r="A10" s="37" t="s">
        <v>108</v>
      </c>
      <c r="B10" s="32" t="s">
        <v>294</v>
      </c>
      <c r="C10" s="32" t="s">
        <v>111</v>
      </c>
      <c r="D10" s="33" t="s">
        <v>2174</v>
      </c>
      <c r="E10" s="33" t="s">
        <v>2175</v>
      </c>
      <c r="F10" s="33">
        <v>1606000</v>
      </c>
      <c r="G10" s="33">
        <v>3.1</v>
      </c>
      <c r="H10" s="37" t="s">
        <v>8</v>
      </c>
      <c r="I10" s="33">
        <v>6</v>
      </c>
      <c r="J10" s="33" t="s">
        <v>41</v>
      </c>
      <c r="K10" s="34"/>
      <c r="L10" s="34"/>
    </row>
    <row r="11" spans="1:14" s="7" customFormat="1">
      <c r="A11" s="37" t="s">
        <v>51</v>
      </c>
      <c r="B11" s="32" t="s">
        <v>294</v>
      </c>
      <c r="C11" s="32" t="s">
        <v>53</v>
      </c>
      <c r="D11" s="33" t="s">
        <v>2174</v>
      </c>
      <c r="E11" s="33" t="s">
        <v>2176</v>
      </c>
      <c r="F11" s="33">
        <v>1606000</v>
      </c>
      <c r="G11" s="33" t="s">
        <v>116</v>
      </c>
      <c r="H11" s="37" t="s">
        <v>53</v>
      </c>
      <c r="I11" s="39">
        <v>40</v>
      </c>
      <c r="J11" s="33" t="s">
        <v>38</v>
      </c>
      <c r="K11" s="34"/>
      <c r="L11" s="34"/>
    </row>
    <row r="12" spans="1:14" s="7" customFormat="1">
      <c r="A12" s="37" t="s">
        <v>51</v>
      </c>
      <c r="B12" s="32" t="s">
        <v>294</v>
      </c>
      <c r="C12" s="32" t="s">
        <v>111</v>
      </c>
      <c r="D12" s="33" t="s">
        <v>2174</v>
      </c>
      <c r="E12" s="33" t="s">
        <v>2618</v>
      </c>
      <c r="F12" s="33">
        <v>1606000</v>
      </c>
      <c r="G12" s="33">
        <v>3.3</v>
      </c>
      <c r="H12" s="37" t="s">
        <v>295</v>
      </c>
      <c r="I12" s="33">
        <v>6</v>
      </c>
      <c r="J12" s="33" t="s">
        <v>41</v>
      </c>
      <c r="K12" s="34"/>
      <c r="L12" s="34"/>
    </row>
    <row r="13" spans="1:14" s="7" customFormat="1" ht="14.1" customHeight="1">
      <c r="A13" s="37" t="s">
        <v>108</v>
      </c>
      <c r="B13" s="32" t="s">
        <v>294</v>
      </c>
      <c r="C13" s="32" t="s">
        <v>111</v>
      </c>
      <c r="D13" s="33" t="s">
        <v>2174</v>
      </c>
      <c r="E13" s="33" t="s">
        <v>2619</v>
      </c>
      <c r="F13" s="33">
        <v>1606000</v>
      </c>
      <c r="G13" s="33">
        <v>3.4</v>
      </c>
      <c r="H13" s="37" t="s">
        <v>296</v>
      </c>
      <c r="I13" s="33">
        <v>6</v>
      </c>
      <c r="J13" s="33" t="s">
        <v>41</v>
      </c>
      <c r="K13" s="34"/>
      <c r="L13" s="34"/>
    </row>
    <row r="14" spans="1:14">
      <c r="L14" s="68"/>
    </row>
  </sheetData>
  <mergeCells count="3">
    <mergeCell ref="B1:H1"/>
    <mergeCell ref="B2:H2"/>
    <mergeCell ref="B3:H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zoomScaleNormal="100" workbookViewId="0">
      <selection activeCell="Q39" sqref="Q39"/>
    </sheetView>
  </sheetViews>
  <sheetFormatPr defaultRowHeight="15"/>
  <cols>
    <col min="1" max="1" width="4.140625" bestFit="1" customWidth="1"/>
    <col min="2" max="2" width="14.140625" bestFit="1" customWidth="1"/>
    <col min="4" max="4" width="4.42578125" bestFit="1" customWidth="1"/>
    <col min="5" max="5" width="17.7109375" bestFit="1" customWidth="1"/>
    <col min="7" max="7" width="4.140625" bestFit="1" customWidth="1"/>
    <col min="8" max="8" width="15.85546875" bestFit="1" customWidth="1"/>
  </cols>
  <sheetData>
    <row r="1" spans="1:8">
      <c r="A1" s="58" t="s">
        <v>333</v>
      </c>
      <c r="B1" s="59" t="s">
        <v>329</v>
      </c>
      <c r="C1" s="66"/>
      <c r="D1" s="33" t="s">
        <v>334</v>
      </c>
      <c r="E1" s="32" t="s">
        <v>335</v>
      </c>
      <c r="F1" s="66"/>
      <c r="G1" s="33" t="s">
        <v>336</v>
      </c>
      <c r="H1" s="32" t="s">
        <v>337</v>
      </c>
    </row>
    <row r="2" spans="1:8">
      <c r="A2" s="33" t="s">
        <v>338</v>
      </c>
      <c r="B2" s="32" t="s">
        <v>339</v>
      </c>
      <c r="C2" s="66"/>
      <c r="D2" s="33" t="s">
        <v>340</v>
      </c>
      <c r="E2" s="32" t="s">
        <v>341</v>
      </c>
      <c r="F2" s="66"/>
      <c r="G2" s="33" t="s">
        <v>342</v>
      </c>
      <c r="H2" s="32" t="s">
        <v>326</v>
      </c>
    </row>
    <row r="3" spans="1:8">
      <c r="A3" s="33" t="s">
        <v>343</v>
      </c>
      <c r="B3" s="32" t="s">
        <v>344</v>
      </c>
      <c r="C3" s="66"/>
      <c r="D3" s="33" t="s">
        <v>345</v>
      </c>
      <c r="E3" s="32" t="s">
        <v>346</v>
      </c>
      <c r="F3" s="66"/>
      <c r="G3" s="33" t="s">
        <v>347</v>
      </c>
      <c r="H3" s="32" t="s">
        <v>348</v>
      </c>
    </row>
    <row r="4" spans="1:8">
      <c r="A4" s="33" t="s">
        <v>349</v>
      </c>
      <c r="B4" s="32" t="s">
        <v>350</v>
      </c>
      <c r="C4" s="66"/>
      <c r="D4" s="33" t="s">
        <v>351</v>
      </c>
      <c r="E4" s="32" t="s">
        <v>352</v>
      </c>
      <c r="F4" s="66"/>
      <c r="G4" s="33" t="s">
        <v>319</v>
      </c>
      <c r="H4" s="32" t="s">
        <v>353</v>
      </c>
    </row>
    <row r="5" spans="1:8">
      <c r="A5" s="33" t="s">
        <v>354</v>
      </c>
      <c r="B5" s="32" t="s">
        <v>355</v>
      </c>
      <c r="C5" s="66"/>
      <c r="D5" s="33" t="s">
        <v>356</v>
      </c>
      <c r="E5" s="32" t="s">
        <v>357</v>
      </c>
      <c r="F5" s="66"/>
      <c r="G5" s="33" t="s">
        <v>358</v>
      </c>
      <c r="H5" s="32" t="s">
        <v>359</v>
      </c>
    </row>
    <row r="6" spans="1:8">
      <c r="A6" s="33" t="s">
        <v>360</v>
      </c>
      <c r="B6" s="32" t="s">
        <v>361</v>
      </c>
      <c r="C6" s="66"/>
      <c r="D6" s="33" t="s">
        <v>362</v>
      </c>
      <c r="E6" s="32" t="s">
        <v>363</v>
      </c>
      <c r="F6" s="66"/>
      <c r="G6" s="33" t="s">
        <v>364</v>
      </c>
      <c r="H6" s="32" t="s">
        <v>365</v>
      </c>
    </row>
    <row r="7" spans="1:8">
      <c r="A7" s="33" t="s">
        <v>366</v>
      </c>
      <c r="B7" s="32" t="s">
        <v>367</v>
      </c>
      <c r="C7" s="66"/>
      <c r="D7" s="33" t="s">
        <v>368</v>
      </c>
      <c r="E7" s="32" t="s">
        <v>369</v>
      </c>
      <c r="F7" s="66"/>
      <c r="G7" s="33" t="s">
        <v>370</v>
      </c>
      <c r="H7" s="32" t="s">
        <v>371</v>
      </c>
    </row>
    <row r="8" spans="1:8">
      <c r="A8" s="33" t="s">
        <v>372</v>
      </c>
      <c r="B8" s="32" t="s">
        <v>373</v>
      </c>
      <c r="C8" s="66"/>
      <c r="D8" s="33" t="s">
        <v>374</v>
      </c>
      <c r="E8" s="32" t="s">
        <v>375</v>
      </c>
      <c r="F8" s="66"/>
      <c r="G8" s="33" t="s">
        <v>376</v>
      </c>
      <c r="H8" s="32" t="s">
        <v>377</v>
      </c>
    </row>
    <row r="9" spans="1:8">
      <c r="A9" s="33" t="s">
        <v>378</v>
      </c>
      <c r="B9" s="32" t="s">
        <v>379</v>
      </c>
      <c r="C9" s="66"/>
      <c r="D9" s="33" t="s">
        <v>380</v>
      </c>
      <c r="E9" s="32" t="s">
        <v>381</v>
      </c>
      <c r="F9" s="66"/>
      <c r="G9" s="33" t="s">
        <v>382</v>
      </c>
      <c r="H9" s="32" t="s">
        <v>383</v>
      </c>
    </row>
    <row r="10" spans="1:8">
      <c r="A10" s="33" t="s">
        <v>384</v>
      </c>
      <c r="B10" s="32" t="s">
        <v>385</v>
      </c>
      <c r="C10" s="66"/>
      <c r="D10" s="33" t="s">
        <v>386</v>
      </c>
      <c r="E10" s="32" t="s">
        <v>387</v>
      </c>
      <c r="F10" s="66"/>
      <c r="G10" s="33" t="s">
        <v>388</v>
      </c>
      <c r="H10" s="32" t="s">
        <v>389</v>
      </c>
    </row>
    <row r="11" spans="1:8">
      <c r="A11" s="33" t="s">
        <v>390</v>
      </c>
      <c r="B11" s="32" t="s">
        <v>391</v>
      </c>
      <c r="C11" s="66"/>
      <c r="D11" s="33" t="s">
        <v>392</v>
      </c>
      <c r="E11" s="32" t="s">
        <v>393</v>
      </c>
      <c r="F11" s="66"/>
      <c r="G11" s="33" t="s">
        <v>394</v>
      </c>
      <c r="H11" s="32" t="s">
        <v>395</v>
      </c>
    </row>
    <row r="12" spans="1:8">
      <c r="A12" s="33" t="s">
        <v>396</v>
      </c>
      <c r="B12" s="32" t="s">
        <v>397</v>
      </c>
      <c r="C12" s="66"/>
      <c r="D12" s="33" t="s">
        <v>398</v>
      </c>
      <c r="E12" s="32" t="s">
        <v>399</v>
      </c>
      <c r="F12" s="66"/>
      <c r="G12" s="33" t="s">
        <v>400</v>
      </c>
      <c r="H12" s="32" t="s">
        <v>401</v>
      </c>
    </row>
    <row r="13" spans="1:8">
      <c r="A13" s="33" t="s">
        <v>402</v>
      </c>
      <c r="B13" s="32" t="s">
        <v>403</v>
      </c>
      <c r="C13" s="66"/>
      <c r="D13" s="33" t="s">
        <v>404</v>
      </c>
      <c r="E13" s="32" t="s">
        <v>405</v>
      </c>
      <c r="F13" s="66"/>
      <c r="G13" s="33" t="s">
        <v>321</v>
      </c>
      <c r="H13" s="32" t="s">
        <v>406</v>
      </c>
    </row>
    <row r="14" spans="1:8">
      <c r="A14" s="33" t="s">
        <v>407</v>
      </c>
      <c r="B14" s="32" t="s">
        <v>408</v>
      </c>
      <c r="C14" s="66"/>
      <c r="D14" s="33" t="s">
        <v>409</v>
      </c>
      <c r="E14" s="32" t="s">
        <v>410</v>
      </c>
      <c r="F14" s="66"/>
      <c r="G14" s="33" t="s">
        <v>411</v>
      </c>
      <c r="H14" s="32" t="s">
        <v>412</v>
      </c>
    </row>
    <row r="15" spans="1:8">
      <c r="A15" s="33" t="s">
        <v>413</v>
      </c>
      <c r="B15" s="32" t="s">
        <v>414</v>
      </c>
      <c r="C15" s="66"/>
      <c r="D15" s="33" t="s">
        <v>415</v>
      </c>
      <c r="E15" s="32" t="s">
        <v>416</v>
      </c>
      <c r="F15" s="66"/>
      <c r="G15" s="33" t="s">
        <v>417</v>
      </c>
      <c r="H15" s="32" t="s">
        <v>418</v>
      </c>
    </row>
    <row r="16" spans="1:8">
      <c r="A16" s="33" t="s">
        <v>419</v>
      </c>
      <c r="B16" s="32" t="s">
        <v>420</v>
      </c>
      <c r="C16" s="66"/>
      <c r="D16" s="58" t="s">
        <v>287</v>
      </c>
      <c r="E16" s="59" t="s">
        <v>316</v>
      </c>
      <c r="F16" s="66"/>
      <c r="G16" s="58" t="s">
        <v>421</v>
      </c>
      <c r="H16" s="59" t="s">
        <v>422</v>
      </c>
    </row>
    <row r="17" spans="1:8">
      <c r="A17" s="33" t="s">
        <v>423</v>
      </c>
      <c r="B17" s="32" t="s">
        <v>424</v>
      </c>
      <c r="C17" s="66"/>
      <c r="D17" s="33" t="s">
        <v>425</v>
      </c>
      <c r="E17" s="32" t="s">
        <v>426</v>
      </c>
      <c r="F17" s="66"/>
      <c r="G17" s="33" t="s">
        <v>322</v>
      </c>
      <c r="H17" s="32" t="s">
        <v>427</v>
      </c>
    </row>
    <row r="18" spans="1:8">
      <c r="A18" s="33" t="s">
        <v>428</v>
      </c>
      <c r="B18" s="32" t="s">
        <v>429</v>
      </c>
      <c r="C18" s="66"/>
      <c r="D18" s="33" t="s">
        <v>430</v>
      </c>
      <c r="E18" s="32" t="s">
        <v>431</v>
      </c>
      <c r="F18" s="66"/>
      <c r="G18" s="33" t="s">
        <v>432</v>
      </c>
      <c r="H18" s="32" t="s">
        <v>433</v>
      </c>
    </row>
    <row r="19" spans="1:8">
      <c r="A19" s="33" t="s">
        <v>434</v>
      </c>
      <c r="B19" s="32" t="s">
        <v>435</v>
      </c>
      <c r="C19" s="66"/>
      <c r="D19" s="33" t="s">
        <v>436</v>
      </c>
      <c r="E19" s="32" t="s">
        <v>437</v>
      </c>
      <c r="F19" s="66"/>
      <c r="G19" s="33" t="s">
        <v>438</v>
      </c>
      <c r="H19" s="32" t="s">
        <v>439</v>
      </c>
    </row>
    <row r="20" spans="1:8">
      <c r="A20" s="33" t="s">
        <v>440</v>
      </c>
      <c r="B20" s="32" t="s">
        <v>441</v>
      </c>
      <c r="C20" s="66"/>
      <c r="D20" s="33" t="s">
        <v>442</v>
      </c>
      <c r="E20" s="32" t="s">
        <v>443</v>
      </c>
      <c r="F20" s="66"/>
      <c r="G20" s="33" t="s">
        <v>276</v>
      </c>
      <c r="H20" s="32" t="s">
        <v>444</v>
      </c>
    </row>
    <row r="21" spans="1:8">
      <c r="A21" s="33" t="s">
        <v>445</v>
      </c>
      <c r="B21" s="32" t="s">
        <v>446</v>
      </c>
      <c r="C21" s="66"/>
      <c r="D21" s="33" t="s">
        <v>447</v>
      </c>
      <c r="E21" s="32" t="s">
        <v>448</v>
      </c>
      <c r="F21" s="66"/>
      <c r="G21" s="33" t="s">
        <v>449</v>
      </c>
      <c r="H21" s="32" t="s">
        <v>450</v>
      </c>
    </row>
    <row r="22" spans="1:8">
      <c r="A22" s="33" t="s">
        <v>451</v>
      </c>
      <c r="B22" s="32" t="s">
        <v>452</v>
      </c>
      <c r="C22" s="66"/>
      <c r="D22" s="33" t="s">
        <v>453</v>
      </c>
      <c r="E22" s="32" t="s">
        <v>454</v>
      </c>
      <c r="F22" s="66"/>
      <c r="G22" s="33" t="s">
        <v>455</v>
      </c>
      <c r="H22" s="32" t="s">
        <v>456</v>
      </c>
    </row>
    <row r="23" spans="1:8">
      <c r="A23" s="33" t="s">
        <v>457</v>
      </c>
      <c r="B23" s="32" t="s">
        <v>458</v>
      </c>
      <c r="C23" s="66"/>
      <c r="D23" s="33" t="s">
        <v>459</v>
      </c>
      <c r="E23" s="32" t="s">
        <v>460</v>
      </c>
      <c r="F23" s="66"/>
      <c r="G23" s="33" t="s">
        <v>461</v>
      </c>
      <c r="H23" s="32" t="s">
        <v>462</v>
      </c>
    </row>
    <row r="24" spans="1:8">
      <c r="A24" s="33" t="s">
        <v>463</v>
      </c>
      <c r="B24" s="32" t="s">
        <v>464</v>
      </c>
      <c r="C24" s="66"/>
      <c r="D24" s="33" t="s">
        <v>465</v>
      </c>
      <c r="E24" s="32" t="s">
        <v>466</v>
      </c>
      <c r="F24" s="66"/>
      <c r="G24" s="33" t="s">
        <v>467</v>
      </c>
      <c r="H24" s="32" t="s">
        <v>468</v>
      </c>
    </row>
    <row r="25" spans="1:8">
      <c r="A25" s="33" t="s">
        <v>469</v>
      </c>
      <c r="B25" s="32" t="s">
        <v>470</v>
      </c>
      <c r="C25" s="66"/>
      <c r="D25" s="33" t="s">
        <v>471</v>
      </c>
      <c r="E25" s="32" t="s">
        <v>472</v>
      </c>
      <c r="F25" s="66"/>
      <c r="G25" s="33" t="s">
        <v>473</v>
      </c>
      <c r="H25" s="32" t="s">
        <v>474</v>
      </c>
    </row>
    <row r="26" spans="1:8">
      <c r="A26" s="33" t="s">
        <v>475</v>
      </c>
      <c r="B26" s="32" t="s">
        <v>476</v>
      </c>
      <c r="C26" s="66"/>
      <c r="D26" s="33" t="s">
        <v>477</v>
      </c>
      <c r="E26" s="32" t="s">
        <v>478</v>
      </c>
      <c r="F26" s="66"/>
      <c r="G26" s="33" t="s">
        <v>479</v>
      </c>
      <c r="H26" s="32" t="s">
        <v>480</v>
      </c>
    </row>
    <row r="27" spans="1:8">
      <c r="A27" s="33" t="s">
        <v>481</v>
      </c>
      <c r="B27" s="32" t="s">
        <v>482</v>
      </c>
      <c r="C27" s="66"/>
      <c r="D27" s="33" t="s">
        <v>483</v>
      </c>
      <c r="E27" s="32" t="s">
        <v>484</v>
      </c>
      <c r="F27" s="66"/>
      <c r="G27" s="33" t="s">
        <v>485</v>
      </c>
      <c r="H27" s="32" t="s">
        <v>486</v>
      </c>
    </row>
    <row r="28" spans="1:8">
      <c r="A28" s="33" t="s">
        <v>487</v>
      </c>
      <c r="B28" s="32" t="s">
        <v>488</v>
      </c>
      <c r="C28" s="66"/>
      <c r="D28" s="33" t="s">
        <v>324</v>
      </c>
      <c r="E28" s="32" t="s">
        <v>489</v>
      </c>
      <c r="F28" s="66"/>
      <c r="G28" s="33" t="s">
        <v>490</v>
      </c>
      <c r="H28" s="32" t="s">
        <v>491</v>
      </c>
    </row>
    <row r="29" spans="1:8">
      <c r="A29" s="33" t="s">
        <v>492</v>
      </c>
      <c r="B29" s="32" t="s">
        <v>493</v>
      </c>
      <c r="C29" s="66"/>
      <c r="D29" s="58" t="s">
        <v>260</v>
      </c>
      <c r="E29" s="59" t="s">
        <v>320</v>
      </c>
      <c r="F29" s="66"/>
      <c r="G29" s="33" t="s">
        <v>494</v>
      </c>
      <c r="H29" s="32" t="s">
        <v>495</v>
      </c>
    </row>
    <row r="30" spans="1:8">
      <c r="A30" s="33" t="s">
        <v>327</v>
      </c>
      <c r="B30" s="32" t="s">
        <v>496</v>
      </c>
      <c r="C30" s="66"/>
      <c r="D30" s="33" t="s">
        <v>497</v>
      </c>
      <c r="E30" s="32" t="s">
        <v>498</v>
      </c>
      <c r="F30" s="66"/>
      <c r="G30" s="33" t="s">
        <v>330</v>
      </c>
      <c r="H30" s="32" t="s">
        <v>499</v>
      </c>
    </row>
    <row r="31" spans="1:8">
      <c r="A31" s="33" t="s">
        <v>500</v>
      </c>
      <c r="B31" s="32" t="s">
        <v>501</v>
      </c>
      <c r="C31" s="66"/>
      <c r="D31" s="58" t="s">
        <v>502</v>
      </c>
      <c r="E31" s="59" t="s">
        <v>503</v>
      </c>
      <c r="F31" s="66"/>
      <c r="G31" s="58" t="s">
        <v>504</v>
      </c>
      <c r="H31" s="59" t="s">
        <v>505</v>
      </c>
    </row>
    <row r="32" spans="1:8">
      <c r="A32" s="33" t="s">
        <v>506</v>
      </c>
      <c r="B32" s="32" t="s">
        <v>507</v>
      </c>
      <c r="C32" s="66"/>
      <c r="D32" s="58" t="s">
        <v>508</v>
      </c>
      <c r="E32" s="59" t="s">
        <v>509</v>
      </c>
      <c r="F32" s="66"/>
      <c r="G32" s="33" t="s">
        <v>510</v>
      </c>
      <c r="H32" s="32" t="s">
        <v>511</v>
      </c>
    </row>
    <row r="33" spans="1:8">
      <c r="A33" s="58" t="s">
        <v>512</v>
      </c>
      <c r="B33" s="59" t="s">
        <v>513</v>
      </c>
      <c r="C33" s="66"/>
      <c r="D33" s="58" t="s">
        <v>514</v>
      </c>
      <c r="E33" s="59" t="s">
        <v>515</v>
      </c>
      <c r="F33" s="66"/>
      <c r="G33" s="33" t="s">
        <v>516</v>
      </c>
      <c r="H33" s="32" t="s">
        <v>517</v>
      </c>
    </row>
    <row r="34" spans="1:8">
      <c r="A34" s="33" t="s">
        <v>518</v>
      </c>
      <c r="B34" s="32" t="s">
        <v>519</v>
      </c>
      <c r="C34" s="66"/>
      <c r="D34" s="58" t="s">
        <v>520</v>
      </c>
      <c r="E34" s="59" t="s">
        <v>521</v>
      </c>
      <c r="F34" s="66"/>
      <c r="G34" s="33" t="s">
        <v>522</v>
      </c>
      <c r="H34" s="32" t="s">
        <v>523</v>
      </c>
    </row>
    <row r="35" spans="1:8">
      <c r="A35" s="33" t="s">
        <v>524</v>
      </c>
      <c r="B35" s="32" t="s">
        <v>525</v>
      </c>
      <c r="C35" s="66"/>
      <c r="D35" s="33" t="s">
        <v>526</v>
      </c>
      <c r="E35" s="32" t="s">
        <v>527</v>
      </c>
      <c r="F35" s="66"/>
      <c r="G35" s="58" t="s">
        <v>528</v>
      </c>
      <c r="H35" s="59" t="s">
        <v>529</v>
      </c>
    </row>
    <row r="36" spans="1:8">
      <c r="A36" s="33" t="s">
        <v>530</v>
      </c>
      <c r="B36" s="32" t="s">
        <v>531</v>
      </c>
      <c r="C36" s="66"/>
      <c r="D36" s="33" t="s">
        <v>532</v>
      </c>
      <c r="E36" s="32" t="s">
        <v>533</v>
      </c>
      <c r="F36" s="66"/>
      <c r="G36" s="33" t="s">
        <v>534</v>
      </c>
      <c r="H36" s="32" t="s">
        <v>535</v>
      </c>
    </row>
    <row r="37" spans="1:8">
      <c r="A37" s="33" t="s">
        <v>536</v>
      </c>
      <c r="B37" s="32" t="s">
        <v>537</v>
      </c>
      <c r="C37" s="66"/>
      <c r="D37" s="33" t="s">
        <v>538</v>
      </c>
      <c r="E37" s="32" t="s">
        <v>539</v>
      </c>
      <c r="F37" s="66"/>
      <c r="G37" s="33" t="s">
        <v>540</v>
      </c>
      <c r="H37" s="32" t="s">
        <v>541</v>
      </c>
    </row>
    <row r="38" spans="1:8">
      <c r="A38" s="33" t="s">
        <v>542</v>
      </c>
      <c r="B38" s="32" t="s">
        <v>543</v>
      </c>
      <c r="C38" s="66"/>
      <c r="D38" s="33" t="s">
        <v>544</v>
      </c>
      <c r="E38" s="32" t="s">
        <v>545</v>
      </c>
      <c r="F38" s="66"/>
      <c r="G38" s="33" t="s">
        <v>546</v>
      </c>
      <c r="H38" s="32" t="s">
        <v>547</v>
      </c>
    </row>
    <row r="39" spans="1:8">
      <c r="A39" s="58" t="s">
        <v>206</v>
      </c>
      <c r="B39" s="59" t="s">
        <v>548</v>
      </c>
      <c r="C39" s="66"/>
      <c r="D39" s="33" t="s">
        <v>549</v>
      </c>
      <c r="E39" s="32" t="s">
        <v>550</v>
      </c>
      <c r="F39" s="66"/>
      <c r="G39" s="33" t="s">
        <v>551</v>
      </c>
      <c r="H39" s="32" t="s">
        <v>552</v>
      </c>
    </row>
    <row r="40" spans="1:8">
      <c r="A40" s="33" t="s">
        <v>553</v>
      </c>
      <c r="B40" s="32" t="s">
        <v>332</v>
      </c>
      <c r="C40" s="66"/>
      <c r="D40" s="33" t="s">
        <v>554</v>
      </c>
      <c r="E40" s="32" t="s">
        <v>555</v>
      </c>
      <c r="F40" s="66"/>
      <c r="G40" s="33" t="s">
        <v>556</v>
      </c>
      <c r="H40" s="32" t="s">
        <v>557</v>
      </c>
    </row>
    <row r="41" spans="1:8">
      <c r="A41" s="33" t="s">
        <v>558</v>
      </c>
      <c r="B41" s="32" t="s">
        <v>559</v>
      </c>
      <c r="C41" s="66"/>
      <c r="D41" s="33" t="s">
        <v>560</v>
      </c>
      <c r="E41" s="32" t="s">
        <v>561</v>
      </c>
      <c r="F41" s="66"/>
      <c r="G41" s="58" t="s">
        <v>562</v>
      </c>
      <c r="H41" s="59" t="s">
        <v>325</v>
      </c>
    </row>
    <row r="42" spans="1:8">
      <c r="A42" s="33" t="s">
        <v>563</v>
      </c>
      <c r="B42" s="32" t="s">
        <v>564</v>
      </c>
      <c r="C42" s="66"/>
      <c r="D42" s="58" t="s">
        <v>41</v>
      </c>
      <c r="E42" s="59" t="s">
        <v>565</v>
      </c>
      <c r="F42" s="66"/>
      <c r="G42" s="33" t="s">
        <v>566</v>
      </c>
      <c r="H42" s="32" t="s">
        <v>567</v>
      </c>
    </row>
    <row r="43" spans="1:8">
      <c r="A43" s="33" t="s">
        <v>38</v>
      </c>
      <c r="B43" s="32" t="s">
        <v>331</v>
      </c>
      <c r="C43" s="66"/>
      <c r="D43" s="33" t="s">
        <v>568</v>
      </c>
      <c r="E43" s="32" t="s">
        <v>569</v>
      </c>
      <c r="F43" s="66"/>
      <c r="G43" s="33" t="s">
        <v>570</v>
      </c>
      <c r="H43" s="32" t="s">
        <v>571</v>
      </c>
    </row>
    <row r="44" spans="1:8">
      <c r="A44" s="58" t="s">
        <v>572</v>
      </c>
      <c r="B44" s="59" t="s">
        <v>573</v>
      </c>
      <c r="C44" s="66"/>
      <c r="D44" s="33" t="s">
        <v>574</v>
      </c>
      <c r="E44" s="32" t="s">
        <v>575</v>
      </c>
      <c r="F44" s="66"/>
      <c r="G44" s="58" t="s">
        <v>576</v>
      </c>
      <c r="H44" s="59" t="s">
        <v>577</v>
      </c>
    </row>
    <row r="45" spans="1:8">
      <c r="A45" s="33" t="s">
        <v>578</v>
      </c>
      <c r="B45" s="32" t="s">
        <v>579</v>
      </c>
      <c r="C45" s="66"/>
      <c r="D45" s="33" t="s">
        <v>580</v>
      </c>
      <c r="E45" s="32" t="s">
        <v>581</v>
      </c>
      <c r="F45" s="66"/>
      <c r="G45" s="33" t="s">
        <v>582</v>
      </c>
      <c r="H45" s="32" t="s">
        <v>583</v>
      </c>
    </row>
    <row r="46" spans="1:8">
      <c r="A46" s="33" t="s">
        <v>584</v>
      </c>
      <c r="B46" s="32" t="s">
        <v>585</v>
      </c>
      <c r="C46" s="1"/>
      <c r="D46" s="33" t="s">
        <v>586</v>
      </c>
      <c r="E46" s="32" t="s">
        <v>587</v>
      </c>
      <c r="F46" s="1"/>
      <c r="G46" s="58" t="s">
        <v>588</v>
      </c>
      <c r="H46" s="59" t="s">
        <v>589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CC6273-D90F-4429-BD9D-6B7FFFCC98B5}">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08b8edd3-f71f-4937-a068-019ffeb70ef7"/>
    <ds:schemaRef ds:uri="5c419b36-9c24-4066-85ca-1210162714b3"/>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1F55B24F-7972-4AB3-B3AA-6EC30DA1C698}">
  <ds:schemaRefs>
    <ds:schemaRef ds:uri="http://schemas.microsoft.com/sharepoint/v3/contenttype/forms"/>
  </ds:schemaRefs>
</ds:datastoreItem>
</file>

<file path=customXml/itemProps3.xml><?xml version="1.0" encoding="utf-8"?>
<ds:datastoreItem xmlns:ds="http://schemas.openxmlformats.org/officeDocument/2006/customXml" ds:itemID="{4548D0EF-8007-4E08-AF22-1A4E31753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10</vt:i4>
      </vt:variant>
    </vt:vector>
  </HeadingPairs>
  <TitlesOfParts>
    <vt:vector size="38" baseType="lpstr">
      <vt:lpstr>CLIN 0001 Base Period RW</vt:lpstr>
      <vt:lpstr>CLIN 0002 Base Period N-RW</vt:lpstr>
      <vt:lpstr>CLIN 0003 Base Water RW</vt:lpstr>
      <vt:lpstr>CLIN 0004 1st Period Opt RW</vt:lpstr>
      <vt:lpstr>CLIN 0005 1st Period Opt N-RW</vt:lpstr>
      <vt:lpstr>CLIN 0006 -1st Period Water RW</vt:lpstr>
      <vt:lpstr>CLIN 0007 2nd Period Opt RW</vt:lpstr>
      <vt:lpstr>CLIN 0008 2nd Period Opt N-RW</vt:lpstr>
      <vt:lpstr>CLIN 0009 -2nd Period Water RW</vt:lpstr>
      <vt:lpstr>CLIN 0010 3rd Period Opt RW</vt:lpstr>
      <vt:lpstr>CLIN 0011 3rd Period Opt N-RW</vt:lpstr>
      <vt:lpstr>CLIN 0012 -3rd Period Water RW</vt:lpstr>
      <vt:lpstr>CLIN 0013 4th Period Opt RW</vt:lpstr>
      <vt:lpstr>CLIN 0014 4th Period Opt N-RW</vt:lpstr>
      <vt:lpstr>CLIN 0015 -4th Period Water RW</vt:lpstr>
      <vt:lpstr>CLIN 0016 5th Period Opt RW</vt:lpstr>
      <vt:lpstr>CLIN 0017 5th Period Opt N-RW</vt:lpstr>
      <vt:lpstr>CLIN 0018 -5th Period Water RW</vt:lpstr>
      <vt:lpstr>CLIN 0019 6th Period Opt RW</vt:lpstr>
      <vt:lpstr>CLIN 0020 6th Period Opt N-RW</vt:lpstr>
      <vt:lpstr>CLIN 0021 -6th Period Water RW</vt:lpstr>
      <vt:lpstr>CLIN 0022 7th Period Opt RW</vt:lpstr>
      <vt:lpstr>CLIN 0023 7th Period Opt N-RW</vt:lpstr>
      <vt:lpstr>CLIN 0024-7th Opt Water RW</vt:lpstr>
      <vt:lpstr>CLIN 0025 52.217 Period Opt RW</vt:lpstr>
      <vt:lpstr>CLIN 0026 52.217 Option N-RW </vt:lpstr>
      <vt:lpstr>CLIN 0027-52.217-8 Opt Water RW</vt:lpstr>
      <vt:lpstr>NAVFAC UOMs</vt:lpstr>
      <vt:lpstr>'CLIN 0001 Base Period RW'!Print_Area</vt:lpstr>
      <vt:lpstr>'CLIN 0002 Base Period N-RW'!Print_Area</vt:lpstr>
      <vt:lpstr>'CLIN 0003 Base Water RW'!Print_Area</vt:lpstr>
      <vt:lpstr>'CLIN 0006 -1st Period Water RW'!Print_Area</vt:lpstr>
      <vt:lpstr>'CLIN 0009 -2nd Period Water RW'!Print_Area</vt:lpstr>
      <vt:lpstr>'CLIN 0001 Base Period RW'!Print_Titles</vt:lpstr>
      <vt:lpstr>'CLIN 0002 Base Period N-RW'!Print_Titles</vt:lpstr>
      <vt:lpstr>'CLIN 0003 Base Water RW'!Print_Titles</vt:lpstr>
      <vt:lpstr>'CLIN 0006 -1st Period Water RW'!Print_Titles</vt:lpstr>
      <vt:lpstr>'CLIN 0009 -2nd Period Water RW'!Print_Titles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2025-09-05T15:33:02Z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0x0101004A61095E7C261A4DA0ECEB2BCAD8DF98</vt:lpwstr>
  </property>
  <property fmtid="{D5CDD505-2E9C-101B-9397-08002B2CF9AE}" pid="3" name="MediaServiceImageTags">
    <vt:lpwstr/>
  </property>
</Properties>
</file>