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uscg-my.sharepoint-mil.us/personal/steven_a_goodwin_uscg_mil/Documents/Desktop/Pre-Award/MLG &amp; NLG Tires HC-144/Solicitation/NEW OCTOBER 2025/Posted on SAM/"/>
    </mc:Choice>
  </mc:AlternateContent>
  <xr:revisionPtr revIDLastSave="0" documentId="8_{CE8183E3-255B-473F-B449-C699DACDD304}" xr6:coauthVersionLast="47" xr6:coauthVersionMax="47" xr10:uidLastSave="{00000000-0000-0000-0000-000000000000}"/>
  <bookViews>
    <workbookView xWindow="-120" yWindow="-120" windowWidth="25440" windowHeight="15270" activeTab="4" xr2:uid="{00000000-000D-0000-FFFF-FFFF00000000}"/>
  </bookViews>
  <sheets>
    <sheet name="Base Year" sheetId="5" r:id="rId1"/>
    <sheet name="Option Year 1" sheetId="2" r:id="rId2"/>
    <sheet name="Option Year 2" sheetId="3" r:id="rId3"/>
    <sheet name="Option Year 3" sheetId="4" r:id="rId4"/>
    <sheet name="Option Year 4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4" i="4"/>
  <c r="I3" i="4"/>
  <c r="I4" i="3"/>
  <c r="I3" i="3"/>
  <c r="I6" i="2"/>
  <c r="I5" i="2"/>
  <c r="I8" i="2" s="1"/>
  <c r="I5" i="5"/>
  <c r="I4" i="5"/>
  <c r="I6" i="1" l="1"/>
  <c r="I6" i="4"/>
  <c r="I6" i="3"/>
  <c r="I7" i="5" l="1"/>
  <c r="I8" i="1" s="1"/>
</calcChain>
</file>

<file path=xl/sharedStrings.xml><?xml version="1.0" encoding="utf-8"?>
<sst xmlns="http://schemas.openxmlformats.org/spreadsheetml/2006/main" count="118" uniqueCount="53">
  <si>
    <t>PART NUMBER</t>
  </si>
  <si>
    <t>NOMENCLATURE</t>
  </si>
  <si>
    <t xml:space="preserve"> NSN</t>
  </si>
  <si>
    <t>0001</t>
  </si>
  <si>
    <t>0002</t>
  </si>
  <si>
    <t>UNIT PRICE</t>
  </si>
  <si>
    <t>1001</t>
  </si>
  <si>
    <t>1002</t>
  </si>
  <si>
    <t>2001</t>
  </si>
  <si>
    <t>2002</t>
  </si>
  <si>
    <t>3001</t>
  </si>
  <si>
    <t>3002</t>
  </si>
  <si>
    <t>4001</t>
  </si>
  <si>
    <t>4002</t>
  </si>
  <si>
    <t>70Z03821RL0000003</t>
  </si>
  <si>
    <t xml:space="preserve">EXTENDED PRICE </t>
  </si>
  <si>
    <t>DELIVERY</t>
  </si>
  <si>
    <t>Base Year Total:</t>
  </si>
  <si>
    <t>EXTENDED PRICE</t>
  </si>
  <si>
    <t>Option Year 1 Total:</t>
  </si>
  <si>
    <t>Option Year 2 Total:</t>
  </si>
  <si>
    <t>Option Year 3 Total:</t>
  </si>
  <si>
    <t>Option Year 4 Total:</t>
  </si>
  <si>
    <t>Estimated Contract Total:</t>
  </si>
  <si>
    <t>CLIN</t>
  </si>
  <si>
    <t>ATTACHMENT 2  - SCHEDULE OF SERVICES                                            OVERHAUL AND REPAIR OF THE 14RF-37 PROPELLER ASSEMBLY AND COMPONENTS                                            OPTION YEAR 1</t>
  </si>
  <si>
    <t xml:space="preserve">EST QTY </t>
  </si>
  <si>
    <t xml:space="preserve">U/I </t>
  </si>
  <si>
    <t>EA</t>
  </si>
  <si>
    <t xml:space="preserve">OEM CAGE CODE </t>
  </si>
  <si>
    <t xml:space="preserve">              NSN</t>
  </si>
  <si>
    <t xml:space="preserve">    CLIN</t>
  </si>
  <si>
    <t xml:space="preserve">  OEM CAGE CODE </t>
  </si>
  <si>
    <t xml:space="preserve">  EST QTY </t>
  </si>
  <si>
    <t xml:space="preserve">       U/I </t>
  </si>
  <si>
    <t xml:space="preserve">  UNIT PRICE</t>
  </si>
  <si>
    <t xml:space="preserve"> EXTENDED PRICE</t>
  </si>
  <si>
    <t xml:space="preserve">        DELIVERY</t>
  </si>
  <si>
    <t xml:space="preserve">               NSN</t>
  </si>
  <si>
    <t xml:space="preserve"> PART NUMBER</t>
  </si>
  <si>
    <t xml:space="preserve"> OEM CAGE CODE </t>
  </si>
  <si>
    <t xml:space="preserve">     UNIT PRICE</t>
  </si>
  <si>
    <t xml:space="preserve">   EXTENDED PRICE</t>
  </si>
  <si>
    <t xml:space="preserve">       DELIVERY</t>
  </si>
  <si>
    <t xml:space="preserve"> CLIN</t>
  </si>
  <si>
    <t xml:space="preserve">OEM / CAGE CODE </t>
  </si>
  <si>
    <t>1630-99-794-8655</t>
  </si>
  <si>
    <t>DR10627T</t>
  </si>
  <si>
    <t>U8018</t>
  </si>
  <si>
    <t>TIRE, MLG</t>
  </si>
  <si>
    <t>2630-99-461-9840</t>
  </si>
  <si>
    <t>DR8630T</t>
  </si>
  <si>
    <t>TIRE, NLG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</si>
</sst>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/>
    <xf numFmtId="164" fontId="6" fillId="0" borderId="0" xfId="0" applyNumberFormat="1" applyFont="1"/>
    <xf numFmtId="0" fontId="1" fillId="0" borderId="0" xfId="0" applyFont="1"/>
    <xf numFmtId="0" fontId="7" fillId="2" borderId="1" xfId="0" applyFont="1" applyFill="1" applyBorder="1" applyAlignment="1">
      <alignment horizontal="center" wrapText="1"/>
    </xf>
    <xf numFmtId="0" fontId="8" fillId="2" borderId="1" xfId="0" applyNumberFormat="1" applyFont="1" applyFill="1" applyBorder="1" applyAlignment="1">
      <alignment horizontal="center" wrapText="1"/>
    </xf>
    <xf numFmtId="49" fontId="8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0" borderId="0" xfId="0" applyFont="1"/>
    <xf numFmtId="0" fontId="9" fillId="0" borderId="0" xfId="0" applyFont="1" applyFill="1"/>
    <xf numFmtId="0" fontId="7" fillId="0" borderId="0" xfId="0" applyFont="1" applyBorder="1" applyAlignment="1">
      <alignment horizontal="right" vertical="top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4" fontId="10" fillId="0" borderId="1" xfId="4" applyFont="1" applyBorder="1"/>
    <xf numFmtId="164" fontId="10" fillId="0" borderId="1" xfId="0" applyNumberFormat="1" applyFont="1" applyBorder="1"/>
    <xf numFmtId="0" fontId="11" fillId="0" borderId="1" xfId="1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1" xfId="1" applyNumberFormat="1" applyFont="1" applyFill="1" applyBorder="1" applyAlignment="1">
      <alignment horizontal="center"/>
    </xf>
    <xf numFmtId="0" fontId="10" fillId="0" borderId="1" xfId="0" applyFont="1" applyBorder="1"/>
    <xf numFmtId="44" fontId="10" fillId="0" borderId="1" xfId="4" applyNumberFormat="1" applyFont="1" applyBorder="1"/>
    <xf numFmtId="164" fontId="10" fillId="0" borderId="0" xfId="0" applyNumberFormat="1" applyFont="1"/>
    <xf numFmtId="164" fontId="10" fillId="0" borderId="0" xfId="0" applyNumberFormat="1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top"/>
    </xf>
    <xf numFmtId="0" fontId="7" fillId="2" borderId="7" xfId="0" applyFont="1" applyFill="1" applyBorder="1" applyAlignment="1">
      <alignment horizontal="center" wrapText="1"/>
    </xf>
    <xf numFmtId="0" fontId="8" fillId="2" borderId="7" xfId="0" applyNumberFormat="1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/>
    </xf>
    <xf numFmtId="49" fontId="8" fillId="2" borderId="7" xfId="0" applyNumberFormat="1" applyFont="1" applyFill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wrapText="1"/>
    </xf>
    <xf numFmtId="0" fontId="8" fillId="2" borderId="7" xfId="0" applyNumberFormat="1" applyFont="1" applyFill="1" applyBorder="1" applyAlignment="1">
      <alignment wrapText="1"/>
    </xf>
    <xf numFmtId="0" fontId="7" fillId="2" borderId="7" xfId="0" applyFont="1" applyFill="1" applyBorder="1" applyAlignment="1"/>
    <xf numFmtId="49" fontId="8" fillId="2" borderId="7" xfId="0" applyNumberFormat="1" applyFont="1" applyFill="1" applyBorder="1" applyAlignment="1">
      <alignment wrapText="1"/>
    </xf>
    <xf numFmtId="0" fontId="7" fillId="2" borderId="7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top"/>
    </xf>
    <xf numFmtId="0" fontId="10" fillId="0" borderId="0" xfId="0" applyFont="1" applyBorder="1" applyAlignment="1">
      <alignment horizontal="center"/>
    </xf>
  </cellXfs>
  <cellStyles count="5">
    <cellStyle name="Currency" xfId="4" builtinId="4"/>
    <cellStyle name="Normal" xfId="0" builtinId="0"/>
    <cellStyle name="Normal 2" xfId="1" xr:uid="{00000000-0005-0000-0000-000002000000}"/>
    <cellStyle name="Normal 3" xfId="2" xr:uid="{00000000-0005-0000-0000-000003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view="pageLayout" zoomScaleNormal="100" workbookViewId="0">
      <selection activeCell="E14" sqref="E14"/>
    </sheetView>
  </sheetViews>
  <sheetFormatPr defaultRowHeight="15" x14ac:dyDescent="0.25"/>
  <cols>
    <col min="1" max="1" width="10.7109375" customWidth="1"/>
    <col min="2" max="2" width="20.42578125" style="1" customWidth="1"/>
    <col min="3" max="3" width="19.42578125" customWidth="1"/>
    <col min="4" max="4" width="24.42578125" style="1" customWidth="1"/>
    <col min="5" max="5" width="19.5703125" customWidth="1"/>
    <col min="6" max="6" width="11.140625" style="1" customWidth="1"/>
    <col min="7" max="7" width="10.28515625" customWidth="1"/>
    <col min="8" max="8" width="18.7109375" customWidth="1"/>
    <col min="9" max="9" width="21.140625" style="1" bestFit="1" customWidth="1"/>
    <col min="10" max="10" width="24.140625" customWidth="1"/>
  </cols>
  <sheetData>
    <row r="1" spans="1:10" s="1" customFormat="1" ht="0.75" customHeight="1" x14ac:dyDescent="0.25">
      <c r="A1" s="12"/>
    </row>
    <row r="2" spans="1:10" s="1" customFormat="1" ht="15" customHeight="1" x14ac:dyDescent="0.25">
      <c r="A2" s="12"/>
    </row>
    <row r="3" spans="1:10" ht="17.25" customHeight="1" x14ac:dyDescent="0.25">
      <c r="A3" s="4" t="s">
        <v>24</v>
      </c>
      <c r="B3" s="5" t="s">
        <v>2</v>
      </c>
      <c r="C3" s="7" t="s">
        <v>0</v>
      </c>
      <c r="D3" s="7" t="s">
        <v>45</v>
      </c>
      <c r="E3" s="7" t="s">
        <v>1</v>
      </c>
      <c r="F3" s="7" t="s">
        <v>26</v>
      </c>
      <c r="G3" s="6" t="s">
        <v>27</v>
      </c>
      <c r="H3" s="7" t="s">
        <v>5</v>
      </c>
      <c r="I3" s="7" t="s">
        <v>18</v>
      </c>
      <c r="J3" s="7" t="s">
        <v>16</v>
      </c>
    </row>
    <row r="4" spans="1:10" ht="30" customHeight="1" x14ac:dyDescent="0.3">
      <c r="A4" s="15" t="s">
        <v>3</v>
      </c>
      <c r="B4" s="16" t="s">
        <v>46</v>
      </c>
      <c r="C4" s="20" t="s">
        <v>47</v>
      </c>
      <c r="D4" s="20" t="s">
        <v>48</v>
      </c>
      <c r="E4" s="20" t="s">
        <v>49</v>
      </c>
      <c r="F4" s="20">
        <v>190</v>
      </c>
      <c r="G4" s="16" t="s">
        <v>28</v>
      </c>
      <c r="H4" s="17">
        <v>0</v>
      </c>
      <c r="I4" s="17">
        <f>F4*H4</f>
        <v>0</v>
      </c>
      <c r="J4" s="18"/>
    </row>
    <row r="5" spans="1:10" ht="30.75" customHeight="1" x14ac:dyDescent="0.3">
      <c r="A5" s="15" t="s">
        <v>4</v>
      </c>
      <c r="B5" s="19" t="s">
        <v>50</v>
      </c>
      <c r="C5" s="22" t="s">
        <v>51</v>
      </c>
      <c r="D5" s="22" t="s">
        <v>48</v>
      </c>
      <c r="E5" s="22" t="s">
        <v>52</v>
      </c>
      <c r="F5" s="22">
        <v>60</v>
      </c>
      <c r="G5" s="20" t="s">
        <v>28</v>
      </c>
      <c r="H5" s="17">
        <v>0</v>
      </c>
      <c r="I5" s="17">
        <f>F5*H5</f>
        <v>0</v>
      </c>
      <c r="J5" s="18"/>
    </row>
    <row r="6" spans="1:10" ht="15.75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8.75" x14ac:dyDescent="0.3">
      <c r="A7" s="8"/>
      <c r="B7" s="8"/>
      <c r="C7" s="8"/>
      <c r="D7" s="8"/>
      <c r="E7" s="8"/>
      <c r="F7" s="8"/>
      <c r="G7" s="42" t="s">
        <v>17</v>
      </c>
      <c r="H7" s="43"/>
      <c r="I7" s="21">
        <f>SUM(I4:I5)</f>
        <v>0</v>
      </c>
      <c r="J7" s="2"/>
    </row>
    <row r="8" spans="1:10" x14ac:dyDescent="0.25">
      <c r="G8" s="3"/>
      <c r="H8" s="3"/>
      <c r="I8" s="3"/>
      <c r="J8" s="3"/>
    </row>
    <row r="16" spans="1:10" ht="15.75" x14ac:dyDescent="0.25">
      <c r="A16" s="13"/>
      <c r="B16" s="13"/>
      <c r="C16" s="13"/>
      <c r="D16" s="13"/>
      <c r="E16" s="13"/>
      <c r="F16" s="12"/>
      <c r="G16" s="12"/>
      <c r="H16" s="12"/>
    </row>
    <row r="17" spans="1:9" ht="15.75" x14ac:dyDescent="0.25">
      <c r="A17" s="12"/>
      <c r="B17" s="12"/>
      <c r="C17" s="12"/>
      <c r="D17" s="12"/>
      <c r="E17" s="12"/>
      <c r="F17" s="12"/>
      <c r="G17" s="12"/>
      <c r="H17" s="12"/>
    </row>
    <row r="18" spans="1:9" ht="15.75" x14ac:dyDescent="0.25">
      <c r="A18" s="12"/>
      <c r="B18" s="12"/>
      <c r="C18" s="12"/>
      <c r="D18" s="12"/>
      <c r="E18" s="12"/>
      <c r="F18" s="12"/>
      <c r="G18" s="12"/>
      <c r="H18" s="12"/>
    </row>
    <row r="19" spans="1:9" ht="15.75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1" spans="1:9" ht="15.75" x14ac:dyDescent="0.25">
      <c r="A21" s="12"/>
    </row>
    <row r="22" spans="1:9" ht="15.75" x14ac:dyDescent="0.25">
      <c r="A22" s="12"/>
    </row>
  </sheetData>
  <mergeCells count="1">
    <mergeCell ref="G7:H7"/>
  </mergeCells>
  <pageMargins left="0.7" right="0.7" top="0.75" bottom="0.75" header="0.3" footer="0.3"/>
  <pageSetup scale="67" fitToHeight="0" orientation="landscape" r:id="rId1"/>
  <headerFooter>
    <oddHeader xml:space="preserve">&amp;C&amp;"Times New Roman,Bold"&amp;14Attachment 2 - Base Year 
70Z03826QL0000003 
</oddHeader>
    <oddFooter>&amp;C&amp;"Times New Roman,Regular"&amp;12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8"/>
  <sheetViews>
    <sheetView view="pageLayout" topLeftCell="A3" zoomScaleNormal="100" workbookViewId="0">
      <selection activeCell="F3" sqref="F3"/>
    </sheetView>
  </sheetViews>
  <sheetFormatPr defaultRowHeight="15" x14ac:dyDescent="0.25"/>
  <cols>
    <col min="1" max="1" width="10.85546875" customWidth="1"/>
    <col min="2" max="2" width="21.5703125" style="1" customWidth="1"/>
    <col min="3" max="3" width="19.28515625" customWidth="1"/>
    <col min="4" max="4" width="19.85546875" style="1" customWidth="1"/>
    <col min="5" max="5" width="20.42578125" style="1" customWidth="1"/>
    <col min="6" max="6" width="10.5703125" customWidth="1"/>
    <col min="7" max="7" width="10.140625" customWidth="1"/>
    <col min="8" max="8" width="18.42578125" customWidth="1"/>
    <col min="9" max="9" width="25.85546875" customWidth="1"/>
    <col min="10" max="10" width="21.5703125" customWidth="1"/>
  </cols>
  <sheetData>
    <row r="1" spans="1:10" ht="16.5" hidden="1" customHeight="1" x14ac:dyDescent="0.25">
      <c r="A1" s="9"/>
      <c r="B1" s="10"/>
      <c r="C1" s="10"/>
      <c r="D1" s="10"/>
      <c r="E1" s="46" t="s">
        <v>25</v>
      </c>
      <c r="F1" s="46"/>
      <c r="G1" s="10"/>
      <c r="H1" s="44" t="s">
        <v>14</v>
      </c>
      <c r="I1" s="44"/>
      <c r="J1" s="45"/>
    </row>
    <row r="2" spans="1:10" s="1" customFormat="1" ht="16.5" hidden="1" customHeight="1" x14ac:dyDescent="0.25">
      <c r="A2" s="27"/>
      <c r="B2" s="28"/>
      <c r="C2" s="28"/>
      <c r="D2" s="28"/>
      <c r="E2" s="29"/>
      <c r="F2" s="29"/>
      <c r="G2" s="28"/>
      <c r="H2" s="30"/>
      <c r="I2" s="30"/>
      <c r="J2" s="14"/>
    </row>
    <row r="3" spans="1:10" s="1" customFormat="1" ht="16.5" customHeight="1" x14ac:dyDescent="0.25">
      <c r="A3" s="35"/>
      <c r="B3" s="35"/>
      <c r="C3" s="35"/>
      <c r="D3" s="35"/>
      <c r="E3" s="36"/>
      <c r="F3" s="36"/>
      <c r="G3" s="35"/>
      <c r="H3" s="14"/>
      <c r="I3" s="14"/>
      <c r="J3" s="14"/>
    </row>
    <row r="4" spans="1:10" ht="15.75" x14ac:dyDescent="0.25">
      <c r="A4" s="31" t="s">
        <v>24</v>
      </c>
      <c r="B4" s="32" t="s">
        <v>2</v>
      </c>
      <c r="C4" s="33" t="s">
        <v>0</v>
      </c>
      <c r="D4" s="33" t="s">
        <v>29</v>
      </c>
      <c r="E4" s="33" t="s">
        <v>1</v>
      </c>
      <c r="F4" s="33" t="s">
        <v>26</v>
      </c>
      <c r="G4" s="34" t="s">
        <v>27</v>
      </c>
      <c r="H4" s="33" t="s">
        <v>5</v>
      </c>
      <c r="I4" s="33" t="s">
        <v>15</v>
      </c>
      <c r="J4" s="11" t="s">
        <v>16</v>
      </c>
    </row>
    <row r="5" spans="1:10" ht="30.75" customHeight="1" x14ac:dyDescent="0.3">
      <c r="A5" s="15" t="s">
        <v>6</v>
      </c>
      <c r="B5" s="16" t="s">
        <v>46</v>
      </c>
      <c r="C5" s="20" t="s">
        <v>47</v>
      </c>
      <c r="D5" s="20" t="s">
        <v>48</v>
      </c>
      <c r="E5" s="20" t="s">
        <v>49</v>
      </c>
      <c r="F5" s="20">
        <v>190</v>
      </c>
      <c r="G5" s="16" t="s">
        <v>28</v>
      </c>
      <c r="H5" s="17">
        <v>0</v>
      </c>
      <c r="I5" s="17">
        <f>F5*H5</f>
        <v>0</v>
      </c>
      <c r="J5" s="23"/>
    </row>
    <row r="6" spans="1:10" ht="29.25" customHeight="1" x14ac:dyDescent="0.3">
      <c r="A6" s="15" t="s">
        <v>7</v>
      </c>
      <c r="B6" s="19" t="s">
        <v>50</v>
      </c>
      <c r="C6" s="22" t="s">
        <v>51</v>
      </c>
      <c r="D6" s="22" t="s">
        <v>48</v>
      </c>
      <c r="E6" s="22" t="s">
        <v>52</v>
      </c>
      <c r="F6" s="22">
        <v>60</v>
      </c>
      <c r="G6" s="20" t="s">
        <v>28</v>
      </c>
      <c r="H6" s="17">
        <v>0</v>
      </c>
      <c r="I6" s="17">
        <f>F6*H6</f>
        <v>0</v>
      </c>
      <c r="J6" s="23"/>
    </row>
    <row r="7" spans="1:10" ht="20.25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8.75" x14ac:dyDescent="0.3">
      <c r="A8" s="8"/>
      <c r="B8" s="8"/>
      <c r="C8" s="8"/>
      <c r="D8" s="8"/>
      <c r="E8" s="8"/>
      <c r="F8" s="8"/>
      <c r="G8" s="42" t="s">
        <v>19</v>
      </c>
      <c r="H8" s="42"/>
      <c r="I8" s="25">
        <f>SUM(I5:I6)</f>
        <v>0</v>
      </c>
      <c r="J8" s="8"/>
    </row>
    <row r="17" spans="1:7" ht="15.75" x14ac:dyDescent="0.25">
      <c r="A17" s="12"/>
      <c r="B17" s="12"/>
      <c r="C17" s="12"/>
      <c r="D17" s="12"/>
      <c r="E17" s="12"/>
      <c r="F17" s="12"/>
      <c r="G17" s="12"/>
    </row>
    <row r="18" spans="1:7" ht="15.75" x14ac:dyDescent="0.25">
      <c r="A18" s="12"/>
      <c r="B18" s="12"/>
      <c r="C18" s="12"/>
      <c r="D18" s="12"/>
      <c r="E18" s="12"/>
      <c r="F18" s="12"/>
      <c r="G18" s="12"/>
    </row>
  </sheetData>
  <mergeCells count="3">
    <mergeCell ref="H1:J1"/>
    <mergeCell ref="G8:H8"/>
    <mergeCell ref="E1:F1"/>
  </mergeCells>
  <pageMargins left="0.7" right="0.7" top="0.75" bottom="0.75" header="0.3" footer="0.3"/>
  <pageSetup scale="68" fitToHeight="0" orientation="landscape" r:id="rId1"/>
  <headerFooter>
    <oddHeader xml:space="preserve">&amp;C&amp;"Times New Roman,Bold"&amp;14Attachment 2 - Option Year 1 
70Z03826QL0000003
</oddHeader>
    <oddFooter>&amp;C&amp;"Times New Roman,Regular"&amp;12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6"/>
  <sheetViews>
    <sheetView view="pageLayout" zoomScaleNormal="100" workbookViewId="0">
      <selection activeCell="E1" sqref="E1:F1"/>
    </sheetView>
  </sheetViews>
  <sheetFormatPr defaultRowHeight="15" x14ac:dyDescent="0.25"/>
  <cols>
    <col min="1" max="1" width="10.5703125" customWidth="1"/>
    <col min="2" max="2" width="21.7109375" style="1" customWidth="1"/>
    <col min="3" max="3" width="18.28515625" customWidth="1"/>
    <col min="4" max="4" width="21.140625" style="1" customWidth="1"/>
    <col min="5" max="5" width="19.28515625" customWidth="1"/>
    <col min="6" max="6" width="12.140625" customWidth="1"/>
    <col min="7" max="7" width="11.7109375" customWidth="1"/>
    <col min="8" max="8" width="15.7109375" customWidth="1"/>
    <col min="9" max="9" width="21.140625" style="1" bestFit="1" customWidth="1"/>
    <col min="10" max="10" width="22" customWidth="1"/>
  </cols>
  <sheetData>
    <row r="1" spans="1:10" ht="15.75" customHeight="1" x14ac:dyDescent="0.25">
      <c r="A1" s="35"/>
      <c r="B1" s="35"/>
      <c r="C1" s="35"/>
      <c r="D1" s="35"/>
      <c r="E1" s="47"/>
      <c r="F1" s="47"/>
      <c r="G1" s="35"/>
      <c r="H1" s="48"/>
      <c r="I1" s="48"/>
      <c r="J1" s="48"/>
    </row>
    <row r="2" spans="1:10" ht="15.75" x14ac:dyDescent="0.25">
      <c r="A2" s="37" t="s">
        <v>31</v>
      </c>
      <c r="B2" s="38" t="s">
        <v>30</v>
      </c>
      <c r="C2" s="39" t="s">
        <v>0</v>
      </c>
      <c r="D2" s="39" t="s">
        <v>32</v>
      </c>
      <c r="E2" s="39" t="s">
        <v>1</v>
      </c>
      <c r="F2" s="39" t="s">
        <v>33</v>
      </c>
      <c r="G2" s="40" t="s">
        <v>34</v>
      </c>
      <c r="H2" s="39" t="s">
        <v>35</v>
      </c>
      <c r="I2" s="39" t="s">
        <v>36</v>
      </c>
      <c r="J2" s="39" t="s">
        <v>37</v>
      </c>
    </row>
    <row r="3" spans="1:10" ht="30" customHeight="1" x14ac:dyDescent="0.3">
      <c r="A3" s="15" t="s">
        <v>8</v>
      </c>
      <c r="B3" s="16" t="s">
        <v>46</v>
      </c>
      <c r="C3" s="20" t="s">
        <v>47</v>
      </c>
      <c r="D3" s="20" t="s">
        <v>48</v>
      </c>
      <c r="E3" s="20" t="s">
        <v>49</v>
      </c>
      <c r="F3" s="20">
        <v>190</v>
      </c>
      <c r="G3" s="16" t="s">
        <v>28</v>
      </c>
      <c r="H3" s="17">
        <v>0</v>
      </c>
      <c r="I3" s="17">
        <f>F3*H3</f>
        <v>0</v>
      </c>
      <c r="J3" s="23"/>
    </row>
    <row r="4" spans="1:10" ht="30" customHeight="1" x14ac:dyDescent="0.3">
      <c r="A4" s="15" t="s">
        <v>9</v>
      </c>
      <c r="B4" s="19" t="s">
        <v>50</v>
      </c>
      <c r="C4" s="22" t="s">
        <v>51</v>
      </c>
      <c r="D4" s="22" t="s">
        <v>48</v>
      </c>
      <c r="E4" s="22" t="s">
        <v>52</v>
      </c>
      <c r="F4" s="22">
        <v>60</v>
      </c>
      <c r="G4" s="20" t="s">
        <v>28</v>
      </c>
      <c r="H4" s="17">
        <v>0</v>
      </c>
      <c r="I4" s="17">
        <f>F4*H4</f>
        <v>0</v>
      </c>
      <c r="J4" s="23"/>
    </row>
    <row r="5" spans="1:10" ht="15.7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8.75" x14ac:dyDescent="0.3">
      <c r="A6" s="12"/>
      <c r="B6" s="12"/>
      <c r="C6" s="12"/>
      <c r="D6" s="12"/>
      <c r="E6" s="12"/>
      <c r="F6" s="12"/>
      <c r="G6" s="42" t="s">
        <v>20</v>
      </c>
      <c r="H6" s="42"/>
      <c r="I6" s="25">
        <f>SUM(I3:I4)</f>
        <v>0</v>
      </c>
      <c r="J6" s="12"/>
    </row>
    <row r="15" spans="1:10" ht="15.75" x14ac:dyDescent="0.25">
      <c r="A15" s="12"/>
      <c r="B15" s="12"/>
      <c r="C15" s="12"/>
      <c r="D15" s="12"/>
      <c r="E15" s="12"/>
      <c r="F15" s="12"/>
      <c r="G15" s="12"/>
    </row>
    <row r="16" spans="1:10" ht="15.75" x14ac:dyDescent="0.25">
      <c r="A16" s="12"/>
      <c r="B16" s="12"/>
      <c r="C16" s="12"/>
      <c r="D16" s="12"/>
      <c r="E16" s="12"/>
      <c r="F16" s="12"/>
      <c r="G16" s="12"/>
    </row>
  </sheetData>
  <mergeCells count="3">
    <mergeCell ref="E1:F1"/>
    <mergeCell ref="H1:J1"/>
    <mergeCell ref="G6:H6"/>
  </mergeCells>
  <pageMargins left="0.7" right="0.7" top="0.75" bottom="0.75" header="0.3" footer="0.3"/>
  <pageSetup scale="70" fitToHeight="0" orientation="landscape" r:id="rId1"/>
  <headerFooter>
    <oddHeader>&amp;C&amp;"Times New Roman,Bold"&amp;14Attachment 2 - Option Year 2 
70Z03826QL0000003</oddHeader>
    <oddFooter>&amp;C&amp;"Times New Roman,Regular"&amp;12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6"/>
  <sheetViews>
    <sheetView view="pageLayout" zoomScaleNormal="100" workbookViewId="0">
      <selection activeCell="E13" sqref="E13"/>
    </sheetView>
  </sheetViews>
  <sheetFormatPr defaultRowHeight="15" x14ac:dyDescent="0.25"/>
  <cols>
    <col min="1" max="1" width="10" customWidth="1"/>
    <col min="2" max="2" width="21.7109375" style="1" customWidth="1"/>
    <col min="3" max="3" width="18.5703125" customWidth="1"/>
    <col min="4" max="4" width="20.5703125" style="1" customWidth="1"/>
    <col min="5" max="5" width="19.7109375" customWidth="1"/>
    <col min="6" max="6" width="11.7109375" customWidth="1"/>
    <col min="7" max="7" width="10.5703125" customWidth="1"/>
    <col min="8" max="8" width="18.28515625" customWidth="1"/>
    <col min="9" max="9" width="24.85546875" style="1" customWidth="1"/>
    <col min="10" max="10" width="22" customWidth="1"/>
  </cols>
  <sheetData>
    <row r="1" spans="1:10" ht="12" customHeight="1" x14ac:dyDescent="0.25">
      <c r="A1" s="35"/>
      <c r="B1" s="35"/>
      <c r="C1" s="35"/>
      <c r="D1" s="35"/>
      <c r="E1" s="47"/>
      <c r="F1" s="47"/>
      <c r="G1" s="35"/>
      <c r="H1" s="48"/>
      <c r="I1" s="48"/>
      <c r="J1" s="48"/>
    </row>
    <row r="2" spans="1:10" ht="15.75" x14ac:dyDescent="0.25">
      <c r="A2" s="37" t="s">
        <v>31</v>
      </c>
      <c r="B2" s="38" t="s">
        <v>38</v>
      </c>
      <c r="C2" s="39" t="s">
        <v>39</v>
      </c>
      <c r="D2" s="39" t="s">
        <v>40</v>
      </c>
      <c r="E2" s="39" t="s">
        <v>1</v>
      </c>
      <c r="F2" s="39" t="s">
        <v>33</v>
      </c>
      <c r="G2" s="40" t="s">
        <v>34</v>
      </c>
      <c r="H2" s="39" t="s">
        <v>41</v>
      </c>
      <c r="I2" s="39" t="s">
        <v>42</v>
      </c>
      <c r="J2" s="39" t="s">
        <v>43</v>
      </c>
    </row>
    <row r="3" spans="1:10" ht="30.75" customHeight="1" x14ac:dyDescent="0.3">
      <c r="A3" s="15" t="s">
        <v>10</v>
      </c>
      <c r="B3" s="16" t="s">
        <v>46</v>
      </c>
      <c r="C3" s="20" t="s">
        <v>47</v>
      </c>
      <c r="D3" s="20" t="s">
        <v>48</v>
      </c>
      <c r="E3" s="20" t="s">
        <v>49</v>
      </c>
      <c r="F3" s="20">
        <v>190</v>
      </c>
      <c r="G3" s="16" t="s">
        <v>28</v>
      </c>
      <c r="H3" s="17">
        <v>0</v>
      </c>
      <c r="I3" s="17">
        <f>F3*H3</f>
        <v>0</v>
      </c>
      <c r="J3" s="23"/>
    </row>
    <row r="4" spans="1:10" ht="30" customHeight="1" x14ac:dyDescent="0.3">
      <c r="A4" s="15" t="s">
        <v>11</v>
      </c>
      <c r="B4" s="19" t="s">
        <v>50</v>
      </c>
      <c r="C4" s="22" t="s">
        <v>51</v>
      </c>
      <c r="D4" s="22" t="s">
        <v>48</v>
      </c>
      <c r="E4" s="22" t="s">
        <v>52</v>
      </c>
      <c r="F4" s="22">
        <v>60</v>
      </c>
      <c r="G4" s="20" t="s">
        <v>28</v>
      </c>
      <c r="H4" s="17">
        <v>0</v>
      </c>
      <c r="I4" s="17">
        <f>F4*H4</f>
        <v>0</v>
      </c>
      <c r="J4" s="23"/>
    </row>
    <row r="5" spans="1:10" ht="15.75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8.75" x14ac:dyDescent="0.3">
      <c r="A6" s="8"/>
      <c r="B6" s="8"/>
      <c r="C6" s="8"/>
      <c r="D6" s="8"/>
      <c r="E6" s="8"/>
      <c r="F6" s="8"/>
      <c r="G6" s="42" t="s">
        <v>21</v>
      </c>
      <c r="H6" s="42"/>
      <c r="I6" s="25">
        <f>SUM(I3:I4)</f>
        <v>0</v>
      </c>
      <c r="J6" s="8"/>
    </row>
    <row r="7" spans="1:10" x14ac:dyDescent="0.25">
      <c r="G7" s="3"/>
      <c r="H7" s="3"/>
      <c r="I7" s="3"/>
    </row>
    <row r="15" spans="1:10" ht="15.75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10" ht="15.75" x14ac:dyDescent="0.25">
      <c r="A16" s="12"/>
      <c r="B16" s="12"/>
      <c r="C16" s="12"/>
      <c r="D16" s="12"/>
      <c r="E16" s="12"/>
      <c r="F16" s="12"/>
      <c r="G16" s="12"/>
      <c r="H16" s="12"/>
      <c r="I16" s="12"/>
    </row>
  </sheetData>
  <mergeCells count="3">
    <mergeCell ref="E1:F1"/>
    <mergeCell ref="H1:J1"/>
    <mergeCell ref="G6:H6"/>
  </mergeCells>
  <pageMargins left="0.7" right="0.7" top="0.75" bottom="0.75" header="0.3" footer="0.3"/>
  <pageSetup scale="68" fitToHeight="0" orientation="landscape" r:id="rId1"/>
  <headerFooter>
    <oddHeader xml:space="preserve">&amp;C&amp;"Times New Roman,Bold"&amp;14Attachment 2 - Option Year 3 
70Z03826QL0000003
</oddHeader>
    <oddFooter>&amp;C&amp;"Times New Roman,Regular"&amp;12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8"/>
  <sheetViews>
    <sheetView tabSelected="1" view="pageLayout" zoomScaleNormal="100" workbookViewId="0">
      <selection activeCell="B6" sqref="B6"/>
    </sheetView>
  </sheetViews>
  <sheetFormatPr defaultRowHeight="15" x14ac:dyDescent="0.25"/>
  <cols>
    <col min="1" max="1" width="9.42578125" customWidth="1"/>
    <col min="2" max="2" width="22" style="1" customWidth="1"/>
    <col min="3" max="3" width="18.85546875" customWidth="1"/>
    <col min="4" max="4" width="20.28515625" style="1" customWidth="1"/>
    <col min="5" max="5" width="20.7109375" customWidth="1"/>
    <col min="6" max="6" width="12.140625" customWidth="1"/>
    <col min="7" max="7" width="11" customWidth="1"/>
    <col min="8" max="8" width="17.7109375" customWidth="1"/>
    <col min="9" max="9" width="21.140625" style="1" bestFit="1" customWidth="1"/>
    <col min="10" max="10" width="19.140625" customWidth="1"/>
  </cols>
  <sheetData>
    <row r="1" spans="1:10" ht="12.75" customHeight="1" x14ac:dyDescent="0.25">
      <c r="A1" s="35"/>
      <c r="B1" s="35"/>
      <c r="C1" s="35"/>
      <c r="D1" s="35"/>
      <c r="E1" s="47"/>
      <c r="F1" s="47"/>
      <c r="G1" s="35"/>
      <c r="H1" s="48"/>
      <c r="I1" s="48"/>
      <c r="J1" s="48"/>
    </row>
    <row r="2" spans="1:10" ht="15.75" x14ac:dyDescent="0.25">
      <c r="A2" s="31" t="s">
        <v>44</v>
      </c>
      <c r="B2" s="32" t="s">
        <v>2</v>
      </c>
      <c r="C2" s="41" t="s">
        <v>0</v>
      </c>
      <c r="D2" s="41" t="s">
        <v>29</v>
      </c>
      <c r="E2" s="41" t="s">
        <v>1</v>
      </c>
      <c r="F2" s="41" t="s">
        <v>33</v>
      </c>
      <c r="G2" s="34" t="s">
        <v>27</v>
      </c>
      <c r="H2" s="33" t="s">
        <v>5</v>
      </c>
      <c r="I2" s="33" t="s">
        <v>18</v>
      </c>
      <c r="J2" s="33" t="s">
        <v>16</v>
      </c>
    </row>
    <row r="3" spans="1:10" ht="30.75" customHeight="1" x14ac:dyDescent="0.3">
      <c r="A3" s="15" t="s">
        <v>12</v>
      </c>
      <c r="B3" s="16" t="s">
        <v>46</v>
      </c>
      <c r="C3" s="20" t="s">
        <v>47</v>
      </c>
      <c r="D3" s="20" t="s">
        <v>48</v>
      </c>
      <c r="E3" s="20" t="s">
        <v>49</v>
      </c>
      <c r="F3" s="20">
        <v>190</v>
      </c>
      <c r="G3" s="16" t="s">
        <v>28</v>
      </c>
      <c r="H3" s="24">
        <v>0</v>
      </c>
      <c r="I3" s="17">
        <f>F3*H3</f>
        <v>0</v>
      </c>
      <c r="J3" s="23"/>
    </row>
    <row r="4" spans="1:10" ht="30" customHeight="1" x14ac:dyDescent="0.3">
      <c r="A4" s="15" t="s">
        <v>13</v>
      </c>
      <c r="B4" s="19" t="s">
        <v>50</v>
      </c>
      <c r="C4" s="22" t="s">
        <v>51</v>
      </c>
      <c r="D4" s="22" t="s">
        <v>48</v>
      </c>
      <c r="E4" s="22" t="s">
        <v>52</v>
      </c>
      <c r="F4" s="22">
        <v>60</v>
      </c>
      <c r="G4" s="20" t="s">
        <v>28</v>
      </c>
      <c r="H4" s="24">
        <v>0</v>
      </c>
      <c r="I4" s="17">
        <f>F4*H4</f>
        <v>0</v>
      </c>
      <c r="J4" s="23"/>
    </row>
    <row r="5" spans="1:10" ht="15.7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8.75" x14ac:dyDescent="0.3">
      <c r="A6" s="12"/>
      <c r="B6" s="12"/>
      <c r="C6" s="12"/>
      <c r="D6" s="12"/>
      <c r="E6" s="12"/>
      <c r="F6" s="12"/>
      <c r="G6" s="42" t="s">
        <v>22</v>
      </c>
      <c r="H6" s="42"/>
      <c r="I6" s="25">
        <f>SUM(I3:I4)</f>
        <v>0</v>
      </c>
      <c r="J6" s="12"/>
    </row>
    <row r="7" spans="1:10" ht="15.7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18.75" x14ac:dyDescent="0.3">
      <c r="A8" s="12"/>
      <c r="B8" s="12"/>
      <c r="C8" s="12"/>
      <c r="D8" s="12"/>
      <c r="E8" s="12"/>
      <c r="F8" s="12"/>
      <c r="G8" s="49" t="s">
        <v>23</v>
      </c>
      <c r="H8" s="49"/>
      <c r="I8" s="26">
        <f>'Base Year'!I7+'Option Year 1'!I8+'Option Year 2'!I6+'Option Year 3'!I6+'Option Year 4'!I6</f>
        <v>0</v>
      </c>
      <c r="J8" s="12"/>
    </row>
    <row r="15" spans="1:10" ht="15.75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10" ht="15.75" x14ac:dyDescent="0.25">
      <c r="A16" s="12"/>
      <c r="B16" s="12"/>
      <c r="C16" s="12"/>
      <c r="D16" s="12"/>
      <c r="E16" s="12"/>
      <c r="F16" s="12"/>
      <c r="G16" s="12"/>
      <c r="H16" s="12"/>
      <c r="I16" s="12"/>
    </row>
    <row r="18" spans="1:9" ht="15.75" x14ac:dyDescent="0.25">
      <c r="A18" s="12"/>
      <c r="B18" s="12"/>
      <c r="C18" s="12"/>
      <c r="D18" s="12"/>
      <c r="E18" s="12"/>
      <c r="F18" s="12"/>
      <c r="G18" s="12"/>
      <c r="H18" s="12"/>
      <c r="I18" s="12"/>
    </row>
  </sheetData>
  <mergeCells count="4">
    <mergeCell ref="E1:F1"/>
    <mergeCell ref="H1:J1"/>
    <mergeCell ref="G6:H6"/>
    <mergeCell ref="G8:H8"/>
  </mergeCells>
  <pageMargins left="0.7" right="0.7" top="0.75" bottom="0.75" header="0.3" footer="0.3"/>
  <pageSetup scale="70" fitToHeight="0" orientation="landscape" r:id="rId1"/>
  <headerFooter>
    <oddHeader xml:space="preserve">&amp;C&amp;"Times New Roman,Bold"&amp;14Attachment 2 - Option Year 4 
70Z03826QL0000003
</oddHeader>
    <oddFooter>&amp;C&amp;"Times New Roman,Regular"&amp;12 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0776a5a-7823-4c9e-9196-47d8d2c638a8">XVK2YZ55HT4Y-1683813541-160436</_dlc_DocId>
    <_dlc_DocIdUrl xmlns="60776a5a-7823-4c9e-9196-47d8d2c638a8">
      <Url>https://cg.portal.uscg.mil/units/alc/COCO/_layouts/DocIdRedir.aspx?ID=XVK2YZ55HT4Y-1683813541-160436</Url>
      <Description>XVK2YZ55HT4Y-1683813541-160436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CB14CB78A754FB047C28B2E28B359" ma:contentTypeVersion="0" ma:contentTypeDescription="Create a new document." ma:contentTypeScope="" ma:versionID="3e30a029fc57dbaab8ca13a82a3248ef">
  <xsd:schema xmlns:xsd="http://www.w3.org/2001/XMLSchema" xmlns:xs="http://www.w3.org/2001/XMLSchema" xmlns:p="http://schemas.microsoft.com/office/2006/metadata/properties" xmlns:ns2="60776a5a-7823-4c9e-9196-47d8d2c638a8" targetNamespace="http://schemas.microsoft.com/office/2006/metadata/properties" ma:root="true" ma:fieldsID="c720fb7003b96b1de958b98ced04d827" ns2:_="">
    <xsd:import namespace="60776a5a-7823-4c9e-9196-47d8d2c638a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76a5a-7823-4c9e-9196-47d8d2c638a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FF8C79E-D8EA-48D1-82B2-5A840AC636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F14B9C-B4D7-41E7-9FF6-7E1DB0262349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60776a5a-7823-4c9e-9196-47d8d2c638a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C5DA7F9-49CD-4A9B-998D-B74BB32E9F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76a5a-7823-4c9e-9196-47d8d2c638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370FFC7-767B-4E49-8395-05C745CCAA70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Year</vt:lpstr>
      <vt:lpstr>Option Year 1</vt:lpstr>
      <vt:lpstr>Option Year 2</vt:lpstr>
      <vt:lpstr>Option Year 3</vt:lpstr>
      <vt:lpstr>Option Year 4</vt:lpstr>
    </vt:vector>
  </TitlesOfParts>
  <Company>U.S. Department of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McCrodden, Elizabeth E CIV</dc:creator>
  <cp:lastModifiedBy>Goodwin, Steven A CIV (USA)</cp:lastModifiedBy>
  <cp:lastPrinted>2025-10-28T15:51:26Z</cp:lastPrinted>
  <dcterms:created xsi:type="dcterms:W3CDTF">2019-07-09T20:58:29Z</dcterms:created>
  <dcterms:modified xsi:type="dcterms:W3CDTF">2025-11-26T17:50:55Z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0x01010042CCB14CB78A754FB047C28B2E28B359</vt:lpwstr>
  </property>
  <property fmtid="{D5CDD505-2E9C-101B-9397-08002B2CF9AE}" pid="3" name="_dlc_DocIdItemGuid">
    <vt:lpwstr>ed4f3d27-0c94-4c54-8fe2-6985e98b0403</vt:lpwstr>
  </property>
</Properties>
</file>