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vagov-my.sharepoint.com/personal/jesse_sannicolas_va_gov/Documents/FY26/36C259-26-AP-1137 VISN 19 Med Gas/RFP/Amendment 0001/"/>
    </mc:Choice>
  </mc:AlternateContent>
  <xr:revisionPtr revIDLastSave="311" documentId="8_{4176E425-C2C9-42BD-B51D-67BAB725F0DE}" xr6:coauthVersionLast="47" xr6:coauthVersionMax="47" xr10:uidLastSave="{CC5CE46B-A8EF-43A0-BA63-11F77A3D3BF3}"/>
  <bookViews>
    <workbookView xWindow="-51735" yWindow="1065" windowWidth="21600" windowHeight="13680" activeTab="1" xr2:uid="{070D0FAB-F10C-4C92-8580-CDE16A354BE2}"/>
  </bookViews>
  <sheets>
    <sheet name="VISN Totals" sheetId="7" r:id="rId1"/>
    <sheet name="436" sheetId="25" r:id="rId2"/>
    <sheet name="442" sheetId="26" r:id="rId3"/>
    <sheet name="554" sheetId="23" r:id="rId4"/>
    <sheet name="623" sheetId="16" r:id="rId5"/>
    <sheet name="635" sheetId="28" r:id="rId6"/>
    <sheet name="660" sheetId="29" r:id="rId7"/>
    <sheet name="666" sheetId="30" r:id="rId8"/>
    <sheet name="Types of Gas" sheetId="18" state="hidden" r:id="rId9"/>
  </sheets>
  <definedNames>
    <definedName name="_xlnm._FilterDatabase" localSheetId="1" hidden="1">'436'!$A$2:$Y$34</definedName>
    <definedName name="_xlnm._FilterDatabase" localSheetId="2" hidden="1">'442'!$A$2:$Y$29</definedName>
    <definedName name="_xlnm._FilterDatabase" localSheetId="3" hidden="1">'554'!$A$2:$Y$28</definedName>
    <definedName name="_xlnm._FilterDatabase" localSheetId="4" hidden="1">'623'!$A$2:$Y$26</definedName>
    <definedName name="_xlnm._FilterDatabase" localSheetId="5" hidden="1">'635'!$A$2:$Y$35</definedName>
    <definedName name="_xlnm._FilterDatabase" localSheetId="6" hidden="1">'660'!$A$2:$Y$71</definedName>
    <definedName name="_xlnm._FilterDatabase" localSheetId="7" hidden="1">'666'!$A$2:$Y$29</definedName>
    <definedName name="_xlnm._FilterDatabase" localSheetId="8" hidden="1">'Types of Gas'!$A$1:$B$78</definedName>
    <definedName name="_xlnm._FilterDatabase" localSheetId="0" hidden="1">'VISN Totals'!$A$3:$G$10</definedName>
    <definedName name="_xlnm.Print_Titles" localSheetId="2">'442'!$2:$2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1" i="26" l="1"/>
  <c r="B40" i="26"/>
  <c r="B39" i="26"/>
  <c r="B37" i="26"/>
  <c r="B42" i="26" l="1"/>
  <c r="B10" i="7" l="1"/>
  <c r="C10" i="7"/>
  <c r="D10" i="7" l="1"/>
  <c r="B9" i="7" l="1"/>
  <c r="C8" i="7"/>
  <c r="B7" i="7"/>
  <c r="C5" i="7"/>
  <c r="E10" i="7"/>
  <c r="F10" i="7"/>
  <c r="C7" i="7"/>
  <c r="B8" i="7"/>
  <c r="C4" i="7"/>
  <c r="B6" i="7"/>
  <c r="B5" i="7"/>
  <c r="B4" i="7"/>
  <c r="D6" i="7"/>
  <c r="C6" i="7"/>
  <c r="C9" i="7" l="1"/>
  <c r="C11" i="7" s="1"/>
  <c r="G10" i="7"/>
  <c r="B11" i="7"/>
  <c r="D8" i="7"/>
  <c r="D7" i="7"/>
  <c r="D4" i="7"/>
  <c r="D5" i="7"/>
  <c r="E6" i="7"/>
  <c r="F6" i="7"/>
  <c r="E5" i="7" l="1"/>
  <c r="F5" i="7"/>
  <c r="G6" i="7"/>
  <c r="E8" i="7"/>
  <c r="F8" i="7"/>
  <c r="E7" i="7"/>
  <c r="F7" i="7"/>
  <c r="E4" i="7"/>
  <c r="F9" i="7" l="1"/>
  <c r="E9" i="7"/>
  <c r="E11" i="7" s="1"/>
  <c r="D9" i="7"/>
  <c r="D11" i="7" s="1"/>
  <c r="G7" i="7"/>
  <c r="G8" i="7"/>
  <c r="G5" i="7"/>
  <c r="F4" i="7" l="1"/>
  <c r="G4" i="7" s="1"/>
  <c r="G9" i="7"/>
  <c r="G11" i="7" l="1"/>
  <c r="F11" i="7"/>
</calcChain>
</file>

<file path=xl/sharedStrings.xml><?xml version="1.0" encoding="utf-8"?>
<sst xmlns="http://schemas.openxmlformats.org/spreadsheetml/2006/main" count="987" uniqueCount="244">
  <si>
    <t>Blood Gases and Cylinder Rentals</t>
  </si>
  <si>
    <t>Station</t>
  </si>
  <si>
    <t>Base</t>
  </si>
  <si>
    <t>OY1</t>
  </si>
  <si>
    <t>OY2</t>
  </si>
  <si>
    <t>OY3</t>
  </si>
  <si>
    <t>OY4</t>
  </si>
  <si>
    <t>Total</t>
  </si>
  <si>
    <t>VISN 19 Total POP $</t>
  </si>
  <si>
    <t>VISN 19 Total Base + Option Years</t>
  </si>
  <si>
    <t>BASE</t>
  </si>
  <si>
    <t>DESCRIPTION</t>
  </si>
  <si>
    <t>SIZE</t>
  </si>
  <si>
    <t>UNIT Cylinder or Each</t>
  </si>
  <si>
    <t>Estimated Fill Price</t>
  </si>
  <si>
    <t>Estimated Monthly Cylinder Rental Fee</t>
  </si>
  <si>
    <t>USP Carbon Dioxide, Size H 50#</t>
  </si>
  <si>
    <t>H</t>
  </si>
  <si>
    <t>CY</t>
  </si>
  <si>
    <t>Argon UHP 35 CGA 580</t>
  </si>
  <si>
    <t>Carbon Dioxide, Medicinal, Grade A / CD USPE</t>
  </si>
  <si>
    <t>E</t>
  </si>
  <si>
    <t>USP Carbon Dioxide, Aluminum(G), Size E 6,7</t>
  </si>
  <si>
    <t>Compressed Air, 310 CF</t>
  </si>
  <si>
    <t>CF</t>
  </si>
  <si>
    <t>Oxygen w/ Built-In Regulator</t>
  </si>
  <si>
    <t>"E" 25CF</t>
  </si>
  <si>
    <t>Lung Diffusion: 0.3% Carbon Monoxide, 0.3% Methane, 21% Oxygen, Balance Nitrogen</t>
  </si>
  <si>
    <t>H175</t>
  </si>
  <si>
    <t>Lung Diffusion: 0.3% Carbon Monoxide, 21% Oxygen, Balance NI</t>
  </si>
  <si>
    <t>PF 9% Helium/21% OX/Bal NI</t>
  </si>
  <si>
    <t>Liquid Nitrogen per Liter</t>
  </si>
  <si>
    <t>LI</t>
  </si>
  <si>
    <t>L</t>
  </si>
  <si>
    <t>Nitrogen Medical, NF, Size #1 304CF</t>
  </si>
  <si>
    <t>CB 5% CD/12% OX/Bal I</t>
  </si>
  <si>
    <t>Nitrous Oxide/NS USP56</t>
  </si>
  <si>
    <t>G</t>
  </si>
  <si>
    <t>Nitrous Oxide Medical 6.7#, Size E USPEA (Aluminum)</t>
  </si>
  <si>
    <t>Oxygen Medical Grade, Size E</t>
  </si>
  <si>
    <t>Oxygen Medical Grade, Size H/200</t>
  </si>
  <si>
    <t>Oxygen Medical Grade, Size T/300</t>
  </si>
  <si>
    <t>T</t>
  </si>
  <si>
    <t>Oxygen, Medical (TO2TE WITH BUILT IN REGULATOR)</t>
  </si>
  <si>
    <t>Walk-O2-Bout Oxygen, MRI Compatible, Aluminum</t>
  </si>
  <si>
    <t>Valve Replacement</t>
  </si>
  <si>
    <t>Each</t>
  </si>
  <si>
    <t>Annual Loss of Use Inventory</t>
  </si>
  <si>
    <t>HYDROSTATIC TESTING OF GFE</t>
  </si>
  <si>
    <t>EMERGENCY DELIVERY</t>
  </si>
  <si>
    <t>Subtotals</t>
  </si>
  <si>
    <t>Total Fill + Total Rental</t>
  </si>
  <si>
    <t>Total Package (Base+Option Years)</t>
  </si>
  <si>
    <t>Month+I1:I294</t>
  </si>
  <si>
    <t>Lodging</t>
  </si>
  <si>
    <t>Air</t>
  </si>
  <si>
    <t>Rental Car</t>
  </si>
  <si>
    <t>Mileage (Gas)</t>
  </si>
  <si>
    <t>Meals &amp; Incidentals</t>
  </si>
  <si>
    <t>25% Carbon Dioxide Balance Argon Industrial Shielding Gas Mixture</t>
  </si>
  <si>
    <t>4% Carbon Dioxide, 16% O2, Balance N2</t>
  </si>
  <si>
    <t>5% CO2, 12%OX, BAL N2+OR-02</t>
  </si>
  <si>
    <t>Acetylene</t>
  </si>
  <si>
    <t>#4</t>
  </si>
  <si>
    <t>B</t>
  </si>
  <si>
    <t>MC</t>
  </si>
  <si>
    <t>Air, Compressed</t>
  </si>
  <si>
    <t>K</t>
  </si>
  <si>
    <t>Air, Compressed, CGA Type 1, Medical</t>
  </si>
  <si>
    <t>Argon</t>
  </si>
  <si>
    <t>Argon 4.8 High Purity</t>
  </si>
  <si>
    <t>Carbon Dioxide Industrial</t>
  </si>
  <si>
    <t>50#</t>
  </si>
  <si>
    <t xml:space="preserve">Carbon Dioxide, USP </t>
  </si>
  <si>
    <t>50 lb</t>
  </si>
  <si>
    <t xml:space="preserve">LD 0.3% CARBON MONOXIDE 0.3% (H) METHANE 21% OXYGEN BALANCE NITROGEN LUNG DIFFUSION CGA 500 </t>
  </si>
  <si>
    <t>200 liters</t>
  </si>
  <si>
    <t>Nitrogen Medical Grade</t>
  </si>
  <si>
    <t>Nitrogen NF Liq 180LT 22PSI</t>
  </si>
  <si>
    <t>180 LT</t>
  </si>
  <si>
    <t>Nitrogen UHP 300</t>
  </si>
  <si>
    <t>Nitrous Oxide</t>
  </si>
  <si>
    <t>Oxygen Medical Grade Walkabout</t>
  </si>
  <si>
    <t>Oxygen, Industrial</t>
  </si>
  <si>
    <t>Oxygen, Medical</t>
  </si>
  <si>
    <t>D</t>
  </si>
  <si>
    <t>Emergency</t>
  </si>
  <si>
    <t>Hydrostatic Testing</t>
  </si>
  <si>
    <t>0.3% Carbon Dioxide, 10% Helium, 21% Oxygen, Balance Nitrogen</t>
  </si>
  <si>
    <t>0.3% Carbon Monoxide, 21% Oxygen, 10% Helium, Balance Nitrogen</t>
  </si>
  <si>
    <t>H 224</t>
  </si>
  <si>
    <t>100% Carbon Dioxide</t>
  </si>
  <si>
    <t>G 428</t>
  </si>
  <si>
    <t>Anaerobic Mix</t>
  </si>
  <si>
    <t>Argon 99.999% Purity</t>
  </si>
  <si>
    <t>Carbon Dioxide</t>
  </si>
  <si>
    <t>Carbon Dioxide, 50 lb</t>
  </si>
  <si>
    <t>Dry Ice</t>
  </si>
  <si>
    <t>lb</t>
  </si>
  <si>
    <t>Lbs</t>
  </si>
  <si>
    <t>Liquid Nitrogen</t>
  </si>
  <si>
    <t>30 liter</t>
  </si>
  <si>
    <t>Lung Diffusion .3% CO, .3% CH4, 21% O2, Balance N2</t>
  </si>
  <si>
    <t>Lung Diffusion: 0.3% Methane, 0.3% Carbon Monoxide, 21% Oxygen, Balance Nitrogen all mixed to Primary Standards</t>
  </si>
  <si>
    <t>Oxygen Medical</t>
  </si>
  <si>
    <t>20L</t>
  </si>
  <si>
    <t>Nitrogen 99.999% Purity</t>
  </si>
  <si>
    <t>Lung Diffusion: 3% Carbon Monoxide, 3% Methane, 21% Oxygen, Balance Nitrogen</t>
  </si>
  <si>
    <t>Argon, Industrial 40 CGA</t>
  </si>
  <si>
    <t>LIQUID NITROGEN Dewar</t>
  </si>
  <si>
    <t>50L</t>
  </si>
  <si>
    <t>H 175</t>
  </si>
  <si>
    <t>NF Nitrogen Medical , Size #1 304CF</t>
  </si>
  <si>
    <t>Nitrogen Gaseous</t>
  </si>
  <si>
    <t>Nitrous Oxide / NS USP56</t>
  </si>
  <si>
    <t>Oxygen USP, Size EA with Walk-O2-About Reg Integrated / OX USPEAWBMRI</t>
  </si>
  <si>
    <t>Oxygen USP200</t>
  </si>
  <si>
    <t xml:space="preserve">Oxygen w/ Built-In Regulator MRI Tank </t>
  </si>
  <si>
    <t>CYL</t>
  </si>
  <si>
    <t>Ar UHP 6KPSI 99.998% CGA 677</t>
  </si>
  <si>
    <t>Argon Prepurified 35 CGA 580 C/O</t>
  </si>
  <si>
    <t>35 CU</t>
  </si>
  <si>
    <t>Argon UHP GR 5.0 Size 6</t>
  </si>
  <si>
    <t>6K</t>
  </si>
  <si>
    <t>Carbon Dioxide Industrial CGA320</t>
  </si>
  <si>
    <t>Carbon Dioxide, Medicinal, Grade A / CD USP50</t>
  </si>
  <si>
    <t>Carbon Dioxide Industrial 50LBS Siphon  CGA 320</t>
  </si>
  <si>
    <t>Helium Industrial 200</t>
  </si>
  <si>
    <t xml:space="preserve">Liquid Nitrogen </t>
  </si>
  <si>
    <t>160 Liters</t>
  </si>
  <si>
    <t>EA</t>
  </si>
  <si>
    <t>Liquid Nitrogen (PSI-22)</t>
  </si>
  <si>
    <t>180 Liter</t>
  </si>
  <si>
    <t>NITROGEN, GASEOUS NI NF200</t>
  </si>
  <si>
    <t>Oxygen USP, Size EA (Walk-O2-bout) / OX USPEAWB</t>
  </si>
  <si>
    <t>Air Compressed</t>
  </si>
  <si>
    <t>Air USP EA CGA 950 C/O MRI</t>
  </si>
  <si>
    <t>Carbon Dioxide 50lbs Siphon CGA 320</t>
  </si>
  <si>
    <t>Carbon Dioxide USP E CGA 940</t>
  </si>
  <si>
    <t>50 lb.</t>
  </si>
  <si>
    <t>CERTIFIED BLOOD GAS: 1%O2/5% CD/BAL NI</t>
  </si>
  <si>
    <t>Comp Air Breathing 310 CF</t>
  </si>
  <si>
    <t>Cyl Nitrogen Medical NF 80 CGA 580</t>
  </si>
  <si>
    <t>Q</t>
  </si>
  <si>
    <t>Helium</t>
  </si>
  <si>
    <t>Helium, 99.999% Purity 6000PSI</t>
  </si>
  <si>
    <t>5 Liters</t>
  </si>
  <si>
    <t>Liquid Nitrogen Medical Grade - 10L DEWAR</t>
  </si>
  <si>
    <t>10 L</t>
  </si>
  <si>
    <t>Liquid Nitrogen, Dewar Fill, 10 liters</t>
  </si>
  <si>
    <t>Liquid Nitrogen, Dewar Fill, 20 liters</t>
  </si>
  <si>
    <t>Liquid Nitrogen, Medical Grade, 180 liter, 350PSI</t>
  </si>
  <si>
    <t>Nitrogen UHP 200</t>
  </si>
  <si>
    <t>Nitrous Oxide • Medical Grade</t>
  </si>
  <si>
    <t>OX USP200</t>
  </si>
  <si>
    <t>OX USPEAWB</t>
  </si>
  <si>
    <t>Oxygen Gaseous</t>
  </si>
  <si>
    <t>OXYGEN USP WOB+DISS INTEGRATED VALVE/REGULATOR Aluminum Tank</t>
  </si>
  <si>
    <t>OXYGEN, COMPRESSED OX 40</t>
  </si>
  <si>
    <t>40 cu ft</t>
  </si>
  <si>
    <t>Oxygen, Gaseous, Medical H</t>
  </si>
  <si>
    <t>Oxygen, Medical / OX USPE</t>
  </si>
  <si>
    <t>30L</t>
  </si>
  <si>
    <t>25L</t>
  </si>
  <si>
    <t>USP Oxygen - Aluminum MRI compatable</t>
  </si>
  <si>
    <t>Type of Gas</t>
  </si>
  <si>
    <t>Size</t>
  </si>
  <si>
    <t>Air Compressed, CGA Type 1, Medical</t>
  </si>
  <si>
    <t>200 L</t>
  </si>
  <si>
    <t>Carbon Dioxide Medical Grade A</t>
  </si>
  <si>
    <t>180 L</t>
  </si>
  <si>
    <t>Liquid Nitrogen, Medical Grade</t>
  </si>
  <si>
    <t>Nitrous Oxide Medical Grade</t>
  </si>
  <si>
    <t>Oxygen Industrial</t>
  </si>
  <si>
    <t>Oxygen Medical (TO2TE WITH BUILT IN REGULATOR)</t>
  </si>
  <si>
    <t>Oxygen Medical / OX USPE</t>
  </si>
  <si>
    <t>Oxygen Medical Grade</t>
  </si>
  <si>
    <t>Oxygen Ultra High Purity, Size 300</t>
  </si>
  <si>
    <t>(GFE) Liquid Nitrogen, Size 25 LTRS (NI GMPDEWARFILL25L)</t>
  </si>
  <si>
    <t>OX USPEA - Oxygen USP, Size EA (ALUMINUM)</t>
  </si>
  <si>
    <t>AIR USP, Size 200 (AI USP 200)</t>
  </si>
  <si>
    <t>AIR USP, Size 300 (AI USP 300)</t>
  </si>
  <si>
    <t>Carbon Dioxide USP (CD USP20), Size 20LB</t>
  </si>
  <si>
    <t>20LB</t>
  </si>
  <si>
    <t>Helium USP, (HE USP200), Size 200</t>
  </si>
  <si>
    <t>Helium USP, (HE USP200), Size E (Steel)</t>
  </si>
  <si>
    <t>Nitrogen NF (NI NF300), Size 300</t>
  </si>
  <si>
    <t>Nitrogen NF (NI NF200LT22), Size 200-LT 22PSI</t>
  </si>
  <si>
    <t>200LT</t>
  </si>
  <si>
    <t>Nitrogen (NI 125), Size 125</t>
  </si>
  <si>
    <t>Nitrous Oxide USP (NS USP20), Size 20LB</t>
  </si>
  <si>
    <t>Lung Diffusion 0.3% CO/ 0.5% NE/ 21% o2/ BAL NI, (Z04NI7852003012), Size 200</t>
  </si>
  <si>
    <t>5% C02/ 10%H2/ BAL N2-A,Size#200 44 1C ANAEROBIC FLAMMABLE (Z03NI9032000041)</t>
  </si>
  <si>
    <t>Oxygen USP, Size EA MRI Conditional (OX USPEAMRI)</t>
  </si>
  <si>
    <t>10L</t>
  </si>
  <si>
    <t>20 L</t>
  </si>
  <si>
    <t xml:space="preserve">Carbon Dioxide, Medicinal, Grade A </t>
  </si>
  <si>
    <t>50 LB</t>
  </si>
  <si>
    <t>Argon UHP , Size 6K (AR UHP6K)</t>
  </si>
  <si>
    <t>CERTIFIED BLOOD GAS: 1%O2/ 5% CD/ BAL NI</t>
  </si>
  <si>
    <t>AIR USP (AIR USPE) Size E (Steel)</t>
  </si>
  <si>
    <t>623 - MUS</t>
  </si>
  <si>
    <t>Liquid Nitrogen per 10 Liter</t>
  </si>
  <si>
    <t>YR</t>
  </si>
  <si>
    <t>Carbon Dioxide, USP</t>
  </si>
  <si>
    <t>Liquid Nitrogen, Liquid 20L Dewar</t>
  </si>
  <si>
    <t>Oxygen w/ Built-In Regulator MRI Tank</t>
  </si>
  <si>
    <t>Oxygen USP (OX USPEA), Size E (Aluminum - Post Valve)</t>
  </si>
  <si>
    <t>Oxygen USP (OX USPEAWBDS), Size EA with Walk-O2-About Reg Integrated</t>
  </si>
  <si>
    <t>Oxygen USP (OX USPEAWBPlus), Size EA with Walk-O2-About Reg Integrated</t>
  </si>
  <si>
    <t>Oxygen USP, Size EA (Walk-O2-bout) / OX USPEAWBDS</t>
  </si>
  <si>
    <t>Argon (AR UHP300) UHP 300</t>
  </si>
  <si>
    <t>Helium Industrial 200 (HE 200)</t>
  </si>
  <si>
    <t>Air, Compressed, Medicinal Grade, Size E</t>
  </si>
  <si>
    <t>Carbon Dioxide Industrial, Size 50# CGA320</t>
  </si>
  <si>
    <t>Oxygen USP 200, (OX USP200), Size H</t>
  </si>
  <si>
    <t>Oxygen USP, Size E (Aluminum) OX USPEA</t>
  </si>
  <si>
    <t>Oxygen USP, Size E (Walk-O2-About) w/Integrated Reg (OX USPEAWBPlus)</t>
  </si>
  <si>
    <t>Heliox Mix: 70% USP Helium, 30% USP Oxygen, Size 200 (Z02HE7012003041)</t>
  </si>
  <si>
    <t>Heliox Mix: 20% Oxygen, 80% Helium, Size 200 (Z02HE8012003042)</t>
  </si>
  <si>
    <t>Oxygen USP, Size E (Steel) OX USPEA</t>
  </si>
  <si>
    <t>Carbon Dioxide Medical Grade, Size 50LBS w/Siphno (CD USP50S)</t>
  </si>
  <si>
    <t>Nitrous Oxide USP, Size E (Steel) NS USPE</t>
  </si>
  <si>
    <t>Oxygen Industrial Grade, Size 300</t>
  </si>
  <si>
    <t>(GFE) Liquid Nitrogen, Size 25 Liters (NI GMPDEWARFILL25L)</t>
  </si>
  <si>
    <t>Argon Size D (UHP35)</t>
  </si>
  <si>
    <t>Estimated Annual #VA FURNISHED TANKS (G)</t>
  </si>
  <si>
    <t>Estimated Annual CONTRACTOR FURNISHED TANKS (C)</t>
  </si>
  <si>
    <t>Estimated Annual #CONTRACTOR FURNISHED TANKS (C)</t>
  </si>
  <si>
    <t>Loss of Use CLIN (Unpriced CLIN for LOU if needed)</t>
  </si>
  <si>
    <t>Estimated Total Fill Price [(Column C + Column D) * Column F]</t>
  </si>
  <si>
    <t>Estimated Total Fill Price [(Column C + Column D) * Column J]</t>
  </si>
  <si>
    <t>Estimated Total Fill Price [(Column C + Column D) * Column N]</t>
  </si>
  <si>
    <t>Estimated Total Fill Price [(Column C + Column D) * Column R]</t>
  </si>
  <si>
    <t>Estimated Total Fill Price [(Column C + Column D) * Column V]</t>
  </si>
  <si>
    <t>Estimated Total Fill Price[(Column C + Column D) * Column V]</t>
  </si>
  <si>
    <t>Estimated Total Cylinder Rental Fee [(Column C + Column D) * Column H]</t>
  </si>
  <si>
    <t>Estimated Total Cylinder Rental Fee [(Column C + Column D) * Column L]</t>
  </si>
  <si>
    <t>Estimated Total Cylinder Rental Fee [(Column C + Column D) * Column P]</t>
  </si>
  <si>
    <t>Estimated Total Cylinder Rental Fee [(Column C + Column D) * Column T]</t>
  </si>
  <si>
    <t>Estimated Total Cylinder Rental Fee [(Column C + Column D) * Column X]</t>
  </si>
  <si>
    <t>0.3% Carbon Monoxide, 10% Helium, 21% Oxygen, Balance Nitrogen</t>
  </si>
  <si>
    <t>Anaerobic Mix (5-10% CO2/5-10%H2/BAL N2-A #200 44 1C)</t>
  </si>
  <si>
    <t>Liquid Nitrogen, Liquid 30L Dewar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</si>
</sst>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&quot;$&quot;#,##0.0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Bierstadt"/>
      <family val="2"/>
    </font>
    <font>
      <sz val="12"/>
      <name val="Bierstadt"/>
      <family val="2"/>
    </font>
    <font>
      <sz val="12"/>
      <color rgb="FF000000"/>
      <name val="Bierstadt"/>
      <family val="2"/>
    </font>
    <font>
      <b/>
      <sz val="12"/>
      <color theme="1"/>
      <name val="Bierstadt"/>
      <family val="2"/>
    </font>
    <font>
      <b/>
      <sz val="12"/>
      <color theme="0"/>
      <name val="Bierstadt"/>
      <family val="2"/>
    </font>
    <font>
      <b/>
      <sz val="14"/>
      <color theme="0"/>
      <name val="Bierstadt"/>
      <family val="2"/>
    </font>
    <font>
      <sz val="8"/>
      <name val="Calibri"/>
      <family val="2"/>
      <scheme val="minor"/>
    </font>
    <font>
      <sz val="16"/>
      <color theme="1"/>
      <name val="Bierstadt"/>
      <family val="2"/>
    </font>
    <font>
      <b/>
      <sz val="16"/>
      <color theme="1"/>
      <name val="Bierstadt"/>
      <family val="2"/>
    </font>
    <font>
      <sz val="14"/>
      <color theme="1"/>
      <name val="Calibri"/>
      <family val="2"/>
      <scheme val="minor"/>
    </font>
    <font>
      <b/>
      <sz val="22"/>
      <color theme="0"/>
      <name val="Bierstadt"/>
      <family val="2"/>
    </font>
  </fonts>
  <fills count="21">
    <fill>
      <patternFill patternType="none"/>
    </fill>
    <fill>
      <patternFill patternType="gray125"/>
    </fill>
    <fill>
      <patternFill patternType="solid">
        <fgColor theme="8"/>
        <bgColor rgb="FF000000"/>
      </patternFill>
    </fill>
    <fill>
      <patternFill patternType="solid">
        <fgColor theme="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-0.499984740745262"/>
        <bgColor rgb="FF000000"/>
      </patternFill>
    </fill>
    <fill>
      <patternFill patternType="solid">
        <fgColor theme="6" tint="-0.249977111117893"/>
        <bgColor rgb="FF000000"/>
      </patternFill>
    </fill>
    <fill>
      <patternFill patternType="solid">
        <fgColor theme="4" tint="-0.249977111117893"/>
        <bgColor rgb="FF000000"/>
      </patternFill>
    </fill>
    <fill>
      <patternFill patternType="solid">
        <fgColor theme="7" tint="-0.249977111117893"/>
        <bgColor rgb="FF000000"/>
      </patternFill>
    </fill>
    <fill>
      <patternFill patternType="solid">
        <fgColor theme="5" tint="-0.249977111117893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C0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5">
    <xf numFmtId="0" fontId="0" fillId="0" borderId="0" xfId="0"/>
    <xf numFmtId="0" fontId="2" fillId="0" borderId="0" xfId="0" applyFont="1"/>
    <xf numFmtId="44" fontId="2" fillId="0" borderId="0" xfId="1" applyFont="1" applyBorder="1"/>
    <xf numFmtId="0" fontId="3" fillId="0" borderId="0" xfId="0" applyFont="1"/>
    <xf numFmtId="0" fontId="2" fillId="0" borderId="0" xfId="0" applyFont="1" applyAlignment="1">
      <alignment horizontal="right"/>
    </xf>
    <xf numFmtId="44" fontId="2" fillId="0" borderId="0" xfId="1" applyFont="1" applyFill="1" applyBorder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left" wrapText="1"/>
    </xf>
    <xf numFmtId="0" fontId="4" fillId="0" borderId="1" xfId="0" applyFont="1" applyBorder="1"/>
    <xf numFmtId="0" fontId="3" fillId="0" borderId="1" xfId="0" applyFont="1" applyBorder="1" applyAlignment="1">
      <alignment horizontal="left" vertical="center" wrapText="1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  <xf numFmtId="44" fontId="3" fillId="0" borderId="0" xfId="1" applyFont="1" applyFill="1" applyBorder="1" applyAlignment="1">
      <alignment horizontal="center"/>
    </xf>
    <xf numFmtId="44" fontId="2" fillId="0" borderId="0" xfId="0" applyNumberFormat="1" applyFont="1"/>
    <xf numFmtId="44" fontId="6" fillId="2" borderId="0" xfId="1" applyFont="1" applyFill="1" applyBorder="1" applyAlignment="1">
      <alignment horizontal="center" vertical="center" wrapText="1"/>
    </xf>
    <xf numFmtId="44" fontId="6" fillId="7" borderId="0" xfId="1" applyFont="1" applyFill="1" applyBorder="1" applyAlignment="1">
      <alignment horizontal="center" vertical="center" wrapText="1"/>
    </xf>
    <xf numFmtId="44" fontId="6" fillId="8" borderId="0" xfId="1" applyFont="1" applyFill="1" applyBorder="1" applyAlignment="1">
      <alignment horizontal="center" vertical="center" wrapText="1"/>
    </xf>
    <xf numFmtId="44" fontId="6" fillId="9" borderId="0" xfId="1" applyFont="1" applyFill="1" applyBorder="1" applyAlignment="1">
      <alignment horizontal="center" vertical="center" wrapText="1"/>
    </xf>
    <xf numFmtId="44" fontId="6" fillId="10" borderId="0" xfId="1" applyFont="1" applyFill="1" applyBorder="1" applyAlignment="1">
      <alignment horizontal="center" vertical="center" wrapText="1"/>
    </xf>
    <xf numFmtId="0" fontId="6" fillId="6" borderId="0" xfId="0" applyFont="1" applyFill="1" applyAlignment="1">
      <alignment horizontal="center" vertical="center" wrapText="1"/>
    </xf>
    <xf numFmtId="44" fontId="5" fillId="5" borderId="4" xfId="1" applyFont="1" applyFill="1" applyBorder="1"/>
    <xf numFmtId="44" fontId="5" fillId="5" borderId="5" xfId="1" applyFont="1" applyFill="1" applyBorder="1"/>
    <xf numFmtId="0" fontId="2" fillId="0" borderId="10" xfId="0" applyFont="1" applyBorder="1"/>
    <xf numFmtId="0" fontId="3" fillId="0" borderId="9" xfId="0" applyFont="1" applyBorder="1" applyAlignment="1">
      <alignment horizontal="left" wrapText="1"/>
    </xf>
    <xf numFmtId="0" fontId="3" fillId="0" borderId="9" xfId="0" applyFont="1" applyBorder="1"/>
    <xf numFmtId="0" fontId="3" fillId="0" borderId="9" xfId="0" applyFont="1" applyBorder="1" applyAlignment="1">
      <alignment wrapText="1"/>
    </xf>
    <xf numFmtId="0" fontId="4" fillId="0" borderId="9" xfId="0" applyFont="1" applyBorder="1" applyAlignment="1">
      <alignment wrapText="1"/>
    </xf>
    <xf numFmtId="0" fontId="4" fillId="0" borderId="9" xfId="0" applyFont="1" applyBorder="1" applyAlignment="1">
      <alignment horizontal="left" wrapText="1"/>
    </xf>
    <xf numFmtId="0" fontId="2" fillId="0" borderId="9" xfId="0" applyFont="1" applyBorder="1"/>
    <xf numFmtId="0" fontId="2" fillId="0" borderId="11" xfId="0" applyFont="1" applyBorder="1"/>
    <xf numFmtId="0" fontId="2" fillId="0" borderId="13" xfId="0" applyFont="1" applyBorder="1"/>
    <xf numFmtId="44" fontId="2" fillId="0" borderId="9" xfId="1" applyFont="1" applyBorder="1"/>
    <xf numFmtId="44" fontId="2" fillId="0" borderId="9" xfId="1" applyFont="1" applyFill="1" applyBorder="1"/>
    <xf numFmtId="44" fontId="2" fillId="5" borderId="3" xfId="1" applyFont="1" applyFill="1" applyBorder="1"/>
    <xf numFmtId="44" fontId="2" fillId="0" borderId="10" xfId="1" applyFont="1" applyFill="1" applyBorder="1"/>
    <xf numFmtId="44" fontId="2" fillId="0" borderId="9" xfId="0" applyNumberFormat="1" applyFont="1" applyBorder="1"/>
    <xf numFmtId="44" fontId="2" fillId="0" borderId="10" xfId="0" applyNumberFormat="1" applyFont="1" applyBorder="1"/>
    <xf numFmtId="0" fontId="7" fillId="12" borderId="6" xfId="0" applyFont="1" applyFill="1" applyBorder="1"/>
    <xf numFmtId="0" fontId="7" fillId="12" borderId="7" xfId="0" applyFont="1" applyFill="1" applyBorder="1"/>
    <xf numFmtId="0" fontId="7" fillId="12" borderId="8" xfId="0" applyFont="1" applyFill="1" applyBorder="1"/>
    <xf numFmtId="0" fontId="2" fillId="5" borderId="7" xfId="0" applyFont="1" applyFill="1" applyBorder="1"/>
    <xf numFmtId="44" fontId="2" fillId="5" borderId="7" xfId="1" applyFont="1" applyFill="1" applyBorder="1"/>
    <xf numFmtId="44" fontId="2" fillId="0" borderId="7" xfId="1" applyFont="1" applyFill="1" applyBorder="1"/>
    <xf numFmtId="0" fontId="4" fillId="0" borderId="9" xfId="0" applyFont="1" applyBorder="1" applyAlignment="1">
      <alignment vertical="center" wrapText="1"/>
    </xf>
    <xf numFmtId="0" fontId="3" fillId="0" borderId="9" xfId="0" applyFont="1" applyBorder="1" applyAlignment="1">
      <alignment horizontal="left" vertical="center"/>
    </xf>
    <xf numFmtId="0" fontId="3" fillId="0" borderId="9" xfId="0" applyFont="1" applyBorder="1" applyAlignment="1">
      <alignment vertical="center" wrapText="1"/>
    </xf>
    <xf numFmtId="44" fontId="2" fillId="0" borderId="9" xfId="1" applyFont="1" applyFill="1" applyBorder="1" applyAlignment="1"/>
    <xf numFmtId="44" fontId="3" fillId="0" borderId="9" xfId="1" applyFont="1" applyFill="1" applyBorder="1" applyAlignment="1"/>
    <xf numFmtId="44" fontId="2" fillId="5" borderId="6" xfId="1" applyFont="1" applyFill="1" applyBorder="1"/>
    <xf numFmtId="44" fontId="2" fillId="5" borderId="8" xfId="1" applyFont="1" applyFill="1" applyBorder="1"/>
    <xf numFmtId="44" fontId="2" fillId="0" borderId="6" xfId="1" applyFont="1" applyFill="1" applyBorder="1"/>
    <xf numFmtId="44" fontId="2" fillId="0" borderId="8" xfId="1" applyFont="1" applyFill="1" applyBorder="1"/>
    <xf numFmtId="0" fontId="9" fillId="13" borderId="3" xfId="0" applyFont="1" applyFill="1" applyBorder="1"/>
    <xf numFmtId="0" fontId="9" fillId="13" borderId="4" xfId="0" applyFont="1" applyFill="1" applyBorder="1"/>
    <xf numFmtId="44" fontId="9" fillId="13" borderId="4" xfId="1" applyFont="1" applyFill="1" applyBorder="1"/>
    <xf numFmtId="0" fontId="10" fillId="13" borderId="4" xfId="0" applyFont="1" applyFill="1" applyBorder="1" applyAlignment="1">
      <alignment horizontal="right"/>
    </xf>
    <xf numFmtId="44" fontId="10" fillId="13" borderId="5" xfId="0" applyNumberFormat="1" applyFont="1" applyFill="1" applyBorder="1"/>
    <xf numFmtId="0" fontId="2" fillId="5" borderId="6" xfId="0" applyFont="1" applyFill="1" applyBorder="1"/>
    <xf numFmtId="0" fontId="2" fillId="0" borderId="10" xfId="0" applyFont="1" applyBorder="1" applyAlignment="1">
      <alignment horizontal="center" vertical="center"/>
    </xf>
    <xf numFmtId="0" fontId="3" fillId="0" borderId="11" xfId="0" applyFont="1" applyBorder="1"/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44" fontId="5" fillId="14" borderId="11" xfId="1" applyFont="1" applyFill="1" applyBorder="1"/>
    <xf numFmtId="44" fontId="5" fillId="14" borderId="12" xfId="1" applyFont="1" applyFill="1" applyBorder="1" applyAlignment="1">
      <alignment vertical="center"/>
    </xf>
    <xf numFmtId="44" fontId="5" fillId="14" borderId="13" xfId="1" applyFont="1" applyFill="1" applyBorder="1" applyAlignment="1">
      <alignment vertical="center"/>
    </xf>
    <xf numFmtId="0" fontId="5" fillId="14" borderId="11" xfId="0" applyFont="1" applyFill="1" applyBorder="1"/>
    <xf numFmtId="0" fontId="5" fillId="14" borderId="12" xfId="0" applyFont="1" applyFill="1" applyBorder="1"/>
    <xf numFmtId="0" fontId="5" fillId="14" borderId="12" xfId="0" applyFont="1" applyFill="1" applyBorder="1" applyAlignment="1">
      <alignment vertical="center"/>
    </xf>
    <xf numFmtId="0" fontId="5" fillId="14" borderId="13" xfId="0" applyFont="1" applyFill="1" applyBorder="1" applyAlignment="1">
      <alignment horizontal="right" vertical="center"/>
    </xf>
    <xf numFmtId="0" fontId="9" fillId="13" borderId="11" xfId="0" applyFont="1" applyFill="1" applyBorder="1"/>
    <xf numFmtId="0" fontId="9" fillId="13" borderId="12" xfId="0" applyFont="1" applyFill="1" applyBorder="1"/>
    <xf numFmtId="44" fontId="9" fillId="13" borderId="12" xfId="1" applyFont="1" applyFill="1" applyBorder="1"/>
    <xf numFmtId="0" fontId="10" fillId="13" borderId="12" xfId="0" applyFont="1" applyFill="1" applyBorder="1" applyAlignment="1">
      <alignment horizontal="right"/>
    </xf>
    <xf numFmtId="44" fontId="10" fillId="13" borderId="13" xfId="0" applyNumberFormat="1" applyFont="1" applyFill="1" applyBorder="1"/>
    <xf numFmtId="0" fontId="3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 wrapText="1"/>
    </xf>
    <xf numFmtId="0" fontId="7" fillId="3" borderId="14" xfId="0" applyFont="1" applyFill="1" applyBorder="1" applyAlignment="1">
      <alignment horizontal="center"/>
    </xf>
    <xf numFmtId="0" fontId="7" fillId="3" borderId="7" xfId="0" applyFont="1" applyFill="1" applyBorder="1" applyAlignment="1">
      <alignment wrapText="1"/>
    </xf>
    <xf numFmtId="0" fontId="2" fillId="3" borderId="7" xfId="0" applyFont="1" applyFill="1" applyBorder="1" applyAlignment="1">
      <alignment horizontal="right"/>
    </xf>
    <xf numFmtId="0" fontId="7" fillId="3" borderId="15" xfId="0" applyFont="1" applyFill="1" applyBorder="1" applyAlignment="1">
      <alignment horizontal="center"/>
    </xf>
    <xf numFmtId="0" fontId="7" fillId="3" borderId="12" xfId="0" applyFont="1" applyFill="1" applyBorder="1" applyAlignment="1">
      <alignment horizontal="center" wrapText="1"/>
    </xf>
    <xf numFmtId="0" fontId="7" fillId="3" borderId="12" xfId="0" applyFont="1" applyFill="1" applyBorder="1" applyAlignment="1">
      <alignment horizontal="center"/>
    </xf>
    <xf numFmtId="0" fontId="2" fillId="3" borderId="14" xfId="0" applyFont="1" applyFill="1" applyBorder="1" applyAlignment="1">
      <alignment horizontal="right"/>
    </xf>
    <xf numFmtId="164" fontId="5" fillId="11" borderId="4" xfId="0" applyNumberFormat="1" applyFont="1" applyFill="1" applyBorder="1"/>
    <xf numFmtId="0" fontId="5" fillId="11" borderId="18" xfId="0" applyFont="1" applyFill="1" applyBorder="1" applyAlignment="1">
      <alignment horizontal="center"/>
    </xf>
    <xf numFmtId="0" fontId="5" fillId="11" borderId="17" xfId="0" applyFont="1" applyFill="1" applyBorder="1" applyAlignment="1">
      <alignment horizontal="center"/>
    </xf>
    <xf numFmtId="0" fontId="5" fillId="11" borderId="23" xfId="0" applyFont="1" applyFill="1" applyBorder="1" applyAlignment="1">
      <alignment horizontal="center"/>
    </xf>
    <xf numFmtId="44" fontId="2" fillId="0" borderId="20" xfId="1" applyFont="1" applyFill="1" applyBorder="1" applyAlignment="1">
      <alignment vertical="center"/>
    </xf>
    <xf numFmtId="44" fontId="2" fillId="0" borderId="21" xfId="1" applyFont="1" applyFill="1" applyBorder="1" applyAlignment="1">
      <alignment vertical="center"/>
    </xf>
    <xf numFmtId="44" fontId="2" fillId="0" borderId="18" xfId="0" applyNumberFormat="1" applyFont="1" applyBorder="1" applyAlignment="1">
      <alignment horizontal="right"/>
    </xf>
    <xf numFmtId="44" fontId="2" fillId="0" borderId="1" xfId="1" applyFont="1" applyFill="1" applyBorder="1" applyAlignment="1">
      <alignment vertical="center"/>
    </xf>
    <xf numFmtId="44" fontId="2" fillId="0" borderId="22" xfId="1" applyFont="1" applyFill="1" applyBorder="1" applyAlignment="1">
      <alignment vertical="center"/>
    </xf>
    <xf numFmtId="44" fontId="2" fillId="0" borderId="17" xfId="0" applyNumberFormat="1" applyFont="1" applyBorder="1" applyAlignment="1">
      <alignment horizontal="right"/>
    </xf>
    <xf numFmtId="44" fontId="2" fillId="0" borderId="25" xfId="1" applyFont="1" applyFill="1" applyBorder="1" applyAlignment="1">
      <alignment vertical="center"/>
    </xf>
    <xf numFmtId="44" fontId="2" fillId="0" borderId="26" xfId="1" applyFont="1" applyFill="1" applyBorder="1" applyAlignment="1">
      <alignment vertical="center"/>
    </xf>
    <xf numFmtId="44" fontId="2" fillId="0" borderId="23" xfId="0" applyNumberFormat="1" applyFont="1" applyBorder="1" applyAlignment="1">
      <alignment horizontal="right"/>
    </xf>
    <xf numFmtId="0" fontId="5" fillId="11" borderId="2" xfId="0" applyFont="1" applyFill="1" applyBorder="1"/>
    <xf numFmtId="0" fontId="7" fillId="4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wrapText="1"/>
    </xf>
    <xf numFmtId="0" fontId="11" fillId="0" borderId="0" xfId="0" applyFont="1" applyAlignment="1">
      <alignment wrapText="1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left" wrapText="1"/>
    </xf>
    <xf numFmtId="49" fontId="3" fillId="0" borderId="1" xfId="0" applyNumberFormat="1" applyFont="1" applyBorder="1" applyAlignment="1">
      <alignment wrapText="1"/>
    </xf>
    <xf numFmtId="0" fontId="3" fillId="0" borderId="9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center"/>
    </xf>
    <xf numFmtId="3" fontId="7" fillId="12" borderId="7" xfId="0" applyNumberFormat="1" applyFont="1" applyFill="1" applyBorder="1"/>
    <xf numFmtId="3" fontId="9" fillId="13" borderId="4" xfId="0" applyNumberFormat="1" applyFont="1" applyFill="1" applyBorder="1"/>
    <xf numFmtId="0" fontId="7" fillId="12" borderId="7" xfId="0" applyFont="1" applyFill="1" applyBorder="1" applyAlignment="1">
      <alignment horizontal="center"/>
    </xf>
    <xf numFmtId="0" fontId="7" fillId="12" borderId="8" xfId="0" applyFont="1" applyFill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5" fillId="14" borderId="12" xfId="0" applyFont="1" applyFill="1" applyBorder="1" applyAlignment="1">
      <alignment horizontal="center" vertical="center"/>
    </xf>
    <xf numFmtId="0" fontId="9" fillId="13" borderId="12" xfId="0" applyFont="1" applyFill="1" applyBorder="1" applyAlignment="1">
      <alignment horizontal="center"/>
    </xf>
    <xf numFmtId="44" fontId="2" fillId="20" borderId="19" xfId="1" applyFont="1" applyFill="1" applyBorder="1" applyAlignment="1">
      <alignment vertical="center"/>
    </xf>
    <xf numFmtId="44" fontId="2" fillId="20" borderId="16" xfId="1" applyFont="1" applyFill="1" applyBorder="1" applyAlignment="1">
      <alignment vertical="center"/>
    </xf>
    <xf numFmtId="44" fontId="2" fillId="20" borderId="24" xfId="1" applyFont="1" applyFill="1" applyBorder="1" applyAlignment="1">
      <alignment vertical="center"/>
    </xf>
    <xf numFmtId="44" fontId="3" fillId="0" borderId="9" xfId="1" applyFont="1" applyFill="1" applyBorder="1" applyAlignment="1">
      <alignment horizontal="center"/>
    </xf>
    <xf numFmtId="44" fontId="3" fillId="0" borderId="0" xfId="1" applyFont="1" applyFill="1" applyBorder="1"/>
    <xf numFmtId="44" fontId="3" fillId="0" borderId="10" xfId="0" applyNumberFormat="1" applyFont="1" applyBorder="1"/>
    <xf numFmtId="44" fontId="3" fillId="0" borderId="9" xfId="1" applyFont="1" applyFill="1" applyBorder="1"/>
    <xf numFmtId="44" fontId="3" fillId="0" borderId="10" xfId="1" applyFont="1" applyFill="1" applyBorder="1"/>
    <xf numFmtId="44" fontId="3" fillId="0" borderId="9" xfId="0" applyNumberFormat="1" applyFont="1" applyBorder="1"/>
    <xf numFmtId="0" fontId="3" fillId="0" borderId="10" xfId="0" applyFont="1" applyBorder="1" applyAlignment="1">
      <alignment horizontal="center" vertical="center" wrapText="1"/>
    </xf>
    <xf numFmtId="44" fontId="6" fillId="2" borderId="9" xfId="1" applyFont="1" applyFill="1" applyBorder="1" applyAlignment="1">
      <alignment horizontal="center" vertical="center" wrapText="1"/>
    </xf>
    <xf numFmtId="44" fontId="6" fillId="2" borderId="10" xfId="1" applyFont="1" applyFill="1" applyBorder="1" applyAlignment="1">
      <alignment horizontal="center" vertical="center" wrapText="1"/>
    </xf>
    <xf numFmtId="0" fontId="7" fillId="6" borderId="9" xfId="0" applyFont="1" applyFill="1" applyBorder="1" applyAlignment="1">
      <alignment horizontal="center" vertical="center"/>
    </xf>
    <xf numFmtId="0" fontId="6" fillId="6" borderId="10" xfId="0" applyFont="1" applyFill="1" applyBorder="1" applyAlignment="1">
      <alignment horizontal="center" vertical="center" wrapText="1"/>
    </xf>
    <xf numFmtId="44" fontId="6" fillId="7" borderId="9" xfId="1" applyFont="1" applyFill="1" applyBorder="1" applyAlignment="1">
      <alignment horizontal="center" vertical="center" wrapText="1"/>
    </xf>
    <xf numFmtId="44" fontId="6" fillId="7" borderId="10" xfId="1" applyFont="1" applyFill="1" applyBorder="1" applyAlignment="1">
      <alignment horizontal="center" vertical="center" wrapText="1"/>
    </xf>
    <xf numFmtId="44" fontId="6" fillId="10" borderId="9" xfId="1" applyFont="1" applyFill="1" applyBorder="1" applyAlignment="1">
      <alignment horizontal="center" vertical="center" wrapText="1"/>
    </xf>
    <xf numFmtId="44" fontId="6" fillId="10" borderId="10" xfId="1" applyFont="1" applyFill="1" applyBorder="1" applyAlignment="1">
      <alignment horizontal="center" vertical="center" wrapText="1"/>
    </xf>
    <xf numFmtId="44" fontId="6" fillId="8" borderId="9" xfId="1" applyFont="1" applyFill="1" applyBorder="1" applyAlignment="1">
      <alignment horizontal="center" vertical="center" wrapText="1"/>
    </xf>
    <xf numFmtId="44" fontId="6" fillId="8" borderId="10" xfId="1" applyFont="1" applyFill="1" applyBorder="1" applyAlignment="1">
      <alignment horizontal="center" vertical="center" wrapText="1"/>
    </xf>
    <xf numFmtId="44" fontId="6" fillId="9" borderId="9" xfId="1" applyFont="1" applyFill="1" applyBorder="1" applyAlignment="1">
      <alignment horizontal="center" vertical="center" wrapText="1"/>
    </xf>
    <xf numFmtId="44" fontId="6" fillId="9" borderId="10" xfId="1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6" fillId="0" borderId="0" xfId="0" applyFont="1"/>
    <xf numFmtId="44" fontId="3" fillId="0" borderId="0" xfId="0" applyNumberFormat="1" applyFont="1"/>
    <xf numFmtId="3" fontId="2" fillId="0" borderId="0" xfId="0" applyNumberFormat="1" applyFont="1" applyAlignment="1">
      <alignment horizontal="center"/>
    </xf>
    <xf numFmtId="0" fontId="6" fillId="6" borderId="0" xfId="0" applyFont="1" applyFill="1" applyAlignment="1">
      <alignment horizontal="center" wrapText="1"/>
    </xf>
    <xf numFmtId="44" fontId="6" fillId="2" borderId="0" xfId="1" applyFont="1" applyFill="1" applyBorder="1" applyAlignment="1">
      <alignment horizontal="center" wrapText="1"/>
    </xf>
    <xf numFmtId="44" fontId="6" fillId="7" borderId="0" xfId="1" applyFont="1" applyFill="1" applyBorder="1" applyAlignment="1">
      <alignment horizontal="center" wrapText="1"/>
    </xf>
    <xf numFmtId="44" fontId="6" fillId="8" borderId="0" xfId="1" applyFont="1" applyFill="1" applyBorder="1" applyAlignment="1">
      <alignment horizontal="center" wrapText="1"/>
    </xf>
    <xf numFmtId="44" fontId="6" fillId="9" borderId="0" xfId="1" applyFont="1" applyFill="1" applyBorder="1" applyAlignment="1">
      <alignment horizontal="center" wrapText="1"/>
    </xf>
    <xf numFmtId="44" fontId="6" fillId="10" borderId="0" xfId="1" applyFont="1" applyFill="1" applyBorder="1" applyAlignment="1">
      <alignment horizontal="center" wrapText="1"/>
    </xf>
    <xf numFmtId="0" fontId="7" fillId="6" borderId="9" xfId="0" applyFont="1" applyFill="1" applyBorder="1" applyAlignment="1">
      <alignment horizontal="center"/>
    </xf>
    <xf numFmtId="0" fontId="6" fillId="6" borderId="10" xfId="0" applyFont="1" applyFill="1" applyBorder="1" applyAlignment="1">
      <alignment horizontal="center" wrapText="1"/>
    </xf>
    <xf numFmtId="0" fontId="7" fillId="6" borderId="10" xfId="0" applyFont="1" applyFill="1" applyBorder="1" applyAlignment="1">
      <alignment horizontal="center"/>
    </xf>
    <xf numFmtId="44" fontId="6" fillId="2" borderId="9" xfId="1" applyFont="1" applyFill="1" applyBorder="1" applyAlignment="1">
      <alignment horizontal="center" wrapText="1"/>
    </xf>
    <xf numFmtId="44" fontId="6" fillId="2" borderId="10" xfId="1" applyFont="1" applyFill="1" applyBorder="1" applyAlignment="1">
      <alignment horizontal="center" wrapText="1"/>
    </xf>
    <xf numFmtId="0" fontId="5" fillId="5" borderId="3" xfId="0" applyFont="1" applyFill="1" applyBorder="1"/>
    <xf numFmtId="0" fontId="5" fillId="5" borderId="4" xfId="0" applyFont="1" applyFill="1" applyBorder="1"/>
    <xf numFmtId="0" fontId="2" fillId="5" borderId="4" xfId="0" applyFont="1" applyFill="1" applyBorder="1"/>
    <xf numFmtId="0" fontId="5" fillId="5" borderId="5" xfId="0" applyFont="1" applyFill="1" applyBorder="1" applyAlignment="1">
      <alignment horizontal="right" vertical="center"/>
    </xf>
    <xf numFmtId="0" fontId="5" fillId="14" borderId="3" xfId="0" applyFont="1" applyFill="1" applyBorder="1"/>
    <xf numFmtId="0" fontId="5" fillId="14" borderId="4" xfId="0" applyFont="1" applyFill="1" applyBorder="1"/>
    <xf numFmtId="0" fontId="5" fillId="14" borderId="4" xfId="0" applyFont="1" applyFill="1" applyBorder="1" applyAlignment="1">
      <alignment vertical="center"/>
    </xf>
    <xf numFmtId="0" fontId="5" fillId="14" borderId="5" xfId="0" applyFont="1" applyFill="1" applyBorder="1" applyAlignment="1">
      <alignment horizontal="right" vertical="center"/>
    </xf>
    <xf numFmtId="44" fontId="5" fillId="14" borderId="3" xfId="1" applyFont="1" applyFill="1" applyBorder="1"/>
    <xf numFmtId="44" fontId="5" fillId="14" borderId="4" xfId="1" applyFont="1" applyFill="1" applyBorder="1" applyAlignment="1">
      <alignment vertical="center"/>
    </xf>
    <xf numFmtId="44" fontId="5" fillId="14" borderId="5" xfId="1" applyFont="1" applyFill="1" applyBorder="1" applyAlignment="1">
      <alignment vertical="center"/>
    </xf>
    <xf numFmtId="44" fontId="5" fillId="14" borderId="4" xfId="1" applyFont="1" applyFill="1" applyBorder="1"/>
    <xf numFmtId="44" fontId="6" fillId="10" borderId="9" xfId="1" applyFont="1" applyFill="1" applyBorder="1" applyAlignment="1">
      <alignment horizontal="center" wrapText="1"/>
    </xf>
    <xf numFmtId="44" fontId="6" fillId="10" borderId="10" xfId="1" applyFont="1" applyFill="1" applyBorder="1" applyAlignment="1">
      <alignment horizontal="center" wrapText="1"/>
    </xf>
    <xf numFmtId="44" fontId="6" fillId="9" borderId="9" xfId="1" applyFont="1" applyFill="1" applyBorder="1" applyAlignment="1">
      <alignment horizontal="center" wrapText="1"/>
    </xf>
    <xf numFmtId="44" fontId="6" fillId="9" borderId="10" xfId="1" applyFont="1" applyFill="1" applyBorder="1" applyAlignment="1">
      <alignment horizontal="center" wrapText="1"/>
    </xf>
    <xf numFmtId="44" fontId="6" fillId="8" borderId="9" xfId="1" applyFont="1" applyFill="1" applyBorder="1" applyAlignment="1">
      <alignment horizontal="center" wrapText="1"/>
    </xf>
    <xf numFmtId="44" fontId="6" fillId="8" borderId="10" xfId="1" applyFont="1" applyFill="1" applyBorder="1" applyAlignment="1">
      <alignment horizontal="center" wrapText="1"/>
    </xf>
    <xf numFmtId="44" fontId="6" fillId="7" borderId="9" xfId="1" applyFont="1" applyFill="1" applyBorder="1" applyAlignment="1">
      <alignment horizontal="center" wrapText="1"/>
    </xf>
    <xf numFmtId="44" fontId="6" fillId="7" borderId="10" xfId="1" applyFont="1" applyFill="1" applyBorder="1" applyAlignment="1">
      <alignment horizontal="center" wrapText="1"/>
    </xf>
    <xf numFmtId="0" fontId="7" fillId="6" borderId="10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right" vertical="center"/>
    </xf>
    <xf numFmtId="0" fontId="5" fillId="14" borderId="4" xfId="0" applyFont="1" applyFill="1" applyBorder="1" applyAlignment="1">
      <alignment horizontal="right" vertical="center"/>
    </xf>
    <xf numFmtId="3" fontId="2" fillId="0" borderId="0" xfId="0" applyNumberFormat="1" applyFont="1"/>
    <xf numFmtId="3" fontId="5" fillId="5" borderId="4" xfId="0" applyNumberFormat="1" applyFont="1" applyFill="1" applyBorder="1"/>
    <xf numFmtId="3" fontId="5" fillId="14" borderId="4" xfId="0" applyNumberFormat="1" applyFont="1" applyFill="1" applyBorder="1" applyAlignment="1">
      <alignment vertical="center"/>
    </xf>
    <xf numFmtId="3" fontId="2" fillId="0" borderId="12" xfId="0" applyNumberFormat="1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 wrapText="1"/>
    </xf>
    <xf numFmtId="0" fontId="4" fillId="0" borderId="10" xfId="0" applyFont="1" applyBorder="1" applyAlignment="1">
      <alignment horizontal="center" wrapText="1"/>
    </xf>
    <xf numFmtId="0" fontId="2" fillId="5" borderId="8" xfId="0" applyFont="1" applyFill="1" applyBorder="1" applyAlignment="1">
      <alignment horizontal="right" vertical="center"/>
    </xf>
    <xf numFmtId="0" fontId="2" fillId="13" borderId="11" xfId="0" applyFont="1" applyFill="1" applyBorder="1"/>
    <xf numFmtId="0" fontId="2" fillId="13" borderId="12" xfId="0" applyFont="1" applyFill="1" applyBorder="1"/>
    <xf numFmtId="44" fontId="2" fillId="13" borderId="12" xfId="1" applyFont="1" applyFill="1" applyBorder="1"/>
    <xf numFmtId="44" fontId="5" fillId="14" borderId="5" xfId="1" applyFont="1" applyFill="1" applyBorder="1"/>
    <xf numFmtId="0" fontId="2" fillId="14" borderId="3" xfId="0" applyFont="1" applyFill="1" applyBorder="1"/>
    <xf numFmtId="0" fontId="2" fillId="14" borderId="4" xfId="0" applyFont="1" applyFill="1" applyBorder="1"/>
    <xf numFmtId="0" fontId="3" fillId="0" borderId="9" xfId="0" applyFont="1" applyBorder="1" applyAlignment="1">
      <alignment horizontal="left" vertical="top"/>
    </xf>
    <xf numFmtId="0" fontId="5" fillId="5" borderId="4" xfId="0" applyFont="1" applyFill="1" applyBorder="1" applyAlignment="1">
      <alignment horizontal="center"/>
    </xf>
    <xf numFmtId="0" fontId="3" fillId="0" borderId="10" xfId="0" applyFont="1" applyBorder="1" applyAlignment="1">
      <alignment horizontal="center" vertical="top"/>
    </xf>
    <xf numFmtId="0" fontId="4" fillId="0" borderId="10" xfId="0" applyFont="1" applyBorder="1" applyAlignment="1">
      <alignment horizontal="center"/>
    </xf>
    <xf numFmtId="0" fontId="3" fillId="0" borderId="6" xfId="0" applyFont="1" applyBorder="1" applyAlignment="1">
      <alignment horizontal="left" wrapText="1"/>
    </xf>
    <xf numFmtId="0" fontId="2" fillId="0" borderId="7" xfId="0" applyFont="1" applyBorder="1" applyAlignment="1">
      <alignment horizontal="center"/>
    </xf>
    <xf numFmtId="0" fontId="2" fillId="0" borderId="7" xfId="0" applyFont="1" applyBorder="1"/>
    <xf numFmtId="44" fontId="2" fillId="0" borderId="8" xfId="0" applyNumberFormat="1" applyFont="1" applyBorder="1"/>
    <xf numFmtId="0" fontId="3" fillId="0" borderId="9" xfId="0" applyFont="1" applyBorder="1" applyAlignment="1">
      <alignment horizontal="left"/>
    </xf>
    <xf numFmtId="0" fontId="4" fillId="0" borderId="9" xfId="0" applyFont="1" applyBorder="1"/>
    <xf numFmtId="0" fontId="3" fillId="0" borderId="9" xfId="0" applyFont="1" applyBorder="1" applyAlignment="1">
      <alignment vertical="center"/>
    </xf>
    <xf numFmtId="44" fontId="4" fillId="0" borderId="9" xfId="1" applyFont="1" applyFill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3" fillId="0" borderId="8" xfId="0" applyFont="1" applyBorder="1" applyAlignment="1">
      <alignment horizontal="center" wrapText="1"/>
    </xf>
    <xf numFmtId="0" fontId="5" fillId="5" borderId="5" xfId="0" applyFont="1" applyFill="1" applyBorder="1" applyAlignment="1">
      <alignment horizontal="center" vertical="center"/>
    </xf>
    <xf numFmtId="3" fontId="6" fillId="6" borderId="0" xfId="0" applyNumberFormat="1" applyFont="1" applyFill="1" applyAlignment="1">
      <alignment horizontal="center" wrapText="1"/>
    </xf>
    <xf numFmtId="0" fontId="7" fillId="12" borderId="9" xfId="0" applyFont="1" applyFill="1" applyBorder="1" applyAlignment="1">
      <alignment horizontal="center" vertical="center"/>
    </xf>
    <xf numFmtId="164" fontId="5" fillId="13" borderId="14" xfId="0" applyNumberFormat="1" applyFont="1" applyFill="1" applyBorder="1" applyAlignment="1">
      <alignment horizontal="center"/>
    </xf>
    <xf numFmtId="164" fontId="5" fillId="13" borderId="15" xfId="0" applyNumberFormat="1" applyFont="1" applyFill="1" applyBorder="1" applyAlignment="1">
      <alignment horizontal="center"/>
    </xf>
    <xf numFmtId="0" fontId="5" fillId="13" borderId="3" xfId="0" applyFont="1" applyFill="1" applyBorder="1" applyAlignment="1">
      <alignment horizontal="right"/>
    </xf>
    <xf numFmtId="0" fontId="5" fillId="13" borderId="4" xfId="0" applyFont="1" applyFill="1" applyBorder="1" applyAlignment="1">
      <alignment horizontal="right"/>
    </xf>
    <xf numFmtId="0" fontId="12" fillId="3" borderId="12" xfId="0" applyFont="1" applyFill="1" applyBorder="1" applyAlignment="1">
      <alignment horizontal="center" vertical="center"/>
    </xf>
    <xf numFmtId="44" fontId="7" fillId="15" borderId="6" xfId="1" applyFont="1" applyFill="1" applyBorder="1" applyAlignment="1">
      <alignment horizontal="center"/>
    </xf>
    <xf numFmtId="44" fontId="7" fillId="15" borderId="7" xfId="1" applyFont="1" applyFill="1" applyBorder="1" applyAlignment="1">
      <alignment horizontal="center"/>
    </xf>
    <xf numFmtId="44" fontId="7" fillId="15" borderId="8" xfId="1" applyFont="1" applyFill="1" applyBorder="1" applyAlignment="1">
      <alignment horizontal="center"/>
    </xf>
    <xf numFmtId="44" fontId="7" fillId="16" borderId="6" xfId="1" applyFont="1" applyFill="1" applyBorder="1" applyAlignment="1">
      <alignment horizontal="center"/>
    </xf>
    <xf numFmtId="44" fontId="7" fillId="16" borderId="7" xfId="1" applyFont="1" applyFill="1" applyBorder="1" applyAlignment="1">
      <alignment horizontal="center"/>
    </xf>
    <xf numFmtId="44" fontId="7" fillId="16" borderId="8" xfId="1" applyFont="1" applyFill="1" applyBorder="1" applyAlignment="1">
      <alignment horizontal="center"/>
    </xf>
    <xf numFmtId="44" fontId="7" fillId="17" borderId="6" xfId="1" applyFont="1" applyFill="1" applyBorder="1" applyAlignment="1">
      <alignment horizontal="center"/>
    </xf>
    <xf numFmtId="44" fontId="7" fillId="17" borderId="7" xfId="1" applyFont="1" applyFill="1" applyBorder="1" applyAlignment="1">
      <alignment horizontal="center"/>
    </xf>
    <xf numFmtId="44" fontId="7" fillId="17" borderId="8" xfId="1" applyFont="1" applyFill="1" applyBorder="1" applyAlignment="1">
      <alignment horizontal="center"/>
    </xf>
    <xf numFmtId="44" fontId="7" fillId="18" borderId="6" xfId="1" applyFont="1" applyFill="1" applyBorder="1" applyAlignment="1">
      <alignment horizontal="center"/>
    </xf>
    <xf numFmtId="44" fontId="7" fillId="18" borderId="7" xfId="1" applyFont="1" applyFill="1" applyBorder="1" applyAlignment="1">
      <alignment horizontal="center"/>
    </xf>
    <xf numFmtId="44" fontId="7" fillId="18" borderId="8" xfId="1" applyFont="1" applyFill="1" applyBorder="1" applyAlignment="1">
      <alignment horizontal="center"/>
    </xf>
    <xf numFmtId="44" fontId="7" fillId="19" borderId="6" xfId="1" applyFont="1" applyFill="1" applyBorder="1" applyAlignment="1">
      <alignment horizontal="center"/>
    </xf>
    <xf numFmtId="44" fontId="7" fillId="19" borderId="7" xfId="1" applyFont="1" applyFill="1" applyBorder="1" applyAlignment="1">
      <alignment horizontal="center"/>
    </xf>
    <xf numFmtId="44" fontId="7" fillId="19" borderId="8" xfId="1" applyFont="1" applyFill="1" applyBorder="1" applyAlignment="1">
      <alignment horizontal="center"/>
    </xf>
    <xf numFmtId="44" fontId="2" fillId="0" borderId="0" xfId="0" applyNumberFormat="1" applyFont="1" applyAlignment="1">
      <alignment horizontal="center"/>
    </xf>
    <xf numFmtId="44" fontId="2" fillId="0" borderId="0" xfId="1" applyFont="1" applyBorder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Aspect">
      <a:dk1>
        <a:sysClr val="windowText" lastClr="000000"/>
      </a:dk1>
      <a:lt1>
        <a:sysClr val="window" lastClr="FFFFFF"/>
      </a:lt1>
      <a:dk2>
        <a:srgbClr val="323232"/>
      </a:dk2>
      <a:lt2>
        <a:srgbClr val="E3DED1"/>
      </a:lt2>
      <a:accent1>
        <a:srgbClr val="F07F09"/>
      </a:accent1>
      <a:accent2>
        <a:srgbClr val="9F2936"/>
      </a:accent2>
      <a:accent3>
        <a:srgbClr val="1B587C"/>
      </a:accent3>
      <a:accent4>
        <a:srgbClr val="4E8542"/>
      </a:accent4>
      <a:accent5>
        <a:srgbClr val="604878"/>
      </a:accent5>
      <a:accent6>
        <a:srgbClr val="C19859"/>
      </a:accent6>
      <a:hlink>
        <a:srgbClr val="6B9F25"/>
      </a:hlink>
      <a:folHlink>
        <a:srgbClr val="B26B0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FD86-0767-4BE3-8823-ABDB0919133D}">
  <sheetPr>
    <tabColor theme="4"/>
  </sheetPr>
  <dimension ref="A1:G12"/>
  <sheetViews>
    <sheetView workbookViewId="0">
      <selection activeCell="C4" sqref="C4"/>
    </sheetView>
  </sheetViews>
  <sheetFormatPr defaultColWidth="8.7109375" defaultRowHeight="15.75" x14ac:dyDescent="0.25"/>
  <cols>
    <col min="1" max="1" width="23" style="1" bestFit="1" customWidth="1"/>
    <col min="2" max="2" width="18.7109375" style="1" customWidth="1"/>
    <col min="3" max="7" width="18.7109375" style="4" customWidth="1"/>
    <col min="8" max="16384" width="8.7109375" style="1"/>
  </cols>
  <sheetData>
    <row r="1" spans="1:7" ht="29.25" thickBot="1" x14ac:dyDescent="0.3">
      <c r="A1" s="227" t="s">
        <v>0</v>
      </c>
      <c r="B1" s="227"/>
      <c r="C1" s="227"/>
      <c r="D1" s="227"/>
      <c r="E1" s="227"/>
      <c r="F1" s="227"/>
      <c r="G1" s="227"/>
    </row>
    <row r="2" spans="1:7" ht="18.75" x14ac:dyDescent="0.3">
      <c r="A2" s="91"/>
      <c r="B2" s="92"/>
      <c r="C2" s="93"/>
      <c r="D2" s="93"/>
      <c r="E2" s="93"/>
      <c r="F2" s="93"/>
      <c r="G2" s="97"/>
    </row>
    <row r="3" spans="1:7" ht="19.5" thickBot="1" x14ac:dyDescent="0.35">
      <c r="A3" s="94" t="s">
        <v>1</v>
      </c>
      <c r="B3" s="95" t="s">
        <v>2</v>
      </c>
      <c r="C3" s="96" t="s">
        <v>3</v>
      </c>
      <c r="D3" s="96" t="s">
        <v>4</v>
      </c>
      <c r="E3" s="96" t="s">
        <v>5</v>
      </c>
      <c r="F3" s="96" t="s">
        <v>6</v>
      </c>
      <c r="G3" s="94" t="s">
        <v>7</v>
      </c>
    </row>
    <row r="4" spans="1:7" x14ac:dyDescent="0.25">
      <c r="A4" s="99">
        <v>436</v>
      </c>
      <c r="B4" s="129">
        <f>'436'!I33</f>
        <v>0</v>
      </c>
      <c r="C4" s="102">
        <f>'436'!M33</f>
        <v>0</v>
      </c>
      <c r="D4" s="102">
        <f>'436'!Q33</f>
        <v>0</v>
      </c>
      <c r="E4" s="102">
        <f>'436'!U33</f>
        <v>0</v>
      </c>
      <c r="F4" s="103">
        <f>'436'!Y33</f>
        <v>0</v>
      </c>
      <c r="G4" s="104">
        <f>SUM(B4:F4)</f>
        <v>0</v>
      </c>
    </row>
    <row r="5" spans="1:7" x14ac:dyDescent="0.25">
      <c r="A5" s="100">
        <v>442</v>
      </c>
      <c r="B5" s="130">
        <f>'442'!I28</f>
        <v>0</v>
      </c>
      <c r="C5" s="105">
        <f>'442'!M28</f>
        <v>0</v>
      </c>
      <c r="D5" s="105">
        <f>'442'!Q28</f>
        <v>0</v>
      </c>
      <c r="E5" s="105">
        <f>'442'!U28</f>
        <v>0</v>
      </c>
      <c r="F5" s="106">
        <f>'442'!Y28</f>
        <v>0</v>
      </c>
      <c r="G5" s="107">
        <f>SUM(B5:F5)</f>
        <v>0</v>
      </c>
    </row>
    <row r="6" spans="1:7" x14ac:dyDescent="0.25">
      <c r="A6" s="100">
        <v>554</v>
      </c>
      <c r="B6" s="130">
        <f>'554'!I27</f>
        <v>0</v>
      </c>
      <c r="C6" s="105">
        <f>'554'!M27</f>
        <v>0</v>
      </c>
      <c r="D6" s="105">
        <f>'554'!Q27</f>
        <v>0</v>
      </c>
      <c r="E6" s="105">
        <f>'554'!U27</f>
        <v>0</v>
      </c>
      <c r="F6" s="106">
        <f>'554'!Y27</f>
        <v>0</v>
      </c>
      <c r="G6" s="107">
        <f t="shared" ref="G6:G10" si="0">SUM(B6:F6)</f>
        <v>0</v>
      </c>
    </row>
    <row r="7" spans="1:7" x14ac:dyDescent="0.25">
      <c r="A7" s="100" t="s">
        <v>201</v>
      </c>
      <c r="B7" s="130">
        <f>'623'!I25</f>
        <v>0</v>
      </c>
      <c r="C7" s="105">
        <f>'623'!M25</f>
        <v>0</v>
      </c>
      <c r="D7" s="105">
        <f>'623'!Q25</f>
        <v>0</v>
      </c>
      <c r="E7" s="105">
        <f>'623'!U25</f>
        <v>0</v>
      </c>
      <c r="F7" s="106">
        <f>'623'!Y25</f>
        <v>0</v>
      </c>
      <c r="G7" s="107">
        <f t="shared" si="0"/>
        <v>0</v>
      </c>
    </row>
    <row r="8" spans="1:7" x14ac:dyDescent="0.25">
      <c r="A8" s="100">
        <v>635</v>
      </c>
      <c r="B8" s="130">
        <f>'635'!I34</f>
        <v>0</v>
      </c>
      <c r="C8" s="105">
        <f>'635'!M34</f>
        <v>0</v>
      </c>
      <c r="D8" s="105">
        <f>'635'!Q34</f>
        <v>0</v>
      </c>
      <c r="E8" s="105">
        <f>'635'!U34</f>
        <v>0</v>
      </c>
      <c r="F8" s="106">
        <f>'635'!Y34</f>
        <v>0</v>
      </c>
      <c r="G8" s="107">
        <f t="shared" si="0"/>
        <v>0</v>
      </c>
    </row>
    <row r="9" spans="1:7" x14ac:dyDescent="0.25">
      <c r="A9" s="100">
        <v>660</v>
      </c>
      <c r="B9" s="130">
        <f>'660'!I70</f>
        <v>0</v>
      </c>
      <c r="C9" s="105">
        <f>'660'!M70</f>
        <v>0</v>
      </c>
      <c r="D9" s="105">
        <f>'660'!Q70</f>
        <v>0</v>
      </c>
      <c r="E9" s="105">
        <f>'660'!U70</f>
        <v>0</v>
      </c>
      <c r="F9" s="106">
        <f>'660'!Y70</f>
        <v>0</v>
      </c>
      <c r="G9" s="107">
        <f t="shared" si="0"/>
        <v>0</v>
      </c>
    </row>
    <row r="10" spans="1:7" ht="16.5" thickBot="1" x14ac:dyDescent="0.3">
      <c r="A10" s="101">
        <v>666</v>
      </c>
      <c r="B10" s="131">
        <f>'666'!I28</f>
        <v>0</v>
      </c>
      <c r="C10" s="108">
        <f>'666'!M28</f>
        <v>0</v>
      </c>
      <c r="D10" s="108">
        <f>'666'!Q28</f>
        <v>0</v>
      </c>
      <c r="E10" s="108">
        <f>'666'!U28</f>
        <v>0</v>
      </c>
      <c r="F10" s="109">
        <f>'666'!Y28</f>
        <v>0</v>
      </c>
      <c r="G10" s="110">
        <f t="shared" si="0"/>
        <v>0</v>
      </c>
    </row>
    <row r="11" spans="1:7" ht="16.5" thickBot="1" x14ac:dyDescent="0.3">
      <c r="A11" s="111" t="s">
        <v>8</v>
      </c>
      <c r="B11" s="98">
        <f t="shared" ref="B11:G11" si="1">SUM(B4:B10)</f>
        <v>0</v>
      </c>
      <c r="C11" s="98">
        <f t="shared" si="1"/>
        <v>0</v>
      </c>
      <c r="D11" s="98">
        <f t="shared" si="1"/>
        <v>0</v>
      </c>
      <c r="E11" s="98">
        <f t="shared" si="1"/>
        <v>0</v>
      </c>
      <c r="F11" s="98">
        <f t="shared" si="1"/>
        <v>0</v>
      </c>
      <c r="G11" s="223">
        <f t="shared" si="1"/>
        <v>0</v>
      </c>
    </row>
    <row r="12" spans="1:7" ht="16.5" thickBot="1" x14ac:dyDescent="0.3">
      <c r="A12" s="225" t="s">
        <v>9</v>
      </c>
      <c r="B12" s="226"/>
      <c r="C12" s="226"/>
      <c r="D12" s="226"/>
      <c r="E12" s="226"/>
      <c r="F12" s="226"/>
      <c r="G12" s="224"/>
    </row>
  </sheetData>
  <mergeCells count="3">
    <mergeCell ref="G11:G12"/>
    <mergeCell ref="A12:F12"/>
    <mergeCell ref="A1:G1"/>
  </mergeCells>
  <printOptions horizontalCentered="1"/>
  <pageMargins left="0" right="0" top="0.75" bottom="0.75" header="0.3" footer="0.3"/>
  <pageSetup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314CC-C806-4877-90F9-A3FB69BBE3A7}">
  <sheetPr>
    <tabColor rgb="FF92D050"/>
  </sheetPr>
  <dimension ref="A1:Y38"/>
  <sheetViews>
    <sheetView tabSelected="1" zoomScaleNormal="100" workbookViewId="0">
      <selection activeCell="F3" sqref="F3"/>
    </sheetView>
  </sheetViews>
  <sheetFormatPr defaultColWidth="8.7109375" defaultRowHeight="15.75" x14ac:dyDescent="0.25"/>
  <cols>
    <col min="1" max="1" width="77.7109375" style="1" bestFit="1" customWidth="1"/>
    <col min="2" max="2" width="11.28515625" style="1" customWidth="1"/>
    <col min="3" max="3" width="16.140625" style="1" customWidth="1"/>
    <col min="4" max="5" width="14.7109375" style="1" customWidth="1"/>
    <col min="6" max="7" width="14.7109375" style="2" customWidth="1"/>
    <col min="8" max="8" width="14.7109375" style="1" customWidth="1"/>
    <col min="9" max="9" width="16.42578125" style="1" bestFit="1" customWidth="1"/>
    <col min="10" max="10" width="15.28515625" style="1" bestFit="1" customWidth="1"/>
    <col min="11" max="11" width="14.5703125" style="1" bestFit="1" customWidth="1"/>
    <col min="12" max="12" width="15.28515625" style="1" bestFit="1" customWidth="1"/>
    <col min="13" max="13" width="16.42578125" style="1" bestFit="1" customWidth="1"/>
    <col min="14" max="16" width="14.7109375" style="1" customWidth="1"/>
    <col min="17" max="17" width="16.42578125" style="1" bestFit="1" customWidth="1"/>
    <col min="18" max="20" width="14.7109375" style="1" customWidth="1"/>
    <col min="21" max="21" width="16.42578125" style="1" bestFit="1" customWidth="1"/>
    <col min="22" max="22" width="16.28515625" style="1" bestFit="1" customWidth="1"/>
    <col min="23" max="23" width="14.5703125" style="1" bestFit="1" customWidth="1"/>
    <col min="24" max="24" width="14.7109375" style="1" customWidth="1"/>
    <col min="25" max="25" width="23.28515625" style="1" bestFit="1" customWidth="1"/>
    <col min="26" max="16384" width="8.7109375" style="1"/>
  </cols>
  <sheetData>
    <row r="1" spans="1:25" ht="18.75" x14ac:dyDescent="0.3">
      <c r="A1" s="52"/>
      <c r="B1" s="54"/>
      <c r="C1" s="53"/>
      <c r="D1" s="53"/>
      <c r="E1" s="54"/>
      <c r="F1" s="228" t="s">
        <v>10</v>
      </c>
      <c r="G1" s="229"/>
      <c r="H1" s="229"/>
      <c r="I1" s="230"/>
      <c r="J1" s="231" t="s">
        <v>3</v>
      </c>
      <c r="K1" s="232"/>
      <c r="L1" s="232"/>
      <c r="M1" s="233"/>
      <c r="N1" s="234" t="s">
        <v>4</v>
      </c>
      <c r="O1" s="235"/>
      <c r="P1" s="235"/>
      <c r="Q1" s="236"/>
      <c r="R1" s="237" t="s">
        <v>5</v>
      </c>
      <c r="S1" s="238"/>
      <c r="T1" s="238"/>
      <c r="U1" s="239"/>
      <c r="V1" s="240" t="s">
        <v>6</v>
      </c>
      <c r="W1" s="241"/>
      <c r="X1" s="241"/>
      <c r="Y1" s="242"/>
    </row>
    <row r="2" spans="1:25" ht="95.25" x14ac:dyDescent="0.3">
      <c r="A2" s="163" t="s">
        <v>11</v>
      </c>
      <c r="B2" s="165" t="s">
        <v>12</v>
      </c>
      <c r="C2" s="157" t="s">
        <v>227</v>
      </c>
      <c r="D2" s="157" t="s">
        <v>226</v>
      </c>
      <c r="E2" s="164" t="s">
        <v>13</v>
      </c>
      <c r="F2" s="166" t="s">
        <v>14</v>
      </c>
      <c r="G2" s="158" t="s">
        <v>230</v>
      </c>
      <c r="H2" s="158" t="s">
        <v>15</v>
      </c>
      <c r="I2" s="167" t="s">
        <v>236</v>
      </c>
      <c r="J2" s="186" t="s">
        <v>14</v>
      </c>
      <c r="K2" s="159" t="s">
        <v>231</v>
      </c>
      <c r="L2" s="159" t="s">
        <v>15</v>
      </c>
      <c r="M2" s="187" t="s">
        <v>237</v>
      </c>
      <c r="N2" s="184" t="s">
        <v>14</v>
      </c>
      <c r="O2" s="160" t="s">
        <v>232</v>
      </c>
      <c r="P2" s="160" t="s">
        <v>15</v>
      </c>
      <c r="Q2" s="185" t="s">
        <v>238</v>
      </c>
      <c r="R2" s="182" t="s">
        <v>14</v>
      </c>
      <c r="S2" s="161" t="s">
        <v>233</v>
      </c>
      <c r="T2" s="161" t="s">
        <v>15</v>
      </c>
      <c r="U2" s="183" t="s">
        <v>239</v>
      </c>
      <c r="V2" s="180" t="s">
        <v>14</v>
      </c>
      <c r="W2" s="162" t="s">
        <v>234</v>
      </c>
      <c r="X2" s="162" t="s">
        <v>15</v>
      </c>
      <c r="Y2" s="181" t="s">
        <v>240</v>
      </c>
    </row>
    <row r="3" spans="1:25" x14ac:dyDescent="0.25">
      <c r="A3" s="39" t="s">
        <v>59</v>
      </c>
      <c r="B3" s="89">
        <v>80</v>
      </c>
      <c r="C3" s="153">
        <v>4</v>
      </c>
      <c r="D3" s="153"/>
      <c r="E3" s="73" t="s">
        <v>18</v>
      </c>
      <c r="F3" s="61"/>
      <c r="G3" s="5"/>
      <c r="H3" s="5"/>
      <c r="I3" s="51"/>
      <c r="J3" s="47"/>
      <c r="K3" s="5"/>
      <c r="L3" s="5"/>
      <c r="M3" s="49"/>
      <c r="N3" s="50"/>
      <c r="O3" s="5"/>
      <c r="P3" s="28"/>
      <c r="Q3" s="49"/>
      <c r="R3" s="47"/>
      <c r="S3" s="5"/>
      <c r="T3" s="5"/>
      <c r="U3" s="49"/>
      <c r="V3" s="50"/>
      <c r="W3" s="28"/>
      <c r="X3" s="28"/>
      <c r="Y3" s="51"/>
    </row>
    <row r="4" spans="1:25" s="3" customFormat="1" x14ac:dyDescent="0.25">
      <c r="A4" s="40" t="s">
        <v>60</v>
      </c>
      <c r="B4" s="89" t="s">
        <v>21</v>
      </c>
      <c r="C4" s="151">
        <v>3</v>
      </c>
      <c r="D4" s="151"/>
      <c r="E4" s="89" t="s">
        <v>18</v>
      </c>
      <c r="F4" s="62"/>
      <c r="G4" s="133"/>
      <c r="H4" s="133"/>
      <c r="I4" s="134"/>
      <c r="J4" s="135"/>
      <c r="K4" s="133"/>
      <c r="L4" s="133"/>
      <c r="M4" s="136"/>
      <c r="N4" s="137"/>
      <c r="O4" s="133"/>
      <c r="P4" s="155"/>
      <c r="Q4" s="136"/>
      <c r="R4" s="135"/>
      <c r="S4" s="133"/>
      <c r="T4" s="133"/>
      <c r="U4" s="136"/>
      <c r="V4" s="137"/>
      <c r="W4" s="155"/>
      <c r="X4" s="155"/>
      <c r="Y4" s="134"/>
    </row>
    <row r="5" spans="1:25" s="3" customFormat="1" x14ac:dyDescent="0.25">
      <c r="A5" s="39" t="s">
        <v>61</v>
      </c>
      <c r="B5" s="89" t="s">
        <v>21</v>
      </c>
      <c r="C5" s="151">
        <v>2</v>
      </c>
      <c r="D5" s="151"/>
      <c r="E5" s="89" t="s">
        <v>18</v>
      </c>
      <c r="F5" s="62"/>
      <c r="G5" s="133"/>
      <c r="H5" s="27"/>
      <c r="I5" s="134"/>
      <c r="J5" s="135"/>
      <c r="K5" s="133"/>
      <c r="L5" s="133"/>
      <c r="M5" s="136"/>
      <c r="N5" s="137"/>
      <c r="O5" s="133"/>
      <c r="P5" s="155"/>
      <c r="Q5" s="136"/>
      <c r="R5" s="135"/>
      <c r="S5" s="133"/>
      <c r="T5" s="133"/>
      <c r="U5" s="136"/>
      <c r="V5" s="137"/>
      <c r="W5" s="155"/>
      <c r="X5" s="155"/>
      <c r="Y5" s="134"/>
    </row>
    <row r="6" spans="1:25" s="3" customFormat="1" x14ac:dyDescent="0.25">
      <c r="A6" s="39" t="s">
        <v>62</v>
      </c>
      <c r="B6" s="89" t="s">
        <v>63</v>
      </c>
      <c r="C6" s="151">
        <v>2</v>
      </c>
      <c r="D6" s="151"/>
      <c r="E6" s="89" t="s">
        <v>18</v>
      </c>
      <c r="F6" s="62"/>
      <c r="G6" s="133"/>
      <c r="H6" s="133"/>
      <c r="I6" s="134"/>
      <c r="J6" s="135"/>
      <c r="K6" s="133"/>
      <c r="L6" s="133"/>
      <c r="M6" s="136"/>
      <c r="N6" s="137"/>
      <c r="O6" s="133"/>
      <c r="P6" s="155"/>
      <c r="Q6" s="136"/>
      <c r="R6" s="135"/>
      <c r="S6" s="133"/>
      <c r="T6" s="133"/>
      <c r="U6" s="136"/>
      <c r="V6" s="137"/>
      <c r="W6" s="155"/>
      <c r="X6" s="155"/>
      <c r="Y6" s="134"/>
    </row>
    <row r="7" spans="1:25" s="3" customFormat="1" x14ac:dyDescent="0.25">
      <c r="A7" s="39" t="s">
        <v>62</v>
      </c>
      <c r="B7" s="89" t="s">
        <v>64</v>
      </c>
      <c r="C7" s="151">
        <v>2</v>
      </c>
      <c r="D7" s="151"/>
      <c r="E7" s="89" t="s">
        <v>18</v>
      </c>
      <c r="F7" s="62"/>
      <c r="G7" s="133"/>
      <c r="H7" s="133"/>
      <c r="I7" s="134"/>
      <c r="J7" s="135"/>
      <c r="K7" s="133"/>
      <c r="L7" s="133"/>
      <c r="M7" s="136"/>
      <c r="N7" s="137"/>
      <c r="O7" s="133"/>
      <c r="P7" s="155"/>
      <c r="Q7" s="136"/>
      <c r="R7" s="135"/>
      <c r="S7" s="133"/>
      <c r="T7" s="133"/>
      <c r="U7" s="136"/>
      <c r="V7" s="137"/>
      <c r="W7" s="155"/>
      <c r="X7" s="155"/>
      <c r="Y7" s="134"/>
    </row>
    <row r="8" spans="1:25" s="3" customFormat="1" x14ac:dyDescent="0.25">
      <c r="A8" s="39" t="s">
        <v>62</v>
      </c>
      <c r="B8" s="89" t="s">
        <v>65</v>
      </c>
      <c r="C8" s="151">
        <v>4</v>
      </c>
      <c r="D8" s="151"/>
      <c r="E8" s="89" t="s">
        <v>18</v>
      </c>
      <c r="F8" s="62"/>
      <c r="G8" s="133"/>
      <c r="H8" s="133"/>
      <c r="I8" s="134"/>
      <c r="J8" s="135"/>
      <c r="K8" s="133"/>
      <c r="L8" s="133"/>
      <c r="M8" s="136"/>
      <c r="N8" s="137"/>
      <c r="O8" s="133"/>
      <c r="P8" s="155"/>
      <c r="Q8" s="136"/>
      <c r="R8" s="135"/>
      <c r="S8" s="133"/>
      <c r="T8" s="133"/>
      <c r="U8" s="136"/>
      <c r="V8" s="137"/>
      <c r="W8" s="155"/>
      <c r="X8" s="155"/>
      <c r="Y8" s="134"/>
    </row>
    <row r="9" spans="1:25" s="3" customFormat="1" x14ac:dyDescent="0.25">
      <c r="A9" s="40" t="s">
        <v>66</v>
      </c>
      <c r="B9" s="89" t="s">
        <v>67</v>
      </c>
      <c r="C9" s="151">
        <v>20</v>
      </c>
      <c r="D9" s="151"/>
      <c r="E9" s="89" t="s">
        <v>18</v>
      </c>
      <c r="F9" s="62"/>
      <c r="G9" s="133"/>
      <c r="H9" s="133"/>
      <c r="I9" s="134"/>
      <c r="J9" s="135"/>
      <c r="K9" s="133"/>
      <c r="L9" s="133"/>
      <c r="M9" s="136"/>
      <c r="N9" s="137"/>
      <c r="O9" s="133"/>
      <c r="P9" s="155"/>
      <c r="Q9" s="136"/>
      <c r="R9" s="135"/>
      <c r="S9" s="133"/>
      <c r="T9" s="133"/>
      <c r="U9" s="136"/>
      <c r="V9" s="137"/>
      <c r="W9" s="155"/>
      <c r="X9" s="155"/>
      <c r="Y9" s="134"/>
    </row>
    <row r="10" spans="1:25" s="3" customFormat="1" x14ac:dyDescent="0.25">
      <c r="A10" s="214" t="s">
        <v>68</v>
      </c>
      <c r="B10" s="89" t="s">
        <v>21</v>
      </c>
      <c r="C10" s="151">
        <v>48</v>
      </c>
      <c r="D10" s="151"/>
      <c r="E10" s="89" t="s">
        <v>18</v>
      </c>
      <c r="F10" s="62"/>
      <c r="G10" s="133"/>
      <c r="H10" s="133"/>
      <c r="I10" s="134"/>
      <c r="J10" s="135"/>
      <c r="K10" s="133"/>
      <c r="L10" s="133"/>
      <c r="M10" s="136"/>
      <c r="N10" s="137"/>
      <c r="O10" s="133"/>
      <c r="P10" s="155"/>
      <c r="Q10" s="136"/>
      <c r="R10" s="135"/>
      <c r="S10" s="133"/>
      <c r="T10" s="133"/>
      <c r="U10" s="136"/>
      <c r="V10" s="137"/>
      <c r="W10" s="155"/>
      <c r="X10" s="155"/>
      <c r="Y10" s="134"/>
    </row>
    <row r="11" spans="1:25" s="3" customFormat="1" x14ac:dyDescent="0.25">
      <c r="A11" s="39" t="s">
        <v>69</v>
      </c>
      <c r="B11" s="89" t="s">
        <v>67</v>
      </c>
      <c r="C11" s="151">
        <v>2</v>
      </c>
      <c r="D11" s="151"/>
      <c r="E11" s="89" t="s">
        <v>18</v>
      </c>
      <c r="F11" s="62"/>
      <c r="G11" s="133"/>
      <c r="H11" s="133"/>
      <c r="I11" s="134"/>
      <c r="J11" s="135"/>
      <c r="K11" s="133"/>
      <c r="L11" s="133"/>
      <c r="M11" s="136"/>
      <c r="N11" s="137"/>
      <c r="O11" s="133"/>
      <c r="P11" s="155"/>
      <c r="Q11" s="136"/>
      <c r="R11" s="135"/>
      <c r="S11" s="133"/>
      <c r="T11" s="133"/>
      <c r="U11" s="136"/>
      <c r="V11" s="137"/>
      <c r="W11" s="155"/>
      <c r="X11" s="155"/>
      <c r="Y11" s="134"/>
    </row>
    <row r="12" spans="1:25" s="3" customFormat="1" x14ac:dyDescent="0.25">
      <c r="A12" s="40" t="s">
        <v>70</v>
      </c>
      <c r="B12" s="89" t="s">
        <v>67</v>
      </c>
      <c r="C12" s="151">
        <v>2</v>
      </c>
      <c r="D12" s="151"/>
      <c r="E12" s="89" t="s">
        <v>18</v>
      </c>
      <c r="F12" s="62"/>
      <c r="G12" s="133"/>
      <c r="H12" s="133"/>
      <c r="I12" s="134"/>
      <c r="J12" s="135"/>
      <c r="K12" s="133"/>
      <c r="L12" s="133"/>
      <c r="M12" s="136"/>
      <c r="N12" s="137"/>
      <c r="O12" s="133"/>
      <c r="P12" s="155"/>
      <c r="Q12" s="136"/>
      <c r="R12" s="135"/>
      <c r="S12" s="133"/>
      <c r="T12" s="133"/>
      <c r="U12" s="136"/>
      <c r="V12" s="137"/>
      <c r="W12" s="155"/>
      <c r="X12" s="155"/>
      <c r="Y12" s="134"/>
    </row>
    <row r="13" spans="1:25" s="3" customFormat="1" x14ac:dyDescent="0.25">
      <c r="A13" s="40" t="s">
        <v>71</v>
      </c>
      <c r="B13" s="89" t="s">
        <v>72</v>
      </c>
      <c r="C13" s="151">
        <v>2</v>
      </c>
      <c r="D13" s="151"/>
      <c r="E13" s="89" t="s">
        <v>18</v>
      </c>
      <c r="F13" s="62"/>
      <c r="G13" s="133"/>
      <c r="H13" s="133"/>
      <c r="I13" s="134"/>
      <c r="J13" s="135"/>
      <c r="K13" s="133"/>
      <c r="L13" s="133"/>
      <c r="M13" s="136"/>
      <c r="N13" s="137"/>
      <c r="O13" s="133"/>
      <c r="P13" s="155"/>
      <c r="Q13" s="136"/>
      <c r="R13" s="135"/>
      <c r="S13" s="133"/>
      <c r="T13" s="133"/>
      <c r="U13" s="136"/>
      <c r="V13" s="137"/>
      <c r="W13" s="155"/>
      <c r="X13" s="155"/>
      <c r="Y13" s="134"/>
    </row>
    <row r="14" spans="1:25" s="3" customFormat="1" x14ac:dyDescent="0.25">
      <c r="A14" s="38" t="s">
        <v>20</v>
      </c>
      <c r="B14" s="89" t="s">
        <v>21</v>
      </c>
      <c r="C14" s="151">
        <v>18</v>
      </c>
      <c r="D14" s="151"/>
      <c r="E14" s="89" t="s">
        <v>18</v>
      </c>
      <c r="F14" s="62"/>
      <c r="G14" s="133"/>
      <c r="H14" s="133"/>
      <c r="I14" s="134"/>
      <c r="J14" s="135"/>
      <c r="K14" s="133"/>
      <c r="L14" s="133"/>
      <c r="M14" s="136"/>
      <c r="N14" s="137"/>
      <c r="O14" s="133"/>
      <c r="P14" s="155"/>
      <c r="Q14" s="136"/>
      <c r="R14" s="135"/>
      <c r="S14" s="133"/>
      <c r="T14" s="133"/>
      <c r="U14" s="136"/>
      <c r="V14" s="137"/>
      <c r="W14" s="155"/>
      <c r="X14" s="155"/>
      <c r="Y14" s="134"/>
    </row>
    <row r="15" spans="1:25" s="3" customFormat="1" x14ac:dyDescent="0.25">
      <c r="A15" s="39" t="s">
        <v>73</v>
      </c>
      <c r="B15" s="89" t="s">
        <v>74</v>
      </c>
      <c r="C15" s="151">
        <v>16</v>
      </c>
      <c r="D15" s="151"/>
      <c r="E15" s="89" t="s">
        <v>18</v>
      </c>
      <c r="F15" s="62"/>
      <c r="G15" s="133"/>
      <c r="H15" s="133"/>
      <c r="I15" s="134"/>
      <c r="J15" s="135"/>
      <c r="K15" s="133"/>
      <c r="L15" s="133"/>
      <c r="M15" s="136"/>
      <c r="N15" s="137"/>
      <c r="O15" s="133"/>
      <c r="P15" s="155"/>
      <c r="Q15" s="136"/>
      <c r="R15" s="135"/>
      <c r="S15" s="133"/>
      <c r="T15" s="133"/>
      <c r="U15" s="136"/>
      <c r="V15" s="137"/>
      <c r="W15" s="155"/>
      <c r="X15" s="155"/>
      <c r="Y15" s="134"/>
    </row>
    <row r="16" spans="1:25" s="3" customFormat="1" ht="31.5" x14ac:dyDescent="0.25">
      <c r="A16" s="38" t="s">
        <v>75</v>
      </c>
      <c r="B16" s="89" t="s">
        <v>76</v>
      </c>
      <c r="C16" s="151">
        <v>12</v>
      </c>
      <c r="D16" s="151"/>
      <c r="E16" s="89" t="s">
        <v>18</v>
      </c>
      <c r="F16" s="62"/>
      <c r="G16" s="133"/>
      <c r="H16" s="133"/>
      <c r="I16" s="134"/>
      <c r="J16" s="135"/>
      <c r="K16" s="133"/>
      <c r="L16" s="133"/>
      <c r="M16" s="136"/>
      <c r="N16" s="137"/>
      <c r="O16" s="133"/>
      <c r="P16" s="155"/>
      <c r="Q16" s="136"/>
      <c r="R16" s="135"/>
      <c r="S16" s="133"/>
      <c r="T16" s="133"/>
      <c r="U16" s="136"/>
      <c r="V16" s="137"/>
      <c r="W16" s="155"/>
      <c r="X16" s="155"/>
      <c r="Y16" s="134"/>
    </row>
    <row r="17" spans="1:25" s="3" customFormat="1" x14ac:dyDescent="0.25">
      <c r="A17" s="40" t="s">
        <v>77</v>
      </c>
      <c r="B17" s="89">
        <v>200</v>
      </c>
      <c r="C17" s="151">
        <v>8</v>
      </c>
      <c r="D17" s="151"/>
      <c r="E17" s="89" t="s">
        <v>18</v>
      </c>
      <c r="F17" s="62"/>
      <c r="G17" s="133"/>
      <c r="H17" s="133"/>
      <c r="I17" s="134"/>
      <c r="J17" s="135"/>
      <c r="K17" s="133"/>
      <c r="L17" s="133"/>
      <c r="M17" s="136"/>
      <c r="N17" s="137"/>
      <c r="O17" s="133"/>
      <c r="P17" s="155"/>
      <c r="Q17" s="136"/>
      <c r="R17" s="135"/>
      <c r="S17" s="133"/>
      <c r="T17" s="133"/>
      <c r="U17" s="136"/>
      <c r="V17" s="137"/>
      <c r="W17" s="155"/>
      <c r="X17" s="155"/>
      <c r="Y17" s="134"/>
    </row>
    <row r="18" spans="1:25" s="3" customFormat="1" x14ac:dyDescent="0.25">
      <c r="A18" s="39" t="s">
        <v>78</v>
      </c>
      <c r="B18" s="89" t="s">
        <v>79</v>
      </c>
      <c r="C18" s="151">
        <v>8</v>
      </c>
      <c r="D18" s="151"/>
      <c r="E18" s="89" t="s">
        <v>18</v>
      </c>
      <c r="F18" s="62"/>
      <c r="G18" s="133"/>
      <c r="H18" s="133"/>
      <c r="I18" s="134"/>
      <c r="J18" s="135"/>
      <c r="K18" s="133"/>
      <c r="L18" s="133"/>
      <c r="M18" s="136"/>
      <c r="N18" s="137"/>
      <c r="O18" s="133"/>
      <c r="P18" s="155"/>
      <c r="Q18" s="136"/>
      <c r="R18" s="135"/>
      <c r="S18" s="133"/>
      <c r="T18" s="133"/>
      <c r="U18" s="136"/>
      <c r="V18" s="137"/>
      <c r="W18" s="155"/>
      <c r="X18" s="155"/>
      <c r="Y18" s="134"/>
    </row>
    <row r="19" spans="1:25" s="3" customFormat="1" x14ac:dyDescent="0.25">
      <c r="A19" s="60" t="s">
        <v>80</v>
      </c>
      <c r="B19" s="138">
        <v>300</v>
      </c>
      <c r="C19" s="151">
        <v>12</v>
      </c>
      <c r="D19" s="151"/>
      <c r="E19" s="89" t="s">
        <v>18</v>
      </c>
      <c r="F19" s="62"/>
      <c r="G19" s="133"/>
      <c r="H19" s="133"/>
      <c r="I19" s="134"/>
      <c r="J19" s="135"/>
      <c r="K19" s="133"/>
      <c r="L19" s="133"/>
      <c r="M19" s="136"/>
      <c r="N19" s="137"/>
      <c r="O19" s="133"/>
      <c r="P19" s="155"/>
      <c r="Q19" s="136"/>
      <c r="R19" s="135"/>
      <c r="S19" s="133"/>
      <c r="T19" s="133"/>
      <c r="U19" s="136"/>
      <c r="V19" s="137"/>
      <c r="W19" s="155"/>
      <c r="X19" s="155"/>
      <c r="Y19" s="134"/>
    </row>
    <row r="20" spans="1:25" s="3" customFormat="1" x14ac:dyDescent="0.25">
      <c r="A20" s="39" t="s">
        <v>81</v>
      </c>
      <c r="B20" s="89" t="s">
        <v>37</v>
      </c>
      <c r="C20" s="151">
        <v>12</v>
      </c>
      <c r="D20" s="151"/>
      <c r="E20" s="89" t="s">
        <v>18</v>
      </c>
      <c r="F20" s="62"/>
      <c r="G20" s="133"/>
      <c r="H20" s="133"/>
      <c r="I20" s="134"/>
      <c r="J20" s="135"/>
      <c r="K20" s="133"/>
      <c r="L20" s="133"/>
      <c r="M20" s="136"/>
      <c r="N20" s="137"/>
      <c r="O20" s="133"/>
      <c r="P20" s="155"/>
      <c r="Q20" s="136"/>
      <c r="R20" s="135"/>
      <c r="S20" s="133"/>
      <c r="T20" s="133"/>
      <c r="U20" s="136"/>
      <c r="V20" s="137"/>
      <c r="W20" s="155"/>
      <c r="X20" s="155"/>
      <c r="Y20" s="134"/>
    </row>
    <row r="21" spans="1:25" s="3" customFormat="1" x14ac:dyDescent="0.25">
      <c r="A21" s="60" t="s">
        <v>82</v>
      </c>
      <c r="B21" s="89" t="s">
        <v>21</v>
      </c>
      <c r="C21" s="151">
        <v>100</v>
      </c>
      <c r="D21" s="151"/>
      <c r="E21" s="89" t="s">
        <v>18</v>
      </c>
      <c r="F21" s="62"/>
      <c r="G21" s="133"/>
      <c r="H21" s="133"/>
      <c r="I21" s="134"/>
      <c r="J21" s="135"/>
      <c r="K21" s="133"/>
      <c r="L21" s="133"/>
      <c r="M21" s="136"/>
      <c r="N21" s="137"/>
      <c r="O21" s="133"/>
      <c r="P21" s="155"/>
      <c r="Q21" s="136"/>
      <c r="R21" s="135"/>
      <c r="S21" s="133"/>
      <c r="T21" s="133"/>
      <c r="U21" s="136"/>
      <c r="V21" s="137"/>
      <c r="W21" s="155"/>
      <c r="X21" s="155"/>
      <c r="Y21" s="134"/>
    </row>
    <row r="22" spans="1:25" s="3" customFormat="1" x14ac:dyDescent="0.25">
      <c r="A22" s="39" t="s">
        <v>25</v>
      </c>
      <c r="B22" s="89" t="s">
        <v>26</v>
      </c>
      <c r="C22" s="151">
        <v>3800</v>
      </c>
      <c r="D22" s="151"/>
      <c r="E22" s="89" t="s">
        <v>18</v>
      </c>
      <c r="F22" s="62"/>
      <c r="G22" s="133"/>
      <c r="H22" s="133"/>
      <c r="I22" s="134"/>
      <c r="J22" s="135"/>
      <c r="K22" s="133"/>
      <c r="L22" s="133"/>
      <c r="M22" s="136"/>
      <c r="N22" s="137"/>
      <c r="O22" s="133"/>
      <c r="P22" s="155"/>
      <c r="Q22" s="136"/>
      <c r="R22" s="135"/>
      <c r="S22" s="133"/>
      <c r="T22" s="133"/>
      <c r="U22" s="136"/>
      <c r="V22" s="137"/>
      <c r="W22" s="155"/>
      <c r="X22" s="155"/>
      <c r="Y22" s="134"/>
    </row>
    <row r="23" spans="1:25" x14ac:dyDescent="0.25">
      <c r="A23" s="58" t="s">
        <v>83</v>
      </c>
      <c r="B23" s="90" t="s">
        <v>67</v>
      </c>
      <c r="C23" s="153">
        <v>16</v>
      </c>
      <c r="D23" s="153"/>
      <c r="E23" s="73" t="s">
        <v>18</v>
      </c>
      <c r="F23" s="61"/>
      <c r="G23" s="5"/>
      <c r="H23" s="5"/>
      <c r="I23" s="134"/>
      <c r="J23" s="47"/>
      <c r="K23" s="5"/>
      <c r="L23" s="133"/>
      <c r="M23" s="49"/>
      <c r="N23" s="50"/>
      <c r="O23" s="5"/>
      <c r="P23" s="28"/>
      <c r="Q23" s="49"/>
      <c r="R23" s="47"/>
      <c r="S23" s="5"/>
      <c r="T23" s="5"/>
      <c r="U23" s="49"/>
      <c r="V23" s="50"/>
      <c r="W23" s="28"/>
      <c r="X23" s="28"/>
      <c r="Y23" s="51"/>
    </row>
    <row r="24" spans="1:25" x14ac:dyDescent="0.25">
      <c r="A24" s="59" t="s">
        <v>84</v>
      </c>
      <c r="B24" s="89" t="s">
        <v>85</v>
      </c>
      <c r="C24" s="153">
        <v>24</v>
      </c>
      <c r="D24" s="153"/>
      <c r="E24" s="73" t="s">
        <v>18</v>
      </c>
      <c r="F24" s="61"/>
      <c r="G24" s="5"/>
      <c r="H24" s="5"/>
      <c r="I24" s="134"/>
      <c r="J24" s="47"/>
      <c r="K24" s="5"/>
      <c r="L24" s="133"/>
      <c r="M24" s="49"/>
      <c r="N24" s="50"/>
      <c r="O24" s="5"/>
      <c r="P24" s="28"/>
      <c r="Q24" s="49"/>
      <c r="R24" s="47"/>
      <c r="S24" s="5"/>
      <c r="T24" s="5"/>
      <c r="U24" s="49"/>
      <c r="V24" s="50"/>
      <c r="W24" s="28"/>
      <c r="X24" s="28"/>
      <c r="Y24" s="51"/>
    </row>
    <row r="25" spans="1:25" x14ac:dyDescent="0.25">
      <c r="A25" s="39" t="s">
        <v>84</v>
      </c>
      <c r="B25" s="89" t="s">
        <v>17</v>
      </c>
      <c r="C25" s="153">
        <v>26</v>
      </c>
      <c r="D25" s="153"/>
      <c r="E25" s="73" t="s">
        <v>18</v>
      </c>
      <c r="F25" s="61"/>
      <c r="G25" s="5"/>
      <c r="H25" s="5"/>
      <c r="I25" s="134"/>
      <c r="J25" s="47"/>
      <c r="K25" s="5"/>
      <c r="L25" s="133"/>
      <c r="M25" s="49"/>
      <c r="N25" s="50"/>
      <c r="O25" s="5"/>
      <c r="P25" s="28"/>
      <c r="Q25" s="49"/>
      <c r="R25" s="47"/>
      <c r="S25" s="5"/>
      <c r="T25" s="5"/>
      <c r="U25" s="49"/>
      <c r="V25" s="50"/>
      <c r="W25" s="28"/>
      <c r="X25" s="28"/>
      <c r="Y25" s="51"/>
    </row>
    <row r="26" spans="1:25" x14ac:dyDescent="0.25">
      <c r="A26" s="39" t="s">
        <v>84</v>
      </c>
      <c r="B26" s="89" t="s">
        <v>67</v>
      </c>
      <c r="C26" s="153">
        <v>57</v>
      </c>
      <c r="D26" s="153"/>
      <c r="E26" s="73" t="s">
        <v>18</v>
      </c>
      <c r="F26" s="61"/>
      <c r="G26" s="5"/>
      <c r="H26" s="5"/>
      <c r="I26" s="134"/>
      <c r="J26" s="47"/>
      <c r="K26" s="5"/>
      <c r="L26" s="133"/>
      <c r="M26" s="49"/>
      <c r="N26" s="50"/>
      <c r="O26" s="5"/>
      <c r="P26" s="28"/>
      <c r="Q26" s="49"/>
      <c r="R26" s="47"/>
      <c r="S26" s="5"/>
      <c r="T26" s="5"/>
      <c r="U26" s="49"/>
      <c r="V26" s="50"/>
      <c r="W26" s="28"/>
      <c r="X26" s="28"/>
      <c r="Y26" s="51"/>
    </row>
    <row r="27" spans="1:25" x14ac:dyDescent="0.25">
      <c r="A27" s="38" t="s">
        <v>47</v>
      </c>
      <c r="B27" s="138"/>
      <c r="C27" s="153">
        <v>1</v>
      </c>
      <c r="D27" s="153"/>
      <c r="E27" s="73" t="s">
        <v>46</v>
      </c>
      <c r="F27" s="47"/>
      <c r="G27" s="5"/>
      <c r="H27" s="5"/>
      <c r="I27" s="51"/>
      <c r="J27" s="47"/>
      <c r="K27" s="5"/>
      <c r="L27" s="5"/>
      <c r="M27" s="49"/>
      <c r="N27" s="50"/>
      <c r="O27" s="5"/>
      <c r="P27" s="28"/>
      <c r="Q27" s="49"/>
      <c r="R27" s="47"/>
      <c r="S27" s="5"/>
      <c r="T27" s="5"/>
      <c r="U27" s="49"/>
      <c r="V27" s="50"/>
      <c r="W27" s="28"/>
      <c r="X27" s="28"/>
      <c r="Y27" s="51"/>
    </row>
    <row r="28" spans="1:25" x14ac:dyDescent="0.25">
      <c r="A28" s="38" t="s">
        <v>229</v>
      </c>
      <c r="B28" s="138"/>
      <c r="C28" s="153">
        <v>1</v>
      </c>
      <c r="D28" s="153"/>
      <c r="E28" s="73" t="s">
        <v>203</v>
      </c>
      <c r="F28" s="47"/>
      <c r="G28" s="5"/>
      <c r="H28" s="5"/>
      <c r="I28" s="51"/>
      <c r="J28" s="47"/>
      <c r="K28" s="5"/>
      <c r="L28" s="5"/>
      <c r="M28" s="49"/>
      <c r="N28" s="50"/>
      <c r="O28" s="5"/>
      <c r="P28" s="28"/>
      <c r="Q28" s="49"/>
      <c r="R28" s="47"/>
      <c r="S28" s="5"/>
      <c r="T28" s="5"/>
      <c r="U28" s="49"/>
      <c r="V28" s="50"/>
      <c r="W28" s="28"/>
      <c r="X28" s="28"/>
      <c r="Y28" s="51"/>
    </row>
    <row r="29" spans="1:25" x14ac:dyDescent="0.25">
      <c r="A29" s="39" t="s">
        <v>45</v>
      </c>
      <c r="B29" s="89"/>
      <c r="C29" s="153">
        <v>12</v>
      </c>
      <c r="D29" s="153"/>
      <c r="E29" s="73" t="s">
        <v>46</v>
      </c>
      <c r="F29" s="47"/>
      <c r="G29" s="5"/>
      <c r="H29" s="5"/>
      <c r="I29" s="51"/>
      <c r="J29" s="47"/>
      <c r="K29" s="5"/>
      <c r="L29" s="5"/>
      <c r="M29" s="49"/>
      <c r="N29" s="50"/>
      <c r="O29" s="5"/>
      <c r="P29" s="28"/>
      <c r="Q29" s="49"/>
      <c r="R29" s="47"/>
      <c r="S29" s="5"/>
      <c r="T29" s="5"/>
      <c r="U29" s="49"/>
      <c r="V29" s="50"/>
      <c r="W29" s="28"/>
      <c r="X29" s="28"/>
      <c r="Y29" s="51"/>
    </row>
    <row r="30" spans="1:25" x14ac:dyDescent="0.25">
      <c r="A30" s="39" t="s">
        <v>86</v>
      </c>
      <c r="B30" s="89"/>
      <c r="C30" s="153">
        <v>12</v>
      </c>
      <c r="D30" s="153"/>
      <c r="E30" s="73" t="s">
        <v>46</v>
      </c>
      <c r="F30" s="46"/>
      <c r="G30" s="5"/>
      <c r="H30" s="5"/>
      <c r="I30" s="51"/>
      <c r="J30" s="47"/>
      <c r="K30" s="5"/>
      <c r="L30" s="5"/>
      <c r="M30" s="49"/>
      <c r="N30" s="50"/>
      <c r="O30" s="5"/>
      <c r="P30" s="28"/>
      <c r="Q30" s="49"/>
      <c r="R30" s="47"/>
      <c r="S30" s="5"/>
      <c r="T30" s="5"/>
      <c r="U30" s="49"/>
      <c r="V30" s="50"/>
      <c r="W30" s="28"/>
      <c r="X30" s="28"/>
      <c r="Y30" s="51"/>
    </row>
    <row r="31" spans="1:25" ht="16.5" thickBot="1" x14ac:dyDescent="0.3">
      <c r="A31" s="44" t="s">
        <v>87</v>
      </c>
      <c r="B31" s="76"/>
      <c r="C31" s="75">
        <v>12</v>
      </c>
      <c r="D31" s="75"/>
      <c r="E31" s="76" t="s">
        <v>46</v>
      </c>
      <c r="F31" s="46"/>
      <c r="G31" s="5"/>
      <c r="H31" s="5"/>
      <c r="I31" s="51"/>
      <c r="J31" s="47"/>
      <c r="K31" s="5"/>
      <c r="L31" s="5"/>
      <c r="M31" s="49"/>
      <c r="N31" s="50"/>
      <c r="O31" s="5"/>
      <c r="P31" s="28"/>
      <c r="Q31" s="49"/>
      <c r="R31" s="47"/>
      <c r="S31" s="5"/>
      <c r="T31" s="5"/>
      <c r="U31" s="49"/>
      <c r="V31" s="50"/>
      <c r="W31" s="28"/>
      <c r="X31" s="28"/>
      <c r="Y31" s="51"/>
    </row>
    <row r="32" spans="1:25" ht="16.5" thickBot="1" x14ac:dyDescent="0.3">
      <c r="A32" s="168"/>
      <c r="B32" s="169"/>
      <c r="C32" s="169"/>
      <c r="D32" s="170"/>
      <c r="E32" s="171" t="s">
        <v>50</v>
      </c>
      <c r="F32" s="48"/>
      <c r="G32" s="35"/>
      <c r="H32" s="35"/>
      <c r="I32" s="36"/>
      <c r="J32" s="48"/>
      <c r="K32" s="35"/>
      <c r="L32" s="35"/>
      <c r="M32" s="36"/>
      <c r="N32" s="48"/>
      <c r="O32" s="35"/>
      <c r="P32" s="35"/>
      <c r="Q32" s="36"/>
      <c r="R32" s="48"/>
      <c r="S32" s="35"/>
      <c r="T32" s="35"/>
      <c r="U32" s="36"/>
      <c r="V32" s="48"/>
      <c r="W32" s="35"/>
      <c r="X32" s="35"/>
      <c r="Y32" s="36"/>
    </row>
    <row r="33" spans="1:25" ht="16.5" thickBot="1" x14ac:dyDescent="0.3">
      <c r="A33" s="172"/>
      <c r="B33" s="173"/>
      <c r="C33" s="174"/>
      <c r="D33" s="174"/>
      <c r="E33" s="175" t="s">
        <v>51</v>
      </c>
      <c r="F33" s="176"/>
      <c r="G33" s="177"/>
      <c r="H33" s="177"/>
      <c r="I33" s="178"/>
      <c r="J33" s="176"/>
      <c r="K33" s="177"/>
      <c r="L33" s="177"/>
      <c r="M33" s="178"/>
      <c r="N33" s="176"/>
      <c r="O33" s="177"/>
      <c r="P33" s="177"/>
      <c r="Q33" s="178"/>
      <c r="R33" s="176"/>
      <c r="S33" s="177"/>
      <c r="T33" s="177"/>
      <c r="U33" s="178"/>
      <c r="V33" s="176"/>
      <c r="W33" s="177"/>
      <c r="X33" s="177"/>
      <c r="Y33" s="178"/>
    </row>
    <row r="34" spans="1:25" ht="21.75" thickBot="1" x14ac:dyDescent="0.4">
      <c r="A34" s="67"/>
      <c r="B34" s="68"/>
      <c r="C34" s="68"/>
      <c r="D34" s="68"/>
      <c r="E34" s="68"/>
      <c r="F34" s="69"/>
      <c r="G34" s="69"/>
      <c r="H34" s="69"/>
      <c r="I34" s="69"/>
      <c r="J34" s="69"/>
      <c r="K34" s="69"/>
      <c r="L34" s="69"/>
      <c r="M34" s="69"/>
      <c r="N34" s="68"/>
      <c r="O34" s="69"/>
      <c r="P34" s="68"/>
      <c r="Q34" s="69"/>
      <c r="R34" s="69"/>
      <c r="S34" s="69"/>
      <c r="T34" s="69"/>
      <c r="U34" s="69"/>
      <c r="V34" s="68"/>
      <c r="W34" s="68"/>
      <c r="X34" s="70" t="s">
        <v>52</v>
      </c>
      <c r="Y34" s="71"/>
    </row>
    <row r="35" spans="1:25" x14ac:dyDescent="0.25">
      <c r="H35" s="2"/>
      <c r="I35" s="2"/>
      <c r="J35" s="2"/>
      <c r="K35" s="2"/>
      <c r="L35" s="2"/>
      <c r="M35" s="2"/>
      <c r="O35" s="2"/>
      <c r="Q35" s="2"/>
      <c r="R35" s="2"/>
      <c r="S35" s="2"/>
      <c r="T35" s="2"/>
      <c r="U35" s="2"/>
    </row>
    <row r="36" spans="1:25" x14ac:dyDescent="0.25">
      <c r="H36" s="2"/>
      <c r="I36" s="2"/>
      <c r="J36" s="2"/>
      <c r="K36" s="2"/>
      <c r="L36" s="2"/>
      <c r="M36" s="2"/>
      <c r="O36" s="2"/>
      <c r="Q36" s="2"/>
      <c r="R36" s="2"/>
      <c r="S36" s="2"/>
      <c r="T36" s="2"/>
      <c r="U36" s="2"/>
      <c r="W36" s="154" t="s">
        <v>53</v>
      </c>
    </row>
    <row r="37" spans="1:25" x14ac:dyDescent="0.25">
      <c r="H37" s="2"/>
      <c r="I37" s="2"/>
      <c r="J37" s="2"/>
      <c r="K37" s="2"/>
      <c r="L37" s="2"/>
      <c r="M37" s="2"/>
      <c r="O37" s="2"/>
      <c r="Q37" s="2"/>
      <c r="R37" s="2"/>
      <c r="S37" s="2"/>
      <c r="T37" s="2"/>
      <c r="U37" s="2"/>
    </row>
    <row r="38" spans="1:25" x14ac:dyDescent="0.25">
      <c r="H38" s="2"/>
      <c r="I38" s="2"/>
      <c r="J38" s="2"/>
      <c r="K38" s="2"/>
      <c r="L38" s="2"/>
      <c r="M38" s="2"/>
      <c r="O38" s="2"/>
      <c r="Q38" s="2"/>
      <c r="R38" s="2"/>
      <c r="S38" s="2"/>
      <c r="T38" s="2"/>
      <c r="U38" s="2"/>
    </row>
  </sheetData>
  <autoFilter ref="A2:Y34" xr:uid="{1510804C-9F6B-4809-A584-9DB833049A62}"/>
  <mergeCells count="5">
    <mergeCell ref="F1:I1"/>
    <mergeCell ref="J1:M1"/>
    <mergeCell ref="N1:Q1"/>
    <mergeCell ref="R1:U1"/>
    <mergeCell ref="V1:Y1"/>
  </mergeCells>
  <pageMargins left="0.7" right="0.7" top="0.25" bottom="0.25" header="0.55000000000000004" footer="0.05"/>
  <pageSetup scale="5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86EAB-359E-4043-BA93-3FB8884D882C}">
  <sheetPr>
    <tabColor rgb="FF92D050"/>
  </sheetPr>
  <dimension ref="A1:Y42"/>
  <sheetViews>
    <sheetView zoomScaleNormal="100" workbookViewId="0">
      <selection activeCell="F3" sqref="F3"/>
    </sheetView>
  </sheetViews>
  <sheetFormatPr defaultColWidth="8.7109375" defaultRowHeight="15.75" x14ac:dyDescent="0.25"/>
  <cols>
    <col min="1" max="1" width="57.7109375" style="1" customWidth="1"/>
    <col min="2" max="2" width="11.28515625" style="1" customWidth="1"/>
    <col min="3" max="3" width="16" style="1" customWidth="1"/>
    <col min="4" max="4" width="14.28515625" style="1" customWidth="1"/>
    <col min="5" max="5" width="12.5703125" style="1" customWidth="1"/>
    <col min="6" max="6" width="15.28515625" style="2" customWidth="1"/>
    <col min="7" max="7" width="16.42578125" style="2" customWidth="1"/>
    <col min="8" max="8" width="22.28515625" style="1" bestFit="1" customWidth="1"/>
    <col min="9" max="9" width="23.28515625" style="1" bestFit="1" customWidth="1"/>
    <col min="10" max="10" width="15.7109375" style="1" bestFit="1" customWidth="1"/>
    <col min="11" max="11" width="17" style="1" bestFit="1" customWidth="1"/>
    <col min="12" max="12" width="15.28515625" style="1" bestFit="1" customWidth="1"/>
    <col min="13" max="13" width="20.5703125" style="1" bestFit="1" customWidth="1"/>
    <col min="14" max="14" width="15.7109375" style="1" bestFit="1" customWidth="1"/>
    <col min="15" max="15" width="17" style="1" bestFit="1" customWidth="1"/>
    <col min="16" max="16" width="11.28515625" style="1" bestFit="1" customWidth="1"/>
    <col min="17" max="17" width="20.5703125" style="1" bestFit="1" customWidth="1"/>
    <col min="18" max="18" width="15.7109375" style="1" bestFit="1" customWidth="1"/>
    <col min="19" max="19" width="17" style="1" bestFit="1" customWidth="1"/>
    <col min="20" max="20" width="12.28515625" style="1" customWidth="1"/>
    <col min="21" max="21" width="20.5703125" style="1" bestFit="1" customWidth="1"/>
    <col min="22" max="22" width="15.7109375" style="1" bestFit="1" customWidth="1"/>
    <col min="23" max="23" width="17" style="1" bestFit="1" customWidth="1"/>
    <col min="24" max="24" width="11.28515625" style="1" bestFit="1" customWidth="1"/>
    <col min="25" max="25" width="23.42578125" style="1" bestFit="1" customWidth="1"/>
    <col min="26" max="16384" width="8.7109375" style="1"/>
  </cols>
  <sheetData>
    <row r="1" spans="1:25" ht="18.75" x14ac:dyDescent="0.3">
      <c r="A1" s="52"/>
      <c r="B1" s="54"/>
      <c r="C1" s="53"/>
      <c r="D1" s="53"/>
      <c r="E1" s="53"/>
      <c r="F1" s="228" t="s">
        <v>10</v>
      </c>
      <c r="G1" s="229"/>
      <c r="H1" s="229"/>
      <c r="I1" s="230"/>
      <c r="J1" s="231" t="s">
        <v>3</v>
      </c>
      <c r="K1" s="232"/>
      <c r="L1" s="232"/>
      <c r="M1" s="233"/>
      <c r="N1" s="234" t="s">
        <v>4</v>
      </c>
      <c r="O1" s="235"/>
      <c r="P1" s="235"/>
      <c r="Q1" s="236"/>
      <c r="R1" s="237" t="s">
        <v>5</v>
      </c>
      <c r="S1" s="238"/>
      <c r="T1" s="238"/>
      <c r="U1" s="239"/>
      <c r="V1" s="240" t="s">
        <v>6</v>
      </c>
      <c r="W1" s="241"/>
      <c r="X1" s="241"/>
      <c r="Y1" s="242"/>
    </row>
    <row r="2" spans="1:25" ht="110.25" x14ac:dyDescent="0.25">
      <c r="A2" s="141" t="s">
        <v>11</v>
      </c>
      <c r="B2" s="188" t="s">
        <v>12</v>
      </c>
      <c r="C2" s="34" t="s">
        <v>227</v>
      </c>
      <c r="D2" s="34" t="s">
        <v>226</v>
      </c>
      <c r="E2" s="34" t="s">
        <v>13</v>
      </c>
      <c r="F2" s="139" t="s">
        <v>14</v>
      </c>
      <c r="G2" s="29" t="s">
        <v>230</v>
      </c>
      <c r="H2" s="29" t="s">
        <v>15</v>
      </c>
      <c r="I2" s="140" t="s">
        <v>236</v>
      </c>
      <c r="J2" s="143" t="s">
        <v>14</v>
      </c>
      <c r="K2" s="30" t="s">
        <v>231</v>
      </c>
      <c r="L2" s="30" t="s">
        <v>15</v>
      </c>
      <c r="M2" s="144" t="s">
        <v>237</v>
      </c>
      <c r="N2" s="147" t="s">
        <v>14</v>
      </c>
      <c r="O2" s="31" t="s">
        <v>232</v>
      </c>
      <c r="P2" s="31" t="s">
        <v>15</v>
      </c>
      <c r="Q2" s="148" t="s">
        <v>238</v>
      </c>
      <c r="R2" s="149" t="s">
        <v>14</v>
      </c>
      <c r="S2" s="32" t="s">
        <v>233</v>
      </c>
      <c r="T2" s="32" t="s">
        <v>15</v>
      </c>
      <c r="U2" s="150" t="s">
        <v>239</v>
      </c>
      <c r="V2" s="145" t="s">
        <v>14</v>
      </c>
      <c r="W2" s="33" t="s">
        <v>234</v>
      </c>
      <c r="X2" s="33" t="s">
        <v>15</v>
      </c>
      <c r="Y2" s="146" t="s">
        <v>240</v>
      </c>
    </row>
    <row r="3" spans="1:25" x14ac:dyDescent="0.25">
      <c r="A3" s="214" t="s">
        <v>16</v>
      </c>
      <c r="B3" s="89" t="s">
        <v>17</v>
      </c>
      <c r="C3" s="153">
        <v>13</v>
      </c>
      <c r="D3" s="153"/>
      <c r="E3" s="153" t="s">
        <v>18</v>
      </c>
      <c r="F3" s="47"/>
      <c r="G3" s="5"/>
      <c r="H3" s="5"/>
      <c r="I3" s="51"/>
      <c r="J3" s="47"/>
      <c r="K3" s="5"/>
      <c r="L3" s="5"/>
      <c r="M3" s="49"/>
      <c r="N3" s="50"/>
      <c r="O3" s="5"/>
      <c r="P3" s="28"/>
      <c r="Q3" s="49"/>
      <c r="R3" s="47"/>
      <c r="S3" s="5"/>
      <c r="T3" s="5"/>
      <c r="U3" s="49"/>
      <c r="V3" s="50"/>
      <c r="W3" s="28"/>
      <c r="X3" s="28"/>
      <c r="Y3" s="51"/>
    </row>
    <row r="4" spans="1:25" x14ac:dyDescent="0.25">
      <c r="A4" s="214" t="s">
        <v>19</v>
      </c>
      <c r="B4" s="89"/>
      <c r="C4" s="153">
        <v>4</v>
      </c>
      <c r="D4" s="153"/>
      <c r="E4" s="153" t="s">
        <v>18</v>
      </c>
      <c r="F4" s="47"/>
      <c r="G4" s="5"/>
      <c r="H4" s="5"/>
      <c r="I4" s="51"/>
      <c r="J4" s="47"/>
      <c r="K4" s="5"/>
      <c r="L4" s="5"/>
      <c r="M4" s="49"/>
      <c r="N4" s="50"/>
      <c r="O4" s="5"/>
      <c r="P4" s="28"/>
      <c r="Q4" s="49"/>
      <c r="R4" s="47"/>
      <c r="S4" s="5"/>
      <c r="T4" s="5"/>
      <c r="U4" s="49"/>
      <c r="V4" s="50"/>
      <c r="W4" s="28"/>
      <c r="X4" s="28"/>
      <c r="Y4" s="51"/>
    </row>
    <row r="5" spans="1:25" x14ac:dyDescent="0.25">
      <c r="A5" s="214" t="s">
        <v>20</v>
      </c>
      <c r="B5" s="89" t="s">
        <v>21</v>
      </c>
      <c r="C5" s="153">
        <v>13</v>
      </c>
      <c r="D5" s="153"/>
      <c r="E5" s="153" t="s">
        <v>18</v>
      </c>
      <c r="F5" s="47"/>
      <c r="G5" s="5"/>
      <c r="H5" s="5"/>
      <c r="I5" s="51"/>
      <c r="J5" s="47"/>
      <c r="K5" s="5"/>
      <c r="L5" s="5"/>
      <c r="M5" s="49"/>
      <c r="N5" s="50"/>
      <c r="O5" s="5"/>
      <c r="P5" s="28"/>
      <c r="Q5" s="49"/>
      <c r="R5" s="47"/>
      <c r="S5" s="5"/>
      <c r="T5" s="5"/>
      <c r="U5" s="49"/>
      <c r="V5" s="50"/>
      <c r="W5" s="28"/>
      <c r="X5" s="28"/>
      <c r="Y5" s="51"/>
    </row>
    <row r="6" spans="1:25" x14ac:dyDescent="0.25">
      <c r="A6" s="214" t="s">
        <v>22</v>
      </c>
      <c r="B6" s="89" t="s">
        <v>21</v>
      </c>
      <c r="C6" s="153">
        <v>4</v>
      </c>
      <c r="D6" s="153"/>
      <c r="E6" s="153" t="s">
        <v>18</v>
      </c>
      <c r="F6" s="47"/>
      <c r="G6" s="5"/>
      <c r="H6" s="5"/>
      <c r="I6" s="51"/>
      <c r="J6" s="47"/>
      <c r="K6" s="5"/>
      <c r="L6" s="5"/>
      <c r="M6" s="49"/>
      <c r="N6" s="50"/>
      <c r="O6" s="5"/>
      <c r="P6" s="28"/>
      <c r="Q6" s="49"/>
      <c r="R6" s="47"/>
      <c r="S6" s="5"/>
      <c r="T6" s="5"/>
      <c r="U6" s="49"/>
      <c r="V6" s="50"/>
      <c r="W6" s="28"/>
      <c r="X6" s="28"/>
      <c r="Y6" s="51"/>
    </row>
    <row r="7" spans="1:25" x14ac:dyDescent="0.25">
      <c r="A7" s="214" t="s">
        <v>23</v>
      </c>
      <c r="B7" s="89" t="s">
        <v>24</v>
      </c>
      <c r="C7" s="153">
        <v>2</v>
      </c>
      <c r="D7" s="153"/>
      <c r="E7" s="153" t="s">
        <v>18</v>
      </c>
      <c r="F7" s="47"/>
      <c r="G7" s="5"/>
      <c r="H7" s="5"/>
      <c r="I7" s="51"/>
      <c r="J7" s="47"/>
      <c r="K7" s="5"/>
      <c r="L7" s="5"/>
      <c r="M7" s="49"/>
      <c r="N7" s="50"/>
      <c r="O7" s="5"/>
      <c r="P7" s="28"/>
      <c r="Q7" s="49"/>
      <c r="R7" s="47"/>
      <c r="S7" s="5"/>
      <c r="T7" s="5"/>
      <c r="U7" s="49"/>
      <c r="V7" s="50"/>
      <c r="W7" s="28"/>
      <c r="X7" s="28"/>
      <c r="Y7" s="51"/>
    </row>
    <row r="8" spans="1:25" x14ac:dyDescent="0.25">
      <c r="A8" s="39" t="s">
        <v>25</v>
      </c>
      <c r="B8" s="89" t="s">
        <v>26</v>
      </c>
      <c r="C8" s="153">
        <v>6600</v>
      </c>
      <c r="D8" s="153"/>
      <c r="E8" s="153" t="s">
        <v>18</v>
      </c>
      <c r="F8" s="61"/>
      <c r="G8" s="5"/>
      <c r="H8" s="5"/>
      <c r="I8" s="51"/>
      <c r="J8" s="47"/>
      <c r="K8" s="5"/>
      <c r="L8" s="5"/>
      <c r="M8" s="49"/>
      <c r="N8" s="50"/>
      <c r="O8" s="5"/>
      <c r="P8" s="28"/>
      <c r="Q8" s="49"/>
      <c r="R8" s="47"/>
      <c r="S8" s="5"/>
      <c r="T8" s="5"/>
      <c r="U8" s="49"/>
      <c r="V8" s="50"/>
      <c r="W8" s="28"/>
      <c r="X8" s="28"/>
      <c r="Y8" s="51"/>
    </row>
    <row r="9" spans="1:25" ht="31.5" x14ac:dyDescent="0.25">
      <c r="A9" s="40" t="s">
        <v>27</v>
      </c>
      <c r="B9" s="138" t="s">
        <v>28</v>
      </c>
      <c r="C9" s="153">
        <v>2</v>
      </c>
      <c r="D9" s="153"/>
      <c r="E9" s="153" t="s">
        <v>18</v>
      </c>
      <c r="F9" s="47"/>
      <c r="G9" s="5"/>
      <c r="H9" s="5"/>
      <c r="I9" s="51"/>
      <c r="J9" s="47"/>
      <c r="K9" s="5"/>
      <c r="L9" s="5"/>
      <c r="M9" s="49"/>
      <c r="N9" s="50"/>
      <c r="O9" s="5"/>
      <c r="P9" s="28"/>
      <c r="Q9" s="49"/>
      <c r="R9" s="47"/>
      <c r="S9" s="5"/>
      <c r="T9" s="5"/>
      <c r="U9" s="49"/>
      <c r="V9" s="50"/>
      <c r="W9" s="28"/>
      <c r="X9" s="28"/>
      <c r="Y9" s="51"/>
    </row>
    <row r="10" spans="1:25" ht="31.5" x14ac:dyDescent="0.25">
      <c r="A10" s="40" t="s">
        <v>29</v>
      </c>
      <c r="B10" s="138" t="s">
        <v>21</v>
      </c>
      <c r="C10" s="153">
        <v>1</v>
      </c>
      <c r="D10" s="153"/>
      <c r="E10" s="153" t="s">
        <v>18</v>
      </c>
      <c r="F10" s="47"/>
      <c r="G10" s="5"/>
      <c r="H10" s="5"/>
      <c r="I10" s="51"/>
      <c r="J10" s="47"/>
      <c r="K10" s="5"/>
      <c r="L10" s="5"/>
      <c r="M10" s="49"/>
      <c r="N10" s="50"/>
      <c r="O10" s="5"/>
      <c r="P10" s="28"/>
      <c r="Q10" s="49"/>
      <c r="R10" s="47"/>
      <c r="S10" s="5"/>
      <c r="T10" s="5"/>
      <c r="U10" s="49"/>
      <c r="V10" s="50"/>
      <c r="W10" s="28"/>
      <c r="X10" s="28"/>
      <c r="Y10" s="51"/>
    </row>
    <row r="11" spans="1:25" x14ac:dyDescent="0.25">
      <c r="A11" s="40" t="s">
        <v>30</v>
      </c>
      <c r="B11" s="138" t="s">
        <v>21</v>
      </c>
      <c r="C11" s="153">
        <v>1</v>
      </c>
      <c r="D11" s="153"/>
      <c r="E11" s="153" t="s">
        <v>18</v>
      </c>
      <c r="F11" s="47"/>
      <c r="G11" s="5"/>
      <c r="H11" s="5"/>
      <c r="I11" s="51"/>
      <c r="J11" s="47"/>
      <c r="K11" s="5"/>
      <c r="L11" s="5"/>
      <c r="M11" s="49"/>
      <c r="N11" s="50"/>
      <c r="O11" s="5"/>
      <c r="P11" s="28"/>
      <c r="Q11" s="49"/>
      <c r="R11" s="47"/>
      <c r="S11" s="5"/>
      <c r="T11" s="5"/>
      <c r="U11" s="49"/>
      <c r="V11" s="50"/>
      <c r="W11" s="28"/>
      <c r="X11" s="28"/>
      <c r="Y11" s="51"/>
    </row>
    <row r="12" spans="1:25" x14ac:dyDescent="0.25">
      <c r="A12" s="40" t="s">
        <v>202</v>
      </c>
      <c r="B12" s="138" t="s">
        <v>194</v>
      </c>
      <c r="C12" s="153"/>
      <c r="D12" s="153">
        <v>6</v>
      </c>
      <c r="E12" s="153" t="s">
        <v>33</v>
      </c>
      <c r="F12" s="47"/>
      <c r="G12" s="5"/>
      <c r="H12" s="5"/>
      <c r="I12" s="51"/>
      <c r="J12" s="47"/>
      <c r="K12" s="5"/>
      <c r="L12" s="5"/>
      <c r="M12" s="49"/>
      <c r="N12" s="50"/>
      <c r="O12" s="5"/>
      <c r="P12" s="28"/>
      <c r="Q12" s="49"/>
      <c r="R12" s="47"/>
      <c r="S12" s="5"/>
      <c r="T12" s="5"/>
      <c r="U12" s="49"/>
      <c r="V12" s="50"/>
      <c r="W12" s="28"/>
      <c r="X12" s="28"/>
      <c r="Y12" s="51"/>
    </row>
    <row r="13" spans="1:25" x14ac:dyDescent="0.25">
      <c r="A13" s="40" t="s">
        <v>34</v>
      </c>
      <c r="B13" s="138">
        <v>1</v>
      </c>
      <c r="C13" s="153">
        <v>12</v>
      </c>
      <c r="D13" s="153"/>
      <c r="E13" s="153" t="s">
        <v>18</v>
      </c>
      <c r="F13" s="47"/>
      <c r="G13" s="5"/>
      <c r="H13" s="5"/>
      <c r="I13" s="51"/>
      <c r="J13" s="47"/>
      <c r="K13" s="5"/>
      <c r="L13" s="5"/>
      <c r="M13" s="49"/>
      <c r="N13" s="50"/>
      <c r="O13" s="5"/>
      <c r="P13" s="28"/>
      <c r="Q13" s="49"/>
      <c r="R13" s="47"/>
      <c r="S13" s="5"/>
      <c r="T13" s="5"/>
      <c r="U13" s="49"/>
      <c r="V13" s="50"/>
      <c r="W13" s="28"/>
      <c r="X13" s="28"/>
      <c r="Y13" s="51"/>
    </row>
    <row r="14" spans="1:25" x14ac:dyDescent="0.25">
      <c r="A14" s="40" t="s">
        <v>35</v>
      </c>
      <c r="B14" s="138" t="s">
        <v>21</v>
      </c>
      <c r="C14" s="153">
        <v>2</v>
      </c>
      <c r="D14" s="153"/>
      <c r="E14" s="153" t="s">
        <v>18</v>
      </c>
      <c r="F14" s="47"/>
      <c r="G14" s="5"/>
      <c r="H14" s="5"/>
      <c r="I14" s="51"/>
      <c r="J14" s="47"/>
      <c r="K14" s="5"/>
      <c r="L14" s="5"/>
      <c r="M14" s="49"/>
      <c r="N14" s="50"/>
      <c r="O14" s="5"/>
      <c r="P14" s="28"/>
      <c r="Q14" s="49"/>
      <c r="R14" s="47"/>
      <c r="S14" s="5"/>
      <c r="T14" s="5"/>
      <c r="U14" s="49"/>
      <c r="V14" s="50"/>
      <c r="W14" s="28"/>
      <c r="X14" s="28"/>
      <c r="Y14" s="51"/>
    </row>
    <row r="15" spans="1:25" x14ac:dyDescent="0.25">
      <c r="A15" s="214" t="s">
        <v>36</v>
      </c>
      <c r="B15" s="89" t="s">
        <v>37</v>
      </c>
      <c r="C15" s="153">
        <v>12</v>
      </c>
      <c r="D15" s="153"/>
      <c r="E15" s="153" t="s">
        <v>18</v>
      </c>
      <c r="F15" s="47"/>
      <c r="G15" s="5"/>
      <c r="H15" s="5"/>
      <c r="I15" s="51"/>
      <c r="J15" s="47"/>
      <c r="K15" s="5"/>
      <c r="L15" s="5"/>
      <c r="M15" s="49"/>
      <c r="N15" s="50"/>
      <c r="O15" s="5"/>
      <c r="P15" s="28"/>
      <c r="Q15" s="49"/>
      <c r="R15" s="47"/>
      <c r="S15" s="5"/>
      <c r="T15" s="5"/>
      <c r="U15" s="49"/>
      <c r="V15" s="50"/>
      <c r="W15" s="28"/>
      <c r="X15" s="28"/>
      <c r="Y15" s="51"/>
    </row>
    <row r="16" spans="1:25" x14ac:dyDescent="0.25">
      <c r="A16" s="214" t="s">
        <v>38</v>
      </c>
      <c r="B16" s="89" t="s">
        <v>21</v>
      </c>
      <c r="C16" s="153">
        <v>1</v>
      </c>
      <c r="D16" s="153"/>
      <c r="E16" s="153" t="s">
        <v>18</v>
      </c>
      <c r="F16" s="47"/>
      <c r="G16" s="5"/>
      <c r="H16" s="5"/>
      <c r="I16" s="51"/>
      <c r="J16" s="47"/>
      <c r="K16" s="5"/>
      <c r="L16" s="5"/>
      <c r="M16" s="49"/>
      <c r="N16" s="50"/>
      <c r="O16" s="5"/>
      <c r="P16" s="28"/>
      <c r="Q16" s="49"/>
      <c r="R16" s="47"/>
      <c r="S16" s="5"/>
      <c r="T16" s="5"/>
      <c r="U16" s="49"/>
      <c r="V16" s="50"/>
      <c r="W16" s="28"/>
      <c r="X16" s="28"/>
      <c r="Y16" s="51"/>
    </row>
    <row r="17" spans="1:25" x14ac:dyDescent="0.25">
      <c r="A17" s="214" t="s">
        <v>39</v>
      </c>
      <c r="B17" s="89" t="s">
        <v>21</v>
      </c>
      <c r="C17" s="153">
        <v>48</v>
      </c>
      <c r="D17" s="153"/>
      <c r="E17" s="153" t="s">
        <v>18</v>
      </c>
      <c r="F17" s="47"/>
      <c r="G17" s="5"/>
      <c r="H17" s="5"/>
      <c r="I17" s="51"/>
      <c r="J17" s="47"/>
      <c r="K17" s="5"/>
      <c r="L17" s="5"/>
      <c r="M17" s="49"/>
      <c r="N17" s="50"/>
      <c r="O17" s="5"/>
      <c r="P17" s="28"/>
      <c r="Q17" s="49"/>
      <c r="R17" s="47"/>
      <c r="S17" s="5"/>
      <c r="T17" s="5"/>
      <c r="U17" s="49"/>
      <c r="V17" s="50"/>
      <c r="W17" s="28"/>
      <c r="X17" s="28"/>
      <c r="Y17" s="51"/>
    </row>
    <row r="18" spans="1:25" x14ac:dyDescent="0.25">
      <c r="A18" s="214" t="s">
        <v>40</v>
      </c>
      <c r="B18" s="89" t="s">
        <v>17</v>
      </c>
      <c r="C18" s="153">
        <v>1</v>
      </c>
      <c r="D18" s="153"/>
      <c r="E18" s="153" t="s">
        <v>18</v>
      </c>
      <c r="F18" s="47"/>
      <c r="G18" s="5"/>
      <c r="H18" s="5"/>
      <c r="I18" s="51"/>
      <c r="J18" s="47"/>
      <c r="K18" s="5"/>
      <c r="L18" s="5"/>
      <c r="M18" s="49"/>
      <c r="N18" s="50"/>
      <c r="O18" s="5"/>
      <c r="P18" s="28"/>
      <c r="Q18" s="49"/>
      <c r="R18" s="47"/>
      <c r="S18" s="5"/>
      <c r="T18" s="5"/>
      <c r="U18" s="49"/>
      <c r="V18" s="50"/>
      <c r="W18" s="28"/>
      <c r="X18" s="28"/>
      <c r="Y18" s="51"/>
    </row>
    <row r="19" spans="1:25" x14ac:dyDescent="0.25">
      <c r="A19" s="214" t="s">
        <v>41</v>
      </c>
      <c r="B19" s="89" t="s">
        <v>42</v>
      </c>
      <c r="C19" s="153">
        <v>7</v>
      </c>
      <c r="D19" s="153"/>
      <c r="E19" s="153" t="s">
        <v>18</v>
      </c>
      <c r="F19" s="47"/>
      <c r="G19" s="5"/>
      <c r="H19" s="5"/>
      <c r="I19" s="51"/>
      <c r="J19" s="47"/>
      <c r="K19" s="5"/>
      <c r="L19" s="5"/>
      <c r="M19" s="49"/>
      <c r="N19" s="50"/>
      <c r="O19" s="5"/>
      <c r="P19" s="28"/>
      <c r="Q19" s="49"/>
      <c r="R19" s="47"/>
      <c r="S19" s="5"/>
      <c r="T19" s="5"/>
      <c r="U19" s="49"/>
      <c r="V19" s="50"/>
      <c r="W19" s="28"/>
      <c r="X19" s="28"/>
      <c r="Y19" s="51"/>
    </row>
    <row r="20" spans="1:25" x14ac:dyDescent="0.25">
      <c r="A20" s="38" t="s">
        <v>43</v>
      </c>
      <c r="B20" s="138" t="s">
        <v>21</v>
      </c>
      <c r="C20" s="153">
        <v>277</v>
      </c>
      <c r="D20" s="153"/>
      <c r="E20" s="153" t="s">
        <v>18</v>
      </c>
      <c r="F20" s="47"/>
      <c r="G20" s="5"/>
      <c r="H20" s="5"/>
      <c r="I20" s="51"/>
      <c r="J20" s="47"/>
      <c r="K20" s="5"/>
      <c r="L20" s="5"/>
      <c r="M20" s="49"/>
      <c r="N20" s="50"/>
      <c r="O20" s="5"/>
      <c r="P20" s="28"/>
      <c r="Q20" s="49"/>
      <c r="R20" s="47"/>
      <c r="S20" s="5"/>
      <c r="T20" s="5"/>
      <c r="U20" s="49"/>
      <c r="V20" s="50"/>
      <c r="W20" s="28"/>
      <c r="X20" s="28"/>
      <c r="Y20" s="51"/>
    </row>
    <row r="21" spans="1:25" x14ac:dyDescent="0.25">
      <c r="A21" s="38" t="s">
        <v>44</v>
      </c>
      <c r="B21" s="138" t="s">
        <v>21</v>
      </c>
      <c r="C21" s="153">
        <v>708</v>
      </c>
      <c r="D21" s="153"/>
      <c r="E21" s="153" t="s">
        <v>18</v>
      </c>
      <c r="F21" s="47"/>
      <c r="G21" s="5"/>
      <c r="H21" s="5"/>
      <c r="I21" s="51"/>
      <c r="J21" s="47"/>
      <c r="K21" s="5"/>
      <c r="L21" s="5"/>
      <c r="M21" s="49"/>
      <c r="N21" s="50"/>
      <c r="O21" s="5"/>
      <c r="P21" s="28"/>
      <c r="Q21" s="49"/>
      <c r="R21" s="47"/>
      <c r="S21" s="5"/>
      <c r="T21" s="5"/>
      <c r="U21" s="49"/>
      <c r="V21" s="50"/>
      <c r="W21" s="28"/>
      <c r="X21" s="28"/>
      <c r="Y21" s="51"/>
    </row>
    <row r="22" spans="1:25" x14ac:dyDescent="0.25">
      <c r="A22" s="38" t="s">
        <v>45</v>
      </c>
      <c r="B22" s="138"/>
      <c r="C22" s="153">
        <v>12</v>
      </c>
      <c r="D22" s="153"/>
      <c r="E22" s="153" t="s">
        <v>46</v>
      </c>
      <c r="F22" s="47"/>
      <c r="G22" s="5"/>
      <c r="H22" s="5"/>
      <c r="I22" s="51"/>
      <c r="J22" s="47"/>
      <c r="K22" s="5"/>
      <c r="L22" s="5"/>
      <c r="M22" s="49"/>
      <c r="N22" s="50"/>
      <c r="O22" s="5"/>
      <c r="P22" s="28"/>
      <c r="Q22" s="49"/>
      <c r="R22" s="47"/>
      <c r="S22" s="5"/>
      <c r="T22" s="5"/>
      <c r="U22" s="49"/>
      <c r="V22" s="50"/>
      <c r="W22" s="28"/>
      <c r="X22" s="28"/>
      <c r="Y22" s="51"/>
    </row>
    <row r="23" spans="1:25" x14ac:dyDescent="0.25">
      <c r="A23" s="38" t="s">
        <v>47</v>
      </c>
      <c r="B23" s="138"/>
      <c r="C23" s="153">
        <v>1</v>
      </c>
      <c r="D23" s="153"/>
      <c r="E23" s="153" t="s">
        <v>46</v>
      </c>
      <c r="F23" s="47"/>
      <c r="G23" s="5"/>
      <c r="H23" s="5"/>
      <c r="I23" s="51"/>
      <c r="J23" s="47"/>
      <c r="K23" s="5"/>
      <c r="L23" s="5"/>
      <c r="M23" s="49"/>
      <c r="N23" s="50"/>
      <c r="O23" s="5"/>
      <c r="P23" s="28"/>
      <c r="Q23" s="49"/>
      <c r="R23" s="47"/>
      <c r="S23" s="5"/>
      <c r="T23" s="5"/>
      <c r="U23" s="49"/>
      <c r="V23" s="50"/>
      <c r="W23" s="28"/>
      <c r="X23" s="28"/>
      <c r="Y23" s="51"/>
    </row>
    <row r="24" spans="1:25" x14ac:dyDescent="0.25">
      <c r="A24" s="38" t="s">
        <v>229</v>
      </c>
      <c r="B24" s="138"/>
      <c r="C24" s="153">
        <v>1</v>
      </c>
      <c r="D24" s="153"/>
      <c r="E24" s="73" t="s">
        <v>203</v>
      </c>
      <c r="F24" s="47"/>
      <c r="G24" s="5"/>
      <c r="H24" s="5"/>
      <c r="I24" s="51"/>
      <c r="J24" s="47"/>
      <c r="K24" s="5"/>
      <c r="L24" s="5"/>
      <c r="M24" s="49"/>
      <c r="N24" s="50"/>
      <c r="O24" s="5"/>
      <c r="P24" s="28"/>
      <c r="Q24" s="49"/>
      <c r="R24" s="47"/>
      <c r="S24" s="5"/>
      <c r="T24" s="5"/>
      <c r="U24" s="49"/>
      <c r="V24" s="50"/>
      <c r="W24" s="28"/>
      <c r="X24" s="28"/>
      <c r="Y24" s="51"/>
    </row>
    <row r="25" spans="1:25" x14ac:dyDescent="0.25">
      <c r="A25" s="39" t="s">
        <v>48</v>
      </c>
      <c r="B25" s="73"/>
      <c r="C25" s="153">
        <v>12</v>
      </c>
      <c r="D25" s="153"/>
      <c r="E25" s="153" t="s">
        <v>46</v>
      </c>
      <c r="F25" s="46"/>
      <c r="G25" s="5"/>
      <c r="H25" s="2"/>
      <c r="I25" s="51"/>
      <c r="J25" s="47"/>
      <c r="K25" s="5"/>
      <c r="L25" s="5"/>
      <c r="M25" s="49"/>
      <c r="N25" s="50"/>
      <c r="O25" s="5"/>
      <c r="P25" s="28"/>
      <c r="Q25" s="49"/>
      <c r="R25" s="47"/>
      <c r="S25" s="5"/>
      <c r="T25" s="5"/>
      <c r="U25" s="49"/>
      <c r="V25" s="50"/>
      <c r="W25" s="28"/>
      <c r="X25" s="28"/>
      <c r="Y25" s="51"/>
    </row>
    <row r="26" spans="1:25" ht="16.5" thickBot="1" x14ac:dyDescent="0.3">
      <c r="A26" s="39" t="s">
        <v>49</v>
      </c>
      <c r="B26" s="73"/>
      <c r="C26" s="153">
        <v>4</v>
      </c>
      <c r="D26" s="153"/>
      <c r="E26" s="153" t="s">
        <v>46</v>
      </c>
      <c r="F26" s="46"/>
      <c r="G26" s="5"/>
      <c r="H26" s="2"/>
      <c r="I26" s="51"/>
      <c r="J26" s="47"/>
      <c r="K26" s="5"/>
      <c r="L26" s="5"/>
      <c r="M26" s="49"/>
      <c r="N26" s="50"/>
      <c r="O26" s="5"/>
      <c r="P26" s="28"/>
      <c r="Q26" s="49"/>
      <c r="R26" s="47"/>
      <c r="S26" s="5"/>
      <c r="T26" s="5"/>
      <c r="U26" s="49"/>
      <c r="V26" s="50"/>
      <c r="W26" s="28"/>
      <c r="X26" s="28"/>
      <c r="Y26" s="51"/>
    </row>
    <row r="27" spans="1:25" ht="16.5" thickBot="1" x14ac:dyDescent="0.3">
      <c r="A27" s="168"/>
      <c r="B27" s="169"/>
      <c r="C27" s="169"/>
      <c r="D27" s="170"/>
      <c r="E27" s="189" t="s">
        <v>50</v>
      </c>
      <c r="F27" s="48"/>
      <c r="G27" s="35"/>
      <c r="H27" s="35"/>
      <c r="I27" s="36"/>
      <c r="J27" s="48"/>
      <c r="K27" s="35"/>
      <c r="L27" s="35"/>
      <c r="M27" s="36"/>
      <c r="N27" s="48"/>
      <c r="O27" s="35"/>
      <c r="P27" s="35"/>
      <c r="Q27" s="36"/>
      <c r="R27" s="48"/>
      <c r="S27" s="35"/>
      <c r="T27" s="35"/>
      <c r="U27" s="36"/>
      <c r="V27" s="48"/>
      <c r="W27" s="35"/>
      <c r="X27" s="35"/>
      <c r="Y27" s="36"/>
    </row>
    <row r="28" spans="1:25" ht="16.5" thickBot="1" x14ac:dyDescent="0.3">
      <c r="A28" s="172"/>
      <c r="B28" s="173"/>
      <c r="C28" s="174"/>
      <c r="D28" s="174"/>
      <c r="E28" s="190" t="s">
        <v>51</v>
      </c>
      <c r="F28" s="176"/>
      <c r="G28" s="177"/>
      <c r="H28" s="177"/>
      <c r="I28" s="178"/>
      <c r="J28" s="176"/>
      <c r="K28" s="177"/>
      <c r="L28" s="177"/>
      <c r="M28" s="178"/>
      <c r="N28" s="176"/>
      <c r="O28" s="177"/>
      <c r="P28" s="177"/>
      <c r="Q28" s="178"/>
      <c r="R28" s="176"/>
      <c r="S28" s="177"/>
      <c r="T28" s="177"/>
      <c r="U28" s="178"/>
      <c r="V28" s="176"/>
      <c r="W28" s="177"/>
      <c r="X28" s="177"/>
      <c r="Y28" s="178"/>
    </row>
    <row r="29" spans="1:25" ht="21.75" thickBot="1" x14ac:dyDescent="0.4">
      <c r="A29" s="67"/>
      <c r="B29" s="68"/>
      <c r="C29" s="68"/>
      <c r="D29" s="68"/>
      <c r="E29" s="68"/>
      <c r="F29" s="69"/>
      <c r="G29" s="69"/>
      <c r="H29" s="69"/>
      <c r="I29" s="69"/>
      <c r="J29" s="69"/>
      <c r="K29" s="69"/>
      <c r="L29" s="69"/>
      <c r="M29" s="69"/>
      <c r="N29" s="68"/>
      <c r="O29" s="69"/>
      <c r="P29" s="68"/>
      <c r="Q29" s="69"/>
      <c r="R29" s="69"/>
      <c r="S29" s="69"/>
      <c r="T29" s="69"/>
      <c r="U29" s="69"/>
      <c r="V29" s="68"/>
      <c r="W29" s="68"/>
      <c r="X29" s="70" t="s">
        <v>52</v>
      </c>
      <c r="Y29" s="71"/>
    </row>
    <row r="30" spans="1:25" x14ac:dyDescent="0.25">
      <c r="H30" s="2"/>
      <c r="I30" s="2"/>
      <c r="J30" s="2"/>
      <c r="K30" s="2"/>
      <c r="L30" s="2"/>
      <c r="M30" s="2"/>
      <c r="O30" s="2"/>
      <c r="Q30" s="2"/>
      <c r="R30" s="2"/>
      <c r="S30" s="2"/>
      <c r="T30" s="2"/>
      <c r="U30" s="2"/>
    </row>
    <row r="31" spans="1:25" x14ac:dyDescent="0.25">
      <c r="H31" s="2"/>
      <c r="I31" s="2"/>
      <c r="J31" s="2"/>
      <c r="K31" s="2"/>
      <c r="L31" s="2"/>
      <c r="M31" s="2"/>
      <c r="O31" s="2"/>
      <c r="Q31" s="2"/>
      <c r="R31" s="2"/>
      <c r="S31" s="2"/>
      <c r="T31" s="2"/>
      <c r="U31" s="2"/>
      <c r="W31" s="154" t="s">
        <v>53</v>
      </c>
    </row>
    <row r="32" spans="1:25" x14ac:dyDescent="0.25">
      <c r="H32" s="2"/>
      <c r="I32" s="2"/>
      <c r="J32" s="2"/>
      <c r="K32" s="2"/>
      <c r="L32" s="2"/>
      <c r="M32" s="2"/>
      <c r="O32" s="2"/>
      <c r="Q32" s="2"/>
      <c r="R32" s="2"/>
      <c r="S32" s="2"/>
      <c r="T32" s="2"/>
      <c r="U32" s="2"/>
    </row>
    <row r="33" spans="1:21" x14ac:dyDescent="0.25">
      <c r="H33" s="2"/>
      <c r="I33" s="2"/>
      <c r="J33" s="2"/>
      <c r="K33" s="2"/>
      <c r="L33" s="2"/>
      <c r="M33" s="2"/>
      <c r="O33" s="2"/>
      <c r="Q33" s="2"/>
      <c r="R33" s="2"/>
      <c r="S33" s="2"/>
      <c r="T33" s="2"/>
      <c r="U33" s="2"/>
    </row>
    <row r="37" spans="1:21" hidden="1" x14ac:dyDescent="0.25">
      <c r="A37" s="1" t="s">
        <v>54</v>
      </c>
      <c r="B37" s="244">
        <f>6*(153+26)</f>
        <v>1074</v>
      </c>
      <c r="C37" s="244"/>
    </row>
    <row r="38" spans="1:21" hidden="1" x14ac:dyDescent="0.25">
      <c r="A38" s="1" t="s">
        <v>55</v>
      </c>
      <c r="B38" s="244">
        <v>1000</v>
      </c>
      <c r="C38" s="244"/>
    </row>
    <row r="39" spans="1:21" hidden="1" x14ac:dyDescent="0.25">
      <c r="A39" s="1" t="s">
        <v>56</v>
      </c>
      <c r="B39" s="244">
        <f>6*75</f>
        <v>450</v>
      </c>
      <c r="C39" s="244"/>
    </row>
    <row r="40" spans="1:21" hidden="1" x14ac:dyDescent="0.25">
      <c r="A40" s="1" t="s">
        <v>57</v>
      </c>
      <c r="B40" s="244">
        <f>6*(0.58*15)</f>
        <v>52.199999999999996</v>
      </c>
      <c r="C40" s="244"/>
    </row>
    <row r="41" spans="1:21" hidden="1" x14ac:dyDescent="0.25">
      <c r="A41" s="1" t="s">
        <v>58</v>
      </c>
      <c r="B41" s="244">
        <f>6*79</f>
        <v>474</v>
      </c>
      <c r="C41" s="244"/>
    </row>
    <row r="42" spans="1:21" hidden="1" x14ac:dyDescent="0.25">
      <c r="B42" s="243">
        <f>SUM(B37:B41)</f>
        <v>3050.2</v>
      </c>
      <c r="C42" s="243"/>
    </row>
  </sheetData>
  <autoFilter ref="A2:Y29" xr:uid="{1510804C-9F6B-4809-A584-9DB833049A62}"/>
  <mergeCells count="11">
    <mergeCell ref="F1:I1"/>
    <mergeCell ref="J1:M1"/>
    <mergeCell ref="N1:Q1"/>
    <mergeCell ref="R1:U1"/>
    <mergeCell ref="V1:Y1"/>
    <mergeCell ref="B42:C42"/>
    <mergeCell ref="B37:C37"/>
    <mergeCell ref="B38:C38"/>
    <mergeCell ref="B39:C39"/>
    <mergeCell ref="B40:C40"/>
    <mergeCell ref="B41:C41"/>
  </mergeCells>
  <phoneticPr fontId="8" type="noConversion"/>
  <pageMargins left="0.25" right="0.25" top="0.5" bottom="0.5" header="0.05" footer="0.05"/>
  <pageSetup paperSize="5" scale="5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07F575-8C8E-4FA2-85DE-A027025C81A1}">
  <sheetPr>
    <tabColor rgb="FF92D050"/>
  </sheetPr>
  <dimension ref="A1:Y32"/>
  <sheetViews>
    <sheetView zoomScaleNormal="100" workbookViewId="0">
      <selection activeCell="F3" sqref="F3"/>
    </sheetView>
  </sheetViews>
  <sheetFormatPr defaultColWidth="8.7109375" defaultRowHeight="15.75" x14ac:dyDescent="0.25"/>
  <cols>
    <col min="1" max="1" width="63.5703125" style="1" bestFit="1" customWidth="1"/>
    <col min="2" max="2" width="11.28515625" style="1" customWidth="1"/>
    <col min="3" max="3" width="16" style="191" customWidth="1"/>
    <col min="4" max="4" width="13.28515625" style="1" customWidth="1"/>
    <col min="5" max="5" width="12.5703125" style="1" customWidth="1"/>
    <col min="6" max="6" width="15.28515625" style="2" customWidth="1"/>
    <col min="7" max="7" width="16.42578125" style="2" customWidth="1"/>
    <col min="8" max="8" width="22.28515625" style="1" bestFit="1" customWidth="1"/>
    <col min="9" max="9" width="17.28515625" style="1" bestFit="1" customWidth="1"/>
    <col min="10" max="10" width="11.28515625" style="1" bestFit="1" customWidth="1"/>
    <col min="11" max="11" width="17" style="1" bestFit="1" customWidth="1"/>
    <col min="12" max="12" width="11.28515625" style="1" bestFit="1" customWidth="1"/>
    <col min="13" max="13" width="17.28515625" style="1" bestFit="1" customWidth="1"/>
    <col min="14" max="14" width="11.28515625" style="1" bestFit="1" customWidth="1"/>
    <col min="15" max="15" width="17" style="1" bestFit="1" customWidth="1"/>
    <col min="16" max="16" width="11.28515625" style="1" bestFit="1" customWidth="1"/>
    <col min="17" max="17" width="17.28515625" style="1" bestFit="1" customWidth="1"/>
    <col min="18" max="18" width="11.28515625" style="1" bestFit="1" customWidth="1"/>
    <col min="19" max="19" width="17" style="1" bestFit="1" customWidth="1"/>
    <col min="20" max="20" width="15.28515625" style="1" bestFit="1" customWidth="1"/>
    <col min="21" max="21" width="17.28515625" style="1" bestFit="1" customWidth="1"/>
    <col min="22" max="22" width="11.28515625" style="1" bestFit="1" customWidth="1"/>
    <col min="23" max="23" width="17" style="1" bestFit="1" customWidth="1"/>
    <col min="24" max="24" width="11.28515625" style="1" bestFit="1" customWidth="1"/>
    <col min="25" max="25" width="23.42578125" style="1" bestFit="1" customWidth="1"/>
    <col min="26" max="16384" width="8.7109375" style="1"/>
  </cols>
  <sheetData>
    <row r="1" spans="1:25" ht="18.75" x14ac:dyDescent="0.3">
      <c r="A1" s="52"/>
      <c r="B1" s="54"/>
      <c r="C1" s="122"/>
      <c r="D1" s="53"/>
      <c r="E1" s="54"/>
      <c r="F1" s="228" t="s">
        <v>10</v>
      </c>
      <c r="G1" s="229"/>
      <c r="H1" s="229"/>
      <c r="I1" s="230"/>
      <c r="J1" s="231" t="s">
        <v>3</v>
      </c>
      <c r="K1" s="232"/>
      <c r="L1" s="232"/>
      <c r="M1" s="233"/>
      <c r="N1" s="234" t="s">
        <v>4</v>
      </c>
      <c r="O1" s="235"/>
      <c r="P1" s="235"/>
      <c r="Q1" s="236"/>
      <c r="R1" s="237" t="s">
        <v>5</v>
      </c>
      <c r="S1" s="238"/>
      <c r="T1" s="238"/>
      <c r="U1" s="239"/>
      <c r="V1" s="240" t="s">
        <v>6</v>
      </c>
      <c r="W1" s="241"/>
      <c r="X1" s="241"/>
      <c r="Y1" s="242"/>
    </row>
    <row r="2" spans="1:25" ht="111" x14ac:dyDescent="0.3">
      <c r="A2" s="163" t="s">
        <v>11</v>
      </c>
      <c r="B2" s="165" t="s">
        <v>12</v>
      </c>
      <c r="C2" s="221" t="s">
        <v>227</v>
      </c>
      <c r="D2" s="157" t="s">
        <v>226</v>
      </c>
      <c r="E2" s="164" t="s">
        <v>13</v>
      </c>
      <c r="F2" s="166" t="s">
        <v>14</v>
      </c>
      <c r="G2" s="158" t="s">
        <v>230</v>
      </c>
      <c r="H2" s="158" t="s">
        <v>15</v>
      </c>
      <c r="I2" s="167" t="s">
        <v>236</v>
      </c>
      <c r="J2" s="186" t="s">
        <v>14</v>
      </c>
      <c r="K2" s="159" t="s">
        <v>231</v>
      </c>
      <c r="L2" s="159" t="s">
        <v>15</v>
      </c>
      <c r="M2" s="187" t="s">
        <v>237</v>
      </c>
      <c r="N2" s="184" t="s">
        <v>14</v>
      </c>
      <c r="O2" s="160" t="s">
        <v>232</v>
      </c>
      <c r="P2" s="160" t="s">
        <v>15</v>
      </c>
      <c r="Q2" s="185" t="s">
        <v>238</v>
      </c>
      <c r="R2" s="182" t="s">
        <v>14</v>
      </c>
      <c r="S2" s="161" t="s">
        <v>233</v>
      </c>
      <c r="T2" s="161" t="s">
        <v>15</v>
      </c>
      <c r="U2" s="183" t="s">
        <v>239</v>
      </c>
      <c r="V2" s="180" t="s">
        <v>14</v>
      </c>
      <c r="W2" s="162" t="s">
        <v>234</v>
      </c>
      <c r="X2" s="162" t="s">
        <v>15</v>
      </c>
      <c r="Y2" s="181" t="s">
        <v>240</v>
      </c>
    </row>
    <row r="3" spans="1:25" ht="31.5" x14ac:dyDescent="0.25">
      <c r="A3" s="119" t="s">
        <v>241</v>
      </c>
      <c r="B3" s="89" t="s">
        <v>67</v>
      </c>
      <c r="C3" s="156">
        <v>6</v>
      </c>
      <c r="D3" s="152"/>
      <c r="E3" s="126" t="s">
        <v>18</v>
      </c>
      <c r="F3" s="47"/>
      <c r="H3" s="5"/>
      <c r="I3" s="51"/>
      <c r="J3" s="47"/>
      <c r="K3" s="5"/>
      <c r="L3" s="5"/>
      <c r="M3" s="49"/>
      <c r="N3" s="50"/>
      <c r="O3" s="5"/>
      <c r="P3" s="28"/>
      <c r="Q3" s="49"/>
      <c r="R3" s="47"/>
      <c r="S3" s="5"/>
      <c r="T3" s="5"/>
      <c r="U3" s="49"/>
      <c r="V3" s="50"/>
      <c r="W3" s="28"/>
      <c r="X3" s="28"/>
      <c r="Y3" s="51"/>
    </row>
    <row r="4" spans="1:25" ht="31.5" x14ac:dyDescent="0.25">
      <c r="A4" s="119" t="s">
        <v>89</v>
      </c>
      <c r="B4" s="89" t="s">
        <v>90</v>
      </c>
      <c r="C4" s="156">
        <v>1</v>
      </c>
      <c r="D4" s="152"/>
      <c r="E4" s="126" t="s">
        <v>18</v>
      </c>
      <c r="F4" s="47"/>
      <c r="H4" s="5"/>
      <c r="I4" s="51"/>
      <c r="J4" s="47"/>
      <c r="K4" s="5"/>
      <c r="L4" s="5"/>
      <c r="M4" s="49"/>
      <c r="N4" s="50"/>
      <c r="O4" s="5"/>
      <c r="P4" s="28"/>
      <c r="Q4" s="49"/>
      <c r="R4" s="47"/>
      <c r="S4" s="5"/>
      <c r="T4" s="5"/>
      <c r="U4" s="49"/>
      <c r="V4" s="50"/>
      <c r="W4" s="28"/>
      <c r="X4" s="28"/>
      <c r="Y4" s="51"/>
    </row>
    <row r="5" spans="1:25" x14ac:dyDescent="0.25">
      <c r="A5" s="59" t="s">
        <v>91</v>
      </c>
      <c r="B5" s="89" t="s">
        <v>92</v>
      </c>
      <c r="C5" s="156">
        <v>100</v>
      </c>
      <c r="D5" s="152"/>
      <c r="E5" s="126" t="s">
        <v>18</v>
      </c>
      <c r="F5" s="47"/>
      <c r="H5" s="5"/>
      <c r="I5" s="51"/>
      <c r="J5" s="47"/>
      <c r="K5" s="5"/>
      <c r="L5" s="5"/>
      <c r="M5" s="49"/>
      <c r="N5" s="50"/>
      <c r="O5" s="5"/>
      <c r="P5" s="28"/>
      <c r="Q5" s="49"/>
      <c r="R5" s="47"/>
      <c r="S5" s="5"/>
      <c r="T5" s="5"/>
      <c r="U5" s="49"/>
      <c r="V5" s="50"/>
      <c r="W5" s="28"/>
      <c r="X5" s="28"/>
      <c r="Y5" s="51"/>
    </row>
    <row r="6" spans="1:25" x14ac:dyDescent="0.25">
      <c r="A6" s="39" t="s">
        <v>242</v>
      </c>
      <c r="B6" s="196" t="s">
        <v>76</v>
      </c>
      <c r="C6" s="156">
        <v>12</v>
      </c>
      <c r="D6" s="152"/>
      <c r="E6" s="126" t="s">
        <v>18</v>
      </c>
      <c r="F6" s="47"/>
      <c r="H6" s="5"/>
      <c r="I6" s="51"/>
      <c r="J6" s="47"/>
      <c r="K6" s="5"/>
      <c r="L6" s="5"/>
      <c r="M6" s="49"/>
      <c r="N6" s="50"/>
      <c r="O6" s="5"/>
      <c r="P6" s="28"/>
      <c r="Q6" s="49"/>
      <c r="R6" s="47"/>
      <c r="S6" s="5"/>
      <c r="T6" s="5"/>
      <c r="U6" s="49"/>
      <c r="V6" s="50"/>
      <c r="W6" s="28"/>
      <c r="X6" s="28"/>
      <c r="Y6" s="51"/>
    </row>
    <row r="7" spans="1:25" x14ac:dyDescent="0.25">
      <c r="A7" s="39" t="s">
        <v>69</v>
      </c>
      <c r="B7" s="196" t="s">
        <v>67</v>
      </c>
      <c r="C7" s="156">
        <v>12</v>
      </c>
      <c r="D7" s="152"/>
      <c r="E7" s="126" t="s">
        <v>18</v>
      </c>
      <c r="F7" s="47"/>
      <c r="H7" s="5"/>
      <c r="I7" s="51"/>
      <c r="J7" s="47"/>
      <c r="K7" s="5"/>
      <c r="L7" s="5"/>
      <c r="M7" s="49"/>
      <c r="N7" s="50"/>
      <c r="O7" s="5"/>
      <c r="P7" s="28"/>
      <c r="Q7" s="49"/>
      <c r="R7" s="47"/>
      <c r="S7" s="5"/>
      <c r="T7" s="5"/>
      <c r="U7" s="49"/>
      <c r="V7" s="50"/>
      <c r="W7" s="28"/>
      <c r="X7" s="28"/>
      <c r="Y7" s="51"/>
    </row>
    <row r="8" spans="1:25" x14ac:dyDescent="0.25">
      <c r="A8" s="40" t="s">
        <v>70</v>
      </c>
      <c r="B8" s="196" t="s">
        <v>67</v>
      </c>
      <c r="C8" s="156">
        <v>2</v>
      </c>
      <c r="D8" s="152"/>
      <c r="E8" s="126" t="s">
        <v>18</v>
      </c>
      <c r="F8" s="47"/>
      <c r="H8" s="5"/>
      <c r="I8" s="51"/>
      <c r="J8" s="47"/>
      <c r="K8" s="5"/>
      <c r="L8" s="5"/>
      <c r="M8" s="49"/>
      <c r="N8" s="50"/>
      <c r="O8" s="5"/>
      <c r="P8" s="28"/>
      <c r="Q8" s="49"/>
      <c r="R8" s="47"/>
      <c r="S8" s="5"/>
      <c r="T8" s="5"/>
      <c r="U8" s="49"/>
      <c r="V8" s="50"/>
      <c r="W8" s="28"/>
      <c r="X8" s="28"/>
      <c r="Y8" s="51"/>
    </row>
    <row r="9" spans="1:25" x14ac:dyDescent="0.25">
      <c r="A9" s="120" t="s">
        <v>94</v>
      </c>
      <c r="B9" s="90" t="s">
        <v>37</v>
      </c>
      <c r="C9" s="156">
        <v>12</v>
      </c>
      <c r="D9" s="152"/>
      <c r="E9" s="126" t="s">
        <v>18</v>
      </c>
      <c r="F9" s="47"/>
      <c r="H9" s="5"/>
      <c r="I9" s="51"/>
      <c r="J9" s="47"/>
      <c r="K9" s="5"/>
      <c r="L9" s="5"/>
      <c r="M9" s="49"/>
      <c r="N9" s="50"/>
      <c r="O9" s="5"/>
      <c r="P9" s="28"/>
      <c r="Q9" s="49"/>
      <c r="R9" s="47"/>
      <c r="S9" s="5"/>
      <c r="T9" s="5"/>
      <c r="U9" s="49"/>
      <c r="V9" s="50"/>
      <c r="W9" s="28"/>
      <c r="X9" s="28"/>
      <c r="Y9" s="51"/>
    </row>
    <row r="10" spans="1:25" x14ac:dyDescent="0.25">
      <c r="A10" s="38" t="s">
        <v>95</v>
      </c>
      <c r="B10" s="197" t="s">
        <v>21</v>
      </c>
      <c r="C10" s="156">
        <v>12</v>
      </c>
      <c r="D10" s="152"/>
      <c r="E10" s="126" t="s">
        <v>18</v>
      </c>
      <c r="F10" s="47"/>
      <c r="H10" s="5"/>
      <c r="I10" s="51"/>
      <c r="J10" s="47"/>
      <c r="K10" s="5"/>
      <c r="L10" s="5"/>
      <c r="M10" s="49"/>
      <c r="N10" s="50"/>
      <c r="O10" s="5"/>
      <c r="P10" s="28"/>
      <c r="Q10" s="49"/>
      <c r="R10" s="47"/>
      <c r="S10" s="5"/>
      <c r="T10" s="5"/>
      <c r="U10" s="49"/>
      <c r="V10" s="50"/>
      <c r="W10" s="28"/>
      <c r="X10" s="28"/>
      <c r="Y10" s="51"/>
    </row>
    <row r="11" spans="1:25" x14ac:dyDescent="0.25">
      <c r="A11" s="41" t="s">
        <v>96</v>
      </c>
      <c r="B11" s="198" t="s">
        <v>17</v>
      </c>
      <c r="C11" s="156">
        <v>120</v>
      </c>
      <c r="D11" s="152"/>
      <c r="E11" s="126" t="s">
        <v>18</v>
      </c>
      <c r="F11" s="47"/>
      <c r="H11" s="5"/>
      <c r="I11" s="51"/>
      <c r="J11" s="47"/>
      <c r="K11" s="5"/>
      <c r="L11" s="5"/>
      <c r="M11" s="49"/>
      <c r="N11" s="50"/>
      <c r="O11" s="5"/>
      <c r="P11" s="28"/>
      <c r="Q11" s="49"/>
      <c r="R11" s="47"/>
      <c r="S11" s="5"/>
      <c r="T11" s="5"/>
      <c r="U11" s="49"/>
      <c r="V11" s="50"/>
      <c r="W11" s="28"/>
      <c r="X11" s="28"/>
      <c r="Y11" s="51"/>
    </row>
    <row r="12" spans="1:25" x14ac:dyDescent="0.25">
      <c r="A12" s="39" t="s">
        <v>73</v>
      </c>
      <c r="B12" s="196" t="s">
        <v>74</v>
      </c>
      <c r="C12" s="156">
        <v>120</v>
      </c>
      <c r="D12" s="152"/>
      <c r="E12" s="126" t="s">
        <v>18</v>
      </c>
      <c r="F12" s="47"/>
      <c r="H12" s="5"/>
      <c r="I12" s="51"/>
      <c r="J12" s="47"/>
      <c r="K12" s="5"/>
      <c r="L12" s="5"/>
      <c r="M12" s="49"/>
      <c r="N12" s="50"/>
      <c r="O12" s="5"/>
      <c r="P12" s="28"/>
      <c r="Q12" s="49"/>
      <c r="R12" s="47"/>
      <c r="S12" s="5"/>
      <c r="T12" s="5"/>
      <c r="U12" s="49"/>
      <c r="V12" s="50"/>
      <c r="W12" s="28"/>
      <c r="X12" s="28"/>
      <c r="Y12" s="51"/>
    </row>
    <row r="13" spans="1:25" x14ac:dyDescent="0.25">
      <c r="A13" s="38" t="s">
        <v>97</v>
      </c>
      <c r="B13" s="197" t="s">
        <v>98</v>
      </c>
      <c r="C13" s="156">
        <v>12635</v>
      </c>
      <c r="D13" s="152"/>
      <c r="E13" s="126" t="s">
        <v>99</v>
      </c>
      <c r="F13" s="47"/>
      <c r="H13" s="5"/>
      <c r="I13" s="51"/>
      <c r="J13" s="47"/>
      <c r="K13" s="5"/>
      <c r="L13" s="5"/>
      <c r="M13" s="49"/>
      <c r="N13" s="50"/>
      <c r="O13" s="5"/>
      <c r="P13" s="28"/>
      <c r="Q13" s="49"/>
      <c r="R13" s="47"/>
      <c r="S13" s="5"/>
      <c r="T13" s="5"/>
      <c r="U13" s="49"/>
      <c r="V13" s="50"/>
      <c r="W13" s="28"/>
      <c r="X13" s="28"/>
      <c r="Y13" s="51"/>
    </row>
    <row r="14" spans="1:25" x14ac:dyDescent="0.25">
      <c r="A14" s="39" t="s">
        <v>100</v>
      </c>
      <c r="B14" s="196" t="s">
        <v>101</v>
      </c>
      <c r="C14" s="156">
        <v>349</v>
      </c>
      <c r="D14" s="152"/>
      <c r="E14" s="126" t="s">
        <v>33</v>
      </c>
      <c r="F14" s="47"/>
      <c r="H14" s="5"/>
      <c r="I14" s="51"/>
      <c r="J14" s="47"/>
      <c r="K14" s="5"/>
      <c r="L14" s="5"/>
      <c r="M14" s="49"/>
      <c r="N14" s="50"/>
      <c r="O14" s="5"/>
      <c r="P14" s="28"/>
      <c r="Q14" s="49"/>
      <c r="R14" s="47"/>
      <c r="S14" s="5"/>
      <c r="T14" s="5"/>
      <c r="U14" s="49"/>
      <c r="V14" s="50"/>
      <c r="W14" s="28"/>
      <c r="X14" s="28"/>
      <c r="Y14" s="51"/>
    </row>
    <row r="15" spans="1:25" ht="31.5" x14ac:dyDescent="0.25">
      <c r="A15" s="60" t="s">
        <v>102</v>
      </c>
      <c r="B15" s="89" t="s">
        <v>17</v>
      </c>
      <c r="C15" s="156">
        <v>12</v>
      </c>
      <c r="D15" s="152"/>
      <c r="E15" s="126" t="s">
        <v>18</v>
      </c>
      <c r="F15" s="47"/>
      <c r="H15" s="5"/>
      <c r="I15" s="51"/>
      <c r="J15" s="47"/>
      <c r="K15" s="5"/>
      <c r="L15" s="5"/>
      <c r="M15" s="49"/>
      <c r="N15" s="50"/>
      <c r="O15" s="5"/>
      <c r="P15" s="28"/>
      <c r="Q15" s="49"/>
      <c r="R15" s="47"/>
      <c r="S15" s="5"/>
      <c r="T15" s="5"/>
      <c r="U15" s="49"/>
      <c r="V15" s="50"/>
      <c r="W15" s="28"/>
      <c r="X15" s="28"/>
      <c r="Y15" s="51"/>
    </row>
    <row r="16" spans="1:25" ht="31.5" x14ac:dyDescent="0.25">
      <c r="A16" s="60" t="s">
        <v>102</v>
      </c>
      <c r="B16" s="89" t="s">
        <v>21</v>
      </c>
      <c r="C16" s="156">
        <v>6</v>
      </c>
      <c r="D16" s="152"/>
      <c r="E16" s="126"/>
      <c r="F16" s="47"/>
      <c r="H16" s="5"/>
      <c r="I16" s="51"/>
      <c r="J16" s="47"/>
      <c r="K16" s="5"/>
      <c r="L16" s="5"/>
      <c r="M16" s="49"/>
      <c r="N16" s="50"/>
      <c r="O16" s="5"/>
      <c r="P16" s="28"/>
      <c r="Q16" s="49"/>
      <c r="R16" s="47"/>
      <c r="S16" s="5"/>
      <c r="T16" s="5"/>
      <c r="U16" s="49"/>
      <c r="V16" s="50"/>
      <c r="W16" s="28"/>
      <c r="X16" s="28"/>
      <c r="Y16" s="51"/>
    </row>
    <row r="17" spans="1:25" ht="47.25" x14ac:dyDescent="0.25">
      <c r="A17" s="40" t="s">
        <v>103</v>
      </c>
      <c r="B17" s="196" t="s">
        <v>67</v>
      </c>
      <c r="C17" s="156">
        <v>12</v>
      </c>
      <c r="D17" s="152"/>
      <c r="E17" s="126" t="s">
        <v>18</v>
      </c>
      <c r="F17" s="47"/>
      <c r="H17" s="5"/>
      <c r="I17" s="51"/>
      <c r="J17" s="47"/>
      <c r="K17" s="5"/>
      <c r="L17" s="5"/>
      <c r="M17" s="49"/>
      <c r="N17" s="50"/>
      <c r="O17" s="5"/>
      <c r="P17" s="28"/>
      <c r="Q17" s="49"/>
      <c r="R17" s="47"/>
      <c r="S17" s="5"/>
      <c r="T17" s="5"/>
      <c r="U17" s="49"/>
      <c r="V17" s="50"/>
      <c r="W17" s="28"/>
      <c r="X17" s="28"/>
      <c r="Y17" s="51"/>
    </row>
    <row r="18" spans="1:25" x14ac:dyDescent="0.25">
      <c r="A18" s="39" t="s">
        <v>104</v>
      </c>
      <c r="B18" s="196" t="s">
        <v>21</v>
      </c>
      <c r="C18" s="156">
        <v>152</v>
      </c>
      <c r="D18" s="152"/>
      <c r="E18" s="126" t="s">
        <v>18</v>
      </c>
      <c r="F18" s="47"/>
      <c r="H18" s="5"/>
      <c r="I18" s="51"/>
      <c r="J18" s="47"/>
      <c r="K18" s="5"/>
      <c r="L18" s="5"/>
      <c r="M18" s="49"/>
      <c r="N18" s="50"/>
      <c r="O18" s="5"/>
      <c r="P18" s="28"/>
      <c r="Q18" s="49"/>
      <c r="R18" s="47"/>
      <c r="S18" s="5"/>
      <c r="T18" s="5"/>
      <c r="U18" s="49"/>
      <c r="V18" s="50"/>
      <c r="W18" s="28"/>
      <c r="X18" s="28"/>
      <c r="Y18" s="51"/>
    </row>
    <row r="19" spans="1:25" x14ac:dyDescent="0.25">
      <c r="A19" s="39" t="s">
        <v>82</v>
      </c>
      <c r="B19" s="196" t="s">
        <v>21</v>
      </c>
      <c r="C19" s="156">
        <v>17000</v>
      </c>
      <c r="D19" s="152"/>
      <c r="E19" s="126" t="s">
        <v>18</v>
      </c>
      <c r="F19" s="47"/>
      <c r="H19" s="5"/>
      <c r="I19" s="51"/>
      <c r="J19" s="47"/>
      <c r="K19" s="5"/>
      <c r="L19" s="5"/>
      <c r="M19" s="49"/>
      <c r="N19" s="50"/>
      <c r="O19" s="5"/>
      <c r="P19" s="28"/>
      <c r="Q19" s="49"/>
      <c r="R19" s="47"/>
      <c r="S19" s="5"/>
      <c r="T19" s="5"/>
      <c r="U19" s="49"/>
      <c r="V19" s="50"/>
      <c r="W19" s="28"/>
      <c r="X19" s="28"/>
      <c r="Y19" s="51"/>
    </row>
    <row r="20" spans="1:25" x14ac:dyDescent="0.25">
      <c r="A20" s="39" t="s">
        <v>25</v>
      </c>
      <c r="B20" s="196" t="s">
        <v>26</v>
      </c>
      <c r="C20" s="156">
        <v>4100</v>
      </c>
      <c r="D20" s="152"/>
      <c r="E20" s="126" t="s">
        <v>18</v>
      </c>
      <c r="F20" s="47"/>
      <c r="H20" s="5"/>
      <c r="I20" s="51"/>
      <c r="J20" s="47"/>
      <c r="K20" s="5"/>
      <c r="L20" s="5"/>
      <c r="M20" s="49"/>
      <c r="N20" s="50"/>
      <c r="O20" s="5"/>
      <c r="P20" s="28"/>
      <c r="Q20" s="49"/>
      <c r="R20" s="47"/>
      <c r="S20" s="5"/>
      <c r="T20" s="5"/>
      <c r="U20" s="49"/>
      <c r="V20" s="50"/>
      <c r="W20" s="28"/>
      <c r="X20" s="28"/>
      <c r="Y20" s="51"/>
    </row>
    <row r="21" spans="1:25" x14ac:dyDescent="0.25">
      <c r="A21" s="38" t="s">
        <v>47</v>
      </c>
      <c r="B21" s="138"/>
      <c r="C21" s="153"/>
      <c r="D21" s="153"/>
      <c r="E21" s="73" t="s">
        <v>46</v>
      </c>
      <c r="F21" s="47"/>
      <c r="G21" s="5"/>
      <c r="H21" s="5"/>
      <c r="I21" s="51"/>
      <c r="J21" s="47"/>
      <c r="K21" s="5"/>
      <c r="L21" s="5"/>
      <c r="M21" s="49"/>
      <c r="N21" s="50"/>
      <c r="O21" s="5"/>
      <c r="P21" s="28"/>
      <c r="Q21" s="49"/>
      <c r="R21" s="47"/>
      <c r="S21" s="5"/>
      <c r="T21" s="5"/>
      <c r="U21" s="49"/>
      <c r="V21" s="50"/>
      <c r="W21" s="28"/>
      <c r="X21" s="28"/>
      <c r="Y21" s="51"/>
    </row>
    <row r="22" spans="1:25" x14ac:dyDescent="0.25">
      <c r="A22" s="38" t="s">
        <v>229</v>
      </c>
      <c r="B22" s="138"/>
      <c r="C22" s="153">
        <v>1</v>
      </c>
      <c r="D22" s="153"/>
      <c r="E22" s="73" t="s">
        <v>203</v>
      </c>
      <c r="F22" s="47"/>
      <c r="G22" s="5"/>
      <c r="H22" s="5"/>
      <c r="I22" s="51"/>
      <c r="J22" s="47"/>
      <c r="K22" s="5"/>
      <c r="L22" s="5"/>
      <c r="M22" s="49"/>
      <c r="N22" s="50"/>
      <c r="O22" s="5"/>
      <c r="P22" s="28"/>
      <c r="Q22" s="49"/>
      <c r="R22" s="47"/>
      <c r="S22" s="5"/>
      <c r="T22" s="5"/>
      <c r="U22" s="49"/>
      <c r="V22" s="50"/>
      <c r="W22" s="28"/>
      <c r="X22" s="28"/>
      <c r="Y22" s="51"/>
    </row>
    <row r="23" spans="1:25" x14ac:dyDescent="0.25">
      <c r="A23" s="38" t="s">
        <v>45</v>
      </c>
      <c r="B23" s="197"/>
      <c r="C23" s="156">
        <v>12</v>
      </c>
      <c r="D23" s="152"/>
      <c r="E23" s="126" t="s">
        <v>46</v>
      </c>
      <c r="F23" s="47"/>
      <c r="G23" s="5"/>
      <c r="H23" s="5"/>
      <c r="I23" s="51"/>
      <c r="J23" s="47"/>
      <c r="K23" s="5"/>
      <c r="L23" s="5"/>
      <c r="M23" s="49"/>
      <c r="N23" s="50"/>
      <c r="O23" s="5"/>
      <c r="P23" s="28"/>
      <c r="Q23" s="49"/>
      <c r="R23" s="47"/>
      <c r="S23" s="5"/>
      <c r="T23" s="5"/>
      <c r="U23" s="49"/>
      <c r="V23" s="50"/>
      <c r="W23" s="28"/>
      <c r="X23" s="28"/>
      <c r="Y23" s="51"/>
    </row>
    <row r="24" spans="1:25" x14ac:dyDescent="0.25">
      <c r="A24" s="39" t="s">
        <v>48</v>
      </c>
      <c r="B24" s="126"/>
      <c r="C24" s="156">
        <v>12</v>
      </c>
      <c r="D24" s="152"/>
      <c r="E24" s="126" t="s">
        <v>46</v>
      </c>
      <c r="F24" s="46"/>
      <c r="G24" s="5"/>
      <c r="H24" s="5"/>
      <c r="I24" s="51"/>
      <c r="J24" s="47"/>
      <c r="K24" s="5"/>
      <c r="L24" s="5"/>
      <c r="M24" s="49"/>
      <c r="N24" s="50"/>
      <c r="O24" s="5"/>
      <c r="P24" s="28"/>
      <c r="Q24" s="49"/>
      <c r="R24" s="47"/>
      <c r="S24" s="5"/>
      <c r="T24" s="5"/>
      <c r="U24" s="49"/>
      <c r="V24" s="50"/>
      <c r="W24" s="28"/>
      <c r="X24" s="28"/>
      <c r="Y24" s="51"/>
    </row>
    <row r="25" spans="1:25" ht="16.5" thickBot="1" x14ac:dyDescent="0.3">
      <c r="A25" s="74" t="s">
        <v>49</v>
      </c>
      <c r="B25" s="195"/>
      <c r="C25" s="194">
        <v>4</v>
      </c>
      <c r="D25" s="121"/>
      <c r="E25" s="195" t="s">
        <v>46</v>
      </c>
      <c r="F25" s="46"/>
      <c r="G25" s="5"/>
      <c r="H25" s="5"/>
      <c r="I25" s="51"/>
      <c r="J25" s="47"/>
      <c r="K25" s="5"/>
      <c r="L25" s="5"/>
      <c r="M25" s="49"/>
      <c r="N25" s="50"/>
      <c r="O25" s="5"/>
      <c r="P25" s="28"/>
      <c r="Q25" s="49"/>
      <c r="R25" s="47"/>
      <c r="S25" s="5"/>
      <c r="T25" s="5"/>
      <c r="U25" s="49"/>
      <c r="V25" s="50"/>
      <c r="W25" s="28"/>
      <c r="X25" s="28"/>
      <c r="Y25" s="51"/>
    </row>
    <row r="26" spans="1:25" ht="16.5" thickBot="1" x14ac:dyDescent="0.3">
      <c r="A26" s="168"/>
      <c r="B26" s="169"/>
      <c r="C26" s="192"/>
      <c r="D26" s="170"/>
      <c r="E26" s="189" t="s">
        <v>50</v>
      </c>
      <c r="F26" s="48"/>
      <c r="G26" s="35"/>
      <c r="H26" s="35"/>
      <c r="I26" s="36"/>
      <c r="J26" s="48"/>
      <c r="K26" s="35"/>
      <c r="L26" s="35"/>
      <c r="M26" s="36"/>
      <c r="N26" s="48"/>
      <c r="O26" s="35"/>
      <c r="P26" s="35"/>
      <c r="Q26" s="36"/>
      <c r="R26" s="48"/>
      <c r="S26" s="35"/>
      <c r="T26" s="35"/>
      <c r="U26" s="36"/>
      <c r="V26" s="48"/>
      <c r="W26" s="35"/>
      <c r="X26" s="35"/>
      <c r="Y26" s="36"/>
    </row>
    <row r="27" spans="1:25" ht="16.5" thickBot="1" x14ac:dyDescent="0.3">
      <c r="A27" s="172"/>
      <c r="B27" s="173"/>
      <c r="C27" s="193"/>
      <c r="D27" s="174"/>
      <c r="E27" s="190" t="s">
        <v>51</v>
      </c>
      <c r="F27" s="176"/>
      <c r="G27" s="177"/>
      <c r="H27" s="177"/>
      <c r="I27" s="178"/>
      <c r="J27" s="176"/>
      <c r="K27" s="177"/>
      <c r="L27" s="177"/>
      <c r="M27" s="178"/>
      <c r="N27" s="176"/>
      <c r="O27" s="177"/>
      <c r="P27" s="177"/>
      <c r="Q27" s="178"/>
      <c r="R27" s="176"/>
      <c r="S27" s="177"/>
      <c r="T27" s="177"/>
      <c r="U27" s="178"/>
      <c r="V27" s="176"/>
      <c r="W27" s="177"/>
      <c r="X27" s="177"/>
      <c r="Y27" s="178"/>
    </row>
    <row r="28" spans="1:25" ht="21.75" thickBot="1" x14ac:dyDescent="0.4">
      <c r="A28" s="67"/>
      <c r="B28" s="68"/>
      <c r="C28" s="123"/>
      <c r="D28" s="68"/>
      <c r="E28" s="68"/>
      <c r="F28" s="69"/>
      <c r="G28" s="69"/>
      <c r="H28" s="69"/>
      <c r="I28" s="69"/>
      <c r="J28" s="69"/>
      <c r="K28" s="69"/>
      <c r="L28" s="69"/>
      <c r="M28" s="69"/>
      <c r="N28" s="68"/>
      <c r="O28" s="69"/>
      <c r="P28" s="68"/>
      <c r="Q28" s="69"/>
      <c r="R28" s="69"/>
      <c r="S28" s="69"/>
      <c r="T28" s="69"/>
      <c r="U28" s="69"/>
      <c r="V28" s="68"/>
      <c r="W28" s="68"/>
      <c r="X28" s="70" t="s">
        <v>52</v>
      </c>
      <c r="Y28" s="71"/>
    </row>
    <row r="29" spans="1:25" x14ac:dyDescent="0.25">
      <c r="H29" s="2"/>
      <c r="I29" s="2"/>
      <c r="J29" s="2"/>
      <c r="K29" s="2"/>
      <c r="L29" s="2"/>
      <c r="M29" s="2"/>
      <c r="O29" s="2"/>
      <c r="Q29" s="2"/>
      <c r="R29" s="2"/>
      <c r="S29" s="2"/>
      <c r="T29" s="2"/>
      <c r="U29" s="2"/>
    </row>
    <row r="30" spans="1:25" x14ac:dyDescent="0.25">
      <c r="H30" s="2"/>
      <c r="I30" s="2"/>
      <c r="J30" s="2"/>
      <c r="K30" s="2"/>
      <c r="L30" s="2"/>
      <c r="M30" s="2"/>
      <c r="O30" s="2"/>
      <c r="Q30" s="2"/>
      <c r="R30" s="2"/>
      <c r="S30" s="2"/>
      <c r="T30" s="2"/>
      <c r="U30" s="2"/>
      <c r="W30" s="154" t="s">
        <v>53</v>
      </c>
    </row>
    <row r="31" spans="1:25" x14ac:dyDescent="0.25">
      <c r="H31" s="2"/>
      <c r="I31" s="2"/>
      <c r="J31" s="2"/>
      <c r="K31" s="2"/>
      <c r="L31" s="2"/>
      <c r="M31" s="2"/>
      <c r="O31" s="2"/>
      <c r="Q31" s="2"/>
      <c r="R31" s="2"/>
      <c r="S31" s="2"/>
      <c r="T31" s="2"/>
      <c r="U31" s="2"/>
    </row>
    <row r="32" spans="1:25" x14ac:dyDescent="0.25">
      <c r="H32" s="2"/>
      <c r="I32" s="2"/>
      <c r="J32" s="2"/>
      <c r="K32" s="2"/>
      <c r="L32" s="2"/>
      <c r="M32" s="2"/>
      <c r="O32" s="2"/>
      <c r="Q32" s="2"/>
      <c r="R32" s="2"/>
      <c r="S32" s="2"/>
      <c r="T32" s="2"/>
      <c r="U32" s="2"/>
    </row>
  </sheetData>
  <autoFilter ref="A2:Y28" xr:uid="{1510804C-9F6B-4809-A584-9DB833049A62}"/>
  <mergeCells count="5">
    <mergeCell ref="F1:I1"/>
    <mergeCell ref="J1:M1"/>
    <mergeCell ref="N1:Q1"/>
    <mergeCell ref="R1:U1"/>
    <mergeCell ref="V1:Y1"/>
  </mergeCells>
  <phoneticPr fontId="8" type="noConversion"/>
  <pageMargins left="0.25" right="0.25" top="0.75" bottom="0.75" header="0.3" footer="0.3"/>
  <pageSetup scale="75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D4DD4D-7B95-42AE-ACDA-B7A4676A0905}">
  <sheetPr>
    <tabColor rgb="FF92D050"/>
  </sheetPr>
  <dimension ref="A1:Y30"/>
  <sheetViews>
    <sheetView zoomScaleNormal="100" workbookViewId="0">
      <selection activeCell="F3" sqref="F3"/>
    </sheetView>
  </sheetViews>
  <sheetFormatPr defaultColWidth="8.7109375" defaultRowHeight="15.75" x14ac:dyDescent="0.25"/>
  <cols>
    <col min="1" max="1" width="57.7109375" style="1" customWidth="1"/>
    <col min="2" max="2" width="11.28515625" style="1" customWidth="1"/>
    <col min="3" max="3" width="27.28515625" style="1" customWidth="1"/>
    <col min="4" max="4" width="13.28515625" style="1" customWidth="1"/>
    <col min="5" max="5" width="12.5703125" style="1" customWidth="1"/>
    <col min="6" max="6" width="15.28515625" style="2" customWidth="1"/>
    <col min="7" max="7" width="16.42578125" style="2" customWidth="1"/>
    <col min="8" max="8" width="24.7109375" style="1" customWidth="1"/>
    <col min="9" max="9" width="15.7109375" style="2" bestFit="1" customWidth="1"/>
    <col min="10" max="11" width="17" style="1" bestFit="1" customWidth="1"/>
    <col min="12" max="13" width="17.28515625" style="1" bestFit="1" customWidth="1"/>
    <col min="14" max="15" width="17" style="1" bestFit="1" customWidth="1"/>
    <col min="16" max="16" width="13.28515625" style="1" bestFit="1" customWidth="1"/>
    <col min="17" max="17" width="17.28515625" style="1" bestFit="1" customWidth="1"/>
    <col min="18" max="19" width="17" style="1" bestFit="1" customWidth="1"/>
    <col min="20" max="20" width="13.28515625" style="1" bestFit="1" customWidth="1"/>
    <col min="21" max="21" width="17.28515625" style="1" bestFit="1" customWidth="1"/>
    <col min="22" max="22" width="13.28515625" style="1" bestFit="1" customWidth="1"/>
    <col min="23" max="23" width="17" style="1" bestFit="1" customWidth="1"/>
    <col min="24" max="24" width="13.28515625" style="1" bestFit="1" customWidth="1"/>
    <col min="25" max="25" width="23.42578125" style="1" bestFit="1" customWidth="1"/>
    <col min="26" max="16384" width="8.7109375" style="1"/>
  </cols>
  <sheetData>
    <row r="1" spans="1:25" ht="18.75" x14ac:dyDescent="0.3">
      <c r="A1" s="52"/>
      <c r="B1" s="54"/>
      <c r="C1" s="53"/>
      <c r="D1" s="53"/>
      <c r="E1" s="54"/>
      <c r="F1" s="228" t="s">
        <v>10</v>
      </c>
      <c r="G1" s="229"/>
      <c r="H1" s="229"/>
      <c r="I1" s="230"/>
      <c r="J1" s="231" t="s">
        <v>3</v>
      </c>
      <c r="K1" s="232"/>
      <c r="L1" s="232"/>
      <c r="M1" s="232"/>
      <c r="N1" s="234" t="s">
        <v>4</v>
      </c>
      <c r="O1" s="235"/>
      <c r="P1" s="235"/>
      <c r="Q1" s="236"/>
      <c r="R1" s="237" t="s">
        <v>5</v>
      </c>
      <c r="S1" s="238"/>
      <c r="T1" s="238"/>
      <c r="U1" s="239"/>
      <c r="V1" s="240" t="s">
        <v>6</v>
      </c>
      <c r="W1" s="241"/>
      <c r="X1" s="241"/>
      <c r="Y1" s="242"/>
    </row>
    <row r="2" spans="1:25" ht="110.25" x14ac:dyDescent="0.25">
      <c r="A2" s="141" t="s">
        <v>11</v>
      </c>
      <c r="B2" s="188" t="s">
        <v>12</v>
      </c>
      <c r="C2" s="34" t="s">
        <v>228</v>
      </c>
      <c r="D2" s="34" t="s">
        <v>226</v>
      </c>
      <c r="E2" s="142" t="s">
        <v>13</v>
      </c>
      <c r="F2" s="139" t="s">
        <v>14</v>
      </c>
      <c r="G2" s="29" t="s">
        <v>230</v>
      </c>
      <c r="H2" s="29" t="s">
        <v>15</v>
      </c>
      <c r="I2" s="140" t="s">
        <v>236</v>
      </c>
      <c r="J2" s="143" t="s">
        <v>14</v>
      </c>
      <c r="K2" s="30" t="s">
        <v>231</v>
      </c>
      <c r="L2" s="30" t="s">
        <v>15</v>
      </c>
      <c r="M2" s="30" t="s">
        <v>237</v>
      </c>
      <c r="N2" s="147" t="s">
        <v>14</v>
      </c>
      <c r="O2" s="31" t="s">
        <v>232</v>
      </c>
      <c r="P2" s="31" t="s">
        <v>15</v>
      </c>
      <c r="Q2" s="148" t="s">
        <v>238</v>
      </c>
      <c r="R2" s="149" t="s">
        <v>14</v>
      </c>
      <c r="S2" s="32" t="s">
        <v>233</v>
      </c>
      <c r="T2" s="32" t="s">
        <v>15</v>
      </c>
      <c r="U2" s="150" t="s">
        <v>239</v>
      </c>
      <c r="V2" s="145" t="s">
        <v>14</v>
      </c>
      <c r="W2" s="33" t="s">
        <v>234</v>
      </c>
      <c r="X2" s="33" t="s">
        <v>15</v>
      </c>
      <c r="Y2" s="146" t="s">
        <v>240</v>
      </c>
    </row>
    <row r="3" spans="1:25" x14ac:dyDescent="0.25">
      <c r="A3" s="214" t="s">
        <v>108</v>
      </c>
      <c r="B3" s="89" t="s">
        <v>17</v>
      </c>
      <c r="C3" s="153">
        <v>24</v>
      </c>
      <c r="D3" s="153"/>
      <c r="E3" s="73" t="s">
        <v>18</v>
      </c>
      <c r="F3" s="47"/>
      <c r="G3" s="5"/>
      <c r="H3" s="5"/>
      <c r="I3" s="51"/>
      <c r="J3" s="47"/>
      <c r="K3" s="5"/>
      <c r="L3" s="5"/>
      <c r="M3" s="5"/>
      <c r="N3" s="50"/>
      <c r="O3" s="5"/>
      <c r="P3" s="28"/>
      <c r="Q3" s="49"/>
      <c r="R3" s="47"/>
      <c r="S3" s="5"/>
      <c r="T3" s="5"/>
      <c r="U3" s="49"/>
      <c r="V3" s="50"/>
      <c r="W3" s="28"/>
      <c r="X3" s="28"/>
      <c r="Y3" s="51"/>
    </row>
    <row r="4" spans="1:25" x14ac:dyDescent="0.25">
      <c r="A4" s="214" t="s">
        <v>95</v>
      </c>
      <c r="B4" s="89" t="s">
        <v>21</v>
      </c>
      <c r="C4" s="153">
        <v>96</v>
      </c>
      <c r="D4" s="153"/>
      <c r="E4" s="73" t="s">
        <v>18</v>
      </c>
      <c r="F4" s="47"/>
      <c r="G4" s="5"/>
      <c r="H4" s="5"/>
      <c r="I4" s="51"/>
      <c r="J4" s="47"/>
      <c r="K4" s="5"/>
      <c r="L4" s="5"/>
      <c r="M4" s="5"/>
      <c r="N4" s="50"/>
      <c r="O4" s="5"/>
      <c r="P4" s="28"/>
      <c r="Q4" s="49"/>
      <c r="R4" s="47"/>
      <c r="S4" s="5"/>
      <c r="T4" s="5"/>
      <c r="U4" s="49"/>
      <c r="V4" s="50"/>
      <c r="W4" s="28"/>
      <c r="X4" s="28"/>
      <c r="Y4" s="51"/>
    </row>
    <row r="5" spans="1:25" x14ac:dyDescent="0.25">
      <c r="A5" s="214" t="s">
        <v>204</v>
      </c>
      <c r="B5" s="89" t="s">
        <v>197</v>
      </c>
      <c r="C5" s="153">
        <v>50</v>
      </c>
      <c r="D5" s="153"/>
      <c r="E5" s="73" t="s">
        <v>18</v>
      </c>
      <c r="F5" s="47"/>
      <c r="G5" s="5"/>
      <c r="H5" s="5"/>
      <c r="I5" s="51"/>
      <c r="J5" s="47"/>
      <c r="K5" s="5"/>
      <c r="L5" s="5"/>
      <c r="M5" s="5"/>
      <c r="N5" s="50"/>
      <c r="O5" s="5"/>
      <c r="P5" s="28"/>
      <c r="Q5" s="49"/>
      <c r="R5" s="47"/>
      <c r="S5" s="5"/>
      <c r="T5" s="5"/>
      <c r="U5" s="49"/>
      <c r="V5" s="50"/>
      <c r="W5" s="28"/>
      <c r="X5" s="28"/>
      <c r="Y5" s="51"/>
    </row>
    <row r="6" spans="1:25" x14ac:dyDescent="0.25">
      <c r="A6" s="39" t="s">
        <v>206</v>
      </c>
      <c r="B6" s="89" t="s">
        <v>21</v>
      </c>
      <c r="C6" s="153">
        <v>15</v>
      </c>
      <c r="D6" s="153"/>
      <c r="E6" s="73" t="s">
        <v>18</v>
      </c>
      <c r="F6" s="61"/>
      <c r="G6" s="5"/>
      <c r="H6" s="5"/>
      <c r="I6" s="51"/>
      <c r="J6" s="47"/>
      <c r="K6" s="5"/>
      <c r="L6" s="5"/>
      <c r="M6" s="5"/>
      <c r="N6" s="50"/>
      <c r="O6" s="5"/>
      <c r="P6" s="28"/>
      <c r="Q6" s="49"/>
      <c r="R6" s="47"/>
      <c r="S6" s="5"/>
      <c r="T6" s="5"/>
      <c r="U6" s="49"/>
      <c r="V6" s="50"/>
      <c r="W6" s="28"/>
      <c r="X6" s="28"/>
      <c r="Y6" s="51"/>
    </row>
    <row r="7" spans="1:25" ht="31.5" x14ac:dyDescent="0.25">
      <c r="A7" s="40" t="s">
        <v>27</v>
      </c>
      <c r="B7" s="138" t="s">
        <v>28</v>
      </c>
      <c r="C7" s="153">
        <v>48</v>
      </c>
      <c r="D7" s="153"/>
      <c r="E7" s="73" t="s">
        <v>18</v>
      </c>
      <c r="F7" s="47"/>
      <c r="G7" s="5"/>
      <c r="H7" s="5"/>
      <c r="I7" s="51"/>
      <c r="J7" s="47"/>
      <c r="K7" s="5"/>
      <c r="L7" s="5"/>
      <c r="M7" s="5"/>
      <c r="N7" s="50"/>
      <c r="O7" s="5"/>
      <c r="P7" s="28"/>
      <c r="Q7" s="49"/>
      <c r="R7" s="47"/>
      <c r="S7" s="5"/>
      <c r="T7" s="5"/>
      <c r="U7" s="49"/>
      <c r="V7" s="50"/>
      <c r="W7" s="28"/>
      <c r="X7" s="28"/>
      <c r="Y7" s="51"/>
    </row>
    <row r="8" spans="1:25" x14ac:dyDescent="0.25">
      <c r="A8" s="40" t="s">
        <v>205</v>
      </c>
      <c r="B8" s="138" t="s">
        <v>105</v>
      </c>
      <c r="C8" s="153">
        <v>0</v>
      </c>
      <c r="D8" s="153">
        <v>175</v>
      </c>
      <c r="E8" s="73" t="s">
        <v>33</v>
      </c>
      <c r="F8" s="47"/>
      <c r="G8" s="5"/>
      <c r="H8" s="5"/>
      <c r="I8" s="51"/>
      <c r="J8" s="47"/>
      <c r="K8" s="5"/>
      <c r="L8" s="5"/>
      <c r="M8" s="5"/>
      <c r="N8" s="50"/>
      <c r="O8" s="5"/>
      <c r="P8" s="28"/>
      <c r="Q8" s="49"/>
      <c r="R8" s="47"/>
      <c r="S8" s="5"/>
      <c r="T8" s="5"/>
      <c r="U8" s="49"/>
      <c r="V8" s="50"/>
      <c r="W8" s="28"/>
      <c r="X8" s="28"/>
      <c r="Y8" s="51"/>
    </row>
    <row r="9" spans="1:25" x14ac:dyDescent="0.25">
      <c r="A9" s="40" t="s">
        <v>243</v>
      </c>
      <c r="B9" s="138" t="s">
        <v>162</v>
      </c>
      <c r="C9" s="153">
        <v>0</v>
      </c>
      <c r="D9" s="153">
        <v>30</v>
      </c>
      <c r="E9" s="73" t="s">
        <v>33</v>
      </c>
      <c r="F9" s="47"/>
      <c r="G9" s="5"/>
      <c r="H9" s="5"/>
      <c r="I9" s="51"/>
      <c r="J9" s="47"/>
      <c r="K9" s="5"/>
      <c r="L9" s="5"/>
      <c r="M9" s="5"/>
      <c r="N9" s="50"/>
      <c r="O9" s="5"/>
      <c r="P9" s="28"/>
      <c r="Q9" s="49"/>
      <c r="R9" s="47"/>
      <c r="S9" s="5"/>
      <c r="T9" s="5"/>
      <c r="U9" s="49"/>
      <c r="V9" s="50"/>
      <c r="W9" s="28"/>
      <c r="X9" s="28"/>
      <c r="Y9" s="51"/>
    </row>
    <row r="10" spans="1:25" x14ac:dyDescent="0.25">
      <c r="A10" s="40" t="s">
        <v>34</v>
      </c>
      <c r="B10" s="138">
        <v>1</v>
      </c>
      <c r="C10" s="153">
        <v>60</v>
      </c>
      <c r="D10" s="153"/>
      <c r="E10" s="73" t="s">
        <v>18</v>
      </c>
      <c r="F10" s="47"/>
      <c r="G10" s="5"/>
      <c r="H10" s="5"/>
      <c r="I10" s="51"/>
      <c r="J10" s="47"/>
      <c r="K10" s="5"/>
      <c r="L10" s="5"/>
      <c r="M10" s="5"/>
      <c r="N10" s="50"/>
      <c r="O10" s="5"/>
      <c r="P10" s="28"/>
      <c r="Q10" s="49"/>
      <c r="R10" s="47"/>
      <c r="S10" s="5"/>
      <c r="T10" s="5"/>
      <c r="U10" s="49"/>
      <c r="V10" s="50"/>
      <c r="W10" s="28"/>
      <c r="X10" s="28"/>
      <c r="Y10" s="51"/>
    </row>
    <row r="11" spans="1:25" x14ac:dyDescent="0.25">
      <c r="A11" s="40" t="s">
        <v>113</v>
      </c>
      <c r="B11" s="138" t="s">
        <v>17</v>
      </c>
      <c r="C11" s="153">
        <v>24</v>
      </c>
      <c r="D11" s="153"/>
      <c r="E11" s="73"/>
      <c r="F11" s="47"/>
      <c r="G11" s="5"/>
      <c r="H11" s="5"/>
      <c r="I11" s="51"/>
      <c r="J11" s="47"/>
      <c r="K11" s="5"/>
      <c r="L11" s="5"/>
      <c r="M11" s="5"/>
      <c r="N11" s="50"/>
      <c r="O11" s="5"/>
      <c r="P11" s="28"/>
      <c r="Q11" s="49"/>
      <c r="R11" s="47"/>
      <c r="S11" s="5"/>
      <c r="T11" s="5"/>
      <c r="U11" s="49"/>
      <c r="V11" s="50"/>
      <c r="W11" s="28"/>
      <c r="X11" s="28"/>
      <c r="Y11" s="51"/>
    </row>
    <row r="12" spans="1:25" x14ac:dyDescent="0.25">
      <c r="A12" s="214" t="s">
        <v>36</v>
      </c>
      <c r="B12" s="89" t="s">
        <v>37</v>
      </c>
      <c r="C12" s="153">
        <v>24</v>
      </c>
      <c r="D12" s="153"/>
      <c r="E12" s="73" t="s">
        <v>18</v>
      </c>
      <c r="F12" s="47"/>
      <c r="G12" s="5"/>
      <c r="H12" s="5"/>
      <c r="I12" s="51"/>
      <c r="J12" s="47"/>
      <c r="K12" s="5"/>
      <c r="L12" s="5"/>
      <c r="M12" s="5"/>
      <c r="N12" s="50"/>
      <c r="O12" s="5"/>
      <c r="P12" s="28"/>
      <c r="Q12" s="49"/>
      <c r="R12" s="47"/>
      <c r="S12" s="5"/>
      <c r="T12" s="5"/>
      <c r="U12" s="49"/>
      <c r="V12" s="50"/>
      <c r="W12" s="28"/>
      <c r="X12" s="28"/>
      <c r="Y12" s="51"/>
    </row>
    <row r="13" spans="1:25" x14ac:dyDescent="0.25">
      <c r="A13" s="214" t="s">
        <v>116</v>
      </c>
      <c r="B13" s="89" t="s">
        <v>17</v>
      </c>
      <c r="C13" s="153">
        <v>120</v>
      </c>
      <c r="D13" s="153"/>
      <c r="E13" s="73" t="s">
        <v>18</v>
      </c>
      <c r="F13" s="47"/>
      <c r="G13" s="5"/>
      <c r="H13" s="5"/>
      <c r="I13" s="51"/>
      <c r="J13" s="47"/>
      <c r="K13" s="5"/>
      <c r="L13" s="5"/>
      <c r="M13" s="5"/>
      <c r="N13" s="50"/>
      <c r="O13" s="5"/>
      <c r="P13" s="28"/>
      <c r="Q13" s="49"/>
      <c r="R13" s="47"/>
      <c r="S13" s="5"/>
      <c r="T13" s="5"/>
      <c r="U13" s="49"/>
      <c r="V13" s="50"/>
      <c r="W13" s="28"/>
      <c r="X13" s="28"/>
      <c r="Y13" s="51"/>
    </row>
    <row r="14" spans="1:25" x14ac:dyDescent="0.25">
      <c r="A14" s="214" t="s">
        <v>207</v>
      </c>
      <c r="B14" s="89">
        <v>7</v>
      </c>
      <c r="C14" s="153">
        <v>75</v>
      </c>
      <c r="D14" s="153"/>
      <c r="E14" s="73" t="s">
        <v>18</v>
      </c>
      <c r="F14" s="47"/>
      <c r="G14" s="5"/>
      <c r="H14" s="5"/>
      <c r="I14" s="51"/>
      <c r="J14" s="47"/>
      <c r="K14" s="5"/>
      <c r="L14" s="5"/>
      <c r="M14" s="5"/>
      <c r="N14" s="50"/>
      <c r="O14" s="5"/>
      <c r="P14" s="28"/>
      <c r="Q14" s="49"/>
      <c r="R14" s="47"/>
      <c r="S14" s="5"/>
      <c r="T14" s="5"/>
      <c r="U14" s="49"/>
      <c r="V14" s="50"/>
      <c r="W14" s="28"/>
      <c r="X14" s="28"/>
      <c r="Y14" s="51"/>
    </row>
    <row r="15" spans="1:25" x14ac:dyDescent="0.25">
      <c r="A15" s="214" t="s">
        <v>40</v>
      </c>
      <c r="B15" s="89" t="s">
        <v>17</v>
      </c>
      <c r="C15" s="153">
        <v>12</v>
      </c>
      <c r="D15" s="153"/>
      <c r="E15" s="73" t="s">
        <v>18</v>
      </c>
      <c r="F15" s="47"/>
      <c r="G15" s="5"/>
      <c r="H15" s="5"/>
      <c r="I15" s="51"/>
      <c r="J15" s="47"/>
      <c r="K15" s="5"/>
      <c r="L15" s="5"/>
      <c r="M15" s="5"/>
      <c r="N15" s="50"/>
      <c r="O15" s="5"/>
      <c r="P15" s="28"/>
      <c r="Q15" s="49"/>
      <c r="R15" s="47"/>
      <c r="S15" s="5"/>
      <c r="T15" s="5"/>
      <c r="U15" s="49"/>
      <c r="V15" s="50"/>
      <c r="W15" s="28"/>
      <c r="X15" s="28"/>
      <c r="Y15" s="51"/>
    </row>
    <row r="16" spans="1:25" x14ac:dyDescent="0.25">
      <c r="A16" s="214" t="s">
        <v>41</v>
      </c>
      <c r="B16" s="89" t="s">
        <v>42</v>
      </c>
      <c r="C16" s="153">
        <v>12</v>
      </c>
      <c r="D16" s="153"/>
      <c r="E16" s="73" t="s">
        <v>18</v>
      </c>
      <c r="F16" s="47"/>
      <c r="G16" s="5"/>
      <c r="H16" s="5"/>
      <c r="I16" s="51"/>
      <c r="J16" s="47"/>
      <c r="K16" s="5"/>
      <c r="L16" s="5"/>
      <c r="M16" s="5"/>
      <c r="N16" s="50"/>
      <c r="O16" s="5"/>
      <c r="P16" s="28"/>
      <c r="Q16" s="49"/>
      <c r="R16" s="47"/>
      <c r="S16" s="5"/>
      <c r="T16" s="5"/>
      <c r="U16" s="49"/>
      <c r="V16" s="50"/>
      <c r="W16" s="28"/>
      <c r="X16" s="28"/>
      <c r="Y16" s="51"/>
    </row>
    <row r="17" spans="1:25" x14ac:dyDescent="0.25">
      <c r="A17" s="214" t="s">
        <v>208</v>
      </c>
      <c r="B17" s="89" t="s">
        <v>21</v>
      </c>
      <c r="C17" s="153">
        <v>1900</v>
      </c>
      <c r="D17" s="153"/>
      <c r="E17" s="73" t="s">
        <v>18</v>
      </c>
      <c r="F17" s="47"/>
      <c r="G17" s="5"/>
      <c r="H17" s="5"/>
      <c r="I17" s="51"/>
      <c r="J17" s="47"/>
      <c r="K17" s="5"/>
      <c r="L17" s="5"/>
      <c r="M17" s="5"/>
      <c r="N17" s="50"/>
      <c r="O17" s="5"/>
      <c r="P17" s="28"/>
      <c r="Q17" s="49"/>
      <c r="R17" s="47"/>
      <c r="S17" s="5"/>
      <c r="T17" s="5"/>
      <c r="U17" s="49"/>
      <c r="V17" s="50"/>
      <c r="W17" s="28"/>
      <c r="X17" s="28"/>
      <c r="Y17" s="51"/>
    </row>
    <row r="18" spans="1:25" x14ac:dyDescent="0.25">
      <c r="A18" s="214" t="s">
        <v>209</v>
      </c>
      <c r="B18" s="138" t="s">
        <v>21</v>
      </c>
      <c r="C18" s="153">
        <v>5</v>
      </c>
      <c r="D18" s="153"/>
      <c r="E18" s="73" t="s">
        <v>18</v>
      </c>
      <c r="F18" s="47"/>
      <c r="G18" s="5"/>
      <c r="H18" s="5"/>
      <c r="I18" s="51"/>
      <c r="J18" s="47"/>
      <c r="K18" s="5"/>
      <c r="L18" s="5"/>
      <c r="M18" s="5"/>
      <c r="N18" s="50"/>
      <c r="O18" s="5"/>
      <c r="P18" s="28"/>
      <c r="Q18" s="49"/>
      <c r="R18" s="47"/>
      <c r="S18" s="5"/>
      <c r="T18" s="5"/>
      <c r="U18" s="49"/>
      <c r="V18" s="50"/>
      <c r="W18" s="28"/>
      <c r="X18" s="28"/>
      <c r="Y18" s="51"/>
    </row>
    <row r="19" spans="1:25" x14ac:dyDescent="0.25">
      <c r="A19" s="38" t="s">
        <v>47</v>
      </c>
      <c r="B19" s="138"/>
      <c r="C19" s="153">
        <v>1</v>
      </c>
      <c r="D19" s="153"/>
      <c r="E19" s="73" t="s">
        <v>46</v>
      </c>
      <c r="F19" s="47"/>
      <c r="G19" s="5"/>
      <c r="H19" s="5"/>
      <c r="I19" s="51"/>
      <c r="J19" s="47"/>
      <c r="K19" s="5"/>
      <c r="L19" s="5"/>
      <c r="M19" s="49"/>
      <c r="N19" s="50"/>
      <c r="O19" s="5"/>
      <c r="P19" s="28"/>
      <c r="Q19" s="49"/>
      <c r="R19" s="47"/>
      <c r="S19" s="5"/>
      <c r="T19" s="5"/>
      <c r="U19" s="49"/>
      <c r="V19" s="50"/>
      <c r="W19" s="28"/>
      <c r="X19" s="28"/>
      <c r="Y19" s="51"/>
    </row>
    <row r="20" spans="1:25" x14ac:dyDescent="0.25">
      <c r="A20" s="38" t="s">
        <v>229</v>
      </c>
      <c r="B20" s="138"/>
      <c r="C20" s="153">
        <v>1</v>
      </c>
      <c r="D20" s="153"/>
      <c r="E20" s="73" t="s">
        <v>203</v>
      </c>
      <c r="F20" s="47"/>
      <c r="G20" s="5"/>
      <c r="H20" s="5"/>
      <c r="I20" s="51"/>
      <c r="J20" s="47"/>
      <c r="K20" s="5"/>
      <c r="L20" s="5"/>
      <c r="M20" s="49"/>
      <c r="N20" s="50"/>
      <c r="O20" s="5"/>
      <c r="P20" s="28"/>
      <c r="Q20" s="49"/>
      <c r="R20" s="47"/>
      <c r="S20" s="5"/>
      <c r="T20" s="5"/>
      <c r="U20" s="49"/>
      <c r="V20" s="50"/>
      <c r="W20" s="28"/>
      <c r="X20" s="28"/>
      <c r="Y20" s="51"/>
    </row>
    <row r="21" spans="1:25" x14ac:dyDescent="0.25">
      <c r="A21" s="38" t="s">
        <v>45</v>
      </c>
      <c r="B21" s="138"/>
      <c r="C21" s="153">
        <v>12</v>
      </c>
      <c r="D21" s="153"/>
      <c r="E21" s="73" t="s">
        <v>46</v>
      </c>
      <c r="F21" s="47"/>
      <c r="G21" s="5"/>
      <c r="H21" s="5"/>
      <c r="I21" s="51"/>
      <c r="J21" s="47"/>
      <c r="K21" s="5"/>
      <c r="L21" s="5"/>
      <c r="M21" s="5"/>
      <c r="N21" s="50"/>
      <c r="O21" s="5"/>
      <c r="P21" s="28"/>
      <c r="Q21" s="49"/>
      <c r="R21" s="47"/>
      <c r="S21" s="5"/>
      <c r="T21" s="5"/>
      <c r="U21" s="49"/>
      <c r="V21" s="50"/>
      <c r="W21" s="28"/>
      <c r="X21" s="28"/>
      <c r="Y21" s="51"/>
    </row>
    <row r="22" spans="1:25" x14ac:dyDescent="0.25">
      <c r="A22" s="39" t="s">
        <v>48</v>
      </c>
      <c r="B22" s="73"/>
      <c r="C22" s="153">
        <v>12</v>
      </c>
      <c r="D22" s="153"/>
      <c r="E22" s="73" t="s">
        <v>46</v>
      </c>
      <c r="F22" s="46"/>
      <c r="G22" s="5"/>
      <c r="H22" s="2"/>
      <c r="I22" s="51"/>
      <c r="J22" s="47"/>
      <c r="K22" s="5"/>
      <c r="L22" s="5"/>
      <c r="M22" s="5"/>
      <c r="N22" s="50"/>
      <c r="O22" s="5"/>
      <c r="P22" s="28"/>
      <c r="Q22" s="49"/>
      <c r="R22" s="47"/>
      <c r="S22" s="5"/>
      <c r="T22" s="5"/>
      <c r="U22" s="49"/>
      <c r="V22" s="50"/>
      <c r="W22" s="28"/>
      <c r="X22" s="28"/>
      <c r="Y22" s="51"/>
    </row>
    <row r="23" spans="1:25" ht="16.5" thickBot="1" x14ac:dyDescent="0.3">
      <c r="A23" s="39" t="s">
        <v>49</v>
      </c>
      <c r="B23" s="73"/>
      <c r="C23" s="153">
        <v>4</v>
      </c>
      <c r="D23" s="153"/>
      <c r="E23" s="73" t="s">
        <v>46</v>
      </c>
      <c r="F23" s="46"/>
      <c r="G23" s="5"/>
      <c r="H23" s="2"/>
      <c r="I23" s="51"/>
      <c r="J23" s="47"/>
      <c r="K23" s="5"/>
      <c r="L23" s="5"/>
      <c r="M23" s="5"/>
      <c r="N23" s="50"/>
      <c r="O23" s="5"/>
      <c r="P23" s="28"/>
      <c r="Q23" s="49"/>
      <c r="R23" s="47"/>
      <c r="S23" s="5"/>
      <c r="T23" s="5"/>
      <c r="U23" s="49"/>
      <c r="V23" s="50"/>
      <c r="W23" s="28"/>
      <c r="X23" s="28"/>
      <c r="Y23" s="51"/>
    </row>
    <row r="24" spans="1:25" ht="16.5" thickBot="1" x14ac:dyDescent="0.3">
      <c r="A24" s="72"/>
      <c r="B24" s="55"/>
      <c r="C24" s="55"/>
      <c r="D24" s="55"/>
      <c r="E24" s="199" t="s">
        <v>50</v>
      </c>
      <c r="F24" s="63"/>
      <c r="G24" s="56"/>
      <c r="H24" s="56"/>
      <c r="I24" s="64"/>
      <c r="J24" s="63"/>
      <c r="K24" s="56"/>
      <c r="L24" s="56"/>
      <c r="M24" s="56"/>
      <c r="N24" s="63"/>
      <c r="O24" s="56"/>
      <c r="P24" s="56"/>
      <c r="Q24" s="64"/>
      <c r="R24" s="63"/>
      <c r="S24" s="56"/>
      <c r="T24" s="56"/>
      <c r="U24" s="64"/>
      <c r="V24" s="63"/>
      <c r="W24" s="56"/>
      <c r="X24" s="56"/>
      <c r="Y24" s="64"/>
    </row>
    <row r="25" spans="1:25" ht="16.5" thickBot="1" x14ac:dyDescent="0.3">
      <c r="A25" s="172"/>
      <c r="B25" s="173"/>
      <c r="C25" s="174"/>
      <c r="D25" s="174"/>
      <c r="E25" s="175" t="s">
        <v>51</v>
      </c>
      <c r="F25" s="176"/>
      <c r="G25" s="177"/>
      <c r="H25" s="177"/>
      <c r="I25" s="178"/>
      <c r="J25" s="176"/>
      <c r="K25" s="179"/>
      <c r="L25" s="179"/>
      <c r="M25" s="179"/>
      <c r="N25" s="172"/>
      <c r="O25" s="179"/>
      <c r="P25" s="173"/>
      <c r="Q25" s="203"/>
      <c r="R25" s="176"/>
      <c r="S25" s="179"/>
      <c r="T25" s="179"/>
      <c r="U25" s="203"/>
      <c r="V25" s="204"/>
      <c r="W25" s="205"/>
      <c r="X25" s="205"/>
      <c r="Y25" s="203"/>
    </row>
    <row r="26" spans="1:25" ht="21.75" thickBot="1" x14ac:dyDescent="0.4">
      <c r="A26" s="200"/>
      <c r="B26" s="201"/>
      <c r="C26" s="201"/>
      <c r="D26" s="201"/>
      <c r="E26" s="201"/>
      <c r="F26" s="202"/>
      <c r="G26" s="202"/>
      <c r="H26" s="202"/>
      <c r="I26" s="202"/>
      <c r="J26" s="202"/>
      <c r="K26" s="202"/>
      <c r="L26" s="202"/>
      <c r="M26" s="202"/>
      <c r="N26" s="201"/>
      <c r="O26" s="202"/>
      <c r="P26" s="201"/>
      <c r="Q26" s="202"/>
      <c r="R26" s="202"/>
      <c r="S26" s="202"/>
      <c r="T26" s="202"/>
      <c r="U26" s="202"/>
      <c r="V26" s="201"/>
      <c r="W26" s="201"/>
      <c r="X26" s="87" t="s">
        <v>52</v>
      </c>
      <c r="Y26" s="88"/>
    </row>
    <row r="27" spans="1:25" x14ac:dyDescent="0.25">
      <c r="H27" s="2"/>
      <c r="J27" s="2"/>
      <c r="K27" s="2"/>
      <c r="L27" s="2"/>
      <c r="M27" s="2"/>
      <c r="O27" s="2"/>
      <c r="Q27" s="2"/>
      <c r="R27" s="2"/>
      <c r="S27" s="2"/>
      <c r="T27" s="2"/>
      <c r="U27" s="2"/>
    </row>
    <row r="28" spans="1:25" x14ac:dyDescent="0.25">
      <c r="H28" s="2"/>
      <c r="J28" s="2"/>
      <c r="K28" s="2"/>
      <c r="L28" s="2"/>
      <c r="M28" s="2"/>
      <c r="O28" s="2"/>
      <c r="Q28" s="2"/>
      <c r="R28" s="2"/>
      <c r="S28" s="2"/>
      <c r="T28" s="2"/>
      <c r="U28" s="2"/>
    </row>
    <row r="29" spans="1:25" x14ac:dyDescent="0.25">
      <c r="H29" s="2"/>
      <c r="J29" s="2"/>
      <c r="K29" s="2"/>
      <c r="L29" s="2"/>
      <c r="M29" s="2"/>
      <c r="O29" s="2"/>
      <c r="Q29" s="2"/>
      <c r="R29" s="2"/>
      <c r="S29" s="2"/>
      <c r="T29" s="2"/>
      <c r="U29" s="2"/>
    </row>
    <row r="30" spans="1:25" x14ac:dyDescent="0.25">
      <c r="H30" s="2"/>
      <c r="J30" s="2"/>
      <c r="K30" s="2"/>
      <c r="L30" s="2"/>
      <c r="M30" s="2"/>
      <c r="O30" s="2"/>
      <c r="Q30" s="2"/>
      <c r="R30" s="2"/>
      <c r="S30" s="2"/>
      <c r="T30" s="2"/>
      <c r="U30" s="2"/>
    </row>
  </sheetData>
  <autoFilter ref="A2:Y26" xr:uid="{91D4DD4D-7B95-42AE-ACDA-B7A4676A0905}"/>
  <mergeCells count="5">
    <mergeCell ref="J1:M1"/>
    <mergeCell ref="N1:Q1"/>
    <mergeCell ref="R1:U1"/>
    <mergeCell ref="V1:Y1"/>
    <mergeCell ref="F1:I1"/>
  </mergeCells>
  <pageMargins left="0.7" right="0.7" top="0.75" bottom="0.75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BD8FF-BD8D-4A69-A496-CFD1759BD44F}">
  <sheetPr>
    <tabColor rgb="FF92D050"/>
  </sheetPr>
  <dimension ref="A1:Y39"/>
  <sheetViews>
    <sheetView zoomScaleNormal="100" workbookViewId="0">
      <selection activeCell="F3" sqref="F3"/>
    </sheetView>
  </sheetViews>
  <sheetFormatPr defaultColWidth="8.7109375" defaultRowHeight="15.75" x14ac:dyDescent="0.25"/>
  <cols>
    <col min="1" max="1" width="57.7109375" style="1" customWidth="1"/>
    <col min="2" max="2" width="11.28515625" style="1" customWidth="1"/>
    <col min="3" max="3" width="16" style="152" customWidth="1"/>
    <col min="4" max="4" width="13.28515625" style="1" customWidth="1"/>
    <col min="5" max="5" width="12.5703125" style="1" customWidth="1"/>
    <col min="6" max="6" width="15.28515625" style="2" customWidth="1"/>
    <col min="7" max="7" width="16.42578125" style="2" customWidth="1"/>
    <col min="8" max="8" width="22.28515625" style="1" bestFit="1" customWidth="1"/>
    <col min="9" max="9" width="17.28515625" style="1" bestFit="1" customWidth="1"/>
    <col min="10" max="10" width="15.7109375" style="1" bestFit="1" customWidth="1"/>
    <col min="11" max="11" width="17" style="1" bestFit="1" customWidth="1"/>
    <col min="12" max="12" width="11.28515625" style="1" bestFit="1" customWidth="1"/>
    <col min="13" max="13" width="17.28515625" style="1" bestFit="1" customWidth="1"/>
    <col min="14" max="14" width="15.7109375" style="1" bestFit="1" customWidth="1"/>
    <col min="15" max="15" width="17" style="1" bestFit="1" customWidth="1"/>
    <col min="16" max="16" width="11.28515625" style="1" bestFit="1" customWidth="1"/>
    <col min="17" max="17" width="17.28515625" style="1" bestFit="1" customWidth="1"/>
    <col min="18" max="18" width="15.7109375" style="1" bestFit="1" customWidth="1"/>
    <col min="19" max="19" width="17" style="1" bestFit="1" customWidth="1"/>
    <col min="20" max="20" width="15.28515625" style="1" bestFit="1" customWidth="1"/>
    <col min="21" max="21" width="17.28515625" style="1" bestFit="1" customWidth="1"/>
    <col min="22" max="22" width="15.7109375" style="1" bestFit="1" customWidth="1"/>
    <col min="23" max="23" width="17" style="1" bestFit="1" customWidth="1"/>
    <col min="24" max="24" width="11.28515625" style="1" bestFit="1" customWidth="1"/>
    <col min="25" max="25" width="23.42578125" style="1" bestFit="1" customWidth="1"/>
    <col min="26" max="16384" width="8.7109375" style="1"/>
  </cols>
  <sheetData>
    <row r="1" spans="1:25" ht="18.75" x14ac:dyDescent="0.3">
      <c r="A1" s="52"/>
      <c r="B1" s="54"/>
      <c r="C1" s="124"/>
      <c r="D1" s="53"/>
      <c r="E1" s="54"/>
      <c r="F1" s="228" t="s">
        <v>10</v>
      </c>
      <c r="G1" s="229"/>
      <c r="H1" s="229"/>
      <c r="I1" s="230"/>
      <c r="J1" s="231" t="s">
        <v>3</v>
      </c>
      <c r="K1" s="232"/>
      <c r="L1" s="232"/>
      <c r="M1" s="233"/>
      <c r="N1" s="234" t="s">
        <v>4</v>
      </c>
      <c r="O1" s="235"/>
      <c r="P1" s="235"/>
      <c r="Q1" s="235"/>
      <c r="R1" s="237" t="s">
        <v>5</v>
      </c>
      <c r="S1" s="238"/>
      <c r="T1" s="238"/>
      <c r="U1" s="239"/>
      <c r="V1" s="240" t="s">
        <v>6</v>
      </c>
      <c r="W1" s="241"/>
      <c r="X1" s="241"/>
      <c r="Y1" s="242"/>
    </row>
    <row r="2" spans="1:25" ht="110.25" x14ac:dyDescent="0.25">
      <c r="A2" s="222" t="s">
        <v>11</v>
      </c>
      <c r="B2" s="188" t="s">
        <v>12</v>
      </c>
      <c r="C2" s="34" t="s">
        <v>227</v>
      </c>
      <c r="D2" s="34" t="s">
        <v>226</v>
      </c>
      <c r="E2" s="142" t="s">
        <v>13</v>
      </c>
      <c r="F2" s="139" t="s">
        <v>14</v>
      </c>
      <c r="G2" s="29" t="s">
        <v>230</v>
      </c>
      <c r="H2" s="29" t="s">
        <v>15</v>
      </c>
      <c r="I2" s="140" t="s">
        <v>236</v>
      </c>
      <c r="J2" s="143" t="s">
        <v>14</v>
      </c>
      <c r="K2" s="30" t="s">
        <v>231</v>
      </c>
      <c r="L2" s="30" t="s">
        <v>15</v>
      </c>
      <c r="M2" s="144" t="s">
        <v>237</v>
      </c>
      <c r="N2" s="147" t="s">
        <v>14</v>
      </c>
      <c r="O2" s="31" t="s">
        <v>232</v>
      </c>
      <c r="P2" s="31" t="s">
        <v>15</v>
      </c>
      <c r="Q2" s="31" t="s">
        <v>238</v>
      </c>
      <c r="R2" s="149" t="s">
        <v>14</v>
      </c>
      <c r="S2" s="32" t="s">
        <v>233</v>
      </c>
      <c r="T2" s="32" t="s">
        <v>15</v>
      </c>
      <c r="U2" s="150" t="s">
        <v>239</v>
      </c>
      <c r="V2" s="145" t="s">
        <v>14</v>
      </c>
      <c r="W2" s="33" t="s">
        <v>234</v>
      </c>
      <c r="X2" s="33" t="s">
        <v>15</v>
      </c>
      <c r="Y2" s="146" t="s">
        <v>240</v>
      </c>
    </row>
    <row r="3" spans="1:25" x14ac:dyDescent="0.25">
      <c r="A3" s="206" t="s">
        <v>213</v>
      </c>
      <c r="B3" s="208" t="s">
        <v>21</v>
      </c>
      <c r="C3" s="152">
        <v>42</v>
      </c>
      <c r="E3" s="37" t="s">
        <v>118</v>
      </c>
      <c r="F3" s="43"/>
      <c r="H3" s="5"/>
      <c r="I3" s="51"/>
      <c r="J3" s="47"/>
      <c r="K3" s="5"/>
      <c r="L3" s="5"/>
      <c r="M3" s="49"/>
      <c r="N3" s="50"/>
      <c r="O3" s="5"/>
      <c r="P3" s="28"/>
      <c r="Q3" s="5"/>
      <c r="R3" s="47"/>
      <c r="S3" s="5"/>
      <c r="T3" s="5"/>
      <c r="U3" s="49"/>
      <c r="V3" s="50"/>
      <c r="W3" s="28"/>
      <c r="X3" s="28"/>
      <c r="Y3" s="51"/>
    </row>
    <row r="4" spans="1:25" x14ac:dyDescent="0.25">
      <c r="A4" s="58" t="s">
        <v>119</v>
      </c>
      <c r="B4" s="90" t="s">
        <v>17</v>
      </c>
      <c r="C4" s="152">
        <v>4</v>
      </c>
      <c r="E4" s="37" t="s">
        <v>118</v>
      </c>
      <c r="F4" s="47"/>
      <c r="H4" s="5"/>
      <c r="I4" s="51"/>
      <c r="J4" s="47"/>
      <c r="K4" s="5"/>
      <c r="L4" s="5"/>
      <c r="M4" s="49"/>
      <c r="N4" s="50"/>
      <c r="O4" s="5"/>
      <c r="P4" s="28"/>
      <c r="Q4" s="5"/>
      <c r="R4" s="47"/>
      <c r="S4" s="5"/>
      <c r="T4" s="5"/>
      <c r="U4" s="49"/>
      <c r="V4" s="50"/>
      <c r="W4" s="28"/>
      <c r="X4" s="28"/>
      <c r="Y4" s="51"/>
    </row>
    <row r="5" spans="1:25" x14ac:dyDescent="0.25">
      <c r="A5" s="120" t="s">
        <v>120</v>
      </c>
      <c r="B5" s="90" t="s">
        <v>121</v>
      </c>
      <c r="C5" s="152">
        <v>3</v>
      </c>
      <c r="E5" s="37" t="s">
        <v>118</v>
      </c>
      <c r="F5" s="47"/>
      <c r="H5" s="5"/>
      <c r="I5" s="51"/>
      <c r="J5" s="47"/>
      <c r="K5" s="5"/>
      <c r="L5" s="5"/>
      <c r="M5" s="49"/>
      <c r="N5" s="50"/>
      <c r="O5" s="5"/>
      <c r="P5" s="28"/>
      <c r="Q5" s="5"/>
      <c r="R5" s="47"/>
      <c r="S5" s="5"/>
      <c r="T5" s="5"/>
      <c r="U5" s="49"/>
      <c r="V5" s="50"/>
      <c r="W5" s="28"/>
      <c r="X5" s="28"/>
      <c r="Y5" s="51"/>
    </row>
    <row r="6" spans="1:25" x14ac:dyDescent="0.25">
      <c r="A6" s="120" t="s">
        <v>211</v>
      </c>
      <c r="B6" s="90">
        <v>3</v>
      </c>
      <c r="C6" s="152">
        <v>5</v>
      </c>
      <c r="E6" s="37" t="s">
        <v>118</v>
      </c>
      <c r="F6" s="47"/>
      <c r="H6" s="5"/>
      <c r="I6" s="51"/>
      <c r="J6" s="47"/>
      <c r="K6" s="5"/>
      <c r="L6" s="5"/>
      <c r="M6" s="49"/>
      <c r="N6" s="50"/>
      <c r="O6" s="5"/>
      <c r="P6" s="28"/>
      <c r="Q6" s="5"/>
      <c r="R6" s="47"/>
      <c r="S6" s="5"/>
      <c r="T6" s="5"/>
      <c r="U6" s="49"/>
      <c r="V6" s="50"/>
      <c r="W6" s="28"/>
      <c r="X6" s="28"/>
      <c r="Y6" s="51"/>
    </row>
    <row r="7" spans="1:25" x14ac:dyDescent="0.25">
      <c r="A7" s="120" t="s">
        <v>225</v>
      </c>
      <c r="B7" s="90" t="s">
        <v>85</v>
      </c>
      <c r="C7" s="152">
        <v>2</v>
      </c>
      <c r="E7" s="37" t="s">
        <v>118</v>
      </c>
      <c r="F7" s="47"/>
      <c r="H7" s="5"/>
      <c r="I7" s="51"/>
      <c r="J7" s="47"/>
      <c r="K7" s="5"/>
      <c r="L7" s="5"/>
      <c r="M7" s="49"/>
      <c r="N7" s="50"/>
      <c r="O7" s="5"/>
      <c r="P7" s="28"/>
      <c r="Q7" s="5"/>
      <c r="R7" s="47"/>
      <c r="S7" s="5"/>
      <c r="T7" s="5"/>
      <c r="U7" s="49"/>
      <c r="V7" s="50"/>
      <c r="W7" s="28"/>
      <c r="X7" s="28"/>
      <c r="Y7" s="51"/>
    </row>
    <row r="8" spans="1:25" x14ac:dyDescent="0.25">
      <c r="A8" s="60" t="s">
        <v>214</v>
      </c>
      <c r="B8" s="89" t="s">
        <v>72</v>
      </c>
      <c r="C8" s="152">
        <v>41</v>
      </c>
      <c r="E8" s="37" t="s">
        <v>118</v>
      </c>
      <c r="F8" s="47"/>
      <c r="H8" s="5"/>
      <c r="I8" s="51"/>
      <c r="J8" s="47"/>
      <c r="K8" s="5"/>
      <c r="L8" s="5"/>
      <c r="M8" s="49"/>
      <c r="N8" s="50"/>
      <c r="O8" s="5"/>
      <c r="P8" s="28"/>
      <c r="Q8" s="5"/>
      <c r="R8" s="47"/>
      <c r="S8" s="5"/>
      <c r="T8" s="5"/>
      <c r="U8" s="49"/>
      <c r="V8" s="50"/>
      <c r="W8" s="28"/>
      <c r="X8" s="28"/>
      <c r="Y8" s="51"/>
    </row>
    <row r="9" spans="1:25" x14ac:dyDescent="0.25">
      <c r="A9" s="42" t="s">
        <v>125</v>
      </c>
      <c r="B9" s="209" t="s">
        <v>37</v>
      </c>
      <c r="C9" s="152">
        <v>33</v>
      </c>
      <c r="E9" s="37" t="s">
        <v>118</v>
      </c>
      <c r="F9" s="47"/>
      <c r="H9" s="5"/>
      <c r="I9" s="51"/>
      <c r="J9" s="47"/>
      <c r="K9" s="5"/>
      <c r="L9" s="5"/>
      <c r="M9" s="49"/>
      <c r="N9" s="50"/>
      <c r="O9" s="5"/>
      <c r="P9" s="28"/>
      <c r="Q9" s="5"/>
      <c r="R9" s="47"/>
      <c r="S9" s="5"/>
      <c r="T9" s="5"/>
      <c r="U9" s="49"/>
      <c r="V9" s="50"/>
      <c r="W9" s="28"/>
      <c r="X9" s="28"/>
      <c r="Y9" s="51"/>
    </row>
    <row r="10" spans="1:25" x14ac:dyDescent="0.25">
      <c r="A10" s="42" t="s">
        <v>20</v>
      </c>
      <c r="B10" s="209" t="s">
        <v>21</v>
      </c>
      <c r="C10" s="152">
        <v>322</v>
      </c>
      <c r="E10" s="37" t="s">
        <v>118</v>
      </c>
      <c r="F10" s="47"/>
      <c r="H10" s="5"/>
      <c r="I10" s="51"/>
      <c r="J10" s="47"/>
      <c r="K10" s="5"/>
      <c r="L10" s="5"/>
      <c r="M10" s="49"/>
      <c r="N10" s="50"/>
      <c r="O10" s="5"/>
      <c r="P10" s="28"/>
      <c r="Q10" s="5"/>
      <c r="R10" s="47"/>
      <c r="S10" s="5"/>
      <c r="T10" s="5"/>
      <c r="U10" s="49"/>
      <c r="V10" s="50"/>
      <c r="W10" s="28"/>
      <c r="X10" s="28"/>
      <c r="Y10" s="51"/>
    </row>
    <row r="11" spans="1:25" ht="31.5" x14ac:dyDescent="0.25">
      <c r="A11" s="42" t="s">
        <v>221</v>
      </c>
      <c r="B11" s="209" t="s">
        <v>72</v>
      </c>
      <c r="C11" s="152">
        <v>6</v>
      </c>
      <c r="E11" s="37" t="s">
        <v>118</v>
      </c>
      <c r="F11" s="47"/>
      <c r="H11" s="5"/>
      <c r="I11" s="51"/>
      <c r="J11" s="47"/>
      <c r="K11" s="5"/>
      <c r="L11" s="5"/>
      <c r="M11" s="49"/>
      <c r="N11" s="50"/>
      <c r="O11" s="5"/>
      <c r="P11" s="28"/>
      <c r="Q11" s="5"/>
      <c r="R11" s="47"/>
      <c r="S11" s="5"/>
      <c r="T11" s="5"/>
      <c r="U11" s="49"/>
      <c r="V11" s="50"/>
      <c r="W11" s="28"/>
      <c r="X11" s="28"/>
      <c r="Y11" s="51"/>
    </row>
    <row r="12" spans="1:25" x14ac:dyDescent="0.25">
      <c r="A12" s="42" t="s">
        <v>126</v>
      </c>
      <c r="B12" s="209" t="s">
        <v>21</v>
      </c>
      <c r="C12" s="152">
        <v>9</v>
      </c>
      <c r="E12" s="37" t="s">
        <v>118</v>
      </c>
      <c r="F12" s="47"/>
      <c r="H12" s="5"/>
      <c r="I12" s="51"/>
      <c r="J12" s="47"/>
      <c r="K12" s="5"/>
      <c r="L12" s="5"/>
      <c r="M12" s="49"/>
      <c r="N12" s="50"/>
      <c r="O12" s="5"/>
      <c r="P12" s="28"/>
      <c r="Q12" s="5"/>
      <c r="R12" s="47"/>
      <c r="S12" s="5"/>
      <c r="T12" s="5"/>
      <c r="U12" s="49"/>
      <c r="V12" s="50"/>
      <c r="W12" s="28"/>
      <c r="X12" s="28"/>
      <c r="Y12" s="51"/>
    </row>
    <row r="13" spans="1:25" x14ac:dyDescent="0.25">
      <c r="A13" s="41" t="s">
        <v>212</v>
      </c>
      <c r="B13" s="198" t="s">
        <v>17</v>
      </c>
      <c r="C13" s="152">
        <v>2</v>
      </c>
      <c r="E13" s="37" t="s">
        <v>118</v>
      </c>
      <c r="F13" s="47"/>
      <c r="H13" s="5"/>
      <c r="I13" s="51"/>
      <c r="J13" s="47"/>
      <c r="K13" s="5"/>
      <c r="L13" s="5"/>
      <c r="M13" s="49"/>
      <c r="N13" s="50"/>
      <c r="O13" s="5"/>
      <c r="P13" s="28"/>
      <c r="Q13" s="5"/>
      <c r="R13" s="47"/>
      <c r="S13" s="5"/>
      <c r="T13" s="5"/>
      <c r="U13" s="49"/>
      <c r="V13" s="50"/>
      <c r="W13" s="28"/>
      <c r="X13" s="28"/>
      <c r="Y13" s="51"/>
    </row>
    <row r="14" spans="1:25" ht="31.5" x14ac:dyDescent="0.25">
      <c r="A14" s="41" t="s">
        <v>218</v>
      </c>
      <c r="B14" s="198">
        <v>200</v>
      </c>
      <c r="C14" s="152">
        <v>4</v>
      </c>
      <c r="E14" s="37" t="s">
        <v>118</v>
      </c>
      <c r="F14" s="47"/>
      <c r="H14" s="5"/>
      <c r="I14" s="51"/>
      <c r="J14" s="47"/>
      <c r="K14" s="5"/>
      <c r="L14" s="5"/>
      <c r="M14" s="49"/>
      <c r="N14" s="50"/>
      <c r="O14" s="5"/>
      <c r="P14" s="28"/>
      <c r="Q14" s="5"/>
      <c r="R14" s="47"/>
      <c r="S14" s="5"/>
      <c r="T14" s="5"/>
      <c r="U14" s="49"/>
      <c r="V14" s="50"/>
      <c r="W14" s="28"/>
      <c r="X14" s="28"/>
      <c r="Y14" s="51"/>
    </row>
    <row r="15" spans="1:25" ht="31.5" x14ac:dyDescent="0.25">
      <c r="A15" s="41" t="s">
        <v>219</v>
      </c>
      <c r="B15" s="198" t="s">
        <v>17</v>
      </c>
      <c r="C15" s="152">
        <v>4</v>
      </c>
      <c r="E15" s="37" t="s">
        <v>118</v>
      </c>
      <c r="F15" s="47"/>
      <c r="H15" s="5"/>
      <c r="I15" s="51"/>
      <c r="J15" s="47"/>
      <c r="K15" s="5"/>
      <c r="L15" s="5"/>
      <c r="M15" s="49"/>
      <c r="N15" s="50"/>
      <c r="O15" s="5"/>
      <c r="P15" s="28"/>
      <c r="Q15" s="5"/>
      <c r="R15" s="47"/>
      <c r="S15" s="5"/>
      <c r="T15" s="5"/>
      <c r="U15" s="49"/>
      <c r="V15" s="50"/>
      <c r="W15" s="28"/>
      <c r="X15" s="28"/>
      <c r="Y15" s="51"/>
    </row>
    <row r="16" spans="1:25" ht="47.25" x14ac:dyDescent="0.25">
      <c r="A16" s="38" t="s">
        <v>75</v>
      </c>
      <c r="B16" s="196" t="s">
        <v>76</v>
      </c>
      <c r="C16" s="152">
        <v>4</v>
      </c>
      <c r="E16" s="37" t="s">
        <v>118</v>
      </c>
      <c r="F16" s="47"/>
      <c r="H16" s="5"/>
      <c r="I16" s="51"/>
      <c r="J16" s="47"/>
      <c r="K16" s="5"/>
      <c r="L16" s="5"/>
      <c r="M16" s="49"/>
      <c r="N16" s="50"/>
      <c r="O16" s="5"/>
      <c r="P16" s="28"/>
      <c r="Q16" s="5"/>
      <c r="R16" s="47"/>
      <c r="S16" s="5"/>
      <c r="T16" s="5"/>
      <c r="U16" s="49"/>
      <c r="V16" s="50"/>
      <c r="W16" s="28"/>
      <c r="X16" s="28"/>
      <c r="Y16" s="51"/>
    </row>
    <row r="17" spans="1:25" x14ac:dyDescent="0.25">
      <c r="A17" s="206" t="s">
        <v>131</v>
      </c>
      <c r="B17" s="208" t="s">
        <v>129</v>
      </c>
      <c r="C17" s="152">
        <v>2</v>
      </c>
      <c r="E17" s="37" t="s">
        <v>118</v>
      </c>
      <c r="F17" s="47"/>
      <c r="H17" s="5"/>
      <c r="I17" s="51"/>
      <c r="J17" s="47"/>
      <c r="K17" s="5"/>
      <c r="L17" s="5"/>
      <c r="M17" s="49"/>
      <c r="N17" s="50"/>
      <c r="O17" s="5"/>
      <c r="P17" s="28"/>
      <c r="Q17" s="5"/>
      <c r="R17" s="47"/>
      <c r="S17" s="5"/>
      <c r="T17" s="5"/>
      <c r="U17" s="49"/>
      <c r="V17" s="50"/>
      <c r="W17" s="28"/>
      <c r="X17" s="28"/>
      <c r="Y17" s="51"/>
    </row>
    <row r="18" spans="1:25" x14ac:dyDescent="0.25">
      <c r="A18" s="39" t="s">
        <v>131</v>
      </c>
      <c r="B18" s="196" t="s">
        <v>132</v>
      </c>
      <c r="C18" s="152">
        <v>24</v>
      </c>
      <c r="E18" s="37" t="s">
        <v>118</v>
      </c>
      <c r="F18" s="47"/>
      <c r="H18" s="5"/>
      <c r="I18" s="51"/>
      <c r="J18" s="47"/>
      <c r="K18" s="5"/>
      <c r="L18" s="5"/>
      <c r="M18" s="49"/>
      <c r="N18" s="50"/>
      <c r="O18" s="5"/>
      <c r="P18" s="28"/>
      <c r="Q18" s="5"/>
      <c r="R18" s="47"/>
      <c r="S18" s="5"/>
      <c r="T18" s="5"/>
      <c r="U18" s="49"/>
      <c r="V18" s="50"/>
      <c r="W18" s="28"/>
      <c r="X18" s="28"/>
      <c r="Y18" s="51"/>
    </row>
    <row r="19" spans="1:25" x14ac:dyDescent="0.25">
      <c r="A19" s="39" t="s">
        <v>224</v>
      </c>
      <c r="B19" s="196" t="s">
        <v>163</v>
      </c>
      <c r="C19" s="152">
        <v>16</v>
      </c>
      <c r="E19" s="37" t="s">
        <v>118</v>
      </c>
      <c r="F19" s="47"/>
      <c r="H19" s="5"/>
      <c r="I19" s="51"/>
      <c r="J19" s="47"/>
      <c r="K19" s="5"/>
      <c r="L19" s="5"/>
      <c r="M19" s="49"/>
      <c r="N19" s="50"/>
      <c r="O19" s="5"/>
      <c r="P19" s="28"/>
      <c r="Q19" s="5"/>
      <c r="R19" s="47"/>
      <c r="S19" s="5"/>
      <c r="T19" s="5"/>
      <c r="U19" s="49"/>
      <c r="V19" s="50"/>
      <c r="W19" s="28"/>
      <c r="X19" s="28"/>
      <c r="Y19" s="51"/>
    </row>
    <row r="20" spans="1:25" x14ac:dyDescent="0.25">
      <c r="A20" s="42" t="s">
        <v>133</v>
      </c>
      <c r="B20" s="209" t="s">
        <v>17</v>
      </c>
      <c r="C20" s="152">
        <v>65</v>
      </c>
      <c r="E20" s="37" t="s">
        <v>118</v>
      </c>
      <c r="F20" s="47"/>
      <c r="H20" s="5"/>
      <c r="I20" s="51"/>
      <c r="J20" s="47"/>
      <c r="K20" s="5"/>
      <c r="L20" s="5"/>
      <c r="M20" s="49"/>
      <c r="N20" s="50"/>
      <c r="O20" s="5"/>
      <c r="P20" s="28"/>
      <c r="Q20" s="5"/>
      <c r="R20" s="47"/>
      <c r="S20" s="5"/>
      <c r="T20" s="5"/>
      <c r="U20" s="49"/>
      <c r="V20" s="50"/>
      <c r="W20" s="28"/>
      <c r="X20" s="28"/>
      <c r="Y20" s="51"/>
    </row>
    <row r="21" spans="1:25" x14ac:dyDescent="0.25">
      <c r="A21" s="42" t="s">
        <v>222</v>
      </c>
      <c r="B21" s="209" t="s">
        <v>21</v>
      </c>
      <c r="C21" s="152">
        <v>28</v>
      </c>
      <c r="E21" s="37" t="s">
        <v>118</v>
      </c>
      <c r="F21" s="47"/>
      <c r="H21" s="5"/>
      <c r="I21" s="51"/>
      <c r="J21" s="47"/>
      <c r="K21" s="5"/>
      <c r="L21" s="5"/>
      <c r="M21" s="49"/>
      <c r="N21" s="50"/>
      <c r="O21" s="5"/>
      <c r="P21" s="28"/>
      <c r="Q21" s="5"/>
      <c r="R21" s="47"/>
      <c r="S21" s="5"/>
      <c r="T21" s="5"/>
      <c r="U21" s="49"/>
      <c r="V21" s="50"/>
      <c r="W21" s="28"/>
      <c r="X21" s="28"/>
      <c r="Y21" s="51"/>
    </row>
    <row r="22" spans="1:25" ht="31.5" x14ac:dyDescent="0.25">
      <c r="A22" s="42" t="s">
        <v>210</v>
      </c>
      <c r="B22" s="209" t="s">
        <v>21</v>
      </c>
      <c r="C22" s="156">
        <v>2373</v>
      </c>
      <c r="E22" s="37" t="s">
        <v>118</v>
      </c>
      <c r="F22" s="47"/>
      <c r="H22" s="5"/>
      <c r="I22" s="51"/>
      <c r="J22" s="47"/>
      <c r="K22" s="5"/>
      <c r="L22" s="5"/>
      <c r="M22" s="49"/>
      <c r="N22" s="50"/>
      <c r="O22" s="5"/>
      <c r="P22" s="28"/>
      <c r="Q22" s="5"/>
      <c r="R22" s="47"/>
      <c r="S22" s="5"/>
      <c r="T22" s="5"/>
      <c r="U22" s="49"/>
      <c r="V22" s="50"/>
      <c r="W22" s="28"/>
      <c r="X22" s="28"/>
      <c r="Y22" s="51"/>
    </row>
    <row r="23" spans="1:25" ht="31.5" x14ac:dyDescent="0.25">
      <c r="A23" s="42" t="s">
        <v>217</v>
      </c>
      <c r="B23" s="209" t="s">
        <v>21</v>
      </c>
      <c r="C23" s="156">
        <v>200</v>
      </c>
      <c r="E23" s="37" t="s">
        <v>118</v>
      </c>
      <c r="F23" s="47"/>
      <c r="H23" s="5"/>
      <c r="I23" s="51"/>
      <c r="J23" s="47"/>
      <c r="K23" s="5"/>
      <c r="L23" s="5"/>
      <c r="M23" s="49"/>
      <c r="N23" s="50"/>
      <c r="O23" s="5"/>
      <c r="P23" s="28"/>
      <c r="Q23" s="5"/>
      <c r="R23" s="47"/>
      <c r="S23" s="5"/>
      <c r="T23" s="5"/>
      <c r="U23" s="49"/>
      <c r="V23" s="50"/>
      <c r="W23" s="28"/>
      <c r="X23" s="28"/>
      <c r="Y23" s="51"/>
    </row>
    <row r="24" spans="1:25" x14ac:dyDescent="0.25">
      <c r="A24" s="42" t="s">
        <v>215</v>
      </c>
      <c r="B24" s="209" t="s">
        <v>17</v>
      </c>
      <c r="C24" s="156">
        <v>25</v>
      </c>
      <c r="E24" s="37" t="s">
        <v>118</v>
      </c>
      <c r="F24" s="47"/>
      <c r="H24" s="5"/>
      <c r="I24" s="51"/>
      <c r="J24" s="47"/>
      <c r="K24" s="5"/>
      <c r="L24" s="5"/>
      <c r="M24" s="49"/>
      <c r="N24" s="50"/>
      <c r="O24" s="5"/>
      <c r="P24" s="28"/>
      <c r="Q24" s="5"/>
      <c r="R24" s="47"/>
      <c r="S24" s="5"/>
      <c r="T24" s="5"/>
      <c r="U24" s="49"/>
      <c r="V24" s="50"/>
      <c r="W24" s="28"/>
      <c r="X24" s="28"/>
      <c r="Y24" s="51"/>
    </row>
    <row r="25" spans="1:25" x14ac:dyDescent="0.25">
      <c r="A25" s="42" t="s">
        <v>216</v>
      </c>
      <c r="B25" s="209" t="s">
        <v>21</v>
      </c>
      <c r="C25" s="156">
        <v>15</v>
      </c>
      <c r="E25" s="37" t="s">
        <v>118</v>
      </c>
      <c r="F25" s="47"/>
      <c r="H25" s="5"/>
      <c r="I25" s="51"/>
      <c r="J25" s="47"/>
      <c r="K25" s="5"/>
      <c r="L25" s="5"/>
      <c r="M25" s="49"/>
      <c r="N25" s="50"/>
      <c r="O25" s="5"/>
      <c r="P25" s="28"/>
      <c r="Q25" s="5"/>
      <c r="R25" s="47"/>
      <c r="S25" s="5"/>
      <c r="T25" s="5"/>
      <c r="U25" s="49"/>
      <c r="V25" s="50"/>
      <c r="W25" s="28"/>
      <c r="X25" s="28"/>
      <c r="Y25" s="51"/>
    </row>
    <row r="26" spans="1:25" x14ac:dyDescent="0.25">
      <c r="A26" s="42" t="s">
        <v>220</v>
      </c>
      <c r="B26" s="209" t="s">
        <v>21</v>
      </c>
      <c r="C26" s="156">
        <v>15</v>
      </c>
      <c r="E26" s="37" t="s">
        <v>118</v>
      </c>
      <c r="F26" s="47"/>
      <c r="H26" s="5"/>
      <c r="I26" s="51"/>
      <c r="J26" s="47"/>
      <c r="K26" s="5"/>
      <c r="L26" s="5"/>
      <c r="M26" s="49"/>
      <c r="N26" s="50"/>
      <c r="O26" s="5"/>
      <c r="P26" s="28"/>
      <c r="Q26" s="5"/>
      <c r="R26" s="47"/>
      <c r="S26" s="5"/>
      <c r="T26" s="5"/>
      <c r="U26" s="49"/>
      <c r="V26" s="50"/>
      <c r="W26" s="28"/>
      <c r="X26" s="28"/>
      <c r="Y26" s="51"/>
    </row>
    <row r="27" spans="1:25" x14ac:dyDescent="0.25">
      <c r="A27" s="42" t="s">
        <v>223</v>
      </c>
      <c r="B27" s="209">
        <v>300</v>
      </c>
      <c r="C27" s="152">
        <v>15</v>
      </c>
      <c r="E27" s="37" t="s">
        <v>118</v>
      </c>
      <c r="F27" s="47"/>
      <c r="H27" s="5"/>
      <c r="I27" s="51"/>
      <c r="J27" s="47"/>
      <c r="K27" s="5"/>
      <c r="L27" s="5"/>
      <c r="M27" s="49"/>
      <c r="N27" s="50"/>
      <c r="O27" s="5"/>
      <c r="P27" s="28"/>
      <c r="Q27" s="5"/>
      <c r="R27" s="47"/>
      <c r="S27" s="5"/>
      <c r="T27" s="5"/>
      <c r="U27" s="49"/>
      <c r="V27" s="50"/>
      <c r="W27" s="28"/>
      <c r="X27" s="28"/>
      <c r="Y27" s="51"/>
    </row>
    <row r="28" spans="1:25" x14ac:dyDescent="0.25">
      <c r="A28" s="38" t="s">
        <v>47</v>
      </c>
      <c r="B28" s="138"/>
      <c r="C28" s="153">
        <v>1</v>
      </c>
      <c r="D28" s="153"/>
      <c r="E28" s="73" t="s">
        <v>203</v>
      </c>
      <c r="F28" s="47"/>
      <c r="H28" s="5"/>
      <c r="I28" s="51"/>
      <c r="J28" s="47"/>
      <c r="K28" s="5"/>
      <c r="L28" s="5"/>
      <c r="M28" s="49"/>
      <c r="N28" s="50"/>
      <c r="O28" s="5"/>
      <c r="P28" s="28"/>
      <c r="Q28" s="5"/>
      <c r="R28" s="47"/>
      <c r="S28" s="5"/>
      <c r="T28" s="5"/>
      <c r="U28" s="49"/>
      <c r="V28" s="50"/>
      <c r="W28" s="28"/>
      <c r="X28" s="28"/>
      <c r="Y28" s="51"/>
    </row>
    <row r="29" spans="1:25" x14ac:dyDescent="0.25">
      <c r="A29" s="38" t="s">
        <v>229</v>
      </c>
      <c r="B29" s="138"/>
      <c r="C29" s="153">
        <v>1</v>
      </c>
      <c r="D29" s="153"/>
      <c r="E29" s="73" t="s">
        <v>203</v>
      </c>
      <c r="F29" s="47"/>
      <c r="G29" s="5"/>
      <c r="H29" s="5"/>
      <c r="I29" s="51"/>
      <c r="J29" s="47"/>
      <c r="K29" s="5"/>
      <c r="L29" s="5"/>
      <c r="M29" s="49"/>
      <c r="N29" s="50"/>
      <c r="O29" s="5"/>
      <c r="P29" s="28"/>
      <c r="Q29" s="49"/>
      <c r="R29" s="47"/>
      <c r="S29" s="5"/>
      <c r="T29" s="5"/>
      <c r="U29" s="49"/>
      <c r="V29" s="50"/>
      <c r="W29" s="28"/>
      <c r="X29" s="28"/>
      <c r="Y29" s="51"/>
    </row>
    <row r="30" spans="1:25" x14ac:dyDescent="0.25">
      <c r="A30" s="38" t="s">
        <v>45</v>
      </c>
      <c r="B30" s="197"/>
      <c r="C30" s="152">
        <v>12</v>
      </c>
      <c r="E30" s="37" t="s">
        <v>46</v>
      </c>
      <c r="F30" s="47"/>
      <c r="G30" s="5"/>
      <c r="H30" s="5"/>
      <c r="I30" s="51"/>
      <c r="J30" s="47"/>
      <c r="K30" s="5"/>
      <c r="L30" s="5"/>
      <c r="M30" s="49"/>
      <c r="N30" s="50"/>
      <c r="O30" s="5"/>
      <c r="P30" s="28"/>
      <c r="Q30" s="5"/>
      <c r="R30" s="47"/>
      <c r="S30" s="5"/>
      <c r="T30" s="5"/>
      <c r="U30" s="49"/>
      <c r="V30" s="50"/>
      <c r="W30" s="28"/>
      <c r="X30" s="28"/>
      <c r="Y30" s="51"/>
    </row>
    <row r="31" spans="1:25" x14ac:dyDescent="0.25">
      <c r="A31" s="39" t="s">
        <v>48</v>
      </c>
      <c r="B31" s="37"/>
      <c r="C31" s="152">
        <v>12</v>
      </c>
      <c r="E31" s="37" t="s">
        <v>46</v>
      </c>
      <c r="F31" s="46"/>
      <c r="G31" s="5"/>
      <c r="H31" s="5"/>
      <c r="I31" s="51"/>
      <c r="J31" s="47"/>
      <c r="K31" s="5"/>
      <c r="L31" s="5"/>
      <c r="M31" s="49"/>
      <c r="N31" s="50"/>
      <c r="O31" s="5"/>
      <c r="P31" s="28"/>
      <c r="Q31" s="5"/>
      <c r="R31" s="47"/>
      <c r="S31" s="5"/>
      <c r="T31" s="5"/>
      <c r="U31" s="49"/>
      <c r="V31" s="50"/>
      <c r="W31" s="28"/>
      <c r="X31" s="28"/>
      <c r="Y31" s="51"/>
    </row>
    <row r="32" spans="1:25" ht="16.5" thickBot="1" x14ac:dyDescent="0.3">
      <c r="A32" s="74" t="s">
        <v>49</v>
      </c>
      <c r="B32" s="45"/>
      <c r="C32" s="152">
        <v>15</v>
      </c>
      <c r="E32" s="37" t="s">
        <v>46</v>
      </c>
      <c r="F32" s="46"/>
      <c r="G32" s="5"/>
      <c r="H32" s="5"/>
      <c r="I32" s="51"/>
      <c r="J32" s="47"/>
      <c r="K32" s="5"/>
      <c r="L32" s="5"/>
      <c r="M32" s="49"/>
      <c r="N32" s="50"/>
      <c r="O32" s="5"/>
      <c r="P32" s="28"/>
      <c r="Q32" s="5"/>
      <c r="R32" s="47"/>
      <c r="S32" s="5"/>
      <c r="T32" s="5"/>
      <c r="U32" s="49"/>
      <c r="V32" s="50"/>
      <c r="W32" s="28"/>
      <c r="X32" s="28"/>
      <c r="Y32" s="51"/>
    </row>
    <row r="33" spans="1:25" ht="16.5" thickBot="1" x14ac:dyDescent="0.3">
      <c r="A33" s="168"/>
      <c r="B33" s="169"/>
      <c r="C33" s="207"/>
      <c r="D33" s="170"/>
      <c r="E33" s="171" t="s">
        <v>50</v>
      </c>
      <c r="F33" s="48"/>
      <c r="G33" s="35"/>
      <c r="H33" s="35"/>
      <c r="I33" s="36"/>
      <c r="J33" s="48"/>
      <c r="K33" s="35"/>
      <c r="L33" s="35"/>
      <c r="M33" s="36"/>
      <c r="N33" s="48"/>
      <c r="O33" s="35"/>
      <c r="P33" s="35"/>
      <c r="Q33" s="35"/>
      <c r="R33" s="48"/>
      <c r="S33" s="35"/>
      <c r="T33" s="35"/>
      <c r="U33" s="36"/>
      <c r="V33" s="48"/>
      <c r="W33" s="35"/>
      <c r="X33" s="35"/>
      <c r="Y33" s="36"/>
    </row>
    <row r="34" spans="1:25" ht="16.5" thickBot="1" x14ac:dyDescent="0.3">
      <c r="A34" s="80"/>
      <c r="B34" s="81"/>
      <c r="C34" s="127"/>
      <c r="D34" s="82"/>
      <c r="E34" s="83" t="s">
        <v>51</v>
      </c>
      <c r="F34" s="77"/>
      <c r="G34" s="78"/>
      <c r="H34" s="78"/>
      <c r="I34" s="79"/>
      <c r="J34" s="77"/>
      <c r="K34" s="78"/>
      <c r="L34" s="78"/>
      <c r="M34" s="79"/>
      <c r="N34" s="77"/>
      <c r="O34" s="78"/>
      <c r="P34" s="78"/>
      <c r="Q34" s="78"/>
      <c r="R34" s="77"/>
      <c r="S34" s="78"/>
      <c r="T34" s="78"/>
      <c r="U34" s="79"/>
      <c r="V34" s="77"/>
      <c r="W34" s="78"/>
      <c r="X34" s="78"/>
      <c r="Y34" s="79"/>
    </row>
    <row r="35" spans="1:25" ht="21.75" thickBot="1" x14ac:dyDescent="0.4">
      <c r="A35" s="84"/>
      <c r="B35" s="85"/>
      <c r="C35" s="128"/>
      <c r="D35" s="85"/>
      <c r="E35" s="85"/>
      <c r="F35" s="86"/>
      <c r="G35" s="86"/>
      <c r="H35" s="86"/>
      <c r="I35" s="86"/>
      <c r="J35" s="86"/>
      <c r="K35" s="86"/>
      <c r="L35" s="86"/>
      <c r="M35" s="86"/>
      <c r="N35" s="85"/>
      <c r="O35" s="86"/>
      <c r="P35" s="85"/>
      <c r="Q35" s="86"/>
      <c r="R35" s="86"/>
      <c r="S35" s="86"/>
      <c r="T35" s="86"/>
      <c r="U35" s="86"/>
      <c r="V35" s="85"/>
      <c r="W35" s="85"/>
      <c r="X35" s="87" t="s">
        <v>52</v>
      </c>
      <c r="Y35" s="88"/>
    </row>
    <row r="36" spans="1:25" x14ac:dyDescent="0.25">
      <c r="H36" s="2"/>
      <c r="I36" s="2"/>
      <c r="J36" s="2"/>
      <c r="K36" s="2"/>
      <c r="L36" s="2"/>
      <c r="M36" s="2"/>
      <c r="O36" s="2"/>
      <c r="Q36" s="2"/>
      <c r="R36" s="2"/>
      <c r="S36" s="2"/>
      <c r="T36" s="2"/>
      <c r="U36" s="2"/>
    </row>
    <row r="37" spans="1:25" x14ac:dyDescent="0.25">
      <c r="H37" s="2"/>
      <c r="I37" s="2"/>
      <c r="J37" s="2"/>
      <c r="K37" s="2"/>
      <c r="L37" s="2"/>
      <c r="M37" s="2"/>
      <c r="O37" s="2"/>
      <c r="Q37" s="2"/>
      <c r="R37" s="2"/>
      <c r="S37" s="2"/>
      <c r="T37" s="2"/>
      <c r="U37" s="2"/>
      <c r="W37" s="154" t="s">
        <v>53</v>
      </c>
    </row>
    <row r="38" spans="1:25" x14ac:dyDescent="0.25">
      <c r="H38" s="2"/>
      <c r="I38" s="2"/>
      <c r="J38" s="2"/>
      <c r="K38" s="2"/>
      <c r="L38" s="2"/>
      <c r="M38" s="2"/>
      <c r="O38" s="2"/>
      <c r="Q38" s="2"/>
      <c r="R38" s="2"/>
      <c r="S38" s="2"/>
      <c r="T38" s="2"/>
      <c r="U38" s="2"/>
    </row>
    <row r="39" spans="1:25" x14ac:dyDescent="0.25">
      <c r="H39" s="2"/>
      <c r="I39" s="2"/>
      <c r="J39" s="2"/>
      <c r="K39" s="2"/>
      <c r="L39" s="2"/>
      <c r="M39" s="2"/>
      <c r="O39" s="2"/>
      <c r="Q39" s="2"/>
      <c r="R39" s="2"/>
      <c r="S39" s="2"/>
      <c r="T39" s="2"/>
      <c r="U39" s="2"/>
    </row>
  </sheetData>
  <autoFilter ref="A2:Y35" xr:uid="{1510804C-9F6B-4809-A584-9DB833049A62}">
    <sortState xmlns:xlrd2="http://schemas.microsoft.com/office/spreadsheetml/2017/richdata2" ref="A3:Y35">
      <sortCondition ref="A2:A35"/>
    </sortState>
  </autoFilter>
  <mergeCells count="5">
    <mergeCell ref="F1:I1"/>
    <mergeCell ref="J1:M1"/>
    <mergeCell ref="N1:Q1"/>
    <mergeCell ref="R1:U1"/>
    <mergeCell ref="V1:Y1"/>
  </mergeCells>
  <phoneticPr fontId="8" type="noConversion"/>
  <pageMargins left="0.25" right="0.25" top="0.75" bottom="0.75" header="0.3" footer="0.3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D6C2A-D195-40D7-A7C0-118B5071BCBD}">
  <sheetPr>
    <tabColor rgb="FF92D050"/>
  </sheetPr>
  <dimension ref="A1:Y75"/>
  <sheetViews>
    <sheetView zoomScaleNormal="100" workbookViewId="0">
      <selection activeCell="F3" sqref="F3"/>
    </sheetView>
  </sheetViews>
  <sheetFormatPr defaultColWidth="8.7109375" defaultRowHeight="15.75" x14ac:dyDescent="0.25"/>
  <cols>
    <col min="1" max="1" width="97.140625" style="1" bestFit="1" customWidth="1"/>
    <col min="2" max="2" width="11.28515625" style="1" customWidth="1"/>
    <col min="3" max="3" width="16" style="152" customWidth="1"/>
    <col min="4" max="4" width="13.28515625" style="1" customWidth="1"/>
    <col min="5" max="5" width="12.5703125" style="152" customWidth="1"/>
    <col min="6" max="6" width="15.28515625" style="2" customWidth="1"/>
    <col min="7" max="7" width="16.42578125" style="2" customWidth="1"/>
    <col min="8" max="8" width="15.85546875" style="2" customWidth="1"/>
    <col min="9" max="9" width="20.5703125" style="1" bestFit="1" customWidth="1"/>
    <col min="10" max="10" width="15.28515625" style="1" bestFit="1" customWidth="1"/>
    <col min="11" max="11" width="17" style="1" bestFit="1" customWidth="1"/>
    <col min="12" max="12" width="15.28515625" style="2" bestFit="1" customWidth="1"/>
    <col min="13" max="13" width="20.5703125" style="1" bestFit="1" customWidth="1"/>
    <col min="14" max="14" width="15.7109375" style="1" bestFit="1" customWidth="1"/>
    <col min="15" max="15" width="17" style="1" bestFit="1" customWidth="1"/>
    <col min="16" max="16" width="11.28515625" style="1" bestFit="1" customWidth="1"/>
    <col min="17" max="17" width="20.5703125" style="1" bestFit="1" customWidth="1"/>
    <col min="18" max="18" width="15.7109375" style="1" bestFit="1" customWidth="1"/>
    <col min="19" max="19" width="17" style="1" bestFit="1" customWidth="1"/>
    <col min="20" max="20" width="11.42578125" style="1" customWidth="1"/>
    <col min="21" max="21" width="20.5703125" style="1" bestFit="1" customWidth="1"/>
    <col min="22" max="22" width="15.7109375" style="1" bestFit="1" customWidth="1"/>
    <col min="23" max="23" width="17" style="1" bestFit="1" customWidth="1"/>
    <col min="24" max="24" width="11.28515625" style="1" bestFit="1" customWidth="1"/>
    <col min="25" max="25" width="23.42578125" style="1" bestFit="1" customWidth="1"/>
    <col min="26" max="16384" width="8.7109375" style="1"/>
  </cols>
  <sheetData>
    <row r="1" spans="1:25" ht="18.75" x14ac:dyDescent="0.3">
      <c r="A1" s="52"/>
      <c r="B1" s="54"/>
      <c r="C1" s="124"/>
      <c r="D1" s="53"/>
      <c r="E1" s="125"/>
      <c r="F1" s="228" t="s">
        <v>10</v>
      </c>
      <c r="G1" s="229"/>
      <c r="H1" s="229"/>
      <c r="I1" s="230"/>
      <c r="J1" s="231" t="s">
        <v>3</v>
      </c>
      <c r="K1" s="232"/>
      <c r="L1" s="232"/>
      <c r="M1" s="233"/>
      <c r="N1" s="234" t="s">
        <v>4</v>
      </c>
      <c r="O1" s="235"/>
      <c r="P1" s="235"/>
      <c r="Q1" s="236"/>
      <c r="R1" s="237" t="s">
        <v>5</v>
      </c>
      <c r="S1" s="238"/>
      <c r="T1" s="238"/>
      <c r="U1" s="239"/>
      <c r="V1" s="240" t="s">
        <v>6</v>
      </c>
      <c r="W1" s="241"/>
      <c r="X1" s="241"/>
      <c r="Y1" s="242"/>
    </row>
    <row r="2" spans="1:25" ht="111" thickBot="1" x14ac:dyDescent="0.3">
      <c r="A2" s="141" t="s">
        <v>11</v>
      </c>
      <c r="B2" s="188" t="s">
        <v>12</v>
      </c>
      <c r="C2" s="34" t="s">
        <v>227</v>
      </c>
      <c r="D2" s="34" t="s">
        <v>226</v>
      </c>
      <c r="E2" s="142" t="s">
        <v>13</v>
      </c>
      <c r="F2" s="139" t="s">
        <v>14</v>
      </c>
      <c r="G2" s="29" t="s">
        <v>230</v>
      </c>
      <c r="H2" s="29" t="s">
        <v>15</v>
      </c>
      <c r="I2" s="167" t="s">
        <v>236</v>
      </c>
      <c r="J2" s="143" t="s">
        <v>14</v>
      </c>
      <c r="K2" s="30" t="s">
        <v>231</v>
      </c>
      <c r="L2" s="30" t="s">
        <v>15</v>
      </c>
      <c r="M2" s="144" t="s">
        <v>237</v>
      </c>
      <c r="N2" s="147" t="s">
        <v>14</v>
      </c>
      <c r="O2" s="31" t="s">
        <v>232</v>
      </c>
      <c r="P2" s="31" t="s">
        <v>15</v>
      </c>
      <c r="Q2" s="148" t="s">
        <v>238</v>
      </c>
      <c r="R2" s="149" t="s">
        <v>14</v>
      </c>
      <c r="S2" s="32" t="s">
        <v>233</v>
      </c>
      <c r="T2" s="32" t="s">
        <v>15</v>
      </c>
      <c r="U2" s="150" t="s">
        <v>239</v>
      </c>
      <c r="V2" s="145" t="s">
        <v>14</v>
      </c>
      <c r="W2" s="33" t="s">
        <v>234</v>
      </c>
      <c r="X2" s="33" t="s">
        <v>15</v>
      </c>
      <c r="Y2" s="146" t="s">
        <v>240</v>
      </c>
    </row>
    <row r="3" spans="1:25" x14ac:dyDescent="0.25">
      <c r="A3" s="210" t="s">
        <v>178</v>
      </c>
      <c r="B3" s="219" t="s">
        <v>163</v>
      </c>
      <c r="C3" s="211">
        <v>100</v>
      </c>
      <c r="D3" s="212"/>
      <c r="E3" s="218" t="s">
        <v>18</v>
      </c>
      <c r="F3" s="65"/>
      <c r="G3" s="57"/>
      <c r="H3" s="57"/>
      <c r="I3" s="213"/>
      <c r="J3" s="65"/>
      <c r="K3" s="57"/>
      <c r="L3" s="5"/>
      <c r="M3" s="66"/>
      <c r="N3" s="50"/>
      <c r="O3" s="5"/>
      <c r="P3" s="28"/>
      <c r="Q3" s="49"/>
      <c r="R3" s="47"/>
      <c r="S3" s="5"/>
      <c r="T3" s="5"/>
      <c r="U3" s="49"/>
      <c r="V3" s="50"/>
      <c r="W3" s="28"/>
      <c r="X3" s="28"/>
      <c r="Y3" s="51"/>
    </row>
    <row r="4" spans="1:25" x14ac:dyDescent="0.25">
      <c r="A4" s="38" t="s">
        <v>192</v>
      </c>
      <c r="B4" s="197">
        <v>200</v>
      </c>
      <c r="C4" s="152">
        <v>50</v>
      </c>
      <c r="E4" s="126" t="s">
        <v>18</v>
      </c>
      <c r="F4" s="47"/>
      <c r="G4" s="5"/>
      <c r="H4" s="5"/>
      <c r="I4" s="51"/>
      <c r="J4" s="47"/>
      <c r="K4" s="5"/>
      <c r="L4" s="5"/>
      <c r="M4" s="49"/>
      <c r="N4" s="50"/>
      <c r="O4" s="5"/>
      <c r="P4" s="28"/>
      <c r="Q4" s="49"/>
      <c r="R4" s="47"/>
      <c r="S4" s="5"/>
      <c r="T4" s="5"/>
      <c r="U4" s="49"/>
      <c r="V4" s="50"/>
      <c r="W4" s="28"/>
      <c r="X4" s="28"/>
      <c r="Y4" s="51"/>
    </row>
    <row r="5" spans="1:25" x14ac:dyDescent="0.25">
      <c r="A5" s="38" t="s">
        <v>135</v>
      </c>
      <c r="B5" s="197" t="s">
        <v>17</v>
      </c>
      <c r="C5" s="152">
        <v>23</v>
      </c>
      <c r="E5" s="126" t="s">
        <v>18</v>
      </c>
      <c r="F5" s="47"/>
      <c r="G5" s="5"/>
      <c r="H5" s="5"/>
      <c r="I5" s="51"/>
      <c r="J5" s="47"/>
      <c r="K5" s="5"/>
      <c r="L5" s="5"/>
      <c r="M5" s="49"/>
      <c r="N5" s="50"/>
      <c r="O5" s="5"/>
      <c r="P5" s="28"/>
      <c r="Q5" s="49"/>
      <c r="R5" s="47"/>
      <c r="S5" s="5"/>
      <c r="T5" s="5"/>
      <c r="U5" s="49"/>
      <c r="V5" s="50"/>
      <c r="W5" s="28"/>
      <c r="X5" s="28"/>
      <c r="Y5" s="51"/>
    </row>
    <row r="6" spans="1:25" x14ac:dyDescent="0.25">
      <c r="A6" s="43" t="s">
        <v>200</v>
      </c>
      <c r="B6" s="138" t="s">
        <v>21</v>
      </c>
      <c r="C6" s="153">
        <v>20</v>
      </c>
      <c r="D6" s="153"/>
      <c r="E6" s="73" t="s">
        <v>18</v>
      </c>
      <c r="F6" s="47"/>
      <c r="G6" s="5"/>
      <c r="H6" s="5"/>
      <c r="I6" s="51"/>
      <c r="J6" s="47"/>
      <c r="K6" s="5"/>
      <c r="L6" s="5"/>
      <c r="M6" s="49"/>
      <c r="N6" s="50"/>
      <c r="O6" s="5"/>
      <c r="P6" s="28"/>
      <c r="Q6" s="49"/>
      <c r="R6" s="47"/>
      <c r="S6" s="5"/>
      <c r="T6" s="5"/>
      <c r="U6" s="49"/>
      <c r="V6" s="50"/>
      <c r="W6" s="28"/>
      <c r="X6" s="28"/>
      <c r="Y6" s="51"/>
    </row>
    <row r="7" spans="1:25" x14ac:dyDescent="0.25">
      <c r="A7" s="120" t="s">
        <v>136</v>
      </c>
      <c r="B7" s="90" t="s">
        <v>21</v>
      </c>
      <c r="C7" s="152">
        <v>3</v>
      </c>
      <c r="E7" s="37"/>
      <c r="F7" s="47"/>
      <c r="G7" s="5"/>
      <c r="H7" s="5"/>
      <c r="I7" s="51"/>
      <c r="J7" s="47"/>
      <c r="K7" s="5"/>
      <c r="L7" s="5"/>
      <c r="M7" s="49"/>
      <c r="N7" s="50"/>
      <c r="O7" s="5"/>
      <c r="P7" s="28"/>
      <c r="Q7" s="49"/>
      <c r="R7" s="47"/>
      <c r="S7" s="5"/>
      <c r="T7" s="5"/>
      <c r="U7" s="49"/>
      <c r="V7" s="50"/>
      <c r="W7" s="28"/>
      <c r="X7" s="28"/>
      <c r="Y7" s="51"/>
    </row>
    <row r="8" spans="1:25" x14ac:dyDescent="0.25">
      <c r="A8" s="43" t="s">
        <v>180</v>
      </c>
      <c r="B8" s="138">
        <v>200</v>
      </c>
      <c r="C8" s="153">
        <v>200</v>
      </c>
      <c r="D8" s="153"/>
      <c r="E8" s="73" t="s">
        <v>18</v>
      </c>
      <c r="F8" s="47"/>
      <c r="G8" s="5"/>
      <c r="H8" s="5"/>
      <c r="I8" s="51"/>
      <c r="J8" s="47"/>
      <c r="K8" s="5"/>
      <c r="L8" s="5"/>
      <c r="M8" s="49"/>
      <c r="N8" s="50"/>
      <c r="O8" s="5"/>
      <c r="P8" s="28"/>
      <c r="Q8" s="49"/>
      <c r="R8" s="47"/>
      <c r="S8" s="5"/>
      <c r="T8" s="5"/>
      <c r="U8" s="49"/>
      <c r="V8" s="50"/>
      <c r="W8" s="28"/>
      <c r="X8" s="28"/>
      <c r="Y8" s="51"/>
    </row>
    <row r="9" spans="1:25" x14ac:dyDescent="0.25">
      <c r="A9" s="43" t="s">
        <v>181</v>
      </c>
      <c r="B9" s="138">
        <v>300</v>
      </c>
      <c r="C9" s="153">
        <v>200</v>
      </c>
      <c r="D9" s="153"/>
      <c r="E9" s="73" t="s">
        <v>18</v>
      </c>
      <c r="F9" s="47"/>
      <c r="G9" s="5"/>
      <c r="H9" s="5"/>
      <c r="I9" s="51"/>
      <c r="J9" s="47"/>
      <c r="K9" s="5"/>
      <c r="L9" s="5"/>
      <c r="M9" s="49"/>
      <c r="N9" s="50"/>
      <c r="O9" s="5"/>
      <c r="P9" s="28"/>
      <c r="Q9" s="49"/>
      <c r="R9" s="47"/>
      <c r="S9" s="5"/>
      <c r="T9" s="5"/>
      <c r="U9" s="49"/>
      <c r="V9" s="50"/>
      <c r="W9" s="28"/>
      <c r="X9" s="28"/>
      <c r="Y9" s="51"/>
    </row>
    <row r="10" spans="1:25" x14ac:dyDescent="0.25">
      <c r="A10" s="38" t="s">
        <v>198</v>
      </c>
      <c r="B10" s="138" t="s">
        <v>123</v>
      </c>
      <c r="C10" s="153">
        <v>20</v>
      </c>
      <c r="D10" s="153"/>
      <c r="E10" s="73" t="s">
        <v>18</v>
      </c>
      <c r="F10" s="47"/>
      <c r="G10" s="5"/>
      <c r="H10" s="5"/>
      <c r="I10" s="51"/>
      <c r="J10" s="47"/>
      <c r="K10" s="5"/>
      <c r="L10" s="5"/>
      <c r="M10" s="49"/>
      <c r="N10" s="50"/>
      <c r="O10" s="5"/>
      <c r="P10" s="28"/>
      <c r="Q10" s="49"/>
      <c r="R10" s="47"/>
      <c r="S10" s="5"/>
      <c r="T10" s="5"/>
      <c r="U10" s="49"/>
      <c r="V10" s="50"/>
      <c r="W10" s="28"/>
      <c r="X10" s="28"/>
      <c r="Y10" s="51"/>
    </row>
    <row r="11" spans="1:25" x14ac:dyDescent="0.25">
      <c r="A11" s="38" t="s">
        <v>95</v>
      </c>
      <c r="B11" s="197" t="s">
        <v>21</v>
      </c>
      <c r="C11" s="152">
        <v>38</v>
      </c>
      <c r="E11" s="37"/>
      <c r="F11" s="47"/>
      <c r="G11" s="5"/>
      <c r="H11" s="5"/>
      <c r="I11" s="51"/>
      <c r="J11" s="47"/>
      <c r="K11" s="5"/>
      <c r="L11" s="5"/>
      <c r="M11" s="49"/>
      <c r="N11" s="50"/>
      <c r="O11" s="5"/>
      <c r="P11" s="28"/>
      <c r="Q11" s="49"/>
      <c r="R11" s="47"/>
      <c r="S11" s="5"/>
      <c r="T11" s="5"/>
      <c r="U11" s="49"/>
      <c r="V11" s="50"/>
      <c r="W11" s="28"/>
      <c r="X11" s="28"/>
      <c r="Y11" s="51"/>
    </row>
    <row r="12" spans="1:25" x14ac:dyDescent="0.25">
      <c r="A12" s="38" t="s">
        <v>137</v>
      </c>
      <c r="B12" s="197" t="s">
        <v>17</v>
      </c>
      <c r="C12" s="152">
        <v>16</v>
      </c>
      <c r="E12" s="37"/>
      <c r="F12" s="47"/>
      <c r="G12" s="5"/>
      <c r="H12" s="5"/>
      <c r="I12" s="51"/>
      <c r="J12" s="47"/>
      <c r="K12" s="5"/>
      <c r="L12" s="5"/>
      <c r="M12" s="49"/>
      <c r="N12" s="50"/>
      <c r="O12" s="5"/>
      <c r="P12" s="28"/>
      <c r="Q12" s="49"/>
      <c r="R12" s="47"/>
      <c r="S12" s="5"/>
      <c r="T12" s="5"/>
      <c r="U12" s="49"/>
      <c r="V12" s="50"/>
      <c r="W12" s="28"/>
      <c r="X12" s="28"/>
      <c r="Y12" s="51"/>
    </row>
    <row r="13" spans="1:25" x14ac:dyDescent="0.25">
      <c r="A13" s="214" t="s">
        <v>182</v>
      </c>
      <c r="B13" s="89" t="s">
        <v>183</v>
      </c>
      <c r="C13" s="153">
        <v>100</v>
      </c>
      <c r="D13" s="153"/>
      <c r="E13" s="73" t="s">
        <v>18</v>
      </c>
      <c r="F13" s="47"/>
      <c r="G13" s="5"/>
      <c r="H13" s="5"/>
      <c r="I13" s="51"/>
      <c r="J13" s="47"/>
      <c r="K13" s="5"/>
      <c r="L13" s="5"/>
      <c r="M13" s="49"/>
      <c r="N13" s="50"/>
      <c r="O13" s="5"/>
      <c r="P13" s="28"/>
      <c r="Q13" s="49"/>
      <c r="R13" s="47"/>
      <c r="S13" s="5"/>
      <c r="T13" s="5"/>
      <c r="U13" s="49"/>
      <c r="V13" s="50"/>
      <c r="W13" s="28"/>
      <c r="X13" s="28"/>
      <c r="Y13" s="51"/>
    </row>
    <row r="14" spans="1:25" x14ac:dyDescent="0.25">
      <c r="A14" s="214" t="s">
        <v>138</v>
      </c>
      <c r="B14" s="89" t="s">
        <v>21</v>
      </c>
      <c r="C14" s="153">
        <v>135</v>
      </c>
      <c r="D14" s="153"/>
      <c r="E14" s="73" t="s">
        <v>18</v>
      </c>
      <c r="F14" s="47"/>
      <c r="G14" s="5"/>
      <c r="H14" s="5"/>
      <c r="I14" s="51"/>
      <c r="J14" s="47"/>
      <c r="K14" s="5"/>
      <c r="L14" s="5"/>
      <c r="M14" s="49"/>
      <c r="N14" s="50"/>
      <c r="O14" s="5"/>
      <c r="P14" s="28"/>
      <c r="Q14" s="49"/>
      <c r="R14" s="47"/>
      <c r="S14" s="5"/>
      <c r="T14" s="5"/>
      <c r="U14" s="49"/>
      <c r="V14" s="50"/>
      <c r="W14" s="28"/>
      <c r="X14" s="28"/>
      <c r="Y14" s="51"/>
    </row>
    <row r="15" spans="1:25" x14ac:dyDescent="0.25">
      <c r="A15" s="214" t="s">
        <v>196</v>
      </c>
      <c r="B15" s="89" t="s">
        <v>197</v>
      </c>
      <c r="C15" s="153">
        <v>12</v>
      </c>
      <c r="D15" s="153"/>
      <c r="E15" s="73" t="s">
        <v>18</v>
      </c>
      <c r="F15" s="47"/>
      <c r="G15" s="5"/>
      <c r="H15" s="5"/>
      <c r="I15" s="51"/>
      <c r="J15" s="47"/>
      <c r="K15" s="5"/>
      <c r="L15" s="5"/>
      <c r="M15" s="49"/>
      <c r="N15" s="50"/>
      <c r="O15" s="5"/>
      <c r="P15" s="28"/>
      <c r="Q15" s="49"/>
      <c r="R15" s="47"/>
      <c r="S15" s="5"/>
      <c r="T15" s="5"/>
      <c r="U15" s="49"/>
      <c r="V15" s="50"/>
      <c r="W15" s="28"/>
      <c r="X15" s="28"/>
      <c r="Y15" s="51"/>
    </row>
    <row r="16" spans="1:25" x14ac:dyDescent="0.25">
      <c r="A16" s="214" t="s">
        <v>196</v>
      </c>
      <c r="B16" s="89" t="s">
        <v>17</v>
      </c>
      <c r="C16" s="153">
        <v>22</v>
      </c>
      <c r="D16" s="153"/>
      <c r="E16" s="73" t="s">
        <v>18</v>
      </c>
      <c r="F16" s="47"/>
      <c r="G16" s="5"/>
      <c r="H16" s="5"/>
      <c r="I16" s="51"/>
      <c r="J16" s="47"/>
      <c r="K16" s="5"/>
      <c r="L16" s="5"/>
      <c r="M16" s="49"/>
      <c r="N16" s="50"/>
      <c r="O16" s="5"/>
      <c r="P16" s="28"/>
      <c r="Q16" s="49"/>
      <c r="R16" s="47"/>
      <c r="S16" s="5"/>
      <c r="T16" s="5"/>
      <c r="U16" s="49"/>
      <c r="V16" s="50"/>
      <c r="W16" s="28"/>
      <c r="X16" s="28"/>
      <c r="Y16" s="51"/>
    </row>
    <row r="17" spans="1:25" x14ac:dyDescent="0.25">
      <c r="A17" s="214" t="s">
        <v>20</v>
      </c>
      <c r="B17" s="89" t="s">
        <v>21</v>
      </c>
      <c r="C17" s="153">
        <v>126</v>
      </c>
      <c r="D17" s="153"/>
      <c r="E17" s="73" t="s">
        <v>18</v>
      </c>
      <c r="F17" s="47"/>
      <c r="G17" s="5"/>
      <c r="H17" s="5"/>
      <c r="I17" s="51"/>
      <c r="J17" s="47"/>
      <c r="K17" s="5"/>
      <c r="L17" s="5"/>
      <c r="M17" s="49"/>
      <c r="N17" s="50"/>
      <c r="O17" s="5"/>
      <c r="P17" s="28"/>
      <c r="Q17" s="49"/>
      <c r="R17" s="47"/>
      <c r="S17" s="5"/>
      <c r="T17" s="5"/>
      <c r="U17" s="49"/>
      <c r="V17" s="50"/>
      <c r="W17" s="28"/>
      <c r="X17" s="28"/>
      <c r="Y17" s="51"/>
    </row>
    <row r="18" spans="1:25" x14ac:dyDescent="0.25">
      <c r="A18" s="42" t="s">
        <v>199</v>
      </c>
      <c r="B18" s="209">
        <v>200</v>
      </c>
      <c r="C18" s="152">
        <v>3</v>
      </c>
      <c r="E18" s="126" t="s">
        <v>18</v>
      </c>
      <c r="F18" s="47"/>
      <c r="G18" s="5"/>
      <c r="H18" s="5"/>
      <c r="I18" s="51"/>
      <c r="J18" s="47"/>
      <c r="K18" s="5"/>
      <c r="L18" s="5"/>
      <c r="M18" s="49"/>
      <c r="N18" s="50"/>
      <c r="O18" s="5"/>
      <c r="P18" s="28"/>
      <c r="Q18" s="49"/>
      <c r="R18" s="47"/>
      <c r="S18" s="5"/>
      <c r="T18" s="5"/>
      <c r="U18" s="49"/>
      <c r="V18" s="50"/>
      <c r="W18" s="28"/>
      <c r="X18" s="28"/>
      <c r="Y18" s="51"/>
    </row>
    <row r="19" spans="1:25" x14ac:dyDescent="0.25">
      <c r="A19" s="39" t="s">
        <v>141</v>
      </c>
      <c r="B19" s="196" t="s">
        <v>24</v>
      </c>
      <c r="C19" s="152">
        <v>17</v>
      </c>
      <c r="E19" s="126" t="s">
        <v>18</v>
      </c>
      <c r="F19" s="132"/>
      <c r="G19" s="5"/>
      <c r="H19" s="5"/>
      <c r="I19" s="51"/>
      <c r="J19" s="47"/>
      <c r="K19" s="5"/>
      <c r="L19" s="5"/>
      <c r="M19" s="49"/>
      <c r="N19" s="50"/>
      <c r="O19" s="5"/>
      <c r="P19" s="28"/>
      <c r="Q19" s="49"/>
      <c r="R19" s="47"/>
      <c r="S19" s="5"/>
      <c r="T19" s="5"/>
      <c r="U19" s="49"/>
      <c r="V19" s="50"/>
      <c r="W19" s="28"/>
      <c r="X19" s="28"/>
      <c r="Y19" s="51"/>
    </row>
    <row r="20" spans="1:25" x14ac:dyDescent="0.25">
      <c r="A20" s="120" t="s">
        <v>142</v>
      </c>
      <c r="B20" s="90" t="s">
        <v>143</v>
      </c>
      <c r="C20" s="152">
        <v>33</v>
      </c>
      <c r="E20" s="37"/>
      <c r="F20" s="47"/>
      <c r="G20" s="5"/>
      <c r="H20" s="5"/>
      <c r="I20" s="51"/>
      <c r="J20" s="47"/>
      <c r="K20" s="5"/>
      <c r="L20" s="5"/>
      <c r="M20" s="49"/>
      <c r="N20" s="50"/>
      <c r="O20" s="5"/>
      <c r="P20" s="28"/>
      <c r="Q20" s="49"/>
      <c r="R20" s="47"/>
      <c r="S20" s="5"/>
      <c r="T20" s="5"/>
      <c r="U20" s="49"/>
      <c r="V20" s="50"/>
      <c r="W20" s="28"/>
      <c r="X20" s="28"/>
      <c r="Y20" s="51"/>
    </row>
    <row r="21" spans="1:25" x14ac:dyDescent="0.25">
      <c r="A21" s="214" t="s">
        <v>144</v>
      </c>
      <c r="B21" s="196" t="s">
        <v>21</v>
      </c>
      <c r="C21" s="152">
        <v>3</v>
      </c>
      <c r="E21" s="126" t="s">
        <v>18</v>
      </c>
      <c r="F21" s="47"/>
      <c r="G21" s="5"/>
      <c r="H21" s="5"/>
      <c r="I21" s="51"/>
      <c r="J21" s="47"/>
      <c r="K21" s="5"/>
      <c r="L21" s="5"/>
      <c r="M21" s="49"/>
      <c r="N21" s="50"/>
      <c r="O21" s="5"/>
      <c r="P21" s="28"/>
      <c r="Q21" s="49"/>
      <c r="R21" s="47"/>
      <c r="S21" s="5"/>
      <c r="T21" s="5"/>
      <c r="U21" s="49"/>
      <c r="V21" s="50"/>
      <c r="W21" s="28"/>
      <c r="X21" s="28"/>
      <c r="Y21" s="51"/>
    </row>
    <row r="22" spans="1:25" x14ac:dyDescent="0.25">
      <c r="A22" s="58" t="s">
        <v>184</v>
      </c>
      <c r="B22" s="90">
        <v>200</v>
      </c>
      <c r="C22" s="152">
        <v>200</v>
      </c>
      <c r="E22" s="126" t="s">
        <v>18</v>
      </c>
      <c r="F22" s="47"/>
      <c r="G22" s="5"/>
      <c r="H22" s="5"/>
      <c r="I22" s="51"/>
      <c r="J22" s="47"/>
      <c r="K22" s="5"/>
      <c r="L22" s="5"/>
      <c r="M22" s="49"/>
      <c r="N22" s="50"/>
      <c r="O22" s="5"/>
      <c r="P22" s="28"/>
      <c r="Q22" s="49"/>
      <c r="R22" s="47"/>
      <c r="S22" s="5"/>
      <c r="T22" s="5"/>
      <c r="U22" s="49"/>
      <c r="V22" s="50"/>
      <c r="W22" s="28"/>
      <c r="X22" s="28"/>
      <c r="Y22" s="51"/>
    </row>
    <row r="23" spans="1:25" x14ac:dyDescent="0.25">
      <c r="A23" s="58" t="s">
        <v>185</v>
      </c>
      <c r="B23" s="90" t="s">
        <v>21</v>
      </c>
      <c r="C23" s="152">
        <v>50</v>
      </c>
      <c r="E23" s="126" t="s">
        <v>18</v>
      </c>
      <c r="F23" s="47"/>
      <c r="G23" s="5"/>
      <c r="H23" s="5"/>
      <c r="I23" s="51"/>
      <c r="J23" s="47"/>
      <c r="K23" s="5"/>
      <c r="L23" s="5"/>
      <c r="M23" s="49"/>
      <c r="N23" s="50"/>
      <c r="O23" s="5"/>
      <c r="P23" s="28"/>
      <c r="Q23" s="49"/>
      <c r="R23" s="47"/>
      <c r="S23" s="5"/>
      <c r="T23" s="5"/>
      <c r="U23" s="49"/>
      <c r="V23" s="50"/>
      <c r="W23" s="28"/>
      <c r="X23" s="28"/>
      <c r="Y23" s="51"/>
    </row>
    <row r="24" spans="1:25" x14ac:dyDescent="0.25">
      <c r="A24" s="58" t="s">
        <v>145</v>
      </c>
      <c r="B24" s="90" t="s">
        <v>123</v>
      </c>
      <c r="C24" s="152">
        <v>1</v>
      </c>
      <c r="E24" s="126" t="s">
        <v>18</v>
      </c>
      <c r="F24" s="47"/>
      <c r="G24" s="5"/>
      <c r="H24" s="5"/>
      <c r="I24" s="51"/>
      <c r="J24" s="47"/>
      <c r="K24" s="5"/>
      <c r="L24" s="5"/>
      <c r="M24" s="49"/>
      <c r="N24" s="50"/>
      <c r="O24" s="5"/>
      <c r="P24" s="28"/>
      <c r="Q24" s="49"/>
      <c r="R24" s="47"/>
      <c r="S24" s="5"/>
      <c r="T24" s="5"/>
      <c r="U24" s="49"/>
      <c r="V24" s="50"/>
      <c r="W24" s="28"/>
      <c r="X24" s="28"/>
      <c r="Y24" s="51"/>
    </row>
    <row r="25" spans="1:25" x14ac:dyDescent="0.25">
      <c r="A25" s="39" t="s">
        <v>128</v>
      </c>
      <c r="B25" s="196" t="s">
        <v>146</v>
      </c>
      <c r="C25" s="152">
        <v>8</v>
      </c>
      <c r="E25" s="126" t="s">
        <v>33</v>
      </c>
      <c r="F25" s="47"/>
      <c r="G25" s="5"/>
      <c r="H25" s="5"/>
      <c r="I25" s="51"/>
      <c r="J25" s="47"/>
      <c r="K25" s="5"/>
      <c r="L25" s="5"/>
      <c r="M25" s="49"/>
      <c r="N25" s="50"/>
      <c r="O25" s="5"/>
      <c r="P25" s="28"/>
      <c r="Q25" s="49"/>
      <c r="R25" s="47"/>
      <c r="S25" s="5"/>
      <c r="T25" s="5"/>
      <c r="U25" s="49"/>
      <c r="V25" s="50"/>
      <c r="W25" s="28"/>
      <c r="X25" s="28"/>
      <c r="Y25" s="51"/>
    </row>
    <row r="26" spans="1:25" x14ac:dyDescent="0.25">
      <c r="A26" s="39" t="s">
        <v>131</v>
      </c>
      <c r="B26" s="196" t="s">
        <v>132</v>
      </c>
      <c r="C26" s="152">
        <v>28</v>
      </c>
      <c r="E26" s="126" t="s">
        <v>33</v>
      </c>
      <c r="F26" s="47"/>
      <c r="G26" s="5"/>
      <c r="H26" s="5"/>
      <c r="I26" s="51"/>
      <c r="J26" s="47"/>
      <c r="K26" s="5"/>
      <c r="L26" s="5"/>
      <c r="M26" s="49"/>
      <c r="N26" s="50"/>
      <c r="O26" s="5"/>
      <c r="P26" s="28"/>
      <c r="Q26" s="49"/>
      <c r="R26" s="47"/>
      <c r="S26" s="5"/>
      <c r="T26" s="5"/>
      <c r="U26" s="49"/>
      <c r="V26" s="50"/>
      <c r="W26" s="28"/>
      <c r="X26" s="28"/>
      <c r="Y26" s="51"/>
    </row>
    <row r="27" spans="1:25" x14ac:dyDescent="0.25">
      <c r="A27" s="42" t="s">
        <v>109</v>
      </c>
      <c r="B27" s="209" t="s">
        <v>110</v>
      </c>
      <c r="C27" s="152">
        <v>33</v>
      </c>
      <c r="E27" s="126" t="s">
        <v>33</v>
      </c>
      <c r="F27" s="47"/>
      <c r="G27" s="5"/>
      <c r="H27" s="5"/>
      <c r="I27" s="51"/>
      <c r="J27" s="47"/>
      <c r="K27" s="5"/>
      <c r="L27" s="5"/>
      <c r="M27" s="49"/>
      <c r="N27" s="50"/>
      <c r="O27" s="5"/>
      <c r="P27" s="28"/>
      <c r="Q27" s="49"/>
      <c r="R27" s="47"/>
      <c r="S27" s="5"/>
      <c r="T27" s="5"/>
      <c r="U27" s="49"/>
      <c r="V27" s="50"/>
      <c r="W27" s="28"/>
      <c r="X27" s="28"/>
      <c r="Y27" s="51"/>
    </row>
    <row r="28" spans="1:25" x14ac:dyDescent="0.25">
      <c r="A28" s="60" t="s">
        <v>147</v>
      </c>
      <c r="B28" s="89" t="s">
        <v>148</v>
      </c>
      <c r="C28" s="152">
        <v>8</v>
      </c>
      <c r="E28" s="126" t="s">
        <v>33</v>
      </c>
      <c r="F28" s="47"/>
      <c r="G28" s="5"/>
      <c r="H28" s="5"/>
      <c r="I28" s="51"/>
      <c r="J28" s="47"/>
      <c r="K28" s="5"/>
      <c r="L28" s="5"/>
      <c r="M28" s="49"/>
      <c r="N28" s="50"/>
      <c r="O28" s="5"/>
      <c r="P28" s="28"/>
      <c r="Q28" s="49"/>
      <c r="R28" s="47"/>
      <c r="S28" s="5"/>
      <c r="T28" s="5"/>
      <c r="U28" s="49"/>
      <c r="V28" s="50"/>
      <c r="W28" s="28"/>
      <c r="X28" s="28"/>
      <c r="Y28" s="51"/>
    </row>
    <row r="29" spans="1:25" x14ac:dyDescent="0.25">
      <c r="A29" s="40" t="s">
        <v>31</v>
      </c>
      <c r="B29" s="138" t="s">
        <v>33</v>
      </c>
      <c r="C29" s="153"/>
      <c r="D29" s="153">
        <v>6</v>
      </c>
      <c r="E29" s="126" t="s">
        <v>33</v>
      </c>
      <c r="F29" s="47"/>
      <c r="G29" s="5"/>
      <c r="H29" s="5"/>
      <c r="I29" s="51"/>
      <c r="J29" s="47"/>
      <c r="K29" s="5"/>
      <c r="L29" s="5"/>
      <c r="M29" s="49"/>
      <c r="N29" s="50"/>
      <c r="O29" s="5"/>
      <c r="P29" s="28"/>
      <c r="Q29" s="49"/>
      <c r="R29" s="47"/>
      <c r="S29" s="5"/>
      <c r="T29" s="5"/>
      <c r="U29" s="49"/>
      <c r="V29" s="50"/>
      <c r="W29" s="28"/>
      <c r="X29" s="28"/>
      <c r="Y29" s="51"/>
    </row>
    <row r="30" spans="1:25" x14ac:dyDescent="0.25">
      <c r="A30" s="38" t="s">
        <v>149</v>
      </c>
      <c r="B30" s="197" t="s">
        <v>148</v>
      </c>
      <c r="C30" s="152">
        <v>1</v>
      </c>
      <c r="E30" s="126" t="s">
        <v>33</v>
      </c>
      <c r="F30" s="47"/>
      <c r="G30" s="5"/>
      <c r="H30" s="5"/>
      <c r="I30" s="51"/>
      <c r="J30" s="47"/>
      <c r="K30" s="5"/>
      <c r="L30" s="5"/>
      <c r="M30" s="49"/>
      <c r="N30" s="50"/>
      <c r="O30" s="5"/>
      <c r="P30" s="28"/>
      <c r="Q30" s="49"/>
      <c r="R30" s="47"/>
      <c r="S30" s="5"/>
      <c r="T30" s="5"/>
      <c r="U30" s="49"/>
      <c r="V30" s="50"/>
      <c r="W30" s="28"/>
      <c r="X30" s="28"/>
      <c r="Y30" s="51"/>
    </row>
    <row r="31" spans="1:25" x14ac:dyDescent="0.25">
      <c r="A31" s="38" t="s">
        <v>150</v>
      </c>
      <c r="B31" s="197" t="s">
        <v>195</v>
      </c>
      <c r="C31" s="152">
        <v>64</v>
      </c>
      <c r="E31" s="126" t="s">
        <v>33</v>
      </c>
      <c r="F31" s="47"/>
      <c r="G31" s="5"/>
      <c r="H31" s="5"/>
      <c r="I31" s="51"/>
      <c r="J31" s="47"/>
      <c r="K31" s="5"/>
      <c r="L31" s="5"/>
      <c r="M31" s="49"/>
      <c r="N31" s="50"/>
      <c r="O31" s="5"/>
      <c r="P31" s="28"/>
      <c r="Q31" s="49"/>
      <c r="R31" s="47"/>
      <c r="S31" s="5"/>
      <c r="T31" s="5"/>
      <c r="U31" s="49"/>
      <c r="V31" s="50"/>
      <c r="W31" s="28"/>
      <c r="X31" s="28"/>
      <c r="Y31" s="51"/>
    </row>
    <row r="32" spans="1:25" x14ac:dyDescent="0.25">
      <c r="A32" s="38" t="s">
        <v>151</v>
      </c>
      <c r="B32" s="197" t="s">
        <v>170</v>
      </c>
      <c r="C32" s="152">
        <v>27</v>
      </c>
      <c r="E32" s="126" t="s">
        <v>33</v>
      </c>
      <c r="F32" s="47"/>
      <c r="G32" s="5"/>
      <c r="H32" s="5"/>
      <c r="I32" s="51"/>
      <c r="J32" s="47"/>
      <c r="K32" s="5"/>
      <c r="L32" s="5"/>
      <c r="M32" s="49"/>
      <c r="N32" s="50"/>
      <c r="O32" s="5"/>
      <c r="P32" s="28"/>
      <c r="Q32" s="49"/>
      <c r="R32" s="47"/>
      <c r="S32" s="5"/>
      <c r="T32" s="5"/>
      <c r="U32" s="49"/>
      <c r="V32" s="50"/>
      <c r="W32" s="28"/>
      <c r="X32" s="28"/>
      <c r="Y32" s="51"/>
    </row>
    <row r="33" spans="1:25" x14ac:dyDescent="0.25">
      <c r="A33" s="38" t="s">
        <v>191</v>
      </c>
      <c r="B33" s="197">
        <v>200</v>
      </c>
      <c r="C33" s="152">
        <v>50</v>
      </c>
      <c r="E33" s="126" t="s">
        <v>18</v>
      </c>
      <c r="F33" s="47"/>
      <c r="G33" s="5"/>
      <c r="H33" s="5"/>
      <c r="I33" s="51"/>
      <c r="J33" s="47"/>
      <c r="K33" s="5"/>
      <c r="L33" s="5"/>
      <c r="M33" s="49"/>
      <c r="N33" s="50"/>
      <c r="O33" s="5"/>
      <c r="P33" s="28"/>
      <c r="Q33" s="49"/>
      <c r="R33" s="47"/>
      <c r="S33" s="5"/>
      <c r="T33" s="5"/>
      <c r="U33" s="49"/>
      <c r="V33" s="50"/>
      <c r="W33" s="28"/>
      <c r="X33" s="28"/>
      <c r="Y33" s="51"/>
    </row>
    <row r="34" spans="1:25" x14ac:dyDescent="0.25">
      <c r="A34" s="38" t="s">
        <v>107</v>
      </c>
      <c r="B34" s="197" t="s">
        <v>111</v>
      </c>
      <c r="C34" s="152">
        <v>6</v>
      </c>
      <c r="E34" s="73" t="s">
        <v>18</v>
      </c>
      <c r="F34" s="47"/>
      <c r="G34" s="5"/>
      <c r="H34" s="5"/>
      <c r="I34" s="51"/>
      <c r="J34" s="47"/>
      <c r="K34" s="5"/>
      <c r="L34" s="5"/>
      <c r="M34" s="49"/>
      <c r="N34" s="50"/>
      <c r="O34" s="5"/>
      <c r="P34" s="28"/>
      <c r="Q34" s="49"/>
      <c r="R34" s="47"/>
      <c r="S34" s="5"/>
      <c r="T34" s="5"/>
      <c r="U34" s="49"/>
      <c r="V34" s="50"/>
      <c r="W34" s="28"/>
      <c r="X34" s="28"/>
      <c r="Y34" s="51"/>
    </row>
    <row r="35" spans="1:25" x14ac:dyDescent="0.25">
      <c r="A35" s="38" t="s">
        <v>189</v>
      </c>
      <c r="B35" s="197">
        <v>125</v>
      </c>
      <c r="C35" s="152">
        <v>20</v>
      </c>
      <c r="E35" s="73" t="s">
        <v>18</v>
      </c>
      <c r="F35" s="47"/>
      <c r="G35" s="5"/>
      <c r="H35" s="5"/>
      <c r="I35" s="51"/>
      <c r="J35" s="47"/>
      <c r="K35" s="5"/>
      <c r="L35" s="5"/>
      <c r="M35" s="49"/>
      <c r="N35" s="50"/>
      <c r="O35" s="5"/>
      <c r="P35" s="28"/>
      <c r="Q35" s="49"/>
      <c r="R35" s="47"/>
      <c r="S35" s="5"/>
      <c r="T35" s="5"/>
      <c r="U35" s="49"/>
      <c r="V35" s="50"/>
      <c r="W35" s="28"/>
      <c r="X35" s="28"/>
      <c r="Y35" s="51"/>
    </row>
    <row r="36" spans="1:25" x14ac:dyDescent="0.25">
      <c r="A36" s="40" t="s">
        <v>77</v>
      </c>
      <c r="B36" s="196">
        <v>200</v>
      </c>
      <c r="C36" s="152">
        <v>18</v>
      </c>
      <c r="E36" s="73" t="s">
        <v>18</v>
      </c>
      <c r="F36" s="61"/>
      <c r="G36" s="5"/>
      <c r="H36" s="5"/>
      <c r="I36" s="51"/>
      <c r="J36" s="47"/>
      <c r="K36" s="5"/>
      <c r="L36" s="5"/>
      <c r="M36" s="49"/>
      <c r="N36" s="50"/>
      <c r="O36" s="5"/>
      <c r="P36" s="28"/>
      <c r="Q36" s="49"/>
      <c r="R36" s="47"/>
      <c r="S36" s="5"/>
      <c r="T36" s="5"/>
      <c r="U36" s="49"/>
      <c r="V36" s="50"/>
      <c r="W36" s="28"/>
      <c r="X36" s="28"/>
      <c r="Y36" s="51"/>
    </row>
    <row r="37" spans="1:25" x14ac:dyDescent="0.25">
      <c r="A37" s="40" t="s">
        <v>187</v>
      </c>
      <c r="B37" s="138" t="s">
        <v>188</v>
      </c>
      <c r="C37" s="153">
        <v>20</v>
      </c>
      <c r="D37" s="153"/>
      <c r="E37" s="73" t="s">
        <v>18</v>
      </c>
      <c r="F37" s="47"/>
      <c r="G37" s="5"/>
      <c r="H37" s="5"/>
      <c r="I37" s="51"/>
      <c r="J37" s="47"/>
      <c r="K37" s="5"/>
      <c r="L37" s="5"/>
      <c r="M37" s="49"/>
      <c r="N37" s="50"/>
      <c r="O37" s="5"/>
      <c r="P37" s="28"/>
      <c r="Q37" s="49"/>
      <c r="R37" s="47"/>
      <c r="S37" s="5"/>
      <c r="T37" s="5"/>
      <c r="U37" s="49"/>
      <c r="V37" s="50"/>
      <c r="W37" s="28"/>
      <c r="X37" s="28"/>
      <c r="Y37" s="51"/>
    </row>
    <row r="38" spans="1:25" x14ac:dyDescent="0.25">
      <c r="A38" s="40" t="s">
        <v>186</v>
      </c>
      <c r="B38" s="138">
        <v>300</v>
      </c>
      <c r="C38" s="153">
        <v>20</v>
      </c>
      <c r="D38" s="153"/>
      <c r="E38" s="73" t="s">
        <v>18</v>
      </c>
      <c r="F38" s="47"/>
      <c r="G38" s="5"/>
      <c r="H38" s="5"/>
      <c r="I38" s="51"/>
      <c r="J38" s="47"/>
      <c r="K38" s="5"/>
      <c r="L38" s="5"/>
      <c r="M38" s="49"/>
      <c r="N38" s="50"/>
      <c r="O38" s="5"/>
      <c r="P38" s="28"/>
      <c r="Q38" s="49"/>
      <c r="R38" s="47"/>
      <c r="S38" s="5"/>
      <c r="T38" s="5"/>
      <c r="U38" s="49"/>
      <c r="V38" s="50"/>
      <c r="W38" s="28"/>
      <c r="X38" s="28"/>
      <c r="Y38" s="51"/>
    </row>
    <row r="39" spans="1:25" x14ac:dyDescent="0.25">
      <c r="A39" s="215" t="s">
        <v>78</v>
      </c>
      <c r="B39" s="196" t="s">
        <v>79</v>
      </c>
      <c r="C39" s="152">
        <v>12</v>
      </c>
      <c r="E39" s="73" t="s">
        <v>18</v>
      </c>
      <c r="F39" s="61"/>
      <c r="G39" s="5"/>
      <c r="H39" s="5"/>
      <c r="I39" s="51"/>
      <c r="J39" s="47"/>
      <c r="K39" s="5"/>
      <c r="L39" s="5"/>
      <c r="M39" s="49"/>
      <c r="N39" s="50"/>
      <c r="O39" s="5"/>
      <c r="P39" s="28"/>
      <c r="Q39" s="49"/>
      <c r="R39" s="47"/>
      <c r="S39" s="5"/>
      <c r="T39" s="5"/>
      <c r="U39" s="49"/>
      <c r="V39" s="50"/>
      <c r="W39" s="28"/>
      <c r="X39" s="28"/>
      <c r="Y39" s="51"/>
    </row>
    <row r="40" spans="1:25" x14ac:dyDescent="0.25">
      <c r="A40" s="58" t="s">
        <v>152</v>
      </c>
      <c r="B40" s="90">
        <v>200</v>
      </c>
      <c r="C40" s="152">
        <v>8</v>
      </c>
      <c r="E40" s="73" t="s">
        <v>18</v>
      </c>
      <c r="F40" s="47"/>
      <c r="G40" s="5"/>
      <c r="H40" s="5"/>
      <c r="I40" s="51"/>
      <c r="J40" s="47"/>
      <c r="K40" s="5"/>
      <c r="L40" s="5"/>
      <c r="M40" s="49"/>
      <c r="N40" s="50"/>
      <c r="O40" s="5"/>
      <c r="P40" s="28"/>
      <c r="Q40" s="49"/>
      <c r="R40" s="47"/>
      <c r="S40" s="5"/>
      <c r="T40" s="5"/>
      <c r="U40" s="49"/>
      <c r="V40" s="50"/>
      <c r="W40" s="28"/>
      <c r="X40" s="28"/>
      <c r="Y40" s="51"/>
    </row>
    <row r="41" spans="1:25" x14ac:dyDescent="0.25">
      <c r="A41" s="58" t="s">
        <v>80</v>
      </c>
      <c r="B41" s="90">
        <v>300</v>
      </c>
      <c r="C41" s="152">
        <v>144</v>
      </c>
      <c r="E41" s="73" t="s">
        <v>18</v>
      </c>
      <c r="F41" s="47"/>
      <c r="G41" s="5"/>
      <c r="H41" s="5"/>
      <c r="I41" s="51"/>
      <c r="J41" s="47"/>
      <c r="K41" s="5"/>
      <c r="L41" s="5"/>
      <c r="M41" s="49"/>
      <c r="N41" s="50"/>
      <c r="O41" s="5"/>
      <c r="P41" s="28"/>
      <c r="Q41" s="49"/>
      <c r="R41" s="47"/>
      <c r="S41" s="5"/>
      <c r="T41" s="5"/>
      <c r="U41" s="49"/>
      <c r="V41" s="50"/>
      <c r="W41" s="28"/>
      <c r="X41" s="28"/>
      <c r="Y41" s="51"/>
    </row>
    <row r="42" spans="1:25" x14ac:dyDescent="0.25">
      <c r="A42" s="39" t="s">
        <v>81</v>
      </c>
      <c r="B42" s="196" t="s">
        <v>37</v>
      </c>
      <c r="C42" s="152">
        <v>12</v>
      </c>
      <c r="E42" s="73" t="s">
        <v>18</v>
      </c>
      <c r="F42" s="61"/>
      <c r="G42" s="5"/>
      <c r="H42" s="5"/>
      <c r="I42" s="51"/>
      <c r="J42" s="47"/>
      <c r="K42" s="5"/>
      <c r="L42" s="5"/>
      <c r="M42" s="49"/>
      <c r="N42" s="50"/>
      <c r="O42" s="5"/>
      <c r="P42" s="28"/>
      <c r="Q42" s="49"/>
      <c r="R42" s="47"/>
      <c r="S42" s="5"/>
      <c r="T42" s="5"/>
      <c r="U42" s="49"/>
      <c r="V42" s="50"/>
      <c r="W42" s="28"/>
      <c r="X42" s="28"/>
      <c r="Y42" s="51"/>
    </row>
    <row r="43" spans="1:25" x14ac:dyDescent="0.25">
      <c r="A43" s="38" t="s">
        <v>153</v>
      </c>
      <c r="B43" s="197" t="s">
        <v>21</v>
      </c>
      <c r="C43" s="152">
        <v>14</v>
      </c>
      <c r="E43" s="73" t="s">
        <v>18</v>
      </c>
      <c r="F43" s="47"/>
      <c r="G43" s="5"/>
      <c r="H43" s="5"/>
      <c r="I43" s="51"/>
      <c r="J43" s="47"/>
      <c r="K43" s="5"/>
      <c r="L43" s="5"/>
      <c r="M43" s="49"/>
      <c r="N43" s="50"/>
      <c r="O43" s="5"/>
      <c r="P43" s="28"/>
      <c r="Q43" s="49"/>
      <c r="R43" s="47"/>
      <c r="S43" s="5"/>
      <c r="T43" s="5"/>
      <c r="U43" s="49"/>
      <c r="V43" s="50"/>
      <c r="W43" s="28"/>
      <c r="X43" s="28"/>
      <c r="Y43" s="51"/>
    </row>
    <row r="44" spans="1:25" x14ac:dyDescent="0.25">
      <c r="A44" s="214" t="s">
        <v>190</v>
      </c>
      <c r="B44" s="89" t="s">
        <v>183</v>
      </c>
      <c r="C44" s="153">
        <v>20</v>
      </c>
      <c r="D44" s="153"/>
      <c r="E44" s="73" t="s">
        <v>18</v>
      </c>
      <c r="F44" s="47"/>
      <c r="G44" s="5"/>
      <c r="H44" s="5"/>
      <c r="I44" s="51"/>
      <c r="J44" s="47"/>
      <c r="K44" s="5"/>
      <c r="L44" s="5"/>
      <c r="M44" s="49"/>
      <c r="N44" s="50"/>
      <c r="O44" s="5"/>
      <c r="P44" s="28"/>
      <c r="Q44" s="49"/>
      <c r="R44" s="47"/>
      <c r="S44" s="5"/>
      <c r="T44" s="5"/>
      <c r="U44" s="49"/>
      <c r="V44" s="50"/>
      <c r="W44" s="28"/>
      <c r="X44" s="28"/>
      <c r="Y44" s="51"/>
    </row>
    <row r="45" spans="1:25" x14ac:dyDescent="0.25">
      <c r="A45" s="215" t="s">
        <v>154</v>
      </c>
      <c r="B45" s="209">
        <v>200</v>
      </c>
      <c r="C45" s="152">
        <v>44</v>
      </c>
      <c r="E45" s="73" t="s">
        <v>18</v>
      </c>
      <c r="F45" s="132"/>
      <c r="G45" s="5"/>
      <c r="H45" s="5"/>
      <c r="I45" s="51"/>
      <c r="J45" s="47"/>
      <c r="K45" s="5"/>
      <c r="L45" s="5"/>
      <c r="M45" s="49"/>
      <c r="N45" s="50"/>
      <c r="O45" s="5"/>
      <c r="P45" s="28"/>
      <c r="Q45" s="49"/>
      <c r="R45" s="47"/>
      <c r="S45" s="5"/>
      <c r="T45" s="5"/>
      <c r="U45" s="49"/>
      <c r="V45" s="50"/>
      <c r="W45" s="28"/>
      <c r="X45" s="28"/>
      <c r="Y45" s="51"/>
    </row>
    <row r="46" spans="1:25" x14ac:dyDescent="0.25">
      <c r="A46" s="215" t="s">
        <v>179</v>
      </c>
      <c r="B46" s="197" t="s">
        <v>130</v>
      </c>
      <c r="C46" s="152">
        <v>200</v>
      </c>
      <c r="E46" s="73" t="s">
        <v>18</v>
      </c>
      <c r="F46" s="47"/>
      <c r="G46" s="5"/>
      <c r="H46" s="5"/>
      <c r="I46" s="51"/>
      <c r="J46" s="47"/>
      <c r="K46" s="5"/>
      <c r="L46" s="5"/>
      <c r="M46" s="49"/>
      <c r="N46" s="50"/>
      <c r="O46" s="5"/>
      <c r="P46" s="28"/>
      <c r="Q46" s="49"/>
      <c r="R46" s="47"/>
      <c r="S46" s="5"/>
      <c r="T46" s="5"/>
      <c r="U46" s="49"/>
      <c r="V46" s="50"/>
      <c r="W46" s="28"/>
      <c r="X46" s="28"/>
      <c r="Y46" s="51"/>
    </row>
    <row r="47" spans="1:25" x14ac:dyDescent="0.25">
      <c r="A47" s="215" t="s">
        <v>155</v>
      </c>
      <c r="B47" s="209" t="s">
        <v>21</v>
      </c>
      <c r="C47" s="152">
        <v>1042</v>
      </c>
      <c r="E47" s="73" t="s">
        <v>18</v>
      </c>
      <c r="F47" s="47"/>
      <c r="G47" s="5"/>
      <c r="H47" s="5"/>
      <c r="I47" s="51"/>
      <c r="J47" s="47"/>
      <c r="K47" s="5"/>
      <c r="L47" s="5"/>
      <c r="M47" s="49"/>
      <c r="N47" s="50"/>
      <c r="O47" s="5"/>
      <c r="P47" s="28"/>
      <c r="Q47" s="49"/>
      <c r="R47" s="47"/>
      <c r="S47" s="5"/>
      <c r="T47" s="5"/>
      <c r="U47" s="49"/>
      <c r="V47" s="50"/>
      <c r="W47" s="28"/>
      <c r="X47" s="28"/>
      <c r="Y47" s="51"/>
    </row>
    <row r="48" spans="1:25" x14ac:dyDescent="0.25">
      <c r="A48" s="39" t="s">
        <v>156</v>
      </c>
      <c r="B48" s="196" t="s">
        <v>17</v>
      </c>
      <c r="C48" s="152">
        <v>26</v>
      </c>
      <c r="E48" s="73" t="s">
        <v>18</v>
      </c>
      <c r="F48" s="47"/>
      <c r="G48" s="5"/>
      <c r="H48" s="5"/>
      <c r="I48" s="51"/>
      <c r="J48" s="47"/>
      <c r="K48" s="5"/>
      <c r="L48" s="5"/>
      <c r="M48" s="49"/>
      <c r="N48" s="50"/>
      <c r="O48" s="5"/>
      <c r="P48" s="28"/>
      <c r="Q48" s="49"/>
      <c r="R48" s="47"/>
      <c r="S48" s="5"/>
      <c r="T48" s="5"/>
      <c r="U48" s="49"/>
      <c r="V48" s="50"/>
      <c r="W48" s="28"/>
      <c r="X48" s="28"/>
      <c r="Y48" s="51"/>
    </row>
    <row r="49" spans="1:25" x14ac:dyDescent="0.25">
      <c r="A49" s="39" t="s">
        <v>104</v>
      </c>
      <c r="B49" s="196" t="s">
        <v>21</v>
      </c>
      <c r="C49" s="152">
        <v>184</v>
      </c>
      <c r="E49" s="73" t="s">
        <v>18</v>
      </c>
      <c r="F49" s="47"/>
      <c r="G49" s="5"/>
      <c r="H49" s="5"/>
      <c r="I49" s="51"/>
      <c r="J49" s="47"/>
      <c r="K49" s="5"/>
      <c r="L49" s="5"/>
      <c r="M49" s="49"/>
      <c r="N49" s="50"/>
      <c r="O49" s="5"/>
      <c r="P49" s="28"/>
      <c r="Q49" s="49"/>
      <c r="R49" s="47"/>
      <c r="S49" s="5"/>
      <c r="T49" s="5"/>
      <c r="U49" s="49"/>
      <c r="V49" s="50"/>
      <c r="W49" s="28"/>
      <c r="X49" s="28"/>
      <c r="Y49" s="51"/>
    </row>
    <row r="50" spans="1:25" x14ac:dyDescent="0.25">
      <c r="A50" s="41" t="s">
        <v>157</v>
      </c>
      <c r="B50" s="198" t="s">
        <v>21</v>
      </c>
      <c r="C50" s="152">
        <v>88</v>
      </c>
      <c r="E50" s="73" t="s">
        <v>18</v>
      </c>
      <c r="F50" s="47"/>
      <c r="G50" s="5"/>
      <c r="H50" s="5"/>
      <c r="I50" s="51"/>
      <c r="J50" s="47"/>
      <c r="K50" s="5"/>
      <c r="L50" s="5"/>
      <c r="M50" s="49"/>
      <c r="N50" s="50"/>
      <c r="O50" s="5"/>
      <c r="P50" s="28"/>
      <c r="Q50" s="49"/>
      <c r="R50" s="47"/>
      <c r="S50" s="5"/>
      <c r="T50" s="5"/>
      <c r="U50" s="49"/>
      <c r="V50" s="50"/>
      <c r="W50" s="28"/>
      <c r="X50" s="28"/>
      <c r="Y50" s="51"/>
    </row>
    <row r="51" spans="1:25" x14ac:dyDescent="0.25">
      <c r="A51" s="40" t="s">
        <v>193</v>
      </c>
      <c r="B51" s="196" t="s">
        <v>130</v>
      </c>
      <c r="C51" s="152">
        <v>20</v>
      </c>
      <c r="E51" s="73" t="s">
        <v>18</v>
      </c>
      <c r="F51" s="47"/>
      <c r="G51" s="5"/>
      <c r="H51" s="5"/>
      <c r="I51" s="51"/>
      <c r="J51" s="47"/>
      <c r="K51" s="5"/>
      <c r="L51" s="5"/>
      <c r="M51" s="49"/>
      <c r="N51" s="50"/>
      <c r="O51" s="5"/>
      <c r="P51" s="28"/>
      <c r="Q51" s="49"/>
      <c r="R51" s="47"/>
      <c r="S51" s="5"/>
      <c r="T51" s="5"/>
      <c r="U51" s="49"/>
      <c r="V51" s="50"/>
      <c r="W51" s="28"/>
      <c r="X51" s="28"/>
      <c r="Y51" s="51"/>
    </row>
    <row r="52" spans="1:25" x14ac:dyDescent="0.25">
      <c r="A52" s="42" t="s">
        <v>115</v>
      </c>
      <c r="B52" s="209" t="s">
        <v>21</v>
      </c>
      <c r="C52" s="152">
        <v>4129</v>
      </c>
      <c r="E52" s="73" t="s">
        <v>18</v>
      </c>
      <c r="F52" s="217"/>
      <c r="G52" s="5"/>
      <c r="H52" s="5"/>
      <c r="I52" s="51"/>
      <c r="J52" s="47"/>
      <c r="K52" s="5"/>
      <c r="L52" s="5"/>
      <c r="M52" s="49"/>
      <c r="N52" s="50"/>
      <c r="O52" s="5"/>
      <c r="P52" s="28"/>
      <c r="Q52" s="49"/>
      <c r="R52" s="47"/>
      <c r="S52" s="5"/>
      <c r="T52" s="5"/>
      <c r="U52" s="49"/>
      <c r="V52" s="50"/>
      <c r="W52" s="28"/>
      <c r="X52" s="28"/>
      <c r="Y52" s="51"/>
    </row>
    <row r="53" spans="1:25" x14ac:dyDescent="0.25">
      <c r="A53" s="42" t="s">
        <v>116</v>
      </c>
      <c r="B53" s="209" t="s">
        <v>17</v>
      </c>
      <c r="C53" s="152">
        <v>6</v>
      </c>
      <c r="E53" s="73" t="s">
        <v>18</v>
      </c>
      <c r="F53" s="47"/>
      <c r="G53" s="5"/>
      <c r="H53" s="5"/>
      <c r="I53" s="51"/>
      <c r="J53" s="47"/>
      <c r="K53" s="5"/>
      <c r="L53" s="5"/>
      <c r="M53" s="49"/>
      <c r="N53" s="50"/>
      <c r="O53" s="5"/>
      <c r="P53" s="28"/>
      <c r="Q53" s="49"/>
      <c r="R53" s="47"/>
      <c r="S53" s="5"/>
      <c r="T53" s="5"/>
      <c r="U53" s="49"/>
      <c r="V53" s="50"/>
      <c r="W53" s="28"/>
      <c r="X53" s="28"/>
      <c r="Y53" s="51"/>
    </row>
    <row r="54" spans="1:25" x14ac:dyDescent="0.25">
      <c r="A54" s="39" t="s">
        <v>25</v>
      </c>
      <c r="B54" s="196" t="s">
        <v>26</v>
      </c>
      <c r="C54" s="152">
        <v>32</v>
      </c>
      <c r="E54" s="73" t="s">
        <v>18</v>
      </c>
      <c r="F54" s="61"/>
      <c r="G54" s="5"/>
      <c r="H54" s="5"/>
      <c r="I54" s="51"/>
      <c r="J54" s="47"/>
      <c r="K54" s="5"/>
      <c r="L54" s="5"/>
      <c r="M54" s="49"/>
      <c r="N54" s="50"/>
      <c r="O54" s="5"/>
      <c r="P54" s="28"/>
      <c r="Q54" s="49"/>
      <c r="R54" s="47"/>
      <c r="S54" s="5"/>
      <c r="T54" s="5"/>
      <c r="U54" s="49"/>
      <c r="V54" s="50"/>
      <c r="W54" s="28"/>
      <c r="X54" s="28"/>
      <c r="Y54" s="51"/>
    </row>
    <row r="55" spans="1:25" x14ac:dyDescent="0.25">
      <c r="A55" s="40" t="s">
        <v>117</v>
      </c>
      <c r="B55" s="196" t="s">
        <v>21</v>
      </c>
      <c r="C55" s="152">
        <v>316</v>
      </c>
      <c r="E55" s="73" t="s">
        <v>18</v>
      </c>
      <c r="F55" s="61"/>
      <c r="G55" s="5"/>
      <c r="H55" s="5"/>
      <c r="I55" s="51"/>
      <c r="J55" s="47"/>
      <c r="K55" s="5"/>
      <c r="L55" s="5"/>
      <c r="M55" s="49"/>
      <c r="N55" s="50"/>
      <c r="O55" s="5"/>
      <c r="P55" s="28"/>
      <c r="Q55" s="49"/>
      <c r="R55" s="47"/>
      <c r="S55" s="5"/>
      <c r="T55" s="5"/>
      <c r="U55" s="49"/>
      <c r="V55" s="50"/>
      <c r="W55" s="28"/>
      <c r="X55" s="28"/>
      <c r="Y55" s="51"/>
    </row>
    <row r="56" spans="1:25" x14ac:dyDescent="0.25">
      <c r="A56" s="42" t="s">
        <v>158</v>
      </c>
      <c r="B56" s="209" t="s">
        <v>159</v>
      </c>
      <c r="C56" s="152">
        <v>26</v>
      </c>
      <c r="E56" s="73" t="s">
        <v>18</v>
      </c>
      <c r="F56" s="47"/>
      <c r="G56" s="5"/>
      <c r="H56" s="5"/>
      <c r="I56" s="51"/>
      <c r="J56" s="47"/>
      <c r="K56" s="5"/>
      <c r="L56" s="5"/>
      <c r="M56" s="49"/>
      <c r="N56" s="50"/>
      <c r="O56" s="5"/>
      <c r="P56" s="28"/>
      <c r="Q56" s="49"/>
      <c r="R56" s="47"/>
      <c r="S56" s="5"/>
      <c r="T56" s="5"/>
      <c r="U56" s="49"/>
      <c r="V56" s="50"/>
      <c r="W56" s="28"/>
      <c r="X56" s="28"/>
      <c r="Y56" s="51"/>
    </row>
    <row r="57" spans="1:25" x14ac:dyDescent="0.25">
      <c r="A57" s="216" t="s">
        <v>160</v>
      </c>
      <c r="B57" s="89" t="s">
        <v>17</v>
      </c>
      <c r="C57" s="152">
        <v>26</v>
      </c>
      <c r="E57" s="73" t="s">
        <v>18</v>
      </c>
      <c r="F57" s="47"/>
      <c r="G57" s="5"/>
      <c r="H57" s="5"/>
      <c r="I57" s="51"/>
      <c r="J57" s="47"/>
      <c r="K57" s="5"/>
      <c r="L57" s="5"/>
      <c r="M57" s="49"/>
      <c r="N57" s="50"/>
      <c r="O57" s="5"/>
      <c r="P57" s="28"/>
      <c r="Q57" s="49"/>
      <c r="R57" s="47"/>
      <c r="S57" s="5"/>
      <c r="T57" s="5"/>
      <c r="U57" s="49"/>
      <c r="V57" s="50"/>
      <c r="W57" s="28"/>
      <c r="X57" s="28"/>
      <c r="Y57" s="51"/>
    </row>
    <row r="58" spans="1:25" x14ac:dyDescent="0.25">
      <c r="A58" s="206" t="s">
        <v>84</v>
      </c>
      <c r="B58" s="208" t="s">
        <v>21</v>
      </c>
      <c r="C58" s="152">
        <v>520</v>
      </c>
      <c r="E58" s="73" t="s">
        <v>18</v>
      </c>
      <c r="F58" s="47"/>
      <c r="G58" s="5"/>
      <c r="H58" s="5"/>
      <c r="I58" s="51"/>
      <c r="J58" s="47"/>
      <c r="K58" s="5"/>
      <c r="L58" s="5"/>
      <c r="M58" s="49"/>
      <c r="N58" s="50"/>
      <c r="O58" s="5"/>
      <c r="P58" s="28"/>
      <c r="Q58" s="49"/>
      <c r="R58" s="47"/>
      <c r="S58" s="5"/>
      <c r="T58" s="5"/>
      <c r="U58" s="49"/>
      <c r="V58" s="50"/>
      <c r="W58" s="28"/>
      <c r="X58" s="28"/>
      <c r="Y58" s="51"/>
    </row>
    <row r="59" spans="1:25" x14ac:dyDescent="0.25">
      <c r="A59" s="38" t="s">
        <v>43</v>
      </c>
      <c r="B59" s="197" t="s">
        <v>21</v>
      </c>
      <c r="C59" s="152">
        <v>10</v>
      </c>
      <c r="E59" s="73" t="s">
        <v>18</v>
      </c>
      <c r="F59" s="47"/>
      <c r="G59" s="5"/>
      <c r="H59" s="5"/>
      <c r="I59" s="51"/>
      <c r="J59" s="47"/>
      <c r="K59" s="5"/>
      <c r="L59" s="5"/>
      <c r="M59" s="49"/>
      <c r="N59" s="50"/>
      <c r="O59" s="5"/>
      <c r="P59" s="28"/>
      <c r="Q59" s="49"/>
      <c r="R59" s="47"/>
      <c r="S59" s="5"/>
      <c r="T59" s="5"/>
      <c r="U59" s="49"/>
      <c r="V59" s="50"/>
      <c r="W59" s="28"/>
      <c r="X59" s="28"/>
      <c r="Y59" s="51"/>
    </row>
    <row r="60" spans="1:25" x14ac:dyDescent="0.25">
      <c r="A60" s="42" t="s">
        <v>161</v>
      </c>
      <c r="B60" s="209" t="s">
        <v>21</v>
      </c>
      <c r="C60" s="152">
        <v>254</v>
      </c>
      <c r="E60" s="73" t="s">
        <v>18</v>
      </c>
      <c r="F60" s="47"/>
      <c r="G60" s="5"/>
      <c r="H60" s="5"/>
      <c r="I60" s="51"/>
      <c r="J60" s="47"/>
      <c r="K60" s="5"/>
      <c r="L60" s="5"/>
      <c r="M60" s="49"/>
      <c r="N60" s="50"/>
      <c r="O60" s="5"/>
      <c r="P60" s="28"/>
      <c r="Q60" s="49"/>
      <c r="R60" s="47"/>
      <c r="S60" s="5"/>
      <c r="T60" s="5"/>
      <c r="U60" s="49"/>
      <c r="V60" s="50"/>
      <c r="W60" s="28"/>
      <c r="X60" s="28"/>
      <c r="Y60" s="51"/>
    </row>
    <row r="61" spans="1:25" x14ac:dyDescent="0.25">
      <c r="A61" s="40" t="s">
        <v>30</v>
      </c>
      <c r="B61" s="138" t="s">
        <v>21</v>
      </c>
      <c r="C61" s="153">
        <v>1</v>
      </c>
      <c r="D61" s="153"/>
      <c r="E61" s="73" t="s">
        <v>18</v>
      </c>
      <c r="F61" s="47"/>
      <c r="G61" s="5"/>
      <c r="H61" s="5"/>
      <c r="I61" s="51"/>
      <c r="J61" s="47"/>
      <c r="K61" s="5"/>
      <c r="L61" s="5"/>
      <c r="M61" s="49"/>
      <c r="N61" s="50"/>
      <c r="O61" s="5"/>
      <c r="P61" s="28"/>
      <c r="Q61" s="5"/>
      <c r="R61" s="47"/>
      <c r="S61" s="5"/>
      <c r="T61" s="5"/>
      <c r="U61" s="49"/>
      <c r="V61" s="50"/>
      <c r="W61" s="28"/>
      <c r="X61" s="28"/>
      <c r="Y61" s="51"/>
    </row>
    <row r="62" spans="1:25" x14ac:dyDescent="0.25">
      <c r="A62" s="214" t="s">
        <v>22</v>
      </c>
      <c r="B62" s="89" t="s">
        <v>21</v>
      </c>
      <c r="C62" s="153">
        <v>4</v>
      </c>
      <c r="D62" s="153"/>
      <c r="E62" s="73" t="s">
        <v>18</v>
      </c>
      <c r="F62" s="47"/>
      <c r="G62" s="5"/>
      <c r="H62" s="5"/>
      <c r="I62" s="51"/>
      <c r="J62" s="47"/>
      <c r="K62" s="5"/>
      <c r="L62" s="5"/>
      <c r="M62" s="49"/>
      <c r="N62" s="50"/>
      <c r="O62" s="5"/>
      <c r="P62" s="28"/>
      <c r="Q62" s="49"/>
      <c r="R62" s="47"/>
      <c r="S62" s="5"/>
      <c r="T62" s="5"/>
      <c r="U62" s="49"/>
      <c r="V62" s="50"/>
      <c r="W62" s="28"/>
      <c r="X62" s="28"/>
      <c r="Y62" s="51"/>
    </row>
    <row r="63" spans="1:25" x14ac:dyDescent="0.25">
      <c r="A63" s="214" t="s">
        <v>16</v>
      </c>
      <c r="B63" s="89" t="s">
        <v>17</v>
      </c>
      <c r="C63" s="153">
        <v>1</v>
      </c>
      <c r="D63" s="153">
        <v>12</v>
      </c>
      <c r="E63" s="73" t="s">
        <v>18</v>
      </c>
      <c r="F63" s="47"/>
      <c r="G63" s="5"/>
      <c r="H63" s="5"/>
      <c r="I63" s="51"/>
      <c r="J63" s="47"/>
      <c r="K63" s="5"/>
      <c r="L63" s="5"/>
      <c r="M63" s="49"/>
      <c r="N63" s="50"/>
      <c r="O63" s="5"/>
      <c r="P63" s="28"/>
      <c r="Q63" s="49"/>
      <c r="R63" s="47"/>
      <c r="S63" s="5"/>
      <c r="T63" s="5"/>
      <c r="U63" s="49"/>
      <c r="V63" s="50"/>
      <c r="W63" s="28"/>
      <c r="X63" s="28"/>
      <c r="Y63" s="51"/>
    </row>
    <row r="64" spans="1:25" x14ac:dyDescent="0.25">
      <c r="A64" s="38" t="s">
        <v>47</v>
      </c>
      <c r="B64" s="138"/>
      <c r="C64" s="153">
        <v>1</v>
      </c>
      <c r="D64" s="153"/>
      <c r="E64" s="73" t="s">
        <v>203</v>
      </c>
      <c r="F64" s="47"/>
      <c r="G64" s="5"/>
      <c r="H64" s="5"/>
      <c r="I64" s="51"/>
      <c r="J64" s="47"/>
      <c r="K64" s="5"/>
      <c r="L64" s="5"/>
      <c r="M64" s="49"/>
      <c r="N64" s="50"/>
      <c r="O64" s="5"/>
      <c r="P64" s="28"/>
      <c r="Q64" s="49"/>
      <c r="R64" s="47"/>
      <c r="S64" s="5"/>
      <c r="T64" s="5"/>
      <c r="U64" s="49"/>
      <c r="V64" s="50"/>
      <c r="W64" s="28"/>
      <c r="X64" s="28"/>
      <c r="Y64" s="51"/>
    </row>
    <row r="65" spans="1:25" x14ac:dyDescent="0.25">
      <c r="A65" s="38" t="s">
        <v>229</v>
      </c>
      <c r="B65" s="138"/>
      <c r="C65" s="153">
        <v>1</v>
      </c>
      <c r="D65" s="153"/>
      <c r="E65" s="73" t="s">
        <v>203</v>
      </c>
      <c r="F65" s="47"/>
      <c r="G65" s="5"/>
      <c r="H65" s="5"/>
      <c r="I65" s="51"/>
      <c r="J65" s="47"/>
      <c r="K65" s="5"/>
      <c r="L65" s="5"/>
      <c r="M65" s="49"/>
      <c r="N65" s="50"/>
      <c r="O65" s="5"/>
      <c r="P65" s="28"/>
      <c r="Q65" s="49"/>
      <c r="R65" s="47"/>
      <c r="S65" s="5"/>
      <c r="T65" s="5"/>
      <c r="U65" s="49"/>
      <c r="V65" s="50"/>
      <c r="W65" s="28"/>
      <c r="X65" s="28"/>
      <c r="Y65" s="51"/>
    </row>
    <row r="66" spans="1:25" x14ac:dyDescent="0.25">
      <c r="A66" s="39" t="s">
        <v>49</v>
      </c>
      <c r="B66" s="37"/>
      <c r="C66" s="152">
        <v>15</v>
      </c>
      <c r="E66" s="126" t="s">
        <v>46</v>
      </c>
      <c r="F66" s="47"/>
      <c r="G66" s="5"/>
      <c r="H66" s="5"/>
      <c r="I66" s="51"/>
      <c r="J66" s="47"/>
      <c r="K66" s="5"/>
      <c r="L66" s="5"/>
      <c r="M66" s="49"/>
      <c r="N66" s="50"/>
      <c r="O66" s="5"/>
      <c r="P66" s="28"/>
      <c r="Q66" s="49"/>
      <c r="R66" s="47"/>
      <c r="S66" s="5"/>
      <c r="T66" s="5"/>
      <c r="U66" s="49"/>
      <c r="V66" s="50"/>
      <c r="W66" s="28"/>
      <c r="X66" s="28"/>
      <c r="Y66" s="51"/>
    </row>
    <row r="67" spans="1:25" x14ac:dyDescent="0.25">
      <c r="A67" s="39" t="s">
        <v>48</v>
      </c>
      <c r="B67" s="73"/>
      <c r="C67" s="153">
        <v>12</v>
      </c>
      <c r="D67" s="153"/>
      <c r="E67" s="73" t="s">
        <v>46</v>
      </c>
      <c r="F67" s="47"/>
      <c r="G67" s="5"/>
      <c r="H67" s="5"/>
      <c r="I67" s="51"/>
      <c r="J67" s="47"/>
      <c r="K67" s="5"/>
      <c r="L67" s="5"/>
      <c r="M67" s="49"/>
      <c r="N67" s="50"/>
      <c r="O67" s="5"/>
      <c r="P67" s="28"/>
      <c r="Q67" s="49"/>
      <c r="R67" s="47"/>
      <c r="S67" s="5"/>
      <c r="T67" s="5"/>
      <c r="U67" s="49"/>
      <c r="V67" s="50"/>
      <c r="W67" s="28"/>
      <c r="X67" s="28"/>
      <c r="Y67" s="51"/>
    </row>
    <row r="68" spans="1:25" ht="16.5" thickBot="1" x14ac:dyDescent="0.3">
      <c r="A68" s="38" t="s">
        <v>45</v>
      </c>
      <c r="B68" s="138"/>
      <c r="C68" s="153">
        <v>12</v>
      </c>
      <c r="D68" s="153"/>
      <c r="E68" s="73" t="s">
        <v>46</v>
      </c>
      <c r="F68" s="47"/>
      <c r="G68" s="5"/>
      <c r="H68" s="5"/>
      <c r="I68" s="51"/>
      <c r="J68" s="47"/>
      <c r="K68" s="5"/>
      <c r="L68" s="5"/>
      <c r="M68" s="49"/>
      <c r="N68" s="50"/>
      <c r="O68" s="5"/>
      <c r="P68" s="28"/>
      <c r="Q68" s="49"/>
      <c r="R68" s="47"/>
      <c r="S68" s="5"/>
      <c r="T68" s="5"/>
      <c r="U68" s="49"/>
      <c r="V68" s="50"/>
      <c r="W68" s="28"/>
      <c r="X68" s="28"/>
      <c r="Y68" s="51"/>
    </row>
    <row r="69" spans="1:25" ht="16.5" thickBot="1" x14ac:dyDescent="0.3">
      <c r="A69" s="168"/>
      <c r="B69" s="169"/>
      <c r="C69" s="207"/>
      <c r="D69" s="170"/>
      <c r="E69" s="220" t="s">
        <v>50</v>
      </c>
      <c r="F69" s="48"/>
      <c r="G69" s="35"/>
      <c r="H69" s="35"/>
      <c r="I69" s="36"/>
      <c r="J69" s="48"/>
      <c r="K69" s="35"/>
      <c r="L69" s="35"/>
      <c r="M69" s="36"/>
      <c r="N69" s="48"/>
      <c r="O69" s="35"/>
      <c r="P69" s="35"/>
      <c r="Q69" s="36"/>
      <c r="R69" s="48"/>
      <c r="S69" s="35"/>
      <c r="T69" s="35"/>
      <c r="U69" s="36"/>
      <c r="V69" s="48"/>
      <c r="W69" s="35"/>
      <c r="X69" s="35"/>
      <c r="Y69" s="36"/>
    </row>
    <row r="70" spans="1:25" ht="16.5" thickBot="1" x14ac:dyDescent="0.3">
      <c r="A70" s="80"/>
      <c r="B70" s="81"/>
      <c r="C70" s="127"/>
      <c r="D70" s="82"/>
      <c r="E70" s="83" t="s">
        <v>51</v>
      </c>
      <c r="F70" s="77"/>
      <c r="G70" s="78"/>
      <c r="H70" s="78"/>
      <c r="I70" s="79"/>
      <c r="J70" s="77"/>
      <c r="K70" s="78"/>
      <c r="L70" s="78"/>
      <c r="M70" s="79"/>
      <c r="N70" s="77"/>
      <c r="O70" s="78"/>
      <c r="P70" s="78"/>
      <c r="Q70" s="79"/>
      <c r="R70" s="77"/>
      <c r="S70" s="78"/>
      <c r="T70" s="78"/>
      <c r="U70" s="79"/>
      <c r="V70" s="77"/>
      <c r="W70" s="78"/>
      <c r="X70" s="78"/>
      <c r="Y70" s="79"/>
    </row>
    <row r="71" spans="1:25" ht="21.75" thickBot="1" x14ac:dyDescent="0.4">
      <c r="A71" s="84"/>
      <c r="B71" s="85"/>
      <c r="C71" s="128"/>
      <c r="D71" s="85"/>
      <c r="E71" s="128"/>
      <c r="F71" s="86"/>
      <c r="G71" s="86"/>
      <c r="H71" s="86"/>
      <c r="I71" s="86"/>
      <c r="J71" s="86"/>
      <c r="K71" s="86"/>
      <c r="L71" s="86"/>
      <c r="M71" s="86"/>
      <c r="N71" s="85"/>
      <c r="O71" s="86"/>
      <c r="P71" s="85"/>
      <c r="Q71" s="86"/>
      <c r="R71" s="86"/>
      <c r="S71" s="86"/>
      <c r="T71" s="86"/>
      <c r="U71" s="86"/>
      <c r="V71" s="85"/>
      <c r="W71" s="85"/>
      <c r="X71" s="87" t="s">
        <v>52</v>
      </c>
      <c r="Y71" s="88"/>
    </row>
    <row r="72" spans="1:25" x14ac:dyDescent="0.25">
      <c r="I72" s="2"/>
      <c r="J72" s="2"/>
      <c r="K72" s="2"/>
      <c r="M72" s="2"/>
      <c r="O72" s="2"/>
      <c r="Q72" s="2"/>
      <c r="R72" s="2"/>
      <c r="S72" s="2"/>
      <c r="T72" s="2"/>
      <c r="U72" s="2"/>
    </row>
    <row r="73" spans="1:25" x14ac:dyDescent="0.25">
      <c r="I73" s="2"/>
      <c r="J73" s="2"/>
      <c r="K73" s="2"/>
      <c r="M73" s="2"/>
      <c r="O73" s="2"/>
      <c r="Q73" s="2"/>
      <c r="R73" s="2"/>
      <c r="S73" s="2"/>
      <c r="T73" s="2"/>
      <c r="U73" s="2"/>
      <c r="W73" s="154" t="s">
        <v>53</v>
      </c>
    </row>
    <row r="74" spans="1:25" x14ac:dyDescent="0.25">
      <c r="I74" s="2"/>
      <c r="J74" s="2"/>
      <c r="K74" s="2"/>
      <c r="M74" s="2"/>
      <c r="O74" s="2"/>
      <c r="Q74" s="2"/>
      <c r="R74" s="2"/>
      <c r="S74" s="2"/>
      <c r="T74" s="2"/>
      <c r="U74" s="2"/>
    </row>
    <row r="75" spans="1:25" x14ac:dyDescent="0.25">
      <c r="I75" s="2"/>
      <c r="J75" s="2"/>
      <c r="K75" s="2"/>
      <c r="M75" s="2"/>
      <c r="O75" s="2"/>
      <c r="Q75" s="2"/>
      <c r="R75" s="2"/>
      <c r="S75" s="2"/>
      <c r="T75" s="2"/>
      <c r="U75" s="2"/>
    </row>
  </sheetData>
  <autoFilter ref="A2:Y71" xr:uid="{1510804C-9F6B-4809-A584-9DB833049A62}">
    <sortState xmlns:xlrd2="http://schemas.microsoft.com/office/spreadsheetml/2017/richdata2" ref="A3:Y71">
      <sortCondition ref="A2:A71"/>
    </sortState>
  </autoFilter>
  <mergeCells count="5">
    <mergeCell ref="F1:I1"/>
    <mergeCell ref="J1:M1"/>
    <mergeCell ref="N1:Q1"/>
    <mergeCell ref="R1:U1"/>
    <mergeCell ref="V1:Y1"/>
  </mergeCells>
  <phoneticPr fontId="8" type="noConversion"/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950B8-7525-4036-974A-0253B1F93198}">
  <sheetPr>
    <tabColor rgb="FF92D050"/>
  </sheetPr>
  <dimension ref="A1:Y33"/>
  <sheetViews>
    <sheetView topLeftCell="A2" zoomScaleNormal="100" workbookViewId="0">
      <selection activeCell="F3" sqref="F3"/>
    </sheetView>
  </sheetViews>
  <sheetFormatPr defaultColWidth="8.7109375" defaultRowHeight="15.75" x14ac:dyDescent="0.25"/>
  <cols>
    <col min="1" max="1" width="80.7109375" style="1" bestFit="1" customWidth="1"/>
    <col min="2" max="2" width="11.28515625" style="1" customWidth="1"/>
    <col min="3" max="3" width="16" style="1" customWidth="1"/>
    <col min="4" max="4" width="13.28515625" style="1" customWidth="1"/>
    <col min="5" max="5" width="12.5703125" style="1" customWidth="1"/>
    <col min="6" max="6" width="15.28515625" style="2" customWidth="1"/>
    <col min="7" max="7" width="16.42578125" style="2" customWidth="1"/>
    <col min="8" max="8" width="22.28515625" style="1" bestFit="1" customWidth="1"/>
    <col min="9" max="9" width="20.5703125" style="1" bestFit="1" customWidth="1"/>
    <col min="10" max="10" width="15.28515625" style="1" bestFit="1" customWidth="1"/>
    <col min="11" max="11" width="17" style="1" bestFit="1" customWidth="1"/>
    <col min="12" max="12" width="15.28515625" style="1" bestFit="1" customWidth="1"/>
    <col min="13" max="13" width="20.5703125" style="1" bestFit="1" customWidth="1"/>
    <col min="14" max="14" width="15.7109375" style="1" bestFit="1" customWidth="1"/>
    <col min="15" max="15" width="17" style="1" bestFit="1" customWidth="1"/>
    <col min="16" max="16" width="11.28515625" style="1" bestFit="1" customWidth="1"/>
    <col min="17" max="17" width="20.5703125" style="1" bestFit="1" customWidth="1"/>
    <col min="18" max="18" width="15.7109375" style="1" bestFit="1" customWidth="1"/>
    <col min="19" max="19" width="17" style="1" bestFit="1" customWidth="1"/>
    <col min="20" max="20" width="11.7109375" style="1" customWidth="1"/>
    <col min="21" max="21" width="20.5703125" style="1" bestFit="1" customWidth="1"/>
    <col min="22" max="22" width="15.7109375" style="1" bestFit="1" customWidth="1"/>
    <col min="23" max="23" width="17" style="1" bestFit="1" customWidth="1"/>
    <col min="24" max="24" width="11.28515625" style="1" bestFit="1" customWidth="1"/>
    <col min="25" max="25" width="23.42578125" style="1" bestFit="1" customWidth="1"/>
    <col min="26" max="16384" width="8.7109375" style="1"/>
  </cols>
  <sheetData>
    <row r="1" spans="1:25" ht="18.75" x14ac:dyDescent="0.3">
      <c r="A1" s="52"/>
      <c r="B1" s="54"/>
      <c r="C1" s="53"/>
      <c r="D1" s="53"/>
      <c r="E1" s="54"/>
      <c r="F1" s="228" t="s">
        <v>10</v>
      </c>
      <c r="G1" s="229"/>
      <c r="H1" s="229"/>
      <c r="I1" s="230"/>
      <c r="J1" s="231" t="s">
        <v>3</v>
      </c>
      <c r="K1" s="232"/>
      <c r="L1" s="232"/>
      <c r="M1" s="233"/>
      <c r="N1" s="234" t="s">
        <v>4</v>
      </c>
      <c r="O1" s="235"/>
      <c r="P1" s="235"/>
      <c r="Q1" s="236"/>
      <c r="R1" s="237" t="s">
        <v>5</v>
      </c>
      <c r="S1" s="238"/>
      <c r="T1" s="238"/>
      <c r="U1" s="239"/>
      <c r="V1" s="240" t="s">
        <v>6</v>
      </c>
      <c r="W1" s="241"/>
      <c r="X1" s="241"/>
      <c r="Y1" s="242"/>
    </row>
    <row r="2" spans="1:25" ht="110.25" x14ac:dyDescent="0.25">
      <c r="A2" s="141" t="s">
        <v>11</v>
      </c>
      <c r="B2" s="188" t="s">
        <v>12</v>
      </c>
      <c r="C2" s="34" t="s">
        <v>227</v>
      </c>
      <c r="D2" s="34" t="s">
        <v>226</v>
      </c>
      <c r="E2" s="142" t="s">
        <v>13</v>
      </c>
      <c r="F2" s="139" t="s">
        <v>14</v>
      </c>
      <c r="G2" s="29" t="s">
        <v>230</v>
      </c>
      <c r="H2" s="29" t="s">
        <v>15</v>
      </c>
      <c r="I2" s="140" t="s">
        <v>236</v>
      </c>
      <c r="J2" s="143" t="s">
        <v>14</v>
      </c>
      <c r="K2" s="30" t="s">
        <v>231</v>
      </c>
      <c r="L2" s="30" t="s">
        <v>15</v>
      </c>
      <c r="M2" s="144" t="s">
        <v>237</v>
      </c>
      <c r="N2" s="147" t="s">
        <v>14</v>
      </c>
      <c r="O2" s="31" t="s">
        <v>232</v>
      </c>
      <c r="P2" s="31" t="s">
        <v>15</v>
      </c>
      <c r="Q2" s="148" t="s">
        <v>238</v>
      </c>
      <c r="R2" s="149" t="s">
        <v>14</v>
      </c>
      <c r="S2" s="32" t="s">
        <v>233</v>
      </c>
      <c r="T2" s="32" t="s">
        <v>15</v>
      </c>
      <c r="U2" s="150" t="s">
        <v>239</v>
      </c>
      <c r="V2" s="145" t="s">
        <v>14</v>
      </c>
      <c r="W2" s="33" t="s">
        <v>235</v>
      </c>
      <c r="X2" s="33" t="s">
        <v>15</v>
      </c>
      <c r="Y2" s="146" t="s">
        <v>240</v>
      </c>
    </row>
    <row r="3" spans="1:25" x14ac:dyDescent="0.25">
      <c r="A3" s="214" t="s">
        <v>16</v>
      </c>
      <c r="B3" s="89" t="s">
        <v>17</v>
      </c>
      <c r="C3" s="153">
        <v>1</v>
      </c>
      <c r="D3" s="153">
        <v>12</v>
      </c>
      <c r="E3" s="73" t="s">
        <v>18</v>
      </c>
      <c r="F3" s="47"/>
      <c r="G3" s="5"/>
      <c r="H3" s="5"/>
      <c r="I3" s="51"/>
      <c r="J3" s="47"/>
      <c r="K3" s="5"/>
      <c r="L3" s="5"/>
      <c r="M3" s="49"/>
      <c r="N3" s="50"/>
      <c r="O3" s="5"/>
      <c r="P3" s="28"/>
      <c r="Q3" s="49"/>
      <c r="R3" s="47"/>
      <c r="S3" s="5"/>
      <c r="T3" s="5"/>
      <c r="U3" s="49"/>
      <c r="V3" s="50"/>
      <c r="W3" s="28"/>
      <c r="X3" s="28"/>
      <c r="Y3" s="51"/>
    </row>
    <row r="4" spans="1:25" x14ac:dyDescent="0.25">
      <c r="A4" s="214" t="s">
        <v>19</v>
      </c>
      <c r="B4" s="89"/>
      <c r="C4" s="153">
        <v>4</v>
      </c>
      <c r="D4" s="153"/>
      <c r="E4" s="73" t="s">
        <v>18</v>
      </c>
      <c r="F4" s="47"/>
      <c r="G4" s="5"/>
      <c r="H4" s="5"/>
      <c r="I4" s="51"/>
      <c r="J4" s="47"/>
      <c r="K4" s="5"/>
      <c r="L4" s="5"/>
      <c r="M4" s="49"/>
      <c r="N4" s="50"/>
      <c r="O4" s="5"/>
      <c r="P4" s="28"/>
      <c r="Q4" s="49"/>
      <c r="R4" s="47"/>
      <c r="S4" s="5"/>
      <c r="T4" s="5"/>
      <c r="U4" s="49"/>
      <c r="V4" s="50"/>
      <c r="W4" s="28"/>
      <c r="X4" s="28"/>
      <c r="Y4" s="51"/>
    </row>
    <row r="5" spans="1:25" x14ac:dyDescent="0.25">
      <c r="A5" s="214" t="s">
        <v>20</v>
      </c>
      <c r="B5" s="89" t="s">
        <v>21</v>
      </c>
      <c r="C5" s="153">
        <v>13</v>
      </c>
      <c r="D5" s="153"/>
      <c r="E5" s="73" t="s">
        <v>18</v>
      </c>
      <c r="F5" s="47"/>
      <c r="G5" s="5"/>
      <c r="H5" s="5"/>
      <c r="I5" s="51"/>
      <c r="J5" s="47"/>
      <c r="K5" s="5"/>
      <c r="L5" s="5"/>
      <c r="M5" s="49"/>
      <c r="N5" s="50"/>
      <c r="O5" s="5"/>
      <c r="P5" s="28"/>
      <c r="Q5" s="49"/>
      <c r="R5" s="47"/>
      <c r="S5" s="5"/>
      <c r="T5" s="5"/>
      <c r="U5" s="49"/>
      <c r="V5" s="50"/>
      <c r="W5" s="28"/>
      <c r="X5" s="28"/>
      <c r="Y5" s="51"/>
    </row>
    <row r="6" spans="1:25" x14ac:dyDescent="0.25">
      <c r="A6" s="214" t="s">
        <v>22</v>
      </c>
      <c r="B6" s="89" t="s">
        <v>21</v>
      </c>
      <c r="C6" s="153">
        <v>4</v>
      </c>
      <c r="D6" s="153"/>
      <c r="E6" s="73" t="s">
        <v>18</v>
      </c>
      <c r="F6" s="47"/>
      <c r="G6" s="5"/>
      <c r="H6" s="5"/>
      <c r="I6" s="51"/>
      <c r="J6" s="47"/>
      <c r="K6" s="5"/>
      <c r="L6" s="5"/>
      <c r="M6" s="49"/>
      <c r="N6" s="50"/>
      <c r="O6" s="5"/>
      <c r="P6" s="28"/>
      <c r="Q6" s="49"/>
      <c r="R6" s="47"/>
      <c r="S6" s="5"/>
      <c r="T6" s="5"/>
      <c r="U6" s="49"/>
      <c r="V6" s="50"/>
      <c r="W6" s="28"/>
      <c r="X6" s="28"/>
      <c r="Y6" s="51"/>
    </row>
    <row r="7" spans="1:25" x14ac:dyDescent="0.25">
      <c r="A7" s="214" t="s">
        <v>23</v>
      </c>
      <c r="B7" s="89" t="s">
        <v>24</v>
      </c>
      <c r="C7" s="153">
        <v>2</v>
      </c>
      <c r="D7" s="153"/>
      <c r="E7" s="73" t="s">
        <v>18</v>
      </c>
      <c r="F7" s="47"/>
      <c r="G7" s="5"/>
      <c r="H7" s="5"/>
      <c r="I7" s="51"/>
      <c r="J7" s="47"/>
      <c r="K7" s="5"/>
      <c r="L7" s="5"/>
      <c r="M7" s="49"/>
      <c r="N7" s="50"/>
      <c r="O7" s="5"/>
      <c r="P7" s="28"/>
      <c r="Q7" s="49"/>
      <c r="R7" s="47"/>
      <c r="S7" s="5"/>
      <c r="T7" s="5"/>
      <c r="U7" s="49"/>
      <c r="V7" s="50"/>
      <c r="W7" s="28"/>
      <c r="X7" s="28"/>
      <c r="Y7" s="51"/>
    </row>
    <row r="8" spans="1:25" x14ac:dyDescent="0.25">
      <c r="A8" s="39" t="s">
        <v>25</v>
      </c>
      <c r="B8" s="89" t="s">
        <v>26</v>
      </c>
      <c r="C8" s="153">
        <v>6600</v>
      </c>
      <c r="D8" s="153"/>
      <c r="E8" s="73" t="s">
        <v>18</v>
      </c>
      <c r="F8" s="61"/>
      <c r="G8" s="5"/>
      <c r="H8" s="5"/>
      <c r="I8" s="51"/>
      <c r="J8" s="47"/>
      <c r="K8" s="5"/>
      <c r="L8" s="5"/>
      <c r="M8" s="49"/>
      <c r="N8" s="50"/>
      <c r="O8" s="5"/>
      <c r="P8" s="28"/>
      <c r="Q8" s="49"/>
      <c r="R8" s="47"/>
      <c r="S8" s="5"/>
      <c r="T8" s="5"/>
      <c r="U8" s="49"/>
      <c r="V8" s="50"/>
      <c r="W8" s="28"/>
      <c r="X8" s="28"/>
      <c r="Y8" s="51"/>
    </row>
    <row r="9" spans="1:25" ht="31.5" x14ac:dyDescent="0.25">
      <c r="A9" s="40" t="s">
        <v>27</v>
      </c>
      <c r="B9" s="138" t="s">
        <v>28</v>
      </c>
      <c r="C9" s="153">
        <v>2</v>
      </c>
      <c r="D9" s="153"/>
      <c r="E9" s="73" t="s">
        <v>18</v>
      </c>
      <c r="F9" s="47"/>
      <c r="G9" s="5"/>
      <c r="H9" s="5"/>
      <c r="I9" s="51"/>
      <c r="J9" s="47"/>
      <c r="K9" s="5"/>
      <c r="L9" s="5"/>
      <c r="M9" s="49"/>
      <c r="N9" s="50"/>
      <c r="O9" s="5"/>
      <c r="P9" s="28"/>
      <c r="Q9" s="49"/>
      <c r="R9" s="47"/>
      <c r="S9" s="5"/>
      <c r="T9" s="5"/>
      <c r="U9" s="49"/>
      <c r="V9" s="50"/>
      <c r="W9" s="28"/>
      <c r="X9" s="28"/>
      <c r="Y9" s="51"/>
    </row>
    <row r="10" spans="1:25" x14ac:dyDescent="0.25">
      <c r="A10" s="40" t="s">
        <v>29</v>
      </c>
      <c r="B10" s="138" t="s">
        <v>21</v>
      </c>
      <c r="C10" s="153">
        <v>1</v>
      </c>
      <c r="D10" s="153"/>
      <c r="E10" s="73" t="s">
        <v>18</v>
      </c>
      <c r="F10" s="47"/>
      <c r="G10" s="5"/>
      <c r="H10" s="5"/>
      <c r="I10" s="51"/>
      <c r="J10" s="47"/>
      <c r="K10" s="5"/>
      <c r="L10" s="5"/>
      <c r="M10" s="49"/>
      <c r="N10" s="50"/>
      <c r="O10" s="5"/>
      <c r="P10" s="28"/>
      <c r="Q10" s="49"/>
      <c r="R10" s="47"/>
      <c r="S10" s="5"/>
      <c r="T10" s="5"/>
      <c r="U10" s="49"/>
      <c r="V10" s="50"/>
      <c r="W10" s="28"/>
      <c r="X10" s="28"/>
      <c r="Y10" s="51"/>
    </row>
    <row r="11" spans="1:25" x14ac:dyDescent="0.25">
      <c r="A11" s="40" t="s">
        <v>30</v>
      </c>
      <c r="B11" s="138" t="s">
        <v>21</v>
      </c>
      <c r="C11" s="153">
        <v>1</v>
      </c>
      <c r="D11" s="153"/>
      <c r="E11" s="73" t="s">
        <v>18</v>
      </c>
      <c r="F11" s="47"/>
      <c r="G11" s="5"/>
      <c r="H11" s="5"/>
      <c r="I11" s="51"/>
      <c r="J11" s="47"/>
      <c r="K11" s="5"/>
      <c r="L11" s="5"/>
      <c r="M11" s="49"/>
      <c r="N11" s="50"/>
      <c r="O11" s="5"/>
      <c r="P11" s="28"/>
      <c r="Q11" s="49"/>
      <c r="R11" s="47"/>
      <c r="S11" s="5"/>
      <c r="T11" s="5"/>
      <c r="U11" s="49"/>
      <c r="V11" s="50"/>
      <c r="W11" s="28"/>
      <c r="X11" s="28"/>
      <c r="Y11" s="51"/>
    </row>
    <row r="12" spans="1:25" x14ac:dyDescent="0.25">
      <c r="A12" s="40" t="s">
        <v>31</v>
      </c>
      <c r="B12" s="138" t="s">
        <v>32</v>
      </c>
      <c r="C12" s="153"/>
      <c r="D12" s="153">
        <v>6</v>
      </c>
      <c r="E12" s="73" t="s">
        <v>33</v>
      </c>
      <c r="F12" s="47"/>
      <c r="G12" s="5"/>
      <c r="H12" s="5"/>
      <c r="I12" s="51"/>
      <c r="J12" s="47"/>
      <c r="K12" s="5"/>
      <c r="L12" s="5"/>
      <c r="M12" s="49"/>
      <c r="N12" s="50"/>
      <c r="O12" s="5"/>
      <c r="P12" s="28"/>
      <c r="Q12" s="49"/>
      <c r="R12" s="47"/>
      <c r="S12" s="5"/>
      <c r="T12" s="5"/>
      <c r="U12" s="49"/>
      <c r="V12" s="50"/>
      <c r="W12" s="28"/>
      <c r="X12" s="28"/>
      <c r="Y12" s="51"/>
    </row>
    <row r="13" spans="1:25" x14ac:dyDescent="0.25">
      <c r="A13" s="40" t="s">
        <v>34</v>
      </c>
      <c r="B13" s="138">
        <v>1</v>
      </c>
      <c r="C13" s="153">
        <v>12</v>
      </c>
      <c r="D13" s="153"/>
      <c r="E13" s="73" t="s">
        <v>18</v>
      </c>
      <c r="F13" s="47"/>
      <c r="G13" s="5"/>
      <c r="H13" s="5"/>
      <c r="I13" s="51"/>
      <c r="J13" s="47"/>
      <c r="K13" s="5"/>
      <c r="L13" s="5"/>
      <c r="M13" s="49"/>
      <c r="N13" s="50"/>
      <c r="O13" s="5"/>
      <c r="P13" s="28"/>
      <c r="Q13" s="49"/>
      <c r="R13" s="47"/>
      <c r="S13" s="5"/>
      <c r="T13" s="5"/>
      <c r="U13" s="49"/>
      <c r="V13" s="50"/>
      <c r="W13" s="28"/>
      <c r="X13" s="28"/>
      <c r="Y13" s="51"/>
    </row>
    <row r="14" spans="1:25" x14ac:dyDescent="0.25">
      <c r="A14" s="40" t="s">
        <v>35</v>
      </c>
      <c r="B14" s="138" t="s">
        <v>21</v>
      </c>
      <c r="C14" s="153">
        <v>2</v>
      </c>
      <c r="D14" s="153"/>
      <c r="E14" s="73" t="s">
        <v>18</v>
      </c>
      <c r="F14" s="47"/>
      <c r="G14" s="5"/>
      <c r="H14" s="5"/>
      <c r="I14" s="51"/>
      <c r="J14" s="47"/>
      <c r="K14" s="5"/>
      <c r="L14" s="5"/>
      <c r="M14" s="49"/>
      <c r="N14" s="50"/>
      <c r="O14" s="5"/>
      <c r="P14" s="28"/>
      <c r="Q14" s="49"/>
      <c r="R14" s="47"/>
      <c r="S14" s="5"/>
      <c r="T14" s="5"/>
      <c r="U14" s="49"/>
      <c r="V14" s="50"/>
      <c r="W14" s="28"/>
      <c r="X14" s="28"/>
      <c r="Y14" s="51"/>
    </row>
    <row r="15" spans="1:25" x14ac:dyDescent="0.25">
      <c r="A15" s="214" t="s">
        <v>36</v>
      </c>
      <c r="B15" s="89" t="s">
        <v>37</v>
      </c>
      <c r="C15" s="153">
        <v>12</v>
      </c>
      <c r="D15" s="153"/>
      <c r="E15" s="73" t="s">
        <v>18</v>
      </c>
      <c r="F15" s="47"/>
      <c r="G15" s="5"/>
      <c r="H15" s="5"/>
      <c r="I15" s="51"/>
      <c r="J15" s="47"/>
      <c r="K15" s="5"/>
      <c r="L15" s="5"/>
      <c r="M15" s="49"/>
      <c r="N15" s="50"/>
      <c r="O15" s="5"/>
      <c r="P15" s="28"/>
      <c r="Q15" s="49"/>
      <c r="R15" s="47"/>
      <c r="S15" s="5"/>
      <c r="T15" s="5"/>
      <c r="U15" s="49"/>
      <c r="V15" s="50"/>
      <c r="W15" s="28"/>
      <c r="X15" s="28"/>
      <c r="Y15" s="51"/>
    </row>
    <row r="16" spans="1:25" x14ac:dyDescent="0.25">
      <c r="A16" s="214" t="s">
        <v>38</v>
      </c>
      <c r="B16" s="89" t="s">
        <v>21</v>
      </c>
      <c r="C16" s="153">
        <v>1</v>
      </c>
      <c r="D16" s="153"/>
      <c r="E16" s="73" t="s">
        <v>18</v>
      </c>
      <c r="F16" s="47"/>
      <c r="G16" s="5"/>
      <c r="H16" s="5"/>
      <c r="I16" s="51"/>
      <c r="J16" s="47"/>
      <c r="K16" s="5"/>
      <c r="L16" s="5"/>
      <c r="M16" s="49"/>
      <c r="N16" s="50"/>
      <c r="O16" s="5"/>
      <c r="P16" s="28"/>
      <c r="Q16" s="49"/>
      <c r="R16" s="47"/>
      <c r="S16" s="5"/>
      <c r="T16" s="5"/>
      <c r="U16" s="49"/>
      <c r="V16" s="50"/>
      <c r="W16" s="28"/>
      <c r="X16" s="28"/>
      <c r="Y16" s="51"/>
    </row>
    <row r="17" spans="1:25" x14ac:dyDescent="0.25">
      <c r="A17" s="214" t="s">
        <v>39</v>
      </c>
      <c r="B17" s="89" t="s">
        <v>21</v>
      </c>
      <c r="C17" s="153">
        <v>48</v>
      </c>
      <c r="D17" s="153"/>
      <c r="E17" s="73" t="s">
        <v>18</v>
      </c>
      <c r="F17" s="47"/>
      <c r="G17" s="5"/>
      <c r="H17" s="5"/>
      <c r="I17" s="51"/>
      <c r="J17" s="47"/>
      <c r="K17" s="5"/>
      <c r="L17" s="5"/>
      <c r="M17" s="49"/>
      <c r="N17" s="50"/>
      <c r="O17" s="5"/>
      <c r="P17" s="28"/>
      <c r="Q17" s="49"/>
      <c r="R17" s="47"/>
      <c r="S17" s="5"/>
      <c r="T17" s="5"/>
      <c r="U17" s="49"/>
      <c r="V17" s="50"/>
      <c r="W17" s="28"/>
      <c r="X17" s="28"/>
      <c r="Y17" s="51"/>
    </row>
    <row r="18" spans="1:25" x14ac:dyDescent="0.25">
      <c r="A18" s="214" t="s">
        <v>40</v>
      </c>
      <c r="B18" s="89" t="s">
        <v>17</v>
      </c>
      <c r="C18" s="153">
        <v>1</v>
      </c>
      <c r="D18" s="153"/>
      <c r="E18" s="73" t="s">
        <v>18</v>
      </c>
      <c r="F18" s="47"/>
      <c r="G18" s="5"/>
      <c r="H18" s="5"/>
      <c r="I18" s="51"/>
      <c r="J18" s="47"/>
      <c r="K18" s="5"/>
      <c r="L18" s="5"/>
      <c r="M18" s="49"/>
      <c r="N18" s="50"/>
      <c r="O18" s="5"/>
      <c r="P18" s="28"/>
      <c r="Q18" s="49"/>
      <c r="R18" s="47"/>
      <c r="S18" s="5"/>
      <c r="T18" s="5"/>
      <c r="U18" s="49"/>
      <c r="V18" s="50"/>
      <c r="W18" s="28"/>
      <c r="X18" s="28"/>
      <c r="Y18" s="51"/>
    </row>
    <row r="19" spans="1:25" x14ac:dyDescent="0.25">
      <c r="A19" s="214" t="s">
        <v>41</v>
      </c>
      <c r="B19" s="89" t="s">
        <v>42</v>
      </c>
      <c r="C19" s="153">
        <v>7</v>
      </c>
      <c r="D19" s="153"/>
      <c r="E19" s="73" t="s">
        <v>18</v>
      </c>
      <c r="F19" s="47"/>
      <c r="G19" s="5"/>
      <c r="H19" s="5"/>
      <c r="I19" s="51"/>
      <c r="J19" s="47"/>
      <c r="K19" s="5"/>
      <c r="L19" s="5"/>
      <c r="M19" s="49"/>
      <c r="N19" s="50"/>
      <c r="O19" s="5"/>
      <c r="P19" s="28"/>
      <c r="Q19" s="49"/>
      <c r="R19" s="47"/>
      <c r="S19" s="5"/>
      <c r="T19" s="5"/>
      <c r="U19" s="49"/>
      <c r="V19" s="50"/>
      <c r="W19" s="28"/>
      <c r="X19" s="28"/>
      <c r="Y19" s="51"/>
    </row>
    <row r="20" spans="1:25" x14ac:dyDescent="0.25">
      <c r="A20" s="38" t="s">
        <v>43</v>
      </c>
      <c r="B20" s="138" t="s">
        <v>21</v>
      </c>
      <c r="C20" s="153">
        <v>277</v>
      </c>
      <c r="D20" s="153"/>
      <c r="E20" s="73" t="s">
        <v>18</v>
      </c>
      <c r="F20" s="47"/>
      <c r="G20" s="5"/>
      <c r="H20" s="5"/>
      <c r="I20" s="51"/>
      <c r="J20" s="47"/>
      <c r="K20" s="5"/>
      <c r="L20" s="5"/>
      <c r="M20" s="49"/>
      <c r="N20" s="50"/>
      <c r="O20" s="5"/>
      <c r="P20" s="28"/>
      <c r="Q20" s="49"/>
      <c r="R20" s="47"/>
      <c r="S20" s="5"/>
      <c r="T20" s="5"/>
      <c r="U20" s="49"/>
      <c r="V20" s="50"/>
      <c r="W20" s="28"/>
      <c r="X20" s="28"/>
      <c r="Y20" s="51"/>
    </row>
    <row r="21" spans="1:25" x14ac:dyDescent="0.25">
      <c r="A21" s="38" t="s">
        <v>44</v>
      </c>
      <c r="B21" s="138" t="s">
        <v>21</v>
      </c>
      <c r="C21" s="153">
        <v>708</v>
      </c>
      <c r="D21" s="153"/>
      <c r="E21" s="73" t="s">
        <v>18</v>
      </c>
      <c r="F21" s="47"/>
      <c r="G21" s="5"/>
      <c r="H21" s="5"/>
      <c r="I21" s="51"/>
      <c r="J21" s="47"/>
      <c r="K21" s="5"/>
      <c r="L21" s="5"/>
      <c r="M21" s="49"/>
      <c r="N21" s="50"/>
      <c r="O21" s="5"/>
      <c r="P21" s="28"/>
      <c r="Q21" s="49"/>
      <c r="R21" s="47"/>
      <c r="S21" s="5"/>
      <c r="T21" s="5"/>
      <c r="U21" s="49"/>
      <c r="V21" s="50"/>
      <c r="W21" s="28"/>
      <c r="X21" s="28"/>
      <c r="Y21" s="51"/>
    </row>
    <row r="22" spans="1:25" x14ac:dyDescent="0.25">
      <c r="A22" s="38" t="s">
        <v>45</v>
      </c>
      <c r="B22" s="138"/>
      <c r="C22" s="153">
        <v>12</v>
      </c>
      <c r="D22" s="153"/>
      <c r="E22" s="73" t="s">
        <v>46</v>
      </c>
      <c r="F22" s="47"/>
      <c r="G22" s="5"/>
      <c r="H22" s="5"/>
      <c r="I22" s="51"/>
      <c r="J22" s="47"/>
      <c r="K22" s="5"/>
      <c r="L22" s="5"/>
      <c r="M22" s="49"/>
      <c r="N22" s="50"/>
      <c r="O22" s="5"/>
      <c r="P22" s="28"/>
      <c r="Q22" s="49"/>
      <c r="R22" s="47"/>
      <c r="S22" s="5"/>
      <c r="T22" s="5"/>
      <c r="U22" s="49"/>
      <c r="V22" s="50"/>
      <c r="W22" s="28"/>
      <c r="X22" s="28"/>
      <c r="Y22" s="51"/>
    </row>
    <row r="23" spans="1:25" x14ac:dyDescent="0.25">
      <c r="A23" s="38" t="s">
        <v>47</v>
      </c>
      <c r="B23" s="138"/>
      <c r="C23" s="153">
        <v>1</v>
      </c>
      <c r="D23" s="153"/>
      <c r="E23" s="73" t="s">
        <v>203</v>
      </c>
      <c r="F23" s="47"/>
      <c r="G23" s="5"/>
      <c r="H23" s="5"/>
      <c r="I23" s="51"/>
      <c r="J23" s="47"/>
      <c r="K23" s="5"/>
      <c r="L23" s="5"/>
      <c r="M23" s="49"/>
      <c r="N23" s="50"/>
      <c r="O23" s="5"/>
      <c r="P23" s="28"/>
      <c r="Q23" s="49"/>
      <c r="R23" s="47"/>
      <c r="S23" s="5"/>
      <c r="T23" s="5"/>
      <c r="U23" s="49"/>
      <c r="V23" s="50"/>
      <c r="W23" s="28"/>
      <c r="X23" s="28"/>
      <c r="Y23" s="51"/>
    </row>
    <row r="24" spans="1:25" x14ac:dyDescent="0.25">
      <c r="A24" s="38" t="s">
        <v>229</v>
      </c>
      <c r="B24" s="138"/>
      <c r="C24" s="153">
        <v>1</v>
      </c>
      <c r="D24" s="153"/>
      <c r="E24" s="73" t="s">
        <v>203</v>
      </c>
      <c r="F24" s="47"/>
      <c r="G24" s="5"/>
      <c r="H24" s="5"/>
      <c r="I24" s="51"/>
      <c r="J24" s="47"/>
      <c r="K24" s="5"/>
      <c r="L24" s="5"/>
      <c r="M24" s="49"/>
      <c r="N24" s="50"/>
      <c r="O24" s="5"/>
      <c r="P24" s="28"/>
      <c r="Q24" s="49"/>
      <c r="R24" s="47"/>
      <c r="S24" s="5"/>
      <c r="T24" s="5"/>
      <c r="U24" s="49"/>
      <c r="V24" s="50"/>
      <c r="W24" s="28"/>
      <c r="X24" s="28"/>
      <c r="Y24" s="51"/>
    </row>
    <row r="25" spans="1:25" x14ac:dyDescent="0.25">
      <c r="A25" s="39" t="s">
        <v>48</v>
      </c>
      <c r="B25" s="73"/>
      <c r="C25" s="153">
        <v>12</v>
      </c>
      <c r="D25" s="153"/>
      <c r="E25" s="73" t="s">
        <v>46</v>
      </c>
      <c r="F25" s="46"/>
      <c r="G25" s="5"/>
      <c r="H25" s="2"/>
      <c r="I25" s="51"/>
      <c r="J25" s="47"/>
      <c r="K25" s="5"/>
      <c r="L25" s="5"/>
      <c r="M25" s="49"/>
      <c r="N25" s="50"/>
      <c r="O25" s="5"/>
      <c r="P25" s="28"/>
      <c r="Q25" s="49"/>
      <c r="R25" s="47"/>
      <c r="S25" s="5"/>
      <c r="T25" s="5"/>
      <c r="U25" s="49"/>
      <c r="V25" s="50"/>
      <c r="W25" s="28"/>
      <c r="X25" s="28"/>
      <c r="Y25" s="51"/>
    </row>
    <row r="26" spans="1:25" ht="16.5" thickBot="1" x14ac:dyDescent="0.3">
      <c r="A26" s="74" t="s">
        <v>49</v>
      </c>
      <c r="B26" s="76"/>
      <c r="C26" s="75">
        <v>4</v>
      </c>
      <c r="D26" s="75"/>
      <c r="E26" s="76" t="s">
        <v>46</v>
      </c>
      <c r="F26" s="46"/>
      <c r="G26" s="5"/>
      <c r="H26" s="2"/>
      <c r="I26" s="51"/>
      <c r="J26" s="47"/>
      <c r="K26" s="5"/>
      <c r="L26" s="5"/>
      <c r="M26" s="49"/>
      <c r="N26" s="50"/>
      <c r="O26" s="5"/>
      <c r="P26" s="28"/>
      <c r="Q26" s="49"/>
      <c r="R26" s="47"/>
      <c r="S26" s="5"/>
      <c r="T26" s="5"/>
      <c r="U26" s="49"/>
      <c r="V26" s="50"/>
      <c r="W26" s="28"/>
      <c r="X26" s="28"/>
      <c r="Y26" s="51"/>
    </row>
    <row r="27" spans="1:25" ht="16.5" thickBot="1" x14ac:dyDescent="0.3">
      <c r="A27" s="168"/>
      <c r="B27" s="169"/>
      <c r="C27" s="169"/>
      <c r="D27" s="170"/>
      <c r="E27" s="189" t="s">
        <v>50</v>
      </c>
      <c r="F27" s="48"/>
      <c r="G27" s="35"/>
      <c r="H27" s="35"/>
      <c r="I27" s="36"/>
      <c r="J27" s="48"/>
      <c r="K27" s="35"/>
      <c r="L27" s="35"/>
      <c r="M27" s="36"/>
      <c r="N27" s="48"/>
      <c r="O27" s="35"/>
      <c r="P27" s="35"/>
      <c r="Q27" s="36"/>
      <c r="R27" s="48"/>
      <c r="S27" s="35"/>
      <c r="T27" s="35"/>
      <c r="U27" s="36"/>
      <c r="V27" s="48"/>
      <c r="W27" s="35"/>
      <c r="X27" s="35"/>
      <c r="Y27" s="36"/>
    </row>
    <row r="28" spans="1:25" ht="16.5" thickBot="1" x14ac:dyDescent="0.3">
      <c r="A28" s="172"/>
      <c r="B28" s="173"/>
      <c r="C28" s="174"/>
      <c r="D28" s="174"/>
      <c r="E28" s="190" t="s">
        <v>51</v>
      </c>
      <c r="F28" s="176"/>
      <c r="G28" s="177"/>
      <c r="H28" s="177"/>
      <c r="I28" s="178"/>
      <c r="J28" s="176"/>
      <c r="K28" s="177"/>
      <c r="L28" s="177"/>
      <c r="M28" s="178"/>
      <c r="N28" s="176"/>
      <c r="O28" s="177"/>
      <c r="P28" s="177"/>
      <c r="Q28" s="178"/>
      <c r="R28" s="176"/>
      <c r="S28" s="177"/>
      <c r="T28" s="177"/>
      <c r="U28" s="178"/>
      <c r="V28" s="176"/>
      <c r="W28" s="177"/>
      <c r="X28" s="177"/>
      <c r="Y28" s="178"/>
    </row>
    <row r="29" spans="1:25" ht="21.75" thickBot="1" x14ac:dyDescent="0.4">
      <c r="A29" s="84"/>
      <c r="B29" s="85"/>
      <c r="C29" s="85"/>
      <c r="D29" s="85"/>
      <c r="E29" s="85"/>
      <c r="F29" s="86"/>
      <c r="G29" s="86"/>
      <c r="H29" s="86"/>
      <c r="I29" s="86"/>
      <c r="J29" s="86"/>
      <c r="K29" s="86"/>
      <c r="L29" s="86"/>
      <c r="M29" s="86"/>
      <c r="N29" s="85"/>
      <c r="O29" s="86"/>
      <c r="P29" s="85"/>
      <c r="Q29" s="86"/>
      <c r="R29" s="86"/>
      <c r="S29" s="86"/>
      <c r="T29" s="86"/>
      <c r="U29" s="86"/>
      <c r="V29" s="85"/>
      <c r="W29" s="85"/>
      <c r="X29" s="87" t="s">
        <v>52</v>
      </c>
      <c r="Y29" s="88"/>
    </row>
    <row r="30" spans="1:25" x14ac:dyDescent="0.25">
      <c r="H30" s="2"/>
      <c r="I30" s="2"/>
      <c r="J30" s="2"/>
      <c r="K30" s="2"/>
      <c r="L30" s="2"/>
      <c r="M30" s="2"/>
      <c r="O30" s="2"/>
      <c r="Q30" s="2"/>
      <c r="R30" s="2"/>
      <c r="S30" s="2"/>
      <c r="T30" s="2"/>
      <c r="U30" s="2"/>
    </row>
    <row r="31" spans="1:25" x14ac:dyDescent="0.25">
      <c r="H31" s="2"/>
      <c r="I31" s="2"/>
      <c r="J31" s="2"/>
      <c r="K31" s="2"/>
      <c r="L31" s="2"/>
      <c r="M31" s="2"/>
      <c r="O31" s="2"/>
      <c r="Q31" s="2"/>
      <c r="R31" s="2"/>
      <c r="S31" s="2"/>
      <c r="T31" s="2"/>
      <c r="U31" s="2"/>
      <c r="W31" s="154" t="s">
        <v>53</v>
      </c>
    </row>
    <row r="32" spans="1:25" x14ac:dyDescent="0.25">
      <c r="H32" s="2"/>
      <c r="I32" s="2"/>
      <c r="J32" s="2"/>
      <c r="K32" s="2"/>
      <c r="L32" s="2"/>
      <c r="M32" s="2"/>
      <c r="O32" s="2"/>
      <c r="Q32" s="2"/>
      <c r="R32" s="2"/>
      <c r="S32" s="2"/>
      <c r="T32" s="2"/>
      <c r="U32" s="2"/>
    </row>
    <row r="33" spans="8:21" x14ac:dyDescent="0.25">
      <c r="H33" s="2"/>
      <c r="I33" s="2"/>
      <c r="J33" s="2"/>
      <c r="K33" s="2"/>
      <c r="L33" s="2"/>
      <c r="M33" s="2"/>
      <c r="O33" s="2"/>
      <c r="Q33" s="2"/>
      <c r="R33" s="2"/>
      <c r="S33" s="2"/>
      <c r="T33" s="2"/>
      <c r="U33" s="2"/>
    </row>
  </sheetData>
  <autoFilter ref="A2:Y29" xr:uid="{1510804C-9F6B-4809-A584-9DB833049A62}"/>
  <mergeCells count="5">
    <mergeCell ref="F1:I1"/>
    <mergeCell ref="J1:M1"/>
    <mergeCell ref="N1:Q1"/>
    <mergeCell ref="R1:U1"/>
    <mergeCell ref="V1:Y1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C75CE-7014-450C-B38C-04435194FF51}">
  <sheetPr>
    <tabColor rgb="FFFFC000"/>
  </sheetPr>
  <dimension ref="A1:B78"/>
  <sheetViews>
    <sheetView workbookViewId="0">
      <selection activeCell="H5" sqref="H5"/>
    </sheetView>
  </sheetViews>
  <sheetFormatPr defaultColWidth="9.28515625" defaultRowHeight="15" customHeight="1" x14ac:dyDescent="0.25"/>
  <cols>
    <col min="1" max="1" width="69" style="25" customWidth="1"/>
    <col min="2" max="16384" width="9.28515625" style="25"/>
  </cols>
  <sheetData>
    <row r="1" spans="1:2" s="114" customFormat="1" ht="15" customHeight="1" x14ac:dyDescent="0.3">
      <c r="A1" s="112" t="s">
        <v>165</v>
      </c>
      <c r="B1" s="113" t="s">
        <v>166</v>
      </c>
    </row>
    <row r="2" spans="1:2" ht="31.5" x14ac:dyDescent="0.25">
      <c r="A2" s="24" t="s">
        <v>88</v>
      </c>
      <c r="B2" s="6" t="s">
        <v>67</v>
      </c>
    </row>
    <row r="3" spans="1:2" ht="31.5" x14ac:dyDescent="0.25">
      <c r="A3" s="24" t="s">
        <v>89</v>
      </c>
      <c r="B3" s="6" t="s">
        <v>90</v>
      </c>
    </row>
    <row r="4" spans="1:2" ht="15.75" x14ac:dyDescent="0.25">
      <c r="A4" s="8" t="s">
        <v>91</v>
      </c>
      <c r="B4" s="6" t="s">
        <v>92</v>
      </c>
    </row>
    <row r="5" spans="1:2" ht="15.75" x14ac:dyDescent="0.25">
      <c r="A5" s="12" t="s">
        <v>59</v>
      </c>
      <c r="B5" s="6">
        <v>80</v>
      </c>
    </row>
    <row r="6" spans="1:2" ht="15" customHeight="1" x14ac:dyDescent="0.25">
      <c r="A6" s="13" t="s">
        <v>60</v>
      </c>
      <c r="B6" s="6" t="s">
        <v>21</v>
      </c>
    </row>
    <row r="7" spans="1:2" ht="15" customHeight="1" x14ac:dyDescent="0.25">
      <c r="A7" s="7" t="s">
        <v>61</v>
      </c>
      <c r="B7" s="115" t="s">
        <v>21</v>
      </c>
    </row>
    <row r="8" spans="1:2" ht="15" customHeight="1" x14ac:dyDescent="0.25">
      <c r="A8" s="12" t="s">
        <v>62</v>
      </c>
      <c r="B8" s="6" t="s">
        <v>63</v>
      </c>
    </row>
    <row r="9" spans="1:2" ht="15" customHeight="1" x14ac:dyDescent="0.25">
      <c r="A9" s="12" t="s">
        <v>62</v>
      </c>
      <c r="B9" s="6" t="s">
        <v>64</v>
      </c>
    </row>
    <row r="10" spans="1:2" ht="15" customHeight="1" x14ac:dyDescent="0.25">
      <c r="A10" s="12" t="s">
        <v>62</v>
      </c>
      <c r="B10" s="6" t="s">
        <v>65</v>
      </c>
    </row>
    <row r="11" spans="1:2" ht="15" customHeight="1" x14ac:dyDescent="0.25">
      <c r="A11" s="14" t="s">
        <v>135</v>
      </c>
      <c r="B11" s="16" t="s">
        <v>17</v>
      </c>
    </row>
    <row r="12" spans="1:2" ht="15" customHeight="1" x14ac:dyDescent="0.25">
      <c r="A12" s="13" t="s">
        <v>135</v>
      </c>
      <c r="B12" s="6" t="s">
        <v>67</v>
      </c>
    </row>
    <row r="13" spans="1:2" ht="15" customHeight="1" x14ac:dyDescent="0.25">
      <c r="A13" s="19" t="s">
        <v>167</v>
      </c>
      <c r="B13" s="6" t="s">
        <v>21</v>
      </c>
    </row>
    <row r="14" spans="1:2" ht="15" customHeight="1" x14ac:dyDescent="0.25">
      <c r="A14" s="17" t="s">
        <v>136</v>
      </c>
      <c r="B14" s="18" t="s">
        <v>21</v>
      </c>
    </row>
    <row r="15" spans="1:2" ht="15" customHeight="1" x14ac:dyDescent="0.25">
      <c r="A15" s="12" t="s">
        <v>93</v>
      </c>
      <c r="B15" s="10" t="s">
        <v>168</v>
      </c>
    </row>
    <row r="16" spans="1:2" ht="15" customHeight="1" x14ac:dyDescent="0.25">
      <c r="A16" s="20" t="s">
        <v>119</v>
      </c>
      <c r="B16" s="18" t="s">
        <v>17</v>
      </c>
    </row>
    <row r="17" spans="1:2" ht="15" customHeight="1" x14ac:dyDescent="0.25">
      <c r="A17" s="12" t="s">
        <v>69</v>
      </c>
      <c r="B17" s="6" t="s">
        <v>67</v>
      </c>
    </row>
    <row r="18" spans="1:2" ht="15" customHeight="1" x14ac:dyDescent="0.25">
      <c r="A18" s="13" t="s">
        <v>70</v>
      </c>
      <c r="B18" s="10" t="s">
        <v>67</v>
      </c>
    </row>
    <row r="19" spans="1:2" ht="15" customHeight="1" x14ac:dyDescent="0.25">
      <c r="A19" s="17" t="s">
        <v>94</v>
      </c>
      <c r="B19" s="18" t="s">
        <v>37</v>
      </c>
    </row>
    <row r="20" spans="1:2" ht="15" customHeight="1" x14ac:dyDescent="0.25">
      <c r="A20" s="17" t="s">
        <v>120</v>
      </c>
      <c r="B20" s="18" t="s">
        <v>121</v>
      </c>
    </row>
    <row r="21" spans="1:2" ht="15" customHeight="1" x14ac:dyDescent="0.25">
      <c r="A21" s="19" t="s">
        <v>19</v>
      </c>
      <c r="B21" s="6">
        <v>300</v>
      </c>
    </row>
    <row r="22" spans="1:2" ht="15" customHeight="1" x14ac:dyDescent="0.25">
      <c r="A22" s="17" t="s">
        <v>122</v>
      </c>
      <c r="B22" s="18" t="s">
        <v>123</v>
      </c>
    </row>
    <row r="23" spans="1:2" ht="15" customHeight="1" x14ac:dyDescent="0.25">
      <c r="A23" s="14" t="s">
        <v>108</v>
      </c>
      <c r="B23" s="16" t="s">
        <v>17</v>
      </c>
    </row>
    <row r="24" spans="1:2" ht="15" customHeight="1" x14ac:dyDescent="0.25">
      <c r="A24" s="9" t="s">
        <v>95</v>
      </c>
      <c r="B24" s="11" t="s">
        <v>21</v>
      </c>
    </row>
    <row r="25" spans="1:2" ht="15" customHeight="1" x14ac:dyDescent="0.25">
      <c r="A25" s="13" t="s">
        <v>71</v>
      </c>
      <c r="B25" s="6" t="s">
        <v>72</v>
      </c>
    </row>
    <row r="26" spans="1:2" ht="15" customHeight="1" x14ac:dyDescent="0.25">
      <c r="A26" s="22" t="s">
        <v>126</v>
      </c>
      <c r="B26" s="15" t="s">
        <v>21</v>
      </c>
    </row>
    <row r="27" spans="1:2" ht="15" customHeight="1" x14ac:dyDescent="0.25">
      <c r="A27" s="21" t="s">
        <v>124</v>
      </c>
      <c r="B27" s="6" t="s">
        <v>72</v>
      </c>
    </row>
    <row r="28" spans="1:2" ht="15.75" x14ac:dyDescent="0.25">
      <c r="A28" s="17" t="s">
        <v>169</v>
      </c>
      <c r="B28" s="18" t="s">
        <v>139</v>
      </c>
    </row>
    <row r="29" spans="1:2" ht="15" customHeight="1" x14ac:dyDescent="0.25">
      <c r="A29" s="17" t="s">
        <v>169</v>
      </c>
      <c r="B29" s="10" t="s">
        <v>37</v>
      </c>
    </row>
    <row r="30" spans="1:2" ht="15" customHeight="1" x14ac:dyDescent="0.25">
      <c r="A30" s="17" t="s">
        <v>169</v>
      </c>
      <c r="B30" s="10" t="s">
        <v>17</v>
      </c>
    </row>
    <row r="31" spans="1:2" ht="15" customHeight="1" x14ac:dyDescent="0.25">
      <c r="A31" s="23" t="s">
        <v>138</v>
      </c>
      <c r="B31" s="15" t="s">
        <v>21</v>
      </c>
    </row>
    <row r="32" spans="1:2" ht="15" customHeight="1" x14ac:dyDescent="0.25">
      <c r="A32" s="19" t="s">
        <v>20</v>
      </c>
      <c r="B32" s="6" t="s">
        <v>21</v>
      </c>
    </row>
    <row r="33" spans="1:2" ht="15" customHeight="1" x14ac:dyDescent="0.25">
      <c r="A33" s="13" t="s">
        <v>35</v>
      </c>
      <c r="B33" s="116" t="s">
        <v>21</v>
      </c>
    </row>
    <row r="34" spans="1:2" ht="15" customHeight="1" x14ac:dyDescent="0.25">
      <c r="A34" s="22" t="s">
        <v>140</v>
      </c>
      <c r="B34" s="15">
        <v>200</v>
      </c>
    </row>
    <row r="35" spans="1:2" ht="15.75" x14ac:dyDescent="0.25">
      <c r="A35" s="12" t="s">
        <v>141</v>
      </c>
      <c r="B35" s="10" t="s">
        <v>24</v>
      </c>
    </row>
    <row r="36" spans="1:2" ht="15" customHeight="1" x14ac:dyDescent="0.25">
      <c r="A36" s="17" t="s">
        <v>142</v>
      </c>
      <c r="B36" s="18" t="s">
        <v>143</v>
      </c>
    </row>
    <row r="37" spans="1:2" ht="15" customHeight="1" x14ac:dyDescent="0.25">
      <c r="A37" s="9" t="s">
        <v>97</v>
      </c>
      <c r="B37" s="11" t="s">
        <v>98</v>
      </c>
    </row>
    <row r="38" spans="1:2" ht="15" customHeight="1" x14ac:dyDescent="0.25">
      <c r="A38" s="19" t="s">
        <v>144</v>
      </c>
      <c r="B38" s="10" t="s">
        <v>21</v>
      </c>
    </row>
    <row r="39" spans="1:2" ht="15.75" x14ac:dyDescent="0.25">
      <c r="A39" s="14" t="s">
        <v>127</v>
      </c>
      <c r="B39" s="16" t="s">
        <v>17</v>
      </c>
    </row>
    <row r="40" spans="1:2" ht="15.75" x14ac:dyDescent="0.25">
      <c r="A40" s="20" t="s">
        <v>145</v>
      </c>
      <c r="B40" s="18" t="s">
        <v>123</v>
      </c>
    </row>
    <row r="41" spans="1:2" ht="15.75" x14ac:dyDescent="0.25">
      <c r="A41" s="12" t="s">
        <v>131</v>
      </c>
      <c r="B41" s="10" t="s">
        <v>170</v>
      </c>
    </row>
    <row r="42" spans="1:2" ht="15" customHeight="1" x14ac:dyDescent="0.25">
      <c r="A42" s="12" t="s">
        <v>171</v>
      </c>
      <c r="B42" s="10" t="s">
        <v>33</v>
      </c>
    </row>
    <row r="43" spans="1:2" ht="15" customHeight="1" x14ac:dyDescent="0.25">
      <c r="A43" s="9" t="s">
        <v>151</v>
      </c>
      <c r="B43" s="10" t="s">
        <v>170</v>
      </c>
    </row>
    <row r="44" spans="1:2" ht="15" customHeight="1" x14ac:dyDescent="0.25">
      <c r="A44" s="21" t="s">
        <v>102</v>
      </c>
      <c r="B44" s="6" t="s">
        <v>17</v>
      </c>
    </row>
    <row r="45" spans="1:2" ht="15" customHeight="1" x14ac:dyDescent="0.25">
      <c r="A45" s="13" t="s">
        <v>29</v>
      </c>
      <c r="B45" s="116" t="s">
        <v>21</v>
      </c>
    </row>
    <row r="46" spans="1:2" ht="15" customHeight="1" x14ac:dyDescent="0.25">
      <c r="A46" s="9" t="s">
        <v>107</v>
      </c>
      <c r="B46" s="11" t="s">
        <v>111</v>
      </c>
    </row>
    <row r="47" spans="1:2" ht="15" customHeight="1" x14ac:dyDescent="0.25">
      <c r="A47" s="13" t="s">
        <v>112</v>
      </c>
      <c r="B47" s="10">
        <v>1</v>
      </c>
    </row>
    <row r="48" spans="1:2" ht="15" customHeight="1" x14ac:dyDescent="0.25">
      <c r="A48" s="17" t="s">
        <v>106</v>
      </c>
      <c r="B48" s="18" t="s">
        <v>42</v>
      </c>
    </row>
    <row r="49" spans="1:2" ht="15" customHeight="1" x14ac:dyDescent="0.25">
      <c r="A49" s="12" t="s">
        <v>113</v>
      </c>
      <c r="B49" s="10" t="s">
        <v>17</v>
      </c>
    </row>
    <row r="50" spans="1:2" ht="15" customHeight="1" x14ac:dyDescent="0.25">
      <c r="A50" s="13" t="s">
        <v>77</v>
      </c>
      <c r="B50" s="10">
        <v>200</v>
      </c>
    </row>
    <row r="51" spans="1:2" ht="15" customHeight="1" x14ac:dyDescent="0.25">
      <c r="A51" s="13" t="s">
        <v>77</v>
      </c>
      <c r="B51" s="11" t="s">
        <v>17</v>
      </c>
    </row>
    <row r="52" spans="1:2" ht="15" customHeight="1" x14ac:dyDescent="0.25">
      <c r="A52" s="23" t="s">
        <v>78</v>
      </c>
      <c r="B52" s="6" t="s">
        <v>79</v>
      </c>
    </row>
    <row r="53" spans="1:2" ht="15" customHeight="1" x14ac:dyDescent="0.25">
      <c r="A53" s="20" t="s">
        <v>152</v>
      </c>
      <c r="B53" s="18">
        <v>200</v>
      </c>
    </row>
    <row r="54" spans="1:2" ht="15" customHeight="1" x14ac:dyDescent="0.25">
      <c r="A54" s="20" t="s">
        <v>80</v>
      </c>
      <c r="B54" s="18">
        <v>300</v>
      </c>
    </row>
    <row r="55" spans="1:2" ht="15" customHeight="1" x14ac:dyDescent="0.25">
      <c r="A55" s="22" t="s">
        <v>133</v>
      </c>
      <c r="B55" s="15" t="s">
        <v>17</v>
      </c>
    </row>
    <row r="56" spans="1:2" ht="15" customHeight="1" x14ac:dyDescent="0.25">
      <c r="A56" s="12" t="s">
        <v>81</v>
      </c>
      <c r="B56" s="6" t="s">
        <v>37</v>
      </c>
    </row>
    <row r="57" spans="1:2" ht="15" customHeight="1" x14ac:dyDescent="0.25">
      <c r="A57" s="22" t="s">
        <v>114</v>
      </c>
      <c r="B57" s="15" t="s">
        <v>37</v>
      </c>
    </row>
    <row r="58" spans="1:2" ht="15" customHeight="1" x14ac:dyDescent="0.25">
      <c r="A58" s="19" t="s">
        <v>38</v>
      </c>
      <c r="B58" s="6" t="s">
        <v>21</v>
      </c>
    </row>
    <row r="59" spans="1:2" s="26" customFormat="1" ht="19.5" customHeight="1" x14ac:dyDescent="0.25">
      <c r="A59" s="9" t="s">
        <v>172</v>
      </c>
      <c r="B59" s="11" t="s">
        <v>21</v>
      </c>
    </row>
    <row r="60" spans="1:2" ht="15" customHeight="1" x14ac:dyDescent="0.25">
      <c r="A60" s="23" t="s">
        <v>155</v>
      </c>
      <c r="B60" s="15" t="s">
        <v>21</v>
      </c>
    </row>
    <row r="61" spans="1:2" ht="15" customHeight="1" x14ac:dyDescent="0.25">
      <c r="A61" s="12" t="s">
        <v>156</v>
      </c>
      <c r="B61" s="10" t="s">
        <v>17</v>
      </c>
    </row>
    <row r="62" spans="1:2" ht="15" customHeight="1" x14ac:dyDescent="0.25">
      <c r="A62" s="20" t="s">
        <v>173</v>
      </c>
      <c r="B62" s="18" t="s">
        <v>67</v>
      </c>
    </row>
    <row r="63" spans="1:2" ht="15" customHeight="1" x14ac:dyDescent="0.25">
      <c r="A63" s="9" t="s">
        <v>174</v>
      </c>
      <c r="B63" s="116" t="s">
        <v>21</v>
      </c>
    </row>
    <row r="64" spans="1:2" ht="15" customHeight="1" x14ac:dyDescent="0.25">
      <c r="A64" s="117" t="s">
        <v>175</v>
      </c>
      <c r="B64" s="15" t="s">
        <v>21</v>
      </c>
    </row>
    <row r="65" spans="1:2" ht="15" customHeight="1" x14ac:dyDescent="0.25">
      <c r="A65" s="19" t="s">
        <v>176</v>
      </c>
      <c r="B65" s="6" t="s">
        <v>85</v>
      </c>
    </row>
    <row r="66" spans="1:2" ht="15" customHeight="1" x14ac:dyDescent="0.25">
      <c r="A66" s="19" t="s">
        <v>176</v>
      </c>
      <c r="B66" s="6" t="s">
        <v>17</v>
      </c>
    </row>
    <row r="67" spans="1:2" ht="15" customHeight="1" x14ac:dyDescent="0.25">
      <c r="A67" s="19" t="s">
        <v>176</v>
      </c>
      <c r="B67" s="10" t="s">
        <v>67</v>
      </c>
    </row>
    <row r="68" spans="1:2" ht="15" customHeight="1" x14ac:dyDescent="0.25">
      <c r="A68" s="19" t="s">
        <v>41</v>
      </c>
      <c r="B68" s="6" t="s">
        <v>42</v>
      </c>
    </row>
    <row r="69" spans="1:2" ht="15" customHeight="1" x14ac:dyDescent="0.25">
      <c r="A69" s="22" t="s">
        <v>177</v>
      </c>
      <c r="B69" s="15">
        <v>300</v>
      </c>
    </row>
    <row r="70" spans="1:2" ht="15" customHeight="1" x14ac:dyDescent="0.25">
      <c r="A70" s="14" t="s">
        <v>157</v>
      </c>
      <c r="B70" s="16" t="s">
        <v>21</v>
      </c>
    </row>
    <row r="71" spans="1:2" ht="15" customHeight="1" x14ac:dyDescent="0.25">
      <c r="A71" s="22" t="s">
        <v>134</v>
      </c>
      <c r="B71" s="15" t="s">
        <v>21</v>
      </c>
    </row>
    <row r="72" spans="1:2" ht="15" customHeight="1" x14ac:dyDescent="0.25">
      <c r="A72" s="22" t="s">
        <v>115</v>
      </c>
      <c r="B72" s="15" t="s">
        <v>21</v>
      </c>
    </row>
    <row r="73" spans="1:2" ht="15" customHeight="1" x14ac:dyDescent="0.25">
      <c r="A73" s="12" t="s">
        <v>25</v>
      </c>
      <c r="B73" s="10" t="s">
        <v>26</v>
      </c>
    </row>
    <row r="74" spans="1:2" ht="15" customHeight="1" x14ac:dyDescent="0.25">
      <c r="A74" s="13" t="s">
        <v>117</v>
      </c>
      <c r="B74" s="10" t="s">
        <v>21</v>
      </c>
    </row>
    <row r="75" spans="1:2" ht="15" customHeight="1" x14ac:dyDescent="0.25">
      <c r="A75" s="13" t="s">
        <v>30</v>
      </c>
      <c r="B75" s="116" t="s">
        <v>21</v>
      </c>
    </row>
    <row r="76" spans="1:2" ht="15" customHeight="1" x14ac:dyDescent="0.25">
      <c r="A76" s="19" t="s">
        <v>22</v>
      </c>
      <c r="B76" s="6" t="s">
        <v>21</v>
      </c>
    </row>
    <row r="77" spans="1:2" ht="15" customHeight="1" x14ac:dyDescent="0.25">
      <c r="A77" s="19" t="s">
        <v>16</v>
      </c>
      <c r="B77" s="6" t="s">
        <v>17</v>
      </c>
    </row>
    <row r="78" spans="1:2" ht="15" customHeight="1" x14ac:dyDescent="0.25">
      <c r="A78" s="118" t="s">
        <v>164</v>
      </c>
      <c r="B78" s="10" t="s">
        <v>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8D340E6848AAF438D4150A4B4C8DAE1" ma:contentTypeVersion="3" ma:contentTypeDescription="Create a new document." ma:contentTypeScope="" ma:versionID="7df1b6c560036ff429970227f1d2ab44">
  <xsd:schema xmlns:xsd="http://www.w3.org/2001/XMLSchema" xmlns:xs="http://www.w3.org/2001/XMLSchema" xmlns:p="http://schemas.microsoft.com/office/2006/metadata/properties" xmlns:ns2="e2cfdba6-6ac9-4d07-b4c2-16f6fdcd7d97" targetNamespace="http://schemas.microsoft.com/office/2006/metadata/properties" ma:root="true" ma:fieldsID="e907881d1789f9bd0bd9a04d16ff015b" ns2:_="">
    <xsd:import namespace="e2cfdba6-6ac9-4d07-b4c2-16f6fdcd7d9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2cfdba6-6ac9-4d07-b4c2-16f6fdcd7d9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FFC3D26-FFE2-4CCD-9BE9-F57E90794C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2cfdba6-6ac9-4d07-b4c2-16f6fdcd7d9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EC36DD-133D-4902-948E-B1A216B4744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6F8D876-8D1E-4EB6-B469-77B31BDCCEE7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e2cfdba6-6ac9-4d07-b4c2-16f6fdcd7d97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Metadata/LabelInfo.xml><?xml version="1.0" encoding="utf-8"?>
<clbl:labelList xmlns:clbl="http://schemas.microsoft.com/office/2020/mipLabelMetadata">
  <clbl:label id="{40f5b659-45e0-406d-ada9-08e0b284cfc4}" enabled="1" method="Standard" siteId="{e95f1b23-abaf-45ee-821d-b7ab251ab3b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VISN Totals</vt:lpstr>
      <vt:lpstr>436</vt:lpstr>
      <vt:lpstr>442</vt:lpstr>
      <vt:lpstr>554</vt:lpstr>
      <vt:lpstr>623</vt:lpstr>
      <vt:lpstr>635</vt:lpstr>
      <vt:lpstr>660</vt:lpstr>
      <vt:lpstr>666</vt:lpstr>
      <vt:lpstr>Types of Gas</vt:lpstr>
      <vt:lpstr>'442'!Print_Titles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Boettcher, Ian</dc:creator>
  <cp:keywords/>
  <dc:description/>
  <cp:lastModifiedBy>San Nicolas, Jesse A.</cp:lastModifiedBy>
  <cp:revision/>
  <cp:lastPrinted>2025-10-27T15:52:07Z</cp:lastPrinted>
  <dcterms:created xsi:type="dcterms:W3CDTF">2023-07-03T18:27:55Z</dcterms:created>
  <dcterms:modified xsi:type="dcterms:W3CDTF">2025-11-26T06:08:15Z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0x010100B8D340E6848AAF438D4150A4B4C8DAE1</vt:lpwstr>
  </property>
</Properties>
</file>