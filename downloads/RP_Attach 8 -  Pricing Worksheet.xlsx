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geast.dir.ad.dla.mil\ENERGY\FEM\Legacy Files\FEM Contracts\NEW SHARE STRUCTURE\16. FY26\26-R-0300 - RP1&amp; RP2 -Recompete\9.  Solicitation &amp; Amendments\Attachments\"/>
    </mc:Choice>
  </mc:AlternateContent>
  <xr:revisionPtr revIDLastSave="0" documentId="8_{265A9DE8-79D9-47B2-925A-6DF1FB91741F}" xr6:coauthVersionLast="47" xr6:coauthVersionMax="47" xr10:uidLastSave="{00000000-0000-0000-0000-000000000000}"/>
  <bookViews>
    <workbookView xWindow="-120" yWindow="90" windowWidth="29040" windowHeight="15510" xr2:uid="{9B23A763-28E3-4220-B6F3-60E85F8D1A40}"/>
  </bookViews>
  <sheets>
    <sheet name="Pricing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0" i="1" l="1"/>
  <c r="D39" i="1"/>
  <c r="H39" i="1" s="1"/>
  <c r="D38" i="1"/>
  <c r="H38" i="1" s="1"/>
  <c r="D37" i="1"/>
  <c r="H37" i="1" s="1"/>
  <c r="D36" i="1"/>
  <c r="H36" i="1" s="1"/>
  <c r="D35" i="1"/>
  <c r="H35" i="1" s="1"/>
  <c r="D33" i="1"/>
  <c r="D32" i="1"/>
  <c r="D31" i="1"/>
  <c r="D30" i="1"/>
  <c r="H30" i="1" s="1"/>
  <c r="D29" i="1"/>
  <c r="H29" i="1" s="1"/>
  <c r="D27" i="1"/>
  <c r="D26" i="1"/>
  <c r="H26" i="1" s="1"/>
  <c r="D25" i="1"/>
  <c r="H25" i="1" s="1"/>
  <c r="D24" i="1"/>
  <c r="H24" i="1" s="1"/>
  <c r="D23" i="1"/>
  <c r="H23" i="1" s="1"/>
  <c r="H21" i="1"/>
  <c r="D19" i="1"/>
  <c r="D18" i="1"/>
  <c r="D7" i="1"/>
  <c r="D6" i="1"/>
  <c r="D5" i="1"/>
  <c r="D4" i="1"/>
  <c r="H4" i="1" s="1"/>
  <c r="D3" i="1"/>
  <c r="H3" i="1" s="1"/>
  <c r="D13" i="1"/>
  <c r="D12" i="1"/>
  <c r="D11" i="1"/>
  <c r="H11" i="1" s="1"/>
  <c r="D10" i="1"/>
  <c r="H10" i="1" s="1"/>
  <c r="D9" i="1"/>
  <c r="H9" i="1" s="1"/>
  <c r="D15" i="1"/>
  <c r="H15" i="1" s="1"/>
  <c r="D16" i="1"/>
  <c r="H16" i="1" s="1"/>
  <c r="D17" i="1"/>
  <c r="H17" i="1" s="1"/>
  <c r="H32" i="1" l="1"/>
  <c r="H31" i="1"/>
  <c r="H33" i="1"/>
  <c r="H27" i="1"/>
  <c r="H19" i="1"/>
  <c r="H18" i="1"/>
  <c r="H7" i="1"/>
  <c r="H5" i="1"/>
  <c r="H13" i="1"/>
  <c r="H12" i="1"/>
  <c r="H6" i="1" l="1"/>
</calcChain>
</file>

<file path=xl/sharedStrings.xml><?xml version="1.0" encoding="utf-8"?>
<sst xmlns="http://schemas.openxmlformats.org/spreadsheetml/2006/main" count="142" uniqueCount="41">
  <si>
    <t>USD</t>
  </si>
  <si>
    <t>POP</t>
  </si>
  <si>
    <t>EA</t>
  </si>
  <si>
    <t>SE0000276</t>
  </si>
  <si>
    <t>0007</t>
  </si>
  <si>
    <t>0006</t>
  </si>
  <si>
    <t>Monthly Bulk Storage (CLIN 0001)</t>
  </si>
  <si>
    <t>0005</t>
  </si>
  <si>
    <t>Y3</t>
  </si>
  <si>
    <t>UG6</t>
  </si>
  <si>
    <t>Y2</t>
  </si>
  <si>
    <t>Y1</t>
  </si>
  <si>
    <t>RP-2 Propellant Kerosene Bulk</t>
  </si>
  <si>
    <t>9130-01-666-4547</t>
  </si>
  <si>
    <t>0004</t>
  </si>
  <si>
    <t>9130-01-644-2509</t>
  </si>
  <si>
    <t>0003</t>
  </si>
  <si>
    <t>0002</t>
  </si>
  <si>
    <t>RP-1 Propellant Kerosene Bulk</t>
  </si>
  <si>
    <t>9130-01-666-4530</t>
  </si>
  <si>
    <t>0001</t>
  </si>
  <si>
    <t>Currency</t>
  </si>
  <si>
    <t>Extended Price</t>
  </si>
  <si>
    <t>Unit Price</t>
  </si>
  <si>
    <t>Year</t>
  </si>
  <si>
    <t>Unit of Measurement</t>
  </si>
  <si>
    <t>Quantity</t>
  </si>
  <si>
    <t>Product Short Text</t>
  </si>
  <si>
    <t>Product Name</t>
  </si>
  <si>
    <t>SOL Item #</t>
  </si>
  <si>
    <t xml:space="preserve">GRAND TOTAL </t>
  </si>
  <si>
    <t xml:space="preserve"> </t>
  </si>
  <si>
    <t>******NOTE: OFFERED PRICES SHALL NOT EXCEED SECOND DECIMAL PLACE AND ROUNDING IS NOT AUTHORIZED******</t>
  </si>
  <si>
    <t>Y4</t>
  </si>
  <si>
    <t>Y5</t>
  </si>
  <si>
    <t>RP-2 Propellant Kerosene Special Blend</t>
  </si>
  <si>
    <t>SE0000256</t>
  </si>
  <si>
    <t>EDA</t>
  </si>
  <si>
    <t>Monthly Bulk Storage (CLIN 0002)</t>
  </si>
  <si>
    <t>RP-1 &amp; RP-2 Drumming</t>
  </si>
  <si>
    <t>Monthly Bulk Storage (CLIN 0003)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</si>
</sst>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 vertical="center"/>
    </xf>
    <xf numFmtId="0" fontId="0" fillId="0" borderId="1" xfId="0" applyBorder="1"/>
    <xf numFmtId="3" fontId="0" fillId="0" borderId="1" xfId="1" applyNumberFormat="1" applyFont="1" applyBorder="1" applyAlignment="1">
      <alignment horizontal="center"/>
    </xf>
    <xf numFmtId="49" fontId="0" fillId="0" borderId="1" xfId="0" applyNumberFormat="1" applyBorder="1"/>
    <xf numFmtId="44" fontId="0" fillId="3" borderId="1" xfId="2" applyFont="1" applyFill="1" applyBorder="1" applyAlignment="1">
      <alignment horizontal="center" vertical="center"/>
    </xf>
    <xf numFmtId="0" fontId="0" fillId="3" borderId="1" xfId="0" applyFill="1" applyBorder="1"/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4" fillId="4" borderId="1" xfId="0" applyNumberFormat="1" applyFont="1" applyFill="1" applyBorder="1"/>
    <xf numFmtId="0" fontId="4" fillId="4" borderId="1" xfId="0" applyFont="1" applyFill="1" applyBorder="1"/>
    <xf numFmtId="3" fontId="4" fillId="4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4" fontId="4" fillId="4" borderId="1" xfId="2" applyFont="1" applyFill="1" applyBorder="1" applyAlignment="1">
      <alignment horizontal="center" vertical="center"/>
    </xf>
    <xf numFmtId="0" fontId="4" fillId="0" borderId="0" xfId="0" applyFont="1"/>
    <xf numFmtId="49" fontId="3" fillId="3" borderId="1" xfId="0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6096-1116-46CA-9620-ADDCD61C7ECC}">
  <dimension ref="A1:I43"/>
  <sheetViews>
    <sheetView tabSelected="1" workbookViewId="0">
      <selection activeCell="H39" sqref="H39"/>
    </sheetView>
  </sheetViews>
  <sheetFormatPr defaultRowHeight="15" x14ac:dyDescent="0.25"/>
  <cols>
    <col min="1" max="1" width="9.140625" style="2"/>
    <col min="2" max="2" width="17.5703125" customWidth="1"/>
    <col min="3" max="3" width="38.7109375" customWidth="1"/>
    <col min="4" max="4" width="15.28515625" style="1" customWidth="1"/>
    <col min="5" max="5" width="13.28515625" customWidth="1"/>
    <col min="6" max="6" width="9.140625" style="1"/>
    <col min="7" max="7" width="13.7109375" customWidth="1"/>
    <col min="8" max="8" width="13.7109375" style="1" customWidth="1"/>
    <col min="9" max="9" width="13.7109375" customWidth="1"/>
  </cols>
  <sheetData>
    <row r="1" spans="1:9" ht="38.25" x14ac:dyDescent="0.25">
      <c r="A1" s="12" t="s">
        <v>29</v>
      </c>
      <c r="B1" s="13" t="s">
        <v>28</v>
      </c>
      <c r="C1" s="13" t="s">
        <v>27</v>
      </c>
      <c r="D1" s="13" t="s">
        <v>26</v>
      </c>
      <c r="E1" s="14" t="s">
        <v>25</v>
      </c>
      <c r="F1" s="13" t="s">
        <v>24</v>
      </c>
      <c r="G1" s="13" t="s">
        <v>23</v>
      </c>
      <c r="H1" s="13" t="s">
        <v>22</v>
      </c>
      <c r="I1" s="13" t="s">
        <v>21</v>
      </c>
    </row>
    <row r="2" spans="1:9" s="20" customFormat="1" x14ac:dyDescent="0.25">
      <c r="A2" s="15" t="s">
        <v>20</v>
      </c>
      <c r="B2" s="16" t="s">
        <v>19</v>
      </c>
      <c r="C2" s="16" t="s">
        <v>18</v>
      </c>
      <c r="D2" s="17">
        <v>500000</v>
      </c>
      <c r="E2" s="18" t="s">
        <v>9</v>
      </c>
      <c r="F2" s="18" t="s">
        <v>1</v>
      </c>
      <c r="G2" s="19"/>
      <c r="H2" s="19"/>
      <c r="I2" s="18" t="s">
        <v>0</v>
      </c>
    </row>
    <row r="3" spans="1:9" x14ac:dyDescent="0.25">
      <c r="A3" s="7"/>
      <c r="B3" s="5"/>
      <c r="C3" s="5"/>
      <c r="D3" s="6">
        <f>D2*1/5</f>
        <v>100000</v>
      </c>
      <c r="E3" s="3" t="s">
        <v>9</v>
      </c>
      <c r="F3" s="3" t="s">
        <v>11</v>
      </c>
      <c r="G3" s="4">
        <v>0</v>
      </c>
      <c r="H3" s="4">
        <f t="shared" ref="H3:H7" si="0">D3*G3</f>
        <v>0</v>
      </c>
      <c r="I3" s="3" t="s">
        <v>0</v>
      </c>
    </row>
    <row r="4" spans="1:9" x14ac:dyDescent="0.25">
      <c r="A4" s="7"/>
      <c r="B4" s="5"/>
      <c r="C4" s="5"/>
      <c r="D4" s="6">
        <f>D2*1/5</f>
        <v>100000</v>
      </c>
      <c r="E4" s="3" t="s">
        <v>9</v>
      </c>
      <c r="F4" s="3" t="s">
        <v>10</v>
      </c>
      <c r="G4" s="4">
        <v>0</v>
      </c>
      <c r="H4" s="4">
        <f t="shared" si="0"/>
        <v>0</v>
      </c>
      <c r="I4" s="3" t="s">
        <v>0</v>
      </c>
    </row>
    <row r="5" spans="1:9" x14ac:dyDescent="0.25">
      <c r="A5" s="7"/>
      <c r="B5" s="5"/>
      <c r="C5" s="5"/>
      <c r="D5" s="6">
        <f>D2*1/5</f>
        <v>100000</v>
      </c>
      <c r="E5" s="3" t="s">
        <v>9</v>
      </c>
      <c r="F5" s="3" t="s">
        <v>8</v>
      </c>
      <c r="G5" s="4">
        <v>0</v>
      </c>
      <c r="H5" s="4">
        <f t="shared" si="0"/>
        <v>0</v>
      </c>
      <c r="I5" s="3" t="s">
        <v>0</v>
      </c>
    </row>
    <row r="6" spans="1:9" x14ac:dyDescent="0.25">
      <c r="A6" s="7"/>
      <c r="B6" s="5"/>
      <c r="C6" s="5"/>
      <c r="D6" s="6">
        <f>D2*1/5</f>
        <v>100000</v>
      </c>
      <c r="E6" s="3" t="s">
        <v>9</v>
      </c>
      <c r="F6" s="3" t="s">
        <v>33</v>
      </c>
      <c r="G6" s="4">
        <v>0</v>
      </c>
      <c r="H6" s="4">
        <f t="shared" si="0"/>
        <v>0</v>
      </c>
      <c r="I6" s="3" t="s">
        <v>0</v>
      </c>
    </row>
    <row r="7" spans="1:9" x14ac:dyDescent="0.25">
      <c r="A7" s="7"/>
      <c r="B7" s="5"/>
      <c r="C7" s="5"/>
      <c r="D7" s="6">
        <f>D2*1/5</f>
        <v>100000</v>
      </c>
      <c r="E7" s="3" t="s">
        <v>9</v>
      </c>
      <c r="F7" s="3" t="s">
        <v>34</v>
      </c>
      <c r="G7" s="4">
        <v>0</v>
      </c>
      <c r="H7" s="4">
        <f t="shared" si="0"/>
        <v>0</v>
      </c>
      <c r="I7" s="3" t="s">
        <v>0</v>
      </c>
    </row>
    <row r="8" spans="1:9" x14ac:dyDescent="0.25">
      <c r="A8" s="15" t="s">
        <v>17</v>
      </c>
      <c r="B8" s="16" t="s">
        <v>13</v>
      </c>
      <c r="C8" s="16" t="s">
        <v>12</v>
      </c>
      <c r="D8" s="17">
        <v>35000</v>
      </c>
      <c r="E8" s="18" t="s">
        <v>9</v>
      </c>
      <c r="F8" s="18" t="s">
        <v>1</v>
      </c>
      <c r="G8" s="19"/>
      <c r="H8" s="19"/>
      <c r="I8" s="18" t="s">
        <v>31</v>
      </c>
    </row>
    <row r="9" spans="1:9" x14ac:dyDescent="0.25">
      <c r="A9" s="7"/>
      <c r="B9" s="5"/>
      <c r="C9" s="5"/>
      <c r="D9" s="6">
        <f>D8*1/5</f>
        <v>7000</v>
      </c>
      <c r="E9" s="3" t="s">
        <v>9</v>
      </c>
      <c r="F9" s="3" t="s">
        <v>11</v>
      </c>
      <c r="G9" s="4">
        <v>0</v>
      </c>
      <c r="H9" s="4">
        <f t="shared" ref="H9:H13" si="1">D9*G9</f>
        <v>0</v>
      </c>
      <c r="I9" s="3" t="s">
        <v>0</v>
      </c>
    </row>
    <row r="10" spans="1:9" x14ac:dyDescent="0.25">
      <c r="A10" s="7"/>
      <c r="B10" s="5"/>
      <c r="C10" s="5"/>
      <c r="D10" s="6">
        <f>D8*1/5</f>
        <v>7000</v>
      </c>
      <c r="E10" s="3" t="s">
        <v>9</v>
      </c>
      <c r="F10" s="3" t="s">
        <v>10</v>
      </c>
      <c r="G10" s="4">
        <v>0</v>
      </c>
      <c r="H10" s="4">
        <f t="shared" si="1"/>
        <v>0</v>
      </c>
      <c r="I10" s="3" t="s">
        <v>0</v>
      </c>
    </row>
    <row r="11" spans="1:9" x14ac:dyDescent="0.25">
      <c r="A11" s="7"/>
      <c r="B11" s="5"/>
      <c r="C11" s="5"/>
      <c r="D11" s="6">
        <f>D8*1/5</f>
        <v>7000</v>
      </c>
      <c r="E11" s="3" t="s">
        <v>9</v>
      </c>
      <c r="F11" s="3" t="s">
        <v>8</v>
      </c>
      <c r="G11" s="4">
        <v>0</v>
      </c>
      <c r="H11" s="4">
        <f t="shared" si="1"/>
        <v>0</v>
      </c>
      <c r="I11" s="3" t="s">
        <v>0</v>
      </c>
    </row>
    <row r="12" spans="1:9" x14ac:dyDescent="0.25">
      <c r="A12" s="7"/>
      <c r="B12" s="5"/>
      <c r="C12" s="5"/>
      <c r="D12" s="6">
        <f>D8*1/5</f>
        <v>7000</v>
      </c>
      <c r="E12" s="3" t="s">
        <v>9</v>
      </c>
      <c r="F12" s="3" t="s">
        <v>33</v>
      </c>
      <c r="G12" s="4">
        <v>0</v>
      </c>
      <c r="H12" s="4">
        <f t="shared" si="1"/>
        <v>0</v>
      </c>
      <c r="I12" s="3" t="s">
        <v>0</v>
      </c>
    </row>
    <row r="13" spans="1:9" x14ac:dyDescent="0.25">
      <c r="A13" s="7"/>
      <c r="B13" s="5"/>
      <c r="C13" s="5"/>
      <c r="D13" s="6">
        <f>D8*1/5</f>
        <v>7000</v>
      </c>
      <c r="E13" s="3" t="s">
        <v>9</v>
      </c>
      <c r="F13" s="3" t="s">
        <v>34</v>
      </c>
      <c r="G13" s="4">
        <v>0</v>
      </c>
      <c r="H13" s="4">
        <f t="shared" si="1"/>
        <v>0</v>
      </c>
      <c r="I13" s="3" t="s">
        <v>0</v>
      </c>
    </row>
    <row r="14" spans="1:9" x14ac:dyDescent="0.25">
      <c r="A14" s="15" t="s">
        <v>16</v>
      </c>
      <c r="B14" s="16" t="s">
        <v>15</v>
      </c>
      <c r="C14" s="16" t="s">
        <v>35</v>
      </c>
      <c r="D14" s="17">
        <v>100000</v>
      </c>
      <c r="E14" s="18" t="s">
        <v>9</v>
      </c>
      <c r="F14" s="18" t="s">
        <v>1</v>
      </c>
      <c r="G14" s="19"/>
      <c r="H14" s="19"/>
      <c r="I14" s="18" t="s">
        <v>31</v>
      </c>
    </row>
    <row r="15" spans="1:9" x14ac:dyDescent="0.25">
      <c r="A15" s="7"/>
      <c r="B15" s="5"/>
      <c r="C15" s="5"/>
      <c r="D15" s="6">
        <f>D14*1/3</f>
        <v>33333.333333333336</v>
      </c>
      <c r="E15" s="3" t="s">
        <v>9</v>
      </c>
      <c r="F15" s="3" t="s">
        <v>11</v>
      </c>
      <c r="G15" s="4">
        <v>0</v>
      </c>
      <c r="H15" s="4">
        <f t="shared" ref="H15:H17" si="2">D15*G15</f>
        <v>0</v>
      </c>
      <c r="I15" s="3" t="s">
        <v>0</v>
      </c>
    </row>
    <row r="16" spans="1:9" x14ac:dyDescent="0.25">
      <c r="A16" s="7"/>
      <c r="B16" s="5"/>
      <c r="C16" s="5"/>
      <c r="D16" s="6">
        <f>D14*1/3</f>
        <v>33333.333333333336</v>
      </c>
      <c r="E16" s="3" t="s">
        <v>9</v>
      </c>
      <c r="F16" s="3" t="s">
        <v>10</v>
      </c>
      <c r="G16" s="4">
        <v>0</v>
      </c>
      <c r="H16" s="4">
        <f t="shared" si="2"/>
        <v>0</v>
      </c>
      <c r="I16" s="3" t="s">
        <v>0</v>
      </c>
    </row>
    <row r="17" spans="1:9" x14ac:dyDescent="0.25">
      <c r="A17" s="7"/>
      <c r="B17" s="5"/>
      <c r="C17" s="5"/>
      <c r="D17" s="6">
        <f>D14*1/3</f>
        <v>33333.333333333336</v>
      </c>
      <c r="E17" s="3" t="s">
        <v>9</v>
      </c>
      <c r="F17" s="3" t="s">
        <v>8</v>
      </c>
      <c r="G17" s="4">
        <v>0</v>
      </c>
      <c r="H17" s="4">
        <f t="shared" si="2"/>
        <v>0</v>
      </c>
      <c r="I17" s="3" t="s">
        <v>0</v>
      </c>
    </row>
    <row r="18" spans="1:9" x14ac:dyDescent="0.25">
      <c r="A18" s="7"/>
      <c r="B18" s="5"/>
      <c r="C18" s="5"/>
      <c r="D18" s="6">
        <f>D14*1/3</f>
        <v>33333.333333333336</v>
      </c>
      <c r="E18" s="3" t="s">
        <v>9</v>
      </c>
      <c r="F18" s="3" t="s">
        <v>10</v>
      </c>
      <c r="G18" s="4">
        <v>0</v>
      </c>
      <c r="H18" s="4">
        <f t="shared" ref="H18:H19" si="3">D18*G18</f>
        <v>0</v>
      </c>
      <c r="I18" s="3" t="s">
        <v>0</v>
      </c>
    </row>
    <row r="19" spans="1:9" x14ac:dyDescent="0.25">
      <c r="A19" s="7"/>
      <c r="B19" s="5"/>
      <c r="C19" s="5"/>
      <c r="D19" s="6">
        <f>D14*1/3</f>
        <v>33333.333333333336</v>
      </c>
      <c r="E19" s="3" t="s">
        <v>9</v>
      </c>
      <c r="F19" s="3" t="s">
        <v>8</v>
      </c>
      <c r="G19" s="4">
        <v>0</v>
      </c>
      <c r="H19" s="4">
        <f t="shared" si="3"/>
        <v>0</v>
      </c>
      <c r="I19" s="3" t="s">
        <v>0</v>
      </c>
    </row>
    <row r="20" spans="1:9" x14ac:dyDescent="0.25">
      <c r="A20" s="15" t="s">
        <v>14</v>
      </c>
      <c r="B20" s="16" t="s">
        <v>36</v>
      </c>
      <c r="C20" s="16" t="s">
        <v>39</v>
      </c>
      <c r="D20" s="17">
        <v>5</v>
      </c>
      <c r="E20" s="18" t="s">
        <v>2</v>
      </c>
      <c r="F20" s="18" t="s">
        <v>1</v>
      </c>
      <c r="G20" s="19"/>
      <c r="H20" s="19"/>
      <c r="I20" s="18" t="s">
        <v>31</v>
      </c>
    </row>
    <row r="21" spans="1:9" x14ac:dyDescent="0.25">
      <c r="A21" s="7"/>
      <c r="B21" s="5"/>
      <c r="C21" s="5"/>
      <c r="D21" s="6">
        <v>5</v>
      </c>
      <c r="E21" s="3" t="s">
        <v>37</v>
      </c>
      <c r="F21" s="3"/>
      <c r="G21" s="4">
        <v>0</v>
      </c>
      <c r="H21" s="4">
        <f t="shared" ref="H21" si="4">D21*G21</f>
        <v>0</v>
      </c>
      <c r="I21" s="3" t="s">
        <v>0</v>
      </c>
    </row>
    <row r="22" spans="1:9" s="20" customFormat="1" x14ac:dyDescent="0.25">
      <c r="A22" s="15" t="s">
        <v>7</v>
      </c>
      <c r="B22" s="16" t="s">
        <v>3</v>
      </c>
      <c r="C22" s="16" t="s">
        <v>6</v>
      </c>
      <c r="D22" s="17">
        <v>60</v>
      </c>
      <c r="E22" s="18" t="s">
        <v>2</v>
      </c>
      <c r="F22" s="18" t="s">
        <v>1</v>
      </c>
      <c r="G22" s="19"/>
      <c r="H22" s="19"/>
      <c r="I22" s="18"/>
    </row>
    <row r="23" spans="1:9" x14ac:dyDescent="0.25">
      <c r="A23" s="7"/>
      <c r="B23" s="5"/>
      <c r="C23" s="5"/>
      <c r="D23" s="6">
        <f>D22*1/5</f>
        <v>12</v>
      </c>
      <c r="E23" s="3" t="s">
        <v>2</v>
      </c>
      <c r="F23" s="3" t="s">
        <v>11</v>
      </c>
      <c r="G23" s="4">
        <v>0</v>
      </c>
      <c r="H23" s="4">
        <f t="shared" ref="H23:H27" si="5">D23*G23</f>
        <v>0</v>
      </c>
      <c r="I23" s="3" t="s">
        <v>0</v>
      </c>
    </row>
    <row r="24" spans="1:9" x14ac:dyDescent="0.25">
      <c r="A24" s="7"/>
      <c r="B24" s="5"/>
      <c r="C24" s="5"/>
      <c r="D24" s="6">
        <f>D22*1/5</f>
        <v>12</v>
      </c>
      <c r="E24" s="3" t="s">
        <v>2</v>
      </c>
      <c r="F24" s="3" t="s">
        <v>10</v>
      </c>
      <c r="G24" s="4">
        <v>0</v>
      </c>
      <c r="H24" s="4">
        <f>D24*G24</f>
        <v>0</v>
      </c>
      <c r="I24" s="3" t="s">
        <v>0</v>
      </c>
    </row>
    <row r="25" spans="1:9" x14ac:dyDescent="0.25">
      <c r="A25" s="7"/>
      <c r="B25" s="5"/>
      <c r="C25" s="5"/>
      <c r="D25" s="6">
        <f>D22*1/5</f>
        <v>12</v>
      </c>
      <c r="E25" s="3" t="s">
        <v>2</v>
      </c>
      <c r="F25" s="3" t="s">
        <v>8</v>
      </c>
      <c r="G25" s="4">
        <v>0</v>
      </c>
      <c r="H25" s="4">
        <f>D25*G25</f>
        <v>0</v>
      </c>
      <c r="I25" s="3" t="s">
        <v>0</v>
      </c>
    </row>
    <row r="26" spans="1:9" x14ac:dyDescent="0.25">
      <c r="A26" s="7"/>
      <c r="B26" s="5"/>
      <c r="C26" s="5"/>
      <c r="D26" s="6">
        <f>D22*1/5</f>
        <v>12</v>
      </c>
      <c r="E26" s="3" t="s">
        <v>2</v>
      </c>
      <c r="F26" s="3" t="s">
        <v>33</v>
      </c>
      <c r="G26" s="4">
        <v>0</v>
      </c>
      <c r="H26" s="4">
        <f>D26*G26</f>
        <v>0</v>
      </c>
      <c r="I26" s="3" t="s">
        <v>0</v>
      </c>
    </row>
    <row r="27" spans="1:9" x14ac:dyDescent="0.25">
      <c r="A27" s="7"/>
      <c r="B27" s="5"/>
      <c r="C27" s="5"/>
      <c r="D27" s="6">
        <f>D22*1/5</f>
        <v>12</v>
      </c>
      <c r="E27" s="3" t="s">
        <v>2</v>
      </c>
      <c r="F27" s="3" t="s">
        <v>34</v>
      </c>
      <c r="G27" s="4">
        <v>0</v>
      </c>
      <c r="H27" s="4">
        <f>D27*G27</f>
        <v>0</v>
      </c>
      <c r="I27" s="3" t="s">
        <v>0</v>
      </c>
    </row>
    <row r="28" spans="1:9" s="20" customFormat="1" x14ac:dyDescent="0.25">
      <c r="A28" s="15" t="s">
        <v>5</v>
      </c>
      <c r="B28" s="16" t="s">
        <v>3</v>
      </c>
      <c r="C28" s="16" t="s">
        <v>38</v>
      </c>
      <c r="D28" s="17">
        <v>60</v>
      </c>
      <c r="E28" s="18" t="s">
        <v>2</v>
      </c>
      <c r="F28" s="18" t="s">
        <v>1</v>
      </c>
      <c r="G28" s="19"/>
      <c r="H28" s="19"/>
      <c r="I28" s="18"/>
    </row>
    <row r="29" spans="1:9" x14ac:dyDescent="0.25">
      <c r="A29" s="7"/>
      <c r="B29" s="5"/>
      <c r="C29" s="5"/>
      <c r="D29" s="6">
        <f>D28*1/5</f>
        <v>12</v>
      </c>
      <c r="E29" s="3" t="s">
        <v>2</v>
      </c>
      <c r="F29" s="3" t="s">
        <v>11</v>
      </c>
      <c r="G29" s="4">
        <v>0</v>
      </c>
      <c r="H29" s="4">
        <f t="shared" ref="H29:H31" si="6">D29*G29</f>
        <v>0</v>
      </c>
      <c r="I29" s="3" t="s">
        <v>0</v>
      </c>
    </row>
    <row r="30" spans="1:9" x14ac:dyDescent="0.25">
      <c r="A30" s="7"/>
      <c r="B30" s="5"/>
      <c r="C30" s="5"/>
      <c r="D30" s="6">
        <f>D28*1/5</f>
        <v>12</v>
      </c>
      <c r="E30" s="3" t="s">
        <v>2</v>
      </c>
      <c r="F30" s="3" t="s">
        <v>10</v>
      </c>
      <c r="G30" s="4">
        <v>0</v>
      </c>
      <c r="H30" s="4">
        <f t="shared" si="6"/>
        <v>0</v>
      </c>
      <c r="I30" s="3" t="s">
        <v>0</v>
      </c>
    </row>
    <row r="31" spans="1:9" x14ac:dyDescent="0.25">
      <c r="A31" s="7"/>
      <c r="B31" s="5"/>
      <c r="C31" s="5"/>
      <c r="D31" s="6">
        <f>D28*1/5</f>
        <v>12</v>
      </c>
      <c r="E31" s="3" t="s">
        <v>2</v>
      </c>
      <c r="F31" s="3" t="s">
        <v>8</v>
      </c>
      <c r="G31" s="4">
        <v>0</v>
      </c>
      <c r="H31" s="4">
        <f t="shared" si="6"/>
        <v>0</v>
      </c>
      <c r="I31" s="3" t="s">
        <v>0</v>
      </c>
    </row>
    <row r="32" spans="1:9" x14ac:dyDescent="0.25">
      <c r="A32" s="7"/>
      <c r="B32" s="5"/>
      <c r="C32" s="5"/>
      <c r="D32" s="6">
        <f>D28*1/5</f>
        <v>12</v>
      </c>
      <c r="E32" s="3" t="s">
        <v>2</v>
      </c>
      <c r="F32" s="3" t="s">
        <v>33</v>
      </c>
      <c r="G32" s="4">
        <v>0</v>
      </c>
      <c r="H32" s="4">
        <f t="shared" ref="H32:H33" si="7">D32*G32</f>
        <v>0</v>
      </c>
      <c r="I32" s="3" t="s">
        <v>0</v>
      </c>
    </row>
    <row r="33" spans="1:9" x14ac:dyDescent="0.25">
      <c r="A33" s="7"/>
      <c r="B33" s="5"/>
      <c r="C33" s="5"/>
      <c r="D33" s="6">
        <f>D28*1/5</f>
        <v>12</v>
      </c>
      <c r="E33" s="3" t="s">
        <v>2</v>
      </c>
      <c r="F33" s="3" t="s">
        <v>34</v>
      </c>
      <c r="G33" s="4">
        <v>0</v>
      </c>
      <c r="H33" s="4">
        <f t="shared" si="7"/>
        <v>0</v>
      </c>
      <c r="I33" s="3" t="s">
        <v>0</v>
      </c>
    </row>
    <row r="34" spans="1:9" s="20" customFormat="1" x14ac:dyDescent="0.25">
      <c r="A34" s="15" t="s">
        <v>4</v>
      </c>
      <c r="B34" s="16" t="s">
        <v>3</v>
      </c>
      <c r="C34" s="16" t="s">
        <v>40</v>
      </c>
      <c r="D34" s="17">
        <v>60</v>
      </c>
      <c r="E34" s="18" t="s">
        <v>2</v>
      </c>
      <c r="F34" s="18" t="s">
        <v>1</v>
      </c>
      <c r="G34" s="19"/>
      <c r="H34" s="19"/>
      <c r="I34" s="18"/>
    </row>
    <row r="35" spans="1:9" x14ac:dyDescent="0.25">
      <c r="A35" s="7"/>
      <c r="B35" s="5"/>
      <c r="C35" s="5"/>
      <c r="D35" s="6">
        <f>D34*1/5</f>
        <v>12</v>
      </c>
      <c r="E35" s="3" t="s">
        <v>2</v>
      </c>
      <c r="F35" s="3" t="s">
        <v>11</v>
      </c>
      <c r="G35" s="4">
        <v>0</v>
      </c>
      <c r="H35" s="4">
        <f t="shared" ref="H35:H36" si="8">D35*G35</f>
        <v>0</v>
      </c>
      <c r="I35" s="3" t="s">
        <v>0</v>
      </c>
    </row>
    <row r="36" spans="1:9" x14ac:dyDescent="0.25">
      <c r="A36" s="7"/>
      <c r="B36" s="5"/>
      <c r="C36" s="5"/>
      <c r="D36" s="6">
        <f>D34*1/5</f>
        <v>12</v>
      </c>
      <c r="E36" s="3" t="s">
        <v>2</v>
      </c>
      <c r="F36" s="3" t="s">
        <v>10</v>
      </c>
      <c r="G36" s="4">
        <v>0</v>
      </c>
      <c r="H36" s="4">
        <f t="shared" si="8"/>
        <v>0</v>
      </c>
      <c r="I36" s="3" t="s">
        <v>0</v>
      </c>
    </row>
    <row r="37" spans="1:9" x14ac:dyDescent="0.25">
      <c r="A37" s="7"/>
      <c r="B37" s="5"/>
      <c r="C37" s="5"/>
      <c r="D37" s="6">
        <f>D34*1/5</f>
        <v>12</v>
      </c>
      <c r="E37" s="3" t="s">
        <v>2</v>
      </c>
      <c r="F37" s="3" t="s">
        <v>8</v>
      </c>
      <c r="G37" s="4">
        <v>0</v>
      </c>
      <c r="H37" s="4">
        <f>D37*G37</f>
        <v>0</v>
      </c>
      <c r="I37" s="3" t="s">
        <v>0</v>
      </c>
    </row>
    <row r="38" spans="1:9" x14ac:dyDescent="0.25">
      <c r="A38" s="7"/>
      <c r="B38" s="5"/>
      <c r="C38" s="5"/>
      <c r="D38" s="6">
        <f>D34*1/5</f>
        <v>12</v>
      </c>
      <c r="E38" s="3" t="s">
        <v>2</v>
      </c>
      <c r="F38" s="3" t="s">
        <v>33</v>
      </c>
      <c r="G38" s="4">
        <v>0</v>
      </c>
      <c r="H38" s="4">
        <f t="shared" ref="H38:H39" si="9">D38*G38</f>
        <v>0</v>
      </c>
      <c r="I38" s="3" t="s">
        <v>0</v>
      </c>
    </row>
    <row r="39" spans="1:9" x14ac:dyDescent="0.25">
      <c r="A39" s="7"/>
      <c r="B39" s="5"/>
      <c r="C39" s="5"/>
      <c r="D39" s="6">
        <f>D34*1/5</f>
        <v>12</v>
      </c>
      <c r="E39" s="3" t="s">
        <v>2</v>
      </c>
      <c r="F39" s="3" t="s">
        <v>34</v>
      </c>
      <c r="G39" s="4">
        <v>0</v>
      </c>
      <c r="H39" s="4">
        <f t="shared" si="9"/>
        <v>0</v>
      </c>
      <c r="I39" s="3" t="s">
        <v>0</v>
      </c>
    </row>
    <row r="40" spans="1:9" ht="24.75" customHeight="1" x14ac:dyDescent="0.35">
      <c r="A40" s="21" t="s">
        <v>30</v>
      </c>
      <c r="B40" s="21"/>
      <c r="C40" s="21"/>
      <c r="D40" s="21"/>
      <c r="E40" s="21"/>
      <c r="F40" s="21"/>
      <c r="G40" s="21"/>
      <c r="H40" s="8">
        <f>SUM(H3:H39)</f>
        <v>0</v>
      </c>
      <c r="I40" s="9"/>
    </row>
    <row r="43" spans="1:9" ht="23.25" x14ac:dyDescent="0.25">
      <c r="A43" s="10" t="s">
        <v>32</v>
      </c>
      <c r="B43" s="11"/>
      <c r="C43" s="11"/>
      <c r="D43" s="11"/>
      <c r="E43" s="11"/>
      <c r="F43" s="11"/>
      <c r="G43" s="11"/>
    </row>
  </sheetData>
  <mergeCells count="1">
    <mergeCell ref="A40:G40"/>
  </mergeCells>
  <phoneticPr fontId="6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Negron, Jessica  DLA CIV ENERGY</dc:creator>
  <cp:lastModifiedBy>Negron, Jessica CIV DLA ENERGY (USA)</cp:lastModifiedBy>
  <dcterms:created xsi:type="dcterms:W3CDTF">2022-08-31T14:11:45Z</dcterms:created>
  <dcterms:modified xsi:type="dcterms:W3CDTF">2025-10-30T23:52:18Z</dcterms:modified>
</cp:coreProperties>
</file>