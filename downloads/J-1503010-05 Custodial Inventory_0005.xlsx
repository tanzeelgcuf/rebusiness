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NAEAJAXSFS101v.nadsusea.nads.navy.mil\CS007$\NAVFAC_JAXS_N69450_16AA\PWBL\PW\PW2-FMFS\02-FSC Project Management\Template_contracts\N6945025R000X Mayport BOS\02 For ACQ\Amendment 0004\"/>
    </mc:Choice>
  </mc:AlternateContent>
  <bookViews>
    <workbookView xWindow="-33015" yWindow="225" windowWidth="33120" windowHeight="17880"/>
  </bookViews>
  <sheets>
    <sheet name="Sheet1" sheetId="1" r:id="rId1"/>
  </sheets>
  <definedNames>
    <definedName name="_xlnm.Print_Area" localSheetId="0">Sheet1!$A$1:$J$53</definedName>
  </definedNames>
  <calcPr calcId="191028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  <c r="F8" i="1"/>
</calcChain>
</file>

<file path=xl/sharedStrings.xml><?xml version="1.0" encoding="utf-8"?>
<sst xmlns="http://schemas.openxmlformats.org/spreadsheetml/2006/main" count="113" uniqueCount="71">
  <si>
    <t>Attachment J-1503010-05 (MCSF-BI) </t>
  </si>
  <si>
    <t>Custodial Inventory </t>
  </si>
  <si>
    <r>
      <t>Facility Number</t>
    </r>
    <r>
      <rPr>
        <sz val="10"/>
        <rFont val="Times New Roman"/>
        <family val="1"/>
      </rPr>
      <t> </t>
    </r>
  </si>
  <si>
    <r>
      <t>Description</t>
    </r>
    <r>
      <rPr>
        <sz val="10"/>
        <rFont val="Times New Roman"/>
        <family val="1"/>
      </rPr>
      <t> </t>
    </r>
  </si>
  <si>
    <r>
      <t>Area (SF)</t>
    </r>
    <r>
      <rPr>
        <sz val="10"/>
        <rFont val="Times New Roman"/>
        <family val="1"/>
      </rPr>
      <t> </t>
    </r>
  </si>
  <si>
    <r>
      <t>Quantity</t>
    </r>
    <r>
      <rPr>
        <sz val="10"/>
        <rFont val="Times New Roman"/>
        <family val="1"/>
      </rPr>
      <t> </t>
    </r>
  </si>
  <si>
    <r>
      <t>Carpet</t>
    </r>
    <r>
      <rPr>
        <sz val="10"/>
        <rFont val="Times New Roman"/>
        <family val="1"/>
      </rPr>
      <t> </t>
    </r>
  </si>
  <si>
    <r>
      <t>Other</t>
    </r>
    <r>
      <rPr>
        <sz val="10"/>
        <rFont val="Times New Roman"/>
        <family val="1"/>
      </rPr>
      <t> </t>
    </r>
  </si>
  <si>
    <r>
      <t>Restroom</t>
    </r>
    <r>
      <rPr>
        <sz val="10"/>
        <rFont val="Times New Roman"/>
        <family val="1"/>
      </rPr>
      <t> </t>
    </r>
  </si>
  <si>
    <r>
      <t>Total</t>
    </r>
    <r>
      <rPr>
        <sz val="10"/>
        <rFont val="Times New Roman"/>
        <family val="1"/>
      </rPr>
      <t> </t>
    </r>
  </si>
  <si>
    <t>Restrooms</t>
  </si>
  <si>
    <r>
      <t>Stairwells</t>
    </r>
    <r>
      <rPr>
        <sz val="10"/>
        <rFont val="Times New Roman"/>
        <family val="1"/>
      </rPr>
      <t> </t>
    </r>
  </si>
  <si>
    <t>100 </t>
  </si>
  <si>
    <t>BIC HQ (1st Floor) </t>
  </si>
  <si>
    <t>4 </t>
  </si>
  <si>
    <t>1 </t>
  </si>
  <si>
    <t>BIC HQ (2nd Floor) </t>
  </si>
  <si>
    <t>BIC HQ (GYM, Mirrors)</t>
  </si>
  <si>
    <t>Sandwich Shop/Admin Office </t>
  </si>
  <si>
    <t>2 </t>
  </si>
  <si>
    <t>Security Lockers/Showers </t>
  </si>
  <si>
    <t>Police and EOC Building (1st floor)</t>
  </si>
  <si>
    <t>Police and EOC Building (2nd Floor)</t>
  </si>
  <si>
    <t>Police and EOC Building Breakroom (2nd floor)</t>
  </si>
  <si>
    <t>Police and EOC Building Lockers and showers (1st floor)</t>
  </si>
  <si>
    <t>Pass &amp; ID </t>
  </si>
  <si>
    <t>Guard Shack - Car Lane</t>
  </si>
  <si>
    <t>Guard Shack - Truck Lane </t>
  </si>
  <si>
    <t>Guard Shack - Back Gate </t>
  </si>
  <si>
    <t>Administrative Building (NCHB-11) </t>
  </si>
  <si>
    <t>3 </t>
  </si>
  <si>
    <t>S&amp;D Bldg </t>
  </si>
  <si>
    <t>Health, Safety and Environmental </t>
  </si>
  <si>
    <t>0 </t>
  </si>
  <si>
    <t>Navy Point </t>
  </si>
  <si>
    <t>Port OPS </t>
  </si>
  <si>
    <t>Vehicle Maintenance Building (NCHB-11) </t>
  </si>
  <si>
    <t>Maintenance Janitorial Office  </t>
  </si>
  <si>
    <t>Big Blue  </t>
  </si>
  <si>
    <t>Comm/Elect/Ops Support </t>
  </si>
  <si>
    <t>Battery Office </t>
  </si>
  <si>
    <t>Amphibious Wash Facility</t>
  </si>
  <si>
    <t>Corrosion Repair Facility </t>
  </si>
  <si>
    <t>6 </t>
  </si>
  <si>
    <t>Motor Pool Dispatch </t>
  </si>
  <si>
    <t>EAF </t>
  </si>
  <si>
    <t>Ordance Handling Team</t>
  </si>
  <si>
    <t>Ground Equip Maint Shop</t>
  </si>
  <si>
    <t>Equipment Support</t>
  </si>
  <si>
    <t>Warehouse (South Mezzanine) </t>
  </si>
  <si>
    <t>Warehouse (North Mezzanine) </t>
  </si>
  <si>
    <t>Warehouse Offices </t>
  </si>
  <si>
    <t>Hazardous Storage Facility </t>
  </si>
  <si>
    <t>Consolidated Warehouse </t>
  </si>
  <si>
    <t>DRMO Admin Facility</t>
  </si>
  <si>
    <t>Navy Warehouse </t>
  </si>
  <si>
    <t>Lighterage Restroom </t>
  </si>
  <si>
    <t>Toilet behind Clamshells </t>
  </si>
  <si>
    <t>Restroom at Obstacle Course </t>
  </si>
  <si>
    <t>810T</t>
  </si>
  <si>
    <t>Clamshell #4 (Restrooms) </t>
  </si>
  <si>
    <t>811T</t>
  </si>
  <si>
    <t>Clamshell #3 (Small Office) </t>
  </si>
  <si>
    <t>Weighing Facility </t>
  </si>
  <si>
    <t>TR001</t>
  </si>
  <si>
    <t>Admin Bldg at B-100 </t>
  </si>
  <si>
    <t>TR002</t>
  </si>
  <si>
    <t>NAVFAC Admin Area</t>
  </si>
  <si>
    <t>TR014</t>
  </si>
  <si>
    <t>Public Works 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</si>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</sst>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0D0D0D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1" fillId="0" borderId="3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1" fontId="0" fillId="0" borderId="0" xfId="0" applyNumberFormat="1" applyAlignment="1">
      <alignment horizontal="center" vertical="center"/>
    </xf>
    <xf numFmtId="3" fontId="5" fillId="0" borderId="0" xfId="0" applyNumberFormat="1" applyFont="1" applyFill="1"/>
    <xf numFmtId="0" fontId="5" fillId="0" borderId="0" xfId="0" applyFont="1" applyFill="1" applyAlignment="1">
      <alignment horizontal="right"/>
    </xf>
    <xf numFmtId="0" fontId="2" fillId="2" borderId="13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3" fontId="1" fillId="0" borderId="16" xfId="0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4"/>
  <sheetViews>
    <sheetView tabSelected="1" workbookViewId="0">
      <selection activeCell="G13" sqref="G13"/>
    </sheetView>
  </sheetViews>
  <sheetFormatPr defaultRowHeight="14.25"/>
  <cols>
    <col min="2" max="2" width="31.125" customWidth="1"/>
    <col min="7" max="7" width="9.125" customWidth="1"/>
    <col min="10" max="10" width="11.25" style="7" customWidth="1"/>
  </cols>
  <sheetData>
    <row r="1" spans="1:10">
      <c r="A1" s="26" t="s">
        <v>0</v>
      </c>
      <c r="B1" s="27"/>
      <c r="C1" s="27"/>
      <c r="D1" s="27"/>
      <c r="E1" s="27"/>
      <c r="F1" s="27"/>
      <c r="G1" s="27"/>
      <c r="H1" s="27"/>
    </row>
    <row r="2" spans="1:10">
      <c r="A2" s="28" t="s">
        <v>1</v>
      </c>
      <c r="B2" s="29"/>
      <c r="C2" s="29"/>
      <c r="D2" s="29"/>
      <c r="E2" s="29"/>
      <c r="F2" s="29"/>
      <c r="G2" s="29"/>
      <c r="H2" s="29"/>
    </row>
    <row r="3" spans="1:10" ht="15" thickBot="1">
      <c r="A3" s="28"/>
      <c r="B3" s="29"/>
      <c r="C3" s="29"/>
      <c r="D3" s="29"/>
      <c r="E3" s="29"/>
      <c r="F3" s="29"/>
      <c r="G3" s="29"/>
      <c r="H3" s="29"/>
    </row>
    <row r="4" spans="1:10" ht="15" thickBot="1">
      <c r="A4" s="30" t="s">
        <v>2</v>
      </c>
      <c r="B4" s="32" t="s">
        <v>3</v>
      </c>
      <c r="C4" s="34" t="s">
        <v>4</v>
      </c>
      <c r="D4" s="35"/>
      <c r="E4" s="35"/>
      <c r="F4" s="36"/>
      <c r="G4" s="34" t="s">
        <v>5</v>
      </c>
      <c r="H4" s="37"/>
    </row>
    <row r="5" spans="1:10" ht="15" thickBot="1">
      <c r="A5" s="31"/>
      <c r="B5" s="33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3" t="s">
        <v>11</v>
      </c>
    </row>
    <row r="6" spans="1:10" ht="15" thickBot="1">
      <c r="A6" s="14" t="s">
        <v>12</v>
      </c>
      <c r="B6" s="2" t="s">
        <v>13</v>
      </c>
      <c r="C6" s="8">
        <v>8806</v>
      </c>
      <c r="D6" s="8">
        <v>9460</v>
      </c>
      <c r="E6" s="8">
        <v>2269</v>
      </c>
      <c r="F6" s="8">
        <v>20535</v>
      </c>
      <c r="G6" s="3" t="s">
        <v>14</v>
      </c>
      <c r="H6" s="15" t="s">
        <v>15</v>
      </c>
      <c r="J6" s="10"/>
    </row>
    <row r="7" spans="1:10" ht="15" thickBot="1">
      <c r="A7" s="14" t="s">
        <v>12</v>
      </c>
      <c r="B7" s="2" t="s">
        <v>16</v>
      </c>
      <c r="C7" s="8">
        <v>20792</v>
      </c>
      <c r="D7" s="8">
        <v>1360</v>
      </c>
      <c r="E7" s="8">
        <v>508</v>
      </c>
      <c r="F7" s="8">
        <v>22660</v>
      </c>
      <c r="G7" s="3" t="s">
        <v>14</v>
      </c>
      <c r="H7" s="15" t="s">
        <v>15</v>
      </c>
    </row>
    <row r="8" spans="1:10" ht="15" thickBot="1">
      <c r="A8" s="14">
        <v>100</v>
      </c>
      <c r="B8" s="2" t="s">
        <v>17</v>
      </c>
      <c r="C8" s="8">
        <v>0</v>
      </c>
      <c r="D8" s="8">
        <v>818</v>
      </c>
      <c r="E8" s="8">
        <v>0</v>
      </c>
      <c r="F8" s="8">
        <f>SUM(C8:E8)</f>
        <v>818</v>
      </c>
      <c r="G8" s="3"/>
      <c r="H8" s="15"/>
    </row>
    <row r="9" spans="1:10" ht="15" thickBot="1">
      <c r="A9" s="14">
        <v>104</v>
      </c>
      <c r="B9" s="2" t="s">
        <v>18</v>
      </c>
      <c r="C9" s="8">
        <v>5641</v>
      </c>
      <c r="D9" s="8">
        <v>3632</v>
      </c>
      <c r="E9" s="8">
        <v>381</v>
      </c>
      <c r="F9" s="8">
        <v>9654</v>
      </c>
      <c r="G9" s="3" t="s">
        <v>19</v>
      </c>
      <c r="H9" s="15"/>
    </row>
    <row r="10" spans="1:10" ht="15" thickBot="1">
      <c r="A10" s="14">
        <v>104</v>
      </c>
      <c r="B10" s="2" t="s">
        <v>20</v>
      </c>
      <c r="C10" s="8">
        <v>0</v>
      </c>
      <c r="D10" s="8">
        <v>280</v>
      </c>
      <c r="E10" s="8">
        <v>63</v>
      </c>
      <c r="F10" s="8">
        <v>343</v>
      </c>
      <c r="G10" s="3"/>
      <c r="H10" s="15"/>
    </row>
    <row r="11" spans="1:10" ht="15" thickBot="1">
      <c r="A11" s="16">
        <v>109</v>
      </c>
      <c r="B11" s="2" t="s">
        <v>21</v>
      </c>
      <c r="C11" s="8">
        <v>4253</v>
      </c>
      <c r="D11" s="8">
        <v>1895</v>
      </c>
      <c r="E11" s="8">
        <v>260</v>
      </c>
      <c r="F11" s="8">
        <v>6408</v>
      </c>
      <c r="G11" s="3">
        <v>3</v>
      </c>
      <c r="H11" s="15">
        <v>2</v>
      </c>
    </row>
    <row r="12" spans="1:10" ht="15" thickBot="1">
      <c r="A12" s="16">
        <v>109</v>
      </c>
      <c r="B12" s="2" t="s">
        <v>22</v>
      </c>
      <c r="C12" s="8">
        <v>6780</v>
      </c>
      <c r="D12" s="8">
        <v>1895</v>
      </c>
      <c r="E12" s="8">
        <v>382</v>
      </c>
      <c r="F12" s="8">
        <v>9057</v>
      </c>
      <c r="G12" s="3">
        <v>2</v>
      </c>
      <c r="H12" s="15"/>
    </row>
    <row r="13" spans="1:10" ht="26.25" thickBot="1">
      <c r="A13" s="16">
        <v>109</v>
      </c>
      <c r="B13" s="2" t="s">
        <v>23</v>
      </c>
      <c r="C13" s="8">
        <v>0</v>
      </c>
      <c r="D13" s="8">
        <v>239</v>
      </c>
      <c r="E13" s="8">
        <v>0</v>
      </c>
      <c r="F13" s="8">
        <v>239</v>
      </c>
      <c r="G13" s="3"/>
      <c r="H13" s="15"/>
    </row>
    <row r="14" spans="1:10" ht="26.25" thickBot="1">
      <c r="A14" s="16">
        <v>109</v>
      </c>
      <c r="B14" s="2" t="s">
        <v>24</v>
      </c>
      <c r="C14" s="8">
        <v>0</v>
      </c>
      <c r="D14" s="8">
        <v>1281</v>
      </c>
      <c r="E14" s="8">
        <v>260</v>
      </c>
      <c r="F14" s="8">
        <v>1541</v>
      </c>
      <c r="G14" s="3">
        <v>2</v>
      </c>
      <c r="H14" s="15"/>
    </row>
    <row r="15" spans="1:10" ht="15" thickBot="1">
      <c r="A15" s="14">
        <v>110</v>
      </c>
      <c r="B15" s="2" t="s">
        <v>25</v>
      </c>
      <c r="C15" s="8">
        <v>0</v>
      </c>
      <c r="D15" s="8">
        <v>953</v>
      </c>
      <c r="E15" s="8">
        <v>136</v>
      </c>
      <c r="F15" s="8">
        <v>1089</v>
      </c>
      <c r="G15" s="3" t="s">
        <v>19</v>
      </c>
      <c r="H15" s="15"/>
    </row>
    <row r="16" spans="1:10" ht="15" thickBot="1">
      <c r="A16" s="14">
        <v>111</v>
      </c>
      <c r="B16" s="2" t="s">
        <v>26</v>
      </c>
      <c r="C16" s="8">
        <v>0</v>
      </c>
      <c r="D16" s="8">
        <v>204</v>
      </c>
      <c r="E16" s="8">
        <v>106</v>
      </c>
      <c r="F16" s="8">
        <v>310</v>
      </c>
      <c r="G16" s="3" t="s">
        <v>15</v>
      </c>
      <c r="H16" s="15"/>
    </row>
    <row r="17" spans="1:8" ht="15" thickBot="1">
      <c r="A17" s="14">
        <v>112</v>
      </c>
      <c r="B17" s="2" t="s">
        <v>27</v>
      </c>
      <c r="C17" s="8">
        <v>0</v>
      </c>
      <c r="D17" s="8">
        <v>204</v>
      </c>
      <c r="E17" s="8">
        <v>106</v>
      </c>
      <c r="F17" s="8">
        <v>310</v>
      </c>
      <c r="G17" s="3" t="s">
        <v>15</v>
      </c>
      <c r="H17" s="15"/>
    </row>
    <row r="18" spans="1:8" ht="15" thickBot="1">
      <c r="A18" s="14">
        <v>114</v>
      </c>
      <c r="B18" s="2" t="s">
        <v>28</v>
      </c>
      <c r="C18" s="8">
        <v>0</v>
      </c>
      <c r="D18" s="8">
        <v>204</v>
      </c>
      <c r="E18" s="8">
        <v>106</v>
      </c>
      <c r="F18" s="8">
        <v>310</v>
      </c>
      <c r="G18" s="3" t="s">
        <v>15</v>
      </c>
      <c r="H18" s="15"/>
    </row>
    <row r="19" spans="1:8" ht="15" thickBot="1">
      <c r="A19" s="14">
        <v>120</v>
      </c>
      <c r="B19" s="2" t="s">
        <v>29</v>
      </c>
      <c r="C19" s="8">
        <v>5424</v>
      </c>
      <c r="D19" s="8">
        <v>833</v>
      </c>
      <c r="E19" s="8">
        <v>945</v>
      </c>
      <c r="F19" s="8">
        <v>7202</v>
      </c>
      <c r="G19" s="3" t="s">
        <v>30</v>
      </c>
      <c r="H19" s="15"/>
    </row>
    <row r="20" spans="1:8" ht="15" thickBot="1">
      <c r="A20" s="14">
        <v>150</v>
      </c>
      <c r="B20" s="2" t="s">
        <v>31</v>
      </c>
      <c r="C20" s="8">
        <v>162</v>
      </c>
      <c r="D20" s="8">
        <v>860</v>
      </c>
      <c r="E20" s="8">
        <v>112</v>
      </c>
      <c r="F20" s="8">
        <v>1134</v>
      </c>
      <c r="G20" s="3" t="s">
        <v>19</v>
      </c>
      <c r="H20" s="15"/>
    </row>
    <row r="21" spans="1:8" ht="15" thickBot="1">
      <c r="A21" s="14">
        <v>151</v>
      </c>
      <c r="B21" s="2" t="s">
        <v>32</v>
      </c>
      <c r="C21" s="8">
        <v>476</v>
      </c>
      <c r="D21" s="8">
        <v>708</v>
      </c>
      <c r="E21" s="8">
        <v>144</v>
      </c>
      <c r="F21" s="8">
        <v>1328</v>
      </c>
      <c r="G21" s="3" t="s">
        <v>19</v>
      </c>
      <c r="H21" s="15" t="s">
        <v>33</v>
      </c>
    </row>
    <row r="22" spans="1:8" ht="15" thickBot="1">
      <c r="A22" s="14">
        <v>152</v>
      </c>
      <c r="B22" s="2" t="s">
        <v>34</v>
      </c>
      <c r="C22" s="8">
        <v>216</v>
      </c>
      <c r="D22" s="8">
        <v>1168</v>
      </c>
      <c r="E22" s="8">
        <v>96</v>
      </c>
      <c r="F22" s="8">
        <v>1480</v>
      </c>
      <c r="G22" s="3" t="s">
        <v>19</v>
      </c>
      <c r="H22" s="15"/>
    </row>
    <row r="23" spans="1:8" ht="15" thickBot="1">
      <c r="A23" s="14">
        <v>200</v>
      </c>
      <c r="B23" s="2" t="s">
        <v>35</v>
      </c>
      <c r="C23" s="8">
        <v>9054</v>
      </c>
      <c r="D23" s="8">
        <v>2348</v>
      </c>
      <c r="E23" s="8">
        <v>1400</v>
      </c>
      <c r="F23" s="8">
        <v>12802</v>
      </c>
      <c r="G23" s="3">
        <v>7</v>
      </c>
      <c r="H23" s="15" t="s">
        <v>19</v>
      </c>
    </row>
    <row r="24" spans="1:8" ht="15" thickBot="1">
      <c r="A24" s="14">
        <v>320</v>
      </c>
      <c r="B24" s="2" t="s">
        <v>36</v>
      </c>
      <c r="C24" s="8"/>
      <c r="D24" s="8">
        <v>367</v>
      </c>
      <c r="E24" s="8">
        <v>37</v>
      </c>
      <c r="F24" s="8">
        <v>404</v>
      </c>
      <c r="G24" s="3" t="s">
        <v>15</v>
      </c>
      <c r="H24" s="15" t="s">
        <v>14</v>
      </c>
    </row>
    <row r="25" spans="1:8" ht="15" thickBot="1">
      <c r="A25" s="14">
        <v>342</v>
      </c>
      <c r="B25" s="2" t="s">
        <v>37</v>
      </c>
      <c r="C25" s="8"/>
      <c r="D25" s="8">
        <v>274</v>
      </c>
      <c r="E25" s="8"/>
      <c r="F25" s="8">
        <v>274</v>
      </c>
      <c r="G25" s="3"/>
      <c r="H25" s="15"/>
    </row>
    <row r="26" spans="1:8" ht="15" thickBot="1">
      <c r="A26" s="14">
        <v>350</v>
      </c>
      <c r="B26" s="2" t="s">
        <v>38</v>
      </c>
      <c r="C26" s="8"/>
      <c r="D26" s="8">
        <v>17840</v>
      </c>
      <c r="E26" s="8">
        <v>1103</v>
      </c>
      <c r="F26" s="8">
        <v>18943</v>
      </c>
      <c r="G26" s="3" t="s">
        <v>14</v>
      </c>
      <c r="H26" s="15"/>
    </row>
    <row r="27" spans="1:8" ht="15" thickBot="1">
      <c r="A27" s="14">
        <v>351</v>
      </c>
      <c r="B27" s="2" t="s">
        <v>39</v>
      </c>
      <c r="C27" s="8">
        <v>538</v>
      </c>
      <c r="D27" s="8">
        <v>5363</v>
      </c>
      <c r="E27" s="8">
        <v>1418</v>
      </c>
      <c r="F27" s="8">
        <v>7319</v>
      </c>
      <c r="G27" s="3" t="s">
        <v>30</v>
      </c>
      <c r="H27" s="15"/>
    </row>
    <row r="28" spans="1:8" ht="15" thickBot="1">
      <c r="A28" s="14">
        <v>356</v>
      </c>
      <c r="B28" s="2" t="s">
        <v>40</v>
      </c>
      <c r="C28" s="8"/>
      <c r="D28" s="8">
        <v>171</v>
      </c>
      <c r="E28" s="8"/>
      <c r="F28" s="8">
        <v>171</v>
      </c>
      <c r="G28" s="3"/>
      <c r="H28" s="15" t="s">
        <v>19</v>
      </c>
    </row>
    <row r="29" spans="1:8" ht="15" thickBot="1">
      <c r="A29" s="14">
        <v>360</v>
      </c>
      <c r="B29" s="2" t="s">
        <v>41</v>
      </c>
      <c r="C29" s="8">
        <v>0</v>
      </c>
      <c r="D29" s="8">
        <v>218</v>
      </c>
      <c r="E29" s="8">
        <v>80</v>
      </c>
      <c r="F29" s="8">
        <v>298</v>
      </c>
      <c r="G29" s="3" t="s">
        <v>15</v>
      </c>
      <c r="H29" s="15"/>
    </row>
    <row r="30" spans="1:8" ht="15" thickBot="1">
      <c r="A30" s="14">
        <v>361</v>
      </c>
      <c r="B30" s="2" t="s">
        <v>42</v>
      </c>
      <c r="C30" s="8">
        <v>0</v>
      </c>
      <c r="D30" s="8">
        <v>1565</v>
      </c>
      <c r="E30" s="8">
        <v>940</v>
      </c>
      <c r="F30" s="8">
        <v>2505</v>
      </c>
      <c r="G30" s="3" t="s">
        <v>43</v>
      </c>
      <c r="H30" s="15" t="s">
        <v>33</v>
      </c>
    </row>
    <row r="31" spans="1:8" ht="15" thickBot="1">
      <c r="A31" s="14">
        <v>368</v>
      </c>
      <c r="B31" s="2" t="s">
        <v>44</v>
      </c>
      <c r="C31" s="8">
        <v>132</v>
      </c>
      <c r="D31" s="8">
        <v>1012</v>
      </c>
      <c r="E31" s="8">
        <v>153</v>
      </c>
      <c r="F31" s="8">
        <v>1297</v>
      </c>
      <c r="G31" s="3" t="s">
        <v>19</v>
      </c>
      <c r="H31" s="15" t="s">
        <v>19</v>
      </c>
    </row>
    <row r="32" spans="1:8" ht="15" thickBot="1">
      <c r="A32" s="14">
        <v>389</v>
      </c>
      <c r="B32" s="2" t="s">
        <v>45</v>
      </c>
      <c r="C32" s="8"/>
      <c r="D32" s="8"/>
      <c r="E32" s="8"/>
      <c r="F32" s="8">
        <v>400</v>
      </c>
      <c r="G32" s="3" t="s">
        <v>33</v>
      </c>
      <c r="H32" s="15" t="s">
        <v>33</v>
      </c>
    </row>
    <row r="33" spans="1:8" ht="15" thickBot="1">
      <c r="A33" s="14">
        <v>369</v>
      </c>
      <c r="B33" s="2" t="s">
        <v>46</v>
      </c>
      <c r="C33" s="8">
        <v>216</v>
      </c>
      <c r="D33" s="8">
        <v>1024</v>
      </c>
      <c r="E33" s="8">
        <v>272</v>
      </c>
      <c r="F33" s="8">
        <v>1512</v>
      </c>
      <c r="G33" s="3" t="s">
        <v>19</v>
      </c>
      <c r="H33" s="15"/>
    </row>
    <row r="34" spans="1:8" ht="15" thickBot="1">
      <c r="A34" s="14">
        <v>390</v>
      </c>
      <c r="B34" s="2" t="s">
        <v>47</v>
      </c>
      <c r="C34" s="8"/>
      <c r="D34" s="8">
        <v>1040</v>
      </c>
      <c r="E34" s="8">
        <v>306</v>
      </c>
      <c r="F34" s="8">
        <v>1346</v>
      </c>
      <c r="G34" s="3" t="s">
        <v>19</v>
      </c>
      <c r="H34" s="15"/>
    </row>
    <row r="35" spans="1:8" ht="15" thickBot="1">
      <c r="A35" s="14">
        <v>400</v>
      </c>
      <c r="B35" s="2" t="s">
        <v>48</v>
      </c>
      <c r="C35" s="8">
        <v>615</v>
      </c>
      <c r="D35" s="8">
        <v>352</v>
      </c>
      <c r="E35" s="8">
        <v>112</v>
      </c>
      <c r="F35" s="8">
        <v>1079</v>
      </c>
      <c r="G35" s="3" t="s">
        <v>19</v>
      </c>
      <c r="H35" s="15"/>
    </row>
    <row r="36" spans="1:8" ht="15" thickBot="1">
      <c r="A36" s="14">
        <v>450</v>
      </c>
      <c r="B36" s="2" t="s">
        <v>49</v>
      </c>
      <c r="C36" s="8">
        <v>6420</v>
      </c>
      <c r="D36" s="8">
        <v>3315</v>
      </c>
      <c r="E36" s="8">
        <v>261</v>
      </c>
      <c r="F36" s="8">
        <v>9996</v>
      </c>
      <c r="G36" s="3" t="s">
        <v>19</v>
      </c>
      <c r="H36" s="15"/>
    </row>
    <row r="37" spans="1:8" ht="15" thickBot="1">
      <c r="A37" s="14">
        <v>450</v>
      </c>
      <c r="B37" s="2" t="s">
        <v>50</v>
      </c>
      <c r="C37" s="8">
        <v>4966</v>
      </c>
      <c r="D37" s="8">
        <v>1292</v>
      </c>
      <c r="E37" s="8">
        <v>384</v>
      </c>
      <c r="F37" s="8">
        <v>6642</v>
      </c>
      <c r="G37" s="3" t="s">
        <v>19</v>
      </c>
      <c r="H37" s="15"/>
    </row>
    <row r="38" spans="1:8" ht="15" thickBot="1">
      <c r="A38" s="14">
        <v>450</v>
      </c>
      <c r="B38" s="2" t="s">
        <v>51</v>
      </c>
      <c r="C38" s="8">
        <v>4239</v>
      </c>
      <c r="D38" s="8">
        <v>3657</v>
      </c>
      <c r="E38" s="8">
        <v>1144</v>
      </c>
      <c r="F38" s="8">
        <v>9040</v>
      </c>
      <c r="G38" s="3" t="s">
        <v>14</v>
      </c>
      <c r="H38" s="15"/>
    </row>
    <row r="39" spans="1:8" ht="15" thickBot="1">
      <c r="A39" s="14">
        <v>451</v>
      </c>
      <c r="B39" s="2" t="s">
        <v>52</v>
      </c>
      <c r="C39" s="8">
        <v>1200</v>
      </c>
      <c r="D39" s="8"/>
      <c r="E39" s="8">
        <v>47</v>
      </c>
      <c r="F39" s="8">
        <v>1247</v>
      </c>
      <c r="G39" s="3" t="s">
        <v>15</v>
      </c>
      <c r="H39" s="15"/>
    </row>
    <row r="40" spans="1:8" ht="15" thickBot="1">
      <c r="A40" s="14">
        <v>454</v>
      </c>
      <c r="B40" s="2" t="s">
        <v>53</v>
      </c>
      <c r="C40" s="8">
        <v>1024</v>
      </c>
      <c r="D40" s="8">
        <v>0</v>
      </c>
      <c r="E40" s="8">
        <v>840</v>
      </c>
      <c r="F40" s="8">
        <v>1864</v>
      </c>
      <c r="G40" s="3" t="s">
        <v>19</v>
      </c>
      <c r="H40" s="15" t="s">
        <v>33</v>
      </c>
    </row>
    <row r="41" spans="1:8" ht="15" thickBot="1">
      <c r="A41" s="14">
        <v>457</v>
      </c>
      <c r="B41" s="2" t="s">
        <v>54</v>
      </c>
      <c r="C41" s="8"/>
      <c r="D41" s="8">
        <v>160</v>
      </c>
      <c r="E41" s="8">
        <v>23</v>
      </c>
      <c r="F41" s="8">
        <v>183</v>
      </c>
      <c r="G41" s="3" t="s">
        <v>15</v>
      </c>
      <c r="H41" s="15"/>
    </row>
    <row r="42" spans="1:8" ht="15" thickBot="1">
      <c r="A42" s="14">
        <v>550</v>
      </c>
      <c r="B42" s="2" t="s">
        <v>55</v>
      </c>
      <c r="C42" s="8">
        <v>1520</v>
      </c>
      <c r="D42" s="8">
        <v>1496</v>
      </c>
      <c r="E42" s="8">
        <v>130</v>
      </c>
      <c r="F42" s="8">
        <v>3146</v>
      </c>
      <c r="G42" s="3" t="s">
        <v>19</v>
      </c>
      <c r="H42" s="15"/>
    </row>
    <row r="43" spans="1:8" ht="15" thickBot="1">
      <c r="A43" s="14">
        <v>555</v>
      </c>
      <c r="B43" s="2" t="s">
        <v>56</v>
      </c>
      <c r="C43" s="8"/>
      <c r="D43" s="8"/>
      <c r="E43" s="8">
        <v>80</v>
      </c>
      <c r="F43" s="8">
        <v>80</v>
      </c>
      <c r="G43" s="3" t="s">
        <v>15</v>
      </c>
      <c r="H43" s="15"/>
    </row>
    <row r="44" spans="1:8" ht="15" thickBot="1">
      <c r="A44" s="14">
        <v>557</v>
      </c>
      <c r="B44" s="4" t="s">
        <v>57</v>
      </c>
      <c r="C44" s="8"/>
      <c r="D44" s="8"/>
      <c r="E44" s="8">
        <v>50</v>
      </c>
      <c r="F44" s="8">
        <v>50</v>
      </c>
      <c r="G44" s="3" t="s">
        <v>15</v>
      </c>
      <c r="H44" s="15"/>
    </row>
    <row r="45" spans="1:8" ht="15" thickBot="1">
      <c r="A45" s="14">
        <v>684</v>
      </c>
      <c r="B45" s="4" t="s">
        <v>58</v>
      </c>
      <c r="C45" s="8"/>
      <c r="D45" s="8"/>
      <c r="E45" s="8">
        <v>180</v>
      </c>
      <c r="F45" s="8">
        <v>180</v>
      </c>
      <c r="G45" s="3" t="s">
        <v>19</v>
      </c>
      <c r="H45" s="15"/>
    </row>
    <row r="46" spans="1:8" ht="15" thickBot="1">
      <c r="A46" s="14" t="s">
        <v>59</v>
      </c>
      <c r="B46" s="2" t="s">
        <v>60</v>
      </c>
      <c r="C46" s="8"/>
      <c r="D46" s="8"/>
      <c r="E46" s="8">
        <v>96</v>
      </c>
      <c r="F46" s="8">
        <v>96</v>
      </c>
      <c r="G46" s="3" t="s">
        <v>19</v>
      </c>
      <c r="H46" s="15"/>
    </row>
    <row r="47" spans="1:8">
      <c r="A47" s="22" t="s">
        <v>61</v>
      </c>
      <c r="B47" s="23" t="s">
        <v>62</v>
      </c>
      <c r="C47" s="8"/>
      <c r="D47" s="8">
        <v>486</v>
      </c>
      <c r="E47" s="8"/>
      <c r="F47" s="8">
        <v>486</v>
      </c>
      <c r="G47" s="24"/>
      <c r="H47" s="25"/>
    </row>
    <row r="48" spans="1:8" ht="15" thickBot="1">
      <c r="A48" s="14">
        <v>825</v>
      </c>
      <c r="B48" s="2" t="s">
        <v>63</v>
      </c>
      <c r="C48" s="8"/>
      <c r="D48" s="8">
        <v>711</v>
      </c>
      <c r="E48" s="8"/>
      <c r="F48" s="8">
        <v>711</v>
      </c>
      <c r="G48" s="3"/>
      <c r="H48" s="15"/>
    </row>
    <row r="49" spans="1:8" ht="15" thickBot="1">
      <c r="A49" s="14" t="s">
        <v>64</v>
      </c>
      <c r="B49" s="2" t="s">
        <v>65</v>
      </c>
      <c r="C49" s="8"/>
      <c r="D49" s="8"/>
      <c r="E49" s="8"/>
      <c r="F49" s="8" t="s">
        <v>33</v>
      </c>
      <c r="G49" s="3" t="s">
        <v>15</v>
      </c>
      <c r="H49" s="15"/>
    </row>
    <row r="50" spans="1:8" ht="15" thickBot="1">
      <c r="A50" s="14" t="s">
        <v>66</v>
      </c>
      <c r="B50" s="2" t="s">
        <v>65</v>
      </c>
      <c r="C50" s="8"/>
      <c r="D50" s="8"/>
      <c r="E50" s="8"/>
      <c r="F50" s="8" t="s">
        <v>33</v>
      </c>
      <c r="G50" s="3" t="s">
        <v>15</v>
      </c>
      <c r="H50" s="15"/>
    </row>
    <row r="51" spans="1:8" ht="15" thickBot="1">
      <c r="A51" s="14">
        <v>108</v>
      </c>
      <c r="B51" s="2" t="s">
        <v>67</v>
      </c>
      <c r="C51" s="8"/>
      <c r="D51" s="8">
        <v>1255</v>
      </c>
      <c r="E51" s="8"/>
      <c r="F51" s="8">
        <v>1255</v>
      </c>
      <c r="G51" s="3"/>
      <c r="H51" s="15"/>
    </row>
    <row r="52" spans="1:8" ht="15" thickBot="1">
      <c r="A52" s="17" t="s">
        <v>68</v>
      </c>
      <c r="B52" s="18" t="s">
        <v>69</v>
      </c>
      <c r="C52" s="19"/>
      <c r="D52" s="19">
        <v>662</v>
      </c>
      <c r="E52" s="19">
        <v>15</v>
      </c>
      <c r="F52" s="19">
        <v>677</v>
      </c>
      <c r="G52" s="20">
        <v>2</v>
      </c>
      <c r="H52" s="21"/>
    </row>
    <row r="53" spans="1:8" ht="15">
      <c r="A53" s="5"/>
      <c r="B53" s="5"/>
      <c r="C53" s="9"/>
      <c r="D53" s="9"/>
      <c r="E53" s="12" t="s">
        <v>70</v>
      </c>
      <c r="F53" s="11">
        <f>SUM(F6:F52)</f>
        <v>168421</v>
      </c>
      <c r="G53" s="5"/>
      <c r="H53" s="5"/>
    </row>
    <row r="54" spans="1:8" ht="15.75">
      <c r="A54" s="5"/>
      <c r="B54" s="6"/>
      <c r="C54" s="5"/>
      <c r="D54" s="5"/>
      <c r="E54" s="5"/>
      <c r="F54" s="5"/>
      <c r="G54" s="5"/>
      <c r="H54" s="5"/>
    </row>
  </sheetData>
  <mergeCells count="7">
    <mergeCell ref="A1:H1"/>
    <mergeCell ref="A2:H2"/>
    <mergeCell ref="A3:H3"/>
    <mergeCell ref="A4:A5"/>
    <mergeCell ref="B4:B5"/>
    <mergeCell ref="C4:F4"/>
    <mergeCell ref="G4:H4"/>
  </mergeCells>
  <pageMargins left="0.7" right="0.7" top="0.75" bottom="0.75" header="0.3" footer="0.3"/>
  <pageSetup scale="77" orientation="portrait" r:id="rId1"/>
  <headerFooter>
    <oddHeader>&amp;C&amp;"Aptos"&amp;14&amp;K0B0000 CUI&amp;1#_x000D_</oddHeader>
    <oddFooter>&amp;C_x000D_&amp;1#&amp;"Aptos"&amp;14&amp;K0B0000 CUI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2EBDBC77B5674F9115F8EFD036E158" ma:contentTypeVersion="4" ma:contentTypeDescription="Create a new document." ma:contentTypeScope="" ma:versionID="e2b31615f6ecaf1711cb569e5839d6ae">
  <xsd:schema xmlns:xsd="http://www.w3.org/2001/XMLSchema" xmlns:xs="http://www.w3.org/2001/XMLSchema" xmlns:p="http://schemas.microsoft.com/office/2006/metadata/properties" xmlns:ns2="ae2307eb-fb96-48fb-8824-f58ad3ba920b" targetNamespace="http://schemas.microsoft.com/office/2006/metadata/properties" ma:root="true" ma:fieldsID="60810d4ea1a6b50ab3d09c6acec43fd4" ns2:_="">
    <xsd:import namespace="ae2307eb-fb96-48fb-8824-f58ad3ba92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307eb-fb96-48fb-8824-f58ad3ba92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6E8A0C-6533-4C85-9308-FD2D5D57303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1BF8012-B5AA-4E42-8BBD-77EB3C492C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F5A25D-3F3E-42FC-B50D-544E0A02CA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2307eb-fb96-48fb-8824-f58ad3ba92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40e4756-20cb-4028-8aa7-0372e71bb7d5}" enabled="1" method="Standard" siteId="{f4c44cda-18c6-46b0-80f2-e290072444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Lavalier CIV Wayne L JR</dc:creator>
  <cp:keywords/>
  <dc:description/>
  <cp:lastModifiedBy>carlos.d.richardson1</cp:lastModifiedBy>
  <cp:revision/>
  <dcterms:created xsi:type="dcterms:W3CDTF">2025-10-07T11:18:59Z</dcterms:created>
  <dcterms:modified xsi:type="dcterms:W3CDTF">2025-10-14T12:46:46Z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0x010100132EBDBC77B5674F9115F8EFD036E158</vt:lpwstr>
  </property>
</Properties>
</file>