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C:\Users\1537486780A\Documents\AU Hallway\"/>
    </mc:Choice>
  </mc:AlternateContent>
  <xr:revisionPtr revIDLastSave="0" documentId="8_{6810E705-FF41-49DA-A55B-A2F9220613C5}" xr6:coauthVersionLast="47" xr6:coauthVersionMax="47" xr10:uidLastSave="{00000000-0000-0000-0000-000000000000}"/>
  <bookViews>
    <workbookView xWindow="57480" yWindow="90" windowWidth="29040" windowHeight="15510" xr2:uid="{00000000-000D-0000-FFFF-FFFF00000000}"/>
  </bookViews>
  <sheets>
    <sheet name="Total" sheetId="4" r:id="rId1"/>
    <sheet name="Equipment" sheetId="5" r:id="rId2"/>
    <sheet name="668 Renovation" sheetId="1" r:id="rId3"/>
  </sheets>
  <definedNames>
    <definedName name="ACwvu.sheet._.1." localSheetId="2" hidden="1">'668 Renovation'!#REF!</definedName>
    <definedName name="ACwvu.sheet._.1." localSheetId="1" hidden="1">Equipment!#REF!</definedName>
    <definedName name="ACwvu.sheet._.1." localSheetId="0" hidden="1">Total!#REF!</definedName>
    <definedName name="_xlnm.Print_Area" localSheetId="2">'668 Renovation'!$A$1:$I$259</definedName>
    <definedName name="_xlnm.Print_Area" localSheetId="1">Equipment!$A$1:$I$40</definedName>
    <definedName name="_xlnm.Print_Area" localSheetId="0">Total!$A$1:$J$33</definedName>
    <definedName name="_xlnm.Print_Titles" localSheetId="2">'668 Renovation'!$9:$11</definedName>
    <definedName name="_xlnm.Print_Titles" localSheetId="1">Equipment!$9:$11</definedName>
    <definedName name="_xlnm.Print_Titles" localSheetId="0">Total!$9:$11</definedName>
    <definedName name="Swvu.sheet._.1." localSheetId="2" hidden="1">'668 Renovation'!#REF!</definedName>
    <definedName name="Swvu.sheet._.1." localSheetId="1" hidden="1">Equipment!#REF!</definedName>
    <definedName name="Swvu.sheet._.1." localSheetId="0" hidden="1">Total!#REF!</definedName>
    <definedName name="wvu.sheet._.1." localSheetId="2" hidden="1">{TRUE,TRUE,-1.25,-15.5,484.5,301.5,FALSE,FALSE,TRUE,FALSE,0,1,#N/A,1,#N/A,11.6666666666667,27.6923076923077,1,FALSE,FALSE,3,TRUE,1,FALSE,58,"Swvu.sheet._.1.","ACwvu.sheet._.1.",1,FALSE,FALSE,0.3,0.1,0.2,0.2,2,"","",FALSE,FALSE,FALSE,FALSE,1,#N/A,1,1,"=R1C1:R40C12",FALSE,#N/A,#N/A,FALSE,FALSE}</definedName>
    <definedName name="wvu.sheet._.1." localSheetId="1" hidden="1">{TRUE,TRUE,-1.25,-15.5,484.5,301.5,FALSE,FALSE,TRUE,FALSE,0,1,#N/A,1,#N/A,11.6666666666667,27.6923076923077,1,FALSE,FALSE,3,TRUE,1,FALSE,58,"Swvu.sheet._.1.","ACwvu.sheet._.1.",1,FALSE,FALSE,0.3,0.1,0.2,0.2,2,"","",FALSE,FALSE,FALSE,FALSE,1,#N/A,1,1,"=R1C1:R40C12",FALSE,#N/A,#N/A,FALSE,FALSE}</definedName>
    <definedName name="wvu.sheet._.1." localSheetId="0" hidden="1">{TRUE,TRUE,-1.25,-15.5,484.5,301.5,FALSE,FALSE,TRUE,FALSE,0,1,#N/A,1,#N/A,11.6666666666667,27.6923076923077,1,FALSE,FALSE,3,TRUE,1,FALSE,58,"Swvu.sheet._.1.","ACwvu.sheet._.1.",1,FALSE,FALSE,0.3,0.1,0.2,0.2,2,"","",FALSE,FALSE,FALSE,FALSE,1,#N/A,1,1,"=R1C1:R40C12",FALSE,#N/A,#N/A,FALSE,FALSE}</definedName>
    <definedName name="Z_91167BC2_EB70_11D2_B9DC_00E02902C1C4_.wvu.PrintArea" localSheetId="2" hidden="1">'668 Renovation'!$A$1:$I$61</definedName>
    <definedName name="Z_91167BC2_EB70_11D2_B9DC_00E02902C1C4_.wvu.PrintArea" localSheetId="1" hidden="1">Equipment!$A$1:$I$12</definedName>
    <definedName name="Z_91167BC2_EB70_11D2_B9DC_00E02902C1C4_.wvu.PrintArea" localSheetId="0" hidden="1">Total!$A$1:$J$29</definedName>
    <definedName name="Z_A75EB062_EB74_11D2_B9DC_00E02902C1C4_.wvu.PrintArea" localSheetId="2" hidden="1">'668 Renovation'!$A$1:$I$61</definedName>
    <definedName name="Z_A75EB062_EB74_11D2_B9DC_00E02902C1C4_.wvu.PrintArea" localSheetId="1" hidden="1">Equipment!$A$1:$I$12</definedName>
    <definedName name="Z_A75EB062_EB74_11D2_B9DC_00E02902C1C4_.wvu.PrintArea" localSheetId="0" hidden="1">Total!$A$1:$J$29</definedName>
  </definedNames>
  <calcPr calcId="191029"/>
  <customWorkbookViews>
    <customWorkbookView name="summary (Summary sheet)" guid="{A75EB063-EB74-11D2-B9DC-00E02902C1C4}" maximized="1" xWindow="1" yWindow="1" windowWidth="797" windowHeight="432" activeSheetId="4"/>
    <customWorkbookView name="sheet 1 (page 1)" guid="{A75EB062-EB74-11D2-B9DC-00E02902C1C4}" maximized="1" xWindow="1" yWindow="1" windowWidth="797" windowHeight="468" activeSheetId="1"/>
    <customWorkbookView name="continuation sheet (page 3)" guid="{A75EB061-EB74-11D2-B9DC-00E02902C1C4}" maximized="1" xWindow="1" yWindow="1" windowWidth="797" windowHeight="468" activeSheetId="3"/>
    <customWorkbookView name="continuation sheet (page 2)" guid="{A75EB060-EB74-11D2-B9DC-00E02902C1C4}" maximized="1" xWindow="1" yWindow="1" windowWidth="797" windowHeight="46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5" l="1"/>
  <c r="G38" i="5"/>
  <c r="E38" i="5"/>
  <c r="G37" i="5"/>
  <c r="G36" i="5"/>
  <c r="E36" i="5"/>
  <c r="G35" i="5"/>
  <c r="G34" i="5"/>
  <c r="E34" i="5"/>
  <c r="G33" i="5"/>
  <c r="E33" i="5"/>
  <c r="G32" i="5"/>
  <c r="E32" i="5"/>
  <c r="G31" i="5"/>
  <c r="E31" i="5"/>
  <c r="I31" i="5" s="1"/>
  <c r="G30" i="5"/>
  <c r="E30" i="5"/>
  <c r="G28" i="5"/>
  <c r="G27" i="5"/>
  <c r="E27" i="5"/>
  <c r="G26" i="5"/>
  <c r="E26" i="5"/>
  <c r="G25" i="5"/>
  <c r="G24" i="5"/>
  <c r="G23" i="5"/>
  <c r="G22" i="5"/>
  <c r="E22" i="5"/>
  <c r="I22" i="5" s="1"/>
  <c r="G21" i="5"/>
  <c r="G20" i="5"/>
  <c r="G19" i="5"/>
  <c r="G18" i="5"/>
  <c r="E18" i="5"/>
  <c r="H17" i="5"/>
  <c r="I27" i="5" s="1"/>
  <c r="G16" i="5"/>
  <c r="E16" i="5"/>
  <c r="I16" i="5" s="1"/>
  <c r="G15" i="5"/>
  <c r="E17" i="5" l="1"/>
  <c r="I19" i="5" s="1"/>
  <c r="I20" i="5" s="1"/>
  <c r="I21" i="5" s="1"/>
  <c r="I26" i="5"/>
  <c r="G17" i="5"/>
  <c r="I23" i="5" s="1"/>
  <c r="I24" i="5" s="1"/>
  <c r="I25" i="5" s="1"/>
  <c r="I15" i="5"/>
  <c r="I18" i="5"/>
  <c r="I17" i="5" l="1"/>
  <c r="I28" i="5"/>
  <c r="I30" i="5" s="1"/>
  <c r="I32" i="5" s="1"/>
  <c r="I33" i="5" s="1"/>
  <c r="I34" i="5" l="1"/>
  <c r="I35" i="5" s="1"/>
  <c r="I37" i="5" s="1"/>
  <c r="I36" i="5" l="1"/>
  <c r="I38" i="5" s="1"/>
  <c r="I39" i="5" l="1"/>
  <c r="I40" i="5" s="1"/>
  <c r="F6" i="5" l="1"/>
  <c r="J14" i="4"/>
  <c r="G206" i="1"/>
  <c r="I206" i="1" s="1"/>
  <c r="I140" i="1" l="1"/>
  <c r="I125" i="1"/>
  <c r="G15" i="1" l="1"/>
  <c r="E15" i="1"/>
  <c r="I15" i="1" s="1"/>
  <c r="G14" i="1"/>
  <c r="E14" i="1"/>
  <c r="I14" i="1" s="1"/>
  <c r="G13" i="1"/>
  <c r="E13" i="1"/>
  <c r="I13" i="1" s="1"/>
  <c r="G199" i="1"/>
  <c r="G200" i="1"/>
  <c r="G201" i="1"/>
  <c r="G202" i="1"/>
  <c r="G203" i="1"/>
  <c r="G204" i="1"/>
  <c r="G205" i="1"/>
  <c r="G207" i="1"/>
  <c r="G208" i="1"/>
  <c r="G209" i="1"/>
  <c r="G210" i="1"/>
  <c r="G211" i="1"/>
  <c r="G212" i="1"/>
  <c r="G213" i="1"/>
  <c r="G214" i="1"/>
  <c r="G184" i="1"/>
  <c r="I184" i="1" s="1"/>
  <c r="G185" i="1"/>
  <c r="G186" i="1"/>
  <c r="G187" i="1"/>
  <c r="I187" i="1" s="1"/>
  <c r="G188" i="1"/>
  <c r="G189" i="1"/>
  <c r="G190" i="1"/>
  <c r="G191" i="1"/>
  <c r="G192" i="1"/>
  <c r="G193" i="1"/>
  <c r="G194" i="1"/>
  <c r="G195" i="1"/>
  <c r="G196" i="1"/>
  <c r="G197" i="1"/>
  <c r="G198" i="1"/>
  <c r="G176" i="1"/>
  <c r="G177" i="1"/>
  <c r="G178" i="1"/>
  <c r="G179" i="1"/>
  <c r="G180" i="1"/>
  <c r="G181" i="1"/>
  <c r="G182" i="1"/>
  <c r="I182" i="1" s="1"/>
  <c r="G183" i="1"/>
  <c r="G215" i="1"/>
  <c r="G216" i="1"/>
  <c r="G217" i="1"/>
  <c r="G218" i="1"/>
  <c r="G221" i="1"/>
  <c r="G222" i="1"/>
  <c r="G223" i="1"/>
  <c r="I223" i="1" s="1"/>
  <c r="G224" i="1"/>
  <c r="G225" i="1"/>
  <c r="I225" i="1"/>
  <c r="G226" i="1"/>
  <c r="G227" i="1"/>
  <c r="G228" i="1"/>
  <c r="G229" i="1"/>
  <c r="G230" i="1"/>
  <c r="G231" i="1"/>
  <c r="G233" i="1"/>
  <c r="G166" i="1"/>
  <c r="G167" i="1"/>
  <c r="G169" i="1"/>
  <c r="G170" i="1"/>
  <c r="G171" i="1"/>
  <c r="G172" i="1"/>
  <c r="I172" i="1"/>
  <c r="G173" i="1"/>
  <c r="I173" i="1"/>
  <c r="G174" i="1"/>
  <c r="G175" i="1"/>
  <c r="G149" i="1"/>
  <c r="I149" i="1" s="1"/>
  <c r="G150" i="1"/>
  <c r="G151" i="1"/>
  <c r="G152" i="1"/>
  <c r="G153" i="1"/>
  <c r="G154" i="1"/>
  <c r="G148" i="1"/>
  <c r="I148" i="1" s="1"/>
  <c r="G155" i="1"/>
  <c r="G156" i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57" i="1"/>
  <c r="G158" i="1"/>
  <c r="G159" i="1"/>
  <c r="G160" i="1"/>
  <c r="G161" i="1"/>
  <c r="G162" i="1"/>
  <c r="I159" i="1" l="1"/>
  <c r="I197" i="1"/>
  <c r="I222" i="1"/>
  <c r="I215" i="1"/>
  <c r="I200" i="1"/>
  <c r="I210" i="1"/>
  <c r="I208" i="1"/>
  <c r="I212" i="1"/>
  <c r="I217" i="1"/>
  <c r="I204" i="1"/>
  <c r="I161" i="1"/>
  <c r="I171" i="1"/>
  <c r="I194" i="1"/>
  <c r="I188" i="1"/>
  <c r="I214" i="1"/>
  <c r="I195" i="1"/>
  <c r="I193" i="1"/>
  <c r="I190" i="1"/>
  <c r="I224" i="1"/>
  <c r="I203" i="1"/>
  <c r="I167" i="1"/>
  <c r="I166" i="1"/>
  <c r="I230" i="1"/>
  <c r="I179" i="1"/>
  <c r="I196" i="1"/>
  <c r="I154" i="1"/>
  <c r="I153" i="1"/>
  <c r="I192" i="1"/>
  <c r="I152" i="1"/>
  <c r="I191" i="1"/>
  <c r="I178" i="1"/>
  <c r="I205" i="1"/>
  <c r="I186" i="1"/>
  <c r="I218" i="1"/>
  <c r="I185" i="1"/>
  <c r="I175" i="1"/>
  <c r="I174" i="1"/>
  <c r="I228" i="1"/>
  <c r="I227" i="1"/>
  <c r="I216" i="1"/>
  <c r="I207" i="1"/>
  <c r="I213" i="1"/>
  <c r="I233" i="1"/>
  <c r="I229" i="1"/>
  <c r="I169" i="1"/>
  <c r="I221" i="1"/>
  <c r="I211" i="1"/>
  <c r="I209" i="1"/>
  <c r="I202" i="1"/>
  <c r="I198" i="1"/>
  <c r="I201" i="1"/>
  <c r="I183" i="1"/>
  <c r="I189" i="1"/>
  <c r="I199" i="1"/>
  <c r="I181" i="1"/>
  <c r="I231" i="1"/>
  <c r="I226" i="1"/>
  <c r="I158" i="1"/>
  <c r="I176" i="1"/>
  <c r="I180" i="1"/>
  <c r="I177" i="1"/>
  <c r="I170" i="1"/>
  <c r="I168" i="1"/>
  <c r="I157" i="1"/>
  <c r="I150" i="1"/>
  <c r="I156" i="1"/>
  <c r="I162" i="1"/>
  <c r="I160" i="1"/>
  <c r="I155" i="1"/>
  <c r="I151" i="1"/>
  <c r="G126" i="1"/>
  <c r="I126" i="1" s="1"/>
  <c r="G127" i="1"/>
  <c r="G128" i="1"/>
  <c r="G129" i="1"/>
  <c r="G130" i="1"/>
  <c r="G131" i="1"/>
  <c r="I131" i="1" s="1"/>
  <c r="G132" i="1"/>
  <c r="G133" i="1"/>
  <c r="G134" i="1"/>
  <c r="G135" i="1"/>
  <c r="G136" i="1"/>
  <c r="G137" i="1"/>
  <c r="G138" i="1"/>
  <c r="G139" i="1"/>
  <c r="G163" i="1"/>
  <c r="G164" i="1"/>
  <c r="I164" i="1"/>
  <c r="I130" i="1" l="1"/>
  <c r="I129" i="1"/>
  <c r="I128" i="1"/>
  <c r="I139" i="1"/>
  <c r="I127" i="1"/>
  <c r="I138" i="1"/>
  <c r="I137" i="1"/>
  <c r="I136" i="1"/>
  <c r="I135" i="1"/>
  <c r="I134" i="1"/>
  <c r="I133" i="1"/>
  <c r="I132" i="1"/>
  <c r="I163" i="1"/>
  <c r="G112" i="1"/>
  <c r="G48" i="1"/>
  <c r="I48" i="1"/>
  <c r="G115" i="1"/>
  <c r="G116" i="1"/>
  <c r="G114" i="1"/>
  <c r="G117" i="1"/>
  <c r="G118" i="1"/>
  <c r="G119" i="1"/>
  <c r="G120" i="1"/>
  <c r="G103" i="1"/>
  <c r="G104" i="1"/>
  <c r="G105" i="1"/>
  <c r="G106" i="1"/>
  <c r="G107" i="1"/>
  <c r="G108" i="1"/>
  <c r="G109" i="1"/>
  <c r="G110" i="1"/>
  <c r="G111" i="1"/>
  <c r="G52" i="1"/>
  <c r="G53" i="1"/>
  <c r="G54" i="1"/>
  <c r="I16" i="1"/>
  <c r="G55" i="1"/>
  <c r="G56" i="1"/>
  <c r="G57" i="1"/>
  <c r="G58" i="1"/>
  <c r="G59" i="1"/>
  <c r="G60" i="1"/>
  <c r="G61" i="1"/>
  <c r="G66" i="1"/>
  <c r="G67" i="1"/>
  <c r="G65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6" i="1"/>
  <c r="G97" i="1"/>
  <c r="G98" i="1"/>
  <c r="G99" i="1"/>
  <c r="G100" i="1"/>
  <c r="I116" i="1" l="1"/>
  <c r="I77" i="1"/>
  <c r="I112" i="1"/>
  <c r="I117" i="1"/>
  <c r="I115" i="1"/>
  <c r="I120" i="1"/>
  <c r="I108" i="1"/>
  <c r="I105" i="1"/>
  <c r="I104" i="1"/>
  <c r="I118" i="1"/>
  <c r="I119" i="1"/>
  <c r="I114" i="1"/>
  <c r="I54" i="1"/>
  <c r="I111" i="1"/>
  <c r="I109" i="1"/>
  <c r="I107" i="1"/>
  <c r="I74" i="1"/>
  <c r="I106" i="1"/>
  <c r="I103" i="1"/>
  <c r="I110" i="1"/>
  <c r="I53" i="1"/>
  <c r="I52" i="1"/>
  <c r="I58" i="1"/>
  <c r="I55" i="1"/>
  <c r="I69" i="1"/>
  <c r="I56" i="1"/>
  <c r="I60" i="1"/>
  <c r="I59" i="1"/>
  <c r="I61" i="1"/>
  <c r="I57" i="1"/>
  <c r="I73" i="1"/>
  <c r="I70" i="1"/>
  <c r="I83" i="1"/>
  <c r="I91" i="1"/>
  <c r="I84" i="1"/>
  <c r="I79" i="1"/>
  <c r="I75" i="1"/>
  <c r="I85" i="1"/>
  <c r="I88" i="1"/>
  <c r="I82" i="1"/>
  <c r="I68" i="1"/>
  <c r="I92" i="1"/>
  <c r="I89" i="1"/>
  <c r="I90" i="1"/>
  <c r="I87" i="1"/>
  <c r="I80" i="1"/>
  <c r="I81" i="1"/>
  <c r="I72" i="1"/>
  <c r="I76" i="1"/>
  <c r="I78" i="1"/>
  <c r="I86" i="1"/>
  <c r="I67" i="1"/>
  <c r="I66" i="1"/>
  <c r="I71" i="1"/>
  <c r="I97" i="1"/>
  <c r="I99" i="1"/>
  <c r="I100" i="1"/>
  <c r="I96" i="1"/>
  <c r="I98" i="1"/>
  <c r="G43" i="1"/>
  <c r="G39" i="1"/>
  <c r="G45" i="1"/>
  <c r="G46" i="1"/>
  <c r="G49" i="1"/>
  <c r="E20" i="1"/>
  <c r="G20" i="1"/>
  <c r="E21" i="1"/>
  <c r="G21" i="1"/>
  <c r="E22" i="1"/>
  <c r="G22" i="1"/>
  <c r="G36" i="1"/>
  <c r="E19" i="1"/>
  <c r="G19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G35" i="1"/>
  <c r="G38" i="1"/>
  <c r="G40" i="1"/>
  <c r="G41" i="1"/>
  <c r="G42" i="1"/>
  <c r="G44" i="1"/>
  <c r="G47" i="1"/>
  <c r="E25" i="1"/>
  <c r="G25" i="1"/>
  <c r="E24" i="1"/>
  <c r="G24" i="1"/>
  <c r="E17" i="1"/>
  <c r="G17" i="1"/>
  <c r="I47" i="1" l="1"/>
  <c r="I27" i="1"/>
  <c r="I22" i="1"/>
  <c r="I39" i="1"/>
  <c r="I24" i="1"/>
  <c r="I29" i="1"/>
  <c r="I43" i="1"/>
  <c r="I45" i="1"/>
  <c r="I33" i="1"/>
  <c r="I38" i="1"/>
  <c r="I46" i="1"/>
  <c r="I49" i="1"/>
  <c r="I42" i="1"/>
  <c r="I21" i="1"/>
  <c r="I20" i="1"/>
  <c r="I36" i="1"/>
  <c r="I19" i="1"/>
  <c r="I41" i="1"/>
  <c r="I30" i="1"/>
  <c r="I40" i="1"/>
  <c r="I35" i="1"/>
  <c r="I34" i="1"/>
  <c r="I28" i="1"/>
  <c r="I32" i="1"/>
  <c r="I31" i="1"/>
  <c r="I44" i="1"/>
  <c r="I17" i="1"/>
  <c r="I25" i="1"/>
  <c r="G93" i="1" l="1"/>
  <c r="I93" i="1" l="1"/>
  <c r="I65" i="1"/>
  <c r="G63" i="1"/>
  <c r="I63" i="1" l="1"/>
  <c r="G50" i="1" l="1"/>
  <c r="G51" i="1"/>
  <c r="G62" i="1"/>
  <c r="G94" i="1"/>
  <c r="I94" i="1"/>
  <c r="E18" i="1"/>
  <c r="G18" i="1"/>
  <c r="I62" i="1" l="1"/>
  <c r="I51" i="1"/>
  <c r="I50" i="1"/>
  <c r="I18" i="1"/>
  <c r="G95" i="1" l="1"/>
  <c r="I95" i="1" l="1"/>
  <c r="G121" i="1"/>
  <c r="I121" i="1" s="1"/>
  <c r="G122" i="1"/>
  <c r="I122" i="1" s="1"/>
  <c r="G123" i="1"/>
  <c r="I123" i="1" s="1"/>
  <c r="G124" i="1"/>
  <c r="I124" i="1" s="1"/>
  <c r="H235" i="1" l="1"/>
  <c r="I245" i="1" s="1"/>
  <c r="G256" i="1"/>
  <c r="E256" i="1"/>
  <c r="G255" i="1"/>
  <c r="G253" i="1"/>
  <c r="E234" i="1"/>
  <c r="G234" i="1"/>
  <c r="E248" i="1"/>
  <c r="G248" i="1"/>
  <c r="G243" i="1"/>
  <c r="E240" i="1"/>
  <c r="G240" i="1"/>
  <c r="E250" i="1"/>
  <c r="G250" i="1"/>
  <c r="E249" i="1"/>
  <c r="G249" i="1"/>
  <c r="E245" i="1"/>
  <c r="G245" i="1"/>
  <c r="E244" i="1"/>
  <c r="G244" i="1"/>
  <c r="G242" i="1"/>
  <c r="G241" i="1"/>
  <c r="G239" i="1"/>
  <c r="G246" i="1"/>
  <c r="G238" i="1"/>
  <c r="E251" i="1"/>
  <c r="G251" i="1"/>
  <c r="G236" i="1"/>
  <c r="G237" i="1"/>
  <c r="G252" i="1"/>
  <c r="G254" i="1"/>
  <c r="E236" i="1"/>
  <c r="E252" i="1"/>
  <c r="E254" i="1"/>
  <c r="G258" i="1"/>
  <c r="I236" i="1" l="1"/>
  <c r="I240" i="1"/>
  <c r="I249" i="1"/>
  <c r="E235" i="1"/>
  <c r="I237" i="1" s="1"/>
  <c r="I238" i="1" s="1"/>
  <c r="I239" i="1" s="1"/>
  <c r="I244" i="1"/>
  <c r="I234" i="1"/>
  <c r="G235" i="1"/>
  <c r="I241" i="1" s="1"/>
  <c r="I235" i="1" l="1"/>
  <c r="I242" i="1"/>
  <c r="I243" i="1" s="1"/>
  <c r="I246" i="1" s="1"/>
  <c r="I248" i="1" s="1"/>
  <c r="I250" i="1" l="1"/>
  <c r="I251" i="1" s="1"/>
  <c r="I252" i="1" l="1"/>
  <c r="I254" i="1" s="1"/>
  <c r="I253" i="1" l="1"/>
  <c r="I255" i="1" s="1"/>
  <c r="I256" i="1" s="1"/>
  <c r="I257" i="1" l="1"/>
  <c r="I258" i="1" s="1"/>
  <c r="J15" i="4"/>
  <c r="J21" i="4" s="1"/>
  <c r="G6" i="4" s="1"/>
  <c r="F6" i="1"/>
</calcChain>
</file>

<file path=xl/sharedStrings.xml><?xml version="1.0" encoding="utf-8"?>
<sst xmlns="http://schemas.openxmlformats.org/spreadsheetml/2006/main" count="616" uniqueCount="276">
  <si>
    <t xml:space="preserve">    CONSTRUCTION COST ESTIMATE BREAKDOWN</t>
  </si>
  <si>
    <t xml:space="preserve"> </t>
  </si>
  <si>
    <t>UNIT</t>
  </si>
  <si>
    <t xml:space="preserve">        LABOR RATES</t>
  </si>
  <si>
    <t>TOTAL</t>
  </si>
  <si>
    <t>Material Costs</t>
  </si>
  <si>
    <t>TOTAL MATERIAL COST</t>
  </si>
  <si>
    <t>TOTAL LABOR COST</t>
  </si>
  <si>
    <t>Labor Cost</t>
  </si>
  <si>
    <t>Total Other Direct Costs</t>
  </si>
  <si>
    <t>Total Material, Labor, Tax &amp; Insurance</t>
  </si>
  <si>
    <t xml:space="preserve">Subtotal </t>
  </si>
  <si>
    <t xml:space="preserve">           Tax on Materials</t>
  </si>
  <si>
    <t>TOTAL DIRECT COSTS</t>
  </si>
  <si>
    <t>Overhead</t>
  </si>
  <si>
    <t>Profit</t>
  </si>
  <si>
    <t>Sub Total</t>
  </si>
  <si>
    <t xml:space="preserve">Bonds </t>
  </si>
  <si>
    <t>DIVISION 1 (General Requirements)</t>
  </si>
  <si>
    <t>DIVISION 2 (Site Work)</t>
  </si>
  <si>
    <t>DIVISION 4 (MASONRY)</t>
  </si>
  <si>
    <t>DIVISION 6 (WOOD AND PLASTICS)</t>
  </si>
  <si>
    <t>DIVISION 5 (METAL)</t>
  </si>
  <si>
    <t>DIVISION 8 (DOORS AND WINDOWS)</t>
  </si>
  <si>
    <t>DIVISION 9 (FINISHES)</t>
  </si>
  <si>
    <t>DIVISION 10  (SPECIALTIES)</t>
  </si>
  <si>
    <t>DIVISION 13 (SPECIAL CONSTRUCTION)</t>
  </si>
  <si>
    <t>DIVISION 7 (THERMAL AND MOISTURE PROTECTION)</t>
  </si>
  <si>
    <t>DIVISION 11 (EQUIPMENT)</t>
  </si>
  <si>
    <t>DIVISION 12 (FURNISHINGS)</t>
  </si>
  <si>
    <t>DIVISION 14 (CONVEYING SYSTEMS)</t>
  </si>
  <si>
    <t>DIVISION 15 (MECHANICAL)</t>
  </si>
  <si>
    <t>DIVISION 16 (ELECTRICAL/FIRE SYSTEM/COMMUNICATIONS)</t>
  </si>
  <si>
    <t xml:space="preserve"> AVERAGE</t>
  </si>
  <si>
    <t xml:space="preserve"> RATE</t>
  </si>
  <si>
    <t>OTHER</t>
  </si>
  <si>
    <t>DIRECT</t>
  </si>
  <si>
    <t>COSTS</t>
  </si>
  <si>
    <t>LINE</t>
  </si>
  <si>
    <t>ITEM</t>
  </si>
  <si>
    <t>PROJECT NUMBER/WORK ORDER</t>
  </si>
  <si>
    <t>CONTRACT FOR (Work to be performed)</t>
  </si>
  <si>
    <t>CONTRACTOR</t>
  </si>
  <si>
    <t>WORK LOCATION</t>
  </si>
  <si>
    <t>ADDRESS</t>
  </si>
  <si>
    <t>DATE</t>
  </si>
  <si>
    <t>Signature: ______________________________________</t>
  </si>
  <si>
    <t>LF</t>
  </si>
  <si>
    <t>400 Cannon Street Maxwell Air Force Base Alabama</t>
  </si>
  <si>
    <t>PROPOSED TOTAL CONTRACT PRICE</t>
  </si>
  <si>
    <t>LOCATION (Work to be performed)</t>
  </si>
  <si>
    <t>QUANTITY</t>
  </si>
  <si>
    <t>UNIT OF MEASURE</t>
  </si>
  <si>
    <t xml:space="preserve"> MATERIAL/EQUIP. COSTS</t>
  </si>
  <si>
    <t>Maxwell AFB</t>
  </si>
  <si>
    <t>SF</t>
  </si>
  <si>
    <t>Insurance &amp; Tax on Labor</t>
  </si>
  <si>
    <t>Prime and Paint Walls (2 Coats)</t>
  </si>
  <si>
    <t>EA</t>
  </si>
  <si>
    <t>Grand Total</t>
  </si>
  <si>
    <t>Seal Up Window</t>
  </si>
  <si>
    <t>Building 668</t>
  </si>
  <si>
    <t>Demo Asphalt Paving</t>
  </si>
  <si>
    <t>SQFT</t>
  </si>
  <si>
    <t>Remove Crepe Myrtles</t>
  </si>
  <si>
    <t>Remove 36" Pine</t>
  </si>
  <si>
    <t>DIVISION 3   (CONCRETE)</t>
  </si>
  <si>
    <t>Dumpster</t>
  </si>
  <si>
    <t>Mo</t>
  </si>
  <si>
    <t>Building Elements Demolition
Demo Sidewalk</t>
  </si>
  <si>
    <t>Demo Entry Vestibule</t>
  </si>
  <si>
    <t>Demo Entry Steps</t>
  </si>
  <si>
    <t>Demo Slab</t>
  </si>
  <si>
    <t>Remove Bollards</t>
  </si>
  <si>
    <t>In Fill Trench</t>
  </si>
  <si>
    <t>Demo Concrete Topping at Dock</t>
  </si>
  <si>
    <t>Pedestrian Concrete Paving</t>
  </si>
  <si>
    <t>Concrete Stoop and Switchback Ramp</t>
  </si>
  <si>
    <t>Structural concrete, in place, equipment pad (3000 psi), 4' x 4' x 6", includes forms(4 uses), Grade 60 rebar, concrete (Portland cement Type I), placing and finishing</t>
  </si>
  <si>
    <t>Curb and Gutter</t>
  </si>
  <si>
    <t>Exterior CMU Wall</t>
  </si>
  <si>
    <t>Infill Exterior Wall</t>
  </si>
  <si>
    <t>8" Storm Drain</t>
  </si>
  <si>
    <t>6" Storm Drain</t>
  </si>
  <si>
    <t>10" Storm Drain</t>
  </si>
  <si>
    <t>Gutters</t>
  </si>
  <si>
    <t>Down Spout</t>
  </si>
  <si>
    <t>Demo Railing</t>
  </si>
  <si>
    <t>FT</t>
  </si>
  <si>
    <t>Ramp Railing</t>
  </si>
  <si>
    <t>New Metal Roof</t>
  </si>
  <si>
    <t>New Canopy</t>
  </si>
  <si>
    <t>Demo Exterior Wall</t>
  </si>
  <si>
    <t>Demo Bus Canopy</t>
  </si>
  <si>
    <t>Demo Flooring</t>
  </si>
  <si>
    <t>Demo Wainscot to wall</t>
  </si>
  <si>
    <t>Seal Concrete Floor</t>
  </si>
  <si>
    <t>Kitchen Area Flooring</t>
  </si>
  <si>
    <t>Porcelain Tile Flooring</t>
  </si>
  <si>
    <t>Window A Blast Resistant</t>
  </si>
  <si>
    <t>Window B Blast Resistant</t>
  </si>
  <si>
    <t>Window C Blast Resistant</t>
  </si>
  <si>
    <t>Window D Blast Resistant</t>
  </si>
  <si>
    <t>Window D1 Blast Resistant</t>
  </si>
  <si>
    <t>Window E Blast Resistant</t>
  </si>
  <si>
    <t>Window F Blast Resistant</t>
  </si>
  <si>
    <t>Hollow Metal Door 3070 (w Frame &amp; Hardware)</t>
  </si>
  <si>
    <t>Store Front 1 (w frame &amp; Hardware)</t>
  </si>
  <si>
    <t>Store Front 2 (w frame &amp; Hardware)</t>
  </si>
  <si>
    <t>Hollow Metal Door 6070</t>
  </si>
  <si>
    <t>Hollow Metal Door 5070</t>
  </si>
  <si>
    <t>Hollow Metal Door 6095</t>
  </si>
  <si>
    <t>Hollow Metal Door 21070</t>
  </si>
  <si>
    <t>Wood Door 7070 (w frame &amp; hardware)</t>
  </si>
  <si>
    <t>Wood Door 3070 (w frame &amp; hardware)</t>
  </si>
  <si>
    <t>Double Acting Door 3070 (w frame &amp; hardware)</t>
  </si>
  <si>
    <t>Hollow Metal Door 3070 (w frame &amp; hardware)</t>
  </si>
  <si>
    <t>Hollow Metal Door 5080 (w frame &amp; hardware)</t>
  </si>
  <si>
    <t>Stainless Steel Door 3070 (w frame &amp; hardware)</t>
  </si>
  <si>
    <t>Stainless Steel Door 3670 (w frame &amp; hardware)</t>
  </si>
  <si>
    <t>Storefront 9480</t>
  </si>
  <si>
    <t>36"x44" Tempared Glass in SS Frame</t>
  </si>
  <si>
    <t>84"x21" Side Light</t>
  </si>
  <si>
    <t>Demo Double Glass Doors</t>
  </si>
  <si>
    <t>Demo Single Door</t>
  </si>
  <si>
    <t>Demo Double Swing Door</t>
  </si>
  <si>
    <t>Demo interior walls</t>
  </si>
  <si>
    <t>Demo Windows</t>
  </si>
  <si>
    <t>Metal Stud Walls to 12' High</t>
  </si>
  <si>
    <t>Metal Stud Walls to 20' High</t>
  </si>
  <si>
    <t>Metal Stud Wall Furring/One Sided</t>
  </si>
  <si>
    <t>2x2 ABD2 Ceiling &amp; Grid</t>
  </si>
  <si>
    <t>2x2 ABD3 Ceiling &amp; Grid</t>
  </si>
  <si>
    <t>2x2 ABD Ceiling &amp; Grid</t>
  </si>
  <si>
    <t>Ceiling Finishes</t>
  </si>
  <si>
    <t>Wood Batten Ceiling</t>
  </si>
  <si>
    <t>Soffits &amp; Bulkheads</t>
  </si>
  <si>
    <t>Gyp Ceilings</t>
  </si>
  <si>
    <t>Grab Bar</t>
  </si>
  <si>
    <t>Paper Towel Dispenser</t>
  </si>
  <si>
    <t>Custom Counter</t>
  </si>
  <si>
    <t>Toilet Partition</t>
  </si>
  <si>
    <t>Toilet Partition Handicap</t>
  </si>
  <si>
    <t>Urinal Screen</t>
  </si>
  <si>
    <t>Lockers</t>
  </si>
  <si>
    <t>Mirror</t>
  </si>
  <si>
    <t>SQ FT</t>
  </si>
  <si>
    <t>Food Service Equipment Allowance</t>
  </si>
  <si>
    <t>Ceiling Fan</t>
  </si>
  <si>
    <t>Ceiling Fan Small</t>
  </si>
  <si>
    <t>Demo Kitchen Equipment</t>
  </si>
  <si>
    <t>Demo Hood Vent</t>
  </si>
  <si>
    <t>Demo Canopy</t>
  </si>
  <si>
    <t>Demo Toilet Partitions</t>
  </si>
  <si>
    <t>Plumbing</t>
  </si>
  <si>
    <t>Pipe, metal pipe, to 1-1/2" diam., selective demolition Pipe, metal pipe, 2" to 3-1/2" diam., selective demolition</t>
  </si>
  <si>
    <t>Sump pump demolition</t>
  </si>
  <si>
    <r>
      <rPr>
        <sz val="8"/>
        <rFont val="Arial"/>
        <family val="2"/>
      </rPr>
      <t>Pipe, steel, black, threaded, 1" diameter, schedule 40, Spec. A-53, includes coupling and clevis hanger
assembly sized for covering, 10' OC</t>
    </r>
  </si>
  <si>
    <r>
      <rPr>
        <sz val="8"/>
        <rFont val="Arial"/>
        <family val="2"/>
      </rPr>
      <t>Pipe, steel, black, threaded, 1-1/4" diameter, schedule 40, Spec. A-53, includes coupling and clevis hanger
assembly sized for covering, 10' OC</t>
    </r>
  </si>
  <si>
    <t>Pipe, steel, black, threaded, 1-1/2" diameter, schedule 40, Spec. A-53, includes coupling and clevis hanger assembly sized for covering, 10' OC</t>
  </si>
  <si>
    <t>Pipe, steel, black, threaded, 2" diameter, schedule 40, Spec. A-53, includes coupling and clevis hanger assembly sized for covering, 10' OC</t>
  </si>
  <si>
    <t>Pipe, steel, black, threaded, 2-1/2" diameter, schedule 40, Spec. A-53, includes coupling and clevis hanger assembly sized for covering, 10' OC</t>
  </si>
  <si>
    <t>Pipe, steel, black, threaded, 3" diameter, schedule 40, Spec. A-53, includes coupling and clevis hanger assembly sized for covering, 10' OC</t>
  </si>
  <si>
    <t>Insulation, pipe covering (price copper tube one size less than I.P.S.), fiberglass with all service jacket, 1" wall, 1" iron pipe size</t>
  </si>
  <si>
    <t>Insulation, pipe covering (price copper tube one size less than I.P.S.), fiberglass with all service jacket, 1" wall, 2" iron pipe size</t>
  </si>
  <si>
    <t>Insulation, pipe covering (price copper tube one size less than I.P.S.), fiberglass with all service jacket, 1" wall, 3" iron pipe size</t>
  </si>
  <si>
    <t>Allowance fittings and valves</t>
  </si>
  <si>
    <t>Plumbing Fixtures</t>
  </si>
  <si>
    <t>Water cooler, wall mounted, bottle filling, dual height, 8.2 GPH (material $3121 online for EZSTL8WSSK by Elkay w bottle filler)</t>
  </si>
  <si>
    <t>Water closet, bowl only, floor mounted, includes flush valve and seat</t>
  </si>
  <si>
    <t>Urinal, wall hung, rough-in, supply, waste and vent</t>
  </si>
  <si>
    <t xml:space="preserve">Lavatory, vanity top, rough-in, supply, waste and vent </t>
  </si>
  <si>
    <t>Lavatory, vanity top, porcelain enamel on cast iron, white, oval, 33" x 19", includes trim</t>
  </si>
  <si>
    <t>Lavatory, wall hung, vitreous china, white, with backsplash, single bowl, 18" x 15", includes trim</t>
  </si>
  <si>
    <t xml:space="preserve">Lavatory, wall hung, </t>
  </si>
  <si>
    <t>rough-in, supply, waste and vent Pot sink, commercial kitchen equipment, 3 compartment</t>
  </si>
  <si>
    <t>Sink, kitchen, rough-in, supply, waste and vent</t>
  </si>
  <si>
    <t>Sink, service, floor</t>
  </si>
  <si>
    <t>rough-in, supply, waste and vent Hydrant, wall type, non-freeze, bronze, exposed, for 3/4" adapter type vacuum breaker</t>
  </si>
  <si>
    <t>Drain, floor, medium duty, cast iron, deep flange, 7" diameter top, 2" and 3" pipe size</t>
  </si>
  <si>
    <t xml:space="preserve">Allowance reconnect pipes to existing Domestic Water Distribution </t>
  </si>
  <si>
    <t>L.F.</t>
  </si>
  <si>
    <t>Ea.</t>
  </si>
  <si>
    <t>Sanitary Waste</t>
  </si>
  <si>
    <t>Water closet, bowl only, floor mounted, tankless, rough- in, supply, waste and vent</t>
  </si>
  <si>
    <t>Urinal, wall hung, vitreous china, with self-closing valve, water saving, .5 gpf</t>
  </si>
  <si>
    <t>Water closet, bowl only, floor mounted, tankless, with floor outlet, ADA, 1.28 gpf, includes flush valve and seat</t>
  </si>
  <si>
    <t>Pipe, cast iron soil, one hub, service weight, 2" diameter, lead and oakum joints 10' OC, includes clevis hanger assemblies 5' OC</t>
  </si>
  <si>
    <t>Pipe, cast iron soil, one hub, service weight, 3" diameter, lead and oakum joints 10' OC, includes clevis hanger assemblies 5' OC</t>
  </si>
  <si>
    <t>Pipe, cast iron soil, one hub, service weight, 4" diameter, lead and oakum joints 10' OC, includes clevis hanger assemblies 5' OC</t>
  </si>
  <si>
    <t>Pump, submersible sump, automatic, plastic, 1/3 H.P., 1-1/4" discharge</t>
  </si>
  <si>
    <t>Allowance fittings</t>
  </si>
  <si>
    <t>Pipe, steel, galvanized, threaded, 2", schedule 40, Spec. A-53, includes coupling and clevis hanger assembly sized for covering, 10' OC</t>
  </si>
  <si>
    <t>Other Plumbing Systems (Gas Pipe)</t>
  </si>
  <si>
    <t>HVAC Distribution Systems</t>
  </si>
  <si>
    <t>Demo HVAC</t>
  </si>
  <si>
    <t>Demolition cooling tower, up thru 400 ton</t>
  </si>
  <si>
    <t>Pump demolition, 20 - 25 HP</t>
  </si>
  <si>
    <t>Air handler unit, central station, up thru 15 ton, selective demolition</t>
  </si>
  <si>
    <t>Boiler, gas and or oil or solid, 160 thru 2,000 MBH, selective demolition</t>
  </si>
  <si>
    <t>Hood and ventilation equipment, kitchen exhaust hood, selective demolition, exclude fire protection</t>
  </si>
  <si>
    <t>Exhaust fans, up thru 1 hp or 2,000 cfm demolition</t>
  </si>
  <si>
    <t>Air conditioner, ductwork, rigid, 10" x 12", selective demolition</t>
  </si>
  <si>
    <t>Air conditioner, ductwork, rigid, 6" x 8", selective  demolition</t>
  </si>
  <si>
    <t>Air conditioner, ductwork, rigid, 12"-14" x 16"-18", selective demolition</t>
  </si>
  <si>
    <t>Air conditioner, ductwork, rigid, 30" x 36", selective demolition</t>
  </si>
  <si>
    <t>Air conditioner, ductwork, rigid, 30" x 72", selective demolition</t>
  </si>
  <si>
    <t>Demolition, diffusers, registers, or grills, 21" thru 36" dimention, $22.50</t>
  </si>
  <si>
    <t>Industrial Air Curtain</t>
  </si>
  <si>
    <t>Air-handling unit, built-up, horizontal/vertical, constant volume, single zone, 22,000 CFM, with cooling/heating coil section, filters, mixing box</t>
  </si>
  <si>
    <t>Boiler, gas fired, natural or propane, cast iron, hot water, gross output, 320 MBH, includes standard controls and insulated jacket, packaged</t>
  </si>
  <si>
    <t>Pump, centrifugal, end suction, mounted on base, horizontal mtd, vertical split case, 15 HP, 300 GPM, 2" discharge</t>
  </si>
  <si>
    <t>VFD, Variable Frequency Drive, enclosed (NEMA1), 460 v, 15 HP motor drive/$5800</t>
  </si>
  <si>
    <t>Pump, circulating, cast iron, heated or chilled water application, 1/4 H.P., 2-1/2" size</t>
  </si>
  <si>
    <t>Metal ductwork, fabricated rectangular, galvanized steel, over 5000 lb., incl fittings, joints, supports &amp; allow for a flexible connections field sketches, excludes as-built drawings and insulation</t>
  </si>
  <si>
    <t>Duct thermal insulation, blanket type, fiberglass, flexible, FSK facing, 1 lb. density, 2" thick</t>
  </si>
  <si>
    <t>Fans, wall exhauster, centrifugal, auto damper, direct drive, 1/8" S.P., 300 CFM, 1/20 H.P.</t>
  </si>
  <si>
    <t>Fans, wall exhauster, centrifugal, auto damper, direct drive, 1/8" S.P., 796 CFM, 1/12 H.P.</t>
  </si>
  <si>
    <t>VFD, Variable Frequency Drive, enclosed (NEMA1), 460 v, 3 HP motor drive/$3025</t>
  </si>
  <si>
    <t>Make-up air unit, indoor suspension, natural/LP gas, direct fired, MBH is input, 70Deg.F temperature rise, 400 MBH, includes standard controls</t>
  </si>
  <si>
    <t>Make-up air unit, indoor suspension, natural/LP gas, direct fired, MBH is input, 70Deg.F temperature rise, 225 MBH, includes standard controls</t>
  </si>
  <si>
    <t>Fans, roof exhauster, centrifugal, aluminum housing, bird screen, back draft damper, direct drive, 1/4" S.P., 1,450 CFM, 12" galvanized curb, 13" sq. damper</t>
  </si>
  <si>
    <t>Exhaust hood, commercial kitchen equipment,
stainless steel, gutter on all sides, 4' x 4' x 7'</t>
  </si>
  <si>
    <t>Louver, aluminum, extruded, with screen, mill finish, fixed blade, motor for damper, electric or pneumatic</t>
  </si>
  <si>
    <t>Louver, aluminum, extruded, with screen, mill finish, dual combination, automatic, intake or exhaust</t>
  </si>
  <si>
    <t>Diffuser, aluminum, ceiling, rectangular, 1 to 4 way blow, 18" x 18", includes opposed blade damper</t>
  </si>
  <si>
    <t>Allowance  fittings &amp; volume dampers</t>
  </si>
  <si>
    <t>Allowance  connect new duct to existing</t>
  </si>
  <si>
    <t>Split Ductless AC, wall mount Indoor Unit, 3/4 Ton</t>
  </si>
  <si>
    <t>Condensing unit, air cooled, compressor, 0.75 ton, includes standard controls</t>
  </si>
  <si>
    <t>Lb.</t>
  </si>
  <si>
    <t>S.F.</t>
  </si>
  <si>
    <t>Accessories for split ductless systems, add for tube/wiring kit (line set) 50' kit/$261</t>
  </si>
  <si>
    <t>Thermostat, 24 hour, automatic, clock/ $305</t>
  </si>
  <si>
    <t>ATT Air Terminal units Pipe, plastic, PVC, 3/4" diameter, schedule 40, includes couplings 10' OC, and hangers 3 per 10'</t>
  </si>
  <si>
    <t>DDC controls (2) AHU (14 points)</t>
  </si>
  <si>
    <t>DDC controls (18) ATB Terminal Units (9 points)</t>
  </si>
  <si>
    <t>DDC controls (3) EF Roof (2 points)</t>
  </si>
  <si>
    <t>DDC controls (1) Split System AC  (2 points)</t>
  </si>
  <si>
    <t>ATT Air Terminal units</t>
  </si>
  <si>
    <t>System Testing &amp; Balancing</t>
  </si>
  <si>
    <t>Balancing, air conditioning equipment, central station, (Subcontractor's quote including material &amp; labor)</t>
  </si>
  <si>
    <t>Balancing, water, boiler, (Subcontractor's quote including material &amp; labor)</t>
  </si>
  <si>
    <t>Balancing, air, heating and ventilating equipment, propeller and wall fan, (Subcontractor's quote including material &amp; labor)</t>
  </si>
  <si>
    <t>Balancing, air, heating and ventilating equipment, roof exhaust fan, (Subcontractor's quote including material &amp; labor)</t>
  </si>
  <si>
    <t>Balancing, air conditioning equipment, supply, return, exhaust, registers and diffusers, average ceiling height, (Subcontractor's quote including material &amp; labor)</t>
  </si>
  <si>
    <t>Balancing piping 250-500 LF, RSM</t>
  </si>
  <si>
    <t>Electrical Systems</t>
  </si>
  <si>
    <t>Lighting Fixtures</t>
  </si>
  <si>
    <t>Branch Lighting</t>
  </si>
  <si>
    <t>Distribution</t>
  </si>
  <si>
    <t>Feeders</t>
  </si>
  <si>
    <t>Branch Power</t>
  </si>
  <si>
    <t>Grounding</t>
  </si>
  <si>
    <t>HVAC Equipment &amp; Branch Connections</t>
  </si>
  <si>
    <t>Fire Alarm</t>
  </si>
  <si>
    <t>Communications &amp; Security</t>
  </si>
  <si>
    <t>Demolition</t>
  </si>
  <si>
    <t>Fire Protection</t>
  </si>
  <si>
    <t>Fire Protection Systems Allowance</t>
  </si>
  <si>
    <t>Cleanout, floor type, round or square, scoriated nickel bronze top, 3" pipe size</t>
  </si>
  <si>
    <t>Sink, service, floor, porcelain enamel on cast iron, corner, 28" x 28", includes faucet and drain</t>
  </si>
  <si>
    <t>SUPERINTENDENT</t>
  </si>
  <si>
    <t>New Pipe, steel, black, threaded, 3/4" diameter, schedule 40, Spec. A-53, includes coupling and clevis hanger assembly sized for covering, 10' OC</t>
  </si>
  <si>
    <t>PNQS 09-4491 Repair Dining Facility</t>
  </si>
  <si>
    <t>PNQS 09-4491</t>
  </si>
  <si>
    <t>GRAND TOTAL</t>
  </si>
  <si>
    <t>MAN HOURS</t>
  </si>
  <si>
    <t>MAN DAYS</t>
  </si>
  <si>
    <t>Renovation Bldg 668</t>
  </si>
  <si>
    <t>portable restrooms</t>
  </si>
  <si>
    <t>Hazardous abatement</t>
  </si>
  <si>
    <t>Demo Entry Doors</t>
  </si>
  <si>
    <t>Soap Dispenser</t>
  </si>
  <si>
    <t>Kitchen Equipment</t>
  </si>
  <si>
    <t>Bldg 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</si>
</sst>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0_)"/>
    <numFmt numFmtId="165" formatCode="General_)"/>
    <numFmt numFmtId="166" formatCode="&quot;$&quot;#,##0.00"/>
    <numFmt numFmtId="167" formatCode="0.0%"/>
    <numFmt numFmtId="168" formatCode="[$-409]d\-mmm\-yy;@"/>
    <numFmt numFmtId="169" formatCode="0.00_)"/>
  </numFmts>
  <fonts count="25" x14ac:knownFonts="1">
    <font>
      <sz val="12"/>
      <name val="Helv"/>
    </font>
    <font>
      <sz val="10"/>
      <name val="MS Sans Serif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ourier"/>
      <family val="3"/>
    </font>
    <font>
      <sz val="12"/>
      <name val="Helv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2"/>
      <color theme="1"/>
      <name val="Helv"/>
    </font>
    <font>
      <sz val="10"/>
      <color theme="1"/>
      <name val="Tms Rmn"/>
    </font>
    <font>
      <b/>
      <sz val="10"/>
      <color theme="1"/>
      <name val="Times New Roman"/>
      <family val="1"/>
    </font>
    <font>
      <b/>
      <sz val="10"/>
      <name val="Tms Rmn"/>
    </font>
    <font>
      <sz val="10"/>
      <name val="Tms Rmn"/>
    </font>
    <font>
      <sz val="10"/>
      <name val="Cambria"/>
      <family val="1"/>
    </font>
    <font>
      <b/>
      <sz val="12"/>
      <name val="Helv"/>
    </font>
    <font>
      <sz val="10"/>
      <color theme="1"/>
      <name val="Cambria"/>
      <family val="1"/>
    </font>
    <font>
      <sz val="9"/>
      <name val="Tms Rmn"/>
    </font>
    <font>
      <sz val="8"/>
      <name val="Tms Rmn"/>
    </font>
    <font>
      <sz val="9"/>
      <name val="Helv"/>
    </font>
    <font>
      <sz val="10"/>
      <color rgb="FFFF0000"/>
      <name val="Tms Rmn"/>
    </font>
    <font>
      <sz val="10"/>
      <color indexed="10"/>
      <name val="Tms Rmn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165" fontId="0" fillId="0" borderId="0"/>
    <xf numFmtId="8" fontId="1" fillId="0" borderId="0" applyFont="0" applyFill="0" applyBorder="0" applyAlignment="0" applyProtection="0"/>
    <xf numFmtId="165" fontId="4" fillId="0" borderId="0"/>
    <xf numFmtId="9" fontId="5" fillId="0" borderId="0" applyFont="0" applyFill="0" applyBorder="0" applyAlignment="0" applyProtection="0"/>
  </cellStyleXfs>
  <cellXfs count="271">
    <xf numFmtId="165" fontId="0" fillId="0" borderId="0" xfId="0"/>
    <xf numFmtId="165" fontId="2" fillId="0" borderId="5" xfId="0" applyFont="1" applyFill="1" applyBorder="1" applyAlignment="1" applyProtection="1">
      <alignment vertical="center"/>
      <protection locked="0"/>
    </xf>
    <xf numFmtId="165" fontId="3" fillId="0" borderId="13" xfId="0" applyFont="1" applyFill="1" applyBorder="1" applyAlignment="1" applyProtection="1">
      <alignment horizontal="left" vertical="center"/>
      <protection locked="0"/>
    </xf>
    <xf numFmtId="165" fontId="3" fillId="0" borderId="8" xfId="0" applyFont="1" applyFill="1" applyBorder="1" applyAlignment="1" applyProtection="1">
      <alignment vertical="center"/>
      <protection locked="0"/>
    </xf>
    <xf numFmtId="165" fontId="2" fillId="0" borderId="8" xfId="0" applyFont="1" applyFill="1" applyBorder="1" applyAlignment="1" applyProtection="1">
      <alignment vertical="center"/>
      <protection locked="0"/>
    </xf>
    <xf numFmtId="165" fontId="3" fillId="0" borderId="8" xfId="0" applyFont="1" applyBorder="1" applyAlignment="1" applyProtection="1">
      <alignment vertical="center"/>
      <protection locked="0"/>
    </xf>
    <xf numFmtId="165" fontId="6" fillId="0" borderId="39" xfId="0" applyFont="1" applyFill="1" applyBorder="1" applyAlignment="1"/>
    <xf numFmtId="165" fontId="6" fillId="0" borderId="40" xfId="0" applyFont="1" applyFill="1" applyBorder="1" applyAlignment="1"/>
    <xf numFmtId="8" fontId="8" fillId="0" borderId="2" xfId="1" applyFont="1" applyFill="1" applyBorder="1" applyAlignment="1" applyProtection="1">
      <alignment horizontal="center" vertical="center"/>
    </xf>
    <xf numFmtId="8" fontId="8" fillId="0" borderId="20" xfId="1" applyFont="1" applyFill="1" applyBorder="1" applyAlignment="1" applyProtection="1">
      <alignment horizontal="center" vertical="center"/>
    </xf>
    <xf numFmtId="8" fontId="8" fillId="0" borderId="2" xfId="1" applyFont="1" applyFill="1" applyBorder="1" applyAlignment="1" applyProtection="1">
      <alignment vertical="center"/>
    </xf>
    <xf numFmtId="8" fontId="8" fillId="0" borderId="4" xfId="1" applyFont="1" applyFill="1" applyBorder="1" applyAlignment="1" applyProtection="1">
      <alignment horizontal="center" vertical="center"/>
    </xf>
    <xf numFmtId="8" fontId="8" fillId="0" borderId="1" xfId="1" applyFont="1" applyFill="1" applyBorder="1" applyAlignment="1" applyProtection="1">
      <alignment horizontal="center" vertical="center"/>
    </xf>
    <xf numFmtId="165" fontId="6" fillId="0" borderId="0" xfId="0" applyFont="1"/>
    <xf numFmtId="165" fontId="6" fillId="0" borderId="0" xfId="0" applyFont="1" applyFill="1"/>
    <xf numFmtId="165" fontId="3" fillId="0" borderId="6" xfId="0" applyFont="1" applyFill="1" applyBorder="1" applyAlignment="1" applyProtection="1">
      <alignment horizontal="center" vertical="center"/>
      <protection locked="0"/>
    </xf>
    <xf numFmtId="165" fontId="3" fillId="0" borderId="6" xfId="0" applyFont="1" applyFill="1" applyBorder="1" applyAlignment="1" applyProtection="1">
      <alignment vertical="center"/>
      <protection locked="0"/>
    </xf>
    <xf numFmtId="8" fontId="3" fillId="0" borderId="6" xfId="1" applyFont="1" applyFill="1" applyBorder="1" applyAlignment="1" applyProtection="1">
      <alignment vertical="center"/>
      <protection locked="0"/>
    </xf>
    <xf numFmtId="8" fontId="3" fillId="0" borderId="6" xfId="1" applyFont="1" applyFill="1" applyBorder="1" applyAlignment="1" applyProtection="1">
      <alignment vertical="center"/>
    </xf>
    <xf numFmtId="8" fontId="3" fillId="0" borderId="7" xfId="1" applyFont="1" applyFill="1" applyBorder="1" applyAlignment="1" applyProtection="1">
      <alignment vertical="center"/>
    </xf>
    <xf numFmtId="165" fontId="3" fillId="0" borderId="10" xfId="0" applyFont="1" applyFill="1" applyBorder="1" applyAlignment="1" applyProtection="1">
      <alignment horizontal="center" vertical="center"/>
      <protection locked="0"/>
    </xf>
    <xf numFmtId="164" fontId="3" fillId="0" borderId="10" xfId="0" applyNumberFormat="1" applyFont="1" applyFill="1" applyBorder="1" applyAlignment="1" applyProtection="1">
      <alignment vertical="center"/>
      <protection locked="0"/>
    </xf>
    <xf numFmtId="8" fontId="3" fillId="0" borderId="10" xfId="1" applyFont="1" applyFill="1" applyBorder="1" applyAlignment="1" applyProtection="1">
      <alignment vertical="center"/>
    </xf>
    <xf numFmtId="8" fontId="3" fillId="0" borderId="10" xfId="1" applyFont="1" applyFill="1" applyBorder="1" applyAlignment="1" applyProtection="1">
      <alignment vertical="center"/>
      <protection locked="0"/>
    </xf>
    <xf numFmtId="8" fontId="3" fillId="0" borderId="11" xfId="1" applyFont="1" applyFill="1" applyBorder="1" applyAlignment="1" applyProtection="1">
      <alignment vertical="center"/>
    </xf>
    <xf numFmtId="166" fontId="7" fillId="0" borderId="0" xfId="0" applyNumberFormat="1" applyFont="1" applyFill="1"/>
    <xf numFmtId="8" fontId="3" fillId="0" borderId="44" xfId="0" applyNumberFormat="1" applyFont="1" applyBorder="1" applyAlignment="1">
      <alignment vertical="center"/>
    </xf>
    <xf numFmtId="8" fontId="3" fillId="0" borderId="44" xfId="0" applyNumberFormat="1" applyFont="1" applyBorder="1" applyAlignment="1" applyProtection="1">
      <alignment vertical="center"/>
      <protection locked="0"/>
    </xf>
    <xf numFmtId="165" fontId="3" fillId="0" borderId="44" xfId="0" applyFont="1" applyBorder="1" applyAlignment="1" applyProtection="1">
      <alignment horizontal="center" vertical="center"/>
      <protection locked="0"/>
    </xf>
    <xf numFmtId="165" fontId="3" fillId="0" borderId="14" xfId="0" applyFont="1" applyFill="1" applyBorder="1" applyAlignment="1" applyProtection="1">
      <alignment horizontal="left" vertical="center"/>
      <protection locked="0"/>
    </xf>
    <xf numFmtId="165" fontId="3" fillId="0" borderId="15" xfId="0" applyFont="1" applyFill="1" applyBorder="1" applyAlignment="1" applyProtection="1">
      <alignment horizontal="center" vertical="center"/>
      <protection locked="0"/>
    </xf>
    <xf numFmtId="8" fontId="3" fillId="0" borderId="15" xfId="1" applyFont="1" applyFill="1" applyBorder="1" applyAlignment="1" applyProtection="1">
      <alignment vertical="center"/>
    </xf>
    <xf numFmtId="8" fontId="3" fillId="0" borderId="15" xfId="1" applyFont="1" applyFill="1" applyBorder="1" applyAlignment="1" applyProtection="1">
      <alignment vertical="center"/>
      <protection locked="0"/>
    </xf>
    <xf numFmtId="8" fontId="3" fillId="0" borderId="16" xfId="1" applyFont="1" applyFill="1" applyBorder="1" applyAlignment="1" applyProtection="1">
      <alignment vertical="center"/>
    </xf>
    <xf numFmtId="166" fontId="2" fillId="0" borderId="8" xfId="0" applyNumberFormat="1" applyFont="1" applyFill="1" applyBorder="1" applyAlignment="1" applyProtection="1">
      <alignment horizontal="left" vertical="center"/>
      <protection locked="0"/>
    </xf>
    <xf numFmtId="166" fontId="2" fillId="0" borderId="9" xfId="0" applyNumberFormat="1" applyFont="1" applyFill="1" applyBorder="1" applyAlignment="1" applyProtection="1">
      <alignment horizontal="center" vertical="center"/>
      <protection locked="0"/>
    </xf>
    <xf numFmtId="8" fontId="2" fillId="0" borderId="9" xfId="1" applyFont="1" applyFill="1" applyBorder="1" applyAlignment="1" applyProtection="1">
      <alignment vertical="center"/>
    </xf>
    <xf numFmtId="8" fontId="2" fillId="0" borderId="9" xfId="1" applyFont="1" applyFill="1" applyBorder="1" applyAlignment="1" applyProtection="1">
      <alignment vertical="center"/>
      <protection locked="0"/>
    </xf>
    <xf numFmtId="8" fontId="2" fillId="0" borderId="12" xfId="1" applyFont="1" applyFill="1" applyBorder="1" applyAlignment="1" applyProtection="1">
      <alignment vertical="center"/>
    </xf>
    <xf numFmtId="165" fontId="3" fillId="0" borderId="43" xfId="0" applyFont="1" applyFill="1" applyBorder="1" applyAlignment="1" applyProtection="1">
      <alignment horizontal="left" vertical="center"/>
      <protection locked="0"/>
    </xf>
    <xf numFmtId="9" fontId="3" fillId="0" borderId="17" xfId="0" applyNumberFormat="1" applyFont="1" applyFill="1" applyBorder="1" applyAlignment="1" applyProtection="1">
      <alignment horizontal="center" vertical="center"/>
      <protection locked="0"/>
    </xf>
    <xf numFmtId="8" fontId="3" fillId="0" borderId="17" xfId="1" applyFont="1" applyFill="1" applyBorder="1" applyAlignment="1" applyProtection="1">
      <alignment vertical="center"/>
      <protection locked="0"/>
    </xf>
    <xf numFmtId="8" fontId="3" fillId="0" borderId="17" xfId="1" applyFont="1" applyFill="1" applyBorder="1" applyAlignment="1" applyProtection="1">
      <alignment vertical="center"/>
    </xf>
    <xf numFmtId="8" fontId="3" fillId="0" borderId="18" xfId="1" applyFont="1" applyFill="1" applyBorder="1" applyAlignment="1" applyProtection="1">
      <alignment vertical="center"/>
    </xf>
    <xf numFmtId="165" fontId="3" fillId="0" borderId="8" xfId="0" applyFont="1" applyFill="1" applyBorder="1" applyAlignment="1" applyProtection="1">
      <alignment horizontal="left" vertical="center"/>
      <protection locked="0"/>
    </xf>
    <xf numFmtId="165" fontId="3" fillId="0" borderId="9" xfId="0" applyFont="1" applyFill="1" applyBorder="1" applyAlignment="1" applyProtection="1">
      <alignment horizontal="center" vertical="center"/>
      <protection locked="0"/>
    </xf>
    <xf numFmtId="8" fontId="3" fillId="0" borderId="9" xfId="1" applyFont="1" applyFill="1" applyBorder="1" applyAlignment="1" applyProtection="1">
      <alignment vertical="center"/>
    </xf>
    <xf numFmtId="8" fontId="3" fillId="0" borderId="9" xfId="1" applyFont="1" applyFill="1" applyBorder="1" applyAlignment="1" applyProtection="1">
      <alignment vertical="center"/>
      <protection locked="0"/>
    </xf>
    <xf numFmtId="8" fontId="3" fillId="0" borderId="12" xfId="1" applyFont="1" applyFill="1" applyBorder="1" applyAlignment="1" applyProtection="1">
      <alignment vertical="center"/>
    </xf>
    <xf numFmtId="9" fontId="3" fillId="0" borderId="10" xfId="3" applyFont="1" applyFill="1" applyBorder="1" applyAlignment="1" applyProtection="1">
      <alignment horizontal="center" vertical="center"/>
      <protection locked="0"/>
    </xf>
    <xf numFmtId="165" fontId="3" fillId="0" borderId="17" xfId="0" applyFont="1" applyFill="1" applyBorder="1" applyAlignment="1" applyProtection="1">
      <alignment horizontal="center" vertical="center"/>
      <protection locked="0"/>
    </xf>
    <xf numFmtId="9" fontId="3" fillId="0" borderId="10" xfId="0" applyNumberFormat="1" applyFont="1" applyFill="1" applyBorder="1" applyAlignment="1" applyProtection="1">
      <alignment horizontal="center" vertical="center"/>
      <protection locked="0"/>
    </xf>
    <xf numFmtId="9" fontId="3" fillId="0" borderId="15" xfId="0" applyNumberFormat="1" applyFont="1" applyFill="1" applyBorder="1" applyAlignment="1" applyProtection="1">
      <alignment horizontal="center" vertical="center"/>
      <protection locked="0"/>
    </xf>
    <xf numFmtId="8" fontId="3" fillId="0" borderId="19" xfId="1" applyFont="1" applyFill="1" applyBorder="1" applyAlignment="1" applyProtection="1">
      <alignment vertical="center"/>
    </xf>
    <xf numFmtId="165" fontId="2" fillId="0" borderId="8" xfId="0" applyFont="1" applyFill="1" applyBorder="1" applyAlignment="1" applyProtection="1">
      <alignment horizontal="left" vertical="center"/>
      <protection locked="0"/>
    </xf>
    <xf numFmtId="165" fontId="2" fillId="0" borderId="9" xfId="0" applyFont="1" applyFill="1" applyBorder="1" applyAlignment="1" applyProtection="1">
      <alignment horizontal="center" vertical="center"/>
      <protection locked="0"/>
    </xf>
    <xf numFmtId="164" fontId="2" fillId="0" borderId="9" xfId="0" applyNumberFormat="1" applyFont="1" applyFill="1" applyBorder="1" applyAlignment="1" applyProtection="1">
      <alignment vertical="center"/>
      <protection locked="0"/>
    </xf>
    <xf numFmtId="167" fontId="3" fillId="0" borderId="17" xfId="0" applyNumberFormat="1" applyFont="1" applyFill="1" applyBorder="1" applyAlignment="1" applyProtection="1">
      <alignment horizontal="center" vertical="center"/>
      <protection locked="0"/>
    </xf>
    <xf numFmtId="8" fontId="2" fillId="0" borderId="6" xfId="1" applyFont="1" applyFill="1" applyBorder="1" applyAlignment="1" applyProtection="1">
      <alignment vertical="center"/>
      <protection locked="0"/>
    </xf>
    <xf numFmtId="8" fontId="2" fillId="0" borderId="6" xfId="1" applyFont="1" applyFill="1" applyBorder="1" applyAlignment="1" applyProtection="1">
      <alignment vertical="center"/>
    </xf>
    <xf numFmtId="8" fontId="2" fillId="0" borderId="49" xfId="1" applyFont="1" applyFill="1" applyBorder="1" applyAlignment="1" applyProtection="1">
      <alignment vertical="center"/>
      <protection locked="0"/>
    </xf>
    <xf numFmtId="165" fontId="3" fillId="0" borderId="45" xfId="0" applyFont="1" applyFill="1" applyBorder="1" applyAlignment="1" applyProtection="1">
      <alignment horizontal="left" vertical="center"/>
      <protection locked="0"/>
    </xf>
    <xf numFmtId="164" fontId="2" fillId="0" borderId="48" xfId="0" applyNumberFormat="1" applyFont="1" applyFill="1" applyBorder="1" applyAlignment="1" applyProtection="1">
      <alignment vertical="center"/>
      <protection locked="0"/>
    </xf>
    <xf numFmtId="8" fontId="2" fillId="0" borderId="46" xfId="1" applyFont="1" applyFill="1" applyBorder="1" applyAlignment="1" applyProtection="1">
      <alignment vertical="center"/>
      <protection locked="0"/>
    </xf>
    <xf numFmtId="8" fontId="2" fillId="0" borderId="46" xfId="1" applyFont="1" applyFill="1" applyBorder="1" applyAlignment="1" applyProtection="1">
      <alignment vertical="center"/>
    </xf>
    <xf numFmtId="8" fontId="2" fillId="0" borderId="47" xfId="1" applyFont="1" applyFill="1" applyBorder="1" applyAlignment="1" applyProtection="1">
      <alignment vertical="center"/>
      <protection locked="0"/>
    </xf>
    <xf numFmtId="165" fontId="7" fillId="0" borderId="14" xfId="0" applyFont="1" applyFill="1" applyBorder="1" applyAlignment="1">
      <alignment vertical="center"/>
    </xf>
    <xf numFmtId="165" fontId="6" fillId="0" borderId="15" xfId="0" applyFont="1" applyFill="1" applyBorder="1"/>
    <xf numFmtId="165" fontId="6" fillId="0" borderId="32" xfId="0" applyFont="1" applyFill="1" applyBorder="1" applyAlignment="1">
      <alignment vertical="center"/>
    </xf>
    <xf numFmtId="165" fontId="6" fillId="0" borderId="15" xfId="0" applyFont="1" applyFill="1" applyBorder="1" applyAlignment="1">
      <alignment vertical="center"/>
    </xf>
    <xf numFmtId="8" fontId="6" fillId="0" borderId="15" xfId="1" applyFont="1" applyFill="1" applyBorder="1" applyAlignment="1" applyProtection="1">
      <alignment vertical="center"/>
    </xf>
    <xf numFmtId="8" fontId="7" fillId="0" borderId="50" xfId="1" applyFont="1" applyFill="1" applyBorder="1" applyAlignment="1" applyProtection="1">
      <alignment vertical="center"/>
    </xf>
    <xf numFmtId="165" fontId="3" fillId="0" borderId="0" xfId="0" applyFont="1" applyFill="1" applyAlignment="1">
      <alignment vertical="center"/>
    </xf>
    <xf numFmtId="165" fontId="6" fillId="0" borderId="0" xfId="0" applyFont="1" applyFill="1" applyAlignment="1">
      <alignment horizontal="center" vertical="center"/>
    </xf>
    <xf numFmtId="165" fontId="6" fillId="0" borderId="0" xfId="0" applyFont="1" applyFill="1" applyAlignment="1">
      <alignment vertical="center"/>
    </xf>
    <xf numFmtId="8" fontId="6" fillId="0" borderId="0" xfId="1" applyFont="1" applyFill="1" applyAlignment="1">
      <alignment vertical="center"/>
    </xf>
    <xf numFmtId="8" fontId="10" fillId="0" borderId="0" xfId="1" applyFont="1" applyFill="1" applyAlignment="1">
      <alignment vertical="center"/>
    </xf>
    <xf numFmtId="165" fontId="10" fillId="0" borderId="0" xfId="0" applyFont="1" applyFill="1" applyAlignment="1">
      <alignment vertical="center"/>
    </xf>
    <xf numFmtId="165" fontId="10" fillId="0" borderId="0" xfId="0" applyFont="1" applyFill="1" applyAlignment="1">
      <alignment horizontal="center" vertical="center"/>
    </xf>
    <xf numFmtId="169" fontId="3" fillId="0" borderId="10" xfId="0" applyNumberFormat="1" applyFont="1" applyFill="1" applyBorder="1" applyAlignment="1" applyProtection="1">
      <alignment vertical="center"/>
      <protection locked="0"/>
    </xf>
    <xf numFmtId="165" fontId="3" fillId="0" borderId="8" xfId="0" applyFont="1" applyFill="1" applyBorder="1" applyAlignment="1" applyProtection="1">
      <alignment vertical="center" wrapText="1"/>
      <protection locked="0"/>
    </xf>
    <xf numFmtId="169" fontId="3" fillId="0" borderId="44" xfId="0" applyNumberFormat="1" applyFont="1" applyBorder="1" applyAlignment="1" applyProtection="1">
      <alignment vertical="center"/>
      <protection locked="0"/>
    </xf>
    <xf numFmtId="169" fontId="3" fillId="0" borderId="15" xfId="0" applyNumberFormat="1" applyFont="1" applyFill="1" applyBorder="1" applyAlignment="1" applyProtection="1">
      <alignment vertical="center"/>
      <protection locked="0"/>
    </xf>
    <xf numFmtId="169" fontId="2" fillId="0" borderId="9" xfId="0" applyNumberFormat="1" applyFont="1" applyFill="1" applyBorder="1" applyAlignment="1" applyProtection="1">
      <alignment vertical="center"/>
      <protection locked="0"/>
    </xf>
    <xf numFmtId="169" fontId="3" fillId="0" borderId="17" xfId="0" applyNumberFormat="1" applyFont="1" applyFill="1" applyBorder="1" applyAlignment="1" applyProtection="1">
      <alignment vertical="center"/>
      <protection locked="0"/>
    </xf>
    <xf numFmtId="169" fontId="3" fillId="0" borderId="9" xfId="0" applyNumberFormat="1" applyFont="1" applyFill="1" applyBorder="1" applyAlignment="1" applyProtection="1">
      <alignment vertical="center"/>
      <protection locked="0"/>
    </xf>
    <xf numFmtId="169" fontId="3" fillId="0" borderId="10" xfId="0" applyNumberFormat="1" applyFont="1" applyFill="1" applyBorder="1" applyAlignment="1" applyProtection="1">
      <alignment horizontal="right" vertical="center"/>
      <protection locked="0"/>
    </xf>
    <xf numFmtId="165" fontId="2" fillId="0" borderId="8" xfId="0" applyFont="1" applyFill="1" applyBorder="1" applyAlignment="1" applyProtection="1">
      <alignment vertical="center" wrapText="1"/>
      <protection locked="0"/>
    </xf>
    <xf numFmtId="165" fontId="3" fillId="0" borderId="8" xfId="0" applyFont="1" applyFill="1" applyBorder="1" applyAlignment="1" applyProtection="1">
      <alignment horizontal="center" vertical="center"/>
      <protection locked="0"/>
    </xf>
    <xf numFmtId="165" fontId="3" fillId="2" borderId="8" xfId="0" applyFont="1" applyFill="1" applyBorder="1" applyAlignment="1" applyProtection="1">
      <alignment vertical="center" wrapText="1"/>
      <protection locked="0"/>
    </xf>
    <xf numFmtId="165" fontId="3" fillId="0" borderId="8" xfId="0" applyFont="1" applyFill="1" applyBorder="1" applyAlignment="1" applyProtection="1">
      <alignment vertical="top" wrapText="1"/>
      <protection locked="0"/>
    </xf>
    <xf numFmtId="8" fontId="3" fillId="0" borderId="10" xfId="1" applyFont="1" applyFill="1" applyBorder="1" applyAlignment="1" applyProtection="1">
      <alignment horizontal="right" vertical="center"/>
    </xf>
    <xf numFmtId="164" fontId="13" fillId="0" borderId="10" xfId="0" applyNumberFormat="1" applyFont="1" applyBorder="1" applyAlignment="1" applyProtection="1">
      <alignment vertical="center"/>
      <protection locked="0"/>
    </xf>
    <xf numFmtId="8" fontId="13" fillId="0" borderId="10" xfId="1" applyFont="1" applyFill="1" applyBorder="1" applyAlignment="1" applyProtection="1">
      <alignment vertical="center"/>
    </xf>
    <xf numFmtId="165" fontId="13" fillId="0" borderId="10" xfId="0" applyFont="1" applyBorder="1" applyAlignment="1" applyProtection="1">
      <alignment horizontal="center" vertical="center"/>
      <protection locked="0"/>
    </xf>
    <xf numFmtId="8" fontId="13" fillId="0" borderId="9" xfId="1" applyFont="1" applyFill="1" applyBorder="1" applyAlignment="1" applyProtection="1">
      <alignment vertical="center"/>
      <protection locked="0"/>
    </xf>
    <xf numFmtId="8" fontId="13" fillId="0" borderId="10" xfId="1" applyFont="1" applyFill="1" applyBorder="1" applyAlignment="1" applyProtection="1">
      <alignment vertical="center"/>
      <protection locked="0"/>
    </xf>
    <xf numFmtId="8" fontId="13" fillId="0" borderId="11" xfId="1" applyFont="1" applyFill="1" applyBorder="1" applyAlignment="1" applyProtection="1">
      <alignment vertical="center"/>
    </xf>
    <xf numFmtId="165" fontId="13" fillId="0" borderId="44" xfId="0" applyFont="1" applyBorder="1" applyAlignment="1" applyProtection="1">
      <alignment horizontal="center" vertical="center"/>
      <protection locked="0"/>
    </xf>
    <xf numFmtId="165" fontId="13" fillId="0" borderId="9" xfId="0" applyFont="1" applyBorder="1" applyAlignment="1" applyProtection="1">
      <alignment vertical="center"/>
      <protection locked="0"/>
    </xf>
    <xf numFmtId="165" fontId="12" fillId="0" borderId="0" xfId="0" applyFont="1" applyAlignment="1">
      <alignment vertical="center"/>
    </xf>
    <xf numFmtId="165" fontId="12" fillId="0" borderId="0" xfId="0" applyFont="1" applyAlignment="1">
      <alignment horizontal="center" vertical="center"/>
    </xf>
    <xf numFmtId="8" fontId="12" fillId="0" borderId="0" xfId="1" applyFont="1" applyFill="1" applyAlignment="1">
      <alignment vertical="center"/>
    </xf>
    <xf numFmtId="165" fontId="0" fillId="0" borderId="25" xfId="0" applyBorder="1" applyAlignment="1">
      <alignment vertical="center"/>
    </xf>
    <xf numFmtId="165" fontId="12" fillId="0" borderId="39" xfId="0" applyFont="1" applyBorder="1" applyAlignment="1">
      <alignment horizontal="center" vertical="center"/>
    </xf>
    <xf numFmtId="165" fontId="0" fillId="0" borderId="39" xfId="0" applyBorder="1"/>
    <xf numFmtId="165" fontId="0" fillId="0" borderId="40" xfId="0" applyBorder="1"/>
    <xf numFmtId="165" fontId="17" fillId="0" borderId="3" xfId="0" applyFont="1" applyBorder="1" applyAlignment="1">
      <alignment vertical="center"/>
    </xf>
    <xf numFmtId="165" fontId="0" fillId="0" borderId="24" xfId="0" applyBorder="1" applyAlignment="1">
      <alignment vertical="center"/>
    </xf>
    <xf numFmtId="8" fontId="20" fillId="0" borderId="2" xfId="1" applyFont="1" applyFill="1" applyBorder="1" applyAlignment="1" applyProtection="1">
      <alignment horizontal="center" vertical="center"/>
    </xf>
    <xf numFmtId="8" fontId="22" fillId="0" borderId="20" xfId="1" applyFont="1" applyFill="1" applyBorder="1" applyAlignment="1" applyProtection="1">
      <alignment horizontal="center" vertical="center"/>
    </xf>
    <xf numFmtId="8" fontId="20" fillId="0" borderId="2" xfId="1" applyFont="1" applyFill="1" applyBorder="1" applyAlignment="1" applyProtection="1">
      <alignment vertical="center"/>
    </xf>
    <xf numFmtId="8" fontId="20" fillId="0" borderId="4" xfId="1" applyFont="1" applyFill="1" applyBorder="1" applyAlignment="1" applyProtection="1">
      <alignment horizontal="center" vertical="center"/>
    </xf>
    <xf numFmtId="8" fontId="20" fillId="0" borderId="1" xfId="1" applyFont="1" applyFill="1" applyBorder="1" applyAlignment="1" applyProtection="1">
      <alignment horizontal="center" vertical="center"/>
    </xf>
    <xf numFmtId="165" fontId="2" fillId="0" borderId="5" xfId="0" applyFont="1" applyBorder="1" applyAlignment="1" applyProtection="1">
      <alignment vertical="center"/>
      <protection locked="0"/>
    </xf>
    <xf numFmtId="165" fontId="16" fillId="0" borderId="6" xfId="0" applyFont="1" applyBorder="1" applyAlignment="1" applyProtection="1">
      <alignment horizontal="center" vertical="center"/>
      <protection locked="0"/>
    </xf>
    <xf numFmtId="165" fontId="16" fillId="0" borderId="6" xfId="0" applyFont="1" applyBorder="1" applyAlignment="1" applyProtection="1">
      <alignment vertical="center"/>
      <protection locked="0"/>
    </xf>
    <xf numFmtId="8" fontId="16" fillId="0" borderId="6" xfId="1" applyFont="1" applyFill="1" applyBorder="1" applyAlignment="1" applyProtection="1">
      <alignment vertical="center"/>
      <protection locked="0"/>
    </xf>
    <xf numFmtId="8" fontId="16" fillId="0" borderId="6" xfId="1" applyFont="1" applyFill="1" applyBorder="1" applyAlignment="1" applyProtection="1">
      <alignment vertical="center"/>
    </xf>
    <xf numFmtId="8" fontId="16" fillId="0" borderId="7" xfId="1" applyFont="1" applyFill="1" applyBorder="1" applyAlignment="1" applyProtection="1">
      <alignment vertical="center"/>
    </xf>
    <xf numFmtId="8" fontId="16" fillId="0" borderId="10" xfId="1" applyFont="1" applyFill="1" applyBorder="1" applyAlignment="1" applyProtection="1">
      <alignment vertical="center"/>
    </xf>
    <xf numFmtId="8" fontId="16" fillId="0" borderId="10" xfId="1" applyFont="1" applyFill="1" applyBorder="1" applyAlignment="1" applyProtection="1">
      <alignment vertical="center"/>
      <protection locked="0"/>
    </xf>
    <xf numFmtId="8" fontId="16" fillId="0" borderId="11" xfId="1" applyFont="1" applyFill="1" applyBorder="1" applyAlignment="1" applyProtection="1">
      <alignment horizontal="center" vertical="center"/>
    </xf>
    <xf numFmtId="8" fontId="16" fillId="0" borderId="9" xfId="1" applyFont="1" applyFill="1" applyBorder="1" applyAlignment="1" applyProtection="1">
      <alignment vertical="center"/>
      <protection locked="0"/>
    </xf>
    <xf numFmtId="8" fontId="16" fillId="0" borderId="9" xfId="1" applyFont="1" applyFill="1" applyBorder="1" applyAlignment="1" applyProtection="1">
      <alignment vertical="center"/>
    </xf>
    <xf numFmtId="165" fontId="3" fillId="0" borderId="8" xfId="0" applyFont="1" applyBorder="1" applyAlignment="1" applyProtection="1">
      <alignment horizontal="center" vertical="center"/>
      <protection locked="0"/>
    </xf>
    <xf numFmtId="165" fontId="23" fillId="0" borderId="9" xfId="0" applyFont="1" applyBorder="1" applyAlignment="1" applyProtection="1">
      <alignment vertical="center"/>
      <protection locked="0"/>
    </xf>
    <xf numFmtId="8" fontId="23" fillId="0" borderId="9" xfId="1" applyFont="1" applyFill="1" applyBorder="1" applyAlignment="1" applyProtection="1">
      <alignment vertical="center"/>
      <protection locked="0"/>
    </xf>
    <xf numFmtId="8" fontId="24" fillId="0" borderId="9" xfId="1" applyFont="1" applyFill="1" applyBorder="1" applyAlignment="1" applyProtection="1">
      <alignment vertical="center"/>
      <protection locked="0"/>
    </xf>
    <xf numFmtId="8" fontId="16" fillId="0" borderId="12" xfId="1" applyFont="1" applyFill="1" applyBorder="1" applyAlignment="1" applyProtection="1">
      <alignment horizontal="center" vertical="center"/>
    </xf>
    <xf numFmtId="165" fontId="16" fillId="0" borderId="10" xfId="0" applyFont="1" applyBorder="1" applyAlignment="1" applyProtection="1">
      <alignment horizontal="center" vertical="center"/>
      <protection locked="0"/>
    </xf>
    <xf numFmtId="164" fontId="23" fillId="0" borderId="10" xfId="0" applyNumberFormat="1" applyFont="1" applyBorder="1" applyAlignment="1" applyProtection="1">
      <alignment vertical="center"/>
      <protection locked="0"/>
    </xf>
    <xf numFmtId="8" fontId="23" fillId="0" borderId="10" xfId="1" applyFont="1" applyFill="1" applyBorder="1" applyAlignment="1" applyProtection="1">
      <alignment vertical="center"/>
    </xf>
    <xf numFmtId="8" fontId="24" fillId="0" borderId="10" xfId="1" applyFont="1" applyFill="1" applyBorder="1" applyAlignment="1" applyProtection="1">
      <alignment vertical="center"/>
      <protection locked="0"/>
    </xf>
    <xf numFmtId="166" fontId="18" fillId="0" borderId="0" xfId="0" applyNumberFormat="1" applyFont="1"/>
    <xf numFmtId="165" fontId="2" fillId="0" borderId="8" xfId="0" applyFont="1" applyBorder="1" applyAlignment="1" applyProtection="1">
      <alignment vertical="center"/>
      <protection locked="0"/>
    </xf>
    <xf numFmtId="8" fontId="16" fillId="0" borderId="11" xfId="1" applyFont="1" applyFill="1" applyBorder="1" applyAlignment="1" applyProtection="1">
      <alignment vertical="center"/>
    </xf>
    <xf numFmtId="8" fontId="16" fillId="0" borderId="52" xfId="1" applyFont="1" applyFill="1" applyBorder="1" applyAlignment="1" applyProtection="1">
      <alignment vertical="center"/>
    </xf>
    <xf numFmtId="165" fontId="16" fillId="0" borderId="0" xfId="0" applyFont="1" applyAlignment="1">
      <alignment vertical="center"/>
    </xf>
    <xf numFmtId="165" fontId="0" fillId="0" borderId="0" xfId="0" applyAlignment="1">
      <alignment horizontal="center" vertical="center"/>
    </xf>
    <xf numFmtId="165" fontId="0" fillId="0" borderId="0" xfId="0" applyAlignment="1">
      <alignment vertical="center"/>
    </xf>
    <xf numFmtId="8" fontId="0" fillId="0" borderId="0" xfId="1" applyFont="1" applyFill="1" applyAlignment="1">
      <alignment vertical="center"/>
    </xf>
    <xf numFmtId="165" fontId="13" fillId="0" borderId="49" xfId="0" applyFont="1" applyBorder="1" applyAlignment="1" applyProtection="1">
      <alignment horizontal="center" vertical="center"/>
      <protection locked="0"/>
    </xf>
    <xf numFmtId="165" fontId="16" fillId="0" borderId="49" xfId="0" applyFont="1" applyBorder="1" applyAlignment="1" applyProtection="1">
      <alignment horizontal="center" vertical="center"/>
      <protection locked="0"/>
    </xf>
    <xf numFmtId="165" fontId="16" fillId="0" borderId="44" xfId="0" applyFont="1" applyBorder="1" applyAlignment="1" applyProtection="1">
      <alignment horizontal="center" vertical="center"/>
      <protection locked="0"/>
    </xf>
    <xf numFmtId="165" fontId="3" fillId="0" borderId="44" xfId="0" applyFont="1" applyFill="1" applyBorder="1" applyAlignment="1" applyProtection="1">
      <alignment horizontal="center" vertical="center"/>
      <protection locked="0"/>
    </xf>
    <xf numFmtId="165" fontId="3" fillId="0" borderId="53" xfId="0" applyFont="1" applyFill="1" applyBorder="1" applyAlignment="1" applyProtection="1">
      <alignment horizontal="left" vertical="center"/>
      <protection locked="0"/>
    </xf>
    <xf numFmtId="165" fontId="0" fillId="0" borderId="0" xfId="0" applyBorder="1" applyAlignment="1">
      <alignment vertical="top"/>
    </xf>
    <xf numFmtId="165" fontId="14" fillId="0" borderId="53" xfId="0" applyFont="1" applyBorder="1" applyAlignment="1" applyProtection="1">
      <alignment horizontal="left" vertical="center"/>
      <protection locked="0"/>
    </xf>
    <xf numFmtId="8" fontId="20" fillId="0" borderId="13" xfId="1" applyFont="1" applyFill="1" applyBorder="1" applyAlignment="1" applyProtection="1">
      <alignment horizontal="center" vertical="center" wrapText="1"/>
    </xf>
    <xf numFmtId="8" fontId="20" fillId="0" borderId="13" xfId="1" applyFont="1" applyFill="1" applyBorder="1" applyAlignment="1" applyProtection="1">
      <alignment horizontal="center" vertical="center"/>
    </xf>
    <xf numFmtId="165" fontId="3" fillId="0" borderId="54" xfId="0" applyFont="1" applyBorder="1" applyAlignment="1" applyProtection="1">
      <alignment vertical="center"/>
      <protection locked="0"/>
    </xf>
    <xf numFmtId="165" fontId="16" fillId="0" borderId="15" xfId="0" applyFont="1" applyBorder="1" applyAlignment="1" applyProtection="1">
      <alignment horizontal="center" vertical="center"/>
      <protection locked="0"/>
    </xf>
    <xf numFmtId="164" fontId="23" fillId="0" borderId="15" xfId="0" applyNumberFormat="1" applyFont="1" applyBorder="1" applyAlignment="1" applyProtection="1">
      <alignment vertical="center"/>
      <protection locked="0"/>
    </xf>
    <xf numFmtId="8" fontId="23" fillId="0" borderId="15" xfId="1" applyFont="1" applyFill="1" applyBorder="1" applyAlignment="1" applyProtection="1">
      <alignment vertical="center"/>
    </xf>
    <xf numFmtId="8" fontId="16" fillId="0" borderId="15" xfId="1" applyFont="1" applyFill="1" applyBorder="1" applyAlignment="1" applyProtection="1">
      <alignment vertical="center"/>
    </xf>
    <xf numFmtId="8" fontId="24" fillId="0" borderId="15" xfId="1" applyFont="1" applyFill="1" applyBorder="1" applyAlignment="1" applyProtection="1">
      <alignment vertical="center"/>
      <protection locked="0"/>
    </xf>
    <xf numFmtId="8" fontId="16" fillId="0" borderId="15" xfId="1" applyFont="1" applyFill="1" applyBorder="1" applyAlignment="1" applyProtection="1">
      <alignment vertical="center"/>
      <protection locked="0"/>
    </xf>
    <xf numFmtId="8" fontId="15" fillId="0" borderId="55" xfId="1" applyFont="1" applyFill="1" applyBorder="1" applyAlignment="1" applyProtection="1">
      <alignment horizontal="center" vertical="center"/>
    </xf>
    <xf numFmtId="165" fontId="2" fillId="0" borderId="13" xfId="0" applyFont="1" applyFill="1" applyBorder="1" applyAlignment="1" applyProtection="1">
      <alignment vertical="center"/>
      <protection locked="0"/>
    </xf>
    <xf numFmtId="165" fontId="3" fillId="0" borderId="54" xfId="0" applyFont="1" applyFill="1" applyBorder="1" applyAlignment="1" applyProtection="1">
      <alignment horizontal="left" vertical="center"/>
      <protection locked="0"/>
    </xf>
    <xf numFmtId="165" fontId="15" fillId="0" borderId="34" xfId="0" applyFont="1" applyBorder="1" applyAlignment="1">
      <alignment horizontal="center" vertical="center"/>
    </xf>
    <xf numFmtId="165" fontId="15" fillId="0" borderId="26" xfId="0" applyFont="1" applyBorder="1" applyAlignment="1">
      <alignment horizontal="center" vertical="center"/>
    </xf>
    <xf numFmtId="165" fontId="15" fillId="0" borderId="27" xfId="0" applyFont="1" applyBorder="1" applyAlignment="1">
      <alignment horizontal="center" vertical="center"/>
    </xf>
    <xf numFmtId="165" fontId="15" fillId="0" borderId="35" xfId="0" applyFont="1" applyBorder="1" applyAlignment="1">
      <alignment horizontal="center" vertical="center"/>
    </xf>
    <xf numFmtId="165" fontId="15" fillId="0" borderId="0" xfId="0" applyFont="1" applyBorder="1" applyAlignment="1">
      <alignment horizontal="center" vertical="center"/>
    </xf>
    <xf numFmtId="165" fontId="15" fillId="0" borderId="1" xfId="0" applyFont="1" applyBorder="1" applyAlignment="1">
      <alignment horizontal="center" vertical="center"/>
    </xf>
    <xf numFmtId="165" fontId="16" fillId="0" borderId="31" xfId="0" applyFont="1" applyBorder="1" applyAlignment="1">
      <alignment horizontal="left" vertical="center"/>
    </xf>
    <xf numFmtId="165" fontId="16" fillId="0" borderId="3" xfId="0" applyFont="1" applyBorder="1" applyAlignment="1">
      <alignment horizontal="left" vertical="center"/>
    </xf>
    <xf numFmtId="165" fontId="16" fillId="0" borderId="2" xfId="0" applyFont="1" applyBorder="1" applyAlignment="1">
      <alignment horizontal="left" vertical="center"/>
    </xf>
    <xf numFmtId="165" fontId="0" fillId="0" borderId="38" xfId="0" applyBorder="1" applyAlignment="1">
      <alignment vertical="center"/>
    </xf>
    <xf numFmtId="165" fontId="0" fillId="0" borderId="25" xfId="0" applyBorder="1" applyAlignment="1">
      <alignment horizontal="left"/>
    </xf>
    <xf numFmtId="165" fontId="0" fillId="0" borderId="3" xfId="0" applyBorder="1" applyAlignment="1">
      <alignment horizontal="left"/>
    </xf>
    <xf numFmtId="165" fontId="0" fillId="0" borderId="20" xfId="0" applyBorder="1" applyAlignment="1">
      <alignment horizontal="left"/>
    </xf>
    <xf numFmtId="165" fontId="0" fillId="0" borderId="23" xfId="0" applyBorder="1" applyAlignment="1" applyProtection="1">
      <alignment horizontal="left" vertical="center"/>
      <protection locked="0"/>
    </xf>
    <xf numFmtId="165" fontId="0" fillId="0" borderId="24" xfId="0" applyBorder="1" applyAlignment="1" applyProtection="1">
      <alignment horizontal="left" vertical="center"/>
      <protection locked="0"/>
    </xf>
    <xf numFmtId="165" fontId="0" fillId="0" borderId="28" xfId="0" applyBorder="1" applyAlignment="1" applyProtection="1">
      <alignment horizontal="left" vertical="center"/>
      <protection locked="0"/>
    </xf>
    <xf numFmtId="168" fontId="12" fillId="0" borderId="39" xfId="0" applyNumberFormat="1" applyFont="1" applyBorder="1" applyAlignment="1">
      <alignment horizontal="center" vertical="center"/>
    </xf>
    <xf numFmtId="165" fontId="12" fillId="0" borderId="39" xfId="0" applyFont="1" applyBorder="1" applyAlignment="1">
      <alignment horizontal="center" vertical="center"/>
    </xf>
    <xf numFmtId="165" fontId="17" fillId="0" borderId="31" xfId="0" applyFont="1" applyBorder="1" applyAlignment="1">
      <alignment vertical="top"/>
    </xf>
    <xf numFmtId="165" fontId="0" fillId="0" borderId="3" xfId="0" applyBorder="1" applyAlignment="1">
      <alignment vertical="top"/>
    </xf>
    <xf numFmtId="8" fontId="17" fillId="0" borderId="33" xfId="1" applyFont="1" applyFill="1" applyBorder="1" applyAlignment="1" applyProtection="1">
      <alignment horizontal="left" vertical="center"/>
      <protection locked="0"/>
    </xf>
    <xf numFmtId="165" fontId="17" fillId="0" borderId="0" xfId="0" applyFont="1" applyBorder="1" applyAlignment="1">
      <alignment vertical="center"/>
    </xf>
    <xf numFmtId="165" fontId="17" fillId="0" borderId="1" xfId="0" applyFont="1" applyBorder="1" applyAlignment="1">
      <alignment vertical="center"/>
    </xf>
    <xf numFmtId="165" fontId="17" fillId="0" borderId="23" xfId="0" applyFont="1" applyBorder="1" applyAlignment="1">
      <alignment horizontal="left" vertical="top"/>
    </xf>
    <xf numFmtId="165" fontId="17" fillId="0" borderId="24" xfId="0" applyFont="1" applyBorder="1" applyAlignment="1">
      <alignment horizontal="left" vertical="top"/>
    </xf>
    <xf numFmtId="165" fontId="17" fillId="0" borderId="28" xfId="0" applyFont="1" applyBorder="1" applyAlignment="1">
      <alignment horizontal="left" vertical="top"/>
    </xf>
    <xf numFmtId="8" fontId="15" fillId="0" borderId="29" xfId="1" applyFont="1" applyFill="1" applyBorder="1" applyAlignment="1" applyProtection="1">
      <alignment horizontal="center" vertical="center"/>
    </xf>
    <xf numFmtId="8" fontId="18" fillId="0" borderId="24" xfId="1" applyFont="1" applyFill="1" applyBorder="1" applyAlignment="1" applyProtection="1">
      <alignment horizontal="center" vertical="center"/>
    </xf>
    <xf numFmtId="8" fontId="18" fillId="0" borderId="30" xfId="1" applyFont="1" applyFill="1" applyBorder="1" applyAlignment="1" applyProtection="1">
      <alignment horizontal="center" vertical="center"/>
    </xf>
    <xf numFmtId="165" fontId="17" fillId="0" borderId="31" xfId="0" applyFont="1" applyBorder="1" applyAlignment="1">
      <alignment horizontal="left" vertical="top"/>
    </xf>
    <xf numFmtId="165" fontId="17" fillId="0" borderId="2" xfId="0" applyFont="1" applyBorder="1" applyAlignment="1">
      <alignment horizontal="left" vertical="top"/>
    </xf>
    <xf numFmtId="165" fontId="17" fillId="0" borderId="25" xfId="0" applyFont="1" applyBorder="1" applyAlignment="1" applyProtection="1">
      <alignment horizontal="left" vertical="center"/>
      <protection locked="0"/>
    </xf>
    <xf numFmtId="165" fontId="17" fillId="0" borderId="3" xfId="0" applyFont="1" applyBorder="1" applyAlignment="1">
      <alignment vertical="center"/>
    </xf>
    <xf numFmtId="8" fontId="17" fillId="0" borderId="25" xfId="1" applyFont="1" applyFill="1" applyBorder="1" applyAlignment="1" applyProtection="1">
      <alignment horizontal="left" vertical="center"/>
      <protection locked="0"/>
    </xf>
    <xf numFmtId="165" fontId="17" fillId="0" borderId="20" xfId="0" applyFont="1" applyBorder="1" applyAlignment="1">
      <alignment vertical="center"/>
    </xf>
    <xf numFmtId="165" fontId="19" fillId="0" borderId="23" xfId="0" applyFont="1" applyBorder="1" applyAlignment="1">
      <alignment horizontal="left" vertical="top"/>
    </xf>
    <xf numFmtId="165" fontId="19" fillId="0" borderId="28" xfId="0" applyFont="1" applyBorder="1" applyAlignment="1">
      <alignment horizontal="left" vertical="top"/>
    </xf>
    <xf numFmtId="165" fontId="0" fillId="0" borderId="29" xfId="0" applyBorder="1" applyAlignment="1" applyProtection="1">
      <alignment vertical="center"/>
      <protection locked="0"/>
    </xf>
    <xf numFmtId="165" fontId="0" fillId="0" borderId="24" xfId="0" applyBorder="1" applyAlignment="1">
      <alignment vertical="center"/>
    </xf>
    <xf numFmtId="8" fontId="16" fillId="0" borderId="29" xfId="1" applyFont="1" applyFill="1" applyBorder="1" applyAlignment="1" applyProtection="1">
      <alignment horizontal="left" vertical="center"/>
      <protection locked="0"/>
    </xf>
    <xf numFmtId="8" fontId="16" fillId="0" borderId="24" xfId="1" applyFont="1" applyFill="1" applyBorder="1" applyAlignment="1" applyProtection="1">
      <alignment horizontal="left" vertical="center"/>
      <protection locked="0"/>
    </xf>
    <xf numFmtId="8" fontId="16" fillId="0" borderId="30" xfId="1" applyFont="1" applyFill="1" applyBorder="1" applyAlignment="1" applyProtection="1">
      <alignment horizontal="left" vertical="center"/>
      <protection locked="0"/>
    </xf>
    <xf numFmtId="165" fontId="20" fillId="0" borderId="21" xfId="0" applyFont="1" applyBorder="1" applyAlignment="1">
      <alignment horizontal="center" vertical="center"/>
    </xf>
    <xf numFmtId="165" fontId="20" fillId="0" borderId="22" xfId="0" applyFont="1" applyBorder="1" applyAlignment="1">
      <alignment horizontal="center" vertical="center"/>
    </xf>
    <xf numFmtId="165" fontId="20" fillId="0" borderId="41" xfId="0" applyFont="1" applyBorder="1" applyAlignment="1">
      <alignment horizontal="center" vertical="center"/>
    </xf>
    <xf numFmtId="165" fontId="21" fillId="0" borderId="38" xfId="0" applyFont="1" applyBorder="1" applyAlignment="1">
      <alignment horizontal="center" vertical="center" wrapText="1"/>
    </xf>
    <xf numFmtId="165" fontId="21" fillId="0" borderId="42" xfId="0" applyFont="1" applyBorder="1" applyAlignment="1">
      <alignment horizontal="center" vertical="center" wrapText="1"/>
    </xf>
    <xf numFmtId="165" fontId="21" fillId="0" borderId="39" xfId="0" applyFont="1" applyBorder="1" applyAlignment="1">
      <alignment horizontal="center" vertical="center" wrapText="1"/>
    </xf>
    <xf numFmtId="165" fontId="21" fillId="0" borderId="38" xfId="0" applyFont="1" applyBorder="1" applyAlignment="1">
      <alignment horizontal="center" vertical="center"/>
    </xf>
    <xf numFmtId="165" fontId="21" fillId="0" borderId="42" xfId="0" applyFont="1" applyBorder="1" applyAlignment="1">
      <alignment horizontal="center" vertical="center"/>
    </xf>
    <xf numFmtId="165" fontId="21" fillId="0" borderId="39" xfId="0" applyFont="1" applyBorder="1" applyAlignment="1">
      <alignment horizontal="center" vertical="center"/>
    </xf>
    <xf numFmtId="8" fontId="20" fillId="0" borderId="36" xfId="1" applyFont="1" applyFill="1" applyBorder="1" applyAlignment="1" applyProtection="1">
      <alignment horizontal="center" vertical="center"/>
    </xf>
    <xf numFmtId="8" fontId="20" fillId="0" borderId="37" xfId="1" applyFont="1" applyFill="1" applyBorder="1" applyAlignment="1" applyProtection="1">
      <alignment horizontal="center" vertical="center"/>
    </xf>
    <xf numFmtId="165" fontId="0" fillId="0" borderId="51" xfId="0" applyBorder="1" applyAlignment="1">
      <alignment horizontal="center" vertical="center"/>
    </xf>
    <xf numFmtId="165" fontId="0" fillId="0" borderId="37" xfId="0" applyBorder="1" applyAlignment="1">
      <alignment horizontal="center" vertical="center"/>
    </xf>
    <xf numFmtId="8" fontId="20" fillId="0" borderId="38" xfId="1" applyFont="1" applyFill="1" applyBorder="1" applyAlignment="1" applyProtection="1">
      <alignment horizontal="center"/>
    </xf>
    <xf numFmtId="8" fontId="20" fillId="0" borderId="39" xfId="1" applyFont="1" applyFill="1" applyBorder="1" applyAlignment="1" applyProtection="1">
      <alignment horizontal="center"/>
    </xf>
    <xf numFmtId="165" fontId="6" fillId="0" borderId="23" xfId="0" applyFont="1" applyFill="1" applyBorder="1" applyAlignment="1" applyProtection="1">
      <alignment vertical="center"/>
      <protection locked="0"/>
    </xf>
    <xf numFmtId="165" fontId="6" fillId="0" borderId="24" xfId="0" applyFont="1" applyFill="1" applyBorder="1" applyAlignment="1">
      <alignment vertical="center"/>
    </xf>
    <xf numFmtId="165" fontId="6" fillId="0" borderId="29" xfId="0" applyFont="1" applyFill="1" applyBorder="1" applyAlignment="1" applyProtection="1">
      <alignment vertical="center"/>
      <protection locked="0"/>
    </xf>
    <xf numFmtId="8" fontId="3" fillId="0" borderId="29" xfId="1" applyFont="1" applyFill="1" applyBorder="1" applyAlignment="1" applyProtection="1">
      <alignment horizontal="left" vertical="center"/>
      <protection locked="0"/>
    </xf>
    <xf numFmtId="8" fontId="3" fillId="0" borderId="24" xfId="1" applyFont="1" applyFill="1" applyBorder="1" applyAlignment="1" applyProtection="1">
      <alignment horizontal="left" vertical="center"/>
      <protection locked="0"/>
    </xf>
    <xf numFmtId="8" fontId="3" fillId="0" borderId="30" xfId="1" applyFont="1" applyFill="1" applyBorder="1" applyAlignment="1" applyProtection="1">
      <alignment horizontal="left" vertical="center"/>
      <protection locked="0"/>
    </xf>
    <xf numFmtId="165" fontId="8" fillId="0" borderId="21" xfId="0" applyFont="1" applyFill="1" applyBorder="1" applyAlignment="1" applyProtection="1">
      <alignment horizontal="center" vertical="center"/>
    </xf>
    <xf numFmtId="165" fontId="8" fillId="0" borderId="22" xfId="0" applyFont="1" applyFill="1" applyBorder="1" applyAlignment="1" applyProtection="1">
      <alignment horizontal="center" vertical="center"/>
    </xf>
    <xf numFmtId="165" fontId="8" fillId="0" borderId="41" xfId="0" applyFont="1" applyFill="1" applyBorder="1" applyAlignment="1" applyProtection="1">
      <alignment horizontal="center" vertical="center"/>
    </xf>
    <xf numFmtId="165" fontId="9" fillId="0" borderId="38" xfId="0" applyFont="1" applyFill="1" applyBorder="1" applyAlignment="1" applyProtection="1">
      <alignment horizontal="center" vertical="center" wrapText="1"/>
    </xf>
    <xf numFmtId="165" fontId="9" fillId="0" borderId="42" xfId="0" applyFont="1" applyFill="1" applyBorder="1" applyAlignment="1" applyProtection="1">
      <alignment horizontal="center" vertical="center" wrapText="1"/>
    </xf>
    <xf numFmtId="165" fontId="9" fillId="0" borderId="39" xfId="0" applyFont="1" applyFill="1" applyBorder="1" applyAlignment="1" applyProtection="1">
      <alignment horizontal="center" vertical="center" wrapText="1"/>
    </xf>
    <xf numFmtId="165" fontId="9" fillId="0" borderId="38" xfId="0" applyFont="1" applyFill="1" applyBorder="1" applyAlignment="1" applyProtection="1">
      <alignment horizontal="center" vertical="center"/>
    </xf>
    <xf numFmtId="165" fontId="9" fillId="0" borderId="42" xfId="0" applyFont="1" applyFill="1" applyBorder="1" applyAlignment="1" applyProtection="1">
      <alignment horizontal="center" vertical="center"/>
    </xf>
    <xf numFmtId="165" fontId="9" fillId="0" borderId="39" xfId="0" applyFont="1" applyFill="1" applyBorder="1" applyAlignment="1" applyProtection="1">
      <alignment horizontal="center" vertical="center"/>
    </xf>
    <xf numFmtId="8" fontId="8" fillId="0" borderId="36" xfId="1" applyFont="1" applyFill="1" applyBorder="1" applyAlignment="1" applyProtection="1">
      <alignment horizontal="center" vertical="center"/>
    </xf>
    <xf numFmtId="8" fontId="8" fillId="0" borderId="37" xfId="1" applyFont="1" applyFill="1" applyBorder="1" applyAlignment="1" applyProtection="1">
      <alignment horizontal="center" vertical="center"/>
    </xf>
    <xf numFmtId="8" fontId="8" fillId="0" borderId="38" xfId="1" applyFont="1" applyFill="1" applyBorder="1" applyAlignment="1" applyProtection="1">
      <alignment horizontal="center"/>
    </xf>
    <xf numFmtId="8" fontId="8" fillId="0" borderId="39" xfId="1" applyFont="1" applyFill="1" applyBorder="1" applyAlignment="1" applyProtection="1">
      <alignment horizontal="center"/>
    </xf>
    <xf numFmtId="165" fontId="3" fillId="0" borderId="31" xfId="0" applyFont="1" applyFill="1" applyBorder="1" applyAlignment="1">
      <alignment vertical="top"/>
    </xf>
    <xf numFmtId="165" fontId="6" fillId="0" borderId="3" xfId="0" applyFont="1" applyBorder="1" applyAlignment="1">
      <alignment vertical="top"/>
    </xf>
    <xf numFmtId="8" fontId="3" fillId="0" borderId="33" xfId="1" applyFont="1" applyFill="1" applyBorder="1" applyAlignment="1" applyProtection="1">
      <alignment horizontal="left" vertical="center"/>
      <protection locked="0"/>
    </xf>
    <xf numFmtId="165" fontId="3" fillId="0" borderId="0" xfId="0" applyFont="1" applyFill="1" applyBorder="1" applyAlignment="1">
      <alignment vertical="center"/>
    </xf>
    <xf numFmtId="165" fontId="3" fillId="0" borderId="1" xfId="0" applyFont="1" applyFill="1" applyBorder="1" applyAlignment="1">
      <alignment vertical="center"/>
    </xf>
    <xf numFmtId="165" fontId="6" fillId="0" borderId="23" xfId="0" applyFont="1" applyFill="1" applyBorder="1" applyAlignment="1" applyProtection="1">
      <alignment horizontal="left" vertical="center"/>
      <protection locked="0"/>
    </xf>
    <xf numFmtId="165" fontId="6" fillId="0" borderId="24" xfId="0" applyFont="1" applyFill="1" applyBorder="1" applyAlignment="1" applyProtection="1">
      <alignment horizontal="left" vertical="center"/>
      <protection locked="0"/>
    </xf>
    <xf numFmtId="165" fontId="6" fillId="0" borderId="28" xfId="0" applyFont="1" applyFill="1" applyBorder="1" applyAlignment="1" applyProtection="1">
      <alignment horizontal="left" vertical="center"/>
      <protection locked="0"/>
    </xf>
    <xf numFmtId="8" fontId="7" fillId="0" borderId="29" xfId="1" applyNumberFormat="1" applyFont="1" applyFill="1" applyBorder="1" applyAlignment="1" applyProtection="1">
      <alignment horizontal="center" vertical="center"/>
    </xf>
    <xf numFmtId="8" fontId="7" fillId="0" borderId="24" xfId="1" applyNumberFormat="1" applyFont="1" applyFill="1" applyBorder="1" applyAlignment="1" applyProtection="1">
      <alignment horizontal="center" vertical="center"/>
    </xf>
    <xf numFmtId="8" fontId="7" fillId="0" borderId="30" xfId="1" applyNumberFormat="1" applyFont="1" applyFill="1" applyBorder="1" applyAlignment="1" applyProtection="1">
      <alignment horizontal="center" vertical="center"/>
    </xf>
    <xf numFmtId="165" fontId="3" fillId="0" borderId="31" xfId="0" applyFont="1" applyFill="1" applyBorder="1" applyAlignment="1">
      <alignment horizontal="left" vertical="top"/>
    </xf>
    <xf numFmtId="165" fontId="3" fillId="0" borderId="2" xfId="0" applyFont="1" applyFill="1" applyBorder="1" applyAlignment="1">
      <alignment horizontal="left" vertical="top"/>
    </xf>
    <xf numFmtId="165" fontId="3" fillId="0" borderId="25" xfId="0" applyFont="1" applyFill="1" applyBorder="1" applyAlignment="1" applyProtection="1">
      <alignment horizontal="left" vertical="center"/>
      <protection locked="0"/>
    </xf>
    <xf numFmtId="165" fontId="3" fillId="0" borderId="3" xfId="0" applyFont="1" applyFill="1" applyBorder="1" applyAlignment="1">
      <alignment vertical="center"/>
    </xf>
    <xf numFmtId="8" fontId="3" fillId="0" borderId="25" xfId="1" applyFont="1" applyFill="1" applyBorder="1" applyAlignment="1" applyProtection="1">
      <alignment horizontal="left" vertical="center"/>
      <protection locked="0"/>
    </xf>
    <xf numFmtId="165" fontId="3" fillId="0" borderId="20" xfId="0" applyFont="1" applyFill="1" applyBorder="1" applyAlignment="1">
      <alignment vertical="center"/>
    </xf>
    <xf numFmtId="165" fontId="2" fillId="0" borderId="34" xfId="0" applyFont="1" applyFill="1" applyBorder="1" applyAlignment="1">
      <alignment horizontal="center" vertical="center"/>
    </xf>
    <xf numFmtId="165" fontId="2" fillId="0" borderId="26" xfId="0" applyFont="1" applyFill="1" applyBorder="1" applyAlignment="1">
      <alignment horizontal="center" vertical="center"/>
    </xf>
    <xf numFmtId="165" fontId="2" fillId="0" borderId="27" xfId="0" applyFont="1" applyFill="1" applyBorder="1" applyAlignment="1">
      <alignment horizontal="center" vertical="center"/>
    </xf>
    <xf numFmtId="165" fontId="2" fillId="0" borderId="35" xfId="0" applyFont="1" applyFill="1" applyBorder="1" applyAlignment="1">
      <alignment horizontal="center" vertical="center"/>
    </xf>
    <xf numFmtId="165" fontId="2" fillId="0" borderId="0" xfId="0" applyFont="1" applyFill="1" applyBorder="1" applyAlignment="1">
      <alignment horizontal="center" vertical="center"/>
    </xf>
    <xf numFmtId="165" fontId="2" fillId="0" borderId="1" xfId="0" applyFont="1" applyFill="1" applyBorder="1" applyAlignment="1">
      <alignment horizontal="center" vertical="center"/>
    </xf>
    <xf numFmtId="165" fontId="3" fillId="0" borderId="31" xfId="0" applyFont="1" applyFill="1" applyBorder="1" applyAlignment="1">
      <alignment horizontal="left" vertical="center"/>
    </xf>
    <xf numFmtId="165" fontId="3" fillId="0" borderId="3" xfId="0" applyFont="1" applyFill="1" applyBorder="1" applyAlignment="1">
      <alignment horizontal="left" vertical="center"/>
    </xf>
    <xf numFmtId="165" fontId="3" fillId="0" borderId="2" xfId="0" applyFont="1" applyFill="1" applyBorder="1" applyAlignment="1">
      <alignment horizontal="left" vertical="center"/>
    </xf>
    <xf numFmtId="165" fontId="6" fillId="0" borderId="38" xfId="0" applyFont="1" applyFill="1" applyBorder="1" applyAlignment="1">
      <alignment vertical="center"/>
    </xf>
    <xf numFmtId="165" fontId="6" fillId="0" borderId="25" xfId="0" applyFont="1" applyFill="1" applyBorder="1" applyAlignment="1">
      <alignment horizontal="left"/>
    </xf>
    <xf numFmtId="165" fontId="6" fillId="0" borderId="3" xfId="0" applyFont="1" applyFill="1" applyBorder="1" applyAlignment="1">
      <alignment horizontal="left"/>
    </xf>
    <xf numFmtId="165" fontId="6" fillId="0" borderId="20" xfId="0" applyFont="1" applyFill="1" applyBorder="1" applyAlignment="1">
      <alignment horizontal="left"/>
    </xf>
    <xf numFmtId="168" fontId="6" fillId="0" borderId="39" xfId="0" applyNumberFormat="1" applyFont="1" applyFill="1" applyBorder="1" applyAlignment="1">
      <alignment horizontal="center" vertical="center"/>
    </xf>
    <xf numFmtId="6" fontId="7" fillId="0" borderId="29" xfId="1" applyNumberFormat="1" applyFont="1" applyFill="1" applyBorder="1" applyAlignment="1" applyProtection="1">
      <alignment horizontal="center" vertical="center"/>
    </xf>
    <xf numFmtId="6" fontId="7" fillId="0" borderId="24" xfId="1" applyNumberFormat="1" applyFont="1" applyFill="1" applyBorder="1" applyAlignment="1" applyProtection="1">
      <alignment horizontal="center" vertical="center"/>
    </xf>
    <xf numFmtId="6" fontId="7" fillId="0" borderId="30" xfId="1" applyNumberFormat="1" applyFont="1" applyFill="1" applyBorder="1" applyAlignment="1" applyProtection="1">
      <alignment horizontal="center" vertic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6CE8-400B-4C07-B637-1C07B828B62B}">
  <sheetPr transitionEvaluation="1"/>
  <dimension ref="A1:L86"/>
  <sheetViews>
    <sheetView showGridLines="0" showZeros="0" tabSelected="1" zoomScale="106" zoomScaleNormal="106" workbookViewId="0">
      <pane ySplit="11" topLeftCell="A12" activePane="bottomLeft" state="frozen"/>
      <selection activeCell="F110" sqref="F110"/>
      <selection pane="bottomLeft" activeCell="E12" sqref="E12"/>
    </sheetView>
  </sheetViews>
  <sheetFormatPr defaultColWidth="12.6640625" defaultRowHeight="15.75" x14ac:dyDescent="0.25"/>
  <cols>
    <col min="1" max="1" width="25" style="140" customWidth="1"/>
    <col min="2" max="2" width="7.33203125" style="139" customWidth="1"/>
    <col min="3" max="3" width="6.77734375" style="140" customWidth="1"/>
    <col min="4" max="4" width="11" style="141" customWidth="1"/>
    <col min="5" max="5" width="12.44140625" style="141" customWidth="1"/>
    <col min="6" max="6" width="10.6640625" style="141" customWidth="1"/>
    <col min="7" max="7" width="11.5546875" style="141" customWidth="1"/>
    <col min="8" max="8" width="13.44140625" style="141" customWidth="1"/>
    <col min="9" max="9" width="11" style="141" customWidth="1"/>
    <col min="10" max="10" width="14.44140625" style="141" customWidth="1"/>
  </cols>
  <sheetData>
    <row r="1" spans="1:10" x14ac:dyDescent="0.2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0" x14ac:dyDescent="0.25">
      <c r="A2" s="164"/>
      <c r="B2" s="165"/>
      <c r="C2" s="165"/>
      <c r="D2" s="165"/>
      <c r="E2" s="165"/>
      <c r="F2" s="165"/>
      <c r="G2" s="165"/>
      <c r="H2" s="165"/>
      <c r="I2" s="165"/>
      <c r="J2" s="166"/>
    </row>
    <row r="3" spans="1:10" x14ac:dyDescent="0.25">
      <c r="A3" s="167"/>
      <c r="B3" s="168"/>
      <c r="C3" s="169"/>
      <c r="D3" s="170" t="s">
        <v>45</v>
      </c>
      <c r="E3" s="170"/>
      <c r="F3" s="103"/>
      <c r="G3" s="171" t="s">
        <v>44</v>
      </c>
      <c r="H3" s="172"/>
      <c r="I3" s="172"/>
      <c r="J3" s="173"/>
    </row>
    <row r="4" spans="1:10" x14ac:dyDescent="0.25">
      <c r="A4" s="174"/>
      <c r="B4" s="175"/>
      <c r="C4" s="176"/>
      <c r="D4" s="177">
        <v>45883</v>
      </c>
      <c r="E4" s="178"/>
      <c r="F4" s="104"/>
      <c r="G4" s="105" t="s">
        <v>48</v>
      </c>
      <c r="H4" s="105"/>
      <c r="I4" s="105"/>
      <c r="J4" s="106"/>
    </row>
    <row r="5" spans="1:10" x14ac:dyDescent="0.25">
      <c r="A5" s="179" t="s">
        <v>41</v>
      </c>
      <c r="B5" s="180"/>
      <c r="C5" s="180"/>
      <c r="D5" s="180"/>
      <c r="E5" s="180"/>
      <c r="F5" s="147"/>
      <c r="G5" s="181" t="s">
        <v>49</v>
      </c>
      <c r="H5" s="182"/>
      <c r="I5" s="182"/>
      <c r="J5" s="183"/>
    </row>
    <row r="6" spans="1:10" x14ac:dyDescent="0.25">
      <c r="A6" s="184" t="s">
        <v>264</v>
      </c>
      <c r="B6" s="185"/>
      <c r="C6" s="185"/>
      <c r="D6" s="185"/>
      <c r="E6" s="185"/>
      <c r="F6" s="186"/>
      <c r="G6" s="187">
        <f>SUM(J21)</f>
        <v>0</v>
      </c>
      <c r="H6" s="188"/>
      <c r="I6" s="188"/>
      <c r="J6" s="189"/>
    </row>
    <row r="7" spans="1:10" x14ac:dyDescent="0.25">
      <c r="A7" s="190" t="s">
        <v>50</v>
      </c>
      <c r="B7" s="191"/>
      <c r="C7" s="192" t="s">
        <v>40</v>
      </c>
      <c r="D7" s="193"/>
      <c r="E7" s="193"/>
      <c r="F7" s="107"/>
      <c r="G7" s="194" t="s">
        <v>43</v>
      </c>
      <c r="H7" s="193"/>
      <c r="I7" s="193"/>
      <c r="J7" s="195"/>
    </row>
    <row r="8" spans="1:10" x14ac:dyDescent="0.25">
      <c r="A8" s="196" t="s">
        <v>275</v>
      </c>
      <c r="B8" s="197"/>
      <c r="C8" s="198" t="s">
        <v>265</v>
      </c>
      <c r="D8" s="199"/>
      <c r="E8" s="199"/>
      <c r="F8" s="108"/>
      <c r="G8" s="200" t="s">
        <v>54</v>
      </c>
      <c r="H8" s="201"/>
      <c r="I8" s="201"/>
      <c r="J8" s="202"/>
    </row>
    <row r="9" spans="1:10" x14ac:dyDescent="0.25">
      <c r="A9" s="203" t="s">
        <v>39</v>
      </c>
      <c r="B9" s="206" t="s">
        <v>52</v>
      </c>
      <c r="C9" s="209" t="s">
        <v>51</v>
      </c>
      <c r="D9" s="212" t="s">
        <v>53</v>
      </c>
      <c r="E9" s="213"/>
      <c r="F9" s="212" t="s">
        <v>3</v>
      </c>
      <c r="G9" s="214"/>
      <c r="H9" s="215"/>
      <c r="I9" s="109" t="s">
        <v>35</v>
      </c>
      <c r="J9" s="110"/>
    </row>
    <row r="10" spans="1:10" x14ac:dyDescent="0.25">
      <c r="A10" s="204"/>
      <c r="B10" s="207"/>
      <c r="C10" s="210"/>
      <c r="D10" s="216" t="s">
        <v>2</v>
      </c>
      <c r="E10" s="111"/>
      <c r="F10" s="109" t="s">
        <v>267</v>
      </c>
      <c r="G10" s="109" t="s">
        <v>33</v>
      </c>
      <c r="H10" s="111"/>
      <c r="I10" s="112" t="s">
        <v>36</v>
      </c>
      <c r="J10" s="113" t="s">
        <v>38</v>
      </c>
    </row>
    <row r="11" spans="1:10" x14ac:dyDescent="0.25">
      <c r="A11" s="205"/>
      <c r="B11" s="208"/>
      <c r="C11" s="211"/>
      <c r="D11" s="217"/>
      <c r="E11" s="112" t="s">
        <v>4</v>
      </c>
      <c r="F11" s="112" t="s">
        <v>268</v>
      </c>
      <c r="G11" s="112" t="s">
        <v>34</v>
      </c>
      <c r="H11" s="112" t="s">
        <v>4</v>
      </c>
      <c r="I11" s="112" t="s">
        <v>37</v>
      </c>
      <c r="J11" s="113" t="s">
        <v>4</v>
      </c>
    </row>
    <row r="12" spans="1:10" ht="15.75" customHeight="1" x14ac:dyDescent="0.25">
      <c r="A12" s="114"/>
      <c r="B12" s="115"/>
      <c r="C12" s="116"/>
      <c r="D12" s="117"/>
      <c r="E12" s="118"/>
      <c r="F12" s="118"/>
      <c r="G12" s="117"/>
      <c r="H12" s="118"/>
      <c r="I12" s="117"/>
      <c r="J12" s="119"/>
    </row>
    <row r="13" spans="1:10" ht="15.75" customHeight="1" x14ac:dyDescent="0.25">
      <c r="A13" s="148"/>
      <c r="B13" s="94"/>
      <c r="C13" s="92"/>
      <c r="D13" s="93"/>
      <c r="E13" s="93"/>
      <c r="F13" s="93"/>
      <c r="G13" s="96"/>
      <c r="H13" s="93"/>
      <c r="I13" s="95"/>
      <c r="J13" s="97"/>
    </row>
    <row r="14" spans="1:10" x14ac:dyDescent="0.25">
      <c r="A14" s="149" t="s">
        <v>274</v>
      </c>
      <c r="B14" s="98"/>
      <c r="C14" s="92"/>
      <c r="D14" s="120"/>
      <c r="E14" s="120"/>
      <c r="F14" s="120"/>
      <c r="G14" s="121"/>
      <c r="H14" s="120"/>
      <c r="I14" s="96"/>
      <c r="J14" s="122">
        <f>SUM(Equipment!I40)</f>
        <v>0</v>
      </c>
    </row>
    <row r="15" spans="1:10" ht="15.75" customHeight="1" x14ac:dyDescent="0.25">
      <c r="A15" s="150" t="s">
        <v>269</v>
      </c>
      <c r="B15" s="142"/>
      <c r="C15" s="99"/>
      <c r="D15" s="123"/>
      <c r="E15" s="120"/>
      <c r="F15" s="124"/>
      <c r="G15" s="123"/>
      <c r="H15" s="120"/>
      <c r="I15" s="96"/>
      <c r="J15" s="122">
        <f>SUM('668 Renovation'!I256)</f>
        <v>0</v>
      </c>
    </row>
    <row r="16" spans="1:10" ht="15.75" customHeight="1" x14ac:dyDescent="0.25">
      <c r="A16" s="150"/>
      <c r="B16" s="143"/>
      <c r="C16" s="126"/>
      <c r="D16" s="127"/>
      <c r="E16" s="124"/>
      <c r="F16" s="124"/>
      <c r="G16" s="128"/>
      <c r="H16" s="124"/>
      <c r="I16" s="123"/>
      <c r="J16" s="129"/>
    </row>
    <row r="17" spans="1:10" ht="15.75" customHeight="1" x14ac:dyDescent="0.25">
      <c r="A17" s="150"/>
      <c r="B17" s="144"/>
      <c r="C17" s="131"/>
      <c r="D17" s="132"/>
      <c r="E17" s="120"/>
      <c r="F17" s="120"/>
      <c r="G17" s="133"/>
      <c r="H17" s="120"/>
      <c r="I17" s="133"/>
      <c r="J17" s="122"/>
    </row>
    <row r="18" spans="1:10" s="134" customFormat="1" ht="15.75" customHeight="1" x14ac:dyDescent="0.25">
      <c r="A18" s="125"/>
      <c r="B18" s="130"/>
      <c r="C18" s="131"/>
      <c r="D18" s="132"/>
      <c r="E18" s="120"/>
      <c r="F18" s="120"/>
      <c r="G18" s="133"/>
      <c r="H18" s="120"/>
      <c r="I18" s="121"/>
      <c r="J18" s="122"/>
    </row>
    <row r="19" spans="1:10" ht="15.75" customHeight="1" x14ac:dyDescent="0.25">
      <c r="A19" s="135"/>
      <c r="B19" s="130"/>
      <c r="C19" s="131"/>
      <c r="D19" s="132"/>
      <c r="E19" s="120"/>
      <c r="F19" s="120"/>
      <c r="G19" s="133"/>
      <c r="H19" s="120"/>
      <c r="I19" s="133"/>
      <c r="J19" s="136"/>
    </row>
    <row r="20" spans="1:10" ht="15.75" customHeight="1" x14ac:dyDescent="0.25">
      <c r="A20" s="5"/>
      <c r="B20" s="130"/>
      <c r="C20" s="131"/>
      <c r="D20" s="132"/>
      <c r="E20" s="120"/>
      <c r="F20" s="120"/>
      <c r="G20" s="133"/>
      <c r="H20" s="120"/>
      <c r="I20" s="121"/>
      <c r="J20" s="137"/>
    </row>
    <row r="21" spans="1:10" ht="15.75" customHeight="1" thickBot="1" x14ac:dyDescent="0.3">
      <c r="A21" s="151"/>
      <c r="B21" s="152"/>
      <c r="C21" s="153"/>
      <c r="D21" s="154"/>
      <c r="E21" s="155"/>
      <c r="F21" s="155"/>
      <c r="G21" s="156"/>
      <c r="H21" s="155"/>
      <c r="I21" s="157" t="s">
        <v>266</v>
      </c>
      <c r="J21" s="158">
        <f>SUM(J14:J20)</f>
        <v>0</v>
      </c>
    </row>
    <row r="22" spans="1:10" ht="15.75" customHeight="1" x14ac:dyDescent="0.25">
      <c r="A22" s="138"/>
    </row>
    <row r="23" spans="1:10" ht="15.75" customHeight="1" x14ac:dyDescent="0.25"/>
    <row r="24" spans="1:10" ht="15.75" customHeight="1" x14ac:dyDescent="0.25">
      <c r="I24" s="102"/>
      <c r="J24" s="102"/>
    </row>
    <row r="25" spans="1:10" ht="15.75" customHeight="1" x14ac:dyDescent="0.25">
      <c r="A25" s="102" t="s">
        <v>46</v>
      </c>
      <c r="B25" s="100"/>
      <c r="C25" s="101"/>
      <c r="D25" s="102"/>
      <c r="E25" s="102"/>
      <c r="F25" s="102"/>
      <c r="G25" s="100"/>
      <c r="I25"/>
      <c r="J25"/>
    </row>
    <row r="26" spans="1:10" ht="15.75" customHeight="1" x14ac:dyDescent="0.25">
      <c r="A26"/>
      <c r="B26"/>
      <c r="C26"/>
      <c r="D26"/>
      <c r="E26"/>
      <c r="F26"/>
      <c r="G26"/>
      <c r="H26"/>
      <c r="I26"/>
      <c r="J26"/>
    </row>
    <row r="27" spans="1:10" ht="15.75" customHeight="1" x14ac:dyDescent="0.25">
      <c r="A27"/>
      <c r="B27"/>
      <c r="C27"/>
      <c r="D27"/>
      <c r="E27"/>
      <c r="F27"/>
      <c r="G27"/>
      <c r="H27"/>
      <c r="I27"/>
      <c r="J27"/>
    </row>
    <row r="28" spans="1:10" ht="15.75" customHeight="1" x14ac:dyDescent="0.25">
      <c r="A28"/>
      <c r="B28"/>
      <c r="C28"/>
      <c r="D28"/>
      <c r="E28"/>
      <c r="F28"/>
      <c r="G28"/>
      <c r="H28"/>
      <c r="I28"/>
      <c r="J28"/>
    </row>
    <row r="29" spans="1:10" ht="15.75" customHeight="1" x14ac:dyDescent="0.25">
      <c r="A29"/>
      <c r="B29"/>
      <c r="C29"/>
      <c r="D29"/>
      <c r="E29"/>
      <c r="F29"/>
      <c r="G29"/>
      <c r="H29"/>
      <c r="I29"/>
      <c r="J29"/>
    </row>
    <row r="30" spans="1:10" ht="15.75" customHeight="1" x14ac:dyDescent="0.25">
      <c r="A30"/>
      <c r="B30"/>
      <c r="C30"/>
      <c r="D30"/>
      <c r="E30"/>
      <c r="F30"/>
      <c r="G30"/>
      <c r="H30"/>
      <c r="I30"/>
      <c r="J30"/>
    </row>
    <row r="31" spans="1:10" ht="15.75" customHeight="1" x14ac:dyDescent="0.25">
      <c r="A31"/>
      <c r="B31"/>
      <c r="C31"/>
      <c r="D31"/>
      <c r="E31"/>
      <c r="F31"/>
      <c r="G31"/>
      <c r="H31"/>
      <c r="I31"/>
      <c r="J31"/>
    </row>
    <row r="32" spans="1:10" ht="15.75" customHeight="1" x14ac:dyDescent="0.25">
      <c r="A32"/>
      <c r="B32"/>
      <c r="C32"/>
      <c r="D32"/>
      <c r="E32"/>
      <c r="F32"/>
      <c r="G32"/>
      <c r="H32"/>
      <c r="I32"/>
      <c r="J32"/>
    </row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spans="1:12" ht="15.75" customHeight="1" x14ac:dyDescent="0.25">
      <c r="A81"/>
      <c r="B81"/>
      <c r="C81"/>
      <c r="D81"/>
      <c r="E81"/>
      <c r="F81"/>
      <c r="G81"/>
      <c r="H81"/>
      <c r="I81"/>
      <c r="J81"/>
    </row>
    <row r="82" spans="1:12" ht="15.75" customHeight="1" x14ac:dyDescent="0.25">
      <c r="A82"/>
      <c r="B82"/>
      <c r="C82"/>
      <c r="D82"/>
      <c r="E82"/>
      <c r="F82"/>
      <c r="G82"/>
      <c r="H82"/>
      <c r="I82"/>
      <c r="J82"/>
    </row>
    <row r="83" spans="1:12" ht="15.75" customHeight="1" x14ac:dyDescent="0.25">
      <c r="A83"/>
      <c r="B83"/>
      <c r="C83"/>
      <c r="D83"/>
      <c r="E83"/>
      <c r="F83"/>
      <c r="G83"/>
      <c r="H83"/>
      <c r="I83"/>
      <c r="J83"/>
    </row>
    <row r="84" spans="1:12" ht="15.75" customHeight="1" x14ac:dyDescent="0.25">
      <c r="A84"/>
      <c r="B84"/>
      <c r="C84"/>
      <c r="D84"/>
      <c r="E84"/>
      <c r="F84"/>
      <c r="G84"/>
      <c r="H84"/>
      <c r="I84"/>
      <c r="J84"/>
    </row>
    <row r="85" spans="1:12" ht="15.75" customHeight="1" x14ac:dyDescent="0.25"/>
    <row r="86" spans="1:12" ht="15.75" customHeight="1" x14ac:dyDescent="0.25">
      <c r="A86" s="102"/>
      <c r="B86" s="100"/>
      <c r="C86" s="101"/>
      <c r="D86" s="102"/>
      <c r="E86" s="102"/>
      <c r="F86" s="102"/>
      <c r="G86" s="100"/>
      <c r="I86" s="102"/>
      <c r="J86" s="102"/>
      <c r="K86" s="102"/>
      <c r="L86" s="102"/>
    </row>
  </sheetData>
  <mergeCells count="22">
    <mergeCell ref="A8:B8"/>
    <mergeCell ref="C8:E8"/>
    <mergeCell ref="G8:J8"/>
    <mergeCell ref="A9:A11"/>
    <mergeCell ref="B9:B11"/>
    <mergeCell ref="C9:C11"/>
    <mergeCell ref="D9:E9"/>
    <mergeCell ref="F9:H9"/>
    <mergeCell ref="D10:D11"/>
    <mergeCell ref="A5:E5"/>
    <mergeCell ref="G5:J5"/>
    <mergeCell ref="A6:F6"/>
    <mergeCell ref="G6:J6"/>
    <mergeCell ref="A7:B7"/>
    <mergeCell ref="C7:E7"/>
    <mergeCell ref="G7:J7"/>
    <mergeCell ref="A1:J2"/>
    <mergeCell ref="A3:C3"/>
    <mergeCell ref="D3:E3"/>
    <mergeCell ref="G3:J3"/>
    <mergeCell ref="A4:C4"/>
    <mergeCell ref="D4:E4"/>
  </mergeCells>
  <printOptions horizontalCentered="1" gridLinesSet="0"/>
  <pageMargins left="0.25" right="0.25" top="0.75" bottom="0.75" header="0.3" footer="0.3"/>
  <pageSetup scale="90" orientation="landscape" horizontalDpi="4294967292" verticalDpi="4294967292" r:id="rId1"/>
  <headerFooter alignWithMargins="0"/>
  <rowBreaks count="1" manualBreakCount="1">
    <brk id="43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9A45-F5BA-4DC3-9A51-AEA85458E6E0}">
  <sheetPr transitionEvaluation="1"/>
  <dimension ref="A1:K43"/>
  <sheetViews>
    <sheetView showGridLines="0" showZeros="0" zoomScale="110" zoomScaleNormal="110" workbookViewId="0">
      <pane ySplit="11" topLeftCell="A24" activePane="bottomLeft" state="frozen"/>
      <selection activeCell="E28" sqref="E28"/>
      <selection pane="bottomLeft" activeCell="A40" sqref="A40"/>
    </sheetView>
  </sheetViews>
  <sheetFormatPr defaultColWidth="12.77734375" defaultRowHeight="15.75" x14ac:dyDescent="0.25"/>
  <cols>
    <col min="1" max="1" width="30.88671875" style="74" customWidth="1"/>
    <col min="2" max="2" width="7.21875" style="73" customWidth="1"/>
    <col min="3" max="3" width="8.5546875" style="74" customWidth="1"/>
    <col min="4" max="4" width="11" style="75" customWidth="1"/>
    <col min="5" max="5" width="13.77734375" style="75" customWidth="1"/>
    <col min="6" max="6" width="11.6640625" style="75" customWidth="1"/>
    <col min="7" max="7" width="13.33203125" style="75" customWidth="1"/>
    <col min="8" max="8" width="11" style="75" customWidth="1"/>
    <col min="9" max="9" width="14.33203125" style="75" customWidth="1"/>
    <col min="10" max="11" width="12.77734375" style="13"/>
    <col min="12" max="16384" width="12.77734375" style="14"/>
  </cols>
  <sheetData>
    <row r="1" spans="1:9" x14ac:dyDescent="0.25">
      <c r="A1" s="254" t="s">
        <v>0</v>
      </c>
      <c r="B1" s="255"/>
      <c r="C1" s="255"/>
      <c r="D1" s="255"/>
      <c r="E1" s="255"/>
      <c r="F1" s="255"/>
      <c r="G1" s="255"/>
      <c r="H1" s="255"/>
      <c r="I1" s="256"/>
    </row>
    <row r="2" spans="1:9" x14ac:dyDescent="0.25">
      <c r="A2" s="257"/>
      <c r="B2" s="258"/>
      <c r="C2" s="258"/>
      <c r="D2" s="258"/>
      <c r="E2" s="258"/>
      <c r="F2" s="258"/>
      <c r="G2" s="258"/>
      <c r="H2" s="258"/>
      <c r="I2" s="259"/>
    </row>
    <row r="3" spans="1:9" x14ac:dyDescent="0.25">
      <c r="A3" s="260" t="s">
        <v>42</v>
      </c>
      <c r="B3" s="261"/>
      <c r="C3" s="262"/>
      <c r="D3" s="263" t="s">
        <v>45</v>
      </c>
      <c r="E3" s="263"/>
      <c r="F3" s="264" t="s">
        <v>44</v>
      </c>
      <c r="G3" s="265"/>
      <c r="H3" s="265"/>
      <c r="I3" s="266"/>
    </row>
    <row r="4" spans="1:9" x14ac:dyDescent="0.25">
      <c r="A4" s="242"/>
      <c r="B4" s="243"/>
      <c r="C4" s="244"/>
      <c r="D4" s="267">
        <v>45883</v>
      </c>
      <c r="E4" s="267"/>
      <c r="F4" s="6" t="s">
        <v>48</v>
      </c>
      <c r="G4" s="6"/>
      <c r="H4" s="6"/>
      <c r="I4" s="7"/>
    </row>
    <row r="5" spans="1:9" x14ac:dyDescent="0.25">
      <c r="A5" s="237" t="s">
        <v>41</v>
      </c>
      <c r="B5" s="238"/>
      <c r="C5" s="238"/>
      <c r="D5" s="238"/>
      <c r="E5" s="238"/>
      <c r="F5" s="239" t="s">
        <v>49</v>
      </c>
      <c r="G5" s="240"/>
      <c r="H5" s="240"/>
      <c r="I5" s="241"/>
    </row>
    <row r="6" spans="1:9" x14ac:dyDescent="0.25">
      <c r="A6" s="242" t="s">
        <v>264</v>
      </c>
      <c r="B6" s="243"/>
      <c r="C6" s="243"/>
      <c r="D6" s="243"/>
      <c r="E6" s="244"/>
      <c r="F6" s="245">
        <f>I40</f>
        <v>0</v>
      </c>
      <c r="G6" s="246"/>
      <c r="H6" s="246"/>
      <c r="I6" s="247"/>
    </row>
    <row r="7" spans="1:9" x14ac:dyDescent="0.25">
      <c r="A7" s="248" t="s">
        <v>50</v>
      </c>
      <c r="B7" s="249"/>
      <c r="C7" s="250" t="s">
        <v>40</v>
      </c>
      <c r="D7" s="251"/>
      <c r="E7" s="251"/>
      <c r="F7" s="252" t="s">
        <v>43</v>
      </c>
      <c r="G7" s="251"/>
      <c r="H7" s="251"/>
      <c r="I7" s="253"/>
    </row>
    <row r="8" spans="1:9" x14ac:dyDescent="0.25">
      <c r="A8" s="218" t="s">
        <v>61</v>
      </c>
      <c r="B8" s="219"/>
      <c r="C8" s="220"/>
      <c r="D8" s="219"/>
      <c r="E8" s="219"/>
      <c r="F8" s="221" t="s">
        <v>54</v>
      </c>
      <c r="G8" s="222"/>
      <c r="H8" s="222"/>
      <c r="I8" s="223"/>
    </row>
    <row r="9" spans="1:9" x14ac:dyDescent="0.25">
      <c r="A9" s="224" t="s">
        <v>39</v>
      </c>
      <c r="B9" s="227" t="s">
        <v>52</v>
      </c>
      <c r="C9" s="230" t="s">
        <v>51</v>
      </c>
      <c r="D9" s="233" t="s">
        <v>53</v>
      </c>
      <c r="E9" s="234"/>
      <c r="F9" s="233" t="s">
        <v>3</v>
      </c>
      <c r="G9" s="234"/>
      <c r="H9" s="8" t="s">
        <v>35</v>
      </c>
      <c r="I9" s="9"/>
    </row>
    <row r="10" spans="1:9" x14ac:dyDescent="0.25">
      <c r="A10" s="225"/>
      <c r="B10" s="228"/>
      <c r="C10" s="231"/>
      <c r="D10" s="235" t="s">
        <v>2</v>
      </c>
      <c r="E10" s="10"/>
      <c r="F10" s="8" t="s">
        <v>33</v>
      </c>
      <c r="G10" s="10"/>
      <c r="H10" s="11" t="s">
        <v>36</v>
      </c>
      <c r="I10" s="12" t="s">
        <v>38</v>
      </c>
    </row>
    <row r="11" spans="1:9" x14ac:dyDescent="0.25">
      <c r="A11" s="226"/>
      <c r="B11" s="229"/>
      <c r="C11" s="232"/>
      <c r="D11" s="236"/>
      <c r="E11" s="11" t="s">
        <v>4</v>
      </c>
      <c r="F11" s="11" t="s">
        <v>34</v>
      </c>
      <c r="G11" s="11" t="s">
        <v>4</v>
      </c>
      <c r="H11" s="11" t="s">
        <v>37</v>
      </c>
      <c r="I11" s="12" t="s">
        <v>4</v>
      </c>
    </row>
    <row r="12" spans="1:9" ht="15.75" customHeight="1" x14ac:dyDescent="0.25">
      <c r="A12" s="1"/>
      <c r="B12" s="15"/>
      <c r="C12" s="16"/>
      <c r="D12" s="17"/>
      <c r="E12" s="18"/>
      <c r="F12" s="17"/>
      <c r="G12" s="18"/>
      <c r="H12" s="17"/>
      <c r="I12" s="19"/>
    </row>
    <row r="13" spans="1:9" s="13" customFormat="1" ht="15.75" customHeight="1" x14ac:dyDescent="0.25">
      <c r="A13" s="3"/>
      <c r="B13" s="20"/>
      <c r="C13" s="79"/>
      <c r="D13" s="22"/>
      <c r="E13" s="22"/>
      <c r="F13" s="23"/>
      <c r="G13" s="22"/>
      <c r="H13" s="23"/>
      <c r="I13" s="24"/>
    </row>
    <row r="14" spans="1:9" s="13" customFormat="1" ht="15.75" customHeight="1" x14ac:dyDescent="0.25">
      <c r="A14" s="4" t="s">
        <v>28</v>
      </c>
      <c r="B14" s="20"/>
      <c r="C14" s="79"/>
      <c r="D14" s="22"/>
      <c r="E14" s="22"/>
      <c r="F14" s="23"/>
      <c r="G14" s="22"/>
      <c r="H14" s="23"/>
      <c r="I14" s="24"/>
    </row>
    <row r="15" spans="1:9" s="13" customFormat="1" ht="15.75" customHeight="1" x14ac:dyDescent="0.25">
      <c r="A15" s="3" t="s">
        <v>147</v>
      </c>
      <c r="B15" s="20" t="s">
        <v>58</v>
      </c>
      <c r="C15" s="79"/>
      <c r="D15" s="22"/>
      <c r="E15" s="23"/>
      <c r="F15" s="23"/>
      <c r="G15" s="22">
        <f t="shared" ref="G15" si="0">(C15*F15)</f>
        <v>0</v>
      </c>
      <c r="H15" s="23"/>
      <c r="I15" s="24">
        <f>(E15+G15+H15)</f>
        <v>0</v>
      </c>
    </row>
    <row r="16" spans="1:9" s="13" customFormat="1" ht="15.75" customHeight="1" thickBot="1" x14ac:dyDescent="0.3">
      <c r="A16" s="29" t="s">
        <v>1</v>
      </c>
      <c r="B16" s="30" t="s">
        <v>1</v>
      </c>
      <c r="C16" s="82" t="s">
        <v>1</v>
      </c>
      <c r="D16" s="31" t="s">
        <v>1</v>
      </c>
      <c r="E16" s="31">
        <f t="shared" ref="E16" si="1">(C16*D16)</f>
        <v>0</v>
      </c>
      <c r="F16" s="32" t="s">
        <v>1</v>
      </c>
      <c r="G16" s="31">
        <f>(C16*F16)</f>
        <v>0</v>
      </c>
      <c r="H16" s="32" t="s">
        <v>1</v>
      </c>
      <c r="I16" s="33">
        <f>(E16+G16+H16)</f>
        <v>0</v>
      </c>
    </row>
    <row r="17" spans="1:9" s="13" customFormat="1" ht="15.75" customHeight="1" x14ac:dyDescent="0.25">
      <c r="A17" s="34" t="s">
        <v>4</v>
      </c>
      <c r="B17" s="35"/>
      <c r="C17" s="83" t="s">
        <v>1</v>
      </c>
      <c r="D17" s="36"/>
      <c r="E17" s="36">
        <f>SUM(E12:E16)</f>
        <v>0</v>
      </c>
      <c r="F17" s="37"/>
      <c r="G17" s="36">
        <f>SUM(G12:G16)</f>
        <v>0</v>
      </c>
      <c r="H17" s="36">
        <f>SUM(H12:H16)</f>
        <v>0</v>
      </c>
      <c r="I17" s="38">
        <f>SUM(I12:I16)</f>
        <v>0</v>
      </c>
    </row>
    <row r="18" spans="1:9" s="13" customFormat="1" ht="15.75" customHeight="1" x14ac:dyDescent="0.25">
      <c r="A18" s="2" t="s">
        <v>1</v>
      </c>
      <c r="B18" s="20"/>
      <c r="C18" s="79" t="s">
        <v>1</v>
      </c>
      <c r="D18" s="22" t="s">
        <v>1</v>
      </c>
      <c r="E18" s="22">
        <f>(C18*D18)</f>
        <v>0</v>
      </c>
      <c r="F18" s="23"/>
      <c r="G18" s="22">
        <f t="shared" ref="G18:G28" si="2">(C18*F18)</f>
        <v>0</v>
      </c>
      <c r="H18" s="23" t="s">
        <v>1</v>
      </c>
      <c r="I18" s="24">
        <f>(E18+G18+H18)</f>
        <v>0</v>
      </c>
    </row>
    <row r="19" spans="1:9" s="13" customFormat="1" ht="15.75" customHeight="1" x14ac:dyDescent="0.25">
      <c r="A19" s="2" t="s">
        <v>5</v>
      </c>
      <c r="B19" s="20"/>
      <c r="C19" s="79" t="s">
        <v>1</v>
      </c>
      <c r="D19" s="22"/>
      <c r="E19" s="22" t="s">
        <v>1</v>
      </c>
      <c r="F19" s="23"/>
      <c r="G19" s="22">
        <f t="shared" si="2"/>
        <v>0</v>
      </c>
      <c r="H19" s="23" t="s">
        <v>1</v>
      </c>
      <c r="I19" s="24">
        <f>E17</f>
        <v>0</v>
      </c>
    </row>
    <row r="20" spans="1:9" s="13" customFormat="1" ht="15.75" customHeight="1" x14ac:dyDescent="0.25">
      <c r="A20" s="39" t="s">
        <v>12</v>
      </c>
      <c r="B20" s="40"/>
      <c r="C20" s="84"/>
      <c r="D20" s="41"/>
      <c r="E20" s="42" t="s">
        <v>1</v>
      </c>
      <c r="F20" s="41"/>
      <c r="G20" s="42">
        <f t="shared" si="2"/>
        <v>0</v>
      </c>
      <c r="H20" s="41" t="s">
        <v>1</v>
      </c>
      <c r="I20" s="43">
        <f>I19*B20</f>
        <v>0</v>
      </c>
    </row>
    <row r="21" spans="1:9" s="13" customFormat="1" ht="15.75" customHeight="1" x14ac:dyDescent="0.25">
      <c r="A21" s="44" t="s">
        <v>6</v>
      </c>
      <c r="B21" s="45"/>
      <c r="C21" s="85" t="s">
        <v>1</v>
      </c>
      <c r="D21" s="46"/>
      <c r="E21" s="46" t="s">
        <v>1</v>
      </c>
      <c r="F21" s="47"/>
      <c r="G21" s="46">
        <f t="shared" si="2"/>
        <v>0</v>
      </c>
      <c r="H21" s="47" t="s">
        <v>1</v>
      </c>
      <c r="I21" s="48">
        <f>I19+I20</f>
        <v>0</v>
      </c>
    </row>
    <row r="22" spans="1:9" s="13" customFormat="1" ht="15.75" customHeight="1" x14ac:dyDescent="0.25">
      <c r="A22" s="2" t="s">
        <v>1</v>
      </c>
      <c r="B22" s="20"/>
      <c r="C22" s="79" t="s">
        <v>1</v>
      </c>
      <c r="D22" s="22"/>
      <c r="E22" s="22">
        <f t="shared" ref="E22:E36" si="3">(C22*D22)</f>
        <v>0</v>
      </c>
      <c r="F22" s="23"/>
      <c r="G22" s="22">
        <f t="shared" si="2"/>
        <v>0</v>
      </c>
      <c r="H22" s="23"/>
      <c r="I22" s="24">
        <f>(E22+G22+H22)</f>
        <v>0</v>
      </c>
    </row>
    <row r="23" spans="1:9" s="13" customFormat="1" ht="15.75" customHeight="1" x14ac:dyDescent="0.25">
      <c r="A23" s="2" t="s">
        <v>8</v>
      </c>
      <c r="B23" s="20"/>
      <c r="C23" s="79" t="s">
        <v>1</v>
      </c>
      <c r="D23" s="22"/>
      <c r="E23" s="22" t="s">
        <v>1</v>
      </c>
      <c r="F23" s="23"/>
      <c r="G23" s="22">
        <f t="shared" si="2"/>
        <v>0</v>
      </c>
      <c r="H23" s="23"/>
      <c r="I23" s="24">
        <f>G17</f>
        <v>0</v>
      </c>
    </row>
    <row r="24" spans="1:9" s="13" customFormat="1" ht="15.75" customHeight="1" x14ac:dyDescent="0.25">
      <c r="A24" s="39" t="s">
        <v>56</v>
      </c>
      <c r="B24" s="40"/>
      <c r="C24" s="84" t="s">
        <v>1</v>
      </c>
      <c r="D24" s="42"/>
      <c r="E24" s="42" t="s">
        <v>1</v>
      </c>
      <c r="F24" s="41"/>
      <c r="G24" s="42">
        <f t="shared" si="2"/>
        <v>0</v>
      </c>
      <c r="H24" s="41"/>
      <c r="I24" s="43">
        <f>I23*B24</f>
        <v>0</v>
      </c>
    </row>
    <row r="25" spans="1:9" s="13" customFormat="1" ht="15.75" customHeight="1" x14ac:dyDescent="0.25">
      <c r="A25" s="44" t="s">
        <v>7</v>
      </c>
      <c r="B25" s="45"/>
      <c r="C25" s="85" t="s">
        <v>1</v>
      </c>
      <c r="D25" s="46"/>
      <c r="E25" s="46" t="s">
        <v>1</v>
      </c>
      <c r="F25" s="47"/>
      <c r="G25" s="46">
        <f t="shared" si="2"/>
        <v>0</v>
      </c>
      <c r="H25" s="47"/>
      <c r="I25" s="48">
        <f>I23+I24</f>
        <v>0</v>
      </c>
    </row>
    <row r="26" spans="1:9" s="13" customFormat="1" ht="15.75" customHeight="1" x14ac:dyDescent="0.25">
      <c r="A26" s="2" t="s">
        <v>1</v>
      </c>
      <c r="B26" s="20"/>
      <c r="C26" s="79" t="s">
        <v>1</v>
      </c>
      <c r="D26" s="22"/>
      <c r="E26" s="22">
        <f t="shared" si="3"/>
        <v>0</v>
      </c>
      <c r="F26" s="23"/>
      <c r="G26" s="22">
        <f t="shared" si="2"/>
        <v>0</v>
      </c>
      <c r="H26" s="23"/>
      <c r="I26" s="24">
        <f>(E26+G26+H26)</f>
        <v>0</v>
      </c>
    </row>
    <row r="27" spans="1:9" s="13" customFormat="1" ht="15.75" customHeight="1" x14ac:dyDescent="0.25">
      <c r="A27" s="2" t="s">
        <v>9</v>
      </c>
      <c r="B27" s="20"/>
      <c r="C27" s="79" t="s">
        <v>1</v>
      </c>
      <c r="D27" s="22"/>
      <c r="E27" s="22">
        <f t="shared" si="3"/>
        <v>0</v>
      </c>
      <c r="F27" s="23"/>
      <c r="G27" s="22">
        <f t="shared" si="2"/>
        <v>0</v>
      </c>
      <c r="H27" s="23"/>
      <c r="I27" s="24">
        <f>H17</f>
        <v>0</v>
      </c>
    </row>
    <row r="28" spans="1:9" s="13" customFormat="1" ht="15.75" customHeight="1" x14ac:dyDescent="0.25">
      <c r="A28" s="2" t="s">
        <v>10</v>
      </c>
      <c r="B28" s="49"/>
      <c r="C28" s="79" t="s">
        <v>1</v>
      </c>
      <c r="D28" s="23"/>
      <c r="E28" s="22" t="s">
        <v>1</v>
      </c>
      <c r="F28" s="23"/>
      <c r="G28" s="22">
        <f t="shared" si="2"/>
        <v>0</v>
      </c>
      <c r="H28" s="23" t="s">
        <v>1</v>
      </c>
      <c r="I28" s="24">
        <f>I25+I21</f>
        <v>0</v>
      </c>
    </row>
    <row r="29" spans="1:9" s="13" customFormat="1" ht="15.75" customHeight="1" x14ac:dyDescent="0.25">
      <c r="A29" s="39"/>
      <c r="B29" s="50"/>
      <c r="C29" s="84"/>
      <c r="D29" s="41"/>
      <c r="E29" s="42"/>
      <c r="F29" s="41"/>
      <c r="G29" s="42"/>
      <c r="H29" s="41"/>
      <c r="I29" s="43"/>
    </row>
    <row r="30" spans="1:9" s="13" customFormat="1" ht="15.75" customHeight="1" x14ac:dyDescent="0.25">
      <c r="A30" s="44" t="s">
        <v>13</v>
      </c>
      <c r="B30" s="45"/>
      <c r="C30" s="85" t="s">
        <v>1</v>
      </c>
      <c r="D30" s="47"/>
      <c r="E30" s="46">
        <f>(C30*D30)</f>
        <v>0</v>
      </c>
      <c r="F30" s="47"/>
      <c r="G30" s="46">
        <f t="shared" ref="G30:G40" si="4">(C30*F30)</f>
        <v>0</v>
      </c>
      <c r="H30" s="47" t="s">
        <v>1</v>
      </c>
      <c r="I30" s="48">
        <f>I27+I28+I29</f>
        <v>0</v>
      </c>
    </row>
    <row r="31" spans="1:9" s="13" customFormat="1" ht="15.75" customHeight="1" x14ac:dyDescent="0.25">
      <c r="A31" s="2" t="s">
        <v>1</v>
      </c>
      <c r="B31" s="20"/>
      <c r="C31" s="79" t="s">
        <v>1</v>
      </c>
      <c r="D31" s="23"/>
      <c r="E31" s="22">
        <f t="shared" si="3"/>
        <v>0</v>
      </c>
      <c r="F31" s="23"/>
      <c r="G31" s="22">
        <f t="shared" si="4"/>
        <v>0</v>
      </c>
      <c r="H31" s="23" t="s">
        <v>1</v>
      </c>
      <c r="I31" s="24">
        <f>(E31+G31+H31)</f>
        <v>0</v>
      </c>
    </row>
    <row r="32" spans="1:9" s="13" customFormat="1" ht="15.75" customHeight="1" x14ac:dyDescent="0.25">
      <c r="A32" s="2" t="s">
        <v>14</v>
      </c>
      <c r="B32" s="51"/>
      <c r="C32" s="79" t="s">
        <v>1</v>
      </c>
      <c r="D32" s="23"/>
      <c r="E32" s="22">
        <f t="shared" si="3"/>
        <v>0</v>
      </c>
      <c r="F32" s="23"/>
      <c r="G32" s="22">
        <f t="shared" si="4"/>
        <v>0</v>
      </c>
      <c r="H32" s="23"/>
      <c r="I32" s="24">
        <f>I30*B32</f>
        <v>0</v>
      </c>
    </row>
    <row r="33" spans="1:9" s="13" customFormat="1" ht="15.75" customHeight="1" x14ac:dyDescent="0.25">
      <c r="A33" s="2" t="s">
        <v>11</v>
      </c>
      <c r="B33" s="51" t="s">
        <v>1</v>
      </c>
      <c r="C33" s="79" t="s">
        <v>1</v>
      </c>
      <c r="D33" s="23" t="s">
        <v>1</v>
      </c>
      <c r="E33" s="22">
        <f t="shared" si="3"/>
        <v>0</v>
      </c>
      <c r="F33" s="23">
        <v>0</v>
      </c>
      <c r="G33" s="22">
        <f t="shared" si="4"/>
        <v>0</v>
      </c>
      <c r="H33" s="23" t="s">
        <v>1</v>
      </c>
      <c r="I33" s="24">
        <f>I30+I32</f>
        <v>0</v>
      </c>
    </row>
    <row r="34" spans="1:9" s="13" customFormat="1" ht="15.75" customHeight="1" thickBot="1" x14ac:dyDescent="0.3">
      <c r="A34" s="29" t="s">
        <v>15</v>
      </c>
      <c r="B34" s="52"/>
      <c r="C34" s="82"/>
      <c r="D34" s="32"/>
      <c r="E34" s="31">
        <f t="shared" si="3"/>
        <v>0</v>
      </c>
      <c r="F34" s="32"/>
      <c r="G34" s="31">
        <f t="shared" si="4"/>
        <v>0</v>
      </c>
      <c r="H34" s="32"/>
      <c r="I34" s="33">
        <f>I33*B34</f>
        <v>0</v>
      </c>
    </row>
    <row r="35" spans="1:9" s="13" customFormat="1" ht="15.75" customHeight="1" x14ac:dyDescent="0.25">
      <c r="A35" s="39" t="s">
        <v>16</v>
      </c>
      <c r="B35" s="50"/>
      <c r="C35" s="84" t="s">
        <v>1</v>
      </c>
      <c r="D35" s="41"/>
      <c r="E35" s="42" t="s">
        <v>1</v>
      </c>
      <c r="F35" s="41"/>
      <c r="G35" s="42">
        <f t="shared" si="4"/>
        <v>0</v>
      </c>
      <c r="H35" s="41" t="s">
        <v>1</v>
      </c>
      <c r="I35" s="53">
        <f>I33+I34</f>
        <v>0</v>
      </c>
    </row>
    <row r="36" spans="1:9" s="13" customFormat="1" ht="15.75" customHeight="1" x14ac:dyDescent="0.25">
      <c r="A36" s="54" t="s">
        <v>4</v>
      </c>
      <c r="B36" s="55"/>
      <c r="C36" s="83"/>
      <c r="D36" s="37"/>
      <c r="E36" s="36">
        <f t="shared" si="3"/>
        <v>0</v>
      </c>
      <c r="F36" s="37"/>
      <c r="G36" s="36">
        <f t="shared" si="4"/>
        <v>0</v>
      </c>
      <c r="H36" s="37"/>
      <c r="I36" s="38">
        <f>I33+I34</f>
        <v>0</v>
      </c>
    </row>
    <row r="37" spans="1:9" s="13" customFormat="1" ht="15.75" customHeight="1" x14ac:dyDescent="0.25">
      <c r="A37" s="39" t="s">
        <v>17</v>
      </c>
      <c r="B37" s="57"/>
      <c r="C37" s="84" t="s">
        <v>1</v>
      </c>
      <c r="D37" s="41"/>
      <c r="E37" s="42" t="s">
        <v>1</v>
      </c>
      <c r="F37" s="41"/>
      <c r="G37" s="42">
        <f t="shared" si="4"/>
        <v>0</v>
      </c>
      <c r="H37" s="41" t="s">
        <v>1</v>
      </c>
      <c r="I37" s="43">
        <f>I35*B37</f>
        <v>0</v>
      </c>
    </row>
    <row r="38" spans="1:9" s="13" customFormat="1" ht="15.75" customHeight="1" x14ac:dyDescent="0.25">
      <c r="A38" s="54" t="s">
        <v>4</v>
      </c>
      <c r="B38" s="55"/>
      <c r="C38" s="56"/>
      <c r="D38" s="58"/>
      <c r="E38" s="59">
        <f>(C38*D38)</f>
        <v>0</v>
      </c>
      <c r="F38" s="60"/>
      <c r="G38" s="36">
        <f t="shared" si="4"/>
        <v>0</v>
      </c>
      <c r="H38" s="37"/>
      <c r="I38" s="38">
        <f>SUM(I36)</f>
        <v>0</v>
      </c>
    </row>
    <row r="39" spans="1:9" s="13" customFormat="1" ht="15.75" customHeight="1" x14ac:dyDescent="0.25">
      <c r="A39" s="61"/>
      <c r="B39" s="49"/>
      <c r="C39" s="62"/>
      <c r="D39" s="63"/>
      <c r="E39" s="64"/>
      <c r="F39" s="65"/>
      <c r="G39" s="64"/>
      <c r="H39" s="63"/>
      <c r="I39" s="24">
        <f>SUM(I38*B39)</f>
        <v>0</v>
      </c>
    </row>
    <row r="40" spans="1:9" s="13" customFormat="1" ht="15.75" customHeight="1" thickBot="1" x14ac:dyDescent="0.3">
      <c r="A40" s="66" t="s">
        <v>59</v>
      </c>
      <c r="B40" s="67"/>
      <c r="C40" s="68"/>
      <c r="D40" s="69"/>
      <c r="E40" s="69"/>
      <c r="F40" s="68"/>
      <c r="G40" s="31">
        <f t="shared" si="4"/>
        <v>0</v>
      </c>
      <c r="H40" s="70"/>
      <c r="I40" s="71">
        <f>SUM(I38:I39)</f>
        <v>0</v>
      </c>
    </row>
    <row r="41" spans="1:9" s="13" customFormat="1" ht="15.75" customHeight="1" x14ac:dyDescent="0.25">
      <c r="A41" s="72"/>
      <c r="B41" s="73"/>
      <c r="C41" s="74"/>
      <c r="D41" s="75"/>
      <c r="E41" s="75"/>
      <c r="F41" s="75"/>
      <c r="G41" s="75"/>
      <c r="H41" s="75"/>
      <c r="I41" s="75"/>
    </row>
    <row r="42" spans="1:9" s="13" customFormat="1" ht="15.75" customHeight="1" x14ac:dyDescent="0.25">
      <c r="A42" s="74"/>
      <c r="B42" s="73"/>
      <c r="C42" s="74"/>
      <c r="D42" s="75"/>
      <c r="E42" s="75"/>
      <c r="F42" s="75"/>
      <c r="G42" s="75"/>
      <c r="H42" s="75"/>
      <c r="I42" s="75"/>
    </row>
    <row r="43" spans="1:9" s="13" customFormat="1" ht="15.75" customHeight="1" x14ac:dyDescent="0.25">
      <c r="A43" s="76"/>
      <c r="B43" s="77"/>
      <c r="C43" s="78"/>
      <c r="D43" s="76"/>
      <c r="E43" s="76"/>
      <c r="F43" s="77"/>
      <c r="G43" s="76"/>
      <c r="H43" s="76"/>
      <c r="I43" s="75"/>
    </row>
  </sheetData>
  <mergeCells count="22">
    <mergeCell ref="A1:I2"/>
    <mergeCell ref="A3:C3"/>
    <mergeCell ref="D3:E3"/>
    <mergeCell ref="F3:I3"/>
    <mergeCell ref="A4:C4"/>
    <mergeCell ref="D4:E4"/>
    <mergeCell ref="A5:E5"/>
    <mergeCell ref="F5:I5"/>
    <mergeCell ref="A6:E6"/>
    <mergeCell ref="F6:I6"/>
    <mergeCell ref="A7:B7"/>
    <mergeCell ref="C7:E7"/>
    <mergeCell ref="F7:I7"/>
    <mergeCell ref="A8:B8"/>
    <mergeCell ref="C8:E8"/>
    <mergeCell ref="F8:I8"/>
    <mergeCell ref="A9:A11"/>
    <mergeCell ref="B9:B11"/>
    <mergeCell ref="C9:C11"/>
    <mergeCell ref="D9:E9"/>
    <mergeCell ref="F9:G9"/>
    <mergeCell ref="D10:D11"/>
  </mergeCells>
  <printOptions horizontalCentered="1" gridLinesSet="0"/>
  <pageMargins left="0.3" right="0.1" top="0.2" bottom="0.2" header="0.5" footer="0.5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K261"/>
  <sheetViews>
    <sheetView showGridLines="0" showZeros="0" zoomScale="130" zoomScaleNormal="130" workbookViewId="0">
      <pane ySplit="11" topLeftCell="A105" activePane="bottomLeft" state="frozen"/>
      <selection activeCell="E28" sqref="E28"/>
      <selection pane="bottomLeft" activeCell="E19" sqref="E19"/>
    </sheetView>
  </sheetViews>
  <sheetFormatPr defaultColWidth="12.77734375" defaultRowHeight="15.75" x14ac:dyDescent="0.25"/>
  <cols>
    <col min="1" max="1" width="30.88671875" style="74" customWidth="1"/>
    <col min="2" max="2" width="7.21875" style="73" customWidth="1"/>
    <col min="3" max="3" width="8.5546875" style="74" customWidth="1"/>
    <col min="4" max="4" width="11" style="75" customWidth="1"/>
    <col min="5" max="5" width="13.77734375" style="75" customWidth="1"/>
    <col min="6" max="6" width="11.6640625" style="75" customWidth="1"/>
    <col min="7" max="7" width="13.33203125" style="75" customWidth="1"/>
    <col min="8" max="8" width="11" style="75" customWidth="1"/>
    <col min="9" max="9" width="14.33203125" style="75" customWidth="1"/>
    <col min="10" max="11" width="12.77734375" style="13"/>
    <col min="12" max="16384" width="12.77734375" style="14"/>
  </cols>
  <sheetData>
    <row r="1" spans="1:9" x14ac:dyDescent="0.25">
      <c r="A1" s="254" t="s">
        <v>0</v>
      </c>
      <c r="B1" s="255"/>
      <c r="C1" s="255"/>
      <c r="D1" s="255"/>
      <c r="E1" s="255"/>
      <c r="F1" s="255"/>
      <c r="G1" s="255"/>
      <c r="H1" s="255"/>
      <c r="I1" s="256"/>
    </row>
    <row r="2" spans="1:9" x14ac:dyDescent="0.25">
      <c r="A2" s="257"/>
      <c r="B2" s="258"/>
      <c r="C2" s="258"/>
      <c r="D2" s="258"/>
      <c r="E2" s="258"/>
      <c r="F2" s="258"/>
      <c r="G2" s="258"/>
      <c r="H2" s="258"/>
      <c r="I2" s="259"/>
    </row>
    <row r="3" spans="1:9" x14ac:dyDescent="0.25">
      <c r="A3" s="260" t="s">
        <v>42</v>
      </c>
      <c r="B3" s="261"/>
      <c r="C3" s="262"/>
      <c r="D3" s="263" t="s">
        <v>45</v>
      </c>
      <c r="E3" s="263"/>
      <c r="F3" s="264" t="s">
        <v>44</v>
      </c>
      <c r="G3" s="265"/>
      <c r="H3" s="265"/>
      <c r="I3" s="266"/>
    </row>
    <row r="4" spans="1:9" x14ac:dyDescent="0.25">
      <c r="A4" s="242"/>
      <c r="B4" s="243"/>
      <c r="C4" s="244"/>
      <c r="D4" s="267">
        <v>45883</v>
      </c>
      <c r="E4" s="267"/>
      <c r="F4" s="6" t="s">
        <v>48</v>
      </c>
      <c r="G4" s="6"/>
      <c r="H4" s="6"/>
      <c r="I4" s="7"/>
    </row>
    <row r="5" spans="1:9" x14ac:dyDescent="0.25">
      <c r="A5" s="237" t="s">
        <v>41</v>
      </c>
      <c r="B5" s="238"/>
      <c r="C5" s="238"/>
      <c r="D5" s="238"/>
      <c r="E5" s="238"/>
      <c r="F5" s="239" t="s">
        <v>49</v>
      </c>
      <c r="G5" s="240"/>
      <c r="H5" s="240"/>
      <c r="I5" s="241"/>
    </row>
    <row r="6" spans="1:9" x14ac:dyDescent="0.25">
      <c r="A6" s="242" t="s">
        <v>264</v>
      </c>
      <c r="B6" s="243"/>
      <c r="C6" s="243"/>
      <c r="D6" s="243"/>
      <c r="E6" s="244"/>
      <c r="F6" s="268">
        <f>I258</f>
        <v>0</v>
      </c>
      <c r="G6" s="269"/>
      <c r="H6" s="269"/>
      <c r="I6" s="270"/>
    </row>
    <row r="7" spans="1:9" x14ac:dyDescent="0.25">
      <c r="A7" s="248" t="s">
        <v>50</v>
      </c>
      <c r="B7" s="249"/>
      <c r="C7" s="250" t="s">
        <v>40</v>
      </c>
      <c r="D7" s="251"/>
      <c r="E7" s="251"/>
      <c r="F7" s="252" t="s">
        <v>43</v>
      </c>
      <c r="G7" s="251"/>
      <c r="H7" s="251"/>
      <c r="I7" s="253"/>
    </row>
    <row r="8" spans="1:9" x14ac:dyDescent="0.25">
      <c r="A8" s="218" t="s">
        <v>61</v>
      </c>
      <c r="B8" s="219"/>
      <c r="C8" s="220"/>
      <c r="D8" s="219"/>
      <c r="E8" s="219"/>
      <c r="F8" s="221" t="s">
        <v>54</v>
      </c>
      <c r="G8" s="222"/>
      <c r="H8" s="222"/>
      <c r="I8" s="223"/>
    </row>
    <row r="9" spans="1:9" x14ac:dyDescent="0.25">
      <c r="A9" s="224" t="s">
        <v>39</v>
      </c>
      <c r="B9" s="227" t="s">
        <v>52</v>
      </c>
      <c r="C9" s="230" t="s">
        <v>51</v>
      </c>
      <c r="D9" s="233" t="s">
        <v>53</v>
      </c>
      <c r="E9" s="234"/>
      <c r="F9" s="233" t="s">
        <v>3</v>
      </c>
      <c r="G9" s="234"/>
      <c r="H9" s="8" t="s">
        <v>35</v>
      </c>
      <c r="I9" s="9"/>
    </row>
    <row r="10" spans="1:9" x14ac:dyDescent="0.25">
      <c r="A10" s="225"/>
      <c r="B10" s="228"/>
      <c r="C10" s="231"/>
      <c r="D10" s="235" t="s">
        <v>2</v>
      </c>
      <c r="E10" s="10"/>
      <c r="F10" s="8" t="s">
        <v>33</v>
      </c>
      <c r="G10" s="10"/>
      <c r="H10" s="11" t="s">
        <v>36</v>
      </c>
      <c r="I10" s="12" t="s">
        <v>38</v>
      </c>
    </row>
    <row r="11" spans="1:9" x14ac:dyDescent="0.25">
      <c r="A11" s="226"/>
      <c r="B11" s="229"/>
      <c r="C11" s="232"/>
      <c r="D11" s="236"/>
      <c r="E11" s="11" t="s">
        <v>4</v>
      </c>
      <c r="F11" s="11" t="s">
        <v>34</v>
      </c>
      <c r="G11" s="11" t="s">
        <v>4</v>
      </c>
      <c r="H11" s="11" t="s">
        <v>37</v>
      </c>
      <c r="I11" s="12" t="s">
        <v>4</v>
      </c>
    </row>
    <row r="12" spans="1:9" ht="15.75" customHeight="1" x14ac:dyDescent="0.25">
      <c r="A12" s="1" t="s">
        <v>18</v>
      </c>
      <c r="B12" s="15"/>
      <c r="C12" s="16"/>
      <c r="D12" s="17"/>
      <c r="E12" s="18"/>
      <c r="F12" s="17"/>
      <c r="G12" s="18"/>
      <c r="H12" s="17"/>
      <c r="I12" s="19"/>
    </row>
    <row r="13" spans="1:9" ht="15.75" customHeight="1" x14ac:dyDescent="0.25">
      <c r="A13" s="146" t="s">
        <v>262</v>
      </c>
      <c r="B13" s="20" t="s">
        <v>68</v>
      </c>
      <c r="C13" s="21"/>
      <c r="D13" s="22"/>
      <c r="E13" s="22">
        <f>(C13*D13)</f>
        <v>0</v>
      </c>
      <c r="F13" s="23"/>
      <c r="G13" s="22">
        <f>(C13*F13)</f>
        <v>0</v>
      </c>
      <c r="H13" s="23"/>
      <c r="I13" s="24">
        <f t="shared" ref="I13:I14" si="0">(E13+G13+H13)</f>
        <v>0</v>
      </c>
    </row>
    <row r="14" spans="1:9" ht="15.75" customHeight="1" x14ac:dyDescent="0.25">
      <c r="A14" s="2" t="s">
        <v>67</v>
      </c>
      <c r="B14" s="145" t="s">
        <v>68</v>
      </c>
      <c r="C14" s="21"/>
      <c r="D14" s="22"/>
      <c r="E14" s="22">
        <f>(C14*D14)</f>
        <v>0</v>
      </c>
      <c r="F14" s="23"/>
      <c r="G14" s="22">
        <f>(C14*F14)</f>
        <v>0</v>
      </c>
      <c r="H14" s="23"/>
      <c r="I14" s="24">
        <f t="shared" si="0"/>
        <v>0</v>
      </c>
    </row>
    <row r="15" spans="1:9" ht="15.75" customHeight="1" x14ac:dyDescent="0.25">
      <c r="A15" s="2" t="s">
        <v>270</v>
      </c>
      <c r="B15" s="145" t="s">
        <v>68</v>
      </c>
      <c r="C15" s="21"/>
      <c r="D15" s="22"/>
      <c r="E15" s="22">
        <f>(C15*D15)</f>
        <v>0</v>
      </c>
      <c r="F15" s="23"/>
      <c r="G15" s="22">
        <f>(C15*F15)</f>
        <v>0</v>
      </c>
      <c r="H15" s="23"/>
      <c r="I15" s="24">
        <f>(E15+G15+H15)</f>
        <v>0</v>
      </c>
    </row>
    <row r="16" spans="1:9" ht="15.75" customHeight="1" x14ac:dyDescent="0.25">
      <c r="A16" s="2" t="s">
        <v>271</v>
      </c>
      <c r="B16" s="145" t="s">
        <v>58</v>
      </c>
      <c r="C16" s="21"/>
      <c r="D16" s="22"/>
      <c r="E16" s="22"/>
      <c r="F16" s="23"/>
      <c r="G16" s="22"/>
      <c r="H16" s="23"/>
      <c r="I16" s="24">
        <f t="shared" ref="I16:I17" si="1">(E16+G16+H16)</f>
        <v>0</v>
      </c>
    </row>
    <row r="17" spans="1:11" ht="15.75" customHeight="1" x14ac:dyDescent="0.25">
      <c r="A17" s="159" t="s">
        <v>19</v>
      </c>
      <c r="B17" s="145"/>
      <c r="C17" s="21"/>
      <c r="D17" s="22"/>
      <c r="E17" s="22">
        <f t="shared" ref="E17" si="2">(C17*D17)</f>
        <v>0</v>
      </c>
      <c r="F17" s="23"/>
      <c r="G17" s="22">
        <f t="shared" ref="G17" si="3">(C17*F17)</f>
        <v>0</v>
      </c>
      <c r="H17" s="23"/>
      <c r="I17" s="24">
        <f t="shared" si="1"/>
        <v>0</v>
      </c>
    </row>
    <row r="18" spans="1:11" ht="15.75" customHeight="1" x14ac:dyDescent="0.25">
      <c r="A18" s="44" t="s">
        <v>62</v>
      </c>
      <c r="B18" s="20" t="s">
        <v>63</v>
      </c>
      <c r="C18" s="79"/>
      <c r="D18" s="22"/>
      <c r="E18" s="22">
        <f>(C18*D18)</f>
        <v>0</v>
      </c>
      <c r="F18" s="23"/>
      <c r="G18" s="22">
        <f>(C18*F18)</f>
        <v>0</v>
      </c>
      <c r="H18" s="23"/>
      <c r="I18" s="24">
        <f>(E18+G18+H18)</f>
        <v>0</v>
      </c>
    </row>
    <row r="19" spans="1:11" ht="15.75" customHeight="1" x14ac:dyDescent="0.25">
      <c r="A19" s="2" t="s">
        <v>74</v>
      </c>
      <c r="B19" s="20" t="s">
        <v>63</v>
      </c>
      <c r="C19" s="79"/>
      <c r="D19" s="22"/>
      <c r="E19" s="22">
        <f>(C19*D19)</f>
        <v>0</v>
      </c>
      <c r="F19" s="23"/>
      <c r="G19" s="22">
        <f>(C19*F19)</f>
        <v>0</v>
      </c>
      <c r="H19" s="23"/>
      <c r="I19" s="24">
        <f>(E19+G19+H19)</f>
        <v>0</v>
      </c>
    </row>
    <row r="20" spans="1:11" ht="15.75" customHeight="1" x14ac:dyDescent="0.25">
      <c r="A20" s="44" t="s">
        <v>82</v>
      </c>
      <c r="B20" s="20" t="s">
        <v>47</v>
      </c>
      <c r="C20" s="79"/>
      <c r="D20" s="22"/>
      <c r="E20" s="22">
        <f t="shared" ref="E20:E22" si="4">(C20*D20)</f>
        <v>0</v>
      </c>
      <c r="F20" s="23"/>
      <c r="G20" s="22">
        <f t="shared" ref="G20:G22" si="5">(C20*F20)</f>
        <v>0</v>
      </c>
      <c r="H20" s="23"/>
      <c r="I20" s="24">
        <f t="shared" ref="I20:I22" si="6">(E20+G20+H20)</f>
        <v>0</v>
      </c>
    </row>
    <row r="21" spans="1:11" ht="15.75" customHeight="1" thickBot="1" x14ac:dyDescent="0.3">
      <c r="A21" s="160" t="s">
        <v>83</v>
      </c>
      <c r="B21" s="30" t="s">
        <v>47</v>
      </c>
      <c r="C21" s="82"/>
      <c r="D21" s="31"/>
      <c r="E21" s="31">
        <f t="shared" si="4"/>
        <v>0</v>
      </c>
      <c r="F21" s="32"/>
      <c r="G21" s="31">
        <f t="shared" si="5"/>
        <v>0</v>
      </c>
      <c r="H21" s="32"/>
      <c r="I21" s="33">
        <f t="shared" si="6"/>
        <v>0</v>
      </c>
    </row>
    <row r="22" spans="1:11" ht="15.75" customHeight="1" x14ac:dyDescent="0.25">
      <c r="A22" s="44" t="s">
        <v>84</v>
      </c>
      <c r="B22" s="45" t="s">
        <v>47</v>
      </c>
      <c r="C22" s="85"/>
      <c r="D22" s="46"/>
      <c r="E22" s="46">
        <f t="shared" si="4"/>
        <v>0</v>
      </c>
      <c r="F22" s="47"/>
      <c r="G22" s="46">
        <f t="shared" si="5"/>
        <v>0</v>
      </c>
      <c r="H22" s="47"/>
      <c r="I22" s="48">
        <f t="shared" si="6"/>
        <v>0</v>
      </c>
    </row>
    <row r="23" spans="1:11" ht="15.75" customHeight="1" x14ac:dyDescent="0.25">
      <c r="A23" s="44"/>
      <c r="B23" s="20"/>
      <c r="C23" s="79"/>
      <c r="D23" s="22"/>
      <c r="E23" s="22"/>
      <c r="F23" s="23"/>
      <c r="G23" s="22"/>
      <c r="H23" s="23"/>
      <c r="I23" s="24"/>
    </row>
    <row r="24" spans="1:11" ht="15.75" customHeight="1" x14ac:dyDescent="0.25">
      <c r="A24" s="44" t="s">
        <v>64</v>
      </c>
      <c r="B24" s="20" t="s">
        <v>58</v>
      </c>
      <c r="C24" s="79"/>
      <c r="D24" s="22"/>
      <c r="E24" s="22">
        <f>(C24*D24)</f>
        <v>0</v>
      </c>
      <c r="F24" s="23"/>
      <c r="G24" s="22">
        <f>(C24*F24)</f>
        <v>0</v>
      </c>
      <c r="H24" s="23"/>
      <c r="I24" s="24">
        <f>(E24+G24+H24)</f>
        <v>0</v>
      </c>
    </row>
    <row r="25" spans="1:11" s="25" customFormat="1" ht="15.75" customHeight="1" x14ac:dyDescent="0.25">
      <c r="A25" s="44" t="s">
        <v>65</v>
      </c>
      <c r="B25" s="20" t="s">
        <v>58</v>
      </c>
      <c r="C25" s="79"/>
      <c r="D25" s="22"/>
      <c r="E25" s="22">
        <f>(C25*D25)</f>
        <v>0</v>
      </c>
      <c r="F25" s="23"/>
      <c r="G25" s="22">
        <f>(C25*F25)</f>
        <v>0</v>
      </c>
      <c r="H25" s="23"/>
      <c r="I25" s="24">
        <f>(E25+G25+H25)</f>
        <v>0</v>
      </c>
      <c r="J25" s="13"/>
      <c r="K25" s="13"/>
    </row>
    <row r="26" spans="1:11" ht="15.75" customHeight="1" x14ac:dyDescent="0.25">
      <c r="A26" s="4" t="s">
        <v>66</v>
      </c>
      <c r="B26" s="20"/>
      <c r="C26" s="79"/>
      <c r="D26" s="22"/>
      <c r="E26" s="22"/>
      <c r="F26" s="23"/>
      <c r="G26" s="22"/>
      <c r="H26" s="23"/>
      <c r="I26" s="24"/>
    </row>
    <row r="27" spans="1:11" ht="15.75" customHeight="1" x14ac:dyDescent="0.25">
      <c r="A27" s="3" t="s">
        <v>69</v>
      </c>
      <c r="B27" s="20" t="s">
        <v>63</v>
      </c>
      <c r="C27" s="79"/>
      <c r="D27" s="22"/>
      <c r="E27" s="22">
        <f t="shared" ref="E27:E34" si="7">(C27*D27)</f>
        <v>0</v>
      </c>
      <c r="F27" s="23"/>
      <c r="G27" s="22">
        <f t="shared" ref="G27:G35" si="8">(C27*F27)</f>
        <v>0</v>
      </c>
      <c r="H27" s="23"/>
      <c r="I27" s="24">
        <f t="shared" ref="I27:I35" si="9">(E27+G27+H27)</f>
        <v>0</v>
      </c>
    </row>
    <row r="28" spans="1:11" ht="15.75" customHeight="1" x14ac:dyDescent="0.25">
      <c r="A28" s="3" t="s">
        <v>70</v>
      </c>
      <c r="B28" s="20" t="s">
        <v>63</v>
      </c>
      <c r="C28" s="79"/>
      <c r="D28" s="22"/>
      <c r="E28" s="22">
        <f t="shared" si="7"/>
        <v>0</v>
      </c>
      <c r="F28" s="23"/>
      <c r="G28" s="22">
        <f t="shared" si="8"/>
        <v>0</v>
      </c>
      <c r="H28" s="23"/>
      <c r="I28" s="24">
        <f t="shared" si="9"/>
        <v>0</v>
      </c>
    </row>
    <row r="29" spans="1:11" ht="15.75" customHeight="1" x14ac:dyDescent="0.25">
      <c r="A29" s="3" t="s">
        <v>71</v>
      </c>
      <c r="B29" s="20" t="s">
        <v>63</v>
      </c>
      <c r="C29" s="79"/>
      <c r="D29" s="22"/>
      <c r="E29" s="22">
        <f t="shared" si="7"/>
        <v>0</v>
      </c>
      <c r="F29" s="23"/>
      <c r="G29" s="22">
        <f t="shared" si="8"/>
        <v>0</v>
      </c>
      <c r="H29" s="23"/>
      <c r="I29" s="24">
        <f t="shared" si="9"/>
        <v>0</v>
      </c>
    </row>
    <row r="30" spans="1:11" ht="15.75" customHeight="1" x14ac:dyDescent="0.25">
      <c r="A30" s="3" t="s">
        <v>72</v>
      </c>
      <c r="B30" s="20" t="s">
        <v>63</v>
      </c>
      <c r="C30" s="79"/>
      <c r="D30" s="22"/>
      <c r="E30" s="22">
        <f t="shared" si="7"/>
        <v>0</v>
      </c>
      <c r="F30" s="23"/>
      <c r="G30" s="22">
        <f t="shared" si="8"/>
        <v>0</v>
      </c>
      <c r="H30" s="23"/>
      <c r="I30" s="24">
        <f t="shared" si="9"/>
        <v>0</v>
      </c>
    </row>
    <row r="31" spans="1:11" ht="15.75" customHeight="1" x14ac:dyDescent="0.25">
      <c r="A31" s="3" t="s">
        <v>73</v>
      </c>
      <c r="B31" s="20" t="s">
        <v>58</v>
      </c>
      <c r="C31" s="79"/>
      <c r="D31" s="22"/>
      <c r="E31" s="22">
        <f t="shared" si="7"/>
        <v>0</v>
      </c>
      <c r="F31" s="23"/>
      <c r="G31" s="22">
        <f t="shared" si="8"/>
        <v>0</v>
      </c>
      <c r="H31" s="23"/>
      <c r="I31" s="24">
        <f t="shared" si="9"/>
        <v>0</v>
      </c>
    </row>
    <row r="32" spans="1:11" ht="15.75" customHeight="1" x14ac:dyDescent="0.25">
      <c r="A32" s="3" t="s">
        <v>75</v>
      </c>
      <c r="B32" s="20" t="s">
        <v>63</v>
      </c>
      <c r="C32" s="79"/>
      <c r="D32" s="22"/>
      <c r="E32" s="22">
        <f t="shared" si="7"/>
        <v>0</v>
      </c>
      <c r="F32" s="23"/>
      <c r="G32" s="22">
        <f t="shared" si="8"/>
        <v>0</v>
      </c>
      <c r="H32" s="23"/>
      <c r="I32" s="24">
        <f t="shared" si="9"/>
        <v>0</v>
      </c>
    </row>
    <row r="33" spans="1:9" ht="15.75" customHeight="1" x14ac:dyDescent="0.25">
      <c r="A33" s="3" t="s">
        <v>76</v>
      </c>
      <c r="B33" s="20" t="s">
        <v>63</v>
      </c>
      <c r="C33" s="79"/>
      <c r="D33" s="22"/>
      <c r="E33" s="22">
        <f t="shared" si="7"/>
        <v>0</v>
      </c>
      <c r="F33" s="23"/>
      <c r="G33" s="22">
        <f t="shared" si="8"/>
        <v>0</v>
      </c>
      <c r="H33" s="23"/>
      <c r="I33" s="24">
        <f t="shared" si="9"/>
        <v>0</v>
      </c>
    </row>
    <row r="34" spans="1:9" ht="15.75" customHeight="1" x14ac:dyDescent="0.25">
      <c r="A34" s="3" t="s">
        <v>77</v>
      </c>
      <c r="B34" s="20" t="s">
        <v>63</v>
      </c>
      <c r="C34" s="79"/>
      <c r="D34" s="22"/>
      <c r="E34" s="22">
        <f t="shared" si="7"/>
        <v>0</v>
      </c>
      <c r="F34" s="23"/>
      <c r="G34" s="22">
        <f t="shared" si="8"/>
        <v>0</v>
      </c>
      <c r="H34" s="23"/>
      <c r="I34" s="24">
        <f t="shared" si="9"/>
        <v>0</v>
      </c>
    </row>
    <row r="35" spans="1:9" ht="51" x14ac:dyDescent="0.25">
      <c r="A35" s="80" t="s">
        <v>78</v>
      </c>
      <c r="B35" s="20" t="s">
        <v>58</v>
      </c>
      <c r="C35" s="79"/>
      <c r="D35" s="22"/>
      <c r="E35" s="22"/>
      <c r="F35" s="23"/>
      <c r="G35" s="22">
        <f t="shared" si="8"/>
        <v>0</v>
      </c>
      <c r="H35" s="23"/>
      <c r="I35" s="24">
        <f t="shared" si="9"/>
        <v>0</v>
      </c>
    </row>
    <row r="36" spans="1:9" ht="15.75" customHeight="1" x14ac:dyDescent="0.25">
      <c r="A36" s="80" t="s">
        <v>79</v>
      </c>
      <c r="B36" s="20" t="s">
        <v>63</v>
      </c>
      <c r="C36" s="79"/>
      <c r="D36" s="22"/>
      <c r="E36" s="22"/>
      <c r="F36" s="23"/>
      <c r="G36" s="22">
        <f t="shared" ref="G36" si="10">(C36*F36)</f>
        <v>0</v>
      </c>
      <c r="H36" s="23"/>
      <c r="I36" s="24">
        <f t="shared" ref="I36" si="11">(E36+G36+H36)</f>
        <v>0</v>
      </c>
    </row>
    <row r="37" spans="1:9" ht="15.75" customHeight="1" x14ac:dyDescent="0.25">
      <c r="A37" s="4" t="s">
        <v>20</v>
      </c>
      <c r="B37" s="20"/>
      <c r="C37" s="79"/>
      <c r="D37" s="22"/>
      <c r="E37" s="22"/>
      <c r="F37" s="23"/>
      <c r="G37" s="22"/>
      <c r="H37" s="23"/>
      <c r="I37" s="24"/>
    </row>
    <row r="38" spans="1:9" ht="15.75" customHeight="1" x14ac:dyDescent="0.25">
      <c r="A38" s="3" t="s">
        <v>80</v>
      </c>
      <c r="B38" s="20" t="s">
        <v>63</v>
      </c>
      <c r="C38" s="79"/>
      <c r="D38" s="22"/>
      <c r="E38" s="22"/>
      <c r="F38" s="23"/>
      <c r="G38" s="22">
        <f t="shared" ref="G38:G49" si="12">(C38*F38)</f>
        <v>0</v>
      </c>
      <c r="H38" s="23"/>
      <c r="I38" s="24">
        <f t="shared" ref="I38:I49" si="13">(E38+G38+H38)</f>
        <v>0</v>
      </c>
    </row>
    <row r="39" spans="1:9" ht="15.75" customHeight="1" x14ac:dyDescent="0.25">
      <c r="A39" s="3" t="s">
        <v>92</v>
      </c>
      <c r="B39" s="20" t="s">
        <v>63</v>
      </c>
      <c r="C39" s="79"/>
      <c r="D39" s="22"/>
      <c r="E39" s="22"/>
      <c r="F39" s="23"/>
      <c r="G39" s="22">
        <f t="shared" si="12"/>
        <v>0</v>
      </c>
      <c r="H39" s="23"/>
      <c r="I39" s="24">
        <f t="shared" si="13"/>
        <v>0</v>
      </c>
    </row>
    <row r="40" spans="1:9" ht="15.75" customHeight="1" x14ac:dyDescent="0.25">
      <c r="A40" s="3" t="s">
        <v>81</v>
      </c>
      <c r="B40" s="20" t="s">
        <v>58</v>
      </c>
      <c r="C40" s="79"/>
      <c r="D40" s="22"/>
      <c r="E40" s="22"/>
      <c r="F40" s="23"/>
      <c r="G40" s="22">
        <f t="shared" si="12"/>
        <v>0</v>
      </c>
      <c r="H40" s="23"/>
      <c r="I40" s="24">
        <f t="shared" si="13"/>
        <v>0</v>
      </c>
    </row>
    <row r="41" spans="1:9" ht="15.75" customHeight="1" x14ac:dyDescent="0.25">
      <c r="A41" s="4" t="s">
        <v>22</v>
      </c>
      <c r="B41" s="20"/>
      <c r="C41" s="79"/>
      <c r="D41" s="22"/>
      <c r="E41" s="22"/>
      <c r="F41" s="23"/>
      <c r="G41" s="22">
        <f t="shared" si="12"/>
        <v>0</v>
      </c>
      <c r="H41" s="23"/>
      <c r="I41" s="24">
        <f t="shared" si="13"/>
        <v>0</v>
      </c>
    </row>
    <row r="42" spans="1:9" ht="15.75" customHeight="1" x14ac:dyDescent="0.25">
      <c r="A42" s="3" t="s">
        <v>85</v>
      </c>
      <c r="B42" s="20" t="s">
        <v>47</v>
      </c>
      <c r="C42" s="79"/>
      <c r="D42" s="22"/>
      <c r="E42" s="22"/>
      <c r="F42" s="23"/>
      <c r="G42" s="22">
        <f t="shared" si="12"/>
        <v>0</v>
      </c>
      <c r="H42" s="23"/>
      <c r="I42" s="24">
        <f t="shared" si="13"/>
        <v>0</v>
      </c>
    </row>
    <row r="43" spans="1:9" ht="15.75" customHeight="1" x14ac:dyDescent="0.25">
      <c r="A43" s="3" t="s">
        <v>93</v>
      </c>
      <c r="B43" s="20" t="s">
        <v>58</v>
      </c>
      <c r="C43" s="79"/>
      <c r="D43" s="22"/>
      <c r="E43" s="22"/>
      <c r="F43" s="23"/>
      <c r="G43" s="22">
        <f t="shared" si="12"/>
        <v>0</v>
      </c>
      <c r="H43" s="23"/>
      <c r="I43" s="24">
        <f t="shared" si="13"/>
        <v>0</v>
      </c>
    </row>
    <row r="44" spans="1:9" ht="15.75" customHeight="1" x14ac:dyDescent="0.25">
      <c r="A44" s="3" t="s">
        <v>86</v>
      </c>
      <c r="B44" s="20" t="s">
        <v>58</v>
      </c>
      <c r="C44" s="79"/>
      <c r="D44" s="22"/>
      <c r="E44" s="22"/>
      <c r="F44" s="23"/>
      <c r="G44" s="22">
        <f t="shared" si="12"/>
        <v>0</v>
      </c>
      <c r="H44" s="23"/>
      <c r="I44" s="24">
        <f t="shared" si="13"/>
        <v>0</v>
      </c>
    </row>
    <row r="45" spans="1:9" ht="15.75" customHeight="1" x14ac:dyDescent="0.25">
      <c r="A45" s="3" t="s">
        <v>91</v>
      </c>
      <c r="B45" s="20" t="s">
        <v>58</v>
      </c>
      <c r="C45" s="79"/>
      <c r="D45" s="22"/>
      <c r="E45" s="22"/>
      <c r="F45" s="23"/>
      <c r="G45" s="22">
        <f t="shared" si="12"/>
        <v>0</v>
      </c>
      <c r="H45" s="23"/>
      <c r="I45" s="24">
        <f t="shared" si="13"/>
        <v>0</v>
      </c>
    </row>
    <row r="46" spans="1:9" ht="15.75" customHeight="1" x14ac:dyDescent="0.25">
      <c r="A46" s="3" t="s">
        <v>90</v>
      </c>
      <c r="B46" s="20" t="s">
        <v>63</v>
      </c>
      <c r="C46" s="79"/>
      <c r="D46" s="22"/>
      <c r="E46" s="22"/>
      <c r="F46" s="23"/>
      <c r="G46" s="22">
        <f t="shared" si="12"/>
        <v>0</v>
      </c>
      <c r="H46" s="23"/>
      <c r="I46" s="24">
        <f t="shared" si="13"/>
        <v>0</v>
      </c>
    </row>
    <row r="47" spans="1:9" ht="15.75" customHeight="1" x14ac:dyDescent="0.25">
      <c r="A47" s="3" t="s">
        <v>87</v>
      </c>
      <c r="B47" s="20" t="s">
        <v>88</v>
      </c>
      <c r="C47" s="79"/>
      <c r="D47" s="22"/>
      <c r="E47" s="22"/>
      <c r="F47" s="23"/>
      <c r="G47" s="22">
        <f t="shared" si="12"/>
        <v>0</v>
      </c>
      <c r="H47" s="23"/>
      <c r="I47" s="24">
        <f t="shared" si="13"/>
        <v>0</v>
      </c>
    </row>
    <row r="48" spans="1:9" ht="15.75" customHeight="1" x14ac:dyDescent="0.25">
      <c r="A48" s="3" t="s">
        <v>152</v>
      </c>
      <c r="B48" s="20" t="s">
        <v>58</v>
      </c>
      <c r="C48" s="79"/>
      <c r="D48" s="22"/>
      <c r="E48" s="22"/>
      <c r="F48" s="23"/>
      <c r="G48" s="22">
        <f t="shared" si="12"/>
        <v>0</v>
      </c>
      <c r="H48" s="23"/>
      <c r="I48" s="24">
        <f t="shared" si="13"/>
        <v>0</v>
      </c>
    </row>
    <row r="49" spans="1:9" ht="15.75" customHeight="1" x14ac:dyDescent="0.25">
      <c r="A49" s="3" t="s">
        <v>89</v>
      </c>
      <c r="B49" s="20" t="s">
        <v>88</v>
      </c>
      <c r="C49" s="79"/>
      <c r="D49" s="22"/>
      <c r="E49" s="22"/>
      <c r="F49" s="23"/>
      <c r="G49" s="22">
        <f t="shared" si="12"/>
        <v>0</v>
      </c>
      <c r="H49" s="23"/>
      <c r="I49" s="24">
        <f t="shared" si="13"/>
        <v>0</v>
      </c>
    </row>
    <row r="50" spans="1:9" ht="15.75" customHeight="1" x14ac:dyDescent="0.25">
      <c r="A50" s="4" t="s">
        <v>21</v>
      </c>
      <c r="B50" s="20"/>
      <c r="C50" s="21"/>
      <c r="D50" s="22"/>
      <c r="E50" s="22"/>
      <c r="F50" s="23"/>
      <c r="G50" s="22">
        <f t="shared" ref="G50:G127" si="14">(C50*F50)</f>
        <v>0</v>
      </c>
      <c r="H50" s="23"/>
      <c r="I50" s="24">
        <f t="shared" ref="I50:I63" si="15">(E50+G50+H50)</f>
        <v>0</v>
      </c>
    </row>
    <row r="51" spans="1:9" ht="15.75" customHeight="1" x14ac:dyDescent="0.25">
      <c r="A51" s="3" t="s">
        <v>126</v>
      </c>
      <c r="B51" s="20" t="s">
        <v>63</v>
      </c>
      <c r="C51" s="81"/>
      <c r="D51" s="26"/>
      <c r="E51" s="22"/>
      <c r="F51" s="27"/>
      <c r="G51" s="22">
        <f t="shared" si="14"/>
        <v>0</v>
      </c>
      <c r="H51" s="27"/>
      <c r="I51" s="24">
        <f t="shared" si="15"/>
        <v>0</v>
      </c>
    </row>
    <row r="52" spans="1:9" ht="15.75" customHeight="1" x14ac:dyDescent="0.25">
      <c r="A52" s="3" t="s">
        <v>128</v>
      </c>
      <c r="B52" s="20" t="s">
        <v>63</v>
      </c>
      <c r="C52" s="81"/>
      <c r="D52" s="26"/>
      <c r="E52" s="22"/>
      <c r="F52" s="27"/>
      <c r="G52" s="22">
        <f t="shared" ref="G52:G61" si="16">(C52*F52)</f>
        <v>0</v>
      </c>
      <c r="H52" s="27"/>
      <c r="I52" s="24">
        <f t="shared" ref="I52:I61" si="17">(E52+G52+H52)</f>
        <v>0</v>
      </c>
    </row>
    <row r="53" spans="1:9" ht="15.75" customHeight="1" x14ac:dyDescent="0.25">
      <c r="A53" s="3" t="s">
        <v>129</v>
      </c>
      <c r="B53" s="20" t="s">
        <v>63</v>
      </c>
      <c r="C53" s="81"/>
      <c r="D53" s="26"/>
      <c r="E53" s="22"/>
      <c r="F53" s="27"/>
      <c r="G53" s="22">
        <f t="shared" si="16"/>
        <v>0</v>
      </c>
      <c r="H53" s="27"/>
      <c r="I53" s="24">
        <f t="shared" si="17"/>
        <v>0</v>
      </c>
    </row>
    <row r="54" spans="1:9" ht="15.75" customHeight="1" x14ac:dyDescent="0.25">
      <c r="A54" s="3" t="s">
        <v>130</v>
      </c>
      <c r="B54" s="20" t="s">
        <v>63</v>
      </c>
      <c r="C54" s="81"/>
      <c r="D54" s="26"/>
      <c r="E54" s="22"/>
      <c r="F54" s="27"/>
      <c r="G54" s="22">
        <f t="shared" si="16"/>
        <v>0</v>
      </c>
      <c r="H54" s="27"/>
      <c r="I54" s="24">
        <f t="shared" si="17"/>
        <v>0</v>
      </c>
    </row>
    <row r="55" spans="1:9" ht="15.75" customHeight="1" x14ac:dyDescent="0.25">
      <c r="A55" s="80" t="s">
        <v>134</v>
      </c>
      <c r="B55" s="20" t="s">
        <v>63</v>
      </c>
      <c r="C55" s="81"/>
      <c r="D55" s="26"/>
      <c r="E55" s="22"/>
      <c r="F55" s="27"/>
      <c r="G55" s="22">
        <f t="shared" si="16"/>
        <v>0</v>
      </c>
      <c r="H55" s="27"/>
      <c r="I55" s="24">
        <f t="shared" si="17"/>
        <v>0</v>
      </c>
    </row>
    <row r="56" spans="1:9" ht="15.75" customHeight="1" x14ac:dyDescent="0.25">
      <c r="A56" s="3" t="s">
        <v>133</v>
      </c>
      <c r="B56" s="20" t="s">
        <v>63</v>
      </c>
      <c r="C56" s="81"/>
      <c r="D56" s="26"/>
      <c r="E56" s="22"/>
      <c r="F56" s="27"/>
      <c r="G56" s="22">
        <f t="shared" si="16"/>
        <v>0</v>
      </c>
      <c r="H56" s="27"/>
      <c r="I56" s="24">
        <f t="shared" si="17"/>
        <v>0</v>
      </c>
    </row>
    <row r="57" spans="1:9" ht="15.75" customHeight="1" x14ac:dyDescent="0.25">
      <c r="A57" s="3" t="s">
        <v>131</v>
      </c>
      <c r="B57" s="20" t="s">
        <v>63</v>
      </c>
      <c r="C57" s="81"/>
      <c r="D57" s="26"/>
      <c r="E57" s="22"/>
      <c r="F57" s="27"/>
      <c r="G57" s="22">
        <f t="shared" si="16"/>
        <v>0</v>
      </c>
      <c r="H57" s="27"/>
      <c r="I57" s="24">
        <f t="shared" si="17"/>
        <v>0</v>
      </c>
    </row>
    <row r="58" spans="1:9" ht="15.75" customHeight="1" x14ac:dyDescent="0.25">
      <c r="A58" s="3" t="s">
        <v>132</v>
      </c>
      <c r="B58" s="20" t="s">
        <v>63</v>
      </c>
      <c r="C58" s="81"/>
      <c r="D58" s="26"/>
      <c r="E58" s="22"/>
      <c r="F58" s="27"/>
      <c r="G58" s="22">
        <f t="shared" si="16"/>
        <v>0</v>
      </c>
      <c r="H58" s="27"/>
      <c r="I58" s="24">
        <f t="shared" si="17"/>
        <v>0</v>
      </c>
    </row>
    <row r="59" spans="1:9" ht="15.75" customHeight="1" x14ac:dyDescent="0.25">
      <c r="A59" s="3" t="s">
        <v>135</v>
      </c>
      <c r="B59" s="20" t="s">
        <v>63</v>
      </c>
      <c r="C59" s="81"/>
      <c r="D59" s="26"/>
      <c r="E59" s="22"/>
      <c r="F59" s="27"/>
      <c r="G59" s="22">
        <f t="shared" si="16"/>
        <v>0</v>
      </c>
      <c r="H59" s="27"/>
      <c r="I59" s="24">
        <f t="shared" si="17"/>
        <v>0</v>
      </c>
    </row>
    <row r="60" spans="1:9" ht="15.75" customHeight="1" x14ac:dyDescent="0.25">
      <c r="A60" s="3" t="s">
        <v>136</v>
      </c>
      <c r="B60" s="20" t="s">
        <v>63</v>
      </c>
      <c r="C60" s="81"/>
      <c r="D60" s="26"/>
      <c r="E60" s="22"/>
      <c r="F60" s="27"/>
      <c r="G60" s="22">
        <f t="shared" si="16"/>
        <v>0</v>
      </c>
      <c r="H60" s="27"/>
      <c r="I60" s="24">
        <f t="shared" si="17"/>
        <v>0</v>
      </c>
    </row>
    <row r="61" spans="1:9" ht="15.75" customHeight="1" x14ac:dyDescent="0.25">
      <c r="A61" s="3" t="s">
        <v>137</v>
      </c>
      <c r="B61" s="20" t="s">
        <v>63</v>
      </c>
      <c r="C61" s="81"/>
      <c r="D61" s="26"/>
      <c r="E61" s="22"/>
      <c r="F61" s="27"/>
      <c r="G61" s="22">
        <f t="shared" si="16"/>
        <v>0</v>
      </c>
      <c r="H61" s="27"/>
      <c r="I61" s="24">
        <f t="shared" si="17"/>
        <v>0</v>
      </c>
    </row>
    <row r="62" spans="1:9" ht="15.75" customHeight="1" x14ac:dyDescent="0.25">
      <c r="A62" s="4" t="s">
        <v>27</v>
      </c>
      <c r="B62" s="20"/>
      <c r="C62" s="79"/>
      <c r="D62" s="22"/>
      <c r="E62" s="22"/>
      <c r="F62" s="23"/>
      <c r="G62" s="22">
        <f t="shared" si="14"/>
        <v>0</v>
      </c>
      <c r="H62" s="23"/>
      <c r="I62" s="24">
        <f t="shared" si="15"/>
        <v>0</v>
      </c>
    </row>
    <row r="63" spans="1:9" ht="15.75" customHeight="1" x14ac:dyDescent="0.25">
      <c r="A63" s="5" t="s">
        <v>60</v>
      </c>
      <c r="B63" s="28" t="s">
        <v>58</v>
      </c>
      <c r="C63" s="81"/>
      <c r="D63" s="26"/>
      <c r="E63" s="22"/>
      <c r="F63" s="27"/>
      <c r="G63" s="22">
        <f t="shared" si="14"/>
        <v>0</v>
      </c>
      <c r="H63" s="27"/>
      <c r="I63" s="24">
        <f t="shared" si="15"/>
        <v>0</v>
      </c>
    </row>
    <row r="64" spans="1:9" ht="15.75" customHeight="1" x14ac:dyDescent="0.25">
      <c r="A64" s="4" t="s">
        <v>23</v>
      </c>
      <c r="B64" s="28"/>
      <c r="C64" s="81"/>
      <c r="D64" s="26"/>
      <c r="E64" s="22"/>
      <c r="F64" s="27"/>
      <c r="G64" s="22"/>
      <c r="H64" s="27"/>
      <c r="I64" s="24"/>
    </row>
    <row r="65" spans="1:9" ht="15.75" customHeight="1" x14ac:dyDescent="0.25">
      <c r="A65" s="3" t="s">
        <v>99</v>
      </c>
      <c r="B65" s="28" t="s">
        <v>58</v>
      </c>
      <c r="C65" s="81"/>
      <c r="D65" s="26"/>
      <c r="E65" s="22"/>
      <c r="F65" s="27"/>
      <c r="G65" s="22">
        <f t="shared" ref="G65:G71" si="18">(C65*F65)</f>
        <v>0</v>
      </c>
      <c r="H65" s="27"/>
      <c r="I65" s="24">
        <f t="shared" ref="I65:I71" si="19">(E65+G65+H65)</f>
        <v>0</v>
      </c>
    </row>
    <row r="66" spans="1:9" ht="15.75" customHeight="1" x14ac:dyDescent="0.25">
      <c r="A66" s="3" t="s">
        <v>100</v>
      </c>
      <c r="B66" s="28" t="s">
        <v>58</v>
      </c>
      <c r="C66" s="81"/>
      <c r="D66" s="26"/>
      <c r="E66" s="22"/>
      <c r="F66" s="27"/>
      <c r="G66" s="22">
        <f t="shared" si="18"/>
        <v>0</v>
      </c>
      <c r="H66" s="27"/>
      <c r="I66" s="24">
        <f t="shared" si="19"/>
        <v>0</v>
      </c>
    </row>
    <row r="67" spans="1:9" ht="15.75" customHeight="1" x14ac:dyDescent="0.25">
      <c r="A67" s="3" t="s">
        <v>101</v>
      </c>
      <c r="B67" s="28" t="s">
        <v>58</v>
      </c>
      <c r="C67" s="81"/>
      <c r="D67" s="26"/>
      <c r="E67" s="22"/>
      <c r="F67" s="27"/>
      <c r="G67" s="22">
        <f t="shared" si="18"/>
        <v>0</v>
      </c>
      <c r="H67" s="27"/>
      <c r="I67" s="24">
        <f t="shared" si="19"/>
        <v>0</v>
      </c>
    </row>
    <row r="68" spans="1:9" ht="15.75" customHeight="1" x14ac:dyDescent="0.25">
      <c r="A68" s="3" t="s">
        <v>102</v>
      </c>
      <c r="B68" s="28" t="s">
        <v>58</v>
      </c>
      <c r="C68" s="81"/>
      <c r="D68" s="26"/>
      <c r="E68" s="22"/>
      <c r="F68" s="27"/>
      <c r="G68" s="22">
        <f t="shared" si="18"/>
        <v>0</v>
      </c>
      <c r="H68" s="27"/>
      <c r="I68" s="24">
        <f t="shared" si="19"/>
        <v>0</v>
      </c>
    </row>
    <row r="69" spans="1:9" ht="15.75" customHeight="1" x14ac:dyDescent="0.25">
      <c r="A69" s="3" t="s">
        <v>103</v>
      </c>
      <c r="B69" s="28" t="s">
        <v>58</v>
      </c>
      <c r="C69" s="81"/>
      <c r="D69" s="26"/>
      <c r="E69" s="22"/>
      <c r="F69" s="27"/>
      <c r="G69" s="22">
        <f t="shared" si="18"/>
        <v>0</v>
      </c>
      <c r="H69" s="27"/>
      <c r="I69" s="24">
        <f t="shared" si="19"/>
        <v>0</v>
      </c>
    </row>
    <row r="70" spans="1:9" ht="15.75" customHeight="1" x14ac:dyDescent="0.25">
      <c r="A70" s="3" t="s">
        <v>104</v>
      </c>
      <c r="B70" s="28" t="s">
        <v>58</v>
      </c>
      <c r="C70" s="81"/>
      <c r="D70" s="26"/>
      <c r="E70" s="22"/>
      <c r="F70" s="27"/>
      <c r="G70" s="22">
        <f t="shared" si="18"/>
        <v>0</v>
      </c>
      <c r="H70" s="27"/>
      <c r="I70" s="24">
        <f t="shared" si="19"/>
        <v>0</v>
      </c>
    </row>
    <row r="71" spans="1:9" ht="15.75" customHeight="1" x14ac:dyDescent="0.25">
      <c r="A71" s="3" t="s">
        <v>105</v>
      </c>
      <c r="B71" s="28" t="s">
        <v>58</v>
      </c>
      <c r="C71" s="81"/>
      <c r="D71" s="26"/>
      <c r="E71" s="22"/>
      <c r="F71" s="27"/>
      <c r="G71" s="22">
        <f t="shared" si="18"/>
        <v>0</v>
      </c>
      <c r="H71" s="27"/>
      <c r="I71" s="24">
        <f t="shared" si="19"/>
        <v>0</v>
      </c>
    </row>
    <row r="72" spans="1:9" ht="15.75" customHeight="1" x14ac:dyDescent="0.25">
      <c r="A72" s="3" t="s">
        <v>106</v>
      </c>
      <c r="B72" s="28" t="s">
        <v>58</v>
      </c>
      <c r="C72" s="81"/>
      <c r="D72" s="27"/>
      <c r="E72" s="22"/>
      <c r="F72" s="27"/>
      <c r="G72" s="22">
        <f t="shared" ref="G72:G92" si="20">(C72*F72)</f>
        <v>0</v>
      </c>
      <c r="H72" s="27"/>
      <c r="I72" s="24">
        <f t="shared" ref="I72:I92" si="21">(E72+G72+H72)</f>
        <v>0</v>
      </c>
    </row>
    <row r="73" spans="1:9" ht="15.75" customHeight="1" x14ac:dyDescent="0.25">
      <c r="A73" s="3" t="s">
        <v>107</v>
      </c>
      <c r="B73" s="28" t="s">
        <v>58</v>
      </c>
      <c r="C73" s="81"/>
      <c r="D73" s="26"/>
      <c r="E73" s="22"/>
      <c r="F73" s="27"/>
      <c r="G73" s="22">
        <f t="shared" si="20"/>
        <v>0</v>
      </c>
      <c r="H73" s="27"/>
      <c r="I73" s="24">
        <f t="shared" si="21"/>
        <v>0</v>
      </c>
    </row>
    <row r="74" spans="1:9" ht="15.75" customHeight="1" x14ac:dyDescent="0.25">
      <c r="A74" s="3" t="s">
        <v>108</v>
      </c>
      <c r="B74" s="28" t="s">
        <v>58</v>
      </c>
      <c r="C74" s="81"/>
      <c r="D74" s="26"/>
      <c r="E74" s="22"/>
      <c r="F74" s="27"/>
      <c r="G74" s="22">
        <f t="shared" si="20"/>
        <v>0</v>
      </c>
      <c r="H74" s="27"/>
      <c r="I74" s="24">
        <f t="shared" si="21"/>
        <v>0</v>
      </c>
    </row>
    <row r="75" spans="1:9" ht="15.75" customHeight="1" x14ac:dyDescent="0.25">
      <c r="A75" s="3" t="s">
        <v>109</v>
      </c>
      <c r="B75" s="28" t="s">
        <v>58</v>
      </c>
      <c r="C75" s="81"/>
      <c r="D75" s="26"/>
      <c r="E75" s="22"/>
      <c r="F75" s="27"/>
      <c r="G75" s="22">
        <f t="shared" si="20"/>
        <v>0</v>
      </c>
      <c r="H75" s="27"/>
      <c r="I75" s="24">
        <f t="shared" si="21"/>
        <v>0</v>
      </c>
    </row>
    <row r="76" spans="1:9" ht="15.75" customHeight="1" x14ac:dyDescent="0.25">
      <c r="A76" s="3" t="s">
        <v>110</v>
      </c>
      <c r="B76" s="28" t="s">
        <v>58</v>
      </c>
      <c r="C76" s="81"/>
      <c r="D76" s="26"/>
      <c r="E76" s="22"/>
      <c r="F76" s="27"/>
      <c r="G76" s="22">
        <f t="shared" si="20"/>
        <v>0</v>
      </c>
      <c r="H76" s="27"/>
      <c r="I76" s="24">
        <f t="shared" si="21"/>
        <v>0</v>
      </c>
    </row>
    <row r="77" spans="1:9" ht="15.75" customHeight="1" x14ac:dyDescent="0.25">
      <c r="A77" s="3" t="s">
        <v>111</v>
      </c>
      <c r="B77" s="28" t="s">
        <v>58</v>
      </c>
      <c r="C77" s="81"/>
      <c r="D77" s="26"/>
      <c r="E77" s="22"/>
      <c r="F77" s="27"/>
      <c r="G77" s="22">
        <f t="shared" si="20"/>
        <v>0</v>
      </c>
      <c r="H77" s="27"/>
      <c r="I77" s="24">
        <f t="shared" si="21"/>
        <v>0</v>
      </c>
    </row>
    <row r="78" spans="1:9" ht="15.75" customHeight="1" x14ac:dyDescent="0.25">
      <c r="A78" s="3" t="s">
        <v>112</v>
      </c>
      <c r="B78" s="28" t="s">
        <v>58</v>
      </c>
      <c r="C78" s="81"/>
      <c r="D78" s="26"/>
      <c r="E78" s="22"/>
      <c r="F78" s="27"/>
      <c r="G78" s="22">
        <f t="shared" si="20"/>
        <v>0</v>
      </c>
      <c r="H78" s="27"/>
      <c r="I78" s="24">
        <f t="shared" si="21"/>
        <v>0</v>
      </c>
    </row>
    <row r="79" spans="1:9" ht="15.75" customHeight="1" x14ac:dyDescent="0.25">
      <c r="A79" s="3" t="s">
        <v>113</v>
      </c>
      <c r="B79" s="28" t="s">
        <v>58</v>
      </c>
      <c r="C79" s="81"/>
      <c r="D79" s="26"/>
      <c r="E79" s="22"/>
      <c r="F79" s="27"/>
      <c r="G79" s="22">
        <f t="shared" si="20"/>
        <v>0</v>
      </c>
      <c r="H79" s="27"/>
      <c r="I79" s="24">
        <f t="shared" si="21"/>
        <v>0</v>
      </c>
    </row>
    <row r="80" spans="1:9" ht="15.75" customHeight="1" x14ac:dyDescent="0.25">
      <c r="A80" s="3" t="s">
        <v>114</v>
      </c>
      <c r="B80" s="28" t="s">
        <v>58</v>
      </c>
      <c r="C80" s="81"/>
      <c r="D80" s="26"/>
      <c r="E80" s="22"/>
      <c r="F80" s="27"/>
      <c r="G80" s="22">
        <f t="shared" si="20"/>
        <v>0</v>
      </c>
      <c r="H80" s="27"/>
      <c r="I80" s="24">
        <f t="shared" si="21"/>
        <v>0</v>
      </c>
    </row>
    <row r="81" spans="1:9" ht="15.75" customHeight="1" x14ac:dyDescent="0.25">
      <c r="A81" s="3" t="s">
        <v>115</v>
      </c>
      <c r="B81" s="28" t="s">
        <v>58</v>
      </c>
      <c r="C81" s="81"/>
      <c r="D81" s="26"/>
      <c r="E81" s="22"/>
      <c r="F81" s="27"/>
      <c r="G81" s="22">
        <f t="shared" si="20"/>
        <v>0</v>
      </c>
      <c r="H81" s="27"/>
      <c r="I81" s="24">
        <f t="shared" si="21"/>
        <v>0</v>
      </c>
    </row>
    <row r="82" spans="1:9" ht="15.75" customHeight="1" x14ac:dyDescent="0.25">
      <c r="A82" s="3" t="s">
        <v>116</v>
      </c>
      <c r="B82" s="28" t="s">
        <v>58</v>
      </c>
      <c r="C82" s="81"/>
      <c r="D82" s="26"/>
      <c r="E82" s="22"/>
      <c r="F82" s="27"/>
      <c r="G82" s="22">
        <f t="shared" si="20"/>
        <v>0</v>
      </c>
      <c r="H82" s="27"/>
      <c r="I82" s="24">
        <f t="shared" si="21"/>
        <v>0</v>
      </c>
    </row>
    <row r="83" spans="1:9" ht="15.75" customHeight="1" x14ac:dyDescent="0.25">
      <c r="A83" s="3" t="s">
        <v>117</v>
      </c>
      <c r="B83" s="28" t="s">
        <v>58</v>
      </c>
      <c r="C83" s="81"/>
      <c r="D83" s="26"/>
      <c r="E83" s="22"/>
      <c r="F83" s="27"/>
      <c r="G83" s="22">
        <f t="shared" si="20"/>
        <v>0</v>
      </c>
      <c r="H83" s="27"/>
      <c r="I83" s="24">
        <f t="shared" si="21"/>
        <v>0</v>
      </c>
    </row>
    <row r="84" spans="1:9" ht="15.75" customHeight="1" x14ac:dyDescent="0.25">
      <c r="A84" s="3" t="s">
        <v>118</v>
      </c>
      <c r="B84" s="28" t="s">
        <v>58</v>
      </c>
      <c r="C84" s="81"/>
      <c r="D84" s="26"/>
      <c r="E84" s="22"/>
      <c r="F84" s="27"/>
      <c r="G84" s="22">
        <f t="shared" si="20"/>
        <v>0</v>
      </c>
      <c r="H84" s="27"/>
      <c r="I84" s="24">
        <f t="shared" si="21"/>
        <v>0</v>
      </c>
    </row>
    <row r="85" spans="1:9" ht="15.75" customHeight="1" x14ac:dyDescent="0.25">
      <c r="A85" s="3" t="s">
        <v>119</v>
      </c>
      <c r="B85" s="28" t="s">
        <v>58</v>
      </c>
      <c r="C85" s="81"/>
      <c r="D85" s="26"/>
      <c r="E85" s="22"/>
      <c r="F85" s="27"/>
      <c r="G85" s="22">
        <f t="shared" si="20"/>
        <v>0</v>
      </c>
      <c r="H85" s="27"/>
      <c r="I85" s="24">
        <f t="shared" si="21"/>
        <v>0</v>
      </c>
    </row>
    <row r="86" spans="1:9" ht="15.75" customHeight="1" x14ac:dyDescent="0.25">
      <c r="A86" s="3" t="s">
        <v>120</v>
      </c>
      <c r="B86" s="28" t="s">
        <v>58</v>
      </c>
      <c r="C86" s="81"/>
      <c r="D86" s="26"/>
      <c r="E86" s="22"/>
      <c r="F86" s="27"/>
      <c r="G86" s="22">
        <f t="shared" si="20"/>
        <v>0</v>
      </c>
      <c r="H86" s="27"/>
      <c r="I86" s="24">
        <f t="shared" si="21"/>
        <v>0</v>
      </c>
    </row>
    <row r="87" spans="1:9" ht="15.75" customHeight="1" x14ac:dyDescent="0.25">
      <c r="A87" s="3" t="s">
        <v>121</v>
      </c>
      <c r="B87" s="28" t="s">
        <v>58</v>
      </c>
      <c r="C87" s="81"/>
      <c r="D87" s="26"/>
      <c r="E87" s="22"/>
      <c r="F87" s="27"/>
      <c r="G87" s="22">
        <f t="shared" si="20"/>
        <v>0</v>
      </c>
      <c r="H87" s="27"/>
      <c r="I87" s="24">
        <f t="shared" si="21"/>
        <v>0</v>
      </c>
    </row>
    <row r="88" spans="1:9" ht="15.75" customHeight="1" x14ac:dyDescent="0.25">
      <c r="A88" s="3" t="s">
        <v>122</v>
      </c>
      <c r="B88" s="28" t="s">
        <v>58</v>
      </c>
      <c r="C88" s="81"/>
      <c r="D88" s="26"/>
      <c r="E88" s="22"/>
      <c r="F88" s="27"/>
      <c r="G88" s="22">
        <f t="shared" si="20"/>
        <v>0</v>
      </c>
      <c r="H88" s="27"/>
      <c r="I88" s="24">
        <f t="shared" si="21"/>
        <v>0</v>
      </c>
    </row>
    <row r="89" spans="1:9" ht="15.75" customHeight="1" x14ac:dyDescent="0.25">
      <c r="A89" s="3" t="s">
        <v>272</v>
      </c>
      <c r="B89" s="28" t="s">
        <v>58</v>
      </c>
      <c r="C89" s="81"/>
      <c r="D89" s="26"/>
      <c r="E89" s="22"/>
      <c r="F89" s="27"/>
      <c r="G89" s="22">
        <f t="shared" si="20"/>
        <v>0</v>
      </c>
      <c r="H89" s="27"/>
      <c r="I89" s="24">
        <f t="shared" si="21"/>
        <v>0</v>
      </c>
    </row>
    <row r="90" spans="1:9" ht="15.75" customHeight="1" x14ac:dyDescent="0.25">
      <c r="A90" s="3" t="s">
        <v>123</v>
      </c>
      <c r="B90" s="28" t="s">
        <v>58</v>
      </c>
      <c r="C90" s="81"/>
      <c r="D90" s="26"/>
      <c r="E90" s="22"/>
      <c r="F90" s="27"/>
      <c r="G90" s="22">
        <f t="shared" si="20"/>
        <v>0</v>
      </c>
      <c r="H90" s="27"/>
      <c r="I90" s="24">
        <f t="shared" si="21"/>
        <v>0</v>
      </c>
    </row>
    <row r="91" spans="1:9" ht="15.75" customHeight="1" x14ac:dyDescent="0.25">
      <c r="A91" s="3" t="s">
        <v>124</v>
      </c>
      <c r="B91" s="28" t="s">
        <v>58</v>
      </c>
      <c r="C91" s="81"/>
      <c r="D91" s="26"/>
      <c r="E91" s="22"/>
      <c r="F91" s="27"/>
      <c r="G91" s="22">
        <f t="shared" si="20"/>
        <v>0</v>
      </c>
      <c r="H91" s="27"/>
      <c r="I91" s="24">
        <f t="shared" si="21"/>
        <v>0</v>
      </c>
    </row>
    <row r="92" spans="1:9" ht="15.75" customHeight="1" x14ac:dyDescent="0.25">
      <c r="A92" s="3" t="s">
        <v>125</v>
      </c>
      <c r="B92" s="28" t="s">
        <v>58</v>
      </c>
      <c r="C92" s="81"/>
      <c r="D92" s="26"/>
      <c r="E92" s="22"/>
      <c r="F92" s="27"/>
      <c r="G92" s="22">
        <f t="shared" si="20"/>
        <v>0</v>
      </c>
      <c r="H92" s="27"/>
      <c r="I92" s="24">
        <f t="shared" si="21"/>
        <v>0</v>
      </c>
    </row>
    <row r="93" spans="1:9" ht="15.75" customHeight="1" x14ac:dyDescent="0.25">
      <c r="A93" s="5" t="s">
        <v>127</v>
      </c>
      <c r="B93" s="28" t="s">
        <v>58</v>
      </c>
      <c r="C93" s="81"/>
      <c r="D93" s="26"/>
      <c r="E93" s="22"/>
      <c r="F93" s="27"/>
      <c r="G93" s="22">
        <f t="shared" ref="G93" si="22">(C93*F93)</f>
        <v>0</v>
      </c>
      <c r="H93" s="27"/>
      <c r="I93" s="24">
        <f t="shared" ref="I93" si="23">(E93+G93+H93)</f>
        <v>0</v>
      </c>
    </row>
    <row r="94" spans="1:9" ht="15.75" customHeight="1" x14ac:dyDescent="0.25">
      <c r="A94" s="4" t="s">
        <v>24</v>
      </c>
      <c r="B94" s="20"/>
      <c r="C94" s="79"/>
      <c r="D94" s="22"/>
      <c r="E94" s="22"/>
      <c r="F94" s="23"/>
      <c r="G94" s="22">
        <f t="shared" si="14"/>
        <v>0</v>
      </c>
      <c r="H94" s="23"/>
      <c r="I94" s="24">
        <f t="shared" ref="I94:I100" si="24">(E94+G94+H94)</f>
        <v>0</v>
      </c>
    </row>
    <row r="95" spans="1:9" ht="15.75" customHeight="1" x14ac:dyDescent="0.25">
      <c r="A95" s="3" t="s">
        <v>57</v>
      </c>
      <c r="B95" s="20" t="s">
        <v>55</v>
      </c>
      <c r="C95" s="79"/>
      <c r="D95" s="22"/>
      <c r="E95" s="22"/>
      <c r="F95" s="23"/>
      <c r="G95" s="22">
        <f>(C95*F95)</f>
        <v>0</v>
      </c>
      <c r="H95" s="23"/>
      <c r="I95" s="24">
        <f t="shared" si="24"/>
        <v>0</v>
      </c>
    </row>
    <row r="96" spans="1:9" ht="15.75" customHeight="1" x14ac:dyDescent="0.25">
      <c r="A96" s="3" t="s">
        <v>96</v>
      </c>
      <c r="B96" s="20" t="s">
        <v>63</v>
      </c>
      <c r="C96" s="79"/>
      <c r="D96" s="22"/>
      <c r="E96" s="22"/>
      <c r="F96" s="23"/>
      <c r="G96" s="22">
        <f t="shared" ref="G96:G100" si="25">(C96*F96)</f>
        <v>0</v>
      </c>
      <c r="H96" s="23"/>
      <c r="I96" s="24">
        <f t="shared" si="24"/>
        <v>0</v>
      </c>
    </row>
    <row r="97" spans="1:9" ht="15.75" customHeight="1" x14ac:dyDescent="0.25">
      <c r="A97" s="3" t="s">
        <v>94</v>
      </c>
      <c r="B97" s="20" t="s">
        <v>63</v>
      </c>
      <c r="C97" s="79"/>
      <c r="D97" s="22"/>
      <c r="E97" s="22"/>
      <c r="F97" s="23"/>
      <c r="G97" s="22">
        <f t="shared" si="25"/>
        <v>0</v>
      </c>
      <c r="H97" s="23"/>
      <c r="I97" s="24">
        <f t="shared" si="24"/>
        <v>0</v>
      </c>
    </row>
    <row r="98" spans="1:9" ht="15.75" customHeight="1" x14ac:dyDescent="0.25">
      <c r="A98" s="3" t="s">
        <v>95</v>
      </c>
      <c r="B98" s="20" t="s">
        <v>63</v>
      </c>
      <c r="C98" s="79"/>
      <c r="D98" s="22"/>
      <c r="E98" s="22"/>
      <c r="F98" s="23"/>
      <c r="G98" s="22">
        <f t="shared" si="25"/>
        <v>0</v>
      </c>
      <c r="H98" s="23"/>
      <c r="I98" s="24">
        <f t="shared" si="24"/>
        <v>0</v>
      </c>
    </row>
    <row r="99" spans="1:9" ht="15.75" customHeight="1" x14ac:dyDescent="0.25">
      <c r="A99" s="3" t="s">
        <v>97</v>
      </c>
      <c r="B99" s="20" t="s">
        <v>63</v>
      </c>
      <c r="C99" s="79"/>
      <c r="D99" s="22"/>
      <c r="E99" s="22"/>
      <c r="F99" s="23"/>
      <c r="G99" s="22">
        <f t="shared" si="25"/>
        <v>0</v>
      </c>
      <c r="H99" s="23"/>
      <c r="I99" s="24">
        <f t="shared" si="24"/>
        <v>0</v>
      </c>
    </row>
    <row r="100" spans="1:9" ht="15.75" customHeight="1" x14ac:dyDescent="0.25">
      <c r="A100" s="3" t="s">
        <v>98</v>
      </c>
      <c r="B100" s="20" t="s">
        <v>63</v>
      </c>
      <c r="C100" s="79"/>
      <c r="D100" s="22"/>
      <c r="E100" s="22"/>
      <c r="F100" s="23"/>
      <c r="G100" s="22">
        <f t="shared" si="25"/>
        <v>0</v>
      </c>
      <c r="H100" s="23"/>
      <c r="I100" s="24">
        <f t="shared" si="24"/>
        <v>0</v>
      </c>
    </row>
    <row r="101" spans="1:9" ht="15.75" customHeight="1" x14ac:dyDescent="0.25">
      <c r="A101" s="3"/>
      <c r="B101" s="20"/>
      <c r="C101" s="79"/>
      <c r="D101" s="22"/>
      <c r="E101" s="22"/>
      <c r="F101" s="23"/>
      <c r="G101" s="22"/>
      <c r="H101" s="23"/>
      <c r="I101" s="24"/>
    </row>
    <row r="102" spans="1:9" ht="15.75" customHeight="1" x14ac:dyDescent="0.25">
      <c r="A102" s="4" t="s">
        <v>25</v>
      </c>
      <c r="B102" s="20"/>
      <c r="C102" s="79"/>
      <c r="D102" s="22"/>
      <c r="E102" s="22"/>
      <c r="F102" s="23"/>
      <c r="G102" s="22"/>
      <c r="H102" s="23"/>
      <c r="I102" s="24"/>
    </row>
    <row r="103" spans="1:9" ht="15.75" customHeight="1" x14ac:dyDescent="0.25">
      <c r="A103" s="3" t="s">
        <v>138</v>
      </c>
      <c r="B103" s="20" t="s">
        <v>58</v>
      </c>
      <c r="C103" s="79"/>
      <c r="D103" s="22"/>
      <c r="E103" s="22"/>
      <c r="F103" s="23"/>
      <c r="G103" s="22">
        <f t="shared" ref="G103:G112" si="26">(C103*F103)</f>
        <v>0</v>
      </c>
      <c r="H103" s="23"/>
      <c r="I103" s="24">
        <f t="shared" ref="I103:I112" si="27">(E103+G103+H103)</f>
        <v>0</v>
      </c>
    </row>
    <row r="104" spans="1:9" ht="15.75" customHeight="1" x14ac:dyDescent="0.25">
      <c r="A104" s="3" t="s">
        <v>273</v>
      </c>
      <c r="B104" s="20" t="s">
        <v>58</v>
      </c>
      <c r="C104" s="79"/>
      <c r="D104" s="22"/>
      <c r="E104" s="22"/>
      <c r="F104" s="23"/>
      <c r="G104" s="22">
        <f t="shared" si="26"/>
        <v>0</v>
      </c>
      <c r="H104" s="23"/>
      <c r="I104" s="24">
        <f t="shared" si="27"/>
        <v>0</v>
      </c>
    </row>
    <row r="105" spans="1:9" ht="15.75" customHeight="1" x14ac:dyDescent="0.25">
      <c r="A105" s="3" t="s">
        <v>139</v>
      </c>
      <c r="B105" s="20" t="s">
        <v>58</v>
      </c>
      <c r="C105" s="79"/>
      <c r="D105" s="22"/>
      <c r="E105" s="22"/>
      <c r="F105" s="23"/>
      <c r="G105" s="22">
        <f t="shared" si="26"/>
        <v>0</v>
      </c>
      <c r="H105" s="23"/>
      <c r="I105" s="24">
        <f t="shared" si="27"/>
        <v>0</v>
      </c>
    </row>
    <row r="106" spans="1:9" ht="15.75" customHeight="1" x14ac:dyDescent="0.25">
      <c r="A106" s="3" t="s">
        <v>140</v>
      </c>
      <c r="B106" s="20" t="s">
        <v>88</v>
      </c>
      <c r="C106" s="79"/>
      <c r="D106" s="22"/>
      <c r="E106" s="22"/>
      <c r="F106" s="23"/>
      <c r="G106" s="22">
        <f t="shared" si="26"/>
        <v>0</v>
      </c>
      <c r="H106" s="23"/>
      <c r="I106" s="24">
        <f t="shared" si="27"/>
        <v>0</v>
      </c>
    </row>
    <row r="107" spans="1:9" ht="15.75" customHeight="1" x14ac:dyDescent="0.25">
      <c r="A107" s="3" t="s">
        <v>141</v>
      </c>
      <c r="B107" s="20" t="s">
        <v>58</v>
      </c>
      <c r="C107" s="79"/>
      <c r="D107" s="22"/>
      <c r="E107" s="22"/>
      <c r="F107" s="23"/>
      <c r="G107" s="22">
        <f t="shared" si="26"/>
        <v>0</v>
      </c>
      <c r="H107" s="23"/>
      <c r="I107" s="24">
        <f t="shared" si="27"/>
        <v>0</v>
      </c>
    </row>
    <row r="108" spans="1:9" ht="15.75" customHeight="1" x14ac:dyDescent="0.25">
      <c r="A108" s="3" t="s">
        <v>142</v>
      </c>
      <c r="B108" s="20" t="s">
        <v>58</v>
      </c>
      <c r="C108" s="79"/>
      <c r="D108" s="22"/>
      <c r="E108" s="22"/>
      <c r="F108" s="23"/>
      <c r="G108" s="22">
        <f t="shared" si="26"/>
        <v>0</v>
      </c>
      <c r="H108" s="23"/>
      <c r="I108" s="24">
        <f t="shared" si="27"/>
        <v>0</v>
      </c>
    </row>
    <row r="109" spans="1:9" ht="15.75" customHeight="1" x14ac:dyDescent="0.25">
      <c r="A109" s="3" t="s">
        <v>143</v>
      </c>
      <c r="B109" s="20" t="s">
        <v>58</v>
      </c>
      <c r="C109" s="79"/>
      <c r="D109" s="22"/>
      <c r="E109" s="22"/>
      <c r="F109" s="23"/>
      <c r="G109" s="22">
        <f t="shared" si="26"/>
        <v>0</v>
      </c>
      <c r="H109" s="23"/>
      <c r="I109" s="24">
        <f t="shared" si="27"/>
        <v>0</v>
      </c>
    </row>
    <row r="110" spans="1:9" ht="15.75" customHeight="1" x14ac:dyDescent="0.25">
      <c r="A110" s="3" t="s">
        <v>144</v>
      </c>
      <c r="B110" s="20" t="s">
        <v>58</v>
      </c>
      <c r="C110" s="79"/>
      <c r="D110" s="23"/>
      <c r="E110" s="22"/>
      <c r="F110" s="23"/>
      <c r="G110" s="22">
        <f t="shared" si="26"/>
        <v>0</v>
      </c>
      <c r="H110" s="23"/>
      <c r="I110" s="24">
        <f t="shared" si="27"/>
        <v>0</v>
      </c>
    </row>
    <row r="111" spans="1:9" ht="15.75" customHeight="1" x14ac:dyDescent="0.25">
      <c r="A111" s="3" t="s">
        <v>145</v>
      </c>
      <c r="B111" s="20" t="s">
        <v>146</v>
      </c>
      <c r="C111" s="79"/>
      <c r="D111" s="23"/>
      <c r="E111" s="22"/>
      <c r="F111" s="23"/>
      <c r="G111" s="22">
        <f t="shared" si="26"/>
        <v>0</v>
      </c>
      <c r="H111" s="23"/>
      <c r="I111" s="24">
        <f t="shared" si="27"/>
        <v>0</v>
      </c>
    </row>
    <row r="112" spans="1:9" ht="15.75" customHeight="1" x14ac:dyDescent="0.25">
      <c r="A112" s="3" t="s">
        <v>153</v>
      </c>
      <c r="B112" s="20" t="s">
        <v>58</v>
      </c>
      <c r="C112" s="79"/>
      <c r="D112" s="23"/>
      <c r="E112" s="22"/>
      <c r="F112" s="23"/>
      <c r="G112" s="22">
        <f t="shared" si="26"/>
        <v>0</v>
      </c>
      <c r="H112" s="23"/>
      <c r="I112" s="24">
        <f t="shared" si="27"/>
        <v>0</v>
      </c>
    </row>
    <row r="113" spans="1:9" ht="15.75" customHeight="1" x14ac:dyDescent="0.25">
      <c r="A113" s="4" t="s">
        <v>28</v>
      </c>
      <c r="B113" s="20"/>
      <c r="C113" s="79"/>
      <c r="D113" s="22"/>
      <c r="E113" s="22"/>
      <c r="F113" s="23"/>
      <c r="G113" s="22"/>
      <c r="H113" s="23"/>
      <c r="I113" s="24"/>
    </row>
    <row r="114" spans="1:9" ht="15.75" customHeight="1" x14ac:dyDescent="0.25">
      <c r="A114" s="3"/>
      <c r="B114" s="20"/>
      <c r="C114" s="79"/>
      <c r="D114" s="22"/>
      <c r="E114" s="22"/>
      <c r="F114" s="23"/>
      <c r="G114" s="22">
        <f t="shared" ref="G114:G120" si="28">(C114*F114)</f>
        <v>0</v>
      </c>
      <c r="H114" s="23"/>
      <c r="I114" s="24">
        <f t="shared" ref="I114:I149" si="29">(E114+G114+H114)</f>
        <v>0</v>
      </c>
    </row>
    <row r="115" spans="1:9" ht="15.75" customHeight="1" x14ac:dyDescent="0.25">
      <c r="A115" s="3" t="s">
        <v>150</v>
      </c>
      <c r="B115" s="20" t="s">
        <v>58</v>
      </c>
      <c r="C115" s="79"/>
      <c r="D115" s="22"/>
      <c r="E115" s="22"/>
      <c r="F115" s="23"/>
      <c r="G115" s="22">
        <f t="shared" ref="G115:G116" si="30">(C115*F115)</f>
        <v>0</v>
      </c>
      <c r="H115" s="23"/>
      <c r="I115" s="24">
        <f t="shared" ref="I115:I116" si="31">(E115+G115+H115)</f>
        <v>0</v>
      </c>
    </row>
    <row r="116" spans="1:9" ht="15.75" customHeight="1" x14ac:dyDescent="0.25">
      <c r="A116" s="3"/>
      <c r="B116" s="20"/>
      <c r="C116" s="79"/>
      <c r="D116" s="22"/>
      <c r="E116" s="22"/>
      <c r="F116" s="23"/>
      <c r="G116" s="22">
        <f t="shared" si="30"/>
        <v>0</v>
      </c>
      <c r="H116" s="23"/>
      <c r="I116" s="24">
        <f t="shared" si="31"/>
        <v>0</v>
      </c>
    </row>
    <row r="117" spans="1:9" ht="15.75" customHeight="1" x14ac:dyDescent="0.25">
      <c r="A117" s="4" t="s">
        <v>29</v>
      </c>
      <c r="B117" s="20"/>
      <c r="C117" s="79"/>
      <c r="D117" s="22"/>
      <c r="E117" s="22"/>
      <c r="F117" s="23"/>
      <c r="G117" s="22">
        <f t="shared" si="28"/>
        <v>0</v>
      </c>
      <c r="H117" s="23"/>
      <c r="I117" s="24">
        <f t="shared" si="29"/>
        <v>0</v>
      </c>
    </row>
    <row r="118" spans="1:9" ht="15.75" customHeight="1" x14ac:dyDescent="0.25">
      <c r="A118" s="3" t="s">
        <v>148</v>
      </c>
      <c r="B118" s="20" t="s">
        <v>58</v>
      </c>
      <c r="C118" s="79"/>
      <c r="D118" s="22"/>
      <c r="E118" s="22"/>
      <c r="F118" s="23"/>
      <c r="G118" s="22">
        <f t="shared" si="28"/>
        <v>0</v>
      </c>
      <c r="H118" s="23"/>
      <c r="I118" s="24">
        <f t="shared" si="29"/>
        <v>0</v>
      </c>
    </row>
    <row r="119" spans="1:9" ht="15.75" customHeight="1" x14ac:dyDescent="0.25">
      <c r="A119" s="3" t="s">
        <v>149</v>
      </c>
      <c r="B119" s="20" t="s">
        <v>58</v>
      </c>
      <c r="C119" s="79"/>
      <c r="D119" s="22"/>
      <c r="E119" s="22"/>
      <c r="F119" s="23"/>
      <c r="G119" s="22">
        <f t="shared" si="28"/>
        <v>0</v>
      </c>
      <c r="H119" s="23"/>
      <c r="I119" s="24">
        <f t="shared" si="29"/>
        <v>0</v>
      </c>
    </row>
    <row r="120" spans="1:9" ht="15.75" customHeight="1" x14ac:dyDescent="0.25">
      <c r="A120" s="3" t="s">
        <v>151</v>
      </c>
      <c r="B120" s="20" t="s">
        <v>58</v>
      </c>
      <c r="C120" s="79"/>
      <c r="D120" s="22"/>
      <c r="E120" s="22"/>
      <c r="F120" s="23"/>
      <c r="G120" s="22">
        <f t="shared" si="28"/>
        <v>0</v>
      </c>
      <c r="H120" s="23"/>
      <c r="I120" s="24">
        <f t="shared" si="29"/>
        <v>0</v>
      </c>
    </row>
    <row r="121" spans="1:9" ht="15.75" customHeight="1" x14ac:dyDescent="0.25">
      <c r="A121" s="3"/>
      <c r="B121" s="20"/>
      <c r="C121" s="79"/>
      <c r="D121" s="22"/>
      <c r="E121" s="22"/>
      <c r="F121" s="23"/>
      <c r="G121" s="22">
        <f t="shared" si="14"/>
        <v>0</v>
      </c>
      <c r="H121" s="23"/>
      <c r="I121" s="24">
        <f t="shared" si="29"/>
        <v>0</v>
      </c>
    </row>
    <row r="122" spans="1:9" ht="15.75" customHeight="1" x14ac:dyDescent="0.25">
      <c r="A122" s="4" t="s">
        <v>26</v>
      </c>
      <c r="B122" s="20"/>
      <c r="C122" s="79"/>
      <c r="D122" s="22"/>
      <c r="E122" s="22"/>
      <c r="F122" s="23"/>
      <c r="G122" s="22">
        <f t="shared" si="14"/>
        <v>0</v>
      </c>
      <c r="H122" s="23"/>
      <c r="I122" s="24">
        <f t="shared" si="29"/>
        <v>0</v>
      </c>
    </row>
    <row r="123" spans="1:9" ht="15.75" customHeight="1" x14ac:dyDescent="0.25">
      <c r="A123" s="4" t="s">
        <v>30</v>
      </c>
      <c r="B123" s="20"/>
      <c r="C123" s="79"/>
      <c r="D123" s="22"/>
      <c r="E123" s="22"/>
      <c r="F123" s="23"/>
      <c r="G123" s="22">
        <f t="shared" si="14"/>
        <v>0</v>
      </c>
      <c r="H123" s="23"/>
      <c r="I123" s="24">
        <f t="shared" si="29"/>
        <v>0</v>
      </c>
    </row>
    <row r="124" spans="1:9" ht="15.75" customHeight="1" x14ac:dyDescent="0.25">
      <c r="A124" s="4" t="s">
        <v>31</v>
      </c>
      <c r="B124" s="20"/>
      <c r="C124" s="79"/>
      <c r="D124" s="22"/>
      <c r="E124" s="22"/>
      <c r="F124" s="23"/>
      <c r="G124" s="22">
        <f t="shared" si="14"/>
        <v>0</v>
      </c>
      <c r="H124" s="23"/>
      <c r="I124" s="24">
        <f t="shared" si="29"/>
        <v>0</v>
      </c>
    </row>
    <row r="125" spans="1:9" ht="15.75" customHeight="1" x14ac:dyDescent="0.25">
      <c r="A125" s="4" t="s">
        <v>154</v>
      </c>
      <c r="B125" s="20"/>
      <c r="C125" s="79"/>
      <c r="D125" s="22"/>
      <c r="E125" s="22"/>
      <c r="F125" s="23"/>
      <c r="G125" s="22"/>
      <c r="H125" s="23"/>
      <c r="I125" s="24">
        <f t="shared" si="29"/>
        <v>0</v>
      </c>
    </row>
    <row r="126" spans="1:9" ht="38.25" x14ac:dyDescent="0.25">
      <c r="A126" s="80" t="s">
        <v>155</v>
      </c>
      <c r="B126" s="20" t="s">
        <v>47</v>
      </c>
      <c r="C126" s="79"/>
      <c r="D126" s="22"/>
      <c r="E126" s="22"/>
      <c r="F126" s="91"/>
      <c r="G126" s="22">
        <f t="shared" si="14"/>
        <v>0</v>
      </c>
      <c r="H126" s="23"/>
      <c r="I126" s="24">
        <f t="shared" si="29"/>
        <v>0</v>
      </c>
    </row>
    <row r="127" spans="1:9" x14ac:dyDescent="0.25">
      <c r="A127" s="80" t="s">
        <v>156</v>
      </c>
      <c r="B127" s="20" t="s">
        <v>47</v>
      </c>
      <c r="C127" s="79"/>
      <c r="D127" s="22"/>
      <c r="E127" s="22"/>
      <c r="F127" s="22"/>
      <c r="G127" s="22">
        <f t="shared" si="14"/>
        <v>0</v>
      </c>
      <c r="H127" s="23"/>
      <c r="I127" s="24">
        <f t="shared" si="29"/>
        <v>0</v>
      </c>
    </row>
    <row r="128" spans="1:9" ht="38.25" x14ac:dyDescent="0.25">
      <c r="A128" s="80" t="s">
        <v>263</v>
      </c>
      <c r="B128" s="20" t="s">
        <v>58</v>
      </c>
      <c r="C128" s="79"/>
      <c r="D128" s="22"/>
      <c r="E128" s="22"/>
      <c r="F128" s="22"/>
      <c r="G128" s="22">
        <f t="shared" ref="G128:G139" si="32">(C128*F128)</f>
        <v>0</v>
      </c>
      <c r="H128" s="23"/>
      <c r="I128" s="24">
        <f t="shared" si="29"/>
        <v>0</v>
      </c>
    </row>
    <row r="129" spans="1:9" ht="33.75" x14ac:dyDescent="0.25">
      <c r="A129" s="80" t="s">
        <v>157</v>
      </c>
      <c r="B129" s="20" t="s">
        <v>47</v>
      </c>
      <c r="C129" s="79"/>
      <c r="D129" s="22"/>
      <c r="E129" s="22"/>
      <c r="F129" s="22"/>
      <c r="G129" s="22">
        <f t="shared" si="32"/>
        <v>0</v>
      </c>
      <c r="H129" s="23"/>
      <c r="I129" s="24">
        <f t="shared" si="29"/>
        <v>0</v>
      </c>
    </row>
    <row r="130" spans="1:9" ht="33.75" x14ac:dyDescent="0.25">
      <c r="A130" s="80" t="s">
        <v>157</v>
      </c>
      <c r="B130" s="20" t="s">
        <v>47</v>
      </c>
      <c r="C130" s="79"/>
      <c r="D130" s="22"/>
      <c r="E130" s="22"/>
      <c r="F130" s="23"/>
      <c r="G130" s="22">
        <f t="shared" si="32"/>
        <v>0</v>
      </c>
      <c r="H130" s="23"/>
      <c r="I130" s="24">
        <f t="shared" si="29"/>
        <v>0</v>
      </c>
    </row>
    <row r="131" spans="1:9" ht="33.75" x14ac:dyDescent="0.25">
      <c r="A131" s="80" t="s">
        <v>158</v>
      </c>
      <c r="B131" s="20" t="s">
        <v>47</v>
      </c>
      <c r="C131" s="79"/>
      <c r="D131" s="22"/>
      <c r="E131" s="22"/>
      <c r="F131" s="23"/>
      <c r="G131" s="22">
        <f t="shared" si="32"/>
        <v>0</v>
      </c>
      <c r="H131" s="23"/>
      <c r="I131" s="24">
        <f t="shared" si="29"/>
        <v>0</v>
      </c>
    </row>
    <row r="132" spans="1:9" ht="38.25" x14ac:dyDescent="0.25">
      <c r="A132" s="80" t="s">
        <v>159</v>
      </c>
      <c r="B132" s="20" t="s">
        <v>47</v>
      </c>
      <c r="C132" s="79"/>
      <c r="D132" s="22"/>
      <c r="E132" s="22"/>
      <c r="F132" s="23"/>
      <c r="G132" s="22">
        <f t="shared" si="32"/>
        <v>0</v>
      </c>
      <c r="H132" s="23"/>
      <c r="I132" s="24">
        <f t="shared" si="29"/>
        <v>0</v>
      </c>
    </row>
    <row r="133" spans="1:9" ht="38.25" x14ac:dyDescent="0.25">
      <c r="A133" s="80" t="s">
        <v>160</v>
      </c>
      <c r="B133" s="20" t="s">
        <v>47</v>
      </c>
      <c r="C133" s="79"/>
      <c r="D133" s="22"/>
      <c r="E133" s="22"/>
      <c r="F133" s="23"/>
      <c r="G133" s="22">
        <f t="shared" si="32"/>
        <v>0</v>
      </c>
      <c r="H133" s="23"/>
      <c r="I133" s="24">
        <f t="shared" si="29"/>
        <v>0</v>
      </c>
    </row>
    <row r="134" spans="1:9" ht="38.25" x14ac:dyDescent="0.25">
      <c r="A134" s="80" t="s">
        <v>161</v>
      </c>
      <c r="B134" s="20" t="s">
        <v>47</v>
      </c>
      <c r="C134" s="79"/>
      <c r="D134" s="22"/>
      <c r="E134" s="22"/>
      <c r="F134" s="23"/>
      <c r="G134" s="22">
        <f t="shared" si="32"/>
        <v>0</v>
      </c>
      <c r="H134" s="23"/>
      <c r="I134" s="24">
        <f t="shared" si="29"/>
        <v>0</v>
      </c>
    </row>
    <row r="135" spans="1:9" ht="38.25" x14ac:dyDescent="0.25">
      <c r="A135" s="80" t="s">
        <v>162</v>
      </c>
      <c r="B135" s="20" t="s">
        <v>47</v>
      </c>
      <c r="C135" s="79"/>
      <c r="D135" s="22"/>
      <c r="E135" s="22"/>
      <c r="F135" s="23"/>
      <c r="G135" s="22">
        <f t="shared" si="32"/>
        <v>0</v>
      </c>
      <c r="H135" s="23"/>
      <c r="I135" s="24">
        <f t="shared" si="29"/>
        <v>0</v>
      </c>
    </row>
    <row r="136" spans="1:9" ht="38.25" x14ac:dyDescent="0.25">
      <c r="A136" s="80" t="s">
        <v>163</v>
      </c>
      <c r="B136" s="20" t="s">
        <v>47</v>
      </c>
      <c r="C136" s="79"/>
      <c r="D136" s="22"/>
      <c r="E136" s="22"/>
      <c r="F136" s="23"/>
      <c r="G136" s="22">
        <f t="shared" si="32"/>
        <v>0</v>
      </c>
      <c r="H136" s="23"/>
      <c r="I136" s="24">
        <f t="shared" si="29"/>
        <v>0</v>
      </c>
    </row>
    <row r="137" spans="1:9" ht="38.25" x14ac:dyDescent="0.25">
      <c r="A137" s="80" t="s">
        <v>164</v>
      </c>
      <c r="B137" s="20" t="s">
        <v>47</v>
      </c>
      <c r="C137" s="79"/>
      <c r="D137" s="22"/>
      <c r="E137" s="22"/>
      <c r="F137" s="23"/>
      <c r="G137" s="22">
        <f t="shared" si="32"/>
        <v>0</v>
      </c>
      <c r="H137" s="23"/>
      <c r="I137" s="24">
        <f t="shared" si="29"/>
        <v>0</v>
      </c>
    </row>
    <row r="138" spans="1:9" ht="38.25" x14ac:dyDescent="0.25">
      <c r="A138" s="80" t="s">
        <v>165</v>
      </c>
      <c r="B138" s="20" t="s">
        <v>47</v>
      </c>
      <c r="C138" s="79"/>
      <c r="D138" s="22"/>
      <c r="E138" s="22"/>
      <c r="F138" s="23"/>
      <c r="G138" s="22">
        <f t="shared" si="32"/>
        <v>0</v>
      </c>
      <c r="H138" s="23"/>
      <c r="I138" s="24">
        <f t="shared" si="29"/>
        <v>0</v>
      </c>
    </row>
    <row r="139" spans="1:9" x14ac:dyDescent="0.25">
      <c r="A139" s="80" t="s">
        <v>166</v>
      </c>
      <c r="B139" s="20" t="s">
        <v>58</v>
      </c>
      <c r="C139" s="79"/>
      <c r="D139" s="22"/>
      <c r="E139" s="22"/>
      <c r="F139" s="23"/>
      <c r="G139" s="22">
        <f t="shared" si="32"/>
        <v>0</v>
      </c>
      <c r="H139" s="23"/>
      <c r="I139" s="24">
        <f t="shared" si="29"/>
        <v>0</v>
      </c>
    </row>
    <row r="140" spans="1:9" x14ac:dyDescent="0.25">
      <c r="A140" s="87" t="s">
        <v>167</v>
      </c>
      <c r="B140" s="20"/>
      <c r="C140" s="79"/>
      <c r="D140" s="22"/>
      <c r="E140" s="22"/>
      <c r="F140" s="23"/>
      <c r="G140" s="22"/>
      <c r="H140" s="23"/>
      <c r="I140" s="24">
        <f t="shared" si="29"/>
        <v>0</v>
      </c>
    </row>
    <row r="141" spans="1:9" ht="38.25" x14ac:dyDescent="0.25">
      <c r="A141" s="80" t="s">
        <v>168</v>
      </c>
      <c r="B141" s="20" t="s">
        <v>58</v>
      </c>
      <c r="C141" s="79"/>
      <c r="D141" s="22"/>
      <c r="E141" s="22"/>
      <c r="F141" s="23"/>
      <c r="G141" s="22">
        <f t="shared" ref="G141:G162" si="33">(C141*F141)</f>
        <v>0</v>
      </c>
      <c r="H141" s="23"/>
      <c r="I141" s="24">
        <f t="shared" si="29"/>
        <v>0</v>
      </c>
    </row>
    <row r="142" spans="1:9" ht="25.5" x14ac:dyDescent="0.25">
      <c r="A142" s="80" t="s">
        <v>169</v>
      </c>
      <c r="B142" s="20" t="s">
        <v>58</v>
      </c>
      <c r="C142" s="79"/>
      <c r="D142" s="22"/>
      <c r="E142" s="22"/>
      <c r="F142" s="23"/>
      <c r="G142" s="22">
        <f t="shared" si="33"/>
        <v>0</v>
      </c>
      <c r="H142" s="23"/>
      <c r="I142" s="24">
        <f t="shared" si="29"/>
        <v>0</v>
      </c>
    </row>
    <row r="143" spans="1:9" ht="38.25" x14ac:dyDescent="0.25">
      <c r="A143" s="80" t="s">
        <v>186</v>
      </c>
      <c r="B143" s="20" t="s">
        <v>58</v>
      </c>
      <c r="C143" s="79"/>
      <c r="D143" s="22"/>
      <c r="E143" s="22"/>
      <c r="F143" s="23"/>
      <c r="G143" s="22">
        <f t="shared" si="33"/>
        <v>0</v>
      </c>
      <c r="H143" s="23"/>
      <c r="I143" s="24">
        <f t="shared" si="29"/>
        <v>0</v>
      </c>
    </row>
    <row r="144" spans="1:9" ht="25.5" x14ac:dyDescent="0.25">
      <c r="A144" s="80" t="s">
        <v>184</v>
      </c>
      <c r="B144" s="20" t="s">
        <v>58</v>
      </c>
      <c r="C144" s="79"/>
      <c r="D144" s="22"/>
      <c r="E144" s="22"/>
      <c r="F144" s="23"/>
      <c r="G144" s="22">
        <f t="shared" si="33"/>
        <v>0</v>
      </c>
      <c r="H144" s="23"/>
      <c r="I144" s="24">
        <f t="shared" si="29"/>
        <v>0</v>
      </c>
    </row>
    <row r="145" spans="1:9" ht="25.5" x14ac:dyDescent="0.25">
      <c r="A145" s="80" t="s">
        <v>185</v>
      </c>
      <c r="B145" s="20" t="s">
        <v>58</v>
      </c>
      <c r="C145" s="79"/>
      <c r="D145" s="22"/>
      <c r="E145" s="22"/>
      <c r="F145" s="23"/>
      <c r="G145" s="22">
        <f t="shared" si="33"/>
        <v>0</v>
      </c>
      <c r="H145" s="23"/>
      <c r="I145" s="24">
        <f t="shared" si="29"/>
        <v>0</v>
      </c>
    </row>
    <row r="146" spans="1:9" ht="25.5" x14ac:dyDescent="0.25">
      <c r="A146" s="80" t="s">
        <v>170</v>
      </c>
      <c r="B146" s="20" t="s">
        <v>58</v>
      </c>
      <c r="C146" s="79"/>
      <c r="D146" s="22"/>
      <c r="E146" s="22"/>
      <c r="F146" s="23"/>
      <c r="G146" s="22">
        <f t="shared" si="33"/>
        <v>0</v>
      </c>
      <c r="H146" s="23"/>
      <c r="I146" s="24">
        <f t="shared" si="29"/>
        <v>0</v>
      </c>
    </row>
    <row r="147" spans="1:9" ht="25.5" x14ac:dyDescent="0.25">
      <c r="A147" s="80" t="s">
        <v>171</v>
      </c>
      <c r="B147" s="20" t="s">
        <v>58</v>
      </c>
      <c r="C147" s="79"/>
      <c r="D147" s="22"/>
      <c r="E147" s="22"/>
      <c r="F147" s="23"/>
      <c r="G147" s="22">
        <f t="shared" si="33"/>
        <v>0</v>
      </c>
      <c r="H147" s="23"/>
      <c r="I147" s="24">
        <f t="shared" si="29"/>
        <v>0</v>
      </c>
    </row>
    <row r="148" spans="1:9" ht="25.5" x14ac:dyDescent="0.25">
      <c r="A148" s="80" t="s">
        <v>172</v>
      </c>
      <c r="B148" s="20" t="s">
        <v>58</v>
      </c>
      <c r="C148" s="79"/>
      <c r="D148" s="22"/>
      <c r="E148" s="22"/>
      <c r="F148" s="23"/>
      <c r="G148" s="22">
        <f t="shared" si="33"/>
        <v>0</v>
      </c>
      <c r="H148" s="23"/>
      <c r="I148" s="24">
        <f t="shared" si="29"/>
        <v>0</v>
      </c>
    </row>
    <row r="149" spans="1:9" ht="25.5" x14ac:dyDescent="0.25">
      <c r="A149" s="80" t="s">
        <v>173</v>
      </c>
      <c r="B149" s="20" t="s">
        <v>58</v>
      </c>
      <c r="C149" s="79"/>
      <c r="D149" s="22"/>
      <c r="E149" s="22"/>
      <c r="F149" s="23"/>
      <c r="G149" s="22">
        <f t="shared" si="33"/>
        <v>0</v>
      </c>
      <c r="H149" s="23"/>
      <c r="I149" s="24">
        <f t="shared" si="29"/>
        <v>0</v>
      </c>
    </row>
    <row r="150" spans="1:9" x14ac:dyDescent="0.25">
      <c r="A150" s="80" t="s">
        <v>174</v>
      </c>
      <c r="B150" s="20" t="s">
        <v>58</v>
      </c>
      <c r="C150" s="86"/>
      <c r="D150" s="22"/>
      <c r="E150" s="22"/>
      <c r="F150" s="23"/>
      <c r="G150" s="22">
        <f t="shared" si="33"/>
        <v>0</v>
      </c>
      <c r="H150" s="23"/>
      <c r="I150" s="24">
        <f t="shared" ref="I150:I162" si="34">(E150+G150+H150)</f>
        <v>0</v>
      </c>
    </row>
    <row r="151" spans="1:9" ht="25.5" x14ac:dyDescent="0.25">
      <c r="A151" s="80" t="s">
        <v>175</v>
      </c>
      <c r="B151" s="20" t="s">
        <v>181</v>
      </c>
      <c r="C151" s="79"/>
      <c r="D151" s="22"/>
      <c r="E151" s="22"/>
      <c r="F151" s="23"/>
      <c r="G151" s="22">
        <f t="shared" si="33"/>
        <v>0</v>
      </c>
      <c r="H151" s="23"/>
      <c r="I151" s="24">
        <f t="shared" si="34"/>
        <v>0</v>
      </c>
    </row>
    <row r="152" spans="1:9" x14ac:dyDescent="0.25">
      <c r="A152" s="80" t="s">
        <v>176</v>
      </c>
      <c r="B152" s="20" t="s">
        <v>58</v>
      </c>
      <c r="C152" s="79"/>
      <c r="D152" s="22"/>
      <c r="E152" s="22"/>
      <c r="F152" s="23"/>
      <c r="G152" s="22">
        <f t="shared" si="33"/>
        <v>0</v>
      </c>
      <c r="H152" s="23"/>
      <c r="I152" s="24">
        <f t="shared" si="34"/>
        <v>0</v>
      </c>
    </row>
    <row r="153" spans="1:9" ht="25.5" x14ac:dyDescent="0.25">
      <c r="A153" s="80" t="s">
        <v>261</v>
      </c>
      <c r="B153" s="20" t="s">
        <v>58</v>
      </c>
      <c r="C153" s="79"/>
      <c r="D153" s="22"/>
      <c r="E153" s="22"/>
      <c r="F153" s="23"/>
      <c r="G153" s="22">
        <f t="shared" si="33"/>
        <v>0</v>
      </c>
      <c r="H153" s="23"/>
      <c r="I153" s="24">
        <f t="shared" si="34"/>
        <v>0</v>
      </c>
    </row>
    <row r="154" spans="1:9" x14ac:dyDescent="0.25">
      <c r="A154" s="80" t="s">
        <v>177</v>
      </c>
      <c r="B154" s="20" t="s">
        <v>58</v>
      </c>
      <c r="C154" s="79"/>
      <c r="D154" s="22"/>
      <c r="E154" s="22"/>
      <c r="F154" s="23"/>
      <c r="G154" s="22">
        <f t="shared" si="33"/>
        <v>0</v>
      </c>
      <c r="H154" s="23"/>
      <c r="I154" s="24">
        <f t="shared" si="34"/>
        <v>0</v>
      </c>
    </row>
    <row r="155" spans="1:9" ht="38.25" x14ac:dyDescent="0.25">
      <c r="A155" s="80" t="s">
        <v>178</v>
      </c>
      <c r="B155" s="20" t="s">
        <v>58</v>
      </c>
      <c r="C155" s="79"/>
      <c r="D155" s="22"/>
      <c r="E155" s="22"/>
      <c r="F155" s="23"/>
      <c r="G155" s="22">
        <f t="shared" si="33"/>
        <v>0</v>
      </c>
      <c r="H155" s="23"/>
      <c r="I155" s="24">
        <f t="shared" si="34"/>
        <v>0</v>
      </c>
    </row>
    <row r="156" spans="1:9" ht="25.5" x14ac:dyDescent="0.25">
      <c r="A156" s="80" t="s">
        <v>179</v>
      </c>
      <c r="B156" s="20" t="s">
        <v>58</v>
      </c>
      <c r="C156" s="79"/>
      <c r="D156" s="22"/>
      <c r="E156" s="22"/>
      <c r="F156" s="23"/>
      <c r="G156" s="22">
        <f t="shared" si="33"/>
        <v>0</v>
      </c>
      <c r="H156" s="23"/>
      <c r="I156" s="24">
        <f t="shared" si="34"/>
        <v>0</v>
      </c>
    </row>
    <row r="157" spans="1:9" ht="25.5" x14ac:dyDescent="0.25">
      <c r="A157" s="80" t="s">
        <v>260</v>
      </c>
      <c r="B157" s="20" t="s">
        <v>58</v>
      </c>
      <c r="C157" s="79"/>
      <c r="D157" s="22"/>
      <c r="E157" s="22"/>
      <c r="F157" s="23"/>
      <c r="G157" s="22">
        <f t="shared" si="33"/>
        <v>0</v>
      </c>
      <c r="H157" s="23"/>
      <c r="I157" s="24">
        <f t="shared" si="34"/>
        <v>0</v>
      </c>
    </row>
    <row r="158" spans="1:9" ht="25.5" x14ac:dyDescent="0.25">
      <c r="A158" s="80" t="s">
        <v>180</v>
      </c>
      <c r="B158" s="20" t="s">
        <v>58</v>
      </c>
      <c r="C158" s="79"/>
      <c r="D158" s="22"/>
      <c r="E158" s="22"/>
      <c r="F158" s="23"/>
      <c r="G158" s="22">
        <f t="shared" si="33"/>
        <v>0</v>
      </c>
      <c r="H158" s="23"/>
      <c r="I158" s="24">
        <f t="shared" si="34"/>
        <v>0</v>
      </c>
    </row>
    <row r="159" spans="1:9" ht="15.75" customHeight="1" x14ac:dyDescent="0.25">
      <c r="A159" s="4" t="s">
        <v>183</v>
      </c>
      <c r="B159" s="20"/>
      <c r="C159" s="79"/>
      <c r="D159" s="22"/>
      <c r="E159" s="22"/>
      <c r="F159" s="23"/>
      <c r="G159" s="22">
        <f t="shared" si="33"/>
        <v>0</v>
      </c>
      <c r="H159" s="23"/>
      <c r="I159" s="24">
        <f t="shared" si="34"/>
        <v>0</v>
      </c>
    </row>
    <row r="160" spans="1:9" ht="38.25" x14ac:dyDescent="0.25">
      <c r="A160" s="80" t="s">
        <v>187</v>
      </c>
      <c r="B160" s="20" t="s">
        <v>47</v>
      </c>
      <c r="C160" s="79"/>
      <c r="D160" s="22"/>
      <c r="E160" s="22"/>
      <c r="F160" s="23"/>
      <c r="G160" s="22">
        <f t="shared" si="33"/>
        <v>0</v>
      </c>
      <c r="H160" s="23"/>
      <c r="I160" s="24">
        <f t="shared" si="34"/>
        <v>0</v>
      </c>
    </row>
    <row r="161" spans="1:9" ht="38.25" x14ac:dyDescent="0.25">
      <c r="A161" s="80" t="s">
        <v>188</v>
      </c>
      <c r="B161" s="20" t="s">
        <v>58</v>
      </c>
      <c r="C161" s="79"/>
      <c r="D161" s="22"/>
      <c r="E161" s="22"/>
      <c r="F161" s="23"/>
      <c r="G161" s="22">
        <f t="shared" si="33"/>
        <v>0</v>
      </c>
      <c r="H161" s="23"/>
      <c r="I161" s="24">
        <f t="shared" si="34"/>
        <v>0</v>
      </c>
    </row>
    <row r="162" spans="1:9" ht="38.25" x14ac:dyDescent="0.25">
      <c r="A162" s="80" t="s">
        <v>189</v>
      </c>
      <c r="B162" s="20" t="s">
        <v>58</v>
      </c>
      <c r="C162" s="79"/>
      <c r="D162" s="22"/>
      <c r="E162" s="22"/>
      <c r="F162" s="23"/>
      <c r="G162" s="22">
        <f t="shared" si="33"/>
        <v>0</v>
      </c>
      <c r="H162" s="23"/>
      <c r="I162" s="24">
        <f t="shared" si="34"/>
        <v>0</v>
      </c>
    </row>
    <row r="163" spans="1:9" ht="25.5" x14ac:dyDescent="0.25">
      <c r="A163" s="80" t="s">
        <v>190</v>
      </c>
      <c r="B163" s="20" t="s">
        <v>58</v>
      </c>
      <c r="C163" s="79"/>
      <c r="D163" s="22"/>
      <c r="E163" s="22"/>
      <c r="F163" s="23"/>
      <c r="G163" s="22">
        <f t="shared" ref="G163:G164" si="35">(C163*F163)</f>
        <v>0</v>
      </c>
      <c r="H163" s="23"/>
      <c r="I163" s="24">
        <f t="shared" ref="I163:I164" si="36">(E163+G163+H163)</f>
        <v>0</v>
      </c>
    </row>
    <row r="164" spans="1:9" x14ac:dyDescent="0.25">
      <c r="A164" s="80" t="s">
        <v>191</v>
      </c>
      <c r="B164" s="20" t="s">
        <v>58</v>
      </c>
      <c r="C164" s="79"/>
      <c r="D164" s="22"/>
      <c r="E164" s="22"/>
      <c r="F164" s="23"/>
      <c r="G164" s="22">
        <f t="shared" si="35"/>
        <v>0</v>
      </c>
      <c r="H164" s="23"/>
      <c r="I164" s="24">
        <f t="shared" si="36"/>
        <v>0</v>
      </c>
    </row>
    <row r="165" spans="1:9" ht="15.75" customHeight="1" x14ac:dyDescent="0.25">
      <c r="A165" s="4" t="s">
        <v>193</v>
      </c>
      <c r="B165" s="20"/>
      <c r="C165" s="79"/>
      <c r="D165" s="22"/>
      <c r="E165" s="22"/>
      <c r="F165" s="23"/>
      <c r="G165" s="22"/>
      <c r="H165" s="23"/>
      <c r="I165" s="24"/>
    </row>
    <row r="166" spans="1:9" ht="38.25" x14ac:dyDescent="0.25">
      <c r="A166" s="80" t="s">
        <v>192</v>
      </c>
      <c r="B166" s="20" t="s">
        <v>47</v>
      </c>
      <c r="C166" s="79"/>
      <c r="D166" s="22"/>
      <c r="E166" s="22"/>
      <c r="F166" s="23"/>
      <c r="G166" s="22">
        <f t="shared" ref="G166:G175" si="37">(C166*F166)</f>
        <v>0</v>
      </c>
      <c r="H166" s="23"/>
      <c r="I166" s="24">
        <f t="shared" ref="I166:I175" si="38">(E166+G166+H166)</f>
        <v>0</v>
      </c>
    </row>
    <row r="167" spans="1:9" ht="15.75" customHeight="1" x14ac:dyDescent="0.25">
      <c r="A167" s="3" t="s">
        <v>166</v>
      </c>
      <c r="B167" s="20" t="s">
        <v>58</v>
      </c>
      <c r="C167" s="79"/>
      <c r="D167" s="22"/>
      <c r="E167" s="22"/>
      <c r="F167" s="23"/>
      <c r="G167" s="22">
        <f t="shared" si="37"/>
        <v>0</v>
      </c>
      <c r="H167" s="23"/>
      <c r="I167" s="24">
        <f t="shared" si="38"/>
        <v>0</v>
      </c>
    </row>
    <row r="168" spans="1:9" ht="15.75" customHeight="1" x14ac:dyDescent="0.25">
      <c r="A168" s="4" t="s">
        <v>194</v>
      </c>
      <c r="B168" s="20"/>
      <c r="C168" s="79"/>
      <c r="D168" s="22"/>
      <c r="E168" s="22"/>
      <c r="F168" s="23"/>
      <c r="G168" s="22"/>
      <c r="H168" s="23"/>
      <c r="I168" s="24">
        <f t="shared" si="38"/>
        <v>0</v>
      </c>
    </row>
    <row r="169" spans="1:9" ht="15.75" customHeight="1" x14ac:dyDescent="0.25">
      <c r="A169" s="88" t="s">
        <v>195</v>
      </c>
      <c r="B169" s="20"/>
      <c r="C169" s="79"/>
      <c r="D169" s="22"/>
      <c r="E169" s="22"/>
      <c r="F169" s="23"/>
      <c r="G169" s="22">
        <f t="shared" si="37"/>
        <v>0</v>
      </c>
      <c r="H169" s="23"/>
      <c r="I169" s="24">
        <f t="shared" si="38"/>
        <v>0</v>
      </c>
    </row>
    <row r="170" spans="1:9" ht="15.75" customHeight="1" x14ac:dyDescent="0.25">
      <c r="A170" s="80" t="s">
        <v>196</v>
      </c>
      <c r="B170" s="20" t="s">
        <v>58</v>
      </c>
      <c r="C170" s="79"/>
      <c r="D170" s="22"/>
      <c r="E170" s="22"/>
      <c r="F170" s="23"/>
      <c r="G170" s="22">
        <f t="shared" si="37"/>
        <v>0</v>
      </c>
      <c r="H170" s="23"/>
      <c r="I170" s="24">
        <f t="shared" si="38"/>
        <v>0</v>
      </c>
    </row>
    <row r="171" spans="1:9" x14ac:dyDescent="0.25">
      <c r="A171" s="80" t="s">
        <v>197</v>
      </c>
      <c r="B171" s="20" t="s">
        <v>58</v>
      </c>
      <c r="C171" s="79"/>
      <c r="D171" s="22"/>
      <c r="E171" s="22"/>
      <c r="F171" s="23"/>
      <c r="G171" s="22">
        <f t="shared" si="37"/>
        <v>0</v>
      </c>
      <c r="H171" s="23"/>
      <c r="I171" s="24">
        <f t="shared" si="38"/>
        <v>0</v>
      </c>
    </row>
    <row r="172" spans="1:9" ht="25.5" x14ac:dyDescent="0.25">
      <c r="A172" s="80" t="s">
        <v>198</v>
      </c>
      <c r="B172" s="20" t="s">
        <v>58</v>
      </c>
      <c r="C172" s="79"/>
      <c r="D172" s="22"/>
      <c r="E172" s="22"/>
      <c r="F172" s="23"/>
      <c r="G172" s="22">
        <f t="shared" si="37"/>
        <v>0</v>
      </c>
      <c r="H172" s="23"/>
      <c r="I172" s="24">
        <f t="shared" si="38"/>
        <v>0</v>
      </c>
    </row>
    <row r="173" spans="1:9" ht="25.5" x14ac:dyDescent="0.25">
      <c r="A173" s="80" t="s">
        <v>199</v>
      </c>
      <c r="B173" s="20" t="s">
        <v>58</v>
      </c>
      <c r="C173" s="79"/>
      <c r="D173" s="22"/>
      <c r="E173" s="22"/>
      <c r="F173" s="23"/>
      <c r="G173" s="22">
        <f t="shared" si="37"/>
        <v>0</v>
      </c>
      <c r="H173" s="23"/>
      <c r="I173" s="24">
        <f t="shared" si="38"/>
        <v>0</v>
      </c>
    </row>
    <row r="174" spans="1:9" ht="25.5" x14ac:dyDescent="0.25">
      <c r="A174" s="80" t="s">
        <v>200</v>
      </c>
      <c r="B174" s="20" t="s">
        <v>58</v>
      </c>
      <c r="C174" s="79"/>
      <c r="D174" s="22"/>
      <c r="E174" s="22"/>
      <c r="F174" s="23"/>
      <c r="G174" s="22">
        <f t="shared" si="37"/>
        <v>0</v>
      </c>
      <c r="H174" s="23"/>
      <c r="I174" s="24">
        <f t="shared" si="38"/>
        <v>0</v>
      </c>
    </row>
    <row r="175" spans="1:9" x14ac:dyDescent="0.25">
      <c r="A175" s="80" t="s">
        <v>201</v>
      </c>
      <c r="B175" s="20" t="s">
        <v>58</v>
      </c>
      <c r="C175" s="79"/>
      <c r="D175" s="22"/>
      <c r="E175" s="22"/>
      <c r="F175" s="23"/>
      <c r="G175" s="22">
        <f t="shared" si="37"/>
        <v>0</v>
      </c>
      <c r="H175" s="23"/>
      <c r="I175" s="24">
        <f t="shared" si="38"/>
        <v>0</v>
      </c>
    </row>
    <row r="176" spans="1:9" ht="25.5" x14ac:dyDescent="0.25">
      <c r="A176" s="80" t="s">
        <v>202</v>
      </c>
      <c r="B176" s="20" t="s">
        <v>47</v>
      </c>
      <c r="C176" s="79"/>
      <c r="D176" s="22"/>
      <c r="E176" s="22"/>
      <c r="F176" s="23"/>
      <c r="G176" s="22">
        <f t="shared" ref="G176:G233" si="39">(C176*F176)</f>
        <v>0</v>
      </c>
      <c r="H176" s="23"/>
      <c r="I176" s="24">
        <f t="shared" ref="I176:I233" si="40">(E176+G176+H176)</f>
        <v>0</v>
      </c>
    </row>
    <row r="177" spans="1:9" ht="25.5" x14ac:dyDescent="0.25">
      <c r="A177" s="80" t="s">
        <v>203</v>
      </c>
      <c r="B177" s="20" t="s">
        <v>47</v>
      </c>
      <c r="C177" s="79"/>
      <c r="D177" s="22"/>
      <c r="E177" s="22"/>
      <c r="F177" s="23"/>
      <c r="G177" s="22">
        <f t="shared" si="39"/>
        <v>0</v>
      </c>
      <c r="H177" s="23"/>
      <c r="I177" s="24">
        <f t="shared" si="40"/>
        <v>0</v>
      </c>
    </row>
    <row r="178" spans="1:9" ht="25.5" x14ac:dyDescent="0.25">
      <c r="A178" s="80" t="s">
        <v>204</v>
      </c>
      <c r="B178" s="20" t="s">
        <v>47</v>
      </c>
      <c r="C178" s="79"/>
      <c r="D178" s="22"/>
      <c r="E178" s="22"/>
      <c r="F178" s="23"/>
      <c r="G178" s="22">
        <f t="shared" si="39"/>
        <v>0</v>
      </c>
      <c r="H178" s="23"/>
      <c r="I178" s="24">
        <f t="shared" si="40"/>
        <v>0</v>
      </c>
    </row>
    <row r="179" spans="1:9" ht="25.5" x14ac:dyDescent="0.25">
      <c r="A179" s="80" t="s">
        <v>205</v>
      </c>
      <c r="B179" s="20" t="s">
        <v>47</v>
      </c>
      <c r="C179" s="79"/>
      <c r="D179" s="22"/>
      <c r="E179" s="22"/>
      <c r="F179" s="23"/>
      <c r="G179" s="22">
        <f t="shared" si="39"/>
        <v>0</v>
      </c>
      <c r="H179" s="23"/>
      <c r="I179" s="24">
        <f t="shared" si="40"/>
        <v>0</v>
      </c>
    </row>
    <row r="180" spans="1:9" ht="25.5" x14ac:dyDescent="0.25">
      <c r="A180" s="80" t="s">
        <v>206</v>
      </c>
      <c r="B180" s="20" t="s">
        <v>47</v>
      </c>
      <c r="C180" s="79"/>
      <c r="D180" s="22"/>
      <c r="E180" s="22"/>
      <c r="F180" s="23"/>
      <c r="G180" s="22">
        <f t="shared" si="39"/>
        <v>0</v>
      </c>
      <c r="H180" s="23"/>
      <c r="I180" s="24">
        <f t="shared" si="40"/>
        <v>0</v>
      </c>
    </row>
    <row r="181" spans="1:9" ht="25.5" x14ac:dyDescent="0.25">
      <c r="A181" s="80" t="s">
        <v>207</v>
      </c>
      <c r="B181" s="20" t="s">
        <v>58</v>
      </c>
      <c r="C181" s="79"/>
      <c r="D181" s="22"/>
      <c r="E181" s="22"/>
      <c r="F181" s="23"/>
      <c r="G181" s="22">
        <f t="shared" si="39"/>
        <v>0</v>
      </c>
      <c r="H181" s="23"/>
      <c r="I181" s="24">
        <f t="shared" si="40"/>
        <v>0</v>
      </c>
    </row>
    <row r="182" spans="1:9" ht="15.75" customHeight="1" x14ac:dyDescent="0.25">
      <c r="A182" s="80" t="s">
        <v>208</v>
      </c>
      <c r="B182" s="20" t="s">
        <v>58</v>
      </c>
      <c r="C182" s="79"/>
      <c r="D182" s="22"/>
      <c r="E182" s="22"/>
      <c r="F182" s="23"/>
      <c r="G182" s="22">
        <f t="shared" si="39"/>
        <v>0</v>
      </c>
      <c r="H182" s="23"/>
      <c r="I182" s="24">
        <f t="shared" si="40"/>
        <v>0</v>
      </c>
    </row>
    <row r="183" spans="1:9" ht="38.25" x14ac:dyDescent="0.25">
      <c r="A183" s="80" t="s">
        <v>209</v>
      </c>
      <c r="B183" s="20" t="s">
        <v>182</v>
      </c>
      <c r="C183" s="79"/>
      <c r="D183" s="22"/>
      <c r="E183" s="22"/>
      <c r="F183" s="23"/>
      <c r="G183" s="22">
        <f t="shared" si="39"/>
        <v>0</v>
      </c>
      <c r="H183" s="23"/>
      <c r="I183" s="24">
        <f t="shared" si="40"/>
        <v>0</v>
      </c>
    </row>
    <row r="184" spans="1:9" ht="38.25" x14ac:dyDescent="0.25">
      <c r="A184" s="80" t="s">
        <v>210</v>
      </c>
      <c r="B184" s="20" t="s">
        <v>182</v>
      </c>
      <c r="C184" s="79"/>
      <c r="D184" s="22"/>
      <c r="E184" s="22"/>
      <c r="F184" s="23"/>
      <c r="G184" s="22">
        <f t="shared" ref="G184:G199" si="41">(C184*F184)</f>
        <v>0</v>
      </c>
      <c r="H184" s="23"/>
      <c r="I184" s="24">
        <f t="shared" ref="I184:I199" si="42">(E184+G184+H184)</f>
        <v>0</v>
      </c>
    </row>
    <row r="185" spans="1:9" ht="38.25" x14ac:dyDescent="0.25">
      <c r="A185" s="80" t="s">
        <v>211</v>
      </c>
      <c r="B185" s="20" t="s">
        <v>182</v>
      </c>
      <c r="C185" s="79"/>
      <c r="D185" s="22"/>
      <c r="E185" s="22"/>
      <c r="F185" s="23"/>
      <c r="G185" s="22">
        <f t="shared" si="41"/>
        <v>0</v>
      </c>
      <c r="H185" s="23"/>
      <c r="I185" s="24">
        <f t="shared" si="42"/>
        <v>0</v>
      </c>
    </row>
    <row r="186" spans="1:9" ht="25.5" x14ac:dyDescent="0.25">
      <c r="A186" s="80" t="s">
        <v>212</v>
      </c>
      <c r="B186" s="20" t="s">
        <v>182</v>
      </c>
      <c r="C186" s="79"/>
      <c r="D186" s="22"/>
      <c r="E186" s="22"/>
      <c r="F186" s="23"/>
      <c r="G186" s="22">
        <f t="shared" si="41"/>
        <v>0</v>
      </c>
      <c r="H186" s="23"/>
      <c r="I186" s="24">
        <f t="shared" si="42"/>
        <v>0</v>
      </c>
    </row>
    <row r="187" spans="1:9" ht="25.5" x14ac:dyDescent="0.25">
      <c r="A187" s="80" t="s">
        <v>213</v>
      </c>
      <c r="B187" s="20" t="s">
        <v>182</v>
      </c>
      <c r="C187" s="79"/>
      <c r="D187" s="22"/>
      <c r="E187" s="22"/>
      <c r="F187" s="23"/>
      <c r="G187" s="22">
        <f t="shared" si="41"/>
        <v>0</v>
      </c>
      <c r="H187" s="23"/>
      <c r="I187" s="24">
        <f t="shared" si="42"/>
        <v>0</v>
      </c>
    </row>
    <row r="188" spans="1:9" ht="54" customHeight="1" x14ac:dyDescent="0.25">
      <c r="A188" s="90" t="s">
        <v>214</v>
      </c>
      <c r="B188" s="20" t="s">
        <v>230</v>
      </c>
      <c r="C188" s="79"/>
      <c r="D188" s="22"/>
      <c r="E188" s="22"/>
      <c r="F188" s="23"/>
      <c r="G188" s="22">
        <f t="shared" si="41"/>
        <v>0</v>
      </c>
      <c r="H188" s="23"/>
      <c r="I188" s="24">
        <f t="shared" si="42"/>
        <v>0</v>
      </c>
    </row>
    <row r="189" spans="1:9" ht="25.5" x14ac:dyDescent="0.25">
      <c r="A189" s="80" t="s">
        <v>215</v>
      </c>
      <c r="B189" s="20" t="s">
        <v>231</v>
      </c>
      <c r="C189" s="79"/>
      <c r="D189" s="22"/>
      <c r="E189" s="22"/>
      <c r="F189" s="23"/>
      <c r="G189" s="22">
        <f t="shared" si="41"/>
        <v>0</v>
      </c>
      <c r="H189" s="23"/>
      <c r="I189" s="24">
        <f t="shared" si="42"/>
        <v>0</v>
      </c>
    </row>
    <row r="190" spans="1:9" ht="25.5" x14ac:dyDescent="0.25">
      <c r="A190" s="80" t="s">
        <v>216</v>
      </c>
      <c r="B190" s="20" t="s">
        <v>182</v>
      </c>
      <c r="C190" s="79"/>
      <c r="D190" s="22"/>
      <c r="E190" s="22"/>
      <c r="F190" s="23"/>
      <c r="G190" s="22">
        <f t="shared" si="41"/>
        <v>0</v>
      </c>
      <c r="H190" s="23"/>
      <c r="I190" s="24">
        <f t="shared" si="42"/>
        <v>0</v>
      </c>
    </row>
    <row r="191" spans="1:9" ht="25.5" x14ac:dyDescent="0.25">
      <c r="A191" s="80" t="s">
        <v>217</v>
      </c>
      <c r="B191" s="20" t="s">
        <v>182</v>
      </c>
      <c r="C191" s="79"/>
      <c r="D191" s="22"/>
      <c r="E191" s="22"/>
      <c r="F191" s="23"/>
      <c r="G191" s="22">
        <f t="shared" si="41"/>
        <v>0</v>
      </c>
      <c r="H191" s="23"/>
      <c r="I191" s="24">
        <f t="shared" si="42"/>
        <v>0</v>
      </c>
    </row>
    <row r="192" spans="1:9" ht="25.5" x14ac:dyDescent="0.25">
      <c r="A192" s="80" t="s">
        <v>218</v>
      </c>
      <c r="B192" s="20" t="s">
        <v>182</v>
      </c>
      <c r="C192" s="79"/>
      <c r="D192" s="22"/>
      <c r="E192" s="22"/>
      <c r="F192" s="23"/>
      <c r="G192" s="22">
        <f t="shared" si="41"/>
        <v>0</v>
      </c>
      <c r="H192" s="23"/>
      <c r="I192" s="24">
        <f t="shared" si="42"/>
        <v>0</v>
      </c>
    </row>
    <row r="193" spans="1:9" ht="51" x14ac:dyDescent="0.25">
      <c r="A193" s="80" t="s">
        <v>219</v>
      </c>
      <c r="B193" s="20" t="s">
        <v>182</v>
      </c>
      <c r="C193" s="79"/>
      <c r="D193" s="22"/>
      <c r="E193" s="22"/>
      <c r="F193" s="23"/>
      <c r="G193" s="22">
        <f t="shared" si="41"/>
        <v>0</v>
      </c>
      <c r="H193" s="23"/>
      <c r="I193" s="24">
        <f t="shared" si="42"/>
        <v>0</v>
      </c>
    </row>
    <row r="194" spans="1:9" ht="51" x14ac:dyDescent="0.25">
      <c r="A194" s="80" t="s">
        <v>220</v>
      </c>
      <c r="B194" s="20" t="s">
        <v>182</v>
      </c>
      <c r="C194" s="79"/>
      <c r="D194" s="22"/>
      <c r="E194" s="22"/>
      <c r="F194" s="23"/>
      <c r="G194" s="22">
        <f t="shared" si="41"/>
        <v>0</v>
      </c>
      <c r="H194" s="23"/>
      <c r="I194" s="24">
        <f t="shared" si="42"/>
        <v>0</v>
      </c>
    </row>
    <row r="195" spans="1:9" ht="51" x14ac:dyDescent="0.25">
      <c r="A195" s="80" t="s">
        <v>221</v>
      </c>
      <c r="B195" s="20" t="s">
        <v>182</v>
      </c>
      <c r="C195" s="79"/>
      <c r="D195" s="22"/>
      <c r="E195" s="22"/>
      <c r="F195" s="23"/>
      <c r="G195" s="22">
        <f t="shared" si="41"/>
        <v>0</v>
      </c>
      <c r="H195" s="23"/>
      <c r="I195" s="24">
        <f t="shared" si="42"/>
        <v>0</v>
      </c>
    </row>
    <row r="196" spans="1:9" ht="25.5" x14ac:dyDescent="0.25">
      <c r="A196" s="80" t="s">
        <v>222</v>
      </c>
      <c r="B196" s="20" t="s">
        <v>182</v>
      </c>
      <c r="C196" s="79"/>
      <c r="D196" s="22"/>
      <c r="E196" s="22"/>
      <c r="F196" s="23"/>
      <c r="G196" s="22">
        <f t="shared" si="41"/>
        <v>0</v>
      </c>
      <c r="H196" s="23"/>
      <c r="I196" s="24">
        <f t="shared" si="42"/>
        <v>0</v>
      </c>
    </row>
    <row r="197" spans="1:9" ht="38.25" x14ac:dyDescent="0.25">
      <c r="A197" s="80" t="s">
        <v>223</v>
      </c>
      <c r="B197" s="20" t="s">
        <v>182</v>
      </c>
      <c r="C197" s="79"/>
      <c r="D197" s="22"/>
      <c r="E197" s="22"/>
      <c r="F197" s="23"/>
      <c r="G197" s="22">
        <f t="shared" si="41"/>
        <v>0</v>
      </c>
      <c r="H197" s="23"/>
      <c r="I197" s="24">
        <f t="shared" si="42"/>
        <v>0</v>
      </c>
    </row>
    <row r="198" spans="1:9" ht="38.25" x14ac:dyDescent="0.25">
      <c r="A198" s="80" t="s">
        <v>224</v>
      </c>
      <c r="B198" s="20" t="s">
        <v>231</v>
      </c>
      <c r="C198" s="79"/>
      <c r="D198" s="22"/>
      <c r="E198" s="22"/>
      <c r="F198" s="23"/>
      <c r="G198" s="22">
        <f t="shared" si="41"/>
        <v>0</v>
      </c>
      <c r="H198" s="23"/>
      <c r="I198" s="24">
        <f t="shared" si="42"/>
        <v>0</v>
      </c>
    </row>
    <row r="199" spans="1:9" ht="38.25" x14ac:dyDescent="0.25">
      <c r="A199" s="80" t="s">
        <v>225</v>
      </c>
      <c r="B199" s="20" t="s">
        <v>182</v>
      </c>
      <c r="C199" s="79"/>
      <c r="D199" s="22"/>
      <c r="E199" s="22"/>
      <c r="F199" s="23"/>
      <c r="G199" s="22">
        <f t="shared" si="41"/>
        <v>0</v>
      </c>
      <c r="H199" s="23"/>
      <c r="I199" s="24">
        <f t="shared" si="42"/>
        <v>0</v>
      </c>
    </row>
    <row r="200" spans="1:9" x14ac:dyDescent="0.25">
      <c r="A200" s="80" t="s">
        <v>226</v>
      </c>
      <c r="B200" s="20" t="s">
        <v>182</v>
      </c>
      <c r="C200" s="79"/>
      <c r="D200" s="22"/>
      <c r="E200" s="22"/>
      <c r="F200" s="23"/>
      <c r="G200" s="22">
        <f t="shared" ref="G200:G214" si="43">(C200*F200)</f>
        <v>0</v>
      </c>
      <c r="H200" s="23"/>
      <c r="I200" s="24">
        <f t="shared" ref="I200:I214" si="44">(E200+G200+H200)</f>
        <v>0</v>
      </c>
    </row>
    <row r="201" spans="1:9" x14ac:dyDescent="0.25">
      <c r="A201" s="80" t="s">
        <v>227</v>
      </c>
      <c r="B201" s="20" t="s">
        <v>182</v>
      </c>
      <c r="C201" s="86"/>
      <c r="D201" s="22"/>
      <c r="E201" s="22"/>
      <c r="F201" s="23"/>
      <c r="G201" s="22">
        <f t="shared" si="43"/>
        <v>0</v>
      </c>
      <c r="H201" s="23"/>
      <c r="I201" s="24">
        <f t="shared" si="44"/>
        <v>0</v>
      </c>
    </row>
    <row r="202" spans="1:9" ht="25.5" x14ac:dyDescent="0.25">
      <c r="A202" s="80" t="s">
        <v>228</v>
      </c>
      <c r="B202" s="20" t="s">
        <v>182</v>
      </c>
      <c r="C202" s="79"/>
      <c r="D202" s="22"/>
      <c r="E202" s="22"/>
      <c r="F202" s="23"/>
      <c r="G202" s="22">
        <f t="shared" si="43"/>
        <v>0</v>
      </c>
      <c r="H202" s="23"/>
      <c r="I202" s="24">
        <f t="shared" si="44"/>
        <v>0</v>
      </c>
    </row>
    <row r="203" spans="1:9" ht="25.5" x14ac:dyDescent="0.25">
      <c r="A203" s="80" t="s">
        <v>229</v>
      </c>
      <c r="B203" s="20" t="s">
        <v>182</v>
      </c>
      <c r="C203" s="79"/>
      <c r="D203" s="22"/>
      <c r="E203" s="22"/>
      <c r="F203" s="23"/>
      <c r="G203" s="22">
        <f t="shared" si="43"/>
        <v>0</v>
      </c>
      <c r="H203" s="23"/>
      <c r="I203" s="24">
        <f t="shared" si="44"/>
        <v>0</v>
      </c>
    </row>
    <row r="204" spans="1:9" ht="25.5" x14ac:dyDescent="0.25">
      <c r="A204" s="89" t="s">
        <v>232</v>
      </c>
      <c r="B204" s="20" t="s">
        <v>182</v>
      </c>
      <c r="C204" s="79"/>
      <c r="D204" s="22"/>
      <c r="E204" s="22"/>
      <c r="F204" s="23"/>
      <c r="G204" s="22">
        <f t="shared" si="43"/>
        <v>0</v>
      </c>
      <c r="H204" s="23"/>
      <c r="I204" s="24">
        <f t="shared" si="44"/>
        <v>0</v>
      </c>
    </row>
    <row r="205" spans="1:9" x14ac:dyDescent="0.25">
      <c r="A205" s="80" t="s">
        <v>233</v>
      </c>
      <c r="B205" s="20" t="s">
        <v>182</v>
      </c>
      <c r="C205" s="79"/>
      <c r="D205" s="22"/>
      <c r="E205" s="22"/>
      <c r="F205" s="23"/>
      <c r="G205" s="22">
        <f t="shared" si="43"/>
        <v>0</v>
      </c>
      <c r="H205" s="23"/>
      <c r="I205" s="24">
        <f t="shared" si="44"/>
        <v>0</v>
      </c>
    </row>
    <row r="206" spans="1:9" x14ac:dyDescent="0.25">
      <c r="A206" s="80" t="s">
        <v>239</v>
      </c>
      <c r="B206" s="20" t="s">
        <v>182</v>
      </c>
      <c r="C206" s="79"/>
      <c r="D206" s="22"/>
      <c r="E206" s="22"/>
      <c r="F206" s="23"/>
      <c r="G206" s="22">
        <f t="shared" si="43"/>
        <v>0</v>
      </c>
      <c r="H206" s="23"/>
      <c r="I206" s="24">
        <f t="shared" si="44"/>
        <v>0</v>
      </c>
    </row>
    <row r="207" spans="1:9" ht="38.25" x14ac:dyDescent="0.25">
      <c r="A207" s="80" t="s">
        <v>234</v>
      </c>
      <c r="B207" s="20" t="s">
        <v>182</v>
      </c>
      <c r="C207" s="79"/>
      <c r="D207" s="22"/>
      <c r="E207" s="22"/>
      <c r="F207" s="23"/>
      <c r="G207" s="22">
        <f t="shared" si="43"/>
        <v>0</v>
      </c>
      <c r="H207" s="23"/>
      <c r="I207" s="24">
        <f t="shared" si="44"/>
        <v>0</v>
      </c>
    </row>
    <row r="208" spans="1:9" x14ac:dyDescent="0.25">
      <c r="A208" s="80" t="s">
        <v>235</v>
      </c>
      <c r="B208" s="20" t="s">
        <v>47</v>
      </c>
      <c r="C208" s="79"/>
      <c r="D208" s="22"/>
      <c r="E208" s="22"/>
      <c r="F208" s="23"/>
      <c r="G208" s="22">
        <f t="shared" si="43"/>
        <v>0</v>
      </c>
      <c r="H208" s="23"/>
      <c r="I208" s="24">
        <f t="shared" si="44"/>
        <v>0</v>
      </c>
    </row>
    <row r="209" spans="1:9" x14ac:dyDescent="0.25">
      <c r="A209" s="80" t="s">
        <v>236</v>
      </c>
      <c r="B209" s="20" t="s">
        <v>182</v>
      </c>
      <c r="C209" s="79"/>
      <c r="D209" s="22"/>
      <c r="E209" s="22"/>
      <c r="F209" s="23"/>
      <c r="G209" s="22">
        <f t="shared" si="43"/>
        <v>0</v>
      </c>
      <c r="H209" s="23"/>
      <c r="I209" s="24">
        <f t="shared" si="44"/>
        <v>0</v>
      </c>
    </row>
    <row r="210" spans="1:9" x14ac:dyDescent="0.25">
      <c r="A210" s="80" t="s">
        <v>237</v>
      </c>
      <c r="B210" s="20" t="s">
        <v>182</v>
      </c>
      <c r="C210" s="79"/>
      <c r="D210" s="22"/>
      <c r="E210" s="22"/>
      <c r="F210" s="23"/>
      <c r="G210" s="22">
        <f t="shared" si="43"/>
        <v>0</v>
      </c>
      <c r="H210" s="23"/>
      <c r="I210" s="24">
        <f t="shared" si="44"/>
        <v>0</v>
      </c>
    </row>
    <row r="211" spans="1:9" x14ac:dyDescent="0.25">
      <c r="A211" s="80" t="s">
        <v>238</v>
      </c>
      <c r="B211" s="20" t="s">
        <v>182</v>
      </c>
      <c r="C211" s="79"/>
      <c r="D211" s="22"/>
      <c r="E211" s="22"/>
      <c r="F211" s="23"/>
      <c r="G211" s="22">
        <f t="shared" si="43"/>
        <v>0</v>
      </c>
      <c r="H211" s="23"/>
      <c r="I211" s="24">
        <f t="shared" si="44"/>
        <v>0</v>
      </c>
    </row>
    <row r="212" spans="1:9" ht="15.75" customHeight="1" x14ac:dyDescent="0.25">
      <c r="A212" s="4" t="s">
        <v>240</v>
      </c>
      <c r="B212" s="20"/>
      <c r="C212" s="79"/>
      <c r="D212" s="22"/>
      <c r="E212" s="22"/>
      <c r="F212" s="23"/>
      <c r="G212" s="22">
        <f t="shared" si="43"/>
        <v>0</v>
      </c>
      <c r="H212" s="23"/>
      <c r="I212" s="24">
        <f t="shared" si="44"/>
        <v>0</v>
      </c>
    </row>
    <row r="213" spans="1:9" ht="38.25" x14ac:dyDescent="0.25">
      <c r="A213" s="80" t="s">
        <v>241</v>
      </c>
      <c r="B213" s="20" t="s">
        <v>58</v>
      </c>
      <c r="C213" s="79"/>
      <c r="D213" s="22"/>
      <c r="E213" s="22"/>
      <c r="F213" s="23"/>
      <c r="G213" s="22">
        <f t="shared" si="43"/>
        <v>0</v>
      </c>
      <c r="H213" s="23"/>
      <c r="I213" s="24">
        <f t="shared" si="44"/>
        <v>0</v>
      </c>
    </row>
    <row r="214" spans="1:9" ht="25.5" x14ac:dyDescent="0.25">
      <c r="A214" s="80" t="s">
        <v>242</v>
      </c>
      <c r="B214" s="20" t="s">
        <v>58</v>
      </c>
      <c r="C214" s="79"/>
      <c r="D214" s="22"/>
      <c r="E214" s="22"/>
      <c r="F214" s="23"/>
      <c r="G214" s="22">
        <f t="shared" si="43"/>
        <v>0</v>
      </c>
      <c r="H214" s="23"/>
      <c r="I214" s="24">
        <f t="shared" si="44"/>
        <v>0</v>
      </c>
    </row>
    <row r="215" spans="1:9" ht="38.25" x14ac:dyDescent="0.25">
      <c r="A215" s="80" t="s">
        <v>243</v>
      </c>
      <c r="B215" s="20" t="s">
        <v>58</v>
      </c>
      <c r="C215" s="79"/>
      <c r="D215" s="22"/>
      <c r="E215" s="22"/>
      <c r="F215" s="23"/>
      <c r="G215" s="22">
        <f t="shared" si="39"/>
        <v>0</v>
      </c>
      <c r="H215" s="23"/>
      <c r="I215" s="24">
        <f t="shared" si="40"/>
        <v>0</v>
      </c>
    </row>
    <row r="216" spans="1:9" ht="38.25" x14ac:dyDescent="0.25">
      <c r="A216" s="80" t="s">
        <v>244</v>
      </c>
      <c r="B216" s="20" t="s">
        <v>58</v>
      </c>
      <c r="C216" s="79"/>
      <c r="D216" s="22"/>
      <c r="E216" s="22"/>
      <c r="F216" s="23"/>
      <c r="G216" s="22">
        <f t="shared" si="39"/>
        <v>0</v>
      </c>
      <c r="H216" s="23"/>
      <c r="I216" s="24">
        <f t="shared" si="40"/>
        <v>0</v>
      </c>
    </row>
    <row r="217" spans="1:9" ht="51" x14ac:dyDescent="0.25">
      <c r="A217" s="80" t="s">
        <v>245</v>
      </c>
      <c r="B217" s="20" t="s">
        <v>58</v>
      </c>
      <c r="C217" s="79"/>
      <c r="D217" s="22"/>
      <c r="E217" s="22"/>
      <c r="F217" s="23"/>
      <c r="G217" s="22">
        <f t="shared" si="39"/>
        <v>0</v>
      </c>
      <c r="H217" s="23"/>
      <c r="I217" s="24">
        <f t="shared" si="40"/>
        <v>0</v>
      </c>
    </row>
    <row r="218" spans="1:9" x14ac:dyDescent="0.25">
      <c r="A218" s="80" t="s">
        <v>246</v>
      </c>
      <c r="B218" s="20" t="s">
        <v>58</v>
      </c>
      <c r="C218" s="79"/>
      <c r="D218" s="22"/>
      <c r="E218" s="22"/>
      <c r="F218" s="23"/>
      <c r="G218" s="22">
        <f t="shared" si="39"/>
        <v>0</v>
      </c>
      <c r="H218" s="23"/>
      <c r="I218" s="24">
        <f t="shared" si="40"/>
        <v>0</v>
      </c>
    </row>
    <row r="219" spans="1:9" ht="15.75" customHeight="1" x14ac:dyDescent="0.25">
      <c r="A219" s="80"/>
      <c r="B219" s="20"/>
      <c r="C219" s="79"/>
      <c r="D219" s="22"/>
      <c r="E219" s="22"/>
      <c r="F219" s="23"/>
      <c r="G219" s="22"/>
      <c r="H219" s="23"/>
      <c r="I219" s="24"/>
    </row>
    <row r="220" spans="1:9" ht="15.75" customHeight="1" x14ac:dyDescent="0.25">
      <c r="A220" s="4" t="s">
        <v>32</v>
      </c>
      <c r="B220" s="20"/>
      <c r="C220" s="79"/>
      <c r="D220" s="22"/>
      <c r="E220" s="22"/>
      <c r="F220" s="23"/>
      <c r="G220" s="22"/>
      <c r="H220" s="23"/>
      <c r="I220" s="24"/>
    </row>
    <row r="221" spans="1:9" ht="15.75" customHeight="1" x14ac:dyDescent="0.25">
      <c r="A221" s="4" t="s">
        <v>247</v>
      </c>
      <c r="B221" s="20"/>
      <c r="C221" s="79"/>
      <c r="D221" s="22"/>
      <c r="E221" s="22"/>
      <c r="F221" s="23"/>
      <c r="G221" s="22">
        <f t="shared" si="39"/>
        <v>0</v>
      </c>
      <c r="H221" s="23"/>
      <c r="I221" s="24">
        <f t="shared" si="40"/>
        <v>0</v>
      </c>
    </row>
    <row r="222" spans="1:9" ht="15.75" customHeight="1" x14ac:dyDescent="0.25">
      <c r="A222" s="3" t="s">
        <v>248</v>
      </c>
      <c r="B222" s="20" t="s">
        <v>58</v>
      </c>
      <c r="C222" s="79"/>
      <c r="D222" s="22"/>
      <c r="E222" s="22"/>
      <c r="F222" s="23"/>
      <c r="G222" s="22">
        <f t="shared" si="39"/>
        <v>0</v>
      </c>
      <c r="H222" s="23"/>
      <c r="I222" s="24">
        <f t="shared" si="40"/>
        <v>0</v>
      </c>
    </row>
    <row r="223" spans="1:9" ht="15.75" customHeight="1" x14ac:dyDescent="0.25">
      <c r="A223" s="3" t="s">
        <v>249</v>
      </c>
      <c r="B223" s="20" t="s">
        <v>58</v>
      </c>
      <c r="C223" s="79"/>
      <c r="D223" s="22"/>
      <c r="E223" s="22"/>
      <c r="F223" s="23"/>
      <c r="G223" s="22">
        <f t="shared" si="39"/>
        <v>0</v>
      </c>
      <c r="H223" s="23"/>
      <c r="I223" s="24">
        <f t="shared" si="40"/>
        <v>0</v>
      </c>
    </row>
    <row r="224" spans="1:9" ht="15.75" customHeight="1" x14ac:dyDescent="0.25">
      <c r="A224" s="3" t="s">
        <v>250</v>
      </c>
      <c r="B224" s="20" t="s">
        <v>58</v>
      </c>
      <c r="C224" s="79"/>
      <c r="D224" s="22"/>
      <c r="E224" s="22"/>
      <c r="F224" s="23"/>
      <c r="G224" s="22">
        <f t="shared" si="39"/>
        <v>0</v>
      </c>
      <c r="H224" s="23"/>
      <c r="I224" s="24">
        <f t="shared" si="40"/>
        <v>0</v>
      </c>
    </row>
    <row r="225" spans="1:9" ht="15.75" customHeight="1" x14ac:dyDescent="0.25">
      <c r="A225" s="3" t="s">
        <v>251</v>
      </c>
      <c r="B225" s="20" t="s">
        <v>58</v>
      </c>
      <c r="C225" s="79"/>
      <c r="D225" s="22"/>
      <c r="E225" s="22"/>
      <c r="F225" s="23"/>
      <c r="G225" s="22">
        <f t="shared" si="39"/>
        <v>0</v>
      </c>
      <c r="H225" s="23"/>
      <c r="I225" s="24">
        <f t="shared" si="40"/>
        <v>0</v>
      </c>
    </row>
    <row r="226" spans="1:9" ht="15.75" customHeight="1" x14ac:dyDescent="0.25">
      <c r="A226" s="3" t="s">
        <v>252</v>
      </c>
      <c r="B226" s="20" t="s">
        <v>58</v>
      </c>
      <c r="C226" s="79"/>
      <c r="D226" s="22"/>
      <c r="E226" s="22"/>
      <c r="F226" s="23"/>
      <c r="G226" s="22">
        <f t="shared" si="39"/>
        <v>0</v>
      </c>
      <c r="H226" s="23"/>
      <c r="I226" s="24">
        <f t="shared" si="40"/>
        <v>0</v>
      </c>
    </row>
    <row r="227" spans="1:9" ht="15.75" customHeight="1" x14ac:dyDescent="0.25">
      <c r="A227" s="3" t="s">
        <v>253</v>
      </c>
      <c r="B227" s="20" t="s">
        <v>58</v>
      </c>
      <c r="C227" s="79"/>
      <c r="D227" s="22"/>
      <c r="E227" s="22"/>
      <c r="F227" s="23"/>
      <c r="G227" s="22">
        <f t="shared" si="39"/>
        <v>0</v>
      </c>
      <c r="H227" s="23"/>
      <c r="I227" s="24">
        <f t="shared" si="40"/>
        <v>0</v>
      </c>
    </row>
    <row r="228" spans="1:9" ht="15.75" customHeight="1" x14ac:dyDescent="0.25">
      <c r="A228" s="3" t="s">
        <v>254</v>
      </c>
      <c r="B228" s="20" t="s">
        <v>58</v>
      </c>
      <c r="C228" s="79"/>
      <c r="D228" s="22"/>
      <c r="E228" s="22"/>
      <c r="F228" s="23"/>
      <c r="G228" s="22">
        <f t="shared" si="39"/>
        <v>0</v>
      </c>
      <c r="H228" s="23"/>
      <c r="I228" s="24">
        <f t="shared" si="40"/>
        <v>0</v>
      </c>
    </row>
    <row r="229" spans="1:9" ht="15.75" customHeight="1" x14ac:dyDescent="0.25">
      <c r="A229" s="3" t="s">
        <v>255</v>
      </c>
      <c r="B229" s="20" t="s">
        <v>58</v>
      </c>
      <c r="C229" s="79"/>
      <c r="D229" s="22"/>
      <c r="E229" s="22"/>
      <c r="F229" s="23"/>
      <c r="G229" s="22">
        <f t="shared" si="39"/>
        <v>0</v>
      </c>
      <c r="H229" s="23"/>
      <c r="I229" s="24">
        <f t="shared" si="40"/>
        <v>0</v>
      </c>
    </row>
    <row r="230" spans="1:9" ht="15.75" customHeight="1" x14ac:dyDescent="0.25">
      <c r="A230" s="3" t="s">
        <v>256</v>
      </c>
      <c r="B230" s="20" t="s">
        <v>58</v>
      </c>
      <c r="C230" s="79"/>
      <c r="D230" s="22"/>
      <c r="E230" s="22"/>
      <c r="F230" s="23"/>
      <c r="G230" s="22">
        <f t="shared" si="39"/>
        <v>0</v>
      </c>
      <c r="H230" s="23"/>
      <c r="I230" s="24">
        <f t="shared" si="40"/>
        <v>0</v>
      </c>
    </row>
    <row r="231" spans="1:9" ht="15.75" customHeight="1" x14ac:dyDescent="0.25">
      <c r="A231" s="3" t="s">
        <v>257</v>
      </c>
      <c r="B231" s="20" t="s">
        <v>58</v>
      </c>
      <c r="C231" s="79"/>
      <c r="D231" s="22"/>
      <c r="E231" s="22"/>
      <c r="F231" s="23"/>
      <c r="G231" s="22">
        <f t="shared" si="39"/>
        <v>0</v>
      </c>
      <c r="H231" s="23"/>
      <c r="I231" s="24">
        <f t="shared" si="40"/>
        <v>0</v>
      </c>
    </row>
    <row r="232" spans="1:9" ht="15.75" customHeight="1" x14ac:dyDescent="0.25">
      <c r="A232" s="4" t="s">
        <v>258</v>
      </c>
      <c r="B232" s="20"/>
      <c r="C232" s="79"/>
      <c r="D232" s="22"/>
      <c r="E232" s="22"/>
      <c r="F232" s="23"/>
      <c r="G232" s="22"/>
      <c r="H232" s="23"/>
      <c r="I232" s="24"/>
    </row>
    <row r="233" spans="1:9" ht="15.75" customHeight="1" x14ac:dyDescent="0.25">
      <c r="A233" s="3" t="s">
        <v>259</v>
      </c>
      <c r="B233" s="20" t="s">
        <v>63</v>
      </c>
      <c r="C233" s="79"/>
      <c r="D233" s="22"/>
      <c r="E233" s="22"/>
      <c r="F233" s="23"/>
      <c r="G233" s="22">
        <f t="shared" si="39"/>
        <v>0</v>
      </c>
      <c r="H233" s="23"/>
      <c r="I233" s="24">
        <f t="shared" si="40"/>
        <v>0</v>
      </c>
    </row>
    <row r="234" spans="1:9" ht="15.75" customHeight="1" thickBot="1" x14ac:dyDescent="0.3">
      <c r="A234" s="29" t="s">
        <v>1</v>
      </c>
      <c r="B234" s="30" t="s">
        <v>1</v>
      </c>
      <c r="C234" s="82"/>
      <c r="D234" s="31" t="s">
        <v>1</v>
      </c>
      <c r="E234" s="31">
        <f t="shared" ref="E234" si="45">(C234*D234)</f>
        <v>0</v>
      </c>
      <c r="F234" s="32" t="s">
        <v>1</v>
      </c>
      <c r="G234" s="31">
        <f>(C234*F234)</f>
        <v>0</v>
      </c>
      <c r="H234" s="32" t="s">
        <v>1</v>
      </c>
      <c r="I234" s="33">
        <f>(E234+G234+H234)</f>
        <v>0</v>
      </c>
    </row>
    <row r="235" spans="1:9" ht="15.75" customHeight="1" x14ac:dyDescent="0.25">
      <c r="A235" s="34" t="s">
        <v>4</v>
      </c>
      <c r="B235" s="35"/>
      <c r="C235" s="83"/>
      <c r="D235" s="36"/>
      <c r="E235" s="36">
        <f>SUM(E12:E234)</f>
        <v>0</v>
      </c>
      <c r="F235" s="37"/>
      <c r="G235" s="36">
        <f>SUM(G12:G234)</f>
        <v>0</v>
      </c>
      <c r="H235" s="36">
        <f>SUM(H12:H234)</f>
        <v>0</v>
      </c>
      <c r="I235" s="38">
        <f>SUM(I12:I234)</f>
        <v>0</v>
      </c>
    </row>
    <row r="236" spans="1:9" ht="15.75" customHeight="1" x14ac:dyDescent="0.25">
      <c r="A236" s="2" t="s">
        <v>1</v>
      </c>
      <c r="B236" s="20"/>
      <c r="C236" s="79"/>
      <c r="D236" s="22" t="s">
        <v>1</v>
      </c>
      <c r="E236" s="22">
        <f>(C236*D236)</f>
        <v>0</v>
      </c>
      <c r="F236" s="23"/>
      <c r="G236" s="22">
        <f t="shared" ref="G236:G246" si="46">(C236*F236)</f>
        <v>0</v>
      </c>
      <c r="H236" s="23" t="s">
        <v>1</v>
      </c>
      <c r="I236" s="24">
        <f>(E236+G236+H236)</f>
        <v>0</v>
      </c>
    </row>
    <row r="237" spans="1:9" ht="15.75" customHeight="1" x14ac:dyDescent="0.25">
      <c r="A237" s="2" t="s">
        <v>5</v>
      </c>
      <c r="B237" s="20"/>
      <c r="C237" s="79"/>
      <c r="D237" s="22"/>
      <c r="E237" s="22" t="s">
        <v>1</v>
      </c>
      <c r="F237" s="23"/>
      <c r="G237" s="22">
        <f t="shared" si="46"/>
        <v>0</v>
      </c>
      <c r="H237" s="23" t="s">
        <v>1</v>
      </c>
      <c r="I237" s="24">
        <f>E235</f>
        <v>0</v>
      </c>
    </row>
    <row r="238" spans="1:9" ht="15.75" customHeight="1" x14ac:dyDescent="0.25">
      <c r="A238" s="39" t="s">
        <v>12</v>
      </c>
      <c r="B238" s="40">
        <v>0.1</v>
      </c>
      <c r="C238" s="84"/>
      <c r="D238" s="41"/>
      <c r="E238" s="42" t="s">
        <v>1</v>
      </c>
      <c r="F238" s="41"/>
      <c r="G238" s="42">
        <f t="shared" si="46"/>
        <v>0</v>
      </c>
      <c r="H238" s="41" t="s">
        <v>1</v>
      </c>
      <c r="I238" s="43">
        <f>I237*B238</f>
        <v>0</v>
      </c>
    </row>
    <row r="239" spans="1:9" ht="15.75" customHeight="1" x14ac:dyDescent="0.25">
      <c r="A239" s="44" t="s">
        <v>6</v>
      </c>
      <c r="B239" s="45"/>
      <c r="C239" s="85"/>
      <c r="D239" s="46"/>
      <c r="E239" s="46" t="s">
        <v>1</v>
      </c>
      <c r="F239" s="47"/>
      <c r="G239" s="46">
        <f t="shared" si="46"/>
        <v>0</v>
      </c>
      <c r="H239" s="47" t="s">
        <v>1</v>
      </c>
      <c r="I239" s="48">
        <f>I237+I238</f>
        <v>0</v>
      </c>
    </row>
    <row r="240" spans="1:9" ht="15.75" customHeight="1" x14ac:dyDescent="0.25">
      <c r="A240" s="2" t="s">
        <v>1</v>
      </c>
      <c r="B240" s="20"/>
      <c r="C240" s="79"/>
      <c r="D240" s="22"/>
      <c r="E240" s="22">
        <f t="shared" ref="E240:E254" si="47">(C240*D240)</f>
        <v>0</v>
      </c>
      <c r="F240" s="23"/>
      <c r="G240" s="22">
        <f t="shared" si="46"/>
        <v>0</v>
      </c>
      <c r="H240" s="23"/>
      <c r="I240" s="24">
        <f>(E240+G240+H240)</f>
        <v>0</v>
      </c>
    </row>
    <row r="241" spans="1:9" ht="15.75" customHeight="1" x14ac:dyDescent="0.25">
      <c r="A241" s="2" t="s">
        <v>8</v>
      </c>
      <c r="B241" s="20"/>
      <c r="C241" s="79"/>
      <c r="D241" s="22"/>
      <c r="E241" s="22" t="s">
        <v>1</v>
      </c>
      <c r="F241" s="23"/>
      <c r="G241" s="22">
        <f t="shared" si="46"/>
        <v>0</v>
      </c>
      <c r="H241" s="23"/>
      <c r="I241" s="24">
        <f>G235</f>
        <v>0</v>
      </c>
    </row>
    <row r="242" spans="1:9" ht="15.75" customHeight="1" x14ac:dyDescent="0.25">
      <c r="A242" s="39" t="s">
        <v>56</v>
      </c>
      <c r="B242" s="40">
        <v>0.1</v>
      </c>
      <c r="C242" s="84"/>
      <c r="D242" s="42"/>
      <c r="E242" s="42" t="s">
        <v>1</v>
      </c>
      <c r="F242" s="41"/>
      <c r="G242" s="42">
        <f t="shared" si="46"/>
        <v>0</v>
      </c>
      <c r="H242" s="41"/>
      <c r="I242" s="43">
        <f>I241*B242</f>
        <v>0</v>
      </c>
    </row>
    <row r="243" spans="1:9" ht="15.75" customHeight="1" x14ac:dyDescent="0.25">
      <c r="A243" s="44" t="s">
        <v>7</v>
      </c>
      <c r="B243" s="45"/>
      <c r="C243" s="85"/>
      <c r="D243" s="46"/>
      <c r="E243" s="46" t="s">
        <v>1</v>
      </c>
      <c r="F243" s="47"/>
      <c r="G243" s="46">
        <f t="shared" si="46"/>
        <v>0</v>
      </c>
      <c r="H243" s="47"/>
      <c r="I243" s="48">
        <f>I241+I242</f>
        <v>0</v>
      </c>
    </row>
    <row r="244" spans="1:9" ht="15.75" customHeight="1" x14ac:dyDescent="0.25">
      <c r="A244" s="2" t="s">
        <v>1</v>
      </c>
      <c r="B244" s="20"/>
      <c r="C244" s="79"/>
      <c r="D244" s="22"/>
      <c r="E244" s="22">
        <f t="shared" si="47"/>
        <v>0</v>
      </c>
      <c r="F244" s="23"/>
      <c r="G244" s="22">
        <f t="shared" si="46"/>
        <v>0</v>
      </c>
      <c r="H244" s="23"/>
      <c r="I244" s="24">
        <f>(E244+G244+H244)</f>
        <v>0</v>
      </c>
    </row>
    <row r="245" spans="1:9" ht="15.75" customHeight="1" x14ac:dyDescent="0.25">
      <c r="A245" s="2" t="s">
        <v>9</v>
      </c>
      <c r="B245" s="20"/>
      <c r="C245" s="79"/>
      <c r="D245" s="22"/>
      <c r="E245" s="22">
        <f t="shared" si="47"/>
        <v>0</v>
      </c>
      <c r="F245" s="23"/>
      <c r="G245" s="22">
        <f t="shared" si="46"/>
        <v>0</v>
      </c>
      <c r="H245" s="23"/>
      <c r="I245" s="24">
        <f>H235</f>
        <v>0</v>
      </c>
    </row>
    <row r="246" spans="1:9" ht="15.75" customHeight="1" x14ac:dyDescent="0.25">
      <c r="A246" s="2" t="s">
        <v>10</v>
      </c>
      <c r="B246" s="49"/>
      <c r="C246" s="79"/>
      <c r="D246" s="23"/>
      <c r="E246" s="22" t="s">
        <v>1</v>
      </c>
      <c r="F246" s="23"/>
      <c r="G246" s="22">
        <f t="shared" si="46"/>
        <v>0</v>
      </c>
      <c r="H246" s="23" t="s">
        <v>1</v>
      </c>
      <c r="I246" s="24">
        <f>I243+I239</f>
        <v>0</v>
      </c>
    </row>
    <row r="247" spans="1:9" ht="15.75" customHeight="1" x14ac:dyDescent="0.25">
      <c r="A247" s="39"/>
      <c r="B247" s="50"/>
      <c r="C247" s="84"/>
      <c r="D247" s="41"/>
      <c r="E247" s="42"/>
      <c r="F247" s="41"/>
      <c r="G247" s="42"/>
      <c r="H247" s="41"/>
      <c r="I247" s="43"/>
    </row>
    <row r="248" spans="1:9" ht="15.75" customHeight="1" x14ac:dyDescent="0.25">
      <c r="A248" s="44" t="s">
        <v>13</v>
      </c>
      <c r="B248" s="45"/>
      <c r="C248" s="85"/>
      <c r="D248" s="47"/>
      <c r="E248" s="46">
        <f>(C248*D248)</f>
        <v>0</v>
      </c>
      <c r="F248" s="47"/>
      <c r="G248" s="46">
        <f t="shared" ref="G248:G258" si="48">(C248*F248)</f>
        <v>0</v>
      </c>
      <c r="H248" s="47" t="s">
        <v>1</v>
      </c>
      <c r="I248" s="48">
        <f>I245+I246+I247</f>
        <v>0</v>
      </c>
    </row>
    <row r="249" spans="1:9" ht="15.75" customHeight="1" x14ac:dyDescent="0.25">
      <c r="A249" s="2" t="s">
        <v>1</v>
      </c>
      <c r="B249" s="20"/>
      <c r="C249" s="79"/>
      <c r="D249" s="23"/>
      <c r="E249" s="22">
        <f t="shared" si="47"/>
        <v>0</v>
      </c>
      <c r="F249" s="23"/>
      <c r="G249" s="22">
        <f t="shared" si="48"/>
        <v>0</v>
      </c>
      <c r="H249" s="23" t="s">
        <v>1</v>
      </c>
      <c r="I249" s="24">
        <f>(E249+G249+H249)</f>
        <v>0</v>
      </c>
    </row>
    <row r="250" spans="1:9" ht="15.75" customHeight="1" x14ac:dyDescent="0.25">
      <c r="A250" s="2" t="s">
        <v>14</v>
      </c>
      <c r="B250" s="51">
        <v>0.1</v>
      </c>
      <c r="C250" s="79"/>
      <c r="D250" s="23"/>
      <c r="E250" s="22">
        <f t="shared" si="47"/>
        <v>0</v>
      </c>
      <c r="F250" s="23"/>
      <c r="G250" s="22">
        <f t="shared" si="48"/>
        <v>0</v>
      </c>
      <c r="H250" s="23"/>
      <c r="I250" s="24">
        <f>I248*B250</f>
        <v>0</v>
      </c>
    </row>
    <row r="251" spans="1:9" ht="15.75" customHeight="1" x14ac:dyDescent="0.25">
      <c r="A251" s="2" t="s">
        <v>11</v>
      </c>
      <c r="B251" s="51" t="s">
        <v>1</v>
      </c>
      <c r="C251" s="79"/>
      <c r="D251" s="23" t="s">
        <v>1</v>
      </c>
      <c r="E251" s="22">
        <f t="shared" si="47"/>
        <v>0</v>
      </c>
      <c r="F251" s="23">
        <v>0</v>
      </c>
      <c r="G251" s="22">
        <f t="shared" si="48"/>
        <v>0</v>
      </c>
      <c r="H251" s="23" t="s">
        <v>1</v>
      </c>
      <c r="I251" s="24">
        <f>I248+I250</f>
        <v>0</v>
      </c>
    </row>
    <row r="252" spans="1:9" ht="15.75" customHeight="1" thickBot="1" x14ac:dyDescent="0.3">
      <c r="A252" s="29" t="s">
        <v>15</v>
      </c>
      <c r="B252" s="52">
        <v>0.1</v>
      </c>
      <c r="C252" s="82"/>
      <c r="D252" s="32"/>
      <c r="E252" s="31">
        <f t="shared" si="47"/>
        <v>0</v>
      </c>
      <c r="F252" s="32"/>
      <c r="G252" s="31">
        <f t="shared" si="48"/>
        <v>0</v>
      </c>
      <c r="H252" s="32"/>
      <c r="I252" s="33">
        <f>I251*B252</f>
        <v>0</v>
      </c>
    </row>
    <row r="253" spans="1:9" ht="15.75" customHeight="1" x14ac:dyDescent="0.25">
      <c r="A253" s="39" t="s">
        <v>16</v>
      </c>
      <c r="B253" s="50"/>
      <c r="C253" s="84"/>
      <c r="D253" s="41"/>
      <c r="E253" s="42" t="s">
        <v>1</v>
      </c>
      <c r="F253" s="41"/>
      <c r="G253" s="42">
        <f t="shared" si="48"/>
        <v>0</v>
      </c>
      <c r="H253" s="41" t="s">
        <v>1</v>
      </c>
      <c r="I253" s="53">
        <f>I251+I252</f>
        <v>0</v>
      </c>
    </row>
    <row r="254" spans="1:9" ht="15.75" customHeight="1" x14ac:dyDescent="0.25">
      <c r="A254" s="54" t="s">
        <v>4</v>
      </c>
      <c r="B254" s="55"/>
      <c r="C254" s="83"/>
      <c r="D254" s="37"/>
      <c r="E254" s="36">
        <f t="shared" si="47"/>
        <v>0</v>
      </c>
      <c r="F254" s="37"/>
      <c r="G254" s="36">
        <f t="shared" si="48"/>
        <v>0</v>
      </c>
      <c r="H254" s="37"/>
      <c r="I254" s="38">
        <f>I251+I252</f>
        <v>0</v>
      </c>
    </row>
    <row r="255" spans="1:9" ht="15.75" customHeight="1" x14ac:dyDescent="0.25">
      <c r="A255" s="39" t="s">
        <v>17</v>
      </c>
      <c r="B255" s="57">
        <v>2.5000000000000001E-2</v>
      </c>
      <c r="C255" s="84"/>
      <c r="D255" s="41"/>
      <c r="E255" s="42" t="s">
        <v>1</v>
      </c>
      <c r="F255" s="41"/>
      <c r="G255" s="42">
        <f t="shared" si="48"/>
        <v>0</v>
      </c>
      <c r="H255" s="41" t="s">
        <v>1</v>
      </c>
      <c r="I255" s="43">
        <f>I253*B255</f>
        <v>0</v>
      </c>
    </row>
    <row r="256" spans="1:9" ht="15.75" customHeight="1" x14ac:dyDescent="0.25">
      <c r="A256" s="54" t="s">
        <v>4</v>
      </c>
      <c r="B256" s="55"/>
      <c r="C256" s="56"/>
      <c r="D256" s="58"/>
      <c r="E256" s="59">
        <f>(C256*D256)</f>
        <v>0</v>
      </c>
      <c r="F256" s="60"/>
      <c r="G256" s="36">
        <f t="shared" si="48"/>
        <v>0</v>
      </c>
      <c r="H256" s="37"/>
      <c r="I256" s="38">
        <f>ROUND(I254+I255,0)</f>
        <v>0</v>
      </c>
    </row>
    <row r="257" spans="1:9" ht="15.75" customHeight="1" x14ac:dyDescent="0.25">
      <c r="A257" s="61"/>
      <c r="B257" s="49"/>
      <c r="C257" s="62"/>
      <c r="D257" s="63"/>
      <c r="E257" s="64"/>
      <c r="F257" s="65"/>
      <c r="G257" s="64"/>
      <c r="H257" s="63"/>
      <c r="I257" s="24">
        <f>SUM(I256*B257)</f>
        <v>0</v>
      </c>
    </row>
    <row r="258" spans="1:9" ht="15.75" customHeight="1" thickBot="1" x14ac:dyDescent="0.3">
      <c r="A258" s="66" t="s">
        <v>59</v>
      </c>
      <c r="B258" s="67"/>
      <c r="C258" s="68"/>
      <c r="D258" s="69"/>
      <c r="E258" s="69"/>
      <c r="F258" s="68"/>
      <c r="G258" s="31">
        <f t="shared" si="48"/>
        <v>0</v>
      </c>
      <c r="H258" s="70"/>
      <c r="I258" s="71">
        <f>SUM(I256:I257)</f>
        <v>0</v>
      </c>
    </row>
    <row r="259" spans="1:9" ht="15.75" customHeight="1" x14ac:dyDescent="0.25">
      <c r="A259" s="72"/>
    </row>
    <row r="260" spans="1:9" ht="15.75" customHeight="1" x14ac:dyDescent="0.25"/>
    <row r="261" spans="1:9" ht="15.75" customHeight="1" x14ac:dyDescent="0.25">
      <c r="A261" s="76"/>
      <c r="B261" s="77"/>
      <c r="C261" s="78"/>
      <c r="D261" s="76"/>
      <c r="E261" s="76"/>
      <c r="F261" s="77"/>
      <c r="G261" s="76"/>
      <c r="H261" s="76"/>
    </row>
  </sheetData>
  <customSheetViews>
    <customSheetView guid="{A75EB062-EB74-11D2-B9DC-00E02902C1C4}" scale="58" showGridLines="0" zeroValues="0" fitToPage="1" showRuler="0">
      <selection activeCell="E18" sqref="E18"/>
      <pageMargins left="0.3" right="0.1" top="0.2" bottom="0.2" header="0.5" footer="0.5"/>
      <pageSetup scale="85" orientation="landscape" horizontalDpi="4294967292" verticalDpi="4294967292" r:id="rId1"/>
      <headerFooter alignWithMargins="0"/>
    </customSheetView>
  </customSheetViews>
  <mergeCells count="22">
    <mergeCell ref="F9:G9"/>
    <mergeCell ref="A1:I2"/>
    <mergeCell ref="C8:E8"/>
    <mergeCell ref="F7:I7"/>
    <mergeCell ref="D3:E3"/>
    <mergeCell ref="C7:E7"/>
    <mergeCell ref="D4:E4"/>
    <mergeCell ref="A8:B8"/>
    <mergeCell ref="F8:I8"/>
    <mergeCell ref="F3:I3"/>
    <mergeCell ref="F6:I6"/>
    <mergeCell ref="F5:I5"/>
    <mergeCell ref="A3:C3"/>
    <mergeCell ref="A4:C4"/>
    <mergeCell ref="A5:E5"/>
    <mergeCell ref="A6:E6"/>
    <mergeCell ref="A7:B7"/>
    <mergeCell ref="A9:A11"/>
    <mergeCell ref="B9:B11"/>
    <mergeCell ref="D9:E9"/>
    <mergeCell ref="D10:D11"/>
    <mergeCell ref="C9:C11"/>
  </mergeCells>
  <phoneticPr fontId="0" type="noConversion"/>
  <printOptions horizontalCentered="1" gridLinesSet="0"/>
  <pageMargins left="0.3" right="0.1" top="0.2" bottom="0.2" header="0.5" footer="0.5"/>
  <pageSetup scale="90" orientation="landscape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AYJX2NKRWZRK-1002879456-177</_dlc_DocId>
    <_dlc_DocIdUrl xmlns="ff51ef05-392e-4dfc-ac47-4d3b6fab66d1">
      <Url>https://usaf.dps.mil/teams/ktfso13101/1137631/_layouts/15/DocIdRedir.aspx?ID=AYJX2NKRWZRK-1002879456-177</Url>
      <Description>AYJX2NKRWZRK-1002879456-177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A492A220036D32418BF7D24C084BF9D00006F29FF1C85BCE4E94603C04AF194AA8" ma:contentTypeVersion="3" ma:contentTypeDescription="Create a new document." ma:contentTypeScope="" ma:versionID="5f9f12ea3bb7a05f86e8f82ddfde4cae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d042a8cf0fbeef489a0dbd3992ec8168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F6E1C3-8699-4B7D-87A9-477539F8964F}">
  <ds:schemaRefs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ff51ef05-392e-4dfc-ac47-4d3b6fab66d1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86E90DD-99D6-468A-9601-B224ECB73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33AFE0-6058-4E4C-8DFF-BCAAEB97404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1AF3FE4-3486-42E4-BD9D-C5891E0A5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Total</vt:lpstr>
      <vt:lpstr>Equipment</vt:lpstr>
      <vt:lpstr>668 Renovation</vt:lpstr>
      <vt:lpstr>'668 Renovation'!Print_Area</vt:lpstr>
      <vt:lpstr>Equipment!Print_Area</vt:lpstr>
      <vt:lpstr>Total!Print_Area</vt:lpstr>
      <vt:lpstr>'668 Renovation'!Print_Titles</vt:lpstr>
      <vt:lpstr>Equipment!Print_Titles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BREDLOW, SANDRA Y CTR USAF AETC 42 CES/CENMP</dc:creator>
  <cp:lastModifiedBy>JONES, KHADIJAH T SSgt USAF AETC 42 CONS/PKB</cp:lastModifiedBy>
  <cp:lastPrinted>2025-10-02T17:41:12Z</cp:lastPrinted>
  <dcterms:created xsi:type="dcterms:W3CDTF">1997-07-22T18:46:16Z</dcterms:created>
  <dcterms:modified xsi:type="dcterms:W3CDTF">2025-10-30T20:57:40Z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0x010100A492A220036D32418BF7D24C084BF9D00006F29FF1C85BCE4E94603C04AF194AA8</vt:lpwstr>
  </property>
  <property fmtid="{D5CDD505-2E9C-101B-9397-08002B2CF9AE}" pid="3" name="_dlc_DocIdItemGuid">
    <vt:lpwstr>ecf046c1-0068-4400-b9a0-9cb958622ca5</vt:lpwstr>
  </property>
</Properties>
</file>