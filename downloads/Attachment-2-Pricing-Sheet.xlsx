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Z:\Branch 5\Matthew Teel\MTeel CS Actions\1-Pre-Award\New Action from B2-Analyzer\15-RFQ\RFQ Attachments\"/>
    </mc:Choice>
  </mc:AlternateContent>
  <xr:revisionPtr revIDLastSave="0" documentId="13_ncr:1_{89909756-DFF3-43AF-95F2-518967D31157}" xr6:coauthVersionLast="47" xr6:coauthVersionMax="47" xr10:uidLastSave="{00000000-0000-0000-0000-000000000000}"/>
  <bookViews>
    <workbookView xWindow="-120" yWindow="90" windowWidth="29040" windowHeight="15510" xr2:uid="{68F8D859-A3E2-40A6-B5C8-08DF2B0D27D0}"/>
  </bookViews>
  <sheets>
    <sheet name="Attachment 1-Pricing 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 l="1"/>
  <c r="F25" i="1"/>
  <c r="G7" i="1" l="1"/>
  <c r="G8" i="1"/>
  <c r="G9" i="1"/>
  <c r="G10" i="1"/>
  <c r="G11" i="1"/>
  <c r="G12" i="1"/>
  <c r="G13" i="1"/>
  <c r="G14" i="1"/>
  <c r="G6" i="1"/>
  <c r="G15" i="1" l="1"/>
  <c r="G18" i="1" s="1"/>
</calcChain>
</file>

<file path=xl/sharedStrings.xml><?xml version="1.0" encoding="utf-8"?>
<sst xmlns="http://schemas.openxmlformats.org/spreadsheetml/2006/main" count="53" uniqueCount="31">
  <si>
    <t>Base Period</t>
  </si>
  <si>
    <t>Description</t>
  </si>
  <si>
    <t>CLIN Type</t>
  </si>
  <si>
    <t>Quantity</t>
  </si>
  <si>
    <t>Unit Price</t>
  </si>
  <si>
    <t>Total Price</t>
  </si>
  <si>
    <t>FFP</t>
  </si>
  <si>
    <t>Subtotal</t>
  </si>
  <si>
    <t>GRAND TOTAL</t>
  </si>
  <si>
    <t>Attachment 2: Pricing Sheet-RFQ1787669</t>
  </si>
  <si>
    <t>Defense Health Agency Contracting Activity (DHACA) Healthcare Division (HCD) Southeast (SE) Immunohematology Blood-Grouping Analyzer Cost Per Test</t>
  </si>
  <si>
    <t>CLIN</t>
  </si>
  <si>
    <t>ABO/Rh Typing</t>
  </si>
  <si>
    <t>Antibody Identification</t>
  </si>
  <si>
    <t>Antibody Screening</t>
  </si>
  <si>
    <t>Antibody Titers</t>
  </si>
  <si>
    <t>Antigen Typing</t>
  </si>
  <si>
    <t>Direct Antiglobulin Test</t>
  </si>
  <si>
    <t>Crossmatch</t>
  </si>
  <si>
    <t>Fetal Maternal Hemorrhage Screen</t>
  </si>
  <si>
    <t>Rh Immunoglobulin Workup</t>
  </si>
  <si>
    <t>Assumptions:</t>
  </si>
  <si>
    <t>Unit pricing shall include all everything needed to perform the total of all tests specified for the fiscal year, including equipment usage, service , accessories (as needed) , maintainence, training, reagents, consumables, ATO authorization, and shipping.</t>
  </si>
  <si>
    <t>Unit of Measure</t>
  </si>
  <si>
    <t>Each</t>
  </si>
  <si>
    <t xml:space="preserve">CLIN AS SHOWN ON GSA ORDER: </t>
  </si>
  <si>
    <t>0001</t>
  </si>
  <si>
    <t>ANALYZER, LAB, HEMATOLOGY, BLOOD GROUP
FFP
Two (2) Immunohematology Blood-Grouping Analyzer Cost Per Test Contract GEL Analyzers, to perform the same tests to provide redundancy forming a blood grouping analyzer system. Laboratory, hematology, blood grouping, automated.  TO INCLUDE REGEANTS, QUALITY CONTROL, TRAINING, MAINTENANCE, AND CONSUMABLES IAW ATTACHED STATEMENT OF WORK (SOW), to be BILLED MONTHLY IN ARREARS for Naval Medical Center Portsmouth (NMCP). Capable to perform following tests IAW SOW; ABO/Rh Typing (Estimated Quantity = 26,400), Antibody Identification (Est. Qty. = 2,400), Antibody Screening (Est. Qty. = 8,400), Antibody Titers (Est. Qty. = 1,200), Antigen Typing (Est. Qty. = 1,200),  Direct Antiglobulin Test (Est. Qty. = 4,800), Crossmatch (Est. Qty. = 3,600), Fetal Maternal Hemorrhage Screen (Est. Qty. = 1,200), Rh Immunoglobulin Workup (Est. Qty. = 1,200). The requirements in DFARS 252.211-7003, Item Identification and Valuation, are applicable for this line item. The contractor shall provide DoD unique identification, or a DoD recognized unique identification equivalent
FOB: Destination
MFR PARTNER: &lt;To Be Entered Upon Award&gt;
ADDITIONAL MARKINGS: ATTN: &lt;To Be Entered Upon Award&gt;
PSC CD: 6515
FFP
In accordance with the Scope of Work (SOW).
FOB: Destination</t>
  </si>
  <si>
    <t>12</t>
  </si>
  <si>
    <t>Months</t>
  </si>
  <si>
    <t xml:space="preserve">Base Period Total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</si>
</sst>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quot;$&quot;#,##0.00"/>
  </numFmts>
  <fonts count="4" x14ac:knownFonts="1">
    <font>
      <sz val="11"/>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theme="2" tint="-9.9978637043366805E-2"/>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3" fillId="0" borderId="0" applyFont="0" applyFill="0" applyBorder="0" applyAlignment="0" applyProtection="0"/>
  </cellStyleXfs>
  <cellXfs count="30">
    <xf numFmtId="0" fontId="0" fillId="0" borderId="0" xfId="0"/>
    <xf numFmtId="0" fontId="1" fillId="0" borderId="0" xfId="0" applyFont="1" applyAlignment="1">
      <alignment vertical="center"/>
    </xf>
    <xf numFmtId="0" fontId="0" fillId="0" borderId="0" xfId="0" applyAlignment="1">
      <alignment vertical="center"/>
    </xf>
    <xf numFmtId="0" fontId="1" fillId="0" borderId="1" xfId="0" applyFon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165" fontId="1" fillId="0" borderId="1" xfId="0" applyNumberFormat="1" applyFont="1" applyBorder="1" applyAlignment="1">
      <alignment horizontal="center" vertical="center"/>
    </xf>
    <xf numFmtId="0" fontId="0" fillId="0" borderId="1" xfId="0" applyBorder="1" applyAlignment="1">
      <alignment horizontal="center" vertical="top" wrapText="1"/>
    </xf>
    <xf numFmtId="0" fontId="1" fillId="0" borderId="0" xfId="0" applyFont="1" applyAlignment="1">
      <alignment horizontal="center" vertical="center"/>
    </xf>
    <xf numFmtId="3" fontId="0" fillId="0" borderId="1" xfId="0" applyNumberFormat="1" applyBorder="1" applyAlignment="1">
      <alignment horizontal="center" vertical="center"/>
    </xf>
    <xf numFmtId="0" fontId="1" fillId="2" borderId="1" xfId="0" applyFont="1" applyFill="1" applyBorder="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1" fillId="0" borderId="1" xfId="0" applyFont="1" applyBorder="1" applyAlignment="1">
      <alignment horizontal="right" vertical="center"/>
    </xf>
    <xf numFmtId="49" fontId="0" fillId="0" borderId="1" xfId="0" applyNumberFormat="1" applyBorder="1" applyAlignment="1">
      <alignment horizontal="center" vertical="center"/>
    </xf>
    <xf numFmtId="49" fontId="0" fillId="0" borderId="1" xfId="0" applyNumberFormat="1" applyBorder="1" applyAlignment="1">
      <alignment vertical="center" wrapText="1"/>
    </xf>
    <xf numFmtId="49" fontId="0" fillId="0" borderId="6" xfId="0" applyNumberFormat="1" applyBorder="1" applyAlignment="1">
      <alignment horizontal="center" vertical="center"/>
    </xf>
    <xf numFmtId="44" fontId="0" fillId="0" borderId="6" xfId="1" applyFont="1" applyBorder="1" applyAlignment="1">
      <alignment horizontal="center" vertical="center"/>
    </xf>
    <xf numFmtId="0" fontId="1" fillId="2" borderId="1"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44" fontId="1" fillId="4" borderId="5" xfId="1" applyFont="1" applyFill="1" applyBorder="1" applyAlignment="1">
      <alignment vertical="center"/>
    </xf>
    <xf numFmtId="0" fontId="2" fillId="3" borderId="7" xfId="0" applyFont="1" applyFill="1" applyBorder="1" applyAlignment="1">
      <alignment vertical="center"/>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8CD4-A5A0-4050-AAC0-8E11A6D575D9}">
  <dimension ref="A1:L25"/>
  <sheetViews>
    <sheetView tabSelected="1" workbookViewId="0">
      <selection activeCell="J13" sqref="J13"/>
    </sheetView>
  </sheetViews>
  <sheetFormatPr defaultColWidth="8.85546875" defaultRowHeight="15" x14ac:dyDescent="0.25"/>
  <cols>
    <col min="1" max="1" width="13.140625" style="2" bestFit="1" customWidth="1"/>
    <col min="2" max="2" width="63.140625" style="2" customWidth="1"/>
    <col min="3" max="3" width="11.7109375" style="2" customWidth="1"/>
    <col min="4" max="4" width="15.7109375" style="2" customWidth="1"/>
    <col min="5" max="7" width="11.7109375" style="2" customWidth="1"/>
    <col min="8" max="16384" width="8.85546875" style="2"/>
  </cols>
  <sheetData>
    <row r="1" spans="1:12" x14ac:dyDescent="0.25">
      <c r="A1" s="12" t="s">
        <v>9</v>
      </c>
      <c r="B1" s="12"/>
      <c r="C1" s="12"/>
      <c r="D1" s="12"/>
      <c r="E1" s="12"/>
      <c r="F1" s="12"/>
      <c r="G1" s="12"/>
      <c r="H1" s="1"/>
      <c r="I1" s="1"/>
      <c r="J1" s="1"/>
      <c r="K1" s="1"/>
      <c r="L1" s="1"/>
    </row>
    <row r="2" spans="1:12" x14ac:dyDescent="0.25">
      <c r="A2" s="13" t="s">
        <v>10</v>
      </c>
      <c r="B2" s="13"/>
      <c r="C2" s="13"/>
      <c r="D2" s="13"/>
      <c r="E2" s="13"/>
      <c r="F2" s="13"/>
      <c r="G2" s="13"/>
      <c r="H2" s="1"/>
      <c r="I2" s="1"/>
      <c r="J2" s="1"/>
      <c r="K2" s="1"/>
      <c r="L2" s="1"/>
    </row>
    <row r="4" spans="1:12" x14ac:dyDescent="0.25">
      <c r="A4" s="11" t="s">
        <v>0</v>
      </c>
      <c r="B4" s="11"/>
      <c r="C4" s="11"/>
      <c r="D4" s="11"/>
      <c r="E4" s="11"/>
      <c r="F4" s="11"/>
      <c r="G4" s="11"/>
      <c r="H4" s="1"/>
      <c r="I4" s="1"/>
      <c r="J4" s="1"/>
      <c r="K4" s="1"/>
      <c r="L4" s="1"/>
    </row>
    <row r="5" spans="1:12" x14ac:dyDescent="0.25">
      <c r="A5" s="3" t="s">
        <v>11</v>
      </c>
      <c r="B5" s="3" t="s">
        <v>1</v>
      </c>
      <c r="C5" s="3" t="s">
        <v>2</v>
      </c>
      <c r="D5" s="3" t="s">
        <v>23</v>
      </c>
      <c r="E5" s="3" t="s">
        <v>3</v>
      </c>
      <c r="F5" s="3" t="s">
        <v>4</v>
      </c>
      <c r="G5" s="3" t="s">
        <v>5</v>
      </c>
    </row>
    <row r="6" spans="1:12" x14ac:dyDescent="0.25">
      <c r="A6" s="4">
        <v>1</v>
      </c>
      <c r="B6" s="8" t="s">
        <v>12</v>
      </c>
      <c r="C6" s="5" t="s">
        <v>6</v>
      </c>
      <c r="D6" s="5" t="s">
        <v>24</v>
      </c>
      <c r="E6" s="10">
        <v>26400</v>
      </c>
      <c r="F6" s="6">
        <v>0</v>
      </c>
      <c r="G6" s="6">
        <f>E6*F6</f>
        <v>0</v>
      </c>
    </row>
    <row r="7" spans="1:12" x14ac:dyDescent="0.25">
      <c r="A7" s="4">
        <v>1</v>
      </c>
      <c r="B7" s="5" t="s">
        <v>13</v>
      </c>
      <c r="C7" s="5" t="s">
        <v>6</v>
      </c>
      <c r="D7" s="5" t="s">
        <v>24</v>
      </c>
      <c r="E7" s="10">
        <v>2400</v>
      </c>
      <c r="F7" s="6">
        <v>0</v>
      </c>
      <c r="G7" s="6">
        <f t="shared" ref="G7:G14" si="0">E7*F7</f>
        <v>0</v>
      </c>
    </row>
    <row r="8" spans="1:12" x14ac:dyDescent="0.25">
      <c r="A8" s="4">
        <v>1</v>
      </c>
      <c r="B8" s="5" t="s">
        <v>14</v>
      </c>
      <c r="C8" s="5" t="s">
        <v>6</v>
      </c>
      <c r="D8" s="5" t="s">
        <v>24</v>
      </c>
      <c r="E8" s="10">
        <v>8400</v>
      </c>
      <c r="F8" s="6">
        <v>0</v>
      </c>
      <c r="G8" s="6">
        <f t="shared" si="0"/>
        <v>0</v>
      </c>
    </row>
    <row r="9" spans="1:12" x14ac:dyDescent="0.25">
      <c r="A9" s="4">
        <v>1</v>
      </c>
      <c r="B9" s="5" t="s">
        <v>15</v>
      </c>
      <c r="C9" s="5" t="s">
        <v>6</v>
      </c>
      <c r="D9" s="5" t="s">
        <v>24</v>
      </c>
      <c r="E9" s="10">
        <v>1200</v>
      </c>
      <c r="F9" s="6">
        <v>0</v>
      </c>
      <c r="G9" s="6">
        <f t="shared" si="0"/>
        <v>0</v>
      </c>
    </row>
    <row r="10" spans="1:12" x14ac:dyDescent="0.25">
      <c r="A10" s="4">
        <v>1</v>
      </c>
      <c r="B10" s="5" t="s">
        <v>16</v>
      </c>
      <c r="C10" s="5" t="s">
        <v>6</v>
      </c>
      <c r="D10" s="5" t="s">
        <v>24</v>
      </c>
      <c r="E10" s="10">
        <v>1200</v>
      </c>
      <c r="F10" s="6">
        <v>0</v>
      </c>
      <c r="G10" s="6">
        <f t="shared" si="0"/>
        <v>0</v>
      </c>
    </row>
    <row r="11" spans="1:12" x14ac:dyDescent="0.25">
      <c r="A11" s="4">
        <v>1</v>
      </c>
      <c r="B11" s="5" t="s">
        <v>17</v>
      </c>
      <c r="C11" s="5" t="s">
        <v>6</v>
      </c>
      <c r="D11" s="5" t="s">
        <v>24</v>
      </c>
      <c r="E11" s="10">
        <v>4800</v>
      </c>
      <c r="F11" s="6">
        <v>0</v>
      </c>
      <c r="G11" s="6">
        <f t="shared" si="0"/>
        <v>0</v>
      </c>
    </row>
    <row r="12" spans="1:12" x14ac:dyDescent="0.25">
      <c r="A12" s="4">
        <v>1</v>
      </c>
      <c r="B12" s="5" t="s">
        <v>18</v>
      </c>
      <c r="C12" s="5" t="s">
        <v>6</v>
      </c>
      <c r="D12" s="5" t="s">
        <v>24</v>
      </c>
      <c r="E12" s="10">
        <v>3600</v>
      </c>
      <c r="F12" s="6">
        <v>0</v>
      </c>
      <c r="G12" s="6">
        <f t="shared" si="0"/>
        <v>0</v>
      </c>
    </row>
    <row r="13" spans="1:12" x14ac:dyDescent="0.25">
      <c r="A13" s="4">
        <v>1</v>
      </c>
      <c r="B13" s="5" t="s">
        <v>19</v>
      </c>
      <c r="C13" s="5" t="s">
        <v>6</v>
      </c>
      <c r="D13" s="5" t="s">
        <v>24</v>
      </c>
      <c r="E13" s="10">
        <v>1200</v>
      </c>
      <c r="F13" s="6">
        <v>0</v>
      </c>
      <c r="G13" s="6">
        <f t="shared" si="0"/>
        <v>0</v>
      </c>
    </row>
    <row r="14" spans="1:12" x14ac:dyDescent="0.25">
      <c r="A14" s="4">
        <v>1</v>
      </c>
      <c r="B14" s="5" t="s">
        <v>20</v>
      </c>
      <c r="C14" s="5" t="s">
        <v>6</v>
      </c>
      <c r="D14" s="5" t="s">
        <v>24</v>
      </c>
      <c r="E14" s="10">
        <v>1200</v>
      </c>
      <c r="F14" s="6">
        <v>0</v>
      </c>
      <c r="G14" s="6">
        <f t="shared" si="0"/>
        <v>0</v>
      </c>
    </row>
    <row r="15" spans="1:12" x14ac:dyDescent="0.25">
      <c r="A15" s="14" t="s">
        <v>7</v>
      </c>
      <c r="B15" s="15"/>
      <c r="C15" s="15"/>
      <c r="D15" s="15"/>
      <c r="E15" s="15"/>
      <c r="F15" s="16"/>
      <c r="G15" s="7">
        <f>SUM(G6:G14)</f>
        <v>0</v>
      </c>
    </row>
    <row r="18" spans="1:7" x14ac:dyDescent="0.25">
      <c r="A18" s="17" t="s">
        <v>8</v>
      </c>
      <c r="B18" s="17"/>
      <c r="C18" s="17"/>
      <c r="D18" s="17"/>
      <c r="E18" s="17"/>
      <c r="F18" s="17"/>
      <c r="G18" s="7">
        <f>SUM(G15)</f>
        <v>0</v>
      </c>
    </row>
    <row r="19" spans="1:7" ht="15.75" thickBot="1" x14ac:dyDescent="0.3"/>
    <row r="20" spans="1:7" ht="46.5" customHeight="1" thickBot="1" x14ac:dyDescent="0.3">
      <c r="A20" s="27" t="s">
        <v>21</v>
      </c>
      <c r="B20" s="28" t="s">
        <v>22</v>
      </c>
      <c r="C20" s="28"/>
      <c r="D20" s="28"/>
      <c r="E20" s="28"/>
      <c r="F20" s="28"/>
      <c r="G20" s="29"/>
    </row>
    <row r="22" spans="1:7" x14ac:dyDescent="0.25">
      <c r="A22" s="1" t="s">
        <v>25</v>
      </c>
    </row>
    <row r="23" spans="1:7" s="9" customFormat="1" x14ac:dyDescent="0.25">
      <c r="A23" s="22" t="s">
        <v>11</v>
      </c>
      <c r="B23" s="22" t="s">
        <v>1</v>
      </c>
      <c r="C23" s="22" t="s">
        <v>3</v>
      </c>
      <c r="D23" s="22" t="s">
        <v>23</v>
      </c>
      <c r="E23" s="22" t="s">
        <v>4</v>
      </c>
      <c r="F23" s="22" t="s">
        <v>5</v>
      </c>
    </row>
    <row r="24" spans="1:7" ht="390.75" thickBot="1" x14ac:dyDescent="0.3">
      <c r="A24" s="18" t="s">
        <v>26</v>
      </c>
      <c r="B24" s="19" t="s">
        <v>27</v>
      </c>
      <c r="C24" s="20" t="s">
        <v>28</v>
      </c>
      <c r="D24" s="20" t="s">
        <v>29</v>
      </c>
      <c r="E24" s="21">
        <f>G18/12</f>
        <v>0</v>
      </c>
      <c r="F24" s="21">
        <v>0</v>
      </c>
    </row>
    <row r="25" spans="1:7" ht="15.75" thickBot="1" x14ac:dyDescent="0.3">
      <c r="C25" s="23" t="s">
        <v>30</v>
      </c>
      <c r="D25" s="24"/>
      <c r="E25" s="25"/>
      <c r="F25" s="26">
        <f>SUM(F24)</f>
        <v>0</v>
      </c>
    </row>
  </sheetData>
  <mergeCells count="6">
    <mergeCell ref="C25:E25"/>
    <mergeCell ref="B20:G20"/>
    <mergeCell ref="A1:G1"/>
    <mergeCell ref="A2:G2"/>
    <mergeCell ref="A15:F15"/>
    <mergeCell ref="A18:F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Attachment 1-Pricing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Lertora, Shannon P CIV USARMY USAMRAA (USA)</dc:creator>
  <cp:lastModifiedBy>Teel, Matthew D CIV DHA DHA CONTRACTING ACT (USA)</cp:lastModifiedBy>
  <dcterms:created xsi:type="dcterms:W3CDTF">2025-01-13T17:02:33Z</dcterms:created>
  <dcterms:modified xsi:type="dcterms:W3CDTF">2025-11-25T02:48:03Z</dcterms:modified>
</cp:coreProperties>
</file>