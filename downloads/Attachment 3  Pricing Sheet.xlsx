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G:\Terry Lawrence\FY26\In Progress - Towels &amp; Rags Rental Laundering Services\"/>
    </mc:Choice>
  </mc:AlternateContent>
  <xr:revisionPtr revIDLastSave="0" documentId="8_{CAD8822B-09CB-43FC-947B-ADE079A36407}" xr6:coauthVersionLast="47" xr6:coauthVersionMax="47" xr10:uidLastSave="{00000000-0000-0000-0000-000000000000}"/>
  <bookViews>
    <workbookView xWindow="-38415" yWindow="-4980" windowWidth="21555" windowHeight="13245" activeTab="3" xr2:uid="{00000000-000D-0000-FFFF-FFFF00000000}"/>
  </bookViews>
  <sheets>
    <sheet name="Total Pricing" sheetId="3" r:id="rId1"/>
    <sheet name="Base Year - 0001" sheetId="5" r:id="rId2"/>
    <sheet name="Option Year 1 - 1001" sheetId="11" r:id="rId3"/>
    <sheet name="Option Year 2 - 2001" sheetId="6" r:id="rId4"/>
  </sheets>
  <definedNames>
    <definedName name="_xlnm.Print_Area" localSheetId="1">'Base Year - 0001'!$A$1:$F$19</definedName>
    <definedName name="_xlnm.Print_Area" localSheetId="2">'Option Year 1 - 1001'!$A$1:$F$22</definedName>
    <definedName name="_xlnm.Print_Area" localSheetId="3">'Option Year 2 - 2001'!$A$1:$F$22</definedName>
    <definedName name="_xlnm.Print_Area" localSheetId="0">'Total Pricing'!$A$3:$G$8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F16" i="5"/>
  <c r="F15" i="5"/>
  <c r="F14" i="5"/>
  <c r="F13" i="5"/>
  <c r="F12" i="5"/>
  <c r="F10" i="5"/>
  <c r="F9" i="5"/>
  <c r="F7" i="5"/>
  <c r="F6" i="5"/>
  <c r="F5" i="5"/>
  <c r="F20" i="11"/>
  <c r="F19" i="11"/>
  <c r="F18" i="11"/>
  <c r="F17" i="11"/>
  <c r="F15" i="11" s="1"/>
  <c r="E15" i="11" s="1"/>
  <c r="F16" i="11"/>
  <c r="F14" i="11"/>
  <c r="F13" i="11"/>
  <c r="F11" i="11" s="1"/>
  <c r="E11" i="11" s="1"/>
  <c r="F12" i="11"/>
  <c r="F10" i="11"/>
  <c r="F9" i="11"/>
  <c r="F8" i="11"/>
  <c r="E8" i="11" s="1"/>
  <c r="F7" i="11"/>
  <c r="F6" i="11"/>
  <c r="F5" i="11"/>
  <c r="F4" i="11" s="1"/>
  <c r="F3" i="6"/>
  <c r="G7" i="3"/>
  <c r="G6" i="3"/>
  <c r="G5" i="3"/>
  <c r="F8" i="5" l="1"/>
  <c r="E8" i="5" s="1"/>
  <c r="F4" i="5"/>
  <c r="E4" i="5" s="1"/>
  <c r="F11" i="5"/>
  <c r="E4" i="11"/>
  <c r="F21" i="11"/>
  <c r="F22" i="11" s="1"/>
  <c r="F20" i="6"/>
  <c r="F19" i="6"/>
  <c r="F18" i="6"/>
  <c r="F17" i="6"/>
  <c r="F16" i="6"/>
  <c r="F14" i="6"/>
  <c r="F13" i="6"/>
  <c r="F12" i="6"/>
  <c r="F11" i="6" s="1"/>
  <c r="E11" i="6" s="1"/>
  <c r="F10" i="6"/>
  <c r="F9" i="6"/>
  <c r="F7" i="6"/>
  <c r="F6" i="6"/>
  <c r="F5" i="6"/>
  <c r="F17" i="5" l="1"/>
  <c r="F19" i="5" s="1"/>
  <c r="E11" i="5"/>
  <c r="F3" i="11"/>
  <c r="E3" i="11" s="1"/>
  <c r="F8" i="6"/>
  <c r="E8" i="6" s="1"/>
  <c r="F4" i="6"/>
  <c r="E4" i="6" s="1"/>
  <c r="F15" i="6"/>
  <c r="E15" i="6" s="1"/>
  <c r="F21" i="6" l="1"/>
  <c r="F22" i="6"/>
  <c r="E3" i="6" l="1"/>
  <c r="G8" i="3" l="1"/>
  <c r="F18" i="5"/>
  <c r="F3" i="5"/>
  <c r="E3" i="5" s="1"/>
</calcChain>
</file>

<file path=xl/sharedStrings.xml><?xml version="1.0" encoding="utf-8"?>
<sst xmlns="http://schemas.openxmlformats.org/spreadsheetml/2006/main" count="178" uniqueCount="71">
  <si>
    <t>Period</t>
  </si>
  <si>
    <t>CLIN</t>
  </si>
  <si>
    <t>Title</t>
  </si>
  <si>
    <t>0001</t>
  </si>
  <si>
    <t>Unit</t>
  </si>
  <si>
    <t>Extended Price</t>
  </si>
  <si>
    <t>Quantity</t>
  </si>
  <si>
    <t>Unit Price</t>
  </si>
  <si>
    <t>Months</t>
  </si>
  <si>
    <t>Base Year</t>
  </si>
  <si>
    <t>Option Year 1</t>
  </si>
  <si>
    <t>TOTAL CONTRACT VALUE:</t>
  </si>
  <si>
    <t>0001a</t>
  </si>
  <si>
    <t>FFP</t>
  </si>
  <si>
    <t>Weekly</t>
  </si>
  <si>
    <t>Pick-Up</t>
  </si>
  <si>
    <t>Each</t>
  </si>
  <si>
    <t>Overhead Percentage (insert number)</t>
  </si>
  <si>
    <t>Percent</t>
  </si>
  <si>
    <t>Delivery</t>
  </si>
  <si>
    <t>Description</t>
  </si>
  <si>
    <t>White Virgin Towels - 18x18 - See PWS 5.1.5</t>
  </si>
  <si>
    <t>Weekly charges</t>
  </si>
  <si>
    <t>Weeks</t>
  </si>
  <si>
    <t>FFP Total</t>
  </si>
  <si>
    <t xml:space="preserve"> Profit (insert number)</t>
  </si>
  <si>
    <t>Rental of White, Blue, &amp; Red Bath Towels</t>
  </si>
  <si>
    <t>Rental of Virgin Towels</t>
  </si>
  <si>
    <t>Towels/Wipes</t>
  </si>
  <si>
    <t xml:space="preserve">Price Sheet Instructions:  Each line item must be priced in order for proposed pricing to be considered complete.  Incomplete pricing may result in the government not making an award for this requirement. </t>
  </si>
  <si>
    <t>White Bath Towels - 24 x 48 IAW the PWS 5.1.1</t>
  </si>
  <si>
    <t>Blue Towels - 18x30 - See PWS 5.1.2</t>
  </si>
  <si>
    <t>Red Towels - 18x18 - See PWS 5.1.3</t>
  </si>
  <si>
    <t>18x18 1 time use virgin rags - See PWS 5.1.4</t>
  </si>
  <si>
    <t>White Bath Towels - 24 x 48 IAW the PWS 5.1.1 - 400 additional replacement towels annually</t>
  </si>
  <si>
    <t>Blue Towels - 18x30 - See PWS 5.1.2 - 8,000 additional replacements towels annually</t>
  </si>
  <si>
    <t>Red Towels - 18x18 - See PWS 5.1.3 - 1,200 additional replacements towels annually</t>
  </si>
  <si>
    <t>Rental of Gondolas (24) - See PWS 5.1.6</t>
  </si>
  <si>
    <t>Rental of Plastic Drums (50) - See PWS 5.1.7</t>
  </si>
  <si>
    <t>0002</t>
  </si>
  <si>
    <t>Option Year 2</t>
  </si>
  <si>
    <t>Rental and Laundering: Towels/Wipes  February 28, 2026 - February 27, 2027, IAW PWS</t>
  </si>
  <si>
    <t>Rental and Laundering: Towels/Wipes  February 28, 2027 - February 27, 2028, IAW PWS</t>
  </si>
  <si>
    <t>Rental and Laundering: Towels/Wipes  February 28, 2028 - February 27, 2029, IAW PWS</t>
  </si>
  <si>
    <t>BASE YEAR: February 26, 2026 - February 25, 2027</t>
  </si>
  <si>
    <t>Delivery of Annual Replacements</t>
  </si>
  <si>
    <t>Laundering of Towels</t>
  </si>
  <si>
    <t>2001a</t>
  </si>
  <si>
    <t>2001b</t>
  </si>
  <si>
    <t>2001c</t>
  </si>
  <si>
    <t>2001d</t>
  </si>
  <si>
    <t>2001e</t>
  </si>
  <si>
    <t>2001f</t>
  </si>
  <si>
    <t>OPTION YEAR 2: February 26, 2028 - February 25, 2029</t>
  </si>
  <si>
    <t>OPTION YEAR 1: February 26, 2027 - February 25, 2028</t>
  </si>
  <si>
    <t>Rental and Laundering Services for WCF: February 26, 2028 - February 25, 2029, IAW PWS</t>
  </si>
  <si>
    <t>1001a</t>
  </si>
  <si>
    <t>1001b</t>
  </si>
  <si>
    <t>1001c</t>
  </si>
  <si>
    <t>1001d</t>
  </si>
  <si>
    <t>1001e</t>
  </si>
  <si>
    <t>1001f</t>
  </si>
  <si>
    <t>0001b</t>
  </si>
  <si>
    <t>0001c</t>
  </si>
  <si>
    <t>0001d</t>
  </si>
  <si>
    <t>0001e</t>
  </si>
  <si>
    <t>Phase In/Out</t>
  </si>
  <si>
    <t>Profit (insert number)</t>
  </si>
  <si>
    <t>Phase In</t>
  </si>
  <si>
    <t>Blue Towels - 18x30 - See PWS 5.1.2 - 8,000 additional replacement towels annually</t>
  </si>
  <si>
    <t>Red Towels - 18x18 - See PWS 5.1.3 - 1,200 additional replacement towels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</si>
</sst>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/>
      <right/>
      <top/>
      <bottom style="medium">
        <color rgb="FF7030A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44" fontId="4" fillId="0" borderId="0" xfId="1" applyFont="1"/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4" fontId="5" fillId="0" borderId="0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7" fontId="8" fillId="0" borderId="1" xfId="0" applyNumberFormat="1" applyFont="1" applyBorder="1"/>
    <xf numFmtId="164" fontId="5" fillId="0" borderId="0" xfId="0" applyNumberFormat="1" applyFont="1"/>
    <xf numFmtId="7" fontId="4" fillId="0" borderId="0" xfId="0" applyNumberFormat="1" applyFont="1"/>
    <xf numFmtId="164" fontId="8" fillId="0" borderId="0" xfId="1" applyNumberFormat="1" applyFont="1" applyAlignment="1">
      <alignment horizontal="left" vertical="center"/>
    </xf>
    <xf numFmtId="0" fontId="4" fillId="0" borderId="0" xfId="0" applyFont="1" applyAlignment="1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7" fillId="4" borderId="1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wrapText="1"/>
    </xf>
    <xf numFmtId="3" fontId="5" fillId="0" borderId="1" xfId="0" applyNumberFormat="1" applyFont="1" applyBorder="1" applyAlignment="1">
      <alignment horizontal="center" vertical="center"/>
    </xf>
    <xf numFmtId="44" fontId="7" fillId="0" borderId="0" xfId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4" fontId="7" fillId="4" borderId="15" xfId="1" applyNumberFormat="1" applyFont="1" applyFill="1" applyBorder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wrapText="1"/>
    </xf>
    <xf numFmtId="3" fontId="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/>
    <xf numFmtId="9" fontId="7" fillId="4" borderId="13" xfId="3" applyFont="1" applyFill="1" applyBorder="1" applyAlignment="1">
      <alignment horizontal="right" vertical="center"/>
    </xf>
    <xf numFmtId="9" fontId="7" fillId="4" borderId="16" xfId="3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wrapText="1"/>
    </xf>
    <xf numFmtId="3" fontId="8" fillId="6" borderId="10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wrapText="1"/>
    </xf>
    <xf numFmtId="3" fontId="9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wrapText="1"/>
    </xf>
    <xf numFmtId="3" fontId="9" fillId="6" borderId="8" xfId="0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" xfId="0" applyFont="1" applyFill="1" applyBorder="1"/>
    <xf numFmtId="3" fontId="4" fillId="6" borderId="1" xfId="0" applyNumberFormat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/>
    <xf numFmtId="3" fontId="4" fillId="6" borderId="15" xfId="0" applyNumberFormat="1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44" fontId="7" fillId="4" borderId="6" xfId="1" applyNumberFormat="1" applyFont="1" applyFill="1" applyBorder="1" applyAlignment="1">
      <alignment horizontal="right" vertical="center"/>
    </xf>
    <xf numFmtId="44" fontId="7" fillId="4" borderId="20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wrapText="1"/>
    </xf>
    <xf numFmtId="3" fontId="9" fillId="0" borderId="15" xfId="0" applyNumberFormat="1" applyFon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3" fontId="5" fillId="6" borderId="8" xfId="0" applyNumberFormat="1" applyFont="1" applyFill="1" applyBorder="1" applyAlignment="1">
      <alignment horizontal="center" vertical="center"/>
    </xf>
    <xf numFmtId="44" fontId="4" fillId="0" borderId="3" xfId="0" applyNumberFormat="1" applyFont="1" applyBorder="1"/>
    <xf numFmtId="44" fontId="5" fillId="5" borderId="1" xfId="1" applyNumberFormat="1" applyFont="1" applyFill="1" applyBorder="1" applyAlignment="1">
      <alignment horizontal="center" vertical="center"/>
    </xf>
    <xf numFmtId="44" fontId="5" fillId="5" borderId="1" xfId="0" applyNumberFormat="1" applyFont="1" applyFill="1" applyBorder="1" applyAlignment="1">
      <alignment horizontal="center" vertical="center"/>
    </xf>
    <xf numFmtId="44" fontId="5" fillId="6" borderId="8" xfId="1" applyNumberFormat="1" applyFont="1" applyFill="1" applyBorder="1" applyAlignment="1">
      <alignment horizontal="center" vertical="center"/>
    </xf>
    <xf numFmtId="44" fontId="5" fillId="6" borderId="8" xfId="0" applyNumberFormat="1" applyFont="1" applyFill="1" applyBorder="1" applyAlignment="1">
      <alignment horizontal="center" vertical="center"/>
    </xf>
    <xf numFmtId="44" fontId="4" fillId="0" borderId="13" xfId="0" applyNumberFormat="1" applyFont="1" applyBorder="1"/>
    <xf numFmtId="44" fontId="4" fillId="0" borderId="16" xfId="0" applyNumberFormat="1" applyFont="1" applyBorder="1"/>
    <xf numFmtId="44" fontId="4" fillId="6" borderId="1" xfId="0" applyNumberFormat="1" applyFont="1" applyFill="1" applyBorder="1"/>
    <xf numFmtId="44" fontId="4" fillId="0" borderId="1" xfId="0" applyNumberFormat="1" applyFont="1" applyBorder="1"/>
    <xf numFmtId="44" fontId="4" fillId="0" borderId="22" xfId="0" applyNumberFormat="1" applyFont="1" applyBorder="1"/>
    <xf numFmtId="44" fontId="4" fillId="0" borderId="23" xfId="0" applyNumberFormat="1" applyFont="1" applyBorder="1"/>
    <xf numFmtId="44" fontId="4" fillId="0" borderId="5" xfId="0" applyNumberFormat="1" applyFont="1" applyBorder="1"/>
    <xf numFmtId="44" fontId="4" fillId="0" borderId="0" xfId="1" applyNumberFormat="1" applyFont="1"/>
    <xf numFmtId="44" fontId="4" fillId="0" borderId="0" xfId="0" applyNumberFormat="1" applyFont="1"/>
    <xf numFmtId="44" fontId="6" fillId="3" borderId="10" xfId="1" applyNumberFormat="1" applyFont="1" applyFill="1" applyBorder="1" applyAlignment="1">
      <alignment horizontal="right" vertical="center"/>
    </xf>
    <xf numFmtId="44" fontId="5" fillId="3" borderId="11" xfId="0" applyNumberFormat="1" applyFont="1" applyFill="1" applyBorder="1"/>
    <xf numFmtId="44" fontId="6" fillId="3" borderId="19" xfId="1" applyNumberFormat="1" applyFont="1" applyFill="1" applyBorder="1" applyAlignment="1">
      <alignment horizontal="right" vertical="center"/>
    </xf>
    <xf numFmtId="44" fontId="5" fillId="3" borderId="21" xfId="0" applyNumberFormat="1" applyFont="1" applyFill="1" applyBorder="1"/>
    <xf numFmtId="44" fontId="8" fillId="0" borderId="6" xfId="1" applyFont="1" applyBorder="1" applyAlignment="1">
      <alignment horizontal="right"/>
    </xf>
    <xf numFmtId="44" fontId="8" fillId="0" borderId="7" xfId="1" applyFont="1" applyBorder="1" applyAlignment="1">
      <alignment horizontal="right"/>
    </xf>
    <xf numFmtId="44" fontId="8" fillId="0" borderId="5" xfId="1" applyFont="1" applyBorder="1" applyAlignment="1">
      <alignment horizontal="right"/>
    </xf>
    <xf numFmtId="0" fontId="5" fillId="3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5" fillId="6" borderId="8" xfId="0" quotePrefix="1" applyFont="1" applyFill="1" applyBorder="1" applyAlignment="1">
      <alignment horizontal="center" vertical="center"/>
    </xf>
    <xf numFmtId="0" fontId="4" fillId="0" borderId="17" xfId="0" applyFont="1" applyBorder="1" applyAlignment="1"/>
    <xf numFmtId="0" fontId="4" fillId="0" borderId="18" xfId="0" applyFont="1" applyBorder="1" applyAlignment="1"/>
    <xf numFmtId="0" fontId="5" fillId="0" borderId="17" xfId="0" applyFont="1" applyBorder="1" applyAlignment="1"/>
    <xf numFmtId="0" fontId="5" fillId="0" borderId="18" xfId="0" applyFont="1" applyBorder="1" applyAlignment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0" borderId="18" xfId="0" quotePrefix="1" applyFont="1" applyBorder="1" applyAlignment="1">
      <alignment horizontal="center" vertical="center"/>
    </xf>
    <xf numFmtId="44" fontId="7" fillId="4" borderId="16" xfId="3" applyNumberFormat="1" applyFont="1" applyFill="1" applyBorder="1" applyAlignment="1">
      <alignment horizontal="right" vertic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Percent" xfId="3" builtinId="5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view="pageBreakPreview" zoomScaleNormal="100" zoomScaleSheetLayoutView="100" workbookViewId="0">
      <selection activeCell="G11" sqref="G11"/>
    </sheetView>
  </sheetViews>
  <sheetFormatPr defaultColWidth="9.1796875" defaultRowHeight="15.5" x14ac:dyDescent="0.35"/>
  <cols>
    <col min="1" max="1" width="16.1796875" style="2" customWidth="1"/>
    <col min="2" max="2" width="9" style="2" customWidth="1"/>
    <col min="3" max="3" width="87.36328125" style="2" bestFit="1" customWidth="1"/>
    <col min="4" max="4" width="14" style="3" customWidth="1"/>
    <col min="5" max="5" width="10.54296875" style="3" customWidth="1"/>
    <col min="6" max="6" width="13.08984375" style="4" customWidth="1"/>
    <col min="7" max="7" width="16.1796875" style="2" customWidth="1"/>
    <col min="8" max="8" width="16.26953125" style="2" customWidth="1"/>
    <col min="9" max="16384" width="9.1796875" style="2"/>
  </cols>
  <sheetData>
    <row r="1" spans="1:8" x14ac:dyDescent="0.35">
      <c r="A1" s="1" t="s">
        <v>28</v>
      </c>
    </row>
    <row r="2" spans="1:8" ht="35.15" customHeight="1" thickBot="1" x14ac:dyDescent="0.4">
      <c r="A2" s="94" t="s">
        <v>29</v>
      </c>
      <c r="B2" s="95"/>
      <c r="C2" s="95"/>
      <c r="D2" s="95"/>
      <c r="E2" s="95"/>
      <c r="F2" s="95"/>
      <c r="G2" s="95"/>
    </row>
    <row r="3" spans="1:8" x14ac:dyDescent="0.35">
      <c r="A3" s="5" t="s">
        <v>0</v>
      </c>
      <c r="B3" s="6" t="s">
        <v>1</v>
      </c>
      <c r="C3" s="6" t="s">
        <v>20</v>
      </c>
      <c r="D3" s="6" t="s">
        <v>6</v>
      </c>
      <c r="E3" s="6" t="s">
        <v>4</v>
      </c>
      <c r="F3" s="7" t="s">
        <v>7</v>
      </c>
      <c r="G3" s="8" t="s">
        <v>5</v>
      </c>
      <c r="H3" s="3"/>
    </row>
    <row r="4" spans="1:8" x14ac:dyDescent="0.35">
      <c r="A4" s="17" t="s">
        <v>9</v>
      </c>
      <c r="B4" s="9" t="s">
        <v>3</v>
      </c>
      <c r="C4" s="10" t="s">
        <v>41</v>
      </c>
      <c r="D4" s="11">
        <v>12</v>
      </c>
      <c r="E4" s="11" t="s">
        <v>8</v>
      </c>
      <c r="F4" s="25">
        <v>0</v>
      </c>
      <c r="G4" s="73">
        <f>D4*F4</f>
        <v>0</v>
      </c>
    </row>
    <row r="5" spans="1:8" x14ac:dyDescent="0.35">
      <c r="A5" s="17" t="s">
        <v>9</v>
      </c>
      <c r="B5" s="9" t="s">
        <v>39</v>
      </c>
      <c r="C5" s="10" t="s">
        <v>68</v>
      </c>
      <c r="D5" s="11">
        <v>1</v>
      </c>
      <c r="E5" s="11" t="s">
        <v>16</v>
      </c>
      <c r="F5" s="25">
        <v>0</v>
      </c>
      <c r="G5" s="73">
        <f>D5*F5</f>
        <v>0</v>
      </c>
      <c r="H5" s="18"/>
    </row>
    <row r="6" spans="1:8" x14ac:dyDescent="0.35">
      <c r="A6" s="17" t="s">
        <v>10</v>
      </c>
      <c r="B6" s="9">
        <v>1001</v>
      </c>
      <c r="C6" s="10" t="s">
        <v>42</v>
      </c>
      <c r="D6" s="11">
        <v>12</v>
      </c>
      <c r="E6" s="11" t="s">
        <v>8</v>
      </c>
      <c r="F6" s="25">
        <v>0</v>
      </c>
      <c r="G6" s="73">
        <f>D6*F6</f>
        <v>0</v>
      </c>
      <c r="H6" s="18"/>
    </row>
    <row r="7" spans="1:8" x14ac:dyDescent="0.35">
      <c r="A7" s="17" t="s">
        <v>40</v>
      </c>
      <c r="B7" s="9">
        <v>2001</v>
      </c>
      <c r="C7" s="10" t="s">
        <v>43</v>
      </c>
      <c r="D7" s="11">
        <v>12</v>
      </c>
      <c r="E7" s="11" t="s">
        <v>8</v>
      </c>
      <c r="F7" s="25">
        <v>0</v>
      </c>
      <c r="G7" s="73">
        <f>D7*F7</f>
        <v>0</v>
      </c>
    </row>
    <row r="8" spans="1:8" x14ac:dyDescent="0.35">
      <c r="A8" s="91" t="s">
        <v>11</v>
      </c>
      <c r="B8" s="92"/>
      <c r="C8" s="92"/>
      <c r="D8" s="92"/>
      <c r="E8" s="92"/>
      <c r="F8" s="93"/>
      <c r="G8" s="12">
        <f>SUM(G5:G7)</f>
        <v>0</v>
      </c>
    </row>
    <row r="9" spans="1:8" x14ac:dyDescent="0.35">
      <c r="G9" s="13"/>
    </row>
    <row r="10" spans="1:8" x14ac:dyDescent="0.35">
      <c r="G10" s="14"/>
    </row>
    <row r="11" spans="1:8" x14ac:dyDescent="0.35">
      <c r="G11" s="14"/>
    </row>
    <row r="12" spans="1:8" x14ac:dyDescent="0.35">
      <c r="G12" s="14"/>
    </row>
    <row r="13" spans="1:8" x14ac:dyDescent="0.35">
      <c r="G13" s="14"/>
    </row>
    <row r="14" spans="1:8" x14ac:dyDescent="0.35">
      <c r="G14" s="14"/>
    </row>
    <row r="36" spans="3:3" x14ac:dyDescent="0.35">
      <c r="C36" s="15"/>
    </row>
  </sheetData>
  <mergeCells count="2">
    <mergeCell ref="A8:F8"/>
    <mergeCell ref="A2:G2"/>
  </mergeCells>
  <printOptions gridLines="1"/>
  <pageMargins left="0.7" right="0.7" top="0.75" bottom="0.75" header="0.3" footer="0.3"/>
  <pageSetup scale="73" orientation="landscape" r:id="rId1"/>
  <headerFooter>
    <oddHeader>&amp;A</oddHeader>
    <oddFooter>&amp;C&amp;F&amp;R&amp;D</oddFooter>
  </headerFooter>
  <ignoredErrors>
    <ignoredError sqref="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9"/>
  <sheetViews>
    <sheetView view="pageBreakPreview" zoomScaleNormal="100" zoomScaleSheetLayoutView="100" workbookViewId="0">
      <selection activeCell="B15" sqref="B15"/>
    </sheetView>
  </sheetViews>
  <sheetFormatPr defaultColWidth="9.1796875" defaultRowHeight="15.5" x14ac:dyDescent="0.35"/>
  <cols>
    <col min="1" max="1" width="16.453125" style="2" bestFit="1" customWidth="1"/>
    <col min="2" max="2" width="89.26953125" style="2" bestFit="1" customWidth="1"/>
    <col min="3" max="3" width="14" style="3" customWidth="1"/>
    <col min="4" max="4" width="10.54296875" style="3" customWidth="1"/>
    <col min="5" max="5" width="17" style="4" bestFit="1" customWidth="1"/>
    <col min="6" max="6" width="21.1796875" style="4" bestFit="1" customWidth="1"/>
    <col min="7" max="7" width="16.26953125" style="2" customWidth="1"/>
    <col min="8" max="16384" width="9.1796875" style="2"/>
  </cols>
  <sheetData>
    <row r="1" spans="1:8" x14ac:dyDescent="0.35">
      <c r="A1" s="96" t="s">
        <v>44</v>
      </c>
      <c r="B1" s="96"/>
      <c r="C1" s="96"/>
      <c r="D1" s="96"/>
      <c r="E1" s="96"/>
      <c r="F1" s="96"/>
      <c r="G1" s="16"/>
      <c r="H1" s="16"/>
    </row>
    <row r="2" spans="1:8" x14ac:dyDescent="0.35">
      <c r="A2" s="41" t="s">
        <v>1</v>
      </c>
      <c r="B2" s="41" t="s">
        <v>2</v>
      </c>
      <c r="C2" s="42" t="s">
        <v>6</v>
      </c>
      <c r="D2" s="41" t="s">
        <v>4</v>
      </c>
      <c r="E2" s="74" t="s">
        <v>13</v>
      </c>
      <c r="F2" s="75" t="s">
        <v>24</v>
      </c>
      <c r="G2" s="18"/>
    </row>
    <row r="3" spans="1:8" ht="16" thickBot="1" x14ac:dyDescent="0.4">
      <c r="A3" s="97" t="s">
        <v>3</v>
      </c>
      <c r="B3" s="108" t="s">
        <v>55</v>
      </c>
      <c r="C3" s="72">
        <v>12</v>
      </c>
      <c r="D3" s="71" t="s">
        <v>8</v>
      </c>
      <c r="E3" s="76" t="e">
        <f>F3/C3</f>
        <v>#REF!</v>
      </c>
      <c r="F3" s="77" t="e">
        <f>SUM(F4:F19)</f>
        <v>#REF!</v>
      </c>
    </row>
    <row r="4" spans="1:8" x14ac:dyDescent="0.35">
      <c r="A4" s="65" t="s">
        <v>12</v>
      </c>
      <c r="B4" s="66" t="s">
        <v>26</v>
      </c>
      <c r="C4" s="67">
        <v>52</v>
      </c>
      <c r="D4" s="36" t="s">
        <v>23</v>
      </c>
      <c r="E4" s="87">
        <f>F4/52</f>
        <v>0</v>
      </c>
      <c r="F4" s="88">
        <f>SUM(F5:F7)*52</f>
        <v>0</v>
      </c>
    </row>
    <row r="5" spans="1:8" x14ac:dyDescent="0.35">
      <c r="A5" s="29"/>
      <c r="B5" s="23" t="s">
        <v>30</v>
      </c>
      <c r="C5" s="20">
        <v>1000</v>
      </c>
      <c r="D5" s="21" t="s">
        <v>16</v>
      </c>
      <c r="E5" s="22"/>
      <c r="F5" s="78">
        <f>E5*C5</f>
        <v>0</v>
      </c>
    </row>
    <row r="6" spans="1:8" x14ac:dyDescent="0.35">
      <c r="A6" s="29"/>
      <c r="B6" s="23" t="s">
        <v>31</v>
      </c>
      <c r="C6" s="20">
        <v>11000</v>
      </c>
      <c r="D6" s="21" t="s">
        <v>16</v>
      </c>
      <c r="E6" s="22"/>
      <c r="F6" s="78">
        <f>E6*C6</f>
        <v>0</v>
      </c>
    </row>
    <row r="7" spans="1:8" ht="16" thickBot="1" x14ac:dyDescent="0.4">
      <c r="A7" s="68"/>
      <c r="B7" s="69" t="s">
        <v>32</v>
      </c>
      <c r="C7" s="70">
        <v>600</v>
      </c>
      <c r="D7" s="31" t="s">
        <v>16</v>
      </c>
      <c r="E7" s="32"/>
      <c r="F7" s="79">
        <f>E7*C7</f>
        <v>0</v>
      </c>
    </row>
    <row r="8" spans="1:8" x14ac:dyDescent="0.35">
      <c r="A8" s="43" t="s">
        <v>62</v>
      </c>
      <c r="B8" s="44" t="s">
        <v>27</v>
      </c>
      <c r="C8" s="45">
        <v>52</v>
      </c>
      <c r="D8" s="46" t="s">
        <v>23</v>
      </c>
      <c r="E8" s="87">
        <f>F8/52</f>
        <v>0</v>
      </c>
      <c r="F8" s="88">
        <f>SUM(F9:F10)*52</f>
        <v>0</v>
      </c>
    </row>
    <row r="9" spans="1:8" x14ac:dyDescent="0.35">
      <c r="A9" s="47"/>
      <c r="B9" s="48" t="s">
        <v>21</v>
      </c>
      <c r="C9" s="49">
        <v>10000</v>
      </c>
      <c r="D9" s="50" t="s">
        <v>16</v>
      </c>
      <c r="E9" s="22"/>
      <c r="F9" s="80">
        <f>C9*E9</f>
        <v>0</v>
      </c>
    </row>
    <row r="10" spans="1:8" ht="16" thickBot="1" x14ac:dyDescent="0.4">
      <c r="A10" s="47"/>
      <c r="B10" s="48" t="s">
        <v>33</v>
      </c>
      <c r="C10" s="49">
        <v>1200</v>
      </c>
      <c r="D10" s="50" t="s">
        <v>16</v>
      </c>
      <c r="E10" s="22"/>
      <c r="F10" s="80">
        <f>E10*C10</f>
        <v>0</v>
      </c>
    </row>
    <row r="11" spans="1:8" x14ac:dyDescent="0.35">
      <c r="A11" s="43" t="s">
        <v>63</v>
      </c>
      <c r="B11" s="44" t="s">
        <v>22</v>
      </c>
      <c r="C11" s="45">
        <v>52</v>
      </c>
      <c r="D11" s="46" t="s">
        <v>23</v>
      </c>
      <c r="E11" s="89">
        <f>F11/52</f>
        <v>0</v>
      </c>
      <c r="F11" s="90">
        <f>SUM(F12:F16)</f>
        <v>0</v>
      </c>
    </row>
    <row r="12" spans="1:8" x14ac:dyDescent="0.35">
      <c r="A12" s="47"/>
      <c r="B12" s="48" t="s">
        <v>37</v>
      </c>
      <c r="C12" s="49">
        <v>52</v>
      </c>
      <c r="D12" s="50" t="s">
        <v>23</v>
      </c>
      <c r="E12" s="63">
        <v>0</v>
      </c>
      <c r="F12" s="82">
        <f>E12*C12</f>
        <v>0</v>
      </c>
    </row>
    <row r="13" spans="1:8" x14ac:dyDescent="0.35">
      <c r="A13" s="51"/>
      <c r="B13" s="52" t="s">
        <v>38</v>
      </c>
      <c r="C13" s="53">
        <v>52</v>
      </c>
      <c r="D13" s="54" t="s">
        <v>23</v>
      </c>
      <c r="E13" s="63">
        <v>0</v>
      </c>
      <c r="F13" s="82">
        <f t="shared" ref="F13:F14" si="0">E13*C13</f>
        <v>0</v>
      </c>
    </row>
    <row r="14" spans="1:8" x14ac:dyDescent="0.35">
      <c r="A14" s="55"/>
      <c r="B14" s="48" t="s">
        <v>46</v>
      </c>
      <c r="C14" s="49">
        <v>52</v>
      </c>
      <c r="D14" s="50" t="s">
        <v>23</v>
      </c>
      <c r="E14" s="63">
        <v>0</v>
      </c>
      <c r="F14" s="82">
        <f t="shared" si="0"/>
        <v>0</v>
      </c>
    </row>
    <row r="15" spans="1:8" x14ac:dyDescent="0.35">
      <c r="A15" s="56"/>
      <c r="B15" s="57" t="s">
        <v>15</v>
      </c>
      <c r="C15" s="58">
        <v>52</v>
      </c>
      <c r="D15" s="50" t="s">
        <v>14</v>
      </c>
      <c r="E15" s="63">
        <v>0</v>
      </c>
      <c r="F15" s="82">
        <f>E15*C15</f>
        <v>0</v>
      </c>
    </row>
    <row r="16" spans="1:8" ht="16" thickBot="1" x14ac:dyDescent="0.4">
      <c r="A16" s="59"/>
      <c r="B16" s="60" t="s">
        <v>19</v>
      </c>
      <c r="C16" s="61">
        <v>52</v>
      </c>
      <c r="D16" s="62" t="s">
        <v>14</v>
      </c>
      <c r="E16" s="64">
        <v>0</v>
      </c>
      <c r="F16" s="83">
        <f>E16*C16</f>
        <v>0</v>
      </c>
    </row>
    <row r="17" spans="1:6" x14ac:dyDescent="0.35">
      <c r="A17" s="104" t="s">
        <v>64</v>
      </c>
      <c r="B17" s="98" t="s">
        <v>17</v>
      </c>
      <c r="C17" s="20">
        <v>1</v>
      </c>
      <c r="D17" s="21" t="s">
        <v>18</v>
      </c>
      <c r="E17" s="38">
        <v>0</v>
      </c>
      <c r="F17" s="84" t="e">
        <f>SUM(F4,F8,#REF!,F11)*E17</f>
        <v>#REF!</v>
      </c>
    </row>
    <row r="18" spans="1:6" ht="16" thickBot="1" x14ac:dyDescent="0.4">
      <c r="A18" s="105" t="s">
        <v>65</v>
      </c>
      <c r="B18" s="99" t="s">
        <v>67</v>
      </c>
      <c r="C18" s="30">
        <v>1</v>
      </c>
      <c r="D18" s="31" t="s">
        <v>18</v>
      </c>
      <c r="E18" s="39">
        <v>0</v>
      </c>
      <c r="F18" s="84" t="e">
        <f>SUM(F3,F7,F10,#REF!,F16)*E18</f>
        <v>#REF!</v>
      </c>
    </row>
    <row r="19" spans="1:6" ht="16" thickBot="1" x14ac:dyDescent="0.4">
      <c r="A19" s="109" t="s">
        <v>39</v>
      </c>
      <c r="B19" s="101" t="s">
        <v>66</v>
      </c>
      <c r="C19" s="106">
        <v>1</v>
      </c>
      <c r="D19" s="107" t="s">
        <v>16</v>
      </c>
      <c r="E19" s="110">
        <v>0</v>
      </c>
      <c r="F19" s="84" t="e">
        <f>SUM(F4,F8,#REF!,F11,F17)*E19</f>
        <v>#REF!</v>
      </c>
    </row>
  </sheetData>
  <mergeCells count="1">
    <mergeCell ref="A1:F1"/>
  </mergeCells>
  <printOptions gridLines="1"/>
  <pageMargins left="0.7" right="0.7" top="0.75" bottom="0.75" header="0.3" footer="0.3"/>
  <pageSetup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42C4-E852-4E9E-BBCE-723A399270F6}">
  <sheetPr>
    <pageSetUpPr fitToPage="1"/>
  </sheetPr>
  <dimension ref="A1:H22"/>
  <sheetViews>
    <sheetView view="pageBreakPreview" zoomScaleNormal="100" zoomScaleSheetLayoutView="100" workbookViewId="0">
      <selection activeCell="B13" sqref="B13:B14"/>
    </sheetView>
  </sheetViews>
  <sheetFormatPr defaultColWidth="9.1796875" defaultRowHeight="15.5" x14ac:dyDescent="0.35"/>
  <cols>
    <col min="1" max="1" width="16.453125" style="2" bestFit="1" customWidth="1"/>
    <col min="2" max="2" width="86.6328125" style="2" customWidth="1"/>
    <col min="3" max="3" width="14" style="18" customWidth="1"/>
    <col min="4" max="4" width="10.54296875" style="18" customWidth="1"/>
    <col min="5" max="5" width="17" style="85" bestFit="1" customWidth="1"/>
    <col min="6" max="6" width="21.1796875" style="86" bestFit="1" customWidth="1"/>
    <col min="7" max="7" width="16.26953125" style="2" customWidth="1"/>
    <col min="8" max="16384" width="9.1796875" style="2"/>
  </cols>
  <sheetData>
    <row r="1" spans="1:8" x14ac:dyDescent="0.35">
      <c r="A1" s="96" t="s">
        <v>54</v>
      </c>
      <c r="B1" s="96"/>
      <c r="C1" s="96"/>
      <c r="D1" s="96"/>
      <c r="E1" s="96"/>
      <c r="F1" s="96"/>
      <c r="G1" s="16"/>
      <c r="H1" s="16"/>
    </row>
    <row r="2" spans="1:8" s="37" customFormat="1" ht="15" x14ac:dyDescent="0.3">
      <c r="A2" s="41" t="s">
        <v>1</v>
      </c>
      <c r="B2" s="41" t="s">
        <v>2</v>
      </c>
      <c r="C2" s="42" t="s">
        <v>6</v>
      </c>
      <c r="D2" s="41" t="s">
        <v>4</v>
      </c>
      <c r="E2" s="74" t="s">
        <v>13</v>
      </c>
      <c r="F2" s="75" t="s">
        <v>24</v>
      </c>
      <c r="G2" s="40"/>
    </row>
    <row r="3" spans="1:8" s="37" customFormat="1" thickBot="1" x14ac:dyDescent="0.35">
      <c r="A3" s="71">
        <v>1001</v>
      </c>
      <c r="B3" s="108" t="s">
        <v>55</v>
      </c>
      <c r="C3" s="72">
        <v>12</v>
      </c>
      <c r="D3" s="71" t="s">
        <v>8</v>
      </c>
      <c r="E3" s="76">
        <f>F3/C3</f>
        <v>0</v>
      </c>
      <c r="F3" s="77">
        <f>SUM(F4:F22)</f>
        <v>0</v>
      </c>
      <c r="G3" s="40"/>
    </row>
    <row r="4" spans="1:8" x14ac:dyDescent="0.35">
      <c r="A4" s="65" t="s">
        <v>56</v>
      </c>
      <c r="B4" s="66" t="s">
        <v>26</v>
      </c>
      <c r="C4" s="67">
        <v>52</v>
      </c>
      <c r="D4" s="36" t="s">
        <v>23</v>
      </c>
      <c r="E4" s="87">
        <f>F4/52</f>
        <v>0</v>
      </c>
      <c r="F4" s="88">
        <f>SUM(F5:F7)*52</f>
        <v>0</v>
      </c>
    </row>
    <row r="5" spans="1:8" x14ac:dyDescent="0.35">
      <c r="A5" s="29"/>
      <c r="B5" s="23" t="s">
        <v>30</v>
      </c>
      <c r="C5" s="20">
        <v>1000</v>
      </c>
      <c r="D5" s="21" t="s">
        <v>16</v>
      </c>
      <c r="E5" s="22"/>
      <c r="F5" s="78">
        <f>E5*C5</f>
        <v>0</v>
      </c>
    </row>
    <row r="6" spans="1:8" x14ac:dyDescent="0.35">
      <c r="A6" s="29"/>
      <c r="B6" s="23" t="s">
        <v>31</v>
      </c>
      <c r="C6" s="20">
        <v>11000</v>
      </c>
      <c r="D6" s="21" t="s">
        <v>16</v>
      </c>
      <c r="E6" s="22"/>
      <c r="F6" s="78">
        <f>E6*C6</f>
        <v>0</v>
      </c>
    </row>
    <row r="7" spans="1:8" ht="16" thickBot="1" x14ac:dyDescent="0.4">
      <c r="A7" s="68"/>
      <c r="B7" s="69" t="s">
        <v>32</v>
      </c>
      <c r="C7" s="70">
        <v>600</v>
      </c>
      <c r="D7" s="31" t="s">
        <v>16</v>
      </c>
      <c r="E7" s="32"/>
      <c r="F7" s="79">
        <f>E7*C7</f>
        <v>0</v>
      </c>
    </row>
    <row r="8" spans="1:8" x14ac:dyDescent="0.35">
      <c r="A8" s="43" t="s">
        <v>57</v>
      </c>
      <c r="B8" s="44" t="s">
        <v>27</v>
      </c>
      <c r="C8" s="45">
        <v>52</v>
      </c>
      <c r="D8" s="46" t="s">
        <v>23</v>
      </c>
      <c r="E8" s="87">
        <f>F8/52</f>
        <v>0</v>
      </c>
      <c r="F8" s="88">
        <f>SUM(F9:F10)*52</f>
        <v>0</v>
      </c>
    </row>
    <row r="9" spans="1:8" x14ac:dyDescent="0.35">
      <c r="A9" s="47"/>
      <c r="B9" s="48" t="s">
        <v>21</v>
      </c>
      <c r="C9" s="49">
        <v>10000</v>
      </c>
      <c r="D9" s="50" t="s">
        <v>16</v>
      </c>
      <c r="E9" s="22"/>
      <c r="F9" s="80">
        <f>C9*E9</f>
        <v>0</v>
      </c>
    </row>
    <row r="10" spans="1:8" ht="16" thickBot="1" x14ac:dyDescent="0.4">
      <c r="A10" s="47"/>
      <c r="B10" s="48" t="s">
        <v>33</v>
      </c>
      <c r="C10" s="49">
        <v>1200</v>
      </c>
      <c r="D10" s="50" t="s">
        <v>16</v>
      </c>
      <c r="E10" s="22"/>
      <c r="F10" s="80">
        <f>E10*C10</f>
        <v>0</v>
      </c>
    </row>
    <row r="11" spans="1:8" ht="15" customHeight="1" x14ac:dyDescent="0.35">
      <c r="A11" s="33" t="s">
        <v>58</v>
      </c>
      <c r="B11" s="34" t="s">
        <v>45</v>
      </c>
      <c r="C11" s="35">
        <v>52</v>
      </c>
      <c r="D11" s="36" t="s">
        <v>23</v>
      </c>
      <c r="E11" s="87">
        <f>F11/52</f>
        <v>0</v>
      </c>
      <c r="F11" s="88">
        <f>SUM(F12:F14)*52</f>
        <v>0</v>
      </c>
    </row>
    <row r="12" spans="1:8" x14ac:dyDescent="0.35">
      <c r="A12" s="21"/>
      <c r="B12" s="23" t="s">
        <v>34</v>
      </c>
      <c r="C12" s="20">
        <v>400</v>
      </c>
      <c r="D12" s="21" t="s">
        <v>16</v>
      </c>
      <c r="E12" s="22">
        <v>0</v>
      </c>
      <c r="F12" s="81">
        <f>E12*C12</f>
        <v>0</v>
      </c>
    </row>
    <row r="13" spans="1:8" x14ac:dyDescent="0.35">
      <c r="A13" s="26"/>
      <c r="B13" s="23" t="s">
        <v>69</v>
      </c>
      <c r="C13" s="28">
        <v>8000</v>
      </c>
      <c r="D13" s="21" t="s">
        <v>16</v>
      </c>
      <c r="E13" s="22">
        <v>0</v>
      </c>
      <c r="F13" s="81">
        <f>E13*C13</f>
        <v>0</v>
      </c>
    </row>
    <row r="14" spans="1:8" s="37" customFormat="1" ht="16" thickBot="1" x14ac:dyDescent="0.4">
      <c r="A14" s="26"/>
      <c r="B14" s="27" t="s">
        <v>70</v>
      </c>
      <c r="C14" s="28">
        <v>1200</v>
      </c>
      <c r="D14" s="21" t="s">
        <v>16</v>
      </c>
      <c r="E14" s="22">
        <v>0</v>
      </c>
      <c r="F14" s="81">
        <f>E14*C14</f>
        <v>0</v>
      </c>
    </row>
    <row r="15" spans="1:8" s="37" customFormat="1" ht="15" x14ac:dyDescent="0.3">
      <c r="A15" s="43" t="s">
        <v>59</v>
      </c>
      <c r="B15" s="44" t="s">
        <v>22</v>
      </c>
      <c r="C15" s="45">
        <v>52</v>
      </c>
      <c r="D15" s="46" t="s">
        <v>23</v>
      </c>
      <c r="E15" s="89">
        <f>F15/52</f>
        <v>0</v>
      </c>
      <c r="F15" s="90">
        <f>SUM(F16:F20)</f>
        <v>0</v>
      </c>
    </row>
    <row r="16" spans="1:8" s="37" customFormat="1" x14ac:dyDescent="0.35">
      <c r="A16" s="47"/>
      <c r="B16" s="48" t="s">
        <v>37</v>
      </c>
      <c r="C16" s="49">
        <v>52</v>
      </c>
      <c r="D16" s="50" t="s">
        <v>23</v>
      </c>
      <c r="E16" s="63">
        <v>0</v>
      </c>
      <c r="F16" s="82">
        <f>E16*C16</f>
        <v>0</v>
      </c>
    </row>
    <row r="17" spans="1:6" x14ac:dyDescent="0.35">
      <c r="A17" s="51"/>
      <c r="B17" s="52" t="s">
        <v>38</v>
      </c>
      <c r="C17" s="53">
        <v>52</v>
      </c>
      <c r="D17" s="54" t="s">
        <v>23</v>
      </c>
      <c r="E17" s="63">
        <v>0</v>
      </c>
      <c r="F17" s="82">
        <f t="shared" ref="F17:F18" si="0">E17*C17</f>
        <v>0</v>
      </c>
    </row>
    <row r="18" spans="1:6" x14ac:dyDescent="0.35">
      <c r="A18" s="55"/>
      <c r="B18" s="48" t="s">
        <v>46</v>
      </c>
      <c r="C18" s="49">
        <v>52</v>
      </c>
      <c r="D18" s="50" t="s">
        <v>23</v>
      </c>
      <c r="E18" s="63">
        <v>0</v>
      </c>
      <c r="F18" s="82">
        <f t="shared" si="0"/>
        <v>0</v>
      </c>
    </row>
    <row r="19" spans="1:6" x14ac:dyDescent="0.35">
      <c r="A19" s="56"/>
      <c r="B19" s="57" t="s">
        <v>15</v>
      </c>
      <c r="C19" s="58">
        <v>52</v>
      </c>
      <c r="D19" s="50" t="s">
        <v>14</v>
      </c>
      <c r="E19" s="63">
        <v>0</v>
      </c>
      <c r="F19" s="82">
        <f>E19*C19</f>
        <v>0</v>
      </c>
    </row>
    <row r="20" spans="1:6" s="37" customFormat="1" ht="16" thickBot="1" x14ac:dyDescent="0.4">
      <c r="A20" s="59"/>
      <c r="B20" s="60" t="s">
        <v>19</v>
      </c>
      <c r="C20" s="61">
        <v>52</v>
      </c>
      <c r="D20" s="62" t="s">
        <v>14</v>
      </c>
      <c r="E20" s="64">
        <v>0</v>
      </c>
      <c r="F20" s="83">
        <f>E20*C20</f>
        <v>0</v>
      </c>
    </row>
    <row r="21" spans="1:6" x14ac:dyDescent="0.35">
      <c r="A21" s="102" t="s">
        <v>60</v>
      </c>
      <c r="B21" s="100" t="s">
        <v>17</v>
      </c>
      <c r="C21" s="24">
        <v>1</v>
      </c>
      <c r="D21" s="19" t="s">
        <v>18</v>
      </c>
      <c r="E21" s="38">
        <v>0</v>
      </c>
      <c r="F21" s="84">
        <f>SUM(F4,F8,F11,F15)*E21</f>
        <v>0</v>
      </c>
    </row>
    <row r="22" spans="1:6" ht="16" thickBot="1" x14ac:dyDescent="0.4">
      <c r="A22" s="103" t="s">
        <v>61</v>
      </c>
      <c r="B22" s="101" t="s">
        <v>25</v>
      </c>
      <c r="C22" s="106">
        <v>1</v>
      </c>
      <c r="D22" s="107" t="s">
        <v>18</v>
      </c>
      <c r="E22" s="39">
        <v>0</v>
      </c>
      <c r="F22" s="84">
        <f>SUM(F4,F8,F11,F15,F21)*E22</f>
        <v>0</v>
      </c>
    </row>
  </sheetData>
  <mergeCells count="1">
    <mergeCell ref="A1:F1"/>
  </mergeCells>
  <printOptions gridLines="1"/>
  <pageMargins left="0.7" right="0.7" top="0.75" bottom="0.75" header="0.3" footer="0.3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AB01-4237-4D2D-B6E6-5C56BFEB7AA2}">
  <sheetPr>
    <pageSetUpPr fitToPage="1"/>
  </sheetPr>
  <dimension ref="A1:H22"/>
  <sheetViews>
    <sheetView tabSelected="1" view="pageBreakPreview" zoomScaleNormal="100" zoomScaleSheetLayoutView="100" workbookViewId="0">
      <selection activeCell="E16" sqref="E16"/>
    </sheetView>
  </sheetViews>
  <sheetFormatPr defaultColWidth="9.1796875" defaultRowHeight="15.5" x14ac:dyDescent="0.35"/>
  <cols>
    <col min="1" max="1" width="16.453125" style="2" bestFit="1" customWidth="1"/>
    <col min="2" max="2" width="86.36328125" style="2" customWidth="1"/>
    <col min="3" max="3" width="14" style="18" customWidth="1"/>
    <col min="4" max="4" width="10.54296875" style="18" customWidth="1"/>
    <col min="5" max="5" width="17" style="4" bestFit="1" customWidth="1"/>
    <col min="6" max="6" width="21.1796875" style="4" bestFit="1" customWidth="1"/>
    <col min="7" max="7" width="16.26953125" style="2" customWidth="1"/>
    <col min="8" max="16384" width="9.1796875" style="2"/>
  </cols>
  <sheetData>
    <row r="1" spans="1:8" x14ac:dyDescent="0.35">
      <c r="A1" s="96" t="s">
        <v>53</v>
      </c>
      <c r="B1" s="96"/>
      <c r="C1" s="96"/>
      <c r="D1" s="96"/>
      <c r="E1" s="96"/>
      <c r="F1" s="96"/>
      <c r="G1" s="16"/>
      <c r="H1" s="16"/>
    </row>
    <row r="2" spans="1:8" x14ac:dyDescent="0.35">
      <c r="A2" s="41" t="s">
        <v>1</v>
      </c>
      <c r="B2" s="41" t="s">
        <v>2</v>
      </c>
      <c r="C2" s="42" t="s">
        <v>6</v>
      </c>
      <c r="D2" s="41" t="s">
        <v>4</v>
      </c>
      <c r="E2" s="74" t="s">
        <v>13</v>
      </c>
      <c r="F2" s="75" t="s">
        <v>24</v>
      </c>
      <c r="G2" s="18"/>
    </row>
    <row r="3" spans="1:8" ht="16" thickBot="1" x14ac:dyDescent="0.4">
      <c r="A3" s="71">
        <v>2001</v>
      </c>
      <c r="B3" s="108" t="s">
        <v>55</v>
      </c>
      <c r="C3" s="72">
        <v>12</v>
      </c>
      <c r="D3" s="71" t="s">
        <v>8</v>
      </c>
      <c r="E3" s="76">
        <f>F3/C3</f>
        <v>0</v>
      </c>
      <c r="F3" s="77">
        <f>SUM(F4:F22)</f>
        <v>0</v>
      </c>
      <c r="G3" s="18"/>
    </row>
    <row r="4" spans="1:8" x14ac:dyDescent="0.35">
      <c r="A4" s="65" t="s">
        <v>47</v>
      </c>
      <c r="B4" s="66" t="s">
        <v>26</v>
      </c>
      <c r="C4" s="67">
        <v>52</v>
      </c>
      <c r="D4" s="36" t="s">
        <v>23</v>
      </c>
      <c r="E4" s="87">
        <f>F4/52</f>
        <v>0</v>
      </c>
      <c r="F4" s="88">
        <f>SUM(F5:F7)*52</f>
        <v>0</v>
      </c>
    </row>
    <row r="5" spans="1:8" x14ac:dyDescent="0.35">
      <c r="A5" s="29"/>
      <c r="B5" s="23" t="s">
        <v>30</v>
      </c>
      <c r="C5" s="20">
        <v>1000</v>
      </c>
      <c r="D5" s="21" t="s">
        <v>16</v>
      </c>
      <c r="E5" s="22"/>
      <c r="F5" s="78">
        <f>E5*C5</f>
        <v>0</v>
      </c>
    </row>
    <row r="6" spans="1:8" x14ac:dyDescent="0.35">
      <c r="A6" s="29"/>
      <c r="B6" s="23" t="s">
        <v>31</v>
      </c>
      <c r="C6" s="20">
        <v>11000</v>
      </c>
      <c r="D6" s="21" t="s">
        <v>16</v>
      </c>
      <c r="E6" s="22"/>
      <c r="F6" s="78">
        <f>E6*C6</f>
        <v>0</v>
      </c>
    </row>
    <row r="7" spans="1:8" ht="16" thickBot="1" x14ac:dyDescent="0.4">
      <c r="A7" s="68"/>
      <c r="B7" s="69" t="s">
        <v>32</v>
      </c>
      <c r="C7" s="70">
        <v>600</v>
      </c>
      <c r="D7" s="31" t="s">
        <v>16</v>
      </c>
      <c r="E7" s="32"/>
      <c r="F7" s="79">
        <f>E7*C7</f>
        <v>0</v>
      </c>
    </row>
    <row r="8" spans="1:8" x14ac:dyDescent="0.35">
      <c r="A8" s="43" t="s">
        <v>48</v>
      </c>
      <c r="B8" s="44" t="s">
        <v>27</v>
      </c>
      <c r="C8" s="45">
        <v>52</v>
      </c>
      <c r="D8" s="46" t="s">
        <v>23</v>
      </c>
      <c r="E8" s="87">
        <f>F8/52</f>
        <v>0</v>
      </c>
      <c r="F8" s="88">
        <f>SUM(F9:F10)*52</f>
        <v>0</v>
      </c>
    </row>
    <row r="9" spans="1:8" x14ac:dyDescent="0.35">
      <c r="A9" s="47"/>
      <c r="B9" s="48" t="s">
        <v>21</v>
      </c>
      <c r="C9" s="49">
        <v>10000</v>
      </c>
      <c r="D9" s="50" t="s">
        <v>16</v>
      </c>
      <c r="E9" s="22"/>
      <c r="F9" s="80">
        <f>C9*E9</f>
        <v>0</v>
      </c>
    </row>
    <row r="10" spans="1:8" ht="16" thickBot="1" x14ac:dyDescent="0.4">
      <c r="A10" s="47"/>
      <c r="B10" s="48" t="s">
        <v>33</v>
      </c>
      <c r="C10" s="49">
        <v>1200</v>
      </c>
      <c r="D10" s="50" t="s">
        <v>16</v>
      </c>
      <c r="E10" s="22"/>
      <c r="F10" s="80">
        <f>E10*C10</f>
        <v>0</v>
      </c>
    </row>
    <row r="11" spans="1:8" x14ac:dyDescent="0.35">
      <c r="A11" s="33" t="s">
        <v>49</v>
      </c>
      <c r="B11" s="34" t="s">
        <v>45</v>
      </c>
      <c r="C11" s="35">
        <v>52</v>
      </c>
      <c r="D11" s="36" t="s">
        <v>23</v>
      </c>
      <c r="E11" s="87">
        <f>F11/52</f>
        <v>0</v>
      </c>
      <c r="F11" s="88">
        <f>SUM(F12:F14)*52</f>
        <v>0</v>
      </c>
    </row>
    <row r="12" spans="1:8" x14ac:dyDescent="0.35">
      <c r="A12" s="21"/>
      <c r="B12" s="23" t="s">
        <v>34</v>
      </c>
      <c r="C12" s="20">
        <v>400</v>
      </c>
      <c r="D12" s="21" t="s">
        <v>16</v>
      </c>
      <c r="E12" s="22">
        <v>0</v>
      </c>
      <c r="F12" s="81">
        <f>E12*C12</f>
        <v>0</v>
      </c>
    </row>
    <row r="13" spans="1:8" x14ac:dyDescent="0.35">
      <c r="A13" s="26"/>
      <c r="B13" s="23" t="s">
        <v>35</v>
      </c>
      <c r="C13" s="28">
        <v>8000</v>
      </c>
      <c r="D13" s="21" t="s">
        <v>16</v>
      </c>
      <c r="E13" s="22">
        <v>0</v>
      </c>
      <c r="F13" s="81">
        <f>E13*C13</f>
        <v>0</v>
      </c>
    </row>
    <row r="14" spans="1:8" ht="16" thickBot="1" x14ac:dyDescent="0.4">
      <c r="A14" s="26"/>
      <c r="B14" s="27" t="s">
        <v>36</v>
      </c>
      <c r="C14" s="28">
        <v>1200</v>
      </c>
      <c r="D14" s="21" t="s">
        <v>16</v>
      </c>
      <c r="E14" s="22">
        <v>0</v>
      </c>
      <c r="F14" s="81">
        <f>E14*C14</f>
        <v>0</v>
      </c>
    </row>
    <row r="15" spans="1:8" x14ac:dyDescent="0.35">
      <c r="A15" s="43" t="s">
        <v>50</v>
      </c>
      <c r="B15" s="44" t="s">
        <v>22</v>
      </c>
      <c r="C15" s="45">
        <v>52</v>
      </c>
      <c r="D15" s="46" t="s">
        <v>23</v>
      </c>
      <c r="E15" s="89">
        <f>F15/52</f>
        <v>0</v>
      </c>
      <c r="F15" s="90">
        <f>SUM(F16:F20)</f>
        <v>0</v>
      </c>
    </row>
    <row r="16" spans="1:8" x14ac:dyDescent="0.35">
      <c r="A16" s="47"/>
      <c r="B16" s="48" t="s">
        <v>37</v>
      </c>
      <c r="C16" s="49">
        <v>52</v>
      </c>
      <c r="D16" s="50" t="s">
        <v>23</v>
      </c>
      <c r="E16" s="63">
        <v>0</v>
      </c>
      <c r="F16" s="82">
        <f>E16*C16</f>
        <v>0</v>
      </c>
    </row>
    <row r="17" spans="1:6" x14ac:dyDescent="0.35">
      <c r="A17" s="51"/>
      <c r="B17" s="52" t="s">
        <v>38</v>
      </c>
      <c r="C17" s="53">
        <v>52</v>
      </c>
      <c r="D17" s="54" t="s">
        <v>23</v>
      </c>
      <c r="E17" s="63">
        <v>0</v>
      </c>
      <c r="F17" s="82">
        <f t="shared" ref="F17:F18" si="0">E17*C17</f>
        <v>0</v>
      </c>
    </row>
    <row r="18" spans="1:6" x14ac:dyDescent="0.35">
      <c r="A18" s="55"/>
      <c r="B18" s="48" t="s">
        <v>46</v>
      </c>
      <c r="C18" s="49">
        <v>52</v>
      </c>
      <c r="D18" s="50" t="s">
        <v>23</v>
      </c>
      <c r="E18" s="63">
        <v>0</v>
      </c>
      <c r="F18" s="82">
        <f t="shared" si="0"/>
        <v>0</v>
      </c>
    </row>
    <row r="19" spans="1:6" x14ac:dyDescent="0.35">
      <c r="A19" s="56"/>
      <c r="B19" s="57" t="s">
        <v>15</v>
      </c>
      <c r="C19" s="58">
        <v>52</v>
      </c>
      <c r="D19" s="50" t="s">
        <v>14</v>
      </c>
      <c r="E19" s="63">
        <v>0</v>
      </c>
      <c r="F19" s="82">
        <f>E19*C19</f>
        <v>0</v>
      </c>
    </row>
    <row r="20" spans="1:6" ht="16" thickBot="1" x14ac:dyDescent="0.4">
      <c r="A20" s="59"/>
      <c r="B20" s="60" t="s">
        <v>19</v>
      </c>
      <c r="C20" s="61">
        <v>52</v>
      </c>
      <c r="D20" s="62" t="s">
        <v>14</v>
      </c>
      <c r="E20" s="64">
        <v>0</v>
      </c>
      <c r="F20" s="83">
        <f>E20*C20</f>
        <v>0</v>
      </c>
    </row>
    <row r="21" spans="1:6" x14ac:dyDescent="0.35">
      <c r="A21" s="102" t="s">
        <v>51</v>
      </c>
      <c r="B21" s="100" t="s">
        <v>17</v>
      </c>
      <c r="C21" s="24">
        <v>1</v>
      </c>
      <c r="D21" s="19" t="s">
        <v>18</v>
      </c>
      <c r="E21" s="38">
        <v>0</v>
      </c>
      <c r="F21" s="84">
        <f>SUM(F4,F8,F11,F15)*E21</f>
        <v>0</v>
      </c>
    </row>
    <row r="22" spans="1:6" ht="16" thickBot="1" x14ac:dyDescent="0.4">
      <c r="A22" s="103" t="s">
        <v>52</v>
      </c>
      <c r="B22" s="101" t="s">
        <v>25</v>
      </c>
      <c r="C22" s="106">
        <v>1</v>
      </c>
      <c r="D22" s="107" t="s">
        <v>18</v>
      </c>
      <c r="E22" s="39">
        <v>0</v>
      </c>
      <c r="F22" s="84">
        <f>SUM(F4,F8,F11,F15,F21)*E22</f>
        <v>0</v>
      </c>
    </row>
  </sheetData>
  <mergeCells count="1">
    <mergeCell ref="A1:F1"/>
  </mergeCells>
  <printOptions gridLines="1"/>
  <pageMargins left="0.7" right="0.7" top="0.75" bottom="0.75" header="0.3" footer="0.3"/>
  <pageSetup scale="73" orientation="landscape" r:id="rId1"/>
  <ignoredErrors>
    <ignoredError sqref="F11 F1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figItem xmlns="f7a3effe-06f5-47cd-a24a-dacdda70efab" xsi:nil="true"/>
    <Cabinet xmlns="f7a3effe-06f5-47cd-a24a-dacdda70efab">4165</Cabinet>
    <DocumentApproval xmlns="f7a3effe-06f5-47cd-a24a-dacdda70efab">
      <Url xsi:nil="true"/>
      <Description xsi:nil="true"/>
    </DocumentApproval>
    <Tab xmlns="f7a3effe-06f5-47cd-a24a-dacdda70efab">2</Tab>
    <MiscType xmlns="f7a3effe-06f5-47cd-a24a-dacdda70efab">Other</MiscType>
    <is4z xmlns="f7a3effe-06f5-47cd-a24a-dacdda70efab" xsi:nil="true"/>
    <Misc xmlns="f7a3effe-06f5-47cd-a24a-dacdda70efab">true</Misc>
    <New_x0020_Cabinet_x0020_Document xmlns="f7a3effe-06f5-47cd-a24a-dacdda70efab">
      <Url xsi:nil="true"/>
      <Description xsi:nil="true"/>
    </New_x0020_Cabinet_x0020_Document>
    <Parent xmlns="f7a3effe-06f5-47cd-a24a-dacdda70efab" xsi:nil="true"/>
    <Status xmlns="f7a3effe-06f5-47cd-a24a-dacdda70efab">Pending</Status>
    <Comments xmlns="f7a3effe-06f5-47cd-a24a-dacdda70efab" xsi:nil="true"/>
    <NewDocument xmlns="f7a3effe-06f5-47cd-a24a-dacdda70efab">false</NewDocument>
    <CO xmlns="f7a3effe-06f5-47cd-a24a-dacdda70efab">
      <UserInfo>
        <DisplayName>Boggs, Jeremy</DisplayName>
        <AccountId>21</AccountId>
        <AccountType/>
      </UserInfo>
    </CO>
    <MissingCabinet xmlns="f7a3effe-06f5-47cd-a24a-dacdda70efab" xsi:nil="true"/>
    <CS xmlns="f7a3effe-06f5-47cd-a24a-dacdda70efab">
      <UserInfo>
        <DisplayName>Dillon, Ariel</DisplayName>
        <AccountId>28</AccountId>
        <AccountType/>
      </UserInfo>
    </CS>
    <ContractType xmlns="f7a3effe-06f5-47cd-a24a-dacdda70efab">IDV/BPA</ContractType>
    <Update_x0020_Last_x0020_ItemID xmlns="f7a3effe-06f5-47cd-a24a-dacdda70efab">
      <Url xsi:nil="true"/>
      <Description xsi:nil="true"/>
    </Update_x0020_Last_x0020_ItemID>
    <COR xmlns="f7a3effe-06f5-47cd-a24a-dacdda70efab">
      <UserInfo>
        <DisplayName/>
        <AccountId xsi:nil="true"/>
        <AccountType/>
      </UserInfo>
    </COR>
    <Cabinet_x003a_DisplayName xmlns="f7a3effe-06f5-47cd-a24a-dacdda70efab" xsi:nil="true"/>
    <Cabinet_x003a_ParentIDV xmlns="f7a3effe-06f5-47cd-a24a-dacdda70efab" xsi:nil="true"/>
    <Cabinet_x003a_SolicitationNumber xmlns="f7a3effe-06f5-47cd-a24a-dacdda70efab" xsi:nil="true"/>
    <Cabinet_x003a_Title xmlns="f7a3effe-06f5-47cd-a24a-dacdda70efab" xsi:nil="true"/>
    <lcf76f155ced4ddcb4097134ff3c332f xmlns="f7a3effe-06f5-47cd-a24a-dacdda70efab">
      <Terms xmlns="http://schemas.microsoft.com/office/infopath/2007/PartnerControls"/>
    </lcf76f155ced4ddcb4097134ff3c332f>
    <TaxCatchAll xmlns="62de2448-72ae-45e8-8096-77a0d1283734" xsi:nil="true"/>
    <Cabinet_x003a_ContractNumber xmlns="f7a3effe-06f5-47cd-a24a-dacdda70efab" xsi:nil="true"/>
    <CORName xmlns="f7a3effe-06f5-47cd-a24a-dacdda70ef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824D17DF44CA449F504B505BD2DF96" ma:contentTypeVersion="35" ma:contentTypeDescription="Create a new document." ma:contentTypeScope="" ma:versionID="cd94abb8c1a8f0f14ac82abed4a24b83">
  <xsd:schema xmlns:xsd="http://www.w3.org/2001/XMLSchema" xmlns:xs="http://www.w3.org/2001/XMLSchema" xmlns:p="http://schemas.microsoft.com/office/2006/metadata/properties" xmlns:ns2="f7a3effe-06f5-47cd-a24a-dacdda70efab" xmlns:ns3="62de2448-72ae-45e8-8096-77a0d1283734" targetNamespace="http://schemas.microsoft.com/office/2006/metadata/properties" ma:root="true" ma:fieldsID="bf50a6833b16eb24e1344595f663273b" ns2:_="" ns3:_="">
    <xsd:import namespace="f7a3effe-06f5-47cd-a24a-dacdda70efab"/>
    <xsd:import namespace="62de2448-72ae-45e8-8096-77a0d1283734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ConfigItem" minOccurs="0"/>
                <xsd:element ref="ns2:Cabinet" minOccurs="0"/>
                <xsd:element ref="ns2:Tab" minOccurs="0"/>
                <xsd:element ref="ns2:Misc" minOccurs="0"/>
                <xsd:element ref="ns2:MiscType" minOccurs="0"/>
                <xsd:element ref="ns2:Comments" minOccurs="0"/>
                <xsd:element ref="ns2:New_x0020_Cabinet_x0020_Document" minOccurs="0"/>
                <xsd:element ref="ns2:Parent" minOccurs="0"/>
                <xsd:element ref="ns2:DocumentApproval" minOccurs="0"/>
                <xsd:element ref="ns2:NewDocument" minOccurs="0"/>
                <xsd:element ref="ns2:is4z" minOccurs="0"/>
                <xsd:element ref="ns2:Update_x0020_Last_x0020_ItemID" minOccurs="0"/>
                <xsd:element ref="ns2:CO" minOccurs="0"/>
                <xsd:element ref="ns2:CS" minOccurs="0"/>
                <xsd:element ref="ns2:Cabinet_x003a_Title" minOccurs="0"/>
                <xsd:element ref="ns2:Cabinet_x003a_SolicitationNumber" minOccurs="0"/>
                <xsd:element ref="ns2:Cabinet_x003a_ContractNumber" minOccurs="0"/>
                <xsd:element ref="ns2:Cabinet_x003a_DisplayName" minOccurs="0"/>
                <xsd:element ref="ns2:Cabinet_x003a_ParentIDV" minOccurs="0"/>
                <xsd:element ref="ns2:COR" minOccurs="0"/>
                <xsd:element ref="ns2:MissingCabinet" minOccurs="0"/>
                <xsd:element ref="ns2:Contrac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COR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3effe-06f5-47cd-a24a-dacdda70efab" elementFormDefault="qualified">
    <xsd:import namespace="http://schemas.microsoft.com/office/2006/documentManagement/types"/>
    <xsd:import namespace="http://schemas.microsoft.com/office/infopath/2007/PartnerControls"/>
    <xsd:element name="Status" ma:index="8" nillable="true" ma:displayName="Status" ma:default="Pending" ma:format="Dropdown" ma:indexed="true" ma:internalName="Status" ma:readOnly="false">
      <xsd:simpleType>
        <xsd:restriction base="dms:Choice">
          <xsd:enumeration value="Pending"/>
          <xsd:enumeration value="Waiting for Approval"/>
          <xsd:enumeration value="Approved"/>
          <xsd:enumeration value="Rejected"/>
          <xsd:enumeration value="N/A"/>
        </xsd:restriction>
      </xsd:simpleType>
    </xsd:element>
    <xsd:element name="ConfigItem" ma:index="9" nillable="true" ma:displayName="ConfigItem" ma:indexed="true" ma:list="{cd08a917-12de-4fb4-82c9-1b72e581c255}" ma:internalName="ConfigItem" ma:readOnly="false" ma:showField="Title">
      <xsd:simpleType>
        <xsd:restriction base="dms:Lookup"/>
      </xsd:simpleType>
    </xsd:element>
    <xsd:element name="Cabinet" ma:index="10" nillable="true" ma:displayName="Cabinet" ma:indexed="true" ma:list="{22d6399b-c63b-4262-b6fd-3833b1046758}" ma:internalName="Cabinet" ma:readOnly="false" ma:showField="ID">
      <xsd:simpleType>
        <xsd:restriction base="dms:Lookup"/>
      </xsd:simpleType>
    </xsd:element>
    <xsd:element name="Tab" ma:index="11" nillable="true" ma:displayName="Tab" ma:description="Tab" ma:indexed="true" ma:list="{6a409d60-1003-4d43-94be-bb22e66d2a01}" ma:internalName="Tab" ma:readOnly="false" ma:showField="Title">
      <xsd:simpleType>
        <xsd:restriction base="dms:Lookup"/>
      </xsd:simpleType>
    </xsd:element>
    <xsd:element name="Misc" ma:index="12" nillable="true" ma:displayName="Misc" ma:default="0" ma:indexed="true" ma:internalName="Misc" ma:readOnly="false">
      <xsd:simpleType>
        <xsd:restriction base="dms:Boolean"/>
      </xsd:simpleType>
    </xsd:element>
    <xsd:element name="MiscType" ma:index="13" nillable="true" ma:displayName="MiscType" ma:format="Dropdown" ma:indexed="true" ma:internalName="MiscType" ma:readOnly="false">
      <xsd:simpleType>
        <xsd:restriction base="dms:Choice">
          <xsd:enumeration value="Email"/>
          <xsd:enumeration value="Memo"/>
          <xsd:enumeration value="Other"/>
        </xsd:restriction>
      </xsd:simpleType>
    </xsd:element>
    <xsd:element name="Comments" ma:index="14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New_x0020_Cabinet_x0020_Document" ma:index="15" nillable="true" ma:displayName="New Cabinet Document" ma:format="Hyperlink" ma:internalName="New_x0020_Cabinet_x0020_Document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arent" ma:index="16" nillable="true" ma:displayName="Parent" ma:indexed="true" ma:internalName="Parent" ma:readOnly="false">
      <xsd:simpleType>
        <xsd:restriction base="dms:Text"/>
      </xsd:simpleType>
    </xsd:element>
    <xsd:element name="DocumentApproval" ma:index="17" nillable="true" ma:displayName="DocumentApproval" ma:format="Hyperlink" ma:internalName="DocumentApprova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ewDocument" ma:index="18" nillable="true" ma:displayName="NewDocument" ma:default="1" ma:indexed="true" ma:internalName="NewDocument" ma:readOnly="false">
      <xsd:simpleType>
        <xsd:restriction base="dms:Boolean"/>
      </xsd:simpleType>
    </xsd:element>
    <xsd:element name="is4z" ma:index="19" nillable="true" ma:displayName="Number" ma:internalName="is4z" ma:readOnly="false" ma:percentage="FALSE">
      <xsd:simpleType>
        <xsd:restriction base="dms:Number"/>
      </xsd:simpleType>
    </xsd:element>
    <xsd:element name="Update_x0020_Last_x0020_ItemID" ma:index="20" nillable="true" ma:displayName="Update Last ItemID" ma:format="Hyperlink" ma:internalName="Update_x0020_Last_x0020_ItemID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" ma:index="21" nillable="true" ma:displayName="COName" ma:list="UserInfo" ma:SharePointGroup="0" ma:internalName="CO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S" ma:index="22" nillable="true" ma:displayName="CSName" ma:list="UserInfo" ma:SharePointGroup="0" ma:internalName="CS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binet_x003a_Title" ma:index="23" nillable="true" ma:displayName="Cabinet:Title" ma:list="{22d6399b-c63b-4262-b6fd-3833b1046758}" ma:internalName="Cabinet_x003a_Title" ma:readOnly="false" ma:showField="Title">
      <xsd:simpleType>
        <xsd:restriction base="dms:Lookup"/>
      </xsd:simpleType>
    </xsd:element>
    <xsd:element name="Cabinet_x003a_SolicitationNumber" ma:index="24" nillable="true" ma:displayName="Cabinet:SolicitationNumber" ma:list="{22d6399b-c63b-4262-b6fd-3833b1046758}" ma:internalName="Cabinet_x003a_SolicitationNumber" ma:readOnly="false" ma:showField="SolicitationNumber">
      <xsd:simpleType>
        <xsd:restriction base="dms:Lookup"/>
      </xsd:simpleType>
    </xsd:element>
    <xsd:element name="Cabinet_x003a_ContractNumber" ma:index="25" nillable="true" ma:displayName="Cabinet:ContractNumber" ma:list="{22d6399b-c63b-4262-b6fd-3833b1046758}" ma:internalName="Cabinet_x003a_ContractNumber" ma:readOnly="false" ma:showField="ContractNumber">
      <xsd:simpleType>
        <xsd:restriction base="dms:Lookup"/>
      </xsd:simpleType>
    </xsd:element>
    <xsd:element name="Cabinet_x003a_DisplayName" ma:index="26" nillable="true" ma:displayName="Cabinet:DisplayName" ma:list="{22d6399b-c63b-4262-b6fd-3833b1046758}" ma:internalName="Cabinet_x003a_DisplayName" ma:readOnly="false" ma:showField="DisplayName">
      <xsd:simpleType>
        <xsd:restriction base="dms:Lookup"/>
      </xsd:simpleType>
    </xsd:element>
    <xsd:element name="Cabinet_x003a_ParentIDV" ma:index="27" nillable="true" ma:displayName="Cabinet:ParentIDV" ma:list="{22d6399b-c63b-4262-b6fd-3833b1046758}" ma:internalName="Cabinet_x003a_ParentIDV" ma:readOnly="false" ma:showField="ParentIDV">
      <xsd:simpleType>
        <xsd:restriction base="dms:Lookup"/>
      </xsd:simpleType>
    </xsd:element>
    <xsd:element name="COR" ma:index="28" nillable="true" ma:displayName="COR" ma:list="UserInfo" ma:internalName="C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issingCabinet" ma:index="29" nillable="true" ma:displayName="MissingCabinet" ma:internalName="MissingCabinet" ma:readOnly="false">
      <xsd:simpleType>
        <xsd:restriction base="dms:Text">
          <xsd:maxLength value="255"/>
        </xsd:restriction>
      </xsd:simpleType>
    </xsd:element>
    <xsd:element name="ContractType" ma:index="30" nillable="true" ma:displayName="ContractType" ma:internalName="ContractType" ma:readOnly="false">
      <xsd:simpleType>
        <xsd:restriction base="dms:Text">
          <xsd:maxLength value="255"/>
        </xsd:restriction>
      </xsd:simple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de5f878c-368d-4ee9-9519-c31c616292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41" nillable="true" ma:displayName="Location" ma:indexed="true" ma:internalName="MediaServiceLocation" ma:readOnly="true">
      <xsd:simpleType>
        <xsd:restriction base="dms:Text"/>
      </xsd:simpleType>
    </xsd:element>
    <xsd:element name="CORName" ma:index="42" nillable="true" ma:displayName="CORName" ma:internalName="COR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e2448-72ae-45e8-8096-77a0d1283734" elementFormDefault="qualified">
    <xsd:import namespace="http://schemas.microsoft.com/office/2006/documentManagement/types"/>
    <xsd:import namespace="http://schemas.microsoft.com/office/infopath/2007/PartnerControls"/>
    <xsd:element name="TaxCatchAll" ma:index="37" nillable="true" ma:displayName="Taxonomy Catch All Column" ma:hidden="true" ma:list="{275b38d9-7b79-40b3-aa5e-dd9789e935c6}" ma:internalName="TaxCatchAll" ma:showField="CatchAllData" ma:web="62de2448-72ae-45e8-8096-77a0d1283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44AC1-2883-4F9B-9608-D70CDDF52CFF}">
  <ds:schemaRefs>
    <ds:schemaRef ds:uri="http://purl.org/dc/dcmitype/"/>
    <ds:schemaRef ds:uri="62de2448-72ae-45e8-8096-77a0d1283734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7a3effe-06f5-47cd-a24a-dacdda70efa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0615EF8-6107-4ED6-B2BD-D9AB00DF68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DDA178-A987-4358-8CB9-EEDF8FB61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3effe-06f5-47cd-a24a-dacdda70efab"/>
    <ds:schemaRef ds:uri="62de2448-72ae-45e8-8096-77a0d1283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Total Pricing</vt:lpstr>
      <vt:lpstr>Base Year - 0001</vt:lpstr>
      <vt:lpstr>Option Year 1 - 1001</vt:lpstr>
      <vt:lpstr>Option Year 2 - 2001</vt:lpstr>
      <vt:lpstr>'Base Year - 0001'!Print_Area</vt:lpstr>
      <vt:lpstr>'Option Year 1 - 1001'!Print_Area</vt:lpstr>
      <vt:lpstr>'Option Year 2 - 2001'!Print_Area</vt:lpstr>
      <vt:lpstr>'Total Pricing'!Print_Area</vt:lpstr>
    </vt:vector>
  </TitlesOfParts>
  <Company>Bureau of Engraving and Printing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Attachment 3  Pricing Sheet.xlsx</dc:title>
  <dc:creator>Lawrence, Terry</dc:creator>
  <cp:lastModifiedBy>Lawrence, Terry</cp:lastModifiedBy>
  <cp:lastPrinted>2021-05-06T12:49:01Z</cp:lastPrinted>
  <dcterms:created xsi:type="dcterms:W3CDTF">2019-10-18T12:07:16Z</dcterms:created>
  <dcterms:modified xsi:type="dcterms:W3CDTF">2025-11-21T01:22:08Z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0x01010025824D17DF44CA449F504B505BD2DF96</vt:lpwstr>
  </property>
  <property fmtid="{D5CDD505-2E9C-101B-9397-08002B2CF9AE}" pid="3" name="WorkflowChangePath">
    <vt:lpwstr>b3e760cd-c1ff-4925-8080-97f2c8235a33,3;</vt:lpwstr>
  </property>
  <property fmtid="{D5CDD505-2E9C-101B-9397-08002B2CF9AE}" pid="4" name="Order">
    <vt:r8>20105400</vt:r8>
  </property>
</Properties>
</file>