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ranch 4\1 Pre-award\Beaufort and Robins AFB - Document Shredding Services\3. Solicitation\Pricing Sheet\"/>
    </mc:Choice>
  </mc:AlternateContent>
  <xr:revisionPtr revIDLastSave="0" documentId="13_ncr:1_{898C3C8C-0ED8-4D09-A43F-7A7717EF908E}" xr6:coauthVersionLast="47" xr6:coauthVersionMax="47" xr10:uidLastSave="{00000000-0000-0000-0000-000000000000}"/>
  <bookViews>
    <workbookView xWindow="-120" yWindow="90" windowWidth="20730" windowHeight="10830" xr2:uid="{7D52264D-3A6B-4C46-B6CA-9F7FADFA6327}"/>
  </bookViews>
  <sheets>
    <sheet name="HT940625QE017 (RFP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8" i="1"/>
  <c r="F25" i="1"/>
  <c r="F24" i="1"/>
  <c r="F21" i="1"/>
  <c r="F20" i="1"/>
  <c r="F17" i="1"/>
  <c r="F16" i="1"/>
  <c r="F13" i="1"/>
  <c r="F12" i="1"/>
  <c r="F9" i="1"/>
  <c r="F8" i="1"/>
  <c r="F30" i="1" l="1"/>
  <c r="F26" i="1"/>
  <c r="F22" i="1"/>
  <c r="F18" i="1"/>
  <c r="F14" i="1"/>
  <c r="F10" i="1"/>
  <c r="F31" i="1" s="1"/>
</calcChain>
</file>

<file path=xl/sharedStrings.xml><?xml version="1.0" encoding="utf-8"?>
<sst xmlns="http://schemas.openxmlformats.org/spreadsheetml/2006/main" count="75" uniqueCount="54">
  <si>
    <t>Vendor:</t>
  </si>
  <si>
    <t>UEI:</t>
  </si>
  <si>
    <t>CAGE CODE:</t>
  </si>
  <si>
    <t>POC:</t>
  </si>
  <si>
    <t>SLIN</t>
  </si>
  <si>
    <t>Description</t>
  </si>
  <si>
    <t xml:space="preserve">Quantity
</t>
  </si>
  <si>
    <t>Unit of Issue</t>
  </si>
  <si>
    <t>Unit Price</t>
  </si>
  <si>
    <t>Period Total Price</t>
  </si>
  <si>
    <t>0001</t>
  </si>
  <si>
    <t>Months</t>
  </si>
  <si>
    <t>1001</t>
  </si>
  <si>
    <t>2001</t>
  </si>
  <si>
    <t>Total Proposed Price</t>
  </si>
  <si>
    <t>Signature / Date</t>
  </si>
  <si>
    <t>Organization:</t>
  </si>
  <si>
    <t xml:space="preserve">Title: </t>
  </si>
  <si>
    <t>0002</t>
  </si>
  <si>
    <t>12</t>
  </si>
  <si>
    <t>1002</t>
  </si>
  <si>
    <t>2002</t>
  </si>
  <si>
    <t>3001</t>
  </si>
  <si>
    <t>3002</t>
  </si>
  <si>
    <t>4001</t>
  </si>
  <si>
    <t>4002</t>
  </si>
  <si>
    <t>5001</t>
  </si>
  <si>
    <t>5002</t>
  </si>
  <si>
    <t>6</t>
  </si>
  <si>
    <t xml:space="preserve">                                               Base Period</t>
  </si>
  <si>
    <t xml:space="preserve">                                     Option Period 1</t>
  </si>
  <si>
    <t xml:space="preserve">                                       Option Period 2</t>
  </si>
  <si>
    <t xml:space="preserve">                                       Option Period 3</t>
  </si>
  <si>
    <t xml:space="preserve">                                        Option Period 4</t>
  </si>
  <si>
    <t xml:space="preserve">                             FAR 52.217-8  Option Period 5</t>
  </si>
  <si>
    <t>Base Period Total</t>
  </si>
  <si>
    <t>Option Period 1 Total</t>
  </si>
  <si>
    <t>Option Period 2 Total</t>
  </si>
  <si>
    <t>Option Period 3 Total</t>
  </si>
  <si>
    <t>Option Period 4 Total</t>
  </si>
  <si>
    <t>Option Period 5 Total</t>
  </si>
  <si>
    <t>Document Shredding Services: Naval Hospital Beaufort, South Carolina. Period of Performance: 08 February 2026 through 07 February 2027. The Contractor shall provide a maximum of 65 secure, lockable, slotted, labeled bins of various sizes and numbers at the locations
specified: Naval Hospital Beaufort: Fifteen (15) 35 gallon bins, nineteen (19) 64 gallon bins, and six (6) 95 gallon bins.  Marine Corps Recruit Depot: Five (5) 35 gallon, fourteen (14) 64 gallon, and two (2) 95 gallon bins. Marine Corps Air Station: Four (4) 64 gallon bins.</t>
  </si>
  <si>
    <t>Document Shredding Services: Robins Air Force Base, Georgia. Period of Performance: 08 February 2026 through 07 February 2027. The Contractor shall collect, handle, shred, remove, and destroy all collected material using a multi-step destruction in accordance with the PWS and attachment, 78 Information Protection offices guidelines (CUI Notice 2019-03: Destroying Controlled Unclassified Information (CUI) In Paper Form).</t>
  </si>
  <si>
    <t>Document Shredding Services: Naval Hospital Beaufort, South Carolina. Period of Performance: 08 February 2027 through 07 February 2028. The Contractor shall provide a maximum of 65 secure, lockable, slotted, labeled bins of various sizes and numbers at the locations
specified: Naval Hospital Beaufort: Fifteen (15) 35 gallon bins, nineteen (19) 64 gallon bins, and six (6) 95 gallon bins.  Marine Corps Recruit Depot: Five (5) 35 gallon, fourteen (14) 64 gallon, and two (2) 95 gallon bins. Marine Corps Air Station: Four (4) 64 gallon bins.</t>
  </si>
  <si>
    <t>Document Shredding Services: Robins Air Force Base, Georgia. Period of Performance: 08 February 2027 through 07 February 2028. The Contractor shall collect, handle, shred, remove, and destroy all collected material using a multi-step destruction in accordance with the PWS and attachment, 78 Information Protection offices guidelines (CUI Notice 2019-03: Destroying Controlled Unclassified Information (CUI) In Paper Form).</t>
  </si>
  <si>
    <t>Document Shredding Services: Naval Hospital Beaufort, South Carolina. Period of Performance: 08 February 2028 through 07 February 2029. The Contractor shall provide a maximum of 65 secure, lockable, slotted, labeled bins of various sizes and numbers at the locations
specified: Naval Hospital Beaufort: Fifteen (15) 35 gallon bins, nineteen (19) 64 gallon bins, and six (6) 95 gallon bins.  Marine Corps Recruit Depot: Five (5) 35 gallon, fourteen (14) 64 gallon, and two (2) 95 gallon bins. Marine Corps Air Station: Four (4) 64 gallon bins.</t>
  </si>
  <si>
    <t>Document Shredding Services: Robins Air Force Base, Georgia. Period of Performance: 08 February 2028 through 07 February 2029. The Contractor shall collect, handle, shred, remove, and destroy all collected material using a multi-step destruction in accordance with the PWS and attachment, 78 Information Protection offices guidelines (CUI Notice 2019-03: Destroying Controlled Unclassified Information (CUI) In Paper Form).</t>
  </si>
  <si>
    <t>Document Shredding Services: Naval Hospital Beaufort, South Carolina. Period of Performance: 08 February 2029 through 07 February 2030. The Contractor shall provide a maximum of 65 secure, lockable, slotted, labeled bins of various sizes and numbers at the locations
specified: Naval Hospital Beaufort: Fifteen (15) 35 gallon bins, nineteen (19) 64 gallon bins, and six (6) 95 gallon bins.  Marine Corps Recruit Depot: Five (5) 35 gallon, fourteen (14) 64 gallon, and two (2) 95 gallon bins. Marine Corps Air Station: Four (4) 64 gallon bins.</t>
  </si>
  <si>
    <t>Document Shredding Services: Robins Air Force Base, Georgia. Period of Performance: 08 February 2029 through 07 February 2030. The Contractor shall collect, handle, shred, remove, and destroy all collected material using a multi-step destruction in accordance with the PWS and attachment, 78 Information Protection offices guidelines (CUI Notice 2019-03: Destroying Controlled Unclassified Information (CUI) In Paper Form).</t>
  </si>
  <si>
    <t>Document Shredding Services: Naval Hospital Beaufort, South Carolina. Period of Performance: 08 February 2030 through 07 February 2031. The Contractor shall provide a maximum of 65 secure, lockable, slotted, labeled bins of various sizes and numbers at the locations
specified: Naval Hospital Beaufort: Fifteen (15) 35 gallon bins, nineteen (19) 64 gallon bins, and six (6) 95 gallon bins.  Marine Corps Recruit Depot: Five (5) 35 gallon, fourteen (14) 64 gallon, and two (2) 95 gallon bins. Marine Corps Air Station: Four (4) 64 gallon bins.</t>
  </si>
  <si>
    <t>Document Shredding Services: Robins Air Force Base, Georgia. Period of Performance: 08 February 2030 through 07 February 2031. The Contractor shall collect, handle, shred, remove, and destroy all collected material using a multi-step destruction in accordance with the PWS and attachment, 78 Information Protection offices guidelines (CUI Notice 2019-03: Destroying Controlled Unclassified Information (CUI) In Paper Form).</t>
  </si>
  <si>
    <t>Document Shredding Services: Naval Hospital Beaufort, South Carolina. Period of Performance: 08 February 2031 through 07 August 2031. The Contractor shall provide a maximum of 65 secure, lockable, slotted, labeled bins of various sizes and numbers at the locations
specified: Naval Hospital Beaufort: Fifteen (15) 35 gallon bins, nineteen (19) 64 gallon bins, and six (6) 95 gallon bins.  Marine Corps Recruit Depot: Five (5) 35 gallon, fourteen (14) 64 gallon, and two (2) 95 gallon bins. Marine Corps Air Station: Four (4) 64 gallon bins.</t>
  </si>
  <si>
    <t>Document Shredding Services: Robins Air Force Base, Georgia. Period of Performance: 08 February 2031 through 07 August 2031. The Contractor shall collect, handle, shred, remove, and destroy all collected material using a multi-step destruction in accordance with the PWS and attachment, 78 Information Protection offices guidelines (CUI Notice 2019-03: Destroying Controlled Unclassified Information (CUI) In Paper Form).</t>
  </si>
  <si>
    <t>Price Sheet-Document Shredding Services
Naval Hospital Beaufort, South Carolina                                                                                                                                                                                                                                                                                                                        78th Medical Group, Robins Air Force Base, Georgia
HT940626QE002  (RFQ)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</si>
</sst>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49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164" fontId="5" fillId="0" borderId="12" xfId="1" applyNumberFormat="1" applyFont="1" applyBorder="1" applyAlignment="1">
      <alignment horizontal="center" vertical="center" wrapText="1"/>
    </xf>
    <xf numFmtId="44" fontId="5" fillId="0" borderId="12" xfId="0" applyNumberFormat="1" applyFont="1" applyBorder="1" applyAlignment="1" applyProtection="1">
      <alignment horizontal="center" vertical="center" wrapText="1"/>
      <protection locked="0"/>
    </xf>
    <xf numFmtId="165" fontId="5" fillId="0" borderId="12" xfId="0" applyNumberFormat="1" applyFont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Continuous" vertic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164" fontId="8" fillId="0" borderId="6" xfId="1" applyNumberFormat="1" applyFont="1" applyBorder="1" applyAlignment="1">
      <alignment horizontal="center" vertical="center" wrapText="1"/>
    </xf>
    <xf numFmtId="164" fontId="8" fillId="0" borderId="8" xfId="1" applyNumberFormat="1" applyFont="1" applyBorder="1" applyAlignment="1">
      <alignment horizontal="center" vertical="center" wrapText="1"/>
    </xf>
    <xf numFmtId="164" fontId="8" fillId="0" borderId="11" xfId="1" applyNumberFormat="1" applyFont="1" applyBorder="1" applyAlignment="1">
      <alignment horizontal="center" vertical="center" wrapText="1"/>
    </xf>
    <xf numFmtId="49" fontId="6" fillId="0" borderId="12" xfId="0" applyNumberFormat="1" applyFont="1" applyFill="1" applyBorder="1" applyAlignment="1">
      <alignment horizontal="center" vertical="center"/>
    </xf>
    <xf numFmtId="49" fontId="7" fillId="0" borderId="12" xfId="0" applyNumberFormat="1" applyFont="1" applyFill="1" applyBorder="1" applyAlignment="1">
      <alignment horizontal="left" vertical="center" wrapText="1"/>
    </xf>
    <xf numFmtId="49" fontId="6" fillId="4" borderId="12" xfId="0" applyNumberFormat="1" applyFont="1" applyFill="1" applyBorder="1" applyAlignment="1">
      <alignment horizontal="center" vertical="center"/>
    </xf>
    <xf numFmtId="165" fontId="6" fillId="0" borderId="12" xfId="0" applyNumberFormat="1" applyFont="1" applyFill="1" applyBorder="1" applyAlignment="1">
      <alignment horizontal="center" vertical="center"/>
    </xf>
    <xf numFmtId="165" fontId="5" fillId="0" borderId="12" xfId="0" applyNumberFormat="1" applyFont="1" applyFill="1" applyBorder="1" applyAlignment="1">
      <alignment horizontal="center" vertical="center"/>
    </xf>
    <xf numFmtId="165" fontId="6" fillId="5" borderId="12" xfId="0" applyNumberFormat="1" applyFont="1" applyFill="1" applyBorder="1" applyAlignment="1">
      <alignment horizontal="center" vertical="center"/>
    </xf>
    <xf numFmtId="49" fontId="6" fillId="5" borderId="12" xfId="0" applyNumberFormat="1" applyFont="1" applyFill="1" applyBorder="1" applyAlignment="1">
      <alignment horizontal="center" vertical="center"/>
    </xf>
    <xf numFmtId="49" fontId="5" fillId="5" borderId="12" xfId="0" applyNumberFormat="1" applyFont="1" applyFill="1" applyBorder="1" applyAlignment="1">
      <alignment horizontal="left" vertical="center" wrapText="1"/>
    </xf>
    <xf numFmtId="165" fontId="6" fillId="5" borderId="1" xfId="0" applyNumberFormat="1" applyFont="1" applyFill="1" applyBorder="1" applyAlignment="1">
      <alignment horizontal="center" vertical="center"/>
    </xf>
    <xf numFmtId="49" fontId="6" fillId="2" borderId="12" xfId="0" applyNumberFormat="1" applyFont="1" applyFill="1" applyBorder="1" applyAlignment="1">
      <alignment horizontal="center" vertical="center"/>
    </xf>
    <xf numFmtId="49" fontId="6" fillId="2" borderId="12" xfId="0" applyNumberFormat="1" applyFont="1" applyFill="1" applyBorder="1" applyAlignment="1">
      <alignment horizontal="centerContinuous" vertical="center"/>
    </xf>
    <xf numFmtId="49" fontId="6" fillId="2" borderId="4" xfId="0" applyNumberFormat="1" applyFont="1" applyFill="1" applyBorder="1" applyAlignment="1">
      <alignment horizontal="centerContinuous" vertical="center"/>
    </xf>
    <xf numFmtId="49" fontId="5" fillId="2" borderId="12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5" fillId="2" borderId="12" xfId="0" applyNumberFormat="1" applyFont="1" applyFill="1" applyBorder="1" applyAlignment="1">
      <alignment vertical="center" wrapText="1"/>
    </xf>
    <xf numFmtId="49" fontId="5" fillId="2" borderId="12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5" fillId="5" borderId="12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49" fontId="5" fillId="5" borderId="2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5" fillId="0" borderId="2" xfId="0" applyNumberFormat="1" applyFont="1" applyBorder="1" applyAlignment="1">
      <alignment horizontal="right" vertical="center" wrapText="1"/>
    </xf>
    <xf numFmtId="49" fontId="5" fillId="0" borderId="4" xfId="0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1973-5AA3-49B2-979F-D16CBE6F4BE0}">
  <dimension ref="A1:F44"/>
  <sheetViews>
    <sheetView tabSelected="1" workbookViewId="0">
      <selection activeCell="A2" sqref="A2:C2"/>
    </sheetView>
  </sheetViews>
  <sheetFormatPr defaultRowHeight="15" x14ac:dyDescent="0.25"/>
  <cols>
    <col min="1" max="1" width="9.140625" customWidth="1"/>
    <col min="2" max="2" width="47.42578125" customWidth="1"/>
    <col min="3" max="3" width="12.28515625" customWidth="1"/>
    <col min="6" max="6" width="51.5703125" customWidth="1"/>
  </cols>
  <sheetData>
    <row r="1" spans="1:6" ht="82.15" customHeight="1" x14ac:dyDescent="0.25">
      <c r="A1" s="35" t="s">
        <v>53</v>
      </c>
      <c r="B1" s="36"/>
      <c r="C1" s="36"/>
      <c r="D1" s="37"/>
      <c r="E1" s="37"/>
      <c r="F1" s="37"/>
    </row>
    <row r="2" spans="1:6" ht="14.45" customHeight="1" x14ac:dyDescent="0.25">
      <c r="A2" s="40" t="s">
        <v>0</v>
      </c>
      <c r="B2" s="41"/>
      <c r="C2" s="42"/>
      <c r="D2" s="44"/>
      <c r="E2" s="45"/>
      <c r="F2" s="46"/>
    </row>
    <row r="3" spans="1:6" ht="14.45" customHeight="1" x14ac:dyDescent="0.25">
      <c r="A3" s="40" t="s">
        <v>1</v>
      </c>
      <c r="B3" s="41"/>
      <c r="C3" s="42"/>
      <c r="D3" s="47"/>
      <c r="E3" s="48"/>
      <c r="F3" s="49"/>
    </row>
    <row r="4" spans="1:6" ht="15" customHeight="1" x14ac:dyDescent="0.25">
      <c r="A4" s="40" t="s">
        <v>2</v>
      </c>
      <c r="B4" s="41"/>
      <c r="C4" s="42"/>
      <c r="D4" s="47"/>
      <c r="E4" s="48"/>
      <c r="F4" s="49"/>
    </row>
    <row r="5" spans="1:6" ht="14.45" customHeight="1" x14ac:dyDescent="0.25">
      <c r="A5" s="40" t="s">
        <v>3</v>
      </c>
      <c r="B5" s="43"/>
      <c r="C5" s="42"/>
      <c r="D5" s="50"/>
      <c r="E5" s="51"/>
      <c r="F5" s="52"/>
    </row>
    <row r="6" spans="1:6" ht="31.5" x14ac:dyDescent="0.25">
      <c r="A6" s="1" t="s">
        <v>4</v>
      </c>
      <c r="B6" s="2" t="s">
        <v>5</v>
      </c>
      <c r="C6" s="3" t="s">
        <v>6</v>
      </c>
      <c r="D6" s="4" t="s">
        <v>7</v>
      </c>
      <c r="E6" s="5" t="s">
        <v>8</v>
      </c>
      <c r="F6" s="5" t="s">
        <v>9</v>
      </c>
    </row>
    <row r="7" spans="1:6" ht="15.75" customHeight="1" x14ac:dyDescent="0.25">
      <c r="A7" s="38" t="s">
        <v>29</v>
      </c>
      <c r="B7" s="38"/>
      <c r="C7" s="38"/>
      <c r="D7" s="38"/>
      <c r="E7" s="30"/>
      <c r="F7" s="30"/>
    </row>
    <row r="8" spans="1:6" ht="127.5" x14ac:dyDescent="0.25">
      <c r="A8" s="21" t="s">
        <v>10</v>
      </c>
      <c r="B8" s="22" t="s">
        <v>41</v>
      </c>
      <c r="C8" s="21" t="s">
        <v>19</v>
      </c>
      <c r="D8" s="23" t="s">
        <v>11</v>
      </c>
      <c r="E8" s="24"/>
      <c r="F8" s="24">
        <f>C8*E8</f>
        <v>0</v>
      </c>
    </row>
    <row r="9" spans="1:6" ht="102" x14ac:dyDescent="0.25">
      <c r="A9" s="21" t="s">
        <v>18</v>
      </c>
      <c r="B9" s="22" t="s">
        <v>42</v>
      </c>
      <c r="C9" s="21" t="s">
        <v>19</v>
      </c>
      <c r="D9" s="23" t="s">
        <v>11</v>
      </c>
      <c r="E9" s="24"/>
      <c r="F9" s="24">
        <f>C9*E9</f>
        <v>0</v>
      </c>
    </row>
    <row r="10" spans="1:6" ht="15.75" customHeight="1" x14ac:dyDescent="0.25">
      <c r="A10" s="53" t="s">
        <v>35</v>
      </c>
      <c r="B10" s="53"/>
      <c r="C10" s="54"/>
      <c r="D10" s="55"/>
      <c r="E10" s="56"/>
      <c r="F10" s="26">
        <f>SUM(F8:F9)</f>
        <v>0</v>
      </c>
    </row>
    <row r="11" spans="1:6" ht="15.75" x14ac:dyDescent="0.25">
      <c r="A11" s="39" t="s">
        <v>30</v>
      </c>
      <c r="B11" s="39"/>
      <c r="C11" s="39"/>
      <c r="D11" s="39"/>
      <c r="E11" s="30"/>
      <c r="F11" s="30"/>
    </row>
    <row r="12" spans="1:6" ht="127.5" x14ac:dyDescent="0.25">
      <c r="A12" s="21" t="s">
        <v>12</v>
      </c>
      <c r="B12" s="22" t="s">
        <v>43</v>
      </c>
      <c r="C12" s="21" t="s">
        <v>19</v>
      </c>
      <c r="D12" s="23" t="s">
        <v>11</v>
      </c>
      <c r="E12" s="24"/>
      <c r="F12" s="24">
        <f>C12*E12</f>
        <v>0</v>
      </c>
    </row>
    <row r="13" spans="1:6" ht="102" x14ac:dyDescent="0.25">
      <c r="A13" s="21" t="s">
        <v>20</v>
      </c>
      <c r="B13" s="22" t="s">
        <v>44</v>
      </c>
      <c r="C13" s="21" t="s">
        <v>19</v>
      </c>
      <c r="D13" s="23" t="s">
        <v>11</v>
      </c>
      <c r="E13" s="24"/>
      <c r="F13" s="24">
        <f t="shared" ref="F13" si="0">C13*E13</f>
        <v>0</v>
      </c>
    </row>
    <row r="14" spans="1:6" ht="15.75" customHeight="1" x14ac:dyDescent="0.25">
      <c r="A14" s="53" t="s">
        <v>36</v>
      </c>
      <c r="B14" s="53"/>
      <c r="C14" s="72"/>
      <c r="D14" s="73"/>
      <c r="E14" s="74"/>
      <c r="F14" s="26">
        <f>SUM(F12:F13)</f>
        <v>0</v>
      </c>
    </row>
    <row r="15" spans="1:6" ht="15.75" x14ac:dyDescent="0.25">
      <c r="A15" s="39" t="s">
        <v>31</v>
      </c>
      <c r="B15" s="39"/>
      <c r="C15" s="39"/>
      <c r="D15" s="39"/>
      <c r="E15" s="31"/>
      <c r="F15" s="31"/>
    </row>
    <row r="16" spans="1:6" ht="127.5" x14ac:dyDescent="0.25">
      <c r="A16" s="21" t="s">
        <v>13</v>
      </c>
      <c r="B16" s="22" t="s">
        <v>45</v>
      </c>
      <c r="C16" s="21" t="s">
        <v>19</v>
      </c>
      <c r="D16" s="23" t="s">
        <v>11</v>
      </c>
      <c r="E16" s="24"/>
      <c r="F16" s="24">
        <f>C16*E16</f>
        <v>0</v>
      </c>
    </row>
    <row r="17" spans="1:6" ht="102" x14ac:dyDescent="0.25">
      <c r="A17" s="21" t="s">
        <v>21</v>
      </c>
      <c r="B17" s="22" t="s">
        <v>46</v>
      </c>
      <c r="C17" s="21" t="s">
        <v>19</v>
      </c>
      <c r="D17" s="23" t="s">
        <v>11</v>
      </c>
      <c r="E17" s="24"/>
      <c r="F17" s="24">
        <f t="shared" ref="F17" si="1">C17*E17</f>
        <v>0</v>
      </c>
    </row>
    <row r="18" spans="1:6" ht="15.75" x14ac:dyDescent="0.25">
      <c r="A18" s="53" t="s">
        <v>37</v>
      </c>
      <c r="B18" s="53"/>
      <c r="C18" s="72"/>
      <c r="D18" s="73"/>
      <c r="E18" s="74"/>
      <c r="F18" s="26">
        <f>SUM(F16:F17)</f>
        <v>0</v>
      </c>
    </row>
    <row r="19" spans="1:6" ht="15.75" x14ac:dyDescent="0.25">
      <c r="A19" s="34" t="s">
        <v>32</v>
      </c>
      <c r="B19" s="34"/>
      <c r="C19" s="34"/>
      <c r="D19" s="34"/>
      <c r="E19" s="33"/>
      <c r="F19" s="31"/>
    </row>
    <row r="20" spans="1:6" ht="127.5" x14ac:dyDescent="0.25">
      <c r="A20" s="21" t="s">
        <v>22</v>
      </c>
      <c r="B20" s="22" t="s">
        <v>47</v>
      </c>
      <c r="C20" s="21" t="s">
        <v>19</v>
      </c>
      <c r="D20" s="23" t="s">
        <v>11</v>
      </c>
      <c r="E20" s="25"/>
      <c r="F20" s="24">
        <f>C20*E20</f>
        <v>0</v>
      </c>
    </row>
    <row r="21" spans="1:6" ht="102" x14ac:dyDescent="0.25">
      <c r="A21" s="21" t="s">
        <v>23</v>
      </c>
      <c r="B21" s="22" t="s">
        <v>48</v>
      </c>
      <c r="C21" s="21" t="s">
        <v>19</v>
      </c>
      <c r="D21" s="23" t="s">
        <v>11</v>
      </c>
      <c r="E21" s="25"/>
      <c r="F21" s="24">
        <f t="shared" ref="F21" si="2">C21*E21</f>
        <v>0</v>
      </c>
    </row>
    <row r="22" spans="1:6" ht="15.75" x14ac:dyDescent="0.25">
      <c r="A22" s="53" t="s">
        <v>38</v>
      </c>
      <c r="B22" s="53"/>
      <c r="C22" s="72"/>
      <c r="D22" s="73"/>
      <c r="E22" s="74"/>
      <c r="F22" s="26">
        <f>SUM(F20:F21)</f>
        <v>0</v>
      </c>
    </row>
    <row r="23" spans="1:6" ht="15.75" x14ac:dyDescent="0.25">
      <c r="A23" s="57" t="s">
        <v>33</v>
      </c>
      <c r="B23" s="58"/>
      <c r="C23" s="58"/>
      <c r="D23" s="58"/>
      <c r="E23" s="6"/>
      <c r="F23" s="32"/>
    </row>
    <row r="24" spans="1:6" ht="127.5" x14ac:dyDescent="0.25">
      <c r="A24" s="21" t="s">
        <v>24</v>
      </c>
      <c r="B24" s="22" t="s">
        <v>49</v>
      </c>
      <c r="C24" s="21" t="s">
        <v>19</v>
      </c>
      <c r="D24" s="23" t="s">
        <v>11</v>
      </c>
      <c r="E24" s="24"/>
      <c r="F24" s="24">
        <f>C24*E24</f>
        <v>0</v>
      </c>
    </row>
    <row r="25" spans="1:6" ht="102" x14ac:dyDescent="0.25">
      <c r="A25" s="21" t="s">
        <v>25</v>
      </c>
      <c r="B25" s="22" t="s">
        <v>50</v>
      </c>
      <c r="C25" s="21" t="s">
        <v>19</v>
      </c>
      <c r="D25" s="23" t="s">
        <v>11</v>
      </c>
      <c r="E25" s="24"/>
      <c r="F25" s="24">
        <f t="shared" ref="F25" si="3">C25*E25</f>
        <v>0</v>
      </c>
    </row>
    <row r="26" spans="1:6" ht="15.75" x14ac:dyDescent="0.25">
      <c r="A26" s="54" t="s">
        <v>39</v>
      </c>
      <c r="B26" s="56"/>
      <c r="C26" s="72"/>
      <c r="D26" s="73"/>
      <c r="E26" s="74"/>
      <c r="F26" s="26">
        <f>SUM(F24:F25)</f>
        <v>0</v>
      </c>
    </row>
    <row r="27" spans="1:6" ht="15.75" x14ac:dyDescent="0.25">
      <c r="A27" s="57" t="s">
        <v>34</v>
      </c>
      <c r="B27" s="58"/>
      <c r="C27" s="58"/>
      <c r="D27" s="58"/>
      <c r="E27" s="6"/>
      <c r="F27" s="6"/>
    </row>
    <row r="28" spans="1:6" ht="127.5" x14ac:dyDescent="0.25">
      <c r="A28" s="21" t="s">
        <v>26</v>
      </c>
      <c r="B28" s="22" t="s">
        <v>51</v>
      </c>
      <c r="C28" s="21" t="s">
        <v>28</v>
      </c>
      <c r="D28" s="23" t="s">
        <v>11</v>
      </c>
      <c r="E28" s="24"/>
      <c r="F28" s="24">
        <f>C28*E28</f>
        <v>0</v>
      </c>
    </row>
    <row r="29" spans="1:6" ht="102" x14ac:dyDescent="0.25">
      <c r="A29" s="21" t="s">
        <v>27</v>
      </c>
      <c r="B29" s="22" t="s">
        <v>52</v>
      </c>
      <c r="C29" s="21" t="s">
        <v>28</v>
      </c>
      <c r="D29" s="23" t="s">
        <v>11</v>
      </c>
      <c r="E29" s="24"/>
      <c r="F29" s="24">
        <f t="shared" ref="F29" si="4">C29*E29</f>
        <v>0</v>
      </c>
    </row>
    <row r="30" spans="1:6" ht="15.75" x14ac:dyDescent="0.25">
      <c r="A30" s="27"/>
      <c r="B30" s="28" t="s">
        <v>40</v>
      </c>
      <c r="C30" s="72"/>
      <c r="D30" s="73"/>
      <c r="E30" s="74"/>
      <c r="F30" s="29">
        <f>SUM(F28:F29)</f>
        <v>0</v>
      </c>
    </row>
    <row r="31" spans="1:6" ht="15.75" x14ac:dyDescent="0.25">
      <c r="A31" s="59" t="s">
        <v>14</v>
      </c>
      <c r="B31" s="59"/>
      <c r="C31" s="59"/>
      <c r="D31" s="59"/>
      <c r="E31" s="60"/>
      <c r="F31" s="7">
        <f>SUM(F10,F14,F18,F22,F26,F30)</f>
        <v>0</v>
      </c>
    </row>
    <row r="32" spans="1:6" ht="14.45" customHeight="1" x14ac:dyDescent="0.25">
      <c r="A32" s="61"/>
      <c r="B32" s="62"/>
      <c r="C32" s="18"/>
      <c r="D32" s="63"/>
      <c r="E32" s="64"/>
      <c r="F32" s="65"/>
    </row>
    <row r="33" spans="1:6" ht="15.75" x14ac:dyDescent="0.25">
      <c r="A33" s="11"/>
      <c r="B33" s="12"/>
      <c r="C33" s="19"/>
      <c r="D33" s="66"/>
      <c r="E33" s="67"/>
      <c r="F33" s="68"/>
    </row>
    <row r="34" spans="1:6" ht="15.75" x14ac:dyDescent="0.25">
      <c r="A34" s="11"/>
      <c r="B34" s="12"/>
      <c r="C34" s="19"/>
      <c r="D34" s="66"/>
      <c r="E34" s="67"/>
      <c r="F34" s="68"/>
    </row>
    <row r="35" spans="1:6" ht="15.75" x14ac:dyDescent="0.25">
      <c r="A35" s="11"/>
      <c r="B35" s="12"/>
      <c r="C35" s="19"/>
      <c r="D35" s="66"/>
      <c r="E35" s="67"/>
      <c r="F35" s="68"/>
    </row>
    <row r="36" spans="1:6" ht="15.75" x14ac:dyDescent="0.25">
      <c r="A36" s="11"/>
      <c r="B36" s="12"/>
      <c r="C36" s="19"/>
      <c r="D36" s="66"/>
      <c r="E36" s="67"/>
      <c r="F36" s="68"/>
    </row>
    <row r="37" spans="1:6" ht="15.75" x14ac:dyDescent="0.25">
      <c r="A37" s="11"/>
      <c r="B37" s="12"/>
      <c r="C37" s="19"/>
      <c r="D37" s="66"/>
      <c r="E37" s="67"/>
      <c r="F37" s="68"/>
    </row>
    <row r="38" spans="1:6" ht="15.75" x14ac:dyDescent="0.25">
      <c r="A38" s="11"/>
      <c r="B38" s="12"/>
      <c r="C38" s="19"/>
      <c r="D38" s="66"/>
      <c r="E38" s="67"/>
      <c r="F38" s="68"/>
    </row>
    <row r="39" spans="1:6" ht="15.75" x14ac:dyDescent="0.25">
      <c r="A39" s="13" t="s">
        <v>15</v>
      </c>
      <c r="B39" s="8"/>
      <c r="C39" s="19"/>
      <c r="D39" s="66"/>
      <c r="E39" s="67"/>
      <c r="F39" s="68"/>
    </row>
    <row r="40" spans="1:6" ht="15.75" x14ac:dyDescent="0.25">
      <c r="A40" s="14"/>
      <c r="B40" s="15"/>
      <c r="C40" s="19"/>
      <c r="D40" s="66"/>
      <c r="E40" s="67"/>
      <c r="F40" s="68"/>
    </row>
    <row r="41" spans="1:6" ht="15.75" x14ac:dyDescent="0.25">
      <c r="A41" s="16" t="s">
        <v>17</v>
      </c>
      <c r="B41" s="9"/>
      <c r="C41" s="19"/>
      <c r="D41" s="66"/>
      <c r="E41" s="67"/>
      <c r="F41" s="68"/>
    </row>
    <row r="42" spans="1:6" ht="15.75" x14ac:dyDescent="0.25">
      <c r="A42" s="11"/>
      <c r="B42" s="12"/>
      <c r="C42" s="19"/>
      <c r="D42" s="66"/>
      <c r="E42" s="67"/>
      <c r="F42" s="68"/>
    </row>
    <row r="43" spans="1:6" ht="15.75" x14ac:dyDescent="0.25">
      <c r="A43" s="16" t="s">
        <v>16</v>
      </c>
      <c r="B43" s="9"/>
      <c r="C43" s="19"/>
      <c r="D43" s="66"/>
      <c r="E43" s="67"/>
      <c r="F43" s="68"/>
    </row>
    <row r="44" spans="1:6" ht="15.75" x14ac:dyDescent="0.25">
      <c r="A44" s="17"/>
      <c r="B44" s="10"/>
      <c r="C44" s="20"/>
      <c r="D44" s="69"/>
      <c r="E44" s="70"/>
      <c r="F44" s="71"/>
    </row>
  </sheetData>
  <mergeCells count="25">
    <mergeCell ref="A22:B22"/>
    <mergeCell ref="A26:B26"/>
    <mergeCell ref="C14:E14"/>
    <mergeCell ref="C18:E18"/>
    <mergeCell ref="C22:E22"/>
    <mergeCell ref="C26:E26"/>
    <mergeCell ref="A23:D23"/>
    <mergeCell ref="A18:B18"/>
    <mergeCell ref="A27:D27"/>
    <mergeCell ref="A31:E31"/>
    <mergeCell ref="A32:B32"/>
    <mergeCell ref="D32:F44"/>
    <mergeCell ref="C30:E30"/>
    <mergeCell ref="A1:F1"/>
    <mergeCell ref="A7:D7"/>
    <mergeCell ref="A11:D11"/>
    <mergeCell ref="A15:D15"/>
    <mergeCell ref="A4:C4"/>
    <mergeCell ref="A2:C2"/>
    <mergeCell ref="A3:C3"/>
    <mergeCell ref="A5:C5"/>
    <mergeCell ref="D2:F5"/>
    <mergeCell ref="A10:B10"/>
    <mergeCell ref="C10:E10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HT940625QE017 (RFP)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Biser, Erin L CIV DHA DHA CONTRACTING ACT (USA)</dc:creator>
  <cp:lastModifiedBy>Belsches, Brittany N CIV DHA DHA CONTRACTING ACT (USA)</cp:lastModifiedBy>
  <dcterms:created xsi:type="dcterms:W3CDTF">2025-08-06T14:39:13Z</dcterms:created>
  <dcterms:modified xsi:type="dcterms:W3CDTF">2025-11-13T16:07:14Z</dcterms:modified>
</cp:coreProperties>
</file>