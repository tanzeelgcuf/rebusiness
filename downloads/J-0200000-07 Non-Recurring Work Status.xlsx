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2nd Draft/Section J/Attachments/"/>
    </mc:Choice>
  </mc:AlternateContent>
  <bookViews>
    <workbookView xWindow="-25320" yWindow="-2640" windowWidth="25440" windowHeight="15390" tabRatio="603" activeTab="1"/>
  </bookViews>
  <sheets>
    <sheet name="IDIQ LOG FACILITIES" sheetId="13" r:id="rId1"/>
    <sheet name="IDIQ LOG UTILITIES" sheetId="11" r:id="rId2"/>
    <sheet name="REPORT" sheetId="12" state="hidden" r:id="rId3"/>
    <sheet name="Breakdown" sheetId="14" state="hidden" r:id="rId4"/>
    <sheet name="Dropdown lists" sheetId="10" state="hidden" r:id="rId5"/>
  </sheets>
  <definedNames>
    <definedName name="_xlnm._FilterDatabase" localSheetId="3" hidden="1">Breakdown!$A$1:$AA$68</definedName>
    <definedName name="_xlnm._FilterDatabase" localSheetId="0" hidden="1">'IDIQ LOG FACILITIES'!#REF!</definedName>
    <definedName name="_GoBack" localSheetId="0">'IDIQ LOG FACILITIES'!#REF!</definedName>
    <definedName name="_GoBack" localSheetId="1">'IDIQ LOG UTILITIES'!#REF!</definedName>
    <definedName name="_xlnm.Print_Area" localSheetId="0">'IDIQ LOG FACILITIES'!$A:$Z</definedName>
    <definedName name="_xlnm.Print_Area" localSheetId="1">'IDIQ LOG UTILITIES'!$D$5:$AC$5</definedName>
    <definedName name="_xlnm.Print_Titles" localSheetId="0">'IDIQ LOG FACILITIES'!$A:$F,'IDIQ LOG FACILITIES'!$1:$1</definedName>
    <definedName name="_xlnm.Print_Titles" localSheetId="1">'IDIQ LOG UTILITIES'!$D:$H,'IDIQ LOG UTILITIES'!$4:$4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0" i="12" l="1"/>
  <c r="I65" i="12"/>
  <c r="P17" i="12"/>
  <c r="G59" i="12"/>
  <c r="F59" i="12"/>
  <c r="M8" i="12"/>
  <c r="C70" i="12"/>
  <c r="D70" i="12" s="1"/>
  <c r="E70" i="12" s="1"/>
  <c r="N57" i="12"/>
  <c r="P57" i="12" s="1"/>
  <c r="M74" i="12"/>
  <c r="M73" i="12"/>
  <c r="M72" i="12"/>
  <c r="M71" i="12"/>
  <c r="L74" i="12"/>
  <c r="L73" i="12"/>
  <c r="L72" i="12"/>
  <c r="L71" i="12"/>
  <c r="Q8" i="12"/>
  <c r="O8" i="12"/>
  <c r="I71" i="12"/>
  <c r="G71" i="12"/>
  <c r="H71" i="12" s="1"/>
  <c r="B65" i="12" l="1"/>
  <c r="C65" i="12"/>
  <c r="D65" i="12"/>
  <c r="E65" i="12"/>
  <c r="F65" i="12"/>
  <c r="G65" i="12"/>
  <c r="M63" i="12"/>
  <c r="M65" i="12" s="1"/>
  <c r="L63" i="12"/>
  <c r="L65" i="12" s="1"/>
  <c r="K63" i="12"/>
  <c r="K65" i="12" s="1"/>
  <c r="J63" i="12"/>
  <c r="J65" i="12" s="1"/>
  <c r="I63" i="12"/>
  <c r="H63" i="12"/>
  <c r="H65" i="12" s="1"/>
  <c r="Q57" i="12"/>
  <c r="Q7" i="11"/>
  <c r="L30" i="12" s="1"/>
  <c r="L31" i="12"/>
  <c r="N63" i="12" l="1"/>
  <c r="I70" i="12"/>
  <c r="G70" i="12" l="1"/>
  <c r="H70" i="12" s="1"/>
  <c r="N8" i="13" l="1"/>
  <c r="L29" i="12" s="1"/>
  <c r="C1" i="12"/>
  <c r="B2" i="11"/>
  <c r="L32" i="12" l="1"/>
</calcChain>
</file>

<file path=xl/comments1.xml><?xml version="1.0" encoding="utf-8"?>
<comments xmlns="http://schemas.openxmlformats.org/spreadsheetml/2006/main">
  <authors>
    <author>Armstrong, John</author>
    <author>tc={68A12301-F4E9-42ED-B52C-E16DFD158A50}</author>
  </authors>
  <commentList>
    <comment ref="K54" authorId="0" shapeId="0">
      <text>
        <r>
          <rPr>
            <b/>
            <sz val="9"/>
            <color indexed="81"/>
            <rFont val="Tahoma"/>
            <family val="2"/>
          </rPr>
          <t>Armstrong, John:</t>
        </r>
        <r>
          <rPr>
            <sz val="9"/>
            <color indexed="81"/>
            <rFont val="Tahoma"/>
            <family val="2"/>
          </rPr>
          <t xml:space="preserve">
IAN Funded</t>
        </r>
      </text>
    </comment>
    <comment ref="K55" authorId="1" shapeId="0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IAN</t>
        </r>
      </text>
    </comment>
  </commentList>
</comments>
</file>

<file path=xl/sharedStrings.xml><?xml version="1.0" encoding="utf-8"?>
<sst xmlns="http://schemas.openxmlformats.org/spreadsheetml/2006/main" count="772" uniqueCount="390">
  <si>
    <t>N/A</t>
  </si>
  <si>
    <t>TBD</t>
  </si>
  <si>
    <t>IDIQ Progress Log</t>
  </si>
  <si>
    <t>As of:</t>
  </si>
  <si>
    <t>WO Number</t>
  </si>
  <si>
    <t>Description</t>
  </si>
  <si>
    <t>Asset 
Number</t>
  </si>
  <si>
    <t>Site</t>
  </si>
  <si>
    <t>LOL</t>
  </si>
  <si>
    <t>Work Order 
Received</t>
  </si>
  <si>
    <t>POP
(days)</t>
  </si>
  <si>
    <t>Proposal Amount</t>
  </si>
  <si>
    <t>Submitted to Government</t>
  </si>
  <si>
    <t>Notes</t>
  </si>
  <si>
    <t>Jacobs</t>
  </si>
  <si>
    <t>RFP</t>
  </si>
  <si>
    <t>Government</t>
  </si>
  <si>
    <t>Submitted</t>
  </si>
  <si>
    <t>TO</t>
  </si>
  <si>
    <t xml:space="preserve"> </t>
  </si>
  <si>
    <t>Complete</t>
  </si>
  <si>
    <t>Days with Jacobs</t>
  </si>
  <si>
    <t>Days with Gov't</t>
  </si>
  <si>
    <t>BSVE</t>
  </si>
  <si>
    <t>REA</t>
  </si>
  <si>
    <t>CAT-1</t>
  </si>
  <si>
    <t>OWWO</t>
  </si>
  <si>
    <t>CAT-2</t>
  </si>
  <si>
    <t>IDIQ type</t>
  </si>
  <si>
    <t>Status Menu</t>
  </si>
  <si>
    <t>CAT-3</t>
  </si>
  <si>
    <t>CAT-4</t>
  </si>
  <si>
    <t>PM-CM</t>
  </si>
  <si>
    <t>Hold</t>
  </si>
  <si>
    <t>Subcontractor</t>
  </si>
  <si>
    <t>dropdown menu lists:</t>
  </si>
  <si>
    <t>Action menu</t>
  </si>
  <si>
    <t>To clear filters, click "Data" tab on the top menu, "sort &amp; filter" on the ribbon, then click "clear"</t>
  </si>
  <si>
    <t>Estimated Completion Date (ECD)</t>
  </si>
  <si>
    <t>Actual Completion Date</t>
  </si>
  <si>
    <t>INT</t>
  </si>
  <si>
    <t>Rae Hosler</t>
  </si>
  <si>
    <t>QA
Sign-Off</t>
  </si>
  <si>
    <t>PAR
Sign-Off</t>
  </si>
  <si>
    <t>Waiting Material</t>
  </si>
  <si>
    <t>Gov't Review</t>
  </si>
  <si>
    <t>Jacobs POC</t>
  </si>
  <si>
    <t>Planning</t>
  </si>
  <si>
    <t>Execution</t>
  </si>
  <si>
    <t>ER</t>
  </si>
  <si>
    <t>Status of Job</t>
  </si>
  <si>
    <t>A117280</t>
  </si>
  <si>
    <t>Invoice Date</t>
  </si>
  <si>
    <t>Invoiced</t>
  </si>
  <si>
    <t>Total</t>
  </si>
  <si>
    <t>Ready for Invoice</t>
  </si>
  <si>
    <t>Grand Total</t>
  </si>
  <si>
    <t>FACILITIES</t>
  </si>
  <si>
    <t>UTILITIES</t>
  </si>
  <si>
    <t>Count of Status of job</t>
  </si>
  <si>
    <t>Pending Invoice Approval</t>
  </si>
  <si>
    <t>Row Labels</t>
  </si>
  <si>
    <t>Count of Status of Job</t>
  </si>
  <si>
    <t>ROM</t>
  </si>
  <si>
    <t xml:space="preserve">current as of </t>
  </si>
  <si>
    <t>Invoice Rejected</t>
  </si>
  <si>
    <t>Port Ops</t>
  </si>
  <si>
    <t>Fuel Farm</t>
  </si>
  <si>
    <t>PAR
Sign-Off Date</t>
  </si>
  <si>
    <t>Date of 
Site Visit</t>
  </si>
  <si>
    <t>IDIQ Type</t>
  </si>
  <si>
    <t>Party Performing Work</t>
  </si>
  <si>
    <t>Pre-Con Date</t>
  </si>
  <si>
    <t>Government Award Date</t>
  </si>
  <si>
    <t>Utility</t>
  </si>
  <si>
    <t>Electrical</t>
  </si>
  <si>
    <t>Steam</t>
  </si>
  <si>
    <t>Water</t>
  </si>
  <si>
    <t>Waste Water</t>
  </si>
  <si>
    <t>A117291</t>
  </si>
  <si>
    <t>Priority</t>
  </si>
  <si>
    <t>Critical Date</t>
  </si>
  <si>
    <t>Next Action</t>
  </si>
  <si>
    <t>IN-KIND</t>
  </si>
  <si>
    <t>EXECUTION</t>
  </si>
  <si>
    <t>Nolan Green</t>
  </si>
  <si>
    <t>Zone</t>
  </si>
  <si>
    <t>Dave Strickland</t>
  </si>
  <si>
    <t>Compressor Air</t>
  </si>
  <si>
    <t>Compressor Air - Heckscher Fuel Farm</t>
  </si>
  <si>
    <t>Air Compressor #1</t>
  </si>
  <si>
    <t>Air Compressor #2</t>
  </si>
  <si>
    <t>Air Compressor (For Control Air)</t>
  </si>
  <si>
    <t>Compressor - Drier Air - Chapel</t>
  </si>
  <si>
    <t>PM - Roll Gate 191 East - DLA</t>
  </si>
  <si>
    <t>Door Powered R/U #1 of 6</t>
  </si>
  <si>
    <t>Door Powered R/U #2 of 6</t>
  </si>
  <si>
    <t>Door Powered R/U #3 of 6</t>
  </si>
  <si>
    <t>Door Powered R/U #4 of 6</t>
  </si>
  <si>
    <t>Door Powered R/U #5 of 6</t>
  </si>
  <si>
    <t>Door Powered R/U #6 of 6</t>
  </si>
  <si>
    <t>Fans Exhaust - Fan Roof, Direct Drive - Hsl46 roof</t>
  </si>
  <si>
    <t>Air Cooled Chiller</t>
  </si>
  <si>
    <t>Condenser Unit Located out on the point</t>
  </si>
  <si>
    <t>Air Handler</t>
  </si>
  <si>
    <t>DX Straight Cool Air Handling Unit with heat (note: condenser still operable)</t>
  </si>
  <si>
    <t>Ductless Split System - Air Handler 2 Ton - Computer Cove</t>
  </si>
  <si>
    <t>Ductless Split System - Condensing Unit 2 Ton - Mezzanine</t>
  </si>
  <si>
    <t>Low Sulfur Diesel Fuel - 350 Gal - FISC(s side FP) 191B (Zone 1)</t>
  </si>
  <si>
    <t>Above Ground Tank, 2000 Gallon - Used Oil  (Zone 4)</t>
  </si>
  <si>
    <t>Above Ground Tank, 10000 Gallon - Fuel Oil  (Zone 4)</t>
  </si>
  <si>
    <t>Grease and Grit Traps - Car Wash</t>
  </si>
  <si>
    <t>Chiller</t>
  </si>
  <si>
    <t>Tankless Hot Water Heater - Use: Heat/Vac (1 OF 1)</t>
  </si>
  <si>
    <t>MAYPOR-2025</t>
  </si>
  <si>
    <t>MAYFISC-104</t>
  </si>
  <si>
    <t>MAYPOR-1586</t>
  </si>
  <si>
    <t>MAYPOR-1585</t>
  </si>
  <si>
    <t>MAYPOR-1587</t>
  </si>
  <si>
    <t>MAYPOR-350</t>
  </si>
  <si>
    <t>MAYPOR-191</t>
  </si>
  <si>
    <t>MAYPOR-1430</t>
  </si>
  <si>
    <t>MAYPOR-1552</t>
  </si>
  <si>
    <t>RIBBAY-1960</t>
  </si>
  <si>
    <t>MAYPOR-2105</t>
  </si>
  <si>
    <t>MAYPOR-351</t>
  </si>
  <si>
    <t>MAYPOR-2211</t>
  </si>
  <si>
    <t>MAYPOR-1391</t>
  </si>
  <si>
    <t>MAYPOR-245</t>
  </si>
  <si>
    <t>MAYPOR-1553</t>
  </si>
  <si>
    <t>MAYPOR-471</t>
  </si>
  <si>
    <t>MAYPOR-1</t>
  </si>
  <si>
    <t>MAYPOR-1488</t>
  </si>
  <si>
    <t>MAYPOR-1342</t>
  </si>
  <si>
    <t>MAYPOR-1461</t>
  </si>
  <si>
    <t>MAYPOR-1878</t>
  </si>
  <si>
    <t>MAYPOR-349</t>
  </si>
  <si>
    <t>MAYPOR-1316</t>
  </si>
  <si>
    <t>MAYPOR-413</t>
  </si>
  <si>
    <t>MYP-2025-VAC-01</t>
  </si>
  <si>
    <t>A134426</t>
  </si>
  <si>
    <t>A131094</t>
  </si>
  <si>
    <t>A131095</t>
  </si>
  <si>
    <t>A131081</t>
  </si>
  <si>
    <t>A131082</t>
  </si>
  <si>
    <t>A131118</t>
  </si>
  <si>
    <t>A131119</t>
  </si>
  <si>
    <t>A116040</t>
  </si>
  <si>
    <t>MYP-191-RG-02</t>
  </si>
  <si>
    <t>MYP-1430-EOD-01</t>
  </si>
  <si>
    <t>MYP-1430-EOD-02</t>
  </si>
  <si>
    <t>MYP-1430-EOD-03</t>
  </si>
  <si>
    <t>MYP-1430-EOD-04</t>
  </si>
  <si>
    <t>MYP-1430-EOD-05</t>
  </si>
  <si>
    <t>MYP-1430-EOD-06</t>
  </si>
  <si>
    <t>A116272</t>
  </si>
  <si>
    <t>MYP-1552-WCG-04</t>
  </si>
  <si>
    <t>A117239</t>
  </si>
  <si>
    <t>A130676</t>
  </si>
  <si>
    <t>A131973</t>
  </si>
  <si>
    <t>A131974</t>
  </si>
  <si>
    <t>A134698</t>
  </si>
  <si>
    <t>A132423</t>
  </si>
  <si>
    <t>A132424</t>
  </si>
  <si>
    <t>A117906</t>
  </si>
  <si>
    <t>A117505</t>
  </si>
  <si>
    <t>A117506</t>
  </si>
  <si>
    <t>A117490</t>
  </si>
  <si>
    <t>A117433</t>
  </si>
  <si>
    <t>A137915</t>
  </si>
  <si>
    <t>A117479</t>
  </si>
  <si>
    <t>A117501</t>
  </si>
  <si>
    <t>MYP-1488-AGT-03</t>
  </si>
  <si>
    <t>MYP-1488-AGT-04</t>
  </si>
  <si>
    <t>A117497</t>
  </si>
  <si>
    <t>A117499</t>
  </si>
  <si>
    <t>A117514</t>
  </si>
  <si>
    <t>A117451</t>
  </si>
  <si>
    <t>A117456</t>
  </si>
  <si>
    <t>MYP-2105-AGT-01</t>
  </si>
  <si>
    <t>A117464</t>
  </si>
  <si>
    <t>A117790</t>
  </si>
  <si>
    <t>A130690</t>
  </si>
  <si>
    <t>A134758</t>
  </si>
  <si>
    <t>BREAK-DOWN LIST</t>
  </si>
  <si>
    <t>Tagged out of service, inoperable</t>
  </si>
  <si>
    <t>Inoperable, controller needs to be replaced. IDIQ work order 853187 waiting approval</t>
  </si>
  <si>
    <t>Abandoned, electronic controls installed</t>
  </si>
  <si>
    <t>Does not exist, removed</t>
  </si>
  <si>
    <t>Electric gate - inoperable due to bad control board. IDIQ WO 919593 sent for approval- Ricky Shepheard cancelled request on 4/30/21.</t>
  </si>
  <si>
    <t>Corroded, no longer functional, IDIQ work order 1492882 waiting approval</t>
  </si>
  <si>
    <t>Out of service</t>
  </si>
  <si>
    <t>Out of service, IDIQ work order 984495 in progress</t>
  </si>
  <si>
    <t>Out of service, IDIQ work order 1293338 waiting approval</t>
  </si>
  <si>
    <t>Abandoned, no longer used</t>
  </si>
  <si>
    <t>Inoperable</t>
  </si>
  <si>
    <t xml:space="preserve">Abandoned, no longer used. </t>
  </si>
  <si>
    <t>Does not exist, removed and replaced with natural gas line</t>
  </si>
  <si>
    <t>Abandoned, no longer used but contains fuel oil</t>
  </si>
  <si>
    <t>Abandoned, no longer used (supports deteriorated)</t>
  </si>
  <si>
    <t>Temporary chiller in place, asset is inoperable</t>
  </si>
  <si>
    <t>Inoperable, controller needs to be replaced. IDIQ work order 853187 waiting approval
WO 1339745 servicing temp compressor until original is fixed</t>
  </si>
  <si>
    <t>Out of service - emailed Tim</t>
  </si>
  <si>
    <t>Out of service, IDIQ work order 984495 in progress - emailed Tim</t>
  </si>
  <si>
    <t>Out of service, IDIQ work order 1293338 waiting approval - emailed Tim</t>
  </si>
  <si>
    <t>Inoperable
may need to send ROM</t>
  </si>
  <si>
    <t>Abandoned, no longer used
may need to send ROM - wo 1697602 states oil level empty - do we still need to pm?</t>
  </si>
  <si>
    <t>Abandoned, no longer used
may need to send ROM - wo 1697534 states fuel level empty - do we still need to pm?</t>
  </si>
  <si>
    <t>Abandoned, no longer used
may need to send ROM - wo 1697656 states fuel level empty - do we still need to pm?</t>
  </si>
  <si>
    <t>Abandoned, no longer used but contains fuel oil
may need to send ROM but tank contains fuel so keep pm on</t>
  </si>
  <si>
    <t>Abandoned, no longer used (supports deteriorated)
may need to send ROM - wo 1697506 states fuel level empty - do we still need to pm?</t>
  </si>
  <si>
    <t>BREAKDOWN</t>
  </si>
  <si>
    <t>MYP-3-BFP-00</t>
  </si>
  <si>
    <t>MAYPOR-3</t>
  </si>
  <si>
    <t>Should be removed from 1502000-22 in future mod</t>
  </si>
  <si>
    <t>MYP-1600-BFP-04</t>
  </si>
  <si>
    <t>MAYPOR-1600</t>
  </si>
  <si>
    <t>Should be removed from 1502000-23 in future mod</t>
  </si>
  <si>
    <t>MYP-1613-BFP-04</t>
  </si>
  <si>
    <t>MAYPOR-1613</t>
  </si>
  <si>
    <t>Attached to irrigation system no longer in use/abandoned in place</t>
  </si>
  <si>
    <t>A125260</t>
  </si>
  <si>
    <t>Fire Alarm - Navy Lodge (Annunciator)</t>
  </si>
  <si>
    <t>MAYPOR-1980</t>
  </si>
  <si>
    <t>Panel has been removed. All zones moved to the Kingfisher</t>
  </si>
  <si>
    <t>Should be removed from 1502000-17 in future mod</t>
  </si>
  <si>
    <t>Should be removed from 1502000-25 in future mod</t>
  </si>
  <si>
    <t>Tank emptied and closed/abandoned in place</t>
  </si>
  <si>
    <t>A117489</t>
  </si>
  <si>
    <t>Backflow Devices 1"-RP - South Of Building At Fence, Tag #183</t>
  </si>
  <si>
    <t>Backflow Devices 1"-RP - West Side Of Building, Tag #200</t>
  </si>
  <si>
    <t>A117626</t>
  </si>
  <si>
    <t>A117625</t>
  </si>
  <si>
    <t>MAYFISC-38</t>
  </si>
  <si>
    <t>MAYFISC-25</t>
  </si>
  <si>
    <t>Abandoned, no water supply to device</t>
  </si>
  <si>
    <t>MAYFISC-25 demolished and replaced with MAYFISC-2669, backflow removed</t>
  </si>
  <si>
    <t>A125012</t>
  </si>
  <si>
    <t>A117487</t>
  </si>
  <si>
    <t>A117488</t>
  </si>
  <si>
    <t>A117457</t>
  </si>
  <si>
    <t>A117496</t>
  </si>
  <si>
    <t>A117493</t>
  </si>
  <si>
    <t>A117462</t>
  </si>
  <si>
    <t>A117463</t>
  </si>
  <si>
    <t>Aboveground Tank - Oily Waste Water - 1442-3,  303,453 Gallons  (Zone 4)</t>
  </si>
  <si>
    <t>MAYPOR-1442</t>
  </si>
  <si>
    <t>MAYPOR-234</t>
  </si>
  <si>
    <t>MAYPOR-25</t>
  </si>
  <si>
    <t>MAYPOR-338</t>
  </si>
  <si>
    <t>Tank is empty and no longer used.</t>
  </si>
  <si>
    <t>This tank has been closed.</t>
  </si>
  <si>
    <t>Cheryl Miller</t>
  </si>
  <si>
    <t>Finished</t>
  </si>
  <si>
    <t>A124785</t>
  </si>
  <si>
    <t>A124988</t>
  </si>
  <si>
    <t>A117507</t>
  </si>
  <si>
    <t>A124588</t>
  </si>
  <si>
    <t>A124589</t>
  </si>
  <si>
    <t>Backflow Devices -DCVA 2"- West side of bldg., Tag # 393</t>
  </si>
  <si>
    <t>Valve #1021 Montreal St. North of Assisi Lane South valve 8"</t>
  </si>
  <si>
    <t>Valve #1022 Montreal St. North of Assisi Lane East valve 8"</t>
  </si>
  <si>
    <t>MAYPOR-GROUNDS</t>
  </si>
  <si>
    <t>MAYPOR-WTR-VLV</t>
  </si>
  <si>
    <t>Removed and capped off</t>
  </si>
  <si>
    <t>Removed after a tree fell on the guard shack and the station was removed. Also listed on 1502000-22 at facility #1962.</t>
  </si>
  <si>
    <t>Tank removed and not replaced</t>
  </si>
  <si>
    <t>Waiting Funding</t>
  </si>
  <si>
    <t>On the Shelf</t>
  </si>
  <si>
    <t>SUBMITTED</t>
  </si>
  <si>
    <t>FUNDED BY OTHERS</t>
  </si>
  <si>
    <t>ON THE SHELF</t>
  </si>
  <si>
    <t>WAITING FUNDING</t>
  </si>
  <si>
    <t>Rework</t>
  </si>
  <si>
    <t>John Armstrong</t>
  </si>
  <si>
    <t>Alex Reyes</t>
  </si>
  <si>
    <t>Inoperable, shafts seized. IN-KIND WO 731356 waiting approval</t>
  </si>
  <si>
    <t>Inoperable, shafts seized. IN-KIND WO 731356 waiting approval
WO 1075789 Exhaust fan in good working order some rust did some corrosion control.</t>
  </si>
  <si>
    <t>Boiler Sys - Bldg. 1960 - Water Heat - Hot Water</t>
  </si>
  <si>
    <t>Boiler Sys - Bldg. 2105 - Heat/HVAC</t>
  </si>
  <si>
    <t>Boiler Sys - Bldg. 1552 - Hot Water</t>
  </si>
  <si>
    <t>Boiler Sys - Bldg. 191 - Firetube - Heat/HVAC - York Shipley</t>
  </si>
  <si>
    <t xml:space="preserve">Inoperable,  IDIQ work order 1194865 Approved, WMATL. </t>
  </si>
  <si>
    <t xml:space="preserve">Inoperable,  IDIQ work order 1194865 Approved, WMATL.
wo 1346996 pm completed </t>
  </si>
  <si>
    <t>Inoperable, bldg. unoccupied</t>
  </si>
  <si>
    <t>Inoperable, bldg. unoccupied
may need to send ROM</t>
  </si>
  <si>
    <t>Aboveground Tank - Bldg. 1553 - Used Oil, 1553-2, 300 Gallon (ZONE 3)</t>
  </si>
  <si>
    <t>Above ground Tank - Bldg. 1553 - Used Oil - N1553 500GL (ZONE 3)</t>
  </si>
  <si>
    <t>Abandoned, no longer used
may need to send ROM - wo 1530224 states leak gauge empty - do we still need to pm?</t>
  </si>
  <si>
    <t>Aboveground Tank - Bldg. 1587 - Fuel Oil, Heating, 2287 Day Tank, Fuel in Secondary Containment (Zone 1)</t>
  </si>
  <si>
    <t>Aboveground Tank - Bldg. 471 - Diesel, Emer Gen - G471 1000 gal  (Zone 4)</t>
  </si>
  <si>
    <t>Aboveground Tank - Bldg. 1 - Fuel Oil, 50 Gallons (Zone 1)</t>
  </si>
  <si>
    <t>Underground Tank - Bldg. 1363 - Fuel Oil, Heating, N1363, 7,500 Gal (Zone 1)</t>
  </si>
  <si>
    <t>Underground Tank - Bldg. 1488 - Used Oil - N1490 Used oil 2K (ZONE 2)</t>
  </si>
  <si>
    <t>Underground Tank - Bldg. 1338 - Used Oil - N1342, 560 Gallons (Zone 3)</t>
  </si>
  <si>
    <t>Underground Tank - Bldg. 1461 - Used Oil/Separator  C1 Pier</t>
  </si>
  <si>
    <t>Aboveground Tank - Bldg. 1552 - Diesel - N1552, 250 Gallons (ZONE 3)</t>
  </si>
  <si>
    <t>Aboveground Tank 2208 - Bldg. 1878 (Zone 2) - Diesel, Emer Gen, 600 GAL</t>
  </si>
  <si>
    <t>Aboveground Tank - Bldg. 191 - Fuel Oil, Heating- Tank N191A, 6000 Gallons (Zone 1)</t>
  </si>
  <si>
    <t>Aboveground Tank - Bldg. 2105 - Fuel Oil, 3500 Gallons</t>
  </si>
  <si>
    <t>Aboveground Tank - Bldg. 349 - Fuel Oil, Heating - Tank 2268, 350 Gallons (Zone 1)</t>
  </si>
  <si>
    <t>Bldg. under renovations, Noritz unit removed. Switching to gas fired system.</t>
  </si>
  <si>
    <t>Backflow Devices 2" - RP - Southside of bldg.</t>
  </si>
  <si>
    <t>Backflow Devices - RP 1.5"- Westside of bldg.</t>
  </si>
  <si>
    <t>Aboveground Tank - Bldg. 1587 - Fuel Oil, Heating, Tank 2287, 4000 Gallons (Zone 1)</t>
  </si>
  <si>
    <t>Underground Tank - Bldg. 1585 - Fuel Oil, Heating, N1585, 5000 Gallons (Zone 1)</t>
  </si>
  <si>
    <t>Underground Tank - Bldg. 1586 - Fuel Oil, Heating, N1586, 5000 Gallons (Zone 1)</t>
  </si>
  <si>
    <t>Aboveground Tank - Bldg. 191 - Fuel Oil, Heating - Tank N191B, 350 Gallon (Zone 1)</t>
  </si>
  <si>
    <t>Aboveground Tank - Bldg. 234 - Used Oil - Tank N234C, 560 Gallons (Zone 2)</t>
  </si>
  <si>
    <t>Aboveground Tank - Bldg. 25 (Zone 2) - Used Oil - Tank 25, 500 Gallon</t>
  </si>
  <si>
    <t>Aboveground Tank - Bldg. 298 - Fuel Oil, Heating, N298, 1000 Gallons (Zone 1)</t>
  </si>
  <si>
    <t>Underground Tank - Bldg. 338 - Fuel Oil, Heating, 338A, 5000 Gallons (Zone 1)</t>
  </si>
  <si>
    <t>Backflow Devices -DCVA 1.5"- East side of Mayport rd, north of bldg. 1962, Device #725</t>
  </si>
  <si>
    <t>Underground Tank - Bldg. 1613 - Used Oil - N1863 1000 Gal  (Zone 4)</t>
  </si>
  <si>
    <t>Bldg.</t>
  </si>
  <si>
    <t>Breakdown</t>
  </si>
  <si>
    <t>Various</t>
  </si>
  <si>
    <t>Joe Keeler</t>
  </si>
  <si>
    <t xml:space="preserve">Suggested search technique:  use filters to find work order # or bldg. #. Data may be hidden if filters are in place. </t>
  </si>
  <si>
    <t>.</t>
  </si>
  <si>
    <t>Government   Award Date</t>
  </si>
  <si>
    <t>In Sub-Contracts</t>
  </si>
  <si>
    <t>In Scoping -Ops</t>
  </si>
  <si>
    <t>Cancelled</t>
  </si>
  <si>
    <t>Proposal under Review by Jacobs MGT</t>
  </si>
  <si>
    <t>Jacobs &amp; Sub</t>
  </si>
  <si>
    <t xml:space="preserve">Party </t>
  </si>
  <si>
    <t>High Voltage</t>
  </si>
  <si>
    <t>Enviro</t>
  </si>
  <si>
    <t>HVAC Mayport</t>
  </si>
  <si>
    <t>Electrical Mayport</t>
  </si>
  <si>
    <t>Mech Mayport</t>
  </si>
  <si>
    <t>Carp Mayport</t>
  </si>
  <si>
    <t>Mechanic</t>
  </si>
  <si>
    <t>Plumbing Mayport</t>
  </si>
  <si>
    <t>Painting Mayport</t>
  </si>
  <si>
    <t xml:space="preserve">Combined Shops Mayport </t>
  </si>
  <si>
    <t>Facilities</t>
  </si>
  <si>
    <t xml:space="preserve">Revalidation </t>
  </si>
  <si>
    <t>IDIQ Team</t>
  </si>
  <si>
    <t>MBOS PM</t>
  </si>
  <si>
    <t>Gene T</t>
  </si>
  <si>
    <t xml:space="preserve">O&amp;A ROM </t>
  </si>
  <si>
    <t>O&amp;A RFP</t>
  </si>
  <si>
    <t>Pool</t>
  </si>
  <si>
    <t>RFP Storm</t>
  </si>
  <si>
    <t>Piers</t>
  </si>
  <si>
    <t>Jarrad Hampton</t>
  </si>
  <si>
    <t>Template row</t>
  </si>
  <si>
    <t>Mark Killmer</t>
  </si>
  <si>
    <t>Declined/     Canceled</t>
  </si>
  <si>
    <t>Outside Contract Direct Pay</t>
  </si>
  <si>
    <t>HVAC Controls</t>
  </si>
  <si>
    <t>RFI's to Gov't</t>
  </si>
  <si>
    <t>RFI's from Gov't</t>
  </si>
  <si>
    <t>Proposal Preparation</t>
  </si>
  <si>
    <t>Accounting</t>
  </si>
  <si>
    <t>Environmental</t>
  </si>
  <si>
    <t>FAC</t>
  </si>
  <si>
    <t>Annualized</t>
  </si>
  <si>
    <t xml:space="preserve">Total </t>
  </si>
  <si>
    <t>Average</t>
  </si>
  <si>
    <t>&lt;</t>
  </si>
  <si>
    <t>&gt;</t>
  </si>
  <si>
    <t>Month Total</t>
  </si>
  <si>
    <t xml:space="preserve">Average Per Month </t>
  </si>
  <si>
    <t xml:space="preserve">Annualized </t>
  </si>
  <si>
    <t>Fees and Profit (9.5%)</t>
  </si>
  <si>
    <t>Monthly Avg  Fee and Profit (9.5%)</t>
  </si>
  <si>
    <t>13 Months</t>
  </si>
  <si>
    <t>July 22- Current</t>
  </si>
  <si>
    <t>Joe &amp; John</t>
  </si>
  <si>
    <t>42 Months</t>
  </si>
  <si>
    <t>Jan 19 to July 22</t>
  </si>
  <si>
    <t>Everyone else</t>
  </si>
  <si>
    <t>Profit 6.5%</t>
  </si>
  <si>
    <t>Colette Snelling</t>
  </si>
  <si>
    <t>FINISHED/Complete</t>
  </si>
  <si>
    <t>Start</t>
  </si>
  <si>
    <t>End</t>
  </si>
  <si>
    <t>Count</t>
  </si>
  <si>
    <t>Facilites</t>
  </si>
  <si>
    <t>Utilites</t>
  </si>
  <si>
    <t>Sub-Total Function</t>
  </si>
  <si>
    <t>Current Month Awards (filter on tabs needed)</t>
  </si>
  <si>
    <t xml:space="preserve">Funded </t>
  </si>
  <si>
    <t>Amount</t>
  </si>
  <si>
    <t>Fire &amp; Safety</t>
  </si>
  <si>
    <t>Misc Utility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</si>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</sst>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m/dd/yyyy"/>
    <numFmt numFmtId="167" formatCode="&quot;$&quot;#,##0.00"/>
    <numFmt numFmtId="171" formatCode="[$-409]mmmm\ d\,\ yyyy;@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4C6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6FC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74">
    <xf numFmtId="0" fontId="0" fillId="0" borderId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19" fillId="4" borderId="0" applyNumberFormat="0" applyBorder="0" applyAlignment="0" applyProtection="0"/>
    <xf numFmtId="0" fontId="23" fillId="6" borderId="12" applyNumberFormat="0" applyAlignment="0" applyProtection="0"/>
    <xf numFmtId="0" fontId="25" fillId="7" borderId="15" applyNumberFormat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21" fillId="5" borderId="12" applyNumberFormat="0" applyAlignment="0" applyProtection="0"/>
    <xf numFmtId="0" fontId="24" fillId="0" borderId="14" applyNumberFormat="0" applyFill="0" applyAlignment="0" applyProtection="0"/>
    <xf numFmtId="0" fontId="20" fillId="2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32" borderId="17" applyNumberFormat="0" applyFont="0" applyAlignment="0" applyProtection="0"/>
    <xf numFmtId="0" fontId="22" fillId="6" borderId="13" applyNumberFormat="0" applyAlignment="0" applyProtection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2" borderId="17" applyNumberFormat="0" applyFont="0" applyAlignment="0" applyProtection="0"/>
  </cellStyleXfs>
  <cellXfs count="325">
    <xf numFmtId="0" fontId="0" fillId="0" borderId="0" xfId="0"/>
    <xf numFmtId="14" fontId="2" fillId="0" borderId="0" xfId="29" applyNumberFormat="1" applyFont="1" applyFill="1" applyAlignment="1"/>
    <xf numFmtId="0" fontId="2" fillId="0" borderId="0" xfId="0" applyFont="1" applyFill="1" applyAlignment="1"/>
    <xf numFmtId="44" fontId="2" fillId="0" borderId="0" xfId="31" applyFont="1" applyFill="1" applyAlignment="1">
      <alignment horizontal="left" vertical="top"/>
    </xf>
    <xf numFmtId="0" fontId="2" fillId="0" borderId="0" xfId="0" applyFont="1" applyAlignment="1">
      <alignment horizontal="right"/>
    </xf>
    <xf numFmtId="2" fontId="2" fillId="0" borderId="0" xfId="29" applyNumberFormat="1" applyFont="1" applyFill="1" applyAlignment="1"/>
    <xf numFmtId="44" fontId="2" fillId="0" borderId="0" xfId="31" applyFont="1" applyAlignment="1">
      <alignment horizontal="right"/>
    </xf>
    <xf numFmtId="43" fontId="2" fillId="0" borderId="0" xfId="29" applyFont="1" applyFill="1" applyAlignment="1"/>
    <xf numFmtId="14" fontId="2" fillId="0" borderId="0" xfId="29" applyNumberFormat="1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4" fontId="2" fillId="0" borderId="1" xfId="3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64" fontId="2" fillId="0" borderId="0" xfId="29" applyNumberFormat="1" applyFont="1" applyFill="1" applyAlignment="1">
      <alignment horizontal="center"/>
    </xf>
    <xf numFmtId="0" fontId="2" fillId="0" borderId="0" xfId="0" applyFont="1"/>
    <xf numFmtId="44" fontId="2" fillId="0" borderId="0" xfId="31" applyFont="1" applyFill="1" applyAlignment="1">
      <alignment horizontal="center"/>
    </xf>
    <xf numFmtId="37" fontId="2" fillId="0" borderId="0" xfId="29" applyNumberFormat="1" applyFont="1" applyAlignment="1">
      <alignment horizontal="center"/>
    </xf>
    <xf numFmtId="14" fontId="2" fillId="0" borderId="0" xfId="29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29" applyNumberFormat="1" applyFont="1" applyFill="1" applyAlignment="1">
      <alignment horizontal="center"/>
    </xf>
    <xf numFmtId="14" fontId="2" fillId="0" borderId="0" xfId="29" applyNumberFormat="1" applyFont="1" applyFill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1" fontId="2" fillId="0" borderId="0" xfId="0" applyNumberFormat="1" applyFont="1"/>
    <xf numFmtId="165" fontId="2" fillId="0" borderId="1" xfId="3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4" fontId="2" fillId="0" borderId="0" xfId="3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31" applyNumberFormat="1" applyFont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0" xfId="31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4" fontId="2" fillId="0" borderId="0" xfId="30" applyFont="1"/>
    <xf numFmtId="44" fontId="2" fillId="0" borderId="1" xfId="3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1" fontId="2" fillId="0" borderId="0" xfId="29" applyNumberFormat="1" applyFont="1" applyFill="1" applyBorder="1" applyAlignment="1">
      <alignment horizontal="center" vertical="center" wrapText="1"/>
    </xf>
    <xf numFmtId="44" fontId="2" fillId="0" borderId="0" xfId="31" applyFont="1" applyFill="1" applyBorder="1" applyAlignment="1">
      <alignment horizontal="center" vertical="center" wrapText="1"/>
    </xf>
    <xf numFmtId="44" fontId="2" fillId="0" borderId="0" xfId="30" applyFont="1" applyFill="1" applyBorder="1" applyAlignment="1">
      <alignment horizontal="center" vertical="center" wrapText="1"/>
    </xf>
    <xf numFmtId="14" fontId="2" fillId="0" borderId="0" xfId="31" applyNumberFormat="1" applyFont="1" applyFill="1" applyBorder="1" applyAlignment="1">
      <alignment horizontal="center" vertical="center" wrapText="1"/>
    </xf>
    <xf numFmtId="44" fontId="2" fillId="0" borderId="0" xfId="0" applyNumberFormat="1" applyFont="1" applyFill="1" applyBorder="1" applyAlignment="1">
      <alignment horizontal="center" vertical="center" wrapText="1"/>
    </xf>
    <xf numFmtId="1" fontId="2" fillId="0" borderId="0" xfId="28" applyNumberFormat="1" applyFont="1" applyFill="1" applyBorder="1" applyAlignment="1">
      <alignment horizontal="center" vertical="center" wrapText="1"/>
    </xf>
    <xf numFmtId="165" fontId="2" fillId="0" borderId="0" xfId="31" applyNumberFormat="1" applyFont="1" applyFill="1" applyBorder="1" applyAlignment="1">
      <alignment horizontal="center" vertical="center" wrapText="1"/>
    </xf>
    <xf numFmtId="164" fontId="2" fillId="0" borderId="0" xfId="31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 vertical="center" wrapText="1"/>
    </xf>
    <xf numFmtId="44" fontId="2" fillId="0" borderId="0" xfId="31" applyFont="1" applyFill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4" fontId="2" fillId="0" borderId="0" xfId="30" applyFont="1" applyFill="1"/>
    <xf numFmtId="164" fontId="31" fillId="0" borderId="0" xfId="0" applyNumberFormat="1" applyFont="1" applyFill="1" applyAlignment="1">
      <alignment horizontal="center"/>
    </xf>
    <xf numFmtId="37" fontId="2" fillId="0" borderId="0" xfId="29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left"/>
    </xf>
    <xf numFmtId="164" fontId="2" fillId="0" borderId="0" xfId="31" applyNumberFormat="1" applyFont="1" applyFill="1" applyAlignment="1">
      <alignment horizontal="center"/>
    </xf>
    <xf numFmtId="44" fontId="2" fillId="0" borderId="0" xfId="30" applyFont="1" applyFill="1" applyAlignment="1">
      <alignment horizontal="left"/>
    </xf>
    <xf numFmtId="44" fontId="2" fillId="0" borderId="0" xfId="31" applyNumberFormat="1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2" fillId="0" borderId="0" xfId="0" applyFont="1" applyFill="1" applyBorder="1" applyAlignment="1">
      <alignment horizontal="left" vertical="center" wrapText="1"/>
    </xf>
    <xf numFmtId="164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2" fillId="0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165" fontId="2" fillId="0" borderId="0" xfId="31" applyNumberFormat="1" applyFont="1" applyFill="1" applyAlignment="1">
      <alignment horizontal="right"/>
    </xf>
    <xf numFmtId="165" fontId="2" fillId="0" borderId="0" xfId="29" applyNumberFormat="1" applyFont="1" applyFill="1" applyAlignment="1">
      <alignment horizontal="left"/>
    </xf>
    <xf numFmtId="165" fontId="2" fillId="0" borderId="0" xfId="31" applyNumberFormat="1" applyFont="1" applyFill="1" applyAlignment="1">
      <alignment horizontal="left" vertical="top"/>
    </xf>
    <xf numFmtId="165" fontId="2" fillId="0" borderId="0" xfId="29" applyNumberFormat="1" applyFont="1" applyFill="1" applyAlignment="1"/>
    <xf numFmtId="0" fontId="0" fillId="0" borderId="0" xfId="0" applyNumberFormat="1" applyFont="1"/>
    <xf numFmtId="165" fontId="2" fillId="0" borderId="0" xfId="31" applyNumberFormat="1" applyFont="1" applyFill="1" applyAlignment="1">
      <alignment horizontal="center"/>
    </xf>
    <xf numFmtId="0" fontId="2" fillId="0" borderId="1" xfId="31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37" borderId="1" xfId="0" applyFont="1" applyFill="1" applyBorder="1" applyAlignment="1">
      <alignment horizontal="center" vertical="center" wrapText="1"/>
    </xf>
    <xf numFmtId="1" fontId="2" fillId="37" borderId="1" xfId="29" applyNumberFormat="1" applyFont="1" applyFill="1" applyBorder="1" applyAlignment="1">
      <alignment horizontal="center" vertical="center" wrapText="1"/>
    </xf>
    <xf numFmtId="44" fontId="2" fillId="37" borderId="1" xfId="31" applyFont="1" applyFill="1" applyBorder="1" applyAlignment="1">
      <alignment horizontal="center" vertical="center" wrapText="1"/>
    </xf>
    <xf numFmtId="165" fontId="2" fillId="37" borderId="1" xfId="0" applyNumberFormat="1" applyFont="1" applyFill="1" applyBorder="1" applyAlignment="1">
      <alignment horizontal="center" vertical="center" wrapText="1"/>
    </xf>
    <xf numFmtId="14" fontId="2" fillId="37" borderId="1" xfId="0" applyNumberFormat="1" applyFont="1" applyFill="1" applyBorder="1" applyAlignment="1">
      <alignment horizontal="center" vertical="center" wrapText="1"/>
    </xf>
    <xf numFmtId="44" fontId="2" fillId="37" borderId="1" xfId="0" applyNumberFormat="1" applyFont="1" applyFill="1" applyBorder="1" applyAlignment="1">
      <alignment horizontal="center" vertical="center" wrapText="1"/>
    </xf>
    <xf numFmtId="1" fontId="2" fillId="37" borderId="1" xfId="28" applyNumberFormat="1" applyFont="1" applyFill="1" applyBorder="1" applyAlignment="1">
      <alignment horizontal="center" vertical="center" wrapText="1"/>
    </xf>
    <xf numFmtId="165" fontId="2" fillId="37" borderId="1" xfId="31" applyNumberFormat="1" applyFont="1" applyFill="1" applyBorder="1" applyAlignment="1">
      <alignment horizontal="center" vertical="center" wrapText="1"/>
    </xf>
    <xf numFmtId="164" fontId="2" fillId="37" borderId="1" xfId="0" applyNumberFormat="1" applyFont="1" applyFill="1" applyBorder="1" applyAlignment="1">
      <alignment horizontal="center" vertical="center" wrapText="1"/>
    </xf>
    <xf numFmtId="164" fontId="2" fillId="37" borderId="1" xfId="31" applyNumberFormat="1" applyFont="1" applyFill="1" applyBorder="1" applyAlignment="1">
      <alignment horizontal="center" vertical="center" wrapText="1"/>
    </xf>
    <xf numFmtId="49" fontId="2" fillId="37" borderId="1" xfId="31" applyNumberFormat="1" applyFont="1" applyFill="1" applyBorder="1" applyAlignment="1">
      <alignment vertical="center" wrapText="1"/>
    </xf>
    <xf numFmtId="0" fontId="0" fillId="37" borderId="1" xfId="0" applyFill="1" applyBorder="1" applyAlignment="1">
      <alignment wrapText="1"/>
    </xf>
    <xf numFmtId="0" fontId="2" fillId="37" borderId="5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37" borderId="3" xfId="29" applyNumberFormat="1" applyFont="1" applyFill="1" applyBorder="1" applyAlignment="1">
      <alignment horizontal="center" vertical="center" wrapText="1"/>
    </xf>
    <xf numFmtId="44" fontId="2" fillId="37" borderId="5" xfId="30" applyFont="1" applyFill="1" applyBorder="1" applyAlignment="1">
      <alignment horizontal="center" vertical="center" wrapText="1"/>
    </xf>
    <xf numFmtId="0" fontId="2" fillId="37" borderId="8" xfId="0" applyFont="1" applyFill="1" applyBorder="1" applyAlignment="1">
      <alignment horizontal="center" vertical="center" wrapText="1"/>
    </xf>
    <xf numFmtId="1" fontId="2" fillId="37" borderId="2" xfId="29" applyNumberFormat="1" applyFont="1" applyFill="1" applyBorder="1" applyAlignment="1">
      <alignment horizontal="center" vertical="center" wrapText="1"/>
    </xf>
    <xf numFmtId="1" fontId="2" fillId="37" borderId="7" xfId="29" applyNumberFormat="1" applyFont="1" applyFill="1" applyBorder="1" applyAlignment="1">
      <alignment horizontal="center" vertical="center" wrapText="1"/>
    </xf>
    <xf numFmtId="44" fontId="2" fillId="37" borderId="8" xfId="30" applyFont="1" applyFill="1" applyBorder="1" applyAlignment="1">
      <alignment horizontal="center" vertical="center" wrapText="1"/>
    </xf>
    <xf numFmtId="0" fontId="2" fillId="37" borderId="2" xfId="0" applyFont="1" applyFill="1" applyBorder="1" applyAlignment="1">
      <alignment horizontal="center" vertical="center" wrapText="1"/>
    </xf>
    <xf numFmtId="165" fontId="2" fillId="37" borderId="2" xfId="0" applyNumberFormat="1" applyFont="1" applyFill="1" applyBorder="1" applyAlignment="1">
      <alignment horizontal="center" vertical="center" wrapText="1"/>
    </xf>
    <xf numFmtId="14" fontId="2" fillId="37" borderId="2" xfId="0" applyNumberFormat="1" applyFont="1" applyFill="1" applyBorder="1" applyAlignment="1">
      <alignment horizontal="center" vertical="center" wrapText="1"/>
    </xf>
    <xf numFmtId="44" fontId="2" fillId="37" borderId="2" xfId="0" applyNumberFormat="1" applyFont="1" applyFill="1" applyBorder="1" applyAlignment="1">
      <alignment horizontal="center" vertical="center" wrapText="1"/>
    </xf>
    <xf numFmtId="1" fontId="2" fillId="37" borderId="2" xfId="28" applyNumberFormat="1" applyFont="1" applyFill="1" applyBorder="1" applyAlignment="1">
      <alignment horizontal="center" vertical="center" wrapText="1"/>
    </xf>
    <xf numFmtId="165" fontId="2" fillId="37" borderId="2" xfId="31" applyNumberFormat="1" applyFont="1" applyFill="1" applyBorder="1" applyAlignment="1">
      <alignment horizontal="center" vertical="center" wrapText="1"/>
    </xf>
    <xf numFmtId="164" fontId="2" fillId="37" borderId="2" xfId="0" applyNumberFormat="1" applyFont="1" applyFill="1" applyBorder="1" applyAlignment="1">
      <alignment horizontal="center" vertical="center" wrapText="1"/>
    </xf>
    <xf numFmtId="164" fontId="2" fillId="37" borderId="2" xfId="31" applyNumberFormat="1" applyFont="1" applyFill="1" applyBorder="1" applyAlignment="1">
      <alignment horizontal="center" vertical="center" wrapText="1"/>
    </xf>
    <xf numFmtId="49" fontId="2" fillId="37" borderId="2" xfId="31" applyNumberFormat="1" applyFont="1" applyFill="1" applyBorder="1" applyAlignment="1">
      <alignment vertical="center" wrapText="1"/>
    </xf>
    <xf numFmtId="0" fontId="0" fillId="37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44" fontId="2" fillId="0" borderId="1" xfId="31" applyFont="1" applyFill="1" applyBorder="1" applyAlignment="1">
      <alignment horizontal="center" vertical="center" wrapText="1"/>
    </xf>
    <xf numFmtId="165" fontId="2" fillId="0" borderId="1" xfId="31" applyNumberFormat="1" applyFont="1" applyFill="1" applyBorder="1" applyAlignment="1">
      <alignment horizontal="center" vertical="center" wrapText="1"/>
    </xf>
    <xf numFmtId="165" fontId="2" fillId="0" borderId="4" xfId="31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44" fontId="2" fillId="0" borderId="5" xfId="31" applyFont="1" applyFill="1" applyBorder="1" applyAlignment="1">
      <alignment horizontal="center" vertical="center" wrapText="1"/>
    </xf>
    <xf numFmtId="1" fontId="2" fillId="37" borderId="1" xfId="0" applyNumberFormat="1" applyFont="1" applyFill="1" applyBorder="1" applyAlignment="1">
      <alignment horizontal="right" vertical="center" wrapText="1"/>
    </xf>
    <xf numFmtId="0" fontId="2" fillId="0" borderId="0" xfId="0" applyFont="1" applyProtection="1">
      <protection locked="0"/>
    </xf>
    <xf numFmtId="164" fontId="2" fillId="33" borderId="1" xfId="31" applyNumberFormat="1" applyFont="1" applyFill="1" applyBorder="1" applyAlignment="1" applyProtection="1">
      <alignment horizontal="center" vertical="center" wrapText="1"/>
      <protection locked="0"/>
    </xf>
    <xf numFmtId="1" fontId="2" fillId="0" borderId="0" xfId="0" applyNumberFormat="1" applyFont="1" applyProtection="1">
      <protection locked="0"/>
    </xf>
    <xf numFmtId="0" fontId="2" fillId="0" borderId="0" xfId="0" applyFont="1" applyFill="1" applyProtection="1">
      <protection locked="0"/>
    </xf>
    <xf numFmtId="0" fontId="2" fillId="33" borderId="1" xfId="0" applyFont="1" applyFill="1" applyBorder="1" applyAlignment="1" applyProtection="1">
      <alignment vertical="center" wrapText="1"/>
      <protection locked="0"/>
    </xf>
    <xf numFmtId="0" fontId="2" fillId="33" borderId="1" xfId="0" applyFont="1" applyFill="1" applyBorder="1" applyAlignment="1" applyProtection="1">
      <alignment horizontal="center" vertical="center" wrapText="1"/>
      <protection locked="0"/>
    </xf>
    <xf numFmtId="1" fontId="2" fillId="33" borderId="1" xfId="29" applyNumberFormat="1" applyFont="1" applyFill="1" applyBorder="1" applyAlignment="1" applyProtection="1">
      <alignment horizontal="center" vertical="center" wrapText="1"/>
      <protection locked="0"/>
    </xf>
    <xf numFmtId="44" fontId="2" fillId="33" borderId="1" xfId="31" applyFont="1" applyFill="1" applyBorder="1" applyAlignment="1" applyProtection="1">
      <alignment horizontal="center" vertical="center" wrapText="1"/>
      <protection locked="0"/>
    </xf>
    <xf numFmtId="165" fontId="2" fillId="33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33" borderId="1" xfId="0" applyNumberFormat="1" applyFont="1" applyFill="1" applyBorder="1" applyAlignment="1" applyProtection="1">
      <alignment horizontal="center" vertical="center" wrapText="1"/>
      <protection locked="0"/>
    </xf>
    <xf numFmtId="44" fontId="2" fillId="33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3" borderId="1" xfId="31" applyNumberFormat="1" applyFont="1" applyFill="1" applyBorder="1" applyAlignment="1" applyProtection="1">
      <alignment horizontal="center" vertical="center" wrapText="1"/>
      <protection locked="0"/>
    </xf>
    <xf numFmtId="49" fontId="2" fillId="33" borderId="1" xfId="31" applyNumberFormat="1" applyFont="1" applyFill="1" applyBorder="1" applyAlignment="1" applyProtection="1">
      <alignment vertical="center" wrapText="1"/>
      <protection locked="0"/>
    </xf>
    <xf numFmtId="44" fontId="2" fillId="33" borderId="1" xfId="30" applyFont="1" applyFill="1" applyBorder="1" applyAlignment="1" applyProtection="1">
      <alignment horizontal="center" vertical="center" wrapText="1"/>
      <protection locked="0"/>
    </xf>
    <xf numFmtId="1" fontId="2" fillId="33" borderId="1" xfId="28" applyNumberFormat="1" applyFont="1" applyFill="1" applyBorder="1" applyAlignment="1" applyProtection="1">
      <alignment horizontal="center" vertical="center" wrapText="1"/>
      <protection locked="0"/>
    </xf>
    <xf numFmtId="1" fontId="2" fillId="3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38" borderId="1" xfId="0" applyNumberFormat="1" applyFont="1" applyFill="1" applyBorder="1" applyAlignment="1" applyProtection="1">
      <alignment vertical="center" wrapText="1"/>
      <protection locked="0"/>
    </xf>
    <xf numFmtId="164" fontId="2" fillId="33" borderId="1" xfId="29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Protection="1">
      <protection locked="0"/>
    </xf>
    <xf numFmtId="44" fontId="2" fillId="0" borderId="0" xfId="3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1" fontId="2" fillId="0" borderId="0" xfId="29" applyNumberFormat="1" applyFont="1" applyFill="1" applyBorder="1" applyAlignment="1" applyProtection="1">
      <alignment horizontal="center" vertical="center" wrapText="1"/>
      <protection locked="0"/>
    </xf>
    <xf numFmtId="164" fontId="2" fillId="0" borderId="0" xfId="31" applyNumberFormat="1" applyFont="1" applyFill="1" applyBorder="1" applyAlignment="1" applyProtection="1">
      <alignment horizontal="center" vertical="center" wrapText="1"/>
      <protection locked="0"/>
    </xf>
    <xf numFmtId="44" fontId="2" fillId="0" borderId="0" xfId="31" applyFont="1" applyFill="1" applyAlignment="1" applyProtection="1">
      <alignment horizontal="right"/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165" fontId="2" fillId="0" borderId="0" xfId="31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2" fillId="0" borderId="0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5" fontId="2" fillId="0" borderId="0" xfId="0" applyNumberFormat="1" applyFont="1" applyAlignment="1" applyProtection="1">
      <alignment horizontal="center" vertical="center" wrapText="1"/>
      <protection locked="0"/>
    </xf>
    <xf numFmtId="14" fontId="2" fillId="0" borderId="0" xfId="31" applyNumberFormat="1" applyFont="1" applyFill="1" applyBorder="1" applyAlignment="1" applyProtection="1">
      <alignment horizontal="center" vertical="center" wrapText="1"/>
      <protection locked="0"/>
    </xf>
    <xf numFmtId="44" fontId="2" fillId="0" borderId="0" xfId="0" applyNumberFormat="1" applyFont="1" applyAlignment="1" applyProtection="1">
      <alignment horizontal="center" vertical="center" wrapText="1"/>
      <protection locked="0"/>
    </xf>
    <xf numFmtId="165" fontId="2" fillId="0" borderId="0" xfId="29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2" fillId="40" borderId="22" xfId="0" applyFont="1" applyFill="1" applyBorder="1" applyAlignment="1" applyProtection="1">
      <alignment horizontal="right" vertical="center" wrapText="1"/>
      <protection locked="0"/>
    </xf>
    <xf numFmtId="0" fontId="2" fillId="0" borderId="23" xfId="0" applyFont="1" applyFill="1" applyBorder="1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2" fillId="33" borderId="18" xfId="0" applyFont="1" applyFill="1" applyBorder="1" applyAlignment="1" applyProtection="1">
      <alignment horizontal="right" vertical="center" wrapText="1"/>
      <protection locked="0"/>
    </xf>
    <xf numFmtId="0" fontId="2" fillId="0" borderId="19" xfId="0" applyFont="1" applyBorder="1" applyAlignment="1" applyProtection="1">
      <alignment vertical="center"/>
      <protection locked="0"/>
    </xf>
    <xf numFmtId="0" fontId="2" fillId="34" borderId="20" xfId="0" applyFont="1" applyFill="1" applyBorder="1" applyAlignment="1" applyProtection="1">
      <alignment horizontal="right" vertical="center" wrapText="1"/>
      <protection locked="0"/>
    </xf>
    <xf numFmtId="0" fontId="2" fillId="0" borderId="21" xfId="0" applyFont="1" applyBorder="1" applyAlignment="1" applyProtection="1">
      <alignment vertical="center" wrapText="1"/>
      <protection locked="0"/>
    </xf>
    <xf numFmtId="0" fontId="2" fillId="36" borderId="20" xfId="0" applyFont="1" applyFill="1" applyBorder="1" applyAlignment="1" applyProtection="1">
      <alignment horizontal="right" vertical="center" wrapText="1"/>
      <protection locked="0"/>
    </xf>
    <xf numFmtId="0" fontId="30" fillId="35" borderId="20" xfId="0" applyFont="1" applyFill="1" applyBorder="1" applyAlignment="1" applyProtection="1">
      <alignment vertical="center" wrapText="1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30" fillId="38" borderId="20" xfId="0" applyFont="1" applyFill="1" applyBorder="1" applyAlignment="1" applyProtection="1">
      <alignment vertical="center" wrapText="1"/>
      <protection locked="0"/>
    </xf>
    <xf numFmtId="0" fontId="2" fillId="39" borderId="20" xfId="0" applyFont="1" applyFill="1" applyBorder="1" applyAlignment="1" applyProtection="1">
      <alignment horizontal="right" vertical="center" wrapText="1"/>
      <protection locked="0"/>
    </xf>
    <xf numFmtId="0" fontId="2" fillId="37" borderId="20" xfId="0" applyFont="1" applyFill="1" applyBorder="1" applyAlignment="1" applyProtection="1">
      <alignment horizontal="right" vertical="center" wrapText="1"/>
      <protection locked="0"/>
    </xf>
    <xf numFmtId="0" fontId="2" fillId="0" borderId="21" xfId="0" applyFont="1" applyFill="1" applyBorder="1" applyAlignment="1" applyProtection="1">
      <alignment vertical="center"/>
      <protection locked="0"/>
    </xf>
    <xf numFmtId="44" fontId="2" fillId="0" borderId="0" xfId="31" applyFont="1" applyFill="1" applyAlignment="1" applyProtection="1">
      <alignment horizontal="center"/>
      <protection locked="0"/>
    </xf>
    <xf numFmtId="44" fontId="2" fillId="0" borderId="0" xfId="31" applyFont="1" applyFill="1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37" fontId="2" fillId="0" borderId="0" xfId="29" applyNumberFormat="1" applyFont="1" applyFill="1" applyAlignment="1" applyProtection="1">
      <alignment horizontal="center"/>
      <protection locked="0"/>
    </xf>
    <xf numFmtId="165" fontId="2" fillId="0" borderId="0" xfId="0" applyNumberFormat="1" applyFont="1" applyAlignment="1" applyProtection="1">
      <alignment horizontal="center"/>
      <protection locked="0"/>
    </xf>
    <xf numFmtId="165" fontId="2" fillId="0" borderId="0" xfId="31" applyNumberFormat="1" applyFont="1" applyFill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1" fontId="2" fillId="0" borderId="1" xfId="0" applyNumberFormat="1" applyFont="1" applyBorder="1" applyAlignment="1" applyProtection="1">
      <alignment horizontal="center" vertical="center" wrapText="1"/>
    </xf>
    <xf numFmtId="1" fontId="2" fillId="0" borderId="3" xfId="0" applyNumberFormat="1" applyFont="1" applyBorder="1" applyAlignment="1" applyProtection="1">
      <alignment horizontal="center" vertical="center" wrapText="1"/>
    </xf>
    <xf numFmtId="44" fontId="2" fillId="0" borderId="5" xfId="31" applyFont="1" applyFill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165" fontId="2" fillId="0" borderId="1" xfId="0" applyNumberFormat="1" applyFont="1" applyBorder="1" applyAlignment="1" applyProtection="1">
      <alignment horizontal="center" vertical="center" wrapText="1"/>
    </xf>
    <xf numFmtId="14" fontId="2" fillId="0" borderId="1" xfId="0" applyNumberFormat="1" applyFont="1" applyBorder="1" applyAlignment="1" applyProtection="1">
      <alignment horizontal="center" vertical="center" wrapText="1"/>
    </xf>
    <xf numFmtId="44" fontId="2" fillId="0" borderId="1" xfId="31" applyFont="1" applyFill="1" applyBorder="1" applyAlignment="1" applyProtection="1">
      <alignment horizontal="center" vertical="center" wrapText="1"/>
    </xf>
    <xf numFmtId="0" fontId="2" fillId="0" borderId="1" xfId="31" applyNumberFormat="1" applyFont="1" applyFill="1" applyBorder="1" applyAlignment="1" applyProtection="1">
      <alignment horizontal="center" vertical="center" wrapText="1"/>
    </xf>
    <xf numFmtId="165" fontId="2" fillId="0" borderId="1" xfId="31" applyNumberFormat="1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wrapText="1"/>
      <protection locked="0"/>
    </xf>
    <xf numFmtId="0" fontId="2" fillId="41" borderId="24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44" fontId="3" fillId="0" borderId="0" xfId="31" applyFont="1" applyAlignment="1">
      <alignment horizontal="center"/>
    </xf>
    <xf numFmtId="44" fontId="3" fillId="0" borderId="0" xfId="30" applyFont="1"/>
    <xf numFmtId="0" fontId="3" fillId="0" borderId="0" xfId="0" applyFont="1" applyAlignment="1">
      <alignment horizontal="center" wrapText="1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37" fontId="2" fillId="43" borderId="0" xfId="29" applyNumberFormat="1" applyFont="1" applyFill="1" applyAlignment="1">
      <alignment horizontal="center"/>
    </xf>
    <xf numFmtId="0" fontId="0" fillId="43" borderId="0" xfId="0" applyFill="1"/>
    <xf numFmtId="164" fontId="2" fillId="33" borderId="6" xfId="31" applyNumberFormat="1" applyFont="1" applyFill="1" applyBorder="1" applyAlignment="1" applyProtection="1">
      <alignment horizontal="center" vertical="center" wrapText="1"/>
      <protection locked="0"/>
    </xf>
    <xf numFmtId="44" fontId="2" fillId="44" borderId="0" xfId="31" applyFont="1" applyFill="1" applyAlignment="1">
      <alignment horizontal="center"/>
    </xf>
    <xf numFmtId="0" fontId="0" fillId="44" borderId="0" xfId="0" applyFill="1"/>
    <xf numFmtId="0" fontId="2" fillId="44" borderId="0" xfId="0" applyFont="1" applyFill="1"/>
    <xf numFmtId="0" fontId="2" fillId="44" borderId="0" xfId="0" applyFont="1" applyFill="1" applyAlignment="1">
      <alignment horizontal="center" vertical="center"/>
    </xf>
    <xf numFmtId="0" fontId="2" fillId="44" borderId="0" xfId="0" applyFont="1" applyFill="1" applyAlignment="1">
      <alignment horizontal="center" vertical="center" wrapText="1"/>
    </xf>
    <xf numFmtId="44" fontId="2" fillId="44" borderId="0" xfId="31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167" fontId="2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7" fontId="0" fillId="46" borderId="0" xfId="0" applyNumberFormat="1" applyFill="1" applyAlignment="1">
      <alignment horizontal="center" vertical="center"/>
    </xf>
    <xf numFmtId="167" fontId="0" fillId="33" borderId="0" xfId="0" applyNumberFormat="1" applyFill="1" applyAlignment="1">
      <alignment horizontal="center" vertical="center"/>
    </xf>
    <xf numFmtId="167" fontId="0" fillId="47" borderId="0" xfId="0" applyNumberFormat="1" applyFill="1" applyAlignment="1">
      <alignment horizontal="center" vertical="center"/>
    </xf>
    <xf numFmtId="167" fontId="0" fillId="40" borderId="0" xfId="0" applyNumberFormat="1" applyFill="1" applyAlignment="1">
      <alignment horizontal="center" vertical="center"/>
    </xf>
    <xf numFmtId="167" fontId="0" fillId="34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46" borderId="0" xfId="0" applyNumberFormat="1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34" borderId="0" xfId="0" applyNumberFormat="1" applyFont="1" applyFill="1" applyAlignment="1">
      <alignment horizontal="center" vertical="center"/>
    </xf>
    <xf numFmtId="167" fontId="3" fillId="33" borderId="0" xfId="0" applyNumberFormat="1" applyFont="1" applyFill="1" applyAlignment="1">
      <alignment horizontal="center" vertical="center"/>
    </xf>
    <xf numFmtId="167" fontId="3" fillId="40" borderId="0" xfId="0" applyNumberFormat="1" applyFont="1" applyFill="1" applyAlignment="1">
      <alignment horizontal="center" vertical="center"/>
    </xf>
    <xf numFmtId="167" fontId="3" fillId="48" borderId="0" xfId="0" applyNumberFormat="1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167" fontId="3" fillId="42" borderId="0" xfId="0" applyNumberFormat="1" applyFont="1" applyFill="1" applyAlignment="1">
      <alignment horizontal="center" vertical="center"/>
    </xf>
    <xf numFmtId="167" fontId="0" fillId="42" borderId="0" xfId="0" applyNumberFormat="1" applyFill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0" fontId="0" fillId="49" borderId="0" xfId="0" applyFill="1" applyAlignment="1">
      <alignment horizontal="center"/>
    </xf>
    <xf numFmtId="49" fontId="2" fillId="49" borderId="0" xfId="0" applyNumberFormat="1" applyFont="1" applyFill="1" applyAlignment="1">
      <alignment horizontal="center" wrapText="1"/>
    </xf>
    <xf numFmtId="0" fontId="2" fillId="49" borderId="0" xfId="0" applyFont="1" applyFill="1" applyAlignment="1">
      <alignment horizontal="center" wrapText="1"/>
    </xf>
    <xf numFmtId="0" fontId="2" fillId="49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2" fillId="50" borderId="0" xfId="0" applyFont="1" applyFill="1" applyAlignment="1">
      <alignment horizontal="center" vertical="center"/>
    </xf>
    <xf numFmtId="0" fontId="2" fillId="50" borderId="0" xfId="0" applyFont="1" applyFill="1" applyAlignment="1">
      <alignment horizontal="center" vertical="center" wrapText="1"/>
    </xf>
    <xf numFmtId="167" fontId="2" fillId="0" borderId="0" xfId="0" applyNumberFormat="1" applyFont="1" applyAlignment="1" applyProtection="1">
      <alignment horizontal="center" vertical="center" wrapText="1"/>
      <protection locked="0"/>
    </xf>
    <xf numFmtId="167" fontId="2" fillId="48" borderId="0" xfId="0" applyNumberFormat="1" applyFont="1" applyFill="1" applyAlignment="1">
      <alignment horizontal="center" vertical="center"/>
    </xf>
    <xf numFmtId="0" fontId="0" fillId="49" borderId="0" xfId="0" applyFill="1"/>
    <xf numFmtId="167" fontId="0" fillId="0" borderId="0" xfId="0" applyNumberFormat="1" applyFill="1"/>
    <xf numFmtId="15" fontId="0" fillId="0" borderId="0" xfId="0" applyNumberFormat="1" applyFill="1"/>
    <xf numFmtId="167" fontId="0" fillId="49" borderId="0" xfId="0" applyNumberFormat="1" applyFill="1"/>
    <xf numFmtId="171" fontId="0" fillId="49" borderId="0" xfId="0" applyNumberFormat="1" applyFill="1"/>
    <xf numFmtId="167" fontId="0" fillId="51" borderId="0" xfId="0" applyNumberFormat="1" applyFill="1"/>
    <xf numFmtId="171" fontId="0" fillId="51" borderId="0" xfId="0" applyNumberFormat="1" applyFill="1"/>
    <xf numFmtId="171" fontId="2" fillId="51" borderId="0" xfId="0" applyNumberFormat="1" applyFont="1" applyFill="1"/>
    <xf numFmtId="0" fontId="0" fillId="51" borderId="0" xfId="0" applyFill="1"/>
    <xf numFmtId="167" fontId="0" fillId="52" borderId="0" xfId="0" applyNumberFormat="1" applyFill="1"/>
    <xf numFmtId="171" fontId="0" fillId="52" borderId="0" xfId="0" applyNumberFormat="1" applyFill="1"/>
    <xf numFmtId="0" fontId="0" fillId="52" borderId="0" xfId="0" applyFill="1"/>
    <xf numFmtId="0" fontId="2" fillId="45" borderId="0" xfId="0" applyFont="1" applyFill="1" applyBorder="1" applyAlignment="1" applyProtection="1">
      <alignment horizontal="right" vertical="center" wrapText="1"/>
      <protection locked="0"/>
    </xf>
    <xf numFmtId="0" fontId="0" fillId="45" borderId="0" xfId="0" applyFill="1" applyBorder="1" applyAlignment="1" applyProtection="1">
      <alignment vertical="center"/>
      <protection locked="0"/>
    </xf>
    <xf numFmtId="0" fontId="0" fillId="45" borderId="0" xfId="0" applyFill="1" applyProtection="1">
      <protection locked="0"/>
    </xf>
    <xf numFmtId="0" fontId="32" fillId="45" borderId="0" xfId="0" applyFont="1" applyFill="1" applyBorder="1" applyAlignment="1" applyProtection="1">
      <alignment horizontal="left" vertical="center" wrapText="1"/>
      <protection locked="0"/>
    </xf>
    <xf numFmtId="0" fontId="2" fillId="45" borderId="0" xfId="0" applyFont="1" applyFill="1" applyBorder="1" applyAlignment="1" applyProtection="1">
      <alignment horizontal="center" vertical="center" wrapText="1"/>
      <protection locked="0"/>
    </xf>
    <xf numFmtId="1" fontId="2" fillId="45" borderId="0" xfId="29" applyNumberFormat="1" applyFont="1" applyFill="1" applyBorder="1" applyAlignment="1" applyProtection="1">
      <alignment horizontal="center" vertical="center" wrapText="1"/>
      <protection locked="0"/>
    </xf>
    <xf numFmtId="0" fontId="2" fillId="45" borderId="0" xfId="0" applyFont="1" applyFill="1" applyAlignment="1" applyProtection="1">
      <alignment horizontal="center" vertical="center" wrapText="1"/>
      <protection locked="0"/>
    </xf>
    <xf numFmtId="44" fontId="2" fillId="45" borderId="0" xfId="31" applyFont="1" applyFill="1" applyBorder="1" applyAlignment="1" applyProtection="1">
      <alignment horizontal="center" vertical="center" wrapText="1"/>
      <protection locked="0"/>
    </xf>
    <xf numFmtId="165" fontId="0" fillId="45" borderId="0" xfId="0" applyNumberFormat="1" applyFont="1" applyFill="1" applyAlignment="1" applyProtection="1">
      <alignment horizontal="center" vertical="center" wrapText="1"/>
      <protection locked="0"/>
    </xf>
    <xf numFmtId="14" fontId="2" fillId="45" borderId="0" xfId="31" applyNumberFormat="1" applyFont="1" applyFill="1" applyBorder="1" applyAlignment="1" applyProtection="1">
      <alignment horizontal="center" vertical="center" wrapText="1"/>
      <protection locked="0"/>
    </xf>
    <xf numFmtId="44" fontId="2" fillId="45" borderId="0" xfId="0" applyNumberFormat="1" applyFont="1" applyFill="1" applyAlignment="1" applyProtection="1">
      <alignment horizontal="center" vertical="center" wrapText="1"/>
      <protection locked="0"/>
    </xf>
    <xf numFmtId="165" fontId="2" fillId="45" borderId="0" xfId="0" applyNumberFormat="1" applyFont="1" applyFill="1" applyAlignment="1" applyProtection="1">
      <alignment horizontal="center" vertical="center" wrapText="1"/>
      <protection locked="0"/>
    </xf>
    <xf numFmtId="165" fontId="2" fillId="45" borderId="0" xfId="29" applyNumberFormat="1" applyFont="1" applyFill="1" applyBorder="1" applyAlignment="1" applyProtection="1">
      <alignment horizontal="center" vertical="center" wrapText="1"/>
      <protection locked="0"/>
    </xf>
    <xf numFmtId="165" fontId="2" fillId="45" borderId="0" xfId="31" applyNumberFormat="1" applyFont="1" applyFill="1" applyBorder="1" applyAlignment="1" applyProtection="1">
      <alignment horizontal="center" vertical="center" wrapText="1"/>
      <protection locked="0"/>
    </xf>
    <xf numFmtId="164" fontId="2" fillId="45" borderId="0" xfId="31" applyNumberFormat="1" applyFont="1" applyFill="1" applyBorder="1" applyAlignment="1" applyProtection="1">
      <alignment horizontal="center" vertical="center" wrapText="1"/>
      <protection locked="0"/>
    </xf>
    <xf numFmtId="171" fontId="0" fillId="0" borderId="0" xfId="0" applyNumberFormat="1"/>
    <xf numFmtId="167" fontId="2" fillId="0" borderId="0" xfId="0" applyNumberFormat="1" applyFont="1"/>
    <xf numFmtId="8" fontId="0" fillId="0" borderId="0" xfId="0" applyNumberFormat="1"/>
    <xf numFmtId="1" fontId="2" fillId="33" borderId="6" xfId="29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65" fontId="2" fillId="33" borderId="4" xfId="0" applyNumberFormat="1" applyFont="1" applyFill="1" applyBorder="1" applyAlignment="1">
      <alignment horizontal="center" vertical="center" wrapText="1"/>
    </xf>
    <xf numFmtId="165" fontId="2" fillId="33" borderId="4" xfId="31" applyNumberFormat="1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0" fontId="2" fillId="33" borderId="4" xfId="0" applyFont="1" applyFill="1" applyBorder="1" applyAlignment="1">
      <alignment horizontal="center" vertical="center" wrapText="1"/>
    </xf>
    <xf numFmtId="0" fontId="2" fillId="33" borderId="4" xfId="0" applyFont="1" applyFill="1" applyBorder="1" applyAlignment="1">
      <alignment horizontal="left" vertical="center" wrapText="1"/>
    </xf>
    <xf numFmtId="1" fontId="2" fillId="33" borderId="4" xfId="29" applyNumberFormat="1" applyFont="1" applyFill="1" applyBorder="1" applyAlignment="1">
      <alignment horizontal="center" vertical="center" wrapText="1"/>
    </xf>
    <xf numFmtId="44" fontId="2" fillId="33" borderId="4" xfId="31" applyFont="1" applyFill="1" applyBorder="1" applyAlignment="1">
      <alignment horizontal="center" vertical="center" wrapText="1"/>
    </xf>
    <xf numFmtId="44" fontId="2" fillId="33" borderId="4" xfId="30" applyFont="1" applyFill="1" applyBorder="1" applyAlignment="1">
      <alignment horizontal="center" vertical="center" wrapText="1"/>
    </xf>
    <xf numFmtId="14" fontId="2" fillId="33" borderId="4" xfId="31" applyNumberFormat="1" applyFont="1" applyFill="1" applyBorder="1" applyAlignment="1">
      <alignment horizontal="center" vertical="center" wrapText="1"/>
    </xf>
    <xf numFmtId="44" fontId="2" fillId="33" borderId="4" xfId="0" applyNumberFormat="1" applyFont="1" applyFill="1" applyBorder="1" applyAlignment="1">
      <alignment horizontal="center" vertical="center" wrapText="1"/>
    </xf>
    <xf numFmtId="1" fontId="2" fillId="33" borderId="4" xfId="28" applyNumberFormat="1" applyFont="1" applyFill="1" applyBorder="1" applyAlignment="1">
      <alignment horizontal="center" vertical="center" wrapText="1"/>
    </xf>
    <xf numFmtId="49" fontId="2" fillId="33" borderId="4" xfId="31" applyNumberFormat="1" applyFont="1" applyFill="1" applyBorder="1" applyAlignment="1">
      <alignment vertical="center" wrapText="1"/>
    </xf>
    <xf numFmtId="164" fontId="2" fillId="33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52" borderId="0" xfId="0" applyFont="1" applyFill="1" applyAlignment="1">
      <alignment horizontal="center"/>
    </xf>
    <xf numFmtId="0" fontId="0" fillId="52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49" borderId="0" xfId="0" applyFill="1" applyAlignment="1">
      <alignment horizontal="center" vertical="center"/>
    </xf>
    <xf numFmtId="0" fontId="2" fillId="49" borderId="0" xfId="0" applyFont="1" applyFill="1" applyAlignment="1">
      <alignment horizontal="center"/>
    </xf>
    <xf numFmtId="0" fontId="0" fillId="49" borderId="0" xfId="0" applyFill="1" applyAlignment="1">
      <alignment horizontal="center"/>
    </xf>
    <xf numFmtId="0" fontId="2" fillId="51" borderId="0" xfId="0" applyFont="1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2" fillId="51" borderId="0" xfId="0" applyFont="1" applyFill="1" applyAlignment="1">
      <alignment horizontal="center"/>
    </xf>
    <xf numFmtId="0" fontId="0" fillId="51" borderId="0" xfId="0" applyFill="1" applyAlignment="1">
      <alignment horizontal="center"/>
    </xf>
    <xf numFmtId="0" fontId="2" fillId="52" borderId="0" xfId="0" applyFont="1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4">
    <cellStyle name="20% - Accent1" xfId="1" builtinId="30" customBuiltin="1"/>
    <cellStyle name="20% - Accent1 2" xfId="52"/>
    <cellStyle name="20% - Accent2" xfId="2" builtinId="34" customBuiltin="1"/>
    <cellStyle name="20% - Accent2 2" xfId="53"/>
    <cellStyle name="20% - Accent3" xfId="3" builtinId="38" customBuiltin="1"/>
    <cellStyle name="20% - Accent3 2" xfId="54"/>
    <cellStyle name="20% - Accent4" xfId="4" builtinId="42" customBuiltin="1"/>
    <cellStyle name="20% - Accent4 2" xfId="55"/>
    <cellStyle name="20% - Accent5" xfId="5" builtinId="46" customBuiltin="1"/>
    <cellStyle name="20% - Accent5 2" xfId="56"/>
    <cellStyle name="20% - Accent6" xfId="6" builtinId="50" customBuiltin="1"/>
    <cellStyle name="20% - Accent6 2" xfId="57"/>
    <cellStyle name="40% - Accent1" xfId="7" builtinId="31" customBuiltin="1"/>
    <cellStyle name="40% - Accent1 2" xfId="58"/>
    <cellStyle name="40% - Accent2" xfId="8" builtinId="35" customBuiltin="1"/>
    <cellStyle name="40% - Accent2 2" xfId="59"/>
    <cellStyle name="40% - Accent3" xfId="9" builtinId="39" customBuiltin="1"/>
    <cellStyle name="40% - Accent3 2" xfId="60"/>
    <cellStyle name="40% - Accent4" xfId="10" builtinId="43" customBuiltin="1"/>
    <cellStyle name="40% - Accent4 2" xfId="61"/>
    <cellStyle name="40% - Accent5" xfId="11" builtinId="47" customBuiltin="1"/>
    <cellStyle name="40% - Accent5 2" xfId="62"/>
    <cellStyle name="40% - Accent6" xfId="12" builtinId="51" customBuiltin="1"/>
    <cellStyle name="40% - Accent6 2" xfId="63"/>
    <cellStyle name="60% - Accent1" xfId="13" builtinId="32" customBuiltin="1"/>
    <cellStyle name="60% - Accent1 2" xfId="64"/>
    <cellStyle name="60% - Accent2" xfId="14" builtinId="36" customBuiltin="1"/>
    <cellStyle name="60% - Accent2 2" xfId="65"/>
    <cellStyle name="60% - Accent3" xfId="15" builtinId="40" customBuiltin="1"/>
    <cellStyle name="60% - Accent3 2" xfId="66"/>
    <cellStyle name="60% - Accent4" xfId="16" builtinId="44" customBuiltin="1"/>
    <cellStyle name="60% - Accent4 2" xfId="67"/>
    <cellStyle name="60% - Accent5" xfId="17" builtinId="48" customBuiltin="1"/>
    <cellStyle name="60% - Accent5 2" xfId="68"/>
    <cellStyle name="60% - Accent6" xfId="18" builtinId="52" customBuiltin="1"/>
    <cellStyle name="60% - Accent6 2" xfId="69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urrency" xfId="30" builtinId="4"/>
    <cellStyle name="Currency 2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eutral 2" xfId="41"/>
    <cellStyle name="Normal" xfId="0" builtinId="0"/>
    <cellStyle name="Normal 2" xfId="42"/>
    <cellStyle name="Normal 2 2" xfId="43"/>
    <cellStyle name="Normal 2 2 2" xfId="71"/>
    <cellStyle name="Normal 2 3" xfId="70"/>
    <cellStyle name="Normal 3" xfId="44"/>
    <cellStyle name="Normal 4" xfId="45"/>
    <cellStyle name="Normal 4 2" xfId="72"/>
    <cellStyle name="Note 2" xfId="46"/>
    <cellStyle name="Note 2 2" xfId="73"/>
    <cellStyle name="Output" xfId="47" builtinId="21" customBuiltin="1"/>
    <cellStyle name="Percent 2" xfId="48"/>
    <cellStyle name="Title" xfId="49" builtinId="15" customBuiltin="1"/>
    <cellStyle name="Total" xfId="50" builtinId="25" customBuiltin="1"/>
    <cellStyle name="Warning Text" xfId="51" builtinId="11" customBuiltin="1"/>
  </cellStyles>
  <dxfs count="11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rgb="FFFFFFCC"/>
          <bgColor rgb="FFFFFFCC"/>
        </patternFill>
      </fill>
    </dxf>
    <dxf>
      <fill>
        <patternFill>
          <fgColor rgb="FFCCFFCC"/>
          <bgColor rgb="FFD6FCD4"/>
        </patternFill>
      </fill>
    </dxf>
    <dxf>
      <fill>
        <patternFill>
          <bgColor theme="2" tint="-9.9948118533890809E-2"/>
        </patternFill>
      </fill>
    </dxf>
    <dxf>
      <font>
        <color rgb="FFFF0000"/>
      </font>
    </dxf>
    <dxf>
      <fill>
        <patternFill>
          <fgColor rgb="FFFFFFCC"/>
          <bgColor rgb="FFFFFFCC"/>
        </patternFill>
      </fill>
    </dxf>
    <dxf>
      <fill>
        <patternFill>
          <fgColor rgb="FFFFFFCC"/>
          <bgColor rgb="FFFFFFCC"/>
        </patternFill>
      </fill>
    </dxf>
    <dxf>
      <fill>
        <patternFill>
          <bgColor rgb="FF92D050"/>
        </patternFill>
      </fill>
    </dxf>
    <dxf>
      <fill>
        <patternFill>
          <fgColor rgb="FFCCFFCC"/>
          <bgColor rgb="FFD6FCD4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\-mmm\-yy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\-mmm\-yy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9" formatCode="&quot;$&quot;#,##0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i val="0"/>
        <strike val="0"/>
        <outline val="0"/>
        <shadow val="0"/>
        <u val="none"/>
        <vertAlign val="baseline"/>
        <sz val="1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CCFFCC"/>
      <color rgb="FFFFFFCC"/>
      <color rgb="FF00C459"/>
      <color rgb="FFDDDDDD"/>
      <color rgb="FFD6FCD4"/>
      <color rgb="FFFFFF99"/>
      <color rgb="FF34C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mstrong, John" id="{E5BEDF65-7AE9-4911-B99B-258D2A734EAC}" userId="S::John.Armstrong@jacobs.com::0705496e-2def-4884-94ec-5797d4dcd4d8" providerId="AD"/>
</personList>
</file>

<file path=xl/tables/table1.xml><?xml version="1.0" encoding="utf-8"?>
<table xmlns="http://schemas.openxmlformats.org/spreadsheetml/2006/main" id="1" name="Table1" displayName="Table1" ref="A1:AA2" insertRow="1" totalsRowShown="0" headerRowDxfId="117" dataDxfId="115" headerRowBorderDxfId="116" tableBorderDxfId="114" totalsRowBorderDxfId="113">
  <autoFilter ref="A1:AA2"/>
  <tableColumns count="27">
    <tableColumn id="1" name="WO Number" dataDxfId="112" totalsRowDxfId="111"/>
    <tableColumn id="2" name="Description" dataDxfId="110" totalsRowDxfId="109"/>
    <tableColumn id="38" name="Asset _x000a_Number" dataDxfId="108" totalsRowDxfId="107"/>
    <tableColumn id="20" name="Bldg." dataDxfId="106" totalsRowDxfId="105" dataCellStyle="Comma 2"/>
    <tableColumn id="16" name="Zone" dataDxfId="104" totalsRowDxfId="103" dataCellStyle="Comma 2"/>
    <tableColumn id="3" name="Site" dataDxfId="102" totalsRowDxfId="101"/>
    <tableColumn id="31" name="IDIQ Type" dataDxfId="100" totalsRowDxfId="99"/>
    <tableColumn id="50" name="LOL" dataDxfId="98" totalsRowDxfId="97" dataCellStyle="Currency"/>
    <tableColumn id="9" name="Status of Job" dataDxfId="96"/>
    <tableColumn id="27" name="Party Performing Work" dataDxfId="95" totalsRowDxfId="94"/>
    <tableColumn id="11" name="Work Order _x000a_Received" dataDxfId="93" totalsRowDxfId="92"/>
    <tableColumn id="52" name="Date of _x000a_Site Visit" dataDxfId="91" totalsRowDxfId="90"/>
    <tableColumn id="41" name="POP_x000a_(days)" dataDxfId="89" totalsRowDxfId="88"/>
    <tableColumn id="54" name="Proposal Amount" dataDxfId="87" totalsRowDxfId="86"/>
    <tableColumn id="48" name="Submitted to Government" dataDxfId="85" totalsRowDxfId="84"/>
    <tableColumn id="15" name="Days with Jacobs" dataDxfId="83" totalsRowDxfId="82" dataCellStyle="Comma">
      <calculatedColumnFormula>IF('IDIQ LOG FACILITIES'!$K2&lt;1," ",IF('IDIQ LOG FACILITIES'!$O2&lt;1,#REF!-'IDIQ LOG FACILITIES'!$K2,'IDIQ LOG FACILITIES'!$O2-'IDIQ LOG FACILITIES'!$K2))</calculatedColumnFormula>
    </tableColumn>
    <tableColumn id="10" name="Days with Gov't" dataDxfId="81" totalsRowDxfId="80" dataCellStyle="Comma">
      <calculatedColumnFormula>IF('IDIQ LOG FACILITIES'!$R2&gt;1,'IDIQ LOG FACILITIES'!$R2-'IDIQ LOG FACILITIES'!$O2," ")</calculatedColumnFormula>
    </tableColumn>
    <tableColumn id="13" name="Government   Award Date" dataDxfId="79" totalsRowDxfId="78"/>
    <tableColumn id="28" name="Pre-Con Date" dataDxfId="77" totalsRowDxfId="76"/>
    <tableColumn id="46" name="Estimated Completion Date (ECD)" dataDxfId="75" totalsRowDxfId="74"/>
    <tableColumn id="42" name="Actual Completion Date" dataDxfId="73" totalsRowDxfId="72"/>
    <tableColumn id="23" name="QA_x000a_Sign-Off" dataDxfId="71" totalsRowDxfId="70" dataCellStyle="Currency 2"/>
    <tableColumn id="22" name="PAR_x000a_Sign-Off Date" dataDxfId="69" totalsRowDxfId="68" dataCellStyle="Currency 2"/>
    <tableColumn id="24" name="Invoice Date" dataDxfId="67" totalsRowDxfId="66" dataCellStyle="Currency 2"/>
    <tableColumn id="12" name="Notes" dataDxfId="65" totalsRowDxfId="64"/>
    <tableColumn id="6" name="Jacobs POC" dataDxfId="63" totalsRowDxfId="62"/>
    <tableColumn id="4" name="Event" dataDxfId="6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4:AD5" totalsRowShown="0" headerRowDxfId="60" dataDxfId="58" headerRowBorderDxfId="59" tableBorderDxfId="57" totalsRowBorderDxfId="56">
  <autoFilter ref="A4:AD5"/>
  <tableColumns count="30">
    <tableColumn id="18" name="Priority" dataDxfId="55"/>
    <tableColumn id="17" name="Critical Date" dataDxfId="54"/>
    <tableColumn id="16" name="Next Action" dataDxfId="53"/>
    <tableColumn id="1" name="WO Number" dataDxfId="52"/>
    <tableColumn id="2" name="Description" dataDxfId="51" totalsRowDxfId="50"/>
    <tableColumn id="38" name="Asset _x000a_Number" dataDxfId="49" totalsRowDxfId="48"/>
    <tableColumn id="20" name="Bldg." dataDxfId="47" dataCellStyle="Comma 2"/>
    <tableColumn id="3" name="Site" dataDxfId="46" totalsRowDxfId="45"/>
    <tableColumn id="4" name="Utility" dataDxfId="44" totalsRowDxfId="43"/>
    <tableColumn id="31" name="IDIQ Type" dataDxfId="42" totalsRowDxfId="41"/>
    <tableColumn id="50" name="LOL" dataDxfId="40" totalsRowDxfId="39" dataCellStyle="Currency"/>
    <tableColumn id="9" name="Status of Job" dataDxfId="38" totalsRowDxfId="37"/>
    <tableColumn id="14" name="Party Performing Work" dataDxfId="36" totalsRowDxfId="35"/>
    <tableColumn id="11" name="Work Order _x000a_Received" dataDxfId="34"/>
    <tableColumn id="52" name="Date of _x000a_Site Visit" dataDxfId="33"/>
    <tableColumn id="41" name="POP_x000a_(days)" dataDxfId="32"/>
    <tableColumn id="54" name="Proposal Amount" dataDxfId="31"/>
    <tableColumn id="48" name="Submitted to Government" dataDxfId="30"/>
    <tableColumn id="15" name="Days with Jacobs" dataDxfId="29" dataCellStyle="Comma"/>
    <tableColumn id="10" name="Days with Gov't" dataDxfId="28" dataCellStyle="Comma"/>
    <tableColumn id="13" name="Government Award Date" dataDxfId="27" totalsRowDxfId="26"/>
    <tableColumn id="5" name="Pre-Con Date" dataDxfId="25" totalsRowDxfId="24"/>
    <tableColumn id="46" name="Estimated Completion Date (ECD)" dataDxfId="23"/>
    <tableColumn id="42" name="Actual Completion Date" dataDxfId="22"/>
    <tableColumn id="23" name="QA_x000a_Sign-Off" dataDxfId="21" dataCellStyle="Currency 2"/>
    <tableColumn id="22" name="PAR_x000a_Sign-Off" dataDxfId="20" dataCellStyle="Currency 2"/>
    <tableColumn id="24" name="Invoice Date" dataDxfId="19" dataCellStyle="Currency 2"/>
    <tableColumn id="12" name="Notes" dataDxfId="18" totalsRowDxfId="17"/>
    <tableColumn id="6" name="Jacobs POC" dataDxfId="16" totalsRowDxfId="15"/>
    <tableColumn id="7" name="Event" dataDxfId="14" dataCellStyle="Currency 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5" dT="2023-07-26T13:13:03.89" personId="{E5BEDF65-7AE9-4911-B99B-258D2A734EAC}" id="{68A12301-F4E9-42ED-B52C-E16DFD158A50}">
    <text>IAN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pageSetUpPr fitToPage="1"/>
  </sheetPr>
  <dimension ref="A1:AA16"/>
  <sheetViews>
    <sheetView zoomScale="130" zoomScaleNormal="130" zoomScaleSheetLayoutView="100" workbookViewId="0">
      <pane xSplit="2" ySplit="1" topLeftCell="C2" activePane="bottomRight" state="frozen"/>
      <selection activeCell="I5" sqref="A1:AO294"/>
      <selection pane="topRight" activeCell="I5" sqref="A1:AO294"/>
      <selection pane="bottomLeft" activeCell="I5" sqref="A1:AO294"/>
      <selection pane="bottomRight" activeCell="A5" sqref="A5:B13"/>
    </sheetView>
  </sheetViews>
  <sheetFormatPr defaultColWidth="9.453125" defaultRowHeight="13" customHeight="1" x14ac:dyDescent="0.25"/>
  <cols>
    <col min="1" max="1" width="25.7265625" style="143" customWidth="1"/>
    <col min="2" max="2" width="34.453125" style="153" customWidth="1"/>
    <col min="3" max="3" width="15.453125" style="154" customWidth="1"/>
    <col min="4" max="4" width="12" style="154" customWidth="1"/>
    <col min="5" max="5" width="6.54296875" style="154" hidden="1" customWidth="1"/>
    <col min="6" max="6" width="13.1796875" style="143" customWidth="1"/>
    <col min="7" max="7" width="13.54296875" style="143" bestFit="1" customWidth="1"/>
    <col min="8" max="8" width="11.54296875" style="127" customWidth="1"/>
    <col min="9" max="9" width="16.453125" style="125" customWidth="1"/>
    <col min="10" max="10" width="14.453125" style="176" customWidth="1"/>
    <col min="11" max="11" width="14" style="177" customWidth="1"/>
    <col min="12" max="12" width="10.54296875" style="178" customWidth="1"/>
    <col min="13" max="13" width="7" style="178" customWidth="1"/>
    <col min="14" max="14" width="13.54296875" style="179" customWidth="1"/>
    <col min="15" max="15" width="12.54296875" style="180" customWidth="1"/>
    <col min="16" max="16" width="8.54296875" style="181" customWidth="1"/>
    <col min="17" max="17" width="8" style="182" customWidth="1"/>
    <col min="18" max="18" width="14" style="182" customWidth="1"/>
    <col min="19" max="19" width="12.54296875" style="182" customWidth="1"/>
    <col min="20" max="20" width="15.54296875" style="183" customWidth="1"/>
    <col min="21" max="21" width="19.54296875" style="183" customWidth="1"/>
    <col min="22" max="22" width="12.453125" style="183" customWidth="1"/>
    <col min="23" max="23" width="20" style="148" customWidth="1"/>
    <col min="24" max="24" width="14.453125" style="148" hidden="1" customWidth="1"/>
    <col min="25" max="25" width="50.54296875" style="148" customWidth="1"/>
    <col min="26" max="26" width="14.453125" style="148" customWidth="1"/>
    <col min="27" max="27" width="22.453125" style="148" hidden="1" customWidth="1"/>
    <col min="28" max="16384" width="9.453125" style="128"/>
  </cols>
  <sheetData>
    <row r="1" spans="1:27" s="196" customFormat="1" ht="13" customHeight="1" x14ac:dyDescent="0.25">
      <c r="A1" s="145" t="s">
        <v>4</v>
      </c>
      <c r="B1" s="184" t="s">
        <v>5</v>
      </c>
      <c r="C1" s="185" t="s">
        <v>6</v>
      </c>
      <c r="D1" s="186" t="s">
        <v>314</v>
      </c>
      <c r="E1" s="187" t="s">
        <v>86</v>
      </c>
      <c r="F1" s="184" t="s">
        <v>7</v>
      </c>
      <c r="G1" s="184" t="s">
        <v>70</v>
      </c>
      <c r="H1" s="188" t="s">
        <v>8</v>
      </c>
      <c r="I1" s="189" t="s">
        <v>50</v>
      </c>
      <c r="J1" s="189" t="s">
        <v>71</v>
      </c>
      <c r="K1" s="190" t="s">
        <v>9</v>
      </c>
      <c r="L1" s="191" t="s">
        <v>69</v>
      </c>
      <c r="M1" s="192" t="s">
        <v>10</v>
      </c>
      <c r="N1" s="192" t="s">
        <v>11</v>
      </c>
      <c r="O1" s="190" t="s">
        <v>12</v>
      </c>
      <c r="P1" s="190" t="s">
        <v>21</v>
      </c>
      <c r="Q1" s="190" t="s">
        <v>22</v>
      </c>
      <c r="R1" s="193" t="s">
        <v>320</v>
      </c>
      <c r="S1" s="194" t="s">
        <v>72</v>
      </c>
      <c r="T1" s="194" t="s">
        <v>38</v>
      </c>
      <c r="U1" s="194" t="s">
        <v>39</v>
      </c>
      <c r="V1" s="194" t="s">
        <v>42</v>
      </c>
      <c r="W1" s="192" t="s">
        <v>68</v>
      </c>
      <c r="X1" s="192" t="s">
        <v>52</v>
      </c>
      <c r="Y1" s="184" t="s">
        <v>13</v>
      </c>
      <c r="Z1" s="195" t="s">
        <v>46</v>
      </c>
      <c r="AA1" s="290" t="s">
        <v>389</v>
      </c>
    </row>
    <row r="2" spans="1:27" s="149" customFormat="1" ht="30" customHeight="1" x14ac:dyDescent="0.25">
      <c r="A2" s="141"/>
      <c r="B2" s="129"/>
      <c r="C2" s="130"/>
      <c r="D2" s="131"/>
      <c r="E2" s="289"/>
      <c r="F2" s="130"/>
      <c r="G2" s="130"/>
      <c r="H2" s="138"/>
      <c r="I2" s="130"/>
      <c r="J2" s="132"/>
      <c r="K2" s="136"/>
      <c r="L2" s="134"/>
      <c r="M2" s="140"/>
      <c r="N2" s="135"/>
      <c r="O2" s="133"/>
      <c r="P2" s="139"/>
      <c r="Q2" s="139"/>
      <c r="R2" s="133"/>
      <c r="S2" s="142"/>
      <c r="T2" s="136"/>
      <c r="U2" s="136"/>
      <c r="V2" s="136"/>
      <c r="W2" s="126"/>
      <c r="X2" s="215"/>
      <c r="Y2" s="137"/>
      <c r="Z2" s="126"/>
      <c r="AA2" s="144"/>
    </row>
    <row r="3" spans="1:27" ht="13" customHeight="1" x14ac:dyDescent="0.25">
      <c r="A3" s="271"/>
      <c r="B3" s="272"/>
      <c r="C3" s="273"/>
      <c r="D3" s="273"/>
      <c r="F3" s="274"/>
      <c r="G3" s="275"/>
      <c r="H3" s="276"/>
      <c r="I3" s="277"/>
      <c r="J3" s="278"/>
      <c r="K3" s="278"/>
      <c r="L3" s="277"/>
      <c r="M3" s="277"/>
      <c r="N3" s="279"/>
      <c r="O3" s="280"/>
      <c r="P3" s="276"/>
      <c r="Q3" s="281"/>
      <c r="R3" s="282"/>
      <c r="S3" s="283"/>
      <c r="T3" s="284"/>
      <c r="U3" s="284"/>
      <c r="V3" s="284"/>
      <c r="W3" s="285"/>
      <c r="X3" s="144"/>
      <c r="Y3" s="278"/>
      <c r="Z3" s="278"/>
    </row>
    <row r="4" spans="1:27" ht="13" customHeight="1" thickBot="1" x14ac:dyDescent="0.3">
      <c r="A4" s="154" t="s">
        <v>19</v>
      </c>
      <c r="B4" s="161"/>
      <c r="F4" s="155"/>
      <c r="G4" s="150"/>
      <c r="H4" s="146"/>
      <c r="I4" s="156"/>
      <c r="J4" s="144"/>
      <c r="K4" s="144"/>
      <c r="L4" s="156"/>
      <c r="M4" s="156"/>
      <c r="N4" s="157"/>
      <c r="O4" s="158"/>
      <c r="P4" s="146"/>
      <c r="Q4" s="159"/>
      <c r="R4" s="157"/>
      <c r="S4" s="160"/>
      <c r="T4" s="151"/>
      <c r="U4" s="151"/>
      <c r="V4" s="151"/>
      <c r="W4" s="147"/>
      <c r="X4" s="144"/>
      <c r="Y4" s="144"/>
      <c r="Z4" s="144"/>
    </row>
    <row r="5" spans="1:27" ht="13" customHeight="1" thickBot="1" x14ac:dyDescent="0.3">
      <c r="A5" s="162"/>
      <c r="B5" s="163" t="s">
        <v>377</v>
      </c>
      <c r="C5" s="164"/>
      <c r="F5" s="155"/>
      <c r="G5" s="150"/>
      <c r="H5" s="146"/>
      <c r="I5" s="156"/>
      <c r="J5" s="144"/>
      <c r="K5" s="144"/>
      <c r="L5" s="156"/>
      <c r="M5" s="156"/>
      <c r="N5" s="157"/>
      <c r="O5" s="158"/>
      <c r="P5" s="146"/>
      <c r="Q5" s="159"/>
      <c r="R5" s="157"/>
      <c r="S5" s="160"/>
      <c r="T5" s="151"/>
      <c r="U5" s="151"/>
      <c r="V5" s="151"/>
      <c r="W5" s="147"/>
      <c r="X5" s="144"/>
      <c r="Y5" s="144"/>
      <c r="Z5" s="144"/>
    </row>
    <row r="6" spans="1:27" ht="13" customHeight="1" thickTop="1" thickBot="1" x14ac:dyDescent="0.3">
      <c r="A6" s="165"/>
      <c r="B6" s="166" t="s">
        <v>84</v>
      </c>
      <c r="C6" s="164"/>
      <c r="F6" s="155"/>
      <c r="G6" s="150"/>
      <c r="H6" s="146"/>
      <c r="I6" s="156"/>
      <c r="J6" s="144"/>
      <c r="K6" s="144"/>
      <c r="L6" s="156"/>
      <c r="M6" s="156"/>
      <c r="N6" s="157"/>
      <c r="O6" s="158"/>
      <c r="P6" s="146"/>
      <c r="Q6" s="159"/>
      <c r="R6" s="157"/>
      <c r="S6" s="160"/>
      <c r="T6" s="151"/>
      <c r="U6" s="151"/>
      <c r="V6" s="151"/>
      <c r="W6" s="147"/>
      <c r="X6" s="144"/>
      <c r="Y6" s="144"/>
      <c r="Z6" s="144"/>
    </row>
    <row r="7" spans="1:27" ht="13" customHeight="1" thickBot="1" x14ac:dyDescent="0.3">
      <c r="A7" s="167"/>
      <c r="B7" s="168" t="s">
        <v>269</v>
      </c>
      <c r="C7" s="164"/>
      <c r="F7" s="155"/>
      <c r="G7" s="150"/>
      <c r="H7" s="146"/>
      <c r="I7" s="156"/>
      <c r="J7" s="144"/>
      <c r="K7" s="144"/>
      <c r="L7" s="156"/>
      <c r="M7" s="156"/>
      <c r="N7" s="157"/>
      <c r="O7" s="158"/>
      <c r="P7" s="146"/>
      <c r="Q7" s="159"/>
      <c r="R7" s="157"/>
      <c r="S7" s="160"/>
      <c r="T7" s="151"/>
      <c r="U7" s="151"/>
      <c r="V7" s="151"/>
      <c r="W7" s="147"/>
      <c r="X7" s="144"/>
      <c r="Y7" s="144"/>
      <c r="Z7" s="144"/>
    </row>
    <row r="8" spans="1:27" ht="13" customHeight="1" thickBot="1" x14ac:dyDescent="0.3">
      <c r="A8" s="169"/>
      <c r="B8" s="168" t="s">
        <v>270</v>
      </c>
      <c r="C8" s="164"/>
      <c r="G8" s="150"/>
      <c r="H8" s="146"/>
      <c r="I8" s="156"/>
      <c r="J8" s="144"/>
      <c r="K8" s="144"/>
      <c r="L8" s="156"/>
      <c r="M8" s="156"/>
      <c r="N8" s="257">
        <f>SUBTOTAL(9,N2:N7)</f>
        <v>0</v>
      </c>
      <c r="O8" s="158"/>
      <c r="P8" s="146"/>
      <c r="Q8" s="159"/>
      <c r="R8" s="157"/>
      <c r="S8" s="160"/>
      <c r="T8" s="151"/>
      <c r="U8" s="151"/>
      <c r="V8" s="151"/>
      <c r="W8" s="147"/>
      <c r="X8" s="144"/>
      <c r="Y8" s="144"/>
      <c r="Z8" s="144"/>
    </row>
    <row r="9" spans="1:27" ht="13" customHeight="1" thickBot="1" x14ac:dyDescent="0.3">
      <c r="A9" s="170"/>
      <c r="B9" s="171" t="s">
        <v>83</v>
      </c>
      <c r="C9" s="164"/>
      <c r="F9" s="155"/>
      <c r="G9" s="150"/>
      <c r="H9" s="146"/>
      <c r="I9" s="156"/>
      <c r="J9" s="144"/>
      <c r="K9" s="144"/>
      <c r="L9" s="156"/>
      <c r="M9" s="156"/>
      <c r="N9" s="157"/>
      <c r="O9" s="158"/>
      <c r="P9" s="146"/>
      <c r="Q9" s="159"/>
      <c r="R9" s="157"/>
      <c r="S9" s="160"/>
      <c r="T9" s="151"/>
      <c r="U9" s="151"/>
      <c r="V9" s="151"/>
      <c r="W9" s="147"/>
      <c r="X9" s="144"/>
      <c r="Y9" s="144"/>
      <c r="Z9" s="144"/>
    </row>
    <row r="10" spans="1:27" ht="13" customHeight="1" thickBot="1" x14ac:dyDescent="0.3">
      <c r="A10" s="172"/>
      <c r="B10" s="171" t="s">
        <v>272</v>
      </c>
      <c r="C10" s="164"/>
      <c r="F10" s="155"/>
      <c r="G10" s="150"/>
      <c r="H10" s="146"/>
      <c r="I10" s="156"/>
      <c r="J10" s="144"/>
      <c r="K10" s="144"/>
      <c r="L10" s="156"/>
      <c r="M10" s="156"/>
      <c r="N10" s="157"/>
      <c r="O10" s="158"/>
      <c r="P10" s="146"/>
      <c r="Q10" s="159"/>
      <c r="R10" s="157"/>
      <c r="S10" s="160"/>
      <c r="T10" s="151"/>
      <c r="U10" s="151"/>
      <c r="V10" s="151"/>
      <c r="W10" s="147"/>
      <c r="X10" s="144"/>
      <c r="Y10" s="144"/>
      <c r="Z10" s="144"/>
    </row>
    <row r="11" spans="1:27" ht="13" customHeight="1" thickBot="1" x14ac:dyDescent="0.3">
      <c r="A11" s="173"/>
      <c r="B11" s="171" t="s">
        <v>271</v>
      </c>
      <c r="C11" s="164"/>
      <c r="F11" s="155"/>
      <c r="G11" s="150"/>
      <c r="H11" s="146"/>
      <c r="I11" s="156"/>
      <c r="J11" s="144"/>
      <c r="K11" s="144"/>
      <c r="L11" s="156"/>
      <c r="M11" s="156"/>
      <c r="N11" s="157"/>
      <c r="O11" s="158"/>
      <c r="P11" s="146"/>
      <c r="Q11" s="159"/>
      <c r="R11" s="157"/>
      <c r="S11" s="160"/>
      <c r="T11" s="151"/>
      <c r="U11" s="151"/>
      <c r="V11" s="151"/>
      <c r="W11" s="147"/>
      <c r="X11" s="144"/>
      <c r="Y11" s="144"/>
      <c r="Z11" s="144"/>
    </row>
    <row r="12" spans="1:27" ht="13" customHeight="1" thickBot="1" x14ac:dyDescent="0.3">
      <c r="A12" s="174"/>
      <c r="B12" s="175" t="s">
        <v>184</v>
      </c>
      <c r="C12" s="164"/>
      <c r="F12" s="155"/>
      <c r="G12" s="150"/>
      <c r="H12" s="146"/>
      <c r="I12" s="156"/>
      <c r="J12" s="144"/>
      <c r="K12" s="144"/>
      <c r="L12" s="156"/>
      <c r="M12" s="156"/>
      <c r="N12" s="157"/>
      <c r="O12" s="158"/>
      <c r="P12" s="146"/>
      <c r="Q12" s="159"/>
      <c r="R12" s="157"/>
      <c r="S12" s="160"/>
      <c r="T12" s="151"/>
      <c r="U12" s="151"/>
      <c r="V12" s="151"/>
      <c r="W12" s="147"/>
      <c r="X12" s="144"/>
      <c r="Y12" s="144"/>
      <c r="Z12" s="144"/>
    </row>
    <row r="13" spans="1:27" ht="13" customHeight="1" thickBot="1" x14ac:dyDescent="0.3">
      <c r="A13" s="197"/>
      <c r="B13" s="175" t="s">
        <v>323</v>
      </c>
      <c r="F13" s="155"/>
      <c r="G13" s="150"/>
      <c r="H13" s="146"/>
      <c r="I13" s="156"/>
      <c r="J13" s="144"/>
      <c r="K13" s="144"/>
      <c r="L13" s="156"/>
      <c r="M13" s="156"/>
      <c r="N13" s="157"/>
      <c r="O13" s="158"/>
      <c r="P13" s="146"/>
      <c r="Q13" s="159"/>
      <c r="R13" s="157"/>
      <c r="S13" s="160"/>
      <c r="T13" s="151"/>
      <c r="U13" s="151"/>
      <c r="V13" s="151"/>
      <c r="W13" s="147"/>
      <c r="X13" s="144"/>
      <c r="Y13" s="144"/>
      <c r="Z13" s="144"/>
    </row>
    <row r="14" spans="1:27" ht="13" customHeight="1" x14ac:dyDescent="0.25">
      <c r="A14" s="152"/>
      <c r="F14" s="155"/>
      <c r="G14" s="150"/>
      <c r="H14" s="146"/>
      <c r="I14" s="156"/>
      <c r="J14" s="144"/>
      <c r="K14" s="144"/>
      <c r="L14" s="156"/>
      <c r="M14" s="156"/>
      <c r="N14" s="157"/>
      <c r="O14" s="158"/>
      <c r="P14" s="146"/>
      <c r="Q14" s="159"/>
      <c r="R14" s="157"/>
      <c r="S14" s="160"/>
      <c r="T14" s="151"/>
      <c r="U14" s="151"/>
      <c r="V14" s="151"/>
      <c r="W14" s="147"/>
      <c r="X14" s="144"/>
      <c r="Y14" s="144"/>
      <c r="Z14" s="144"/>
    </row>
    <row r="15" spans="1:27" ht="13" customHeight="1" x14ac:dyDescent="0.25">
      <c r="A15" s="152"/>
      <c r="F15" s="155"/>
      <c r="G15" s="150"/>
      <c r="H15" s="146"/>
      <c r="I15" s="156"/>
      <c r="J15" s="144"/>
      <c r="K15" s="144"/>
      <c r="L15" s="156"/>
      <c r="M15" s="156"/>
      <c r="N15" s="157"/>
      <c r="O15" s="158"/>
      <c r="P15" s="146"/>
      <c r="Q15" s="159"/>
      <c r="R15" s="157"/>
      <c r="S15" s="160"/>
      <c r="T15" s="151"/>
      <c r="U15" s="151"/>
      <c r="V15" s="151"/>
      <c r="W15" s="147"/>
      <c r="X15" s="144"/>
      <c r="Y15" s="144"/>
      <c r="Z15" s="144"/>
    </row>
    <row r="16" spans="1:27" ht="13" customHeight="1" x14ac:dyDescent="0.25">
      <c r="N16" s="223"/>
    </row>
  </sheetData>
  <sheetProtection formatRows="0" selectLockedCells="1" selectUnlockedCells="1"/>
  <phoneticPr fontId="11" type="noConversion"/>
  <conditionalFormatting sqref="O30:O40">
    <cfRule type="expression" dxfId="13" priority="2183">
      <formula>O30=#REF!</formula>
    </cfRule>
  </conditionalFormatting>
  <conditionalFormatting sqref="A19:Z35 A18:G18 I18:Z18 A17:Z17 A16:F16 H16:Z16 A13:Z15 A12:B12 D12:Z12 A3:Z11">
    <cfRule type="expression" dxfId="12" priority="47">
      <formula>$I3="Complete"</formula>
    </cfRule>
  </conditionalFormatting>
  <conditionalFormatting sqref="A1">
    <cfRule type="expression" dxfId="11" priority="40">
      <formula>$I1="Cancelled"</formula>
    </cfRule>
    <cfRule type="expression" dxfId="10" priority="41">
      <formula>$I1="Execution"</formula>
    </cfRule>
  </conditionalFormatting>
  <conditionalFormatting sqref="A1">
    <cfRule type="expression" dxfId="9" priority="42">
      <formula>$I1="Complete"</formula>
    </cfRule>
  </conditionalFormatting>
  <conditionalFormatting sqref="B1:Z1">
    <cfRule type="expression" dxfId="8" priority="2488">
      <formula>#REF!="Submitted"</formula>
    </cfRule>
  </conditionalFormatting>
  <conditionalFormatting sqref="A1">
    <cfRule type="expression" dxfId="7" priority="2491">
      <formula>#REF!="Submitted"</formula>
    </cfRule>
  </conditionalFormatting>
  <dataValidations count="1">
    <dataValidation type="list" allowBlank="1" showInputMessage="1" showErrorMessage="1" sqref="F3:F1048576 F1">
      <formula1>#REF!</formula1>
    </dataValidation>
  </dataValidations>
  <printOptions horizontalCentered="1" gridLines="1"/>
  <pageMargins left="0.25" right="0.25" top="0.75" bottom="0.75" header="0.3" footer="0.3"/>
  <pageSetup paperSize="3" scale="43" fitToHeight="0" orientation="landscape" r:id="rId1"/>
  <headerFooter scaleWithDoc="0" alignWithMargins="0">
    <oddFooter>&amp;R&amp;P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'Dropdown lists'!$H$4:$H$21</xm:f>
          </x14:formula1>
          <xm:sqref>G1 G3:G1048576</xm:sqref>
        </x14:dataValidation>
        <x14:dataValidation type="list" allowBlank="1" showInputMessage="1" showErrorMessage="1">
          <x14:formula1>
            <xm:f>'Dropdown lists'!$L$4:$L$26</xm:f>
          </x14:formula1>
          <xm:sqref>I1 I3:I1048576</xm:sqref>
        </x14:dataValidation>
        <x14:dataValidation type="list" allowBlank="1" showInputMessage="1" showErrorMessage="1">
          <x14:formula1>
            <xm:f>'Dropdown lists'!$H$4:$H$27</xm:f>
          </x14:formula1>
          <xm:sqref>G2</xm:sqref>
        </x14:dataValidation>
        <x14:dataValidation type="list" allowBlank="1" showInputMessage="1" showErrorMessage="1">
          <x14:formula1>
            <xm:f>'Dropdown lists'!$D$4:$D$17</xm:f>
          </x14:formula1>
          <xm:sqref>F2</xm:sqref>
        </x14:dataValidation>
        <x14:dataValidation type="list" allowBlank="1" showInputMessage="1" showErrorMessage="1">
          <x14:formula1>
            <xm:f>'Dropdown lists'!$L$4:$L$34</xm:f>
          </x14:formula1>
          <xm:sqref>I2</xm:sqref>
        </x14:dataValidation>
        <x14:dataValidation type="list" allowBlank="1" showInputMessage="1" showErrorMessage="1">
          <x14:formula1>
            <xm:f>'Dropdown lists'!$R$4:$R$23</xm:f>
          </x14:formula1>
          <xm:sqref>Z2:Z3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 tint="-0.249977111117893"/>
  </sheetPr>
  <dimension ref="A1:AD15"/>
  <sheetViews>
    <sheetView tabSelected="1" topLeftCell="D1" zoomScaleNormal="100" zoomScaleSheetLayoutView="100" workbookViewId="0">
      <pane xSplit="2" ySplit="4" topLeftCell="F5" activePane="bottomRight" state="frozen"/>
      <selection activeCell="W215" sqref="W215"/>
      <selection pane="topRight" activeCell="W215" sqref="W215"/>
      <selection pane="bottomLeft" activeCell="W215" sqref="W215"/>
      <selection pane="bottomRight" activeCell="E20" sqref="E20"/>
    </sheetView>
  </sheetViews>
  <sheetFormatPr defaultColWidth="9.453125" defaultRowHeight="12.5" x14ac:dyDescent="0.25"/>
  <cols>
    <col min="1" max="2" width="8.453125" style="49" hidden="1" customWidth="1"/>
    <col min="3" max="3" width="8.54296875" style="49" hidden="1" customWidth="1"/>
    <col min="4" max="4" width="12.1796875" style="49" customWidth="1"/>
    <col min="5" max="5" width="41.54296875" customWidth="1"/>
    <col min="6" max="7" width="8.54296875" customWidth="1"/>
    <col min="8" max="8" width="8.54296875" style="49" customWidth="1"/>
    <col min="9" max="9" width="9.54296875" style="49" customWidth="1"/>
    <col min="10" max="10" width="8.54296875" style="48" customWidth="1"/>
    <col min="11" max="11" width="12.453125" style="49" customWidth="1"/>
    <col min="12" max="12" width="11.54296875" style="49" customWidth="1"/>
    <col min="13" max="13" width="13.54296875" style="16" customWidth="1"/>
    <col min="14" max="14" width="10.54296875" style="55" customWidth="1"/>
    <col min="15" max="15" width="10.54296875" style="20" customWidth="1"/>
    <col min="16" max="16" width="8.54296875" style="20" customWidth="1"/>
    <col min="17" max="17" width="12.54296875" style="66" customWidth="1"/>
    <col min="18" max="18" width="11.54296875" style="67" customWidth="1"/>
    <col min="19" max="19" width="8.54296875" style="57" customWidth="1"/>
    <col min="20" max="20" width="8.54296875" style="58" customWidth="1"/>
    <col min="21" max="22" width="11.54296875" style="58" customWidth="1"/>
    <col min="23" max="25" width="11.54296875" style="52" customWidth="1"/>
    <col min="26" max="26" width="11.81640625" style="52" customWidth="1"/>
    <col min="27" max="27" width="11.54296875" style="76" customWidth="1"/>
    <col min="28" max="28" width="50.54296875" style="76" customWidth="1"/>
    <col min="29" max="29" width="11.54296875" style="76" customWidth="1"/>
    <col min="30" max="30" width="17.81640625" style="49" hidden="1" customWidth="1"/>
    <col min="31" max="16384" width="9.453125" style="49"/>
  </cols>
  <sheetData>
    <row r="1" spans="1:30" x14ac:dyDescent="0.25">
      <c r="A1" s="49" t="s">
        <v>2</v>
      </c>
      <c r="E1" s="49"/>
      <c r="F1" s="49"/>
      <c r="G1" s="32" t="s">
        <v>318</v>
      </c>
      <c r="H1" s="32"/>
      <c r="I1" s="32"/>
      <c r="J1" s="1"/>
      <c r="K1" s="55"/>
      <c r="L1" s="2"/>
      <c r="M1" s="2"/>
      <c r="N1" s="56"/>
      <c r="O1" s="22"/>
      <c r="P1" s="57"/>
      <c r="Q1" s="58"/>
      <c r="R1" s="58"/>
      <c r="S1" s="58"/>
      <c r="U1" s="3"/>
      <c r="V1" s="78"/>
      <c r="W1" s="3"/>
      <c r="X1" s="76"/>
      <c r="Y1" s="76"/>
      <c r="Z1" s="76"/>
      <c r="AB1" s="49"/>
      <c r="AC1" s="49"/>
    </row>
    <row r="2" spans="1:30" x14ac:dyDescent="0.25">
      <c r="A2" s="50" t="s">
        <v>3</v>
      </c>
      <c r="B2" s="59">
        <f ca="1">TODAY()</f>
        <v>45630</v>
      </c>
      <c r="C2" s="50"/>
      <c r="F2" s="59"/>
      <c r="G2" s="32" t="s">
        <v>37</v>
      </c>
      <c r="H2" s="32"/>
      <c r="I2" s="32"/>
      <c r="J2" s="60"/>
      <c r="K2" s="61"/>
      <c r="L2" s="5"/>
      <c r="M2" s="5"/>
      <c r="N2" s="14"/>
      <c r="O2" s="22"/>
      <c r="P2" s="57"/>
      <c r="Q2" s="14"/>
      <c r="R2" s="14"/>
      <c r="S2" s="14"/>
      <c r="T2" s="14"/>
      <c r="U2" s="62"/>
      <c r="V2" s="81"/>
      <c r="W2" s="62"/>
      <c r="X2" s="76"/>
      <c r="Y2" s="76"/>
      <c r="Z2" s="76"/>
      <c r="AB2" s="49"/>
      <c r="AC2" s="49"/>
    </row>
    <row r="3" spans="1:30" x14ac:dyDescent="0.25">
      <c r="E3" s="49"/>
      <c r="F3" s="49"/>
      <c r="G3" s="48"/>
      <c r="J3" s="52"/>
      <c r="K3" s="55"/>
      <c r="L3" s="5"/>
      <c r="M3" s="5"/>
      <c r="N3" s="14"/>
      <c r="O3" s="22"/>
      <c r="P3" s="21"/>
      <c r="Q3" s="8"/>
      <c r="R3" s="8"/>
      <c r="S3" s="8"/>
      <c r="T3" s="8"/>
      <c r="U3" s="7"/>
      <c r="V3" s="79"/>
      <c r="W3" s="7"/>
      <c r="X3" s="77"/>
      <c r="Y3" s="77"/>
      <c r="Z3" s="77"/>
      <c r="AA3" s="77"/>
      <c r="AB3" s="49"/>
      <c r="AC3" s="49"/>
    </row>
    <row r="4" spans="1:30" s="54" customFormat="1" ht="39" x14ac:dyDescent="0.25">
      <c r="A4" s="9" t="s">
        <v>80</v>
      </c>
      <c r="B4" s="9" t="s">
        <v>81</v>
      </c>
      <c r="C4" s="9" t="s">
        <v>82</v>
      </c>
      <c r="D4" s="9" t="s">
        <v>4</v>
      </c>
      <c r="E4" s="63" t="s">
        <v>5</v>
      </c>
      <c r="F4" s="9" t="s">
        <v>6</v>
      </c>
      <c r="G4" s="31" t="s">
        <v>314</v>
      </c>
      <c r="H4" s="9" t="s">
        <v>7</v>
      </c>
      <c r="I4" s="9" t="s">
        <v>74</v>
      </c>
      <c r="J4" s="9" t="s">
        <v>70</v>
      </c>
      <c r="K4" s="37" t="s">
        <v>8</v>
      </c>
      <c r="L4" s="13" t="s">
        <v>50</v>
      </c>
      <c r="M4" s="13" t="s">
        <v>71</v>
      </c>
      <c r="N4" s="12" t="s">
        <v>9</v>
      </c>
      <c r="O4" s="33" t="s">
        <v>69</v>
      </c>
      <c r="P4" s="11" t="s">
        <v>10</v>
      </c>
      <c r="Q4" s="11" t="s">
        <v>11</v>
      </c>
      <c r="R4" s="12" t="s">
        <v>12</v>
      </c>
      <c r="S4" s="12" t="s">
        <v>21</v>
      </c>
      <c r="T4" s="12" t="s">
        <v>22</v>
      </c>
      <c r="U4" s="82" t="s">
        <v>73</v>
      </c>
      <c r="V4" s="25" t="s">
        <v>72</v>
      </c>
      <c r="W4" s="11" t="s">
        <v>38</v>
      </c>
      <c r="X4" s="25" t="s">
        <v>39</v>
      </c>
      <c r="Y4" s="25" t="s">
        <v>42</v>
      </c>
      <c r="Z4" s="25" t="s">
        <v>43</v>
      </c>
      <c r="AA4" s="25" t="s">
        <v>52</v>
      </c>
      <c r="AB4" s="63" t="s">
        <v>13</v>
      </c>
      <c r="AC4" s="53" t="s">
        <v>46</v>
      </c>
      <c r="AD4" s="291" t="s">
        <v>389</v>
      </c>
    </row>
    <row r="5" spans="1:30" ht="76" customHeight="1" x14ac:dyDescent="0.25">
      <c r="A5" s="68"/>
      <c r="B5" s="294"/>
      <c r="C5" s="294"/>
      <c r="D5" s="295"/>
      <c r="E5" s="296"/>
      <c r="F5" s="295"/>
      <c r="G5" s="297"/>
      <c r="H5" s="122"/>
      <c r="I5" s="295"/>
      <c r="J5" s="298"/>
      <c r="K5" s="299"/>
      <c r="L5" s="295"/>
      <c r="M5" s="295"/>
      <c r="N5" s="292"/>
      <c r="O5" s="300"/>
      <c r="P5" s="297"/>
      <c r="Q5" s="301"/>
      <c r="R5" s="292"/>
      <c r="S5" s="302"/>
      <c r="T5" s="302"/>
      <c r="U5" s="293"/>
      <c r="V5" s="292"/>
      <c r="W5" s="293"/>
      <c r="X5" s="293"/>
      <c r="Y5" s="293"/>
      <c r="Z5" s="293"/>
      <c r="AA5" s="293"/>
      <c r="AB5" s="303"/>
      <c r="AC5" s="304"/>
      <c r="AD5" s="119"/>
    </row>
    <row r="6" spans="1:30" ht="13.5" thickBot="1" x14ac:dyDescent="0.3">
      <c r="A6" s="51"/>
      <c r="B6" s="51"/>
      <c r="C6" s="51"/>
      <c r="D6" s="51"/>
      <c r="E6" s="198"/>
      <c r="F6" s="198"/>
      <c r="G6" s="198"/>
      <c r="H6" s="65"/>
      <c r="I6" s="38"/>
      <c r="J6" s="40"/>
      <c r="K6" s="38"/>
      <c r="L6" s="38"/>
      <c r="M6" s="41"/>
      <c r="N6" s="42"/>
      <c r="O6" s="38"/>
      <c r="P6" s="38"/>
      <c r="Q6" s="39"/>
      <c r="R6" s="43"/>
      <c r="S6" s="40"/>
      <c r="T6" s="44"/>
      <c r="U6" s="39"/>
      <c r="V6" s="45"/>
      <c r="W6" s="46"/>
      <c r="X6" s="47"/>
      <c r="Y6" s="47"/>
      <c r="Z6" s="47"/>
      <c r="AA6" s="46"/>
      <c r="AB6" s="46"/>
      <c r="AC6" s="46"/>
    </row>
    <row r="7" spans="1:30" ht="13.5" thickBot="1" x14ac:dyDescent="0.3">
      <c r="A7" s="51"/>
      <c r="B7" s="51"/>
      <c r="C7" s="51"/>
      <c r="D7" s="162"/>
      <c r="E7" s="163" t="s">
        <v>377</v>
      </c>
      <c r="H7" s="65"/>
      <c r="I7" s="38"/>
      <c r="J7" s="40"/>
      <c r="K7" s="38"/>
      <c r="L7" s="38"/>
      <c r="M7" s="41"/>
      <c r="N7" s="42"/>
      <c r="O7" s="38"/>
      <c r="P7" s="38"/>
      <c r="Q7" s="224" t="e">
        <f>SUBTOTAL(9,#REF!)</f>
        <v>#REF!</v>
      </c>
      <c r="R7" s="43"/>
      <c r="S7" s="40"/>
      <c r="T7" s="44"/>
      <c r="U7" s="39"/>
      <c r="V7" s="45"/>
      <c r="W7" s="46"/>
      <c r="X7" s="47"/>
      <c r="Y7" s="47"/>
      <c r="Z7" s="47"/>
      <c r="AA7" s="46"/>
      <c r="AB7" s="46"/>
      <c r="AC7" s="46"/>
    </row>
    <row r="8" spans="1:30" ht="14" thickTop="1" thickBot="1" x14ac:dyDescent="0.3">
      <c r="A8" s="51"/>
      <c r="B8" s="51"/>
      <c r="C8" s="51"/>
      <c r="D8" s="165"/>
      <c r="E8" s="166" t="s">
        <v>84</v>
      </c>
      <c r="H8" s="65"/>
      <c r="I8" s="38"/>
      <c r="J8" s="40"/>
      <c r="K8" s="38"/>
      <c r="L8" s="38"/>
      <c r="M8" s="41"/>
      <c r="N8" s="42"/>
      <c r="O8" s="38"/>
      <c r="P8" s="38"/>
      <c r="Q8" s="39"/>
      <c r="R8" s="43"/>
      <c r="S8" s="40"/>
      <c r="T8" s="44"/>
      <c r="U8" s="39"/>
      <c r="V8" s="45"/>
      <c r="W8" s="46"/>
      <c r="X8" s="47"/>
      <c r="Y8" s="47"/>
      <c r="Z8" s="47"/>
      <c r="AA8" s="46"/>
      <c r="AB8" s="46"/>
      <c r="AC8" s="46"/>
    </row>
    <row r="9" spans="1:30" ht="13.5" thickBot="1" x14ac:dyDescent="0.3">
      <c r="A9" s="51"/>
      <c r="B9" s="51"/>
      <c r="C9" s="51"/>
      <c r="D9" s="167"/>
      <c r="E9" s="168" t="s">
        <v>269</v>
      </c>
      <c r="H9" s="65"/>
      <c r="I9" s="38"/>
      <c r="J9" s="40"/>
      <c r="K9" s="38"/>
      <c r="L9" s="38"/>
      <c r="M9" s="41"/>
      <c r="N9" s="42"/>
      <c r="O9" s="38"/>
      <c r="P9" s="38"/>
      <c r="Q9" s="39"/>
      <c r="R9" s="43"/>
      <c r="S9" s="40"/>
      <c r="T9" s="44"/>
      <c r="U9" s="39"/>
      <c r="V9" s="45"/>
      <c r="W9" s="46"/>
      <c r="X9" s="47"/>
      <c r="Y9" s="47"/>
      <c r="Z9" s="47"/>
      <c r="AA9" s="46"/>
      <c r="AB9" s="46"/>
      <c r="AC9" s="46"/>
    </row>
    <row r="10" spans="1:30" ht="13.5" thickBot="1" x14ac:dyDescent="0.3">
      <c r="A10" s="51"/>
      <c r="B10" s="51"/>
      <c r="C10" s="51"/>
      <c r="D10" s="169"/>
      <c r="E10" s="168" t="s">
        <v>270</v>
      </c>
      <c r="H10" s="65"/>
      <c r="I10" s="38"/>
      <c r="J10" s="40"/>
      <c r="K10" s="38"/>
      <c r="L10" s="38"/>
      <c r="M10" s="41"/>
      <c r="N10" s="42"/>
      <c r="O10" s="38"/>
      <c r="P10" s="38"/>
      <c r="Q10" s="39"/>
      <c r="R10" s="43"/>
      <c r="S10" s="40"/>
      <c r="T10" s="44"/>
      <c r="U10" s="39"/>
      <c r="V10" s="45"/>
      <c r="W10" s="46"/>
      <c r="X10" s="47"/>
      <c r="Y10" s="47"/>
      <c r="Z10" s="47"/>
      <c r="AA10" s="46"/>
      <c r="AB10" s="46"/>
      <c r="AC10" s="46"/>
    </row>
    <row r="11" spans="1:30" ht="13" thickBot="1" x14ac:dyDescent="0.3">
      <c r="D11" s="170"/>
      <c r="E11" s="171" t="s">
        <v>83</v>
      </c>
    </row>
    <row r="12" spans="1:30" ht="13" thickBot="1" x14ac:dyDescent="0.3">
      <c r="D12" s="172"/>
      <c r="E12" s="171" t="s">
        <v>272</v>
      </c>
    </row>
    <row r="13" spans="1:30" ht="13" thickBot="1" x14ac:dyDescent="0.3">
      <c r="D13" s="173"/>
      <c r="E13" s="171" t="s">
        <v>271</v>
      </c>
      <c r="N13" s="55" t="s">
        <v>19</v>
      </c>
    </row>
    <row r="14" spans="1:30" ht="13" thickBot="1" x14ac:dyDescent="0.3">
      <c r="D14" s="174"/>
      <c r="E14" s="175" t="s">
        <v>184</v>
      </c>
    </row>
    <row r="15" spans="1:30" ht="13" thickBot="1" x14ac:dyDescent="0.3">
      <c r="D15" s="197"/>
      <c r="E15" s="175" t="s">
        <v>323</v>
      </c>
    </row>
  </sheetData>
  <phoneticPr fontId="7" type="noConversion"/>
  <conditionalFormatting sqref="R24:R34">
    <cfRule type="expression" dxfId="6" priority="2099">
      <formula>R24=$B$2</formula>
    </cfRule>
  </conditionalFormatting>
  <conditionalFormatting sqref="AB5 E5">
    <cfRule type="expression" dxfId="5" priority="7">
      <formula>$I5="Cancelled"</formula>
    </cfRule>
    <cfRule type="expression" dxfId="4" priority="8">
      <formula>$I5="Execution"</formula>
    </cfRule>
  </conditionalFormatting>
  <conditionalFormatting sqref="AB5 E5">
    <cfRule type="expression" dxfId="3" priority="10">
      <formula>$I49="Submitted"</formula>
    </cfRule>
  </conditionalFormatting>
  <conditionalFormatting sqref="AB5 E5">
    <cfRule type="expression" dxfId="2" priority="9">
      <formula>$I5="Complete"</formula>
    </cfRule>
  </conditionalFormatting>
  <conditionalFormatting sqref="D7:E15">
    <cfRule type="expression" dxfId="0" priority="1">
      <formula>$I7="Complete"</formula>
    </cfRule>
  </conditionalFormatting>
  <printOptions horizontalCentered="1" verticalCentered="1" gridLines="1"/>
  <pageMargins left="0.25" right="0.25" top="0.5" bottom="0.25" header="0.3" footer="0.3"/>
  <pageSetup paperSize="3" scale="60" fitToHeight="0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'Dropdown lists'!$E$4:$E$9</xm:f>
          </x14:formula1>
          <xm:sqref>I1:I4 I6:I1048576</xm:sqref>
        </x14:dataValidation>
        <x14:dataValidation type="list" allowBlank="1" showInputMessage="1" showErrorMessage="1">
          <x14:formula1>
            <xm:f>'Dropdown lists'!$H$4:$H$21</xm:f>
          </x14:formula1>
          <xm:sqref>J1:J4 J6:J1048576</xm:sqref>
        </x14:dataValidation>
        <x14:dataValidation type="list" allowBlank="1" showInputMessage="1" showErrorMessage="1">
          <x14:formula1>
            <xm:f>'Dropdown lists'!$H$4:$H$2621</xm:f>
          </x14:formula1>
          <xm:sqref>J5</xm:sqref>
        </x14:dataValidation>
        <x14:dataValidation type="list" allowBlank="1" showInputMessage="1" showErrorMessage="1">
          <x14:formula1>
            <xm:f>'Dropdown lists'!$E$4:$E$15</xm:f>
          </x14:formula1>
          <xm:sqref>I5</xm:sqref>
        </x14:dataValidation>
        <x14:dataValidation type="list" allowBlank="1" showInputMessage="1" showErrorMessage="1">
          <x14:formula1>
            <xm:f>'Dropdown lists'!$L$4:$L$36</xm:f>
          </x14:formula1>
          <xm:sqref>L5</xm:sqref>
        </x14:dataValidation>
        <x14:dataValidation type="list" allowBlank="1" showInputMessage="1" showErrorMessage="1">
          <x14:formula1>
            <xm:f>'Dropdown lists'!$R$4:$R$22</xm:f>
          </x14:formula1>
          <xm:sqref>AC5:AC9</xm:sqref>
        </x14:dataValidation>
        <x14:dataValidation type="list" allowBlank="1" showInputMessage="1" showErrorMessage="1">
          <x14:formula1>
            <xm:f>'Dropdown lists'!$D$4:$D$23</xm:f>
          </x14:formula1>
          <xm:sqref>H5:H485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00B050"/>
  </sheetPr>
  <dimension ref="A1:S76"/>
  <sheetViews>
    <sheetView topLeftCell="A36" workbookViewId="0">
      <selection activeCell="M71" sqref="M71"/>
    </sheetView>
  </sheetViews>
  <sheetFormatPr defaultRowHeight="12.5" x14ac:dyDescent="0.25"/>
  <cols>
    <col min="1" max="1" width="10.54296875" customWidth="1"/>
    <col min="2" max="2" width="21.54296875" bestFit="1" customWidth="1"/>
    <col min="3" max="3" width="20.54296875" bestFit="1" customWidth="1"/>
    <col min="4" max="4" width="21.453125" bestFit="1" customWidth="1"/>
    <col min="5" max="10" width="15.54296875" bestFit="1" customWidth="1"/>
    <col min="11" max="11" width="11.453125" bestFit="1" customWidth="1"/>
    <col min="12" max="12" width="13.81640625" customWidth="1"/>
    <col min="13" max="13" width="15.26953125" customWidth="1"/>
    <col min="14" max="14" width="14.26953125" customWidth="1"/>
    <col min="15" max="15" width="14.81640625" customWidth="1"/>
    <col min="16" max="16" width="13.54296875" customWidth="1"/>
    <col min="17" max="17" width="15.54296875" customWidth="1"/>
    <col min="18" max="18" width="7.453125" bestFit="1" customWidth="1"/>
    <col min="19" max="19" width="13.54296875" bestFit="1" customWidth="1"/>
    <col min="27" max="28" width="10.453125" bestFit="1" customWidth="1"/>
    <col min="30" max="31" width="10.453125" bestFit="1" customWidth="1"/>
    <col min="34" max="34" width="10.453125" bestFit="1" customWidth="1"/>
    <col min="35" max="35" width="7.453125" bestFit="1" customWidth="1"/>
    <col min="36" max="36" width="18.54296875" bestFit="1" customWidth="1"/>
    <col min="37" max="37" width="19" bestFit="1" customWidth="1"/>
  </cols>
  <sheetData>
    <row r="1" spans="2:19" ht="13" x14ac:dyDescent="0.3">
      <c r="B1" s="74" t="s">
        <v>64</v>
      </c>
      <c r="C1" s="75">
        <f ca="1">TODAY()</f>
        <v>45630</v>
      </c>
    </row>
    <row r="3" spans="2:19" ht="13" x14ac:dyDescent="0.3">
      <c r="B3" s="319" t="s">
        <v>57</v>
      </c>
      <c r="C3" s="319"/>
    </row>
    <row r="4" spans="2:19" x14ac:dyDescent="0.25">
      <c r="B4" s="72" t="s">
        <v>61</v>
      </c>
      <c r="C4" t="s">
        <v>59</v>
      </c>
      <c r="E4" s="323"/>
      <c r="F4" s="324"/>
      <c r="G4" s="324"/>
      <c r="H4" s="324"/>
      <c r="I4" s="324"/>
      <c r="J4" s="324"/>
      <c r="K4" s="324"/>
      <c r="L4" s="310" t="s">
        <v>381</v>
      </c>
      <c r="M4" s="310"/>
      <c r="N4" s="313" t="s">
        <v>382</v>
      </c>
      <c r="O4" s="314"/>
      <c r="P4" s="317" t="s">
        <v>23</v>
      </c>
      <c r="Q4" s="318"/>
      <c r="R4" s="305"/>
      <c r="S4" s="305"/>
    </row>
    <row r="5" spans="2:19" x14ac:dyDescent="0.25">
      <c r="B5" s="70" t="s">
        <v>20</v>
      </c>
      <c r="C5" s="71">
        <v>10</v>
      </c>
      <c r="E5" s="324"/>
      <c r="F5" s="324"/>
      <c r="G5" s="324"/>
      <c r="H5" s="324"/>
      <c r="I5" s="324"/>
      <c r="J5" s="324"/>
      <c r="K5" s="324"/>
      <c r="L5" s="311" t="s">
        <v>17</v>
      </c>
      <c r="M5" s="312"/>
      <c r="N5" s="315" t="s">
        <v>17</v>
      </c>
      <c r="O5" s="316"/>
      <c r="P5" s="306" t="s">
        <v>17</v>
      </c>
      <c r="Q5" s="307"/>
      <c r="R5" s="308"/>
      <c r="S5" s="309"/>
    </row>
    <row r="6" spans="2:19" x14ac:dyDescent="0.25">
      <c r="B6" s="70" t="s">
        <v>65</v>
      </c>
      <c r="C6" s="71">
        <v>2</v>
      </c>
      <c r="E6" s="324"/>
      <c r="F6" s="324"/>
      <c r="G6" s="324"/>
      <c r="H6" s="324"/>
      <c r="I6" s="324"/>
      <c r="J6" s="324"/>
      <c r="K6" s="324"/>
      <c r="L6" s="262" t="s">
        <v>378</v>
      </c>
      <c r="M6" s="263">
        <v>45139</v>
      </c>
      <c r="N6" s="264" t="s">
        <v>378</v>
      </c>
      <c r="O6" s="265">
        <v>45139</v>
      </c>
      <c r="P6" s="268" t="s">
        <v>378</v>
      </c>
      <c r="Q6" s="269">
        <v>45139</v>
      </c>
      <c r="R6" s="260"/>
      <c r="S6" s="261"/>
    </row>
    <row r="7" spans="2:19" x14ac:dyDescent="0.25">
      <c r="B7" s="70" t="s">
        <v>53</v>
      </c>
      <c r="C7" s="71">
        <v>163</v>
      </c>
      <c r="E7" s="324"/>
      <c r="F7" s="324"/>
      <c r="G7" s="324"/>
      <c r="H7" s="324"/>
      <c r="I7" s="324"/>
      <c r="J7" s="324"/>
      <c r="K7" s="324"/>
      <c r="L7" s="262" t="s">
        <v>379</v>
      </c>
      <c r="M7" s="263">
        <v>45169</v>
      </c>
      <c r="N7" s="264" t="s">
        <v>379</v>
      </c>
      <c r="O7" s="266">
        <v>45169</v>
      </c>
      <c r="P7" s="268" t="s">
        <v>379</v>
      </c>
      <c r="Q7" s="269">
        <v>45169</v>
      </c>
      <c r="R7" s="260"/>
      <c r="S7" s="261"/>
    </row>
    <row r="8" spans="2:19" x14ac:dyDescent="0.25">
      <c r="B8" s="70" t="s">
        <v>55</v>
      </c>
      <c r="C8" s="71">
        <v>1</v>
      </c>
      <c r="E8" s="324"/>
      <c r="F8" s="324"/>
      <c r="G8" s="324"/>
      <c r="H8" s="324"/>
      <c r="I8" s="324"/>
      <c r="J8" s="324"/>
      <c r="K8" s="324"/>
      <c r="L8" s="262" t="s">
        <v>380</v>
      </c>
      <c r="M8" s="259">
        <f>COUNTIFS('IDIQ LOG FACILITIES'!O2:O5,"&gt;="&amp;M6,'IDIQ LOG FACILITIES'!O2:O5,"&lt;="&amp;REPORT!M7)</f>
        <v>0</v>
      </c>
      <c r="N8" s="264" t="s">
        <v>380</v>
      </c>
      <c r="O8" s="267">
        <f>COUNTIFS(Table13[Submitted to Government],"&gt;="&amp;O6,Table13[Submitted to Government],"&lt;="&amp;REPORT!O7)</f>
        <v>0</v>
      </c>
      <c r="P8" s="268" t="s">
        <v>380</v>
      </c>
      <c r="Q8" s="270" t="e">
        <f>COUNTIFS(#REF!,"&gt;="&amp;Q6,#REF!,"&lt;="&amp;REPORT!Q7)</f>
        <v>#REF!</v>
      </c>
      <c r="R8" s="260"/>
      <c r="S8" s="198"/>
    </row>
    <row r="9" spans="2:19" x14ac:dyDescent="0.25">
      <c r="B9" s="70" t="s">
        <v>60</v>
      </c>
      <c r="C9" s="71">
        <v>13</v>
      </c>
      <c r="E9" s="324"/>
      <c r="F9" s="324"/>
      <c r="G9" s="324"/>
      <c r="H9" s="324"/>
      <c r="I9" s="324"/>
      <c r="J9" s="324"/>
      <c r="K9" s="324"/>
      <c r="L9" s="226"/>
      <c r="R9" s="198"/>
      <c r="S9" s="198"/>
    </row>
    <row r="10" spans="2:19" x14ac:dyDescent="0.25">
      <c r="B10" s="70" t="s">
        <v>56</v>
      </c>
      <c r="C10" s="71">
        <v>189</v>
      </c>
      <c r="L10" s="226"/>
    </row>
    <row r="11" spans="2:19" x14ac:dyDescent="0.25">
      <c r="B11" s="70"/>
      <c r="C11" s="71"/>
      <c r="L11" s="226"/>
    </row>
    <row r="12" spans="2:19" x14ac:dyDescent="0.25">
      <c r="B12" s="70"/>
      <c r="C12" s="71"/>
      <c r="L12" s="310" t="s">
        <v>381</v>
      </c>
      <c r="M12" s="310"/>
    </row>
    <row r="13" spans="2:19" x14ac:dyDescent="0.25">
      <c r="B13" s="70"/>
      <c r="C13" s="71"/>
      <c r="L13" s="310" t="s">
        <v>385</v>
      </c>
      <c r="M13" s="310"/>
    </row>
    <row r="14" spans="2:19" x14ac:dyDescent="0.25">
      <c r="B14" s="70"/>
      <c r="C14" s="71"/>
      <c r="L14" s="226" t="s">
        <v>378</v>
      </c>
      <c r="M14" s="286">
        <v>45139</v>
      </c>
    </row>
    <row r="15" spans="2:19" x14ac:dyDescent="0.25">
      <c r="B15" s="70"/>
      <c r="C15" s="71"/>
      <c r="L15" s="226" t="s">
        <v>379</v>
      </c>
      <c r="M15" s="286">
        <v>45169</v>
      </c>
    </row>
    <row r="16" spans="2:19" x14ac:dyDescent="0.25">
      <c r="B16" s="70"/>
      <c r="C16" s="71"/>
      <c r="L16" s="226" t="s">
        <v>380</v>
      </c>
    </row>
    <row r="17" spans="2:16" x14ac:dyDescent="0.25">
      <c r="B17" s="70"/>
      <c r="C17" s="71"/>
      <c r="L17" s="287" t="s">
        <v>386</v>
      </c>
      <c r="M17" s="226">
        <v>206373.97</v>
      </c>
      <c r="N17">
        <v>138783.95000000001</v>
      </c>
      <c r="O17" s="226">
        <v>1650.48</v>
      </c>
      <c r="P17" s="226">
        <f>SUM(M17:O17)</f>
        <v>346808.4</v>
      </c>
    </row>
    <row r="18" spans="2:16" x14ac:dyDescent="0.25">
      <c r="B18" s="70"/>
      <c r="C18" s="71"/>
      <c r="L18" s="226"/>
    </row>
    <row r="19" spans="2:16" x14ac:dyDescent="0.25">
      <c r="B19" s="70"/>
      <c r="C19" s="71"/>
      <c r="L19" s="226"/>
    </row>
    <row r="20" spans="2:16" x14ac:dyDescent="0.25">
      <c r="B20" s="70"/>
      <c r="C20" s="71"/>
      <c r="L20" s="226"/>
    </row>
    <row r="21" spans="2:16" x14ac:dyDescent="0.25">
      <c r="B21" s="70"/>
      <c r="C21" s="71"/>
      <c r="L21" s="226"/>
    </row>
    <row r="22" spans="2:16" x14ac:dyDescent="0.25">
      <c r="B22" s="70"/>
      <c r="C22" s="71"/>
      <c r="L22" s="226"/>
    </row>
    <row r="23" spans="2:16" ht="15.5" x14ac:dyDescent="0.35">
      <c r="B23" s="322" t="s">
        <v>58</v>
      </c>
      <c r="C23" s="322"/>
      <c r="L23" s="226"/>
    </row>
    <row r="24" spans="2:16" x14ac:dyDescent="0.25">
      <c r="B24" s="72" t="s">
        <v>61</v>
      </c>
      <c r="C24" t="s">
        <v>59</v>
      </c>
      <c r="E24" s="323"/>
      <c r="F24" s="324"/>
      <c r="G24" s="324"/>
      <c r="H24" s="324"/>
      <c r="I24" s="324"/>
      <c r="J24" s="324"/>
      <c r="K24" s="324"/>
      <c r="L24" s="72"/>
    </row>
    <row r="25" spans="2:16" x14ac:dyDescent="0.25">
      <c r="B25" s="70" t="s">
        <v>20</v>
      </c>
      <c r="C25" s="71">
        <v>10</v>
      </c>
      <c r="E25" s="324"/>
      <c r="F25" s="324"/>
      <c r="G25" s="324"/>
      <c r="H25" s="324"/>
      <c r="I25" s="324"/>
      <c r="J25" s="324"/>
      <c r="K25" s="324"/>
    </row>
    <row r="26" spans="2:16" x14ac:dyDescent="0.25">
      <c r="B26" s="70" t="s">
        <v>53</v>
      </c>
      <c r="C26" s="71">
        <v>95</v>
      </c>
      <c r="E26" s="324"/>
      <c r="F26" s="324"/>
      <c r="G26" s="324"/>
      <c r="H26" s="324"/>
      <c r="I26" s="324"/>
      <c r="J26" s="324"/>
      <c r="K26" s="324"/>
      <c r="L26" t="s">
        <v>383</v>
      </c>
    </row>
    <row r="27" spans="2:16" ht="13" x14ac:dyDescent="0.25">
      <c r="B27" s="70" t="s">
        <v>60</v>
      </c>
      <c r="C27" s="71">
        <v>8</v>
      </c>
      <c r="E27" s="324"/>
      <c r="F27" s="324"/>
      <c r="G27" s="324"/>
      <c r="H27" s="324"/>
      <c r="I27" s="324"/>
      <c r="J27" s="324"/>
      <c r="K27" s="324"/>
      <c r="L27" s="15" t="s">
        <v>384</v>
      </c>
      <c r="O27" s="243" t="s">
        <v>362</v>
      </c>
      <c r="P27" s="237">
        <v>100000</v>
      </c>
    </row>
    <row r="28" spans="2:16" ht="13" x14ac:dyDescent="0.25">
      <c r="B28" s="70" t="s">
        <v>55</v>
      </c>
      <c r="C28" s="71">
        <v>1</v>
      </c>
      <c r="E28" s="324"/>
      <c r="F28" s="324"/>
      <c r="G28" s="324"/>
      <c r="H28" s="324"/>
      <c r="I28" s="324"/>
      <c r="J28" s="324"/>
      <c r="K28" s="324"/>
      <c r="O28" s="239">
        <v>101000</v>
      </c>
      <c r="P28" s="239">
        <v>200000</v>
      </c>
    </row>
    <row r="29" spans="2:16" ht="13" x14ac:dyDescent="0.25">
      <c r="B29" s="70" t="s">
        <v>56</v>
      </c>
      <c r="C29" s="71">
        <v>114</v>
      </c>
      <c r="E29" s="324"/>
      <c r="F29" s="324"/>
      <c r="G29" s="324"/>
      <c r="H29" s="324"/>
      <c r="I29" s="324"/>
      <c r="J29" s="324"/>
      <c r="K29" s="324"/>
      <c r="L29" s="226">
        <f>'IDIQ LOG FACILITIES'!N8</f>
        <v>0</v>
      </c>
      <c r="M29" t="s">
        <v>358</v>
      </c>
      <c r="O29" s="244">
        <v>201000</v>
      </c>
      <c r="P29" s="240">
        <v>499999</v>
      </c>
    </row>
    <row r="30" spans="2:16" ht="13" x14ac:dyDescent="0.25">
      <c r="L30" s="226" t="e">
        <f>'IDIQ LOG UTILITIES'!Q7</f>
        <v>#REF!</v>
      </c>
      <c r="M30" s="15" t="s">
        <v>74</v>
      </c>
      <c r="N30" s="198"/>
      <c r="O30" s="242">
        <v>500000</v>
      </c>
      <c r="P30" s="242">
        <v>749999</v>
      </c>
    </row>
    <row r="31" spans="2:16" ht="15.5" x14ac:dyDescent="0.35">
      <c r="B31" s="322" t="s">
        <v>23</v>
      </c>
      <c r="C31" s="322"/>
      <c r="L31" s="226" t="e">
        <f>#REF!</f>
        <v>#REF!</v>
      </c>
      <c r="M31" s="15" t="s">
        <v>23</v>
      </c>
      <c r="N31" s="198"/>
      <c r="O31" s="246" t="s">
        <v>363</v>
      </c>
      <c r="P31" s="241">
        <v>750000</v>
      </c>
    </row>
    <row r="32" spans="2:16" ht="13" x14ac:dyDescent="0.25">
      <c r="B32" s="72" t="s">
        <v>61</v>
      </c>
      <c r="C32" t="s">
        <v>62</v>
      </c>
      <c r="E32" s="320"/>
      <c r="F32" s="321"/>
      <c r="G32" s="321"/>
      <c r="H32" s="321"/>
      <c r="I32" s="321"/>
      <c r="J32" s="321"/>
      <c r="K32" s="321"/>
      <c r="L32" s="226" t="e">
        <f>SUM(L29:L31)</f>
        <v>#REF!</v>
      </c>
      <c r="O32" s="236"/>
      <c r="P32" s="238"/>
    </row>
    <row r="33" spans="2:17" ht="13" x14ac:dyDescent="0.3">
      <c r="B33" s="73" t="s">
        <v>20</v>
      </c>
      <c r="C33" s="80">
        <v>17</v>
      </c>
      <c r="E33" s="321"/>
      <c r="F33" s="321"/>
      <c r="G33" s="321"/>
      <c r="H33" s="321"/>
      <c r="I33" s="321"/>
      <c r="J33" s="321"/>
      <c r="K33" s="321"/>
      <c r="O33" s="236"/>
      <c r="P33" s="238"/>
    </row>
    <row r="34" spans="2:17" ht="13" x14ac:dyDescent="0.25">
      <c r="B34" s="70" t="s">
        <v>53</v>
      </c>
      <c r="C34" s="71">
        <v>13</v>
      </c>
      <c r="E34" s="321"/>
      <c r="F34" s="321"/>
      <c r="G34" s="321"/>
      <c r="H34" s="321"/>
      <c r="I34" s="321"/>
      <c r="J34" s="321"/>
      <c r="K34" s="321"/>
      <c r="O34" s="236"/>
      <c r="P34" s="226"/>
    </row>
    <row r="35" spans="2:17" x14ac:dyDescent="0.25">
      <c r="B35" s="70" t="s">
        <v>60</v>
      </c>
      <c r="C35" s="71">
        <v>2</v>
      </c>
      <c r="E35" s="321"/>
      <c r="F35" s="321"/>
      <c r="G35" s="321"/>
      <c r="H35" s="321"/>
      <c r="I35" s="321"/>
      <c r="J35" s="321"/>
      <c r="K35" s="321"/>
      <c r="P35" s="226"/>
    </row>
    <row r="36" spans="2:17" x14ac:dyDescent="0.25">
      <c r="B36" s="70" t="s">
        <v>56</v>
      </c>
      <c r="C36" s="71">
        <v>32</v>
      </c>
      <c r="E36" s="321"/>
      <c r="F36" s="321"/>
      <c r="G36" s="321"/>
      <c r="H36" s="321"/>
      <c r="I36" s="321"/>
      <c r="J36" s="321"/>
      <c r="K36" s="321"/>
    </row>
    <row r="37" spans="2:17" x14ac:dyDescent="0.25">
      <c r="E37" s="321"/>
      <c r="F37" s="321"/>
      <c r="G37" s="321"/>
      <c r="H37" s="321"/>
      <c r="I37" s="321"/>
      <c r="J37" s="321"/>
      <c r="K37" s="321"/>
    </row>
    <row r="38" spans="2:17" x14ac:dyDescent="0.25">
      <c r="E38" s="225"/>
      <c r="F38" s="225"/>
      <c r="G38" s="225"/>
      <c r="H38" s="225"/>
      <c r="I38" s="225"/>
      <c r="J38" s="225"/>
      <c r="K38" s="225"/>
    </row>
    <row r="39" spans="2:17" x14ac:dyDescent="0.25">
      <c r="E39" s="254"/>
      <c r="F39" s="254"/>
      <c r="G39" s="254"/>
      <c r="H39" s="254"/>
      <c r="I39" s="254"/>
      <c r="J39" s="254"/>
      <c r="K39" s="254"/>
    </row>
    <row r="40" spans="2:17" x14ac:dyDescent="0.25">
      <c r="B40" s="228">
        <v>43466</v>
      </c>
      <c r="C40" s="228">
        <v>43497</v>
      </c>
      <c r="D40" s="228">
        <v>43525</v>
      </c>
      <c r="E40" s="228">
        <v>43556</v>
      </c>
      <c r="F40" s="228">
        <v>43586</v>
      </c>
      <c r="G40" s="228">
        <v>43617</v>
      </c>
      <c r="H40" s="228">
        <v>43647</v>
      </c>
      <c r="I40" s="228">
        <v>43678</v>
      </c>
      <c r="J40" s="228">
        <v>43709</v>
      </c>
      <c r="K40" s="228">
        <v>43739</v>
      </c>
      <c r="L40" s="228">
        <v>43770</v>
      </c>
      <c r="M40" s="228">
        <v>43800</v>
      </c>
      <c r="N40" s="15" t="s">
        <v>360</v>
      </c>
      <c r="P40" s="207" t="s">
        <v>361</v>
      </c>
      <c r="Q40" s="15"/>
    </row>
    <row r="41" spans="2:17" x14ac:dyDescent="0.25">
      <c r="B41" s="232">
        <v>3547019.46</v>
      </c>
      <c r="C41" s="231">
        <v>99514.06</v>
      </c>
      <c r="D41" s="232">
        <v>456845.21</v>
      </c>
      <c r="E41" s="233">
        <v>636385.41</v>
      </c>
      <c r="F41" s="232">
        <v>352474.77</v>
      </c>
      <c r="G41" s="231">
        <v>74525.59</v>
      </c>
      <c r="H41" s="231">
        <v>2500</v>
      </c>
      <c r="I41" s="232">
        <v>443726.71</v>
      </c>
      <c r="J41" s="234">
        <v>1192586.07</v>
      </c>
      <c r="K41" s="231">
        <v>23441.03</v>
      </c>
      <c r="L41" s="231">
        <v>96249.67</v>
      </c>
      <c r="M41" s="231">
        <v>99689</v>
      </c>
      <c r="N41" s="227">
        <v>7024956.9800000004</v>
      </c>
      <c r="P41" s="226">
        <v>585413.08166666667</v>
      </c>
    </row>
    <row r="42" spans="2:17" x14ac:dyDescent="0.25">
      <c r="E42" s="254"/>
      <c r="F42" s="254"/>
      <c r="G42" s="254"/>
      <c r="H42" s="254"/>
      <c r="I42" s="254"/>
      <c r="J42" s="254"/>
      <c r="K42" s="254"/>
    </row>
    <row r="43" spans="2:17" x14ac:dyDescent="0.25">
      <c r="E43" s="254"/>
      <c r="F43" s="254"/>
      <c r="G43" s="254"/>
      <c r="H43" s="254"/>
      <c r="I43" s="254"/>
      <c r="J43" s="254"/>
      <c r="K43" s="254"/>
    </row>
    <row r="44" spans="2:17" x14ac:dyDescent="0.25">
      <c r="B44" s="228">
        <v>43831</v>
      </c>
      <c r="C44" s="228">
        <v>43862</v>
      </c>
      <c r="D44" s="228">
        <v>43891</v>
      </c>
      <c r="E44" s="228">
        <v>43922</v>
      </c>
      <c r="F44" s="228">
        <v>43952</v>
      </c>
      <c r="G44" s="228">
        <v>43983</v>
      </c>
      <c r="H44" s="228">
        <v>44013</v>
      </c>
      <c r="I44" s="228">
        <v>44044</v>
      </c>
      <c r="J44" s="228">
        <v>44075</v>
      </c>
      <c r="K44" s="228">
        <v>44105</v>
      </c>
      <c r="L44" s="228">
        <v>44136</v>
      </c>
      <c r="M44" s="228">
        <v>44166</v>
      </c>
      <c r="N44" s="209"/>
    </row>
    <row r="45" spans="2:17" x14ac:dyDescent="0.25">
      <c r="B45" s="231">
        <v>22353.71</v>
      </c>
      <c r="C45" s="235">
        <v>120360.16</v>
      </c>
      <c r="D45" s="231">
        <v>91058.98</v>
      </c>
      <c r="E45" s="232">
        <v>408385.42</v>
      </c>
      <c r="F45" s="235">
        <v>116224.24</v>
      </c>
      <c r="G45" s="232">
        <v>329898.96999999997</v>
      </c>
      <c r="H45" s="231">
        <v>75557.16</v>
      </c>
      <c r="I45" s="232">
        <v>438344.98</v>
      </c>
      <c r="J45" s="232">
        <v>370831.12</v>
      </c>
      <c r="K45" s="245">
        <v>261249.95</v>
      </c>
      <c r="L45" s="235">
        <v>132894.9</v>
      </c>
      <c r="M45" s="235">
        <v>112255.58</v>
      </c>
      <c r="N45" s="227">
        <v>2479415.17</v>
      </c>
      <c r="P45" s="226">
        <v>206617.93083333332</v>
      </c>
    </row>
    <row r="46" spans="2:17" x14ac:dyDescent="0.25"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</row>
    <row r="47" spans="2:17" x14ac:dyDescent="0.25"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</row>
    <row r="48" spans="2:17" x14ac:dyDescent="0.25">
      <c r="B48" s="228">
        <v>44197</v>
      </c>
      <c r="C48" s="228">
        <v>44228</v>
      </c>
      <c r="D48" s="228">
        <v>44256</v>
      </c>
      <c r="E48" s="228">
        <v>44287</v>
      </c>
      <c r="F48" s="228">
        <v>44317</v>
      </c>
      <c r="G48" s="228">
        <v>44348</v>
      </c>
      <c r="H48" s="228">
        <v>44378</v>
      </c>
      <c r="I48" s="228">
        <v>44409</v>
      </c>
      <c r="J48" s="228">
        <v>44440</v>
      </c>
      <c r="K48" s="228">
        <v>44470</v>
      </c>
      <c r="L48" s="228">
        <v>44501</v>
      </c>
      <c r="M48" s="228">
        <v>44531</v>
      </c>
      <c r="N48" s="209"/>
    </row>
    <row r="49" spans="1:17" x14ac:dyDescent="0.25">
      <c r="B49" s="231">
        <v>95988.79</v>
      </c>
      <c r="C49" s="245">
        <v>213503.98</v>
      </c>
      <c r="D49" s="234">
        <v>1125889.01</v>
      </c>
      <c r="E49" s="245">
        <v>254936.55</v>
      </c>
      <c r="F49" s="232">
        <v>361807.96</v>
      </c>
      <c r="G49" s="245">
        <v>208327.22</v>
      </c>
      <c r="H49" s="232">
        <v>309473.12</v>
      </c>
      <c r="I49" s="235">
        <v>141955.17000000001</v>
      </c>
      <c r="J49" s="233">
        <v>745110.96</v>
      </c>
      <c r="K49" s="245">
        <v>235839.97</v>
      </c>
      <c r="L49" s="231">
        <v>61809.91</v>
      </c>
      <c r="M49" s="232">
        <v>360457.07</v>
      </c>
      <c r="N49" s="227">
        <v>4115099.7100000004</v>
      </c>
      <c r="P49" s="226">
        <v>342924.97583333339</v>
      </c>
    </row>
    <row r="50" spans="1:17" x14ac:dyDescent="0.25"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</row>
    <row r="51" spans="1:17" x14ac:dyDescent="0.25"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</row>
    <row r="52" spans="1:17" x14ac:dyDescent="0.25">
      <c r="B52" s="228">
        <v>44562</v>
      </c>
      <c r="C52" s="228">
        <v>44593</v>
      </c>
      <c r="D52" s="228">
        <v>44621</v>
      </c>
      <c r="E52" s="228">
        <v>44652</v>
      </c>
      <c r="F52" s="228">
        <v>44682</v>
      </c>
      <c r="G52" s="228">
        <v>44713</v>
      </c>
      <c r="H52" s="228">
        <v>44743</v>
      </c>
      <c r="I52" s="228">
        <v>44774</v>
      </c>
      <c r="J52" s="228">
        <v>44805</v>
      </c>
      <c r="K52" s="228">
        <v>44835</v>
      </c>
      <c r="L52" s="228">
        <v>44866</v>
      </c>
      <c r="M52" s="228">
        <v>44896</v>
      </c>
      <c r="N52" s="209"/>
    </row>
    <row r="53" spans="1:17" x14ac:dyDescent="0.25">
      <c r="B53" s="233">
        <v>506195.78</v>
      </c>
      <c r="C53" s="245">
        <v>289194.7</v>
      </c>
      <c r="D53" s="234">
        <v>1666245.82</v>
      </c>
      <c r="E53" s="231">
        <v>30929.71</v>
      </c>
      <c r="F53" s="231">
        <v>23230.63</v>
      </c>
      <c r="G53" s="231">
        <v>89283.41</v>
      </c>
      <c r="H53" s="231">
        <v>58919.02</v>
      </c>
      <c r="I53" s="245">
        <v>260016.28</v>
      </c>
      <c r="J53" s="232">
        <v>489356.65</v>
      </c>
      <c r="K53" s="231">
        <v>362299</v>
      </c>
      <c r="L53" s="235">
        <v>161420.87</v>
      </c>
      <c r="M53" s="234">
        <v>1162416.45</v>
      </c>
      <c r="N53" s="227">
        <v>5099508.3199999994</v>
      </c>
      <c r="P53" s="226">
        <v>424959.02666666661</v>
      </c>
    </row>
    <row r="54" spans="1:17" x14ac:dyDescent="0.25">
      <c r="B54" s="209"/>
      <c r="C54" s="209"/>
      <c r="D54" s="209"/>
      <c r="E54" s="209"/>
      <c r="F54" s="209"/>
      <c r="G54" s="209"/>
      <c r="H54" s="209"/>
      <c r="I54" s="209"/>
      <c r="J54" s="209"/>
      <c r="K54" s="227">
        <v>4720</v>
      </c>
      <c r="L54" s="209"/>
      <c r="M54" s="209"/>
      <c r="N54" s="209"/>
    </row>
    <row r="55" spans="1:17" x14ac:dyDescent="0.25">
      <c r="B55" s="209"/>
      <c r="C55" s="209"/>
      <c r="D55" s="209"/>
      <c r="E55" s="209"/>
      <c r="F55" s="209"/>
      <c r="G55" s="209"/>
      <c r="H55" s="229"/>
      <c r="I55" s="229">
        <v>45161</v>
      </c>
      <c r="J55" s="209"/>
      <c r="K55" s="227">
        <v>357579</v>
      </c>
      <c r="L55" s="209"/>
      <c r="M55" s="209"/>
      <c r="N55" s="209"/>
    </row>
    <row r="56" spans="1:17" x14ac:dyDescent="0.25">
      <c r="B56" s="230">
        <v>44927</v>
      </c>
      <c r="C56" s="230">
        <v>44958</v>
      </c>
      <c r="D56" s="228">
        <v>44986</v>
      </c>
      <c r="E56" s="228">
        <v>45017</v>
      </c>
      <c r="F56" s="228">
        <v>45047</v>
      </c>
      <c r="G56" s="228">
        <v>45078</v>
      </c>
      <c r="H56" s="228">
        <v>45108</v>
      </c>
      <c r="I56" s="228">
        <v>45139</v>
      </c>
      <c r="J56" s="228">
        <v>45170</v>
      </c>
      <c r="K56" s="228">
        <v>45200</v>
      </c>
      <c r="L56" s="228">
        <v>45231</v>
      </c>
      <c r="M56" s="228">
        <v>45261</v>
      </c>
      <c r="N56" s="209"/>
      <c r="Q56" s="15" t="s">
        <v>359</v>
      </c>
    </row>
    <row r="57" spans="1:17" x14ac:dyDescent="0.25">
      <c r="B57" s="235">
        <v>161013.82</v>
      </c>
      <c r="C57" s="231">
        <v>46021.51</v>
      </c>
      <c r="D57" s="245">
        <v>299788.34999999998</v>
      </c>
      <c r="E57" s="245">
        <v>211561</v>
      </c>
      <c r="F57" s="233">
        <v>635832.94999999995</v>
      </c>
      <c r="G57" s="234">
        <v>1450827.14</v>
      </c>
      <c r="H57" s="258">
        <v>776087.58</v>
      </c>
      <c r="I57" s="232">
        <v>346808.46</v>
      </c>
      <c r="J57" s="227">
        <v>0</v>
      </c>
      <c r="K57" s="227">
        <v>0</v>
      </c>
      <c r="L57" s="227">
        <v>0</v>
      </c>
      <c r="M57" s="227">
        <v>0</v>
      </c>
      <c r="N57" s="227">
        <f>SUM(B57:M57)</f>
        <v>3927940.8099999996</v>
      </c>
      <c r="P57" s="226">
        <f>N57/7.5</f>
        <v>523725.44133333326</v>
      </c>
      <c r="Q57" s="226">
        <f>P57*12</f>
        <v>6284705.2959999992</v>
      </c>
    </row>
    <row r="59" spans="1:17" x14ac:dyDescent="0.25">
      <c r="F59" s="226">
        <f>SUM(B57:F57)</f>
        <v>1354217.63</v>
      </c>
      <c r="G59" s="226">
        <f>SUM(G57:I57)</f>
        <v>2573723.1799999997</v>
      </c>
    </row>
    <row r="63" spans="1:17" x14ac:dyDescent="0.25">
      <c r="A63" s="15" t="s">
        <v>364</v>
      </c>
      <c r="B63" s="226">
        <v>4332571.5600000005</v>
      </c>
      <c r="C63" s="226">
        <v>768594.41</v>
      </c>
      <c r="D63" s="226">
        <v>3639827.3700000006</v>
      </c>
      <c r="E63" s="226">
        <v>1542198.09</v>
      </c>
      <c r="F63" s="226">
        <v>1489570.5499999998</v>
      </c>
      <c r="G63" s="226">
        <v>2152862.33</v>
      </c>
      <c r="H63" s="226">
        <f t="shared" ref="H63:M63" si="0">H41+H45+H49+H53+H57</f>
        <v>1222536.8799999999</v>
      </c>
      <c r="I63" s="226">
        <f t="shared" si="0"/>
        <v>1630851.5999999999</v>
      </c>
      <c r="J63" s="226">
        <f t="shared" si="0"/>
        <v>2797884.8</v>
      </c>
      <c r="K63" s="226">
        <f t="shared" si="0"/>
        <v>882829.95</v>
      </c>
      <c r="L63" s="226">
        <f t="shared" si="0"/>
        <v>452375.35</v>
      </c>
      <c r="M63" s="226">
        <f t="shared" si="0"/>
        <v>1734818.1</v>
      </c>
      <c r="N63" s="226">
        <f>SUM(B63:M63)</f>
        <v>22646920.990000006</v>
      </c>
    </row>
    <row r="65" spans="1:14" x14ac:dyDescent="0.25">
      <c r="A65" s="15" t="s">
        <v>361</v>
      </c>
      <c r="B65" s="226">
        <f t="shared" ref="B65:F65" si="1">B63/5</f>
        <v>866514.31200000015</v>
      </c>
      <c r="C65" s="226">
        <f t="shared" si="1"/>
        <v>153718.88200000001</v>
      </c>
      <c r="D65" s="226">
        <f t="shared" si="1"/>
        <v>727965.47400000016</v>
      </c>
      <c r="E65" s="226">
        <f t="shared" si="1"/>
        <v>308439.61800000002</v>
      </c>
      <c r="F65" s="226">
        <f t="shared" si="1"/>
        <v>297914.11</v>
      </c>
      <c r="G65" s="226">
        <f>G63/5</f>
        <v>430572.46600000001</v>
      </c>
      <c r="H65" s="226">
        <f>H63/5</f>
        <v>244507.37599999999</v>
      </c>
      <c r="I65" s="226">
        <f>I63/5</f>
        <v>326170.31999999995</v>
      </c>
      <c r="J65" s="226">
        <f>J63/4</f>
        <v>699471.2</v>
      </c>
      <c r="K65" s="226">
        <f t="shared" ref="K65:M65" si="2">K63/4</f>
        <v>220707.48749999999</v>
      </c>
      <c r="L65" s="226">
        <f t="shared" si="2"/>
        <v>113093.83749999999</v>
      </c>
      <c r="M65" s="226">
        <f t="shared" si="2"/>
        <v>433704.52500000002</v>
      </c>
      <c r="N65" s="226"/>
    </row>
    <row r="66" spans="1:14" x14ac:dyDescent="0.25"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</row>
    <row r="67" spans="1:14" x14ac:dyDescent="0.25"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</row>
    <row r="68" spans="1:14" x14ac:dyDescent="0.25">
      <c r="G68" s="249"/>
    </row>
    <row r="69" spans="1:14" ht="25" x14ac:dyDescent="0.25">
      <c r="C69" s="250" t="s">
        <v>54</v>
      </c>
      <c r="D69" s="250" t="s">
        <v>365</v>
      </c>
      <c r="E69" s="250" t="s">
        <v>366</v>
      </c>
      <c r="F69" s="250"/>
      <c r="G69" s="251" t="s">
        <v>367</v>
      </c>
      <c r="H69" s="252" t="s">
        <v>368</v>
      </c>
      <c r="I69" s="253" t="s">
        <v>375</v>
      </c>
    </row>
    <row r="70" spans="1:14" x14ac:dyDescent="0.25">
      <c r="A70" s="15" t="s">
        <v>369</v>
      </c>
      <c r="B70" t="s">
        <v>370</v>
      </c>
      <c r="C70" s="226">
        <f>H53+I53+J53+K53+L53+B57+C57+D57+E57+F57+G57+H57+I57+J57+K57+L57+M57</f>
        <v>5259952.63</v>
      </c>
      <c r="D70" s="227">
        <f>SUM(C70/14)</f>
        <v>375710.90214285714</v>
      </c>
      <c r="E70" s="227">
        <f>SUM(D70*14)</f>
        <v>5259952.63</v>
      </c>
      <c r="F70" t="s">
        <v>371</v>
      </c>
      <c r="G70" s="227">
        <f>E70*9.5%</f>
        <v>499695.49985000002</v>
      </c>
      <c r="H70" s="227">
        <f>SUM(G70/14)</f>
        <v>35692.535703571433</v>
      </c>
      <c r="I70" s="227">
        <f>C70*6.5%</f>
        <v>341896.92095</v>
      </c>
      <c r="K70">
        <v>2023</v>
      </c>
      <c r="L70" s="226">
        <f>SUM(F57:I57)</f>
        <v>3209556.13</v>
      </c>
      <c r="N70" s="226"/>
    </row>
    <row r="71" spans="1:14" x14ac:dyDescent="0.25">
      <c r="A71" s="15" t="s">
        <v>372</v>
      </c>
      <c r="B71" t="s">
        <v>373</v>
      </c>
      <c r="C71" s="226">
        <v>16224551.910000002</v>
      </c>
      <c r="D71" s="227">
        <v>386298.85500000004</v>
      </c>
      <c r="E71" s="227">
        <v>4635586.2600000007</v>
      </c>
      <c r="F71" t="s">
        <v>374</v>
      </c>
      <c r="G71" s="227">
        <f>C71*9.5%</f>
        <v>1541332.4314500003</v>
      </c>
      <c r="H71" s="227">
        <f>SUM(G71/42)</f>
        <v>36698.391225000007</v>
      </c>
      <c r="I71" s="227">
        <f>C71*6.5%</f>
        <v>1054595.8741500003</v>
      </c>
      <c r="K71">
        <v>2022</v>
      </c>
      <c r="L71" s="226">
        <f>SUM(F53:H53)</f>
        <v>171433.06</v>
      </c>
      <c r="M71" s="288">
        <f>L71-L70</f>
        <v>-3038123.07</v>
      </c>
    </row>
    <row r="72" spans="1:14" x14ac:dyDescent="0.25">
      <c r="D72" s="209"/>
      <c r="E72" s="209"/>
      <c r="K72">
        <v>2021</v>
      </c>
      <c r="L72" s="226">
        <f>SUM(F49:H49)</f>
        <v>879608.3</v>
      </c>
      <c r="M72" s="288">
        <f>L72-L70</f>
        <v>-2329947.83</v>
      </c>
      <c r="N72" s="226"/>
    </row>
    <row r="73" spans="1:14" x14ac:dyDescent="0.25">
      <c r="C73" s="208"/>
      <c r="D73" s="227"/>
      <c r="E73" s="227"/>
      <c r="H73" s="227"/>
      <c r="K73">
        <v>2020</v>
      </c>
      <c r="L73" s="226">
        <f>SUM(F45:H45)</f>
        <v>521680.37</v>
      </c>
      <c r="M73" s="288">
        <f>L73-L70</f>
        <v>-2687875.76</v>
      </c>
    </row>
    <row r="74" spans="1:14" x14ac:dyDescent="0.25">
      <c r="C74" s="49"/>
      <c r="D74" s="248"/>
      <c r="E74" s="247"/>
      <c r="K74">
        <v>2019</v>
      </c>
      <c r="L74" s="226">
        <f>SUM(F41:H41)</f>
        <v>429500.36</v>
      </c>
      <c r="M74" s="288">
        <f>L74-L70</f>
        <v>-2780055.77</v>
      </c>
    </row>
    <row r="75" spans="1:14" x14ac:dyDescent="0.25">
      <c r="H75" s="227"/>
      <c r="N75" s="226"/>
    </row>
    <row r="76" spans="1:14" x14ac:dyDescent="0.25">
      <c r="H76" s="226"/>
    </row>
  </sheetData>
  <mergeCells count="16">
    <mergeCell ref="L12:M12"/>
    <mergeCell ref="L13:M13"/>
    <mergeCell ref="B3:C3"/>
    <mergeCell ref="E32:K37"/>
    <mergeCell ref="B23:C23"/>
    <mergeCell ref="B31:C31"/>
    <mergeCell ref="E4:K9"/>
    <mergeCell ref="E24:K29"/>
    <mergeCell ref="R4:S4"/>
    <mergeCell ref="P5:Q5"/>
    <mergeCell ref="R5:S5"/>
    <mergeCell ref="L4:M4"/>
    <mergeCell ref="L5:M5"/>
    <mergeCell ref="N4:O4"/>
    <mergeCell ref="N5:O5"/>
    <mergeCell ref="P4:Q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>
    <tabColor rgb="FF00B050"/>
  </sheetPr>
  <dimension ref="A1:AA68"/>
  <sheetViews>
    <sheetView workbookViewId="0">
      <selection activeCell="I72" sqref="I72"/>
    </sheetView>
  </sheetViews>
  <sheetFormatPr defaultRowHeight="12.5" x14ac:dyDescent="0.25"/>
  <sheetData>
    <row r="1" spans="1:27" s="84" customFormat="1" ht="62.5" x14ac:dyDescent="0.25">
      <c r="A1" s="115" t="s">
        <v>4</v>
      </c>
      <c r="B1" s="115" t="s">
        <v>5</v>
      </c>
      <c r="C1" s="121" t="s">
        <v>6</v>
      </c>
      <c r="D1" s="69" t="s">
        <v>314</v>
      </c>
      <c r="E1" s="98" t="s">
        <v>86</v>
      </c>
      <c r="F1" s="115" t="s">
        <v>7</v>
      </c>
      <c r="G1" s="115" t="s">
        <v>28</v>
      </c>
      <c r="H1" s="123" t="s">
        <v>8</v>
      </c>
      <c r="I1" s="23" t="s">
        <v>50</v>
      </c>
      <c r="J1" s="23" t="s">
        <v>71</v>
      </c>
      <c r="K1" s="116" t="s">
        <v>9</v>
      </c>
      <c r="L1" s="120" t="s">
        <v>69</v>
      </c>
      <c r="M1" s="117" t="s">
        <v>10</v>
      </c>
      <c r="N1" s="117" t="s">
        <v>11</v>
      </c>
      <c r="O1" s="116" t="s">
        <v>12</v>
      </c>
      <c r="P1" s="116" t="s">
        <v>21</v>
      </c>
      <c r="Q1" s="116" t="s">
        <v>22</v>
      </c>
      <c r="R1" s="82" t="s">
        <v>73</v>
      </c>
      <c r="S1" s="118" t="s">
        <v>72</v>
      </c>
      <c r="T1" s="118" t="s">
        <v>38</v>
      </c>
      <c r="U1" s="118" t="s">
        <v>39</v>
      </c>
      <c r="V1" s="118" t="s">
        <v>42</v>
      </c>
      <c r="W1" s="117" t="s">
        <v>68</v>
      </c>
      <c r="X1" s="117" t="s">
        <v>52</v>
      </c>
      <c r="Y1" s="115" t="s">
        <v>13</v>
      </c>
      <c r="Z1" s="10" t="s">
        <v>46</v>
      </c>
      <c r="AA1" s="15"/>
    </row>
    <row r="2" spans="1:27" s="64" customFormat="1" ht="62.5" hidden="1" x14ac:dyDescent="0.25">
      <c r="A2" s="124"/>
      <c r="B2" s="114" t="s">
        <v>88</v>
      </c>
      <c r="C2" s="97" t="s">
        <v>139</v>
      </c>
      <c r="D2" s="86" t="s">
        <v>114</v>
      </c>
      <c r="E2" s="99"/>
      <c r="F2" s="85"/>
      <c r="G2" s="87" t="s">
        <v>211</v>
      </c>
      <c r="H2" s="100"/>
      <c r="I2" s="87" t="s">
        <v>211</v>
      </c>
      <c r="J2" s="85" t="s">
        <v>185</v>
      </c>
      <c r="K2" s="88"/>
      <c r="L2" s="89"/>
      <c r="M2" s="86"/>
      <c r="N2" s="90"/>
      <c r="O2" s="88"/>
      <c r="P2" s="91"/>
      <c r="Q2" s="91"/>
      <c r="R2" s="92"/>
      <c r="S2" s="88"/>
      <c r="T2" s="92"/>
      <c r="U2" s="92"/>
      <c r="V2" s="92"/>
      <c r="W2" s="94"/>
      <c r="X2" s="94"/>
      <c r="Y2" s="95" t="s">
        <v>185</v>
      </c>
      <c r="Z2" s="93" t="s">
        <v>87</v>
      </c>
      <c r="AA2" s="41"/>
    </row>
    <row r="3" spans="1:27" s="64" customFormat="1" ht="262.5" hidden="1" x14ac:dyDescent="0.25">
      <c r="A3" s="124"/>
      <c r="B3" s="114" t="s">
        <v>89</v>
      </c>
      <c r="C3" s="97" t="s">
        <v>140</v>
      </c>
      <c r="D3" s="86" t="s">
        <v>115</v>
      </c>
      <c r="E3" s="99"/>
      <c r="F3" s="85"/>
      <c r="G3" s="87" t="s">
        <v>211</v>
      </c>
      <c r="H3" s="100"/>
      <c r="I3" s="87" t="s">
        <v>211</v>
      </c>
      <c r="J3" s="85" t="s">
        <v>186</v>
      </c>
      <c r="K3" s="88"/>
      <c r="L3" s="89"/>
      <c r="M3" s="86"/>
      <c r="N3" s="90"/>
      <c r="O3" s="88"/>
      <c r="P3" s="91"/>
      <c r="Q3" s="91"/>
      <c r="R3" s="92"/>
      <c r="S3" s="88"/>
      <c r="T3" s="92"/>
      <c r="U3" s="92"/>
      <c r="V3" s="92"/>
      <c r="W3" s="94"/>
      <c r="X3" s="94"/>
      <c r="Y3" s="95" t="s">
        <v>201</v>
      </c>
      <c r="Z3" s="93" t="s">
        <v>87</v>
      </c>
      <c r="AA3" s="41"/>
    </row>
    <row r="4" spans="1:27" s="64" customFormat="1" ht="62.5" hidden="1" x14ac:dyDescent="0.25">
      <c r="A4" s="124"/>
      <c r="B4" s="114" t="s">
        <v>90</v>
      </c>
      <c r="C4" s="97" t="s">
        <v>141</v>
      </c>
      <c r="D4" s="86" t="s">
        <v>116</v>
      </c>
      <c r="E4" s="99"/>
      <c r="F4" s="85"/>
      <c r="G4" s="87" t="s">
        <v>211</v>
      </c>
      <c r="H4" s="100"/>
      <c r="I4" s="87" t="s">
        <v>211</v>
      </c>
      <c r="J4" s="85" t="s">
        <v>187</v>
      </c>
      <c r="K4" s="88"/>
      <c r="L4" s="89"/>
      <c r="M4" s="86"/>
      <c r="N4" s="90"/>
      <c r="O4" s="88"/>
      <c r="P4" s="91"/>
      <c r="Q4" s="91"/>
      <c r="R4" s="92"/>
      <c r="S4" s="88"/>
      <c r="T4" s="92"/>
      <c r="U4" s="92"/>
      <c r="V4" s="92"/>
      <c r="W4" s="94"/>
      <c r="X4" s="94"/>
      <c r="Y4" s="95" t="s">
        <v>187</v>
      </c>
      <c r="Z4" s="93" t="s">
        <v>87</v>
      </c>
      <c r="AA4" s="41"/>
    </row>
    <row r="5" spans="1:27" s="64" customFormat="1" ht="62.5" hidden="1" x14ac:dyDescent="0.25">
      <c r="A5" s="124"/>
      <c r="B5" s="114" t="s">
        <v>91</v>
      </c>
      <c r="C5" s="97" t="s">
        <v>142</v>
      </c>
      <c r="D5" s="86" t="s">
        <v>116</v>
      </c>
      <c r="E5" s="99"/>
      <c r="F5" s="85"/>
      <c r="G5" s="87" t="s">
        <v>211</v>
      </c>
      <c r="H5" s="100"/>
      <c r="I5" s="87" t="s">
        <v>211</v>
      </c>
      <c r="J5" s="85" t="s">
        <v>187</v>
      </c>
      <c r="K5" s="88"/>
      <c r="L5" s="89"/>
      <c r="M5" s="86"/>
      <c r="N5" s="90"/>
      <c r="O5" s="88"/>
      <c r="P5" s="91"/>
      <c r="Q5" s="91"/>
      <c r="R5" s="92"/>
      <c r="S5" s="88"/>
      <c r="T5" s="92"/>
      <c r="U5" s="92"/>
      <c r="V5" s="92"/>
      <c r="W5" s="94"/>
      <c r="X5" s="94"/>
      <c r="Y5" s="95" t="s">
        <v>187</v>
      </c>
      <c r="Z5" s="93" t="s">
        <v>87</v>
      </c>
      <c r="AA5" s="41"/>
    </row>
    <row r="6" spans="1:27" s="64" customFormat="1" ht="62.5" hidden="1" x14ac:dyDescent="0.25">
      <c r="A6" s="124"/>
      <c r="B6" s="114" t="s">
        <v>90</v>
      </c>
      <c r="C6" s="97" t="s">
        <v>143</v>
      </c>
      <c r="D6" s="86" t="s">
        <v>117</v>
      </c>
      <c r="E6" s="99"/>
      <c r="F6" s="85"/>
      <c r="G6" s="87" t="s">
        <v>211</v>
      </c>
      <c r="H6" s="100"/>
      <c r="I6" s="87" t="s">
        <v>211</v>
      </c>
      <c r="J6" s="85" t="s">
        <v>187</v>
      </c>
      <c r="K6" s="88"/>
      <c r="L6" s="89"/>
      <c r="M6" s="86"/>
      <c r="N6" s="90"/>
      <c r="O6" s="88"/>
      <c r="P6" s="91"/>
      <c r="Q6" s="91"/>
      <c r="R6" s="92"/>
      <c r="S6" s="88"/>
      <c r="T6" s="92"/>
      <c r="U6" s="92"/>
      <c r="V6" s="92"/>
      <c r="W6" s="94"/>
      <c r="X6" s="94"/>
      <c r="Y6" s="95" t="s">
        <v>187</v>
      </c>
      <c r="Z6" s="93" t="s">
        <v>87</v>
      </c>
      <c r="AA6" s="41"/>
    </row>
    <row r="7" spans="1:27" s="64" customFormat="1" ht="62.5" hidden="1" x14ac:dyDescent="0.25">
      <c r="A7" s="124"/>
      <c r="B7" s="114" t="s">
        <v>91</v>
      </c>
      <c r="C7" s="97" t="s">
        <v>144</v>
      </c>
      <c r="D7" s="86" t="s">
        <v>117</v>
      </c>
      <c r="E7" s="99"/>
      <c r="F7" s="85"/>
      <c r="G7" s="87" t="s">
        <v>211</v>
      </c>
      <c r="H7" s="100"/>
      <c r="I7" s="87" t="s">
        <v>211</v>
      </c>
      <c r="J7" s="85" t="s">
        <v>187</v>
      </c>
      <c r="K7" s="88"/>
      <c r="L7" s="89"/>
      <c r="M7" s="86"/>
      <c r="N7" s="90"/>
      <c r="O7" s="88"/>
      <c r="P7" s="91"/>
      <c r="Q7" s="91"/>
      <c r="R7" s="92"/>
      <c r="S7" s="88"/>
      <c r="T7" s="92"/>
      <c r="U7" s="92"/>
      <c r="V7" s="92"/>
      <c r="W7" s="94"/>
      <c r="X7" s="94"/>
      <c r="Y7" s="95" t="s">
        <v>187</v>
      </c>
      <c r="Z7" s="93" t="s">
        <v>87</v>
      </c>
      <c r="AA7" s="41"/>
    </row>
    <row r="8" spans="1:27" s="64" customFormat="1" ht="62.5" hidden="1" x14ac:dyDescent="0.25">
      <c r="A8" s="124"/>
      <c r="B8" s="114" t="s">
        <v>92</v>
      </c>
      <c r="C8" s="97" t="s">
        <v>145</v>
      </c>
      <c r="D8" s="86" t="s">
        <v>118</v>
      </c>
      <c r="E8" s="99"/>
      <c r="F8" s="85"/>
      <c r="G8" s="87" t="s">
        <v>211</v>
      </c>
      <c r="H8" s="100"/>
      <c r="I8" s="87" t="s">
        <v>211</v>
      </c>
      <c r="J8" s="85" t="s">
        <v>187</v>
      </c>
      <c r="K8" s="88"/>
      <c r="L8" s="89"/>
      <c r="M8" s="86"/>
      <c r="N8" s="90"/>
      <c r="O8" s="88"/>
      <c r="P8" s="91"/>
      <c r="Q8" s="91"/>
      <c r="R8" s="92"/>
      <c r="S8" s="88"/>
      <c r="T8" s="92"/>
      <c r="U8" s="92"/>
      <c r="V8" s="92"/>
      <c r="W8" s="94"/>
      <c r="X8" s="94"/>
      <c r="Y8" s="95" t="s">
        <v>187</v>
      </c>
      <c r="Z8" s="93" t="s">
        <v>87</v>
      </c>
      <c r="AA8" s="41"/>
    </row>
    <row r="9" spans="1:27" s="64" customFormat="1" ht="62.5" hidden="1" x14ac:dyDescent="0.25">
      <c r="A9" s="124"/>
      <c r="B9" s="114" t="s">
        <v>92</v>
      </c>
      <c r="C9" s="97" t="s">
        <v>146</v>
      </c>
      <c r="D9" s="86" t="s">
        <v>118</v>
      </c>
      <c r="E9" s="99"/>
      <c r="F9" s="85"/>
      <c r="G9" s="87" t="s">
        <v>211</v>
      </c>
      <c r="H9" s="100"/>
      <c r="I9" s="87" t="s">
        <v>211</v>
      </c>
      <c r="J9" s="85" t="s">
        <v>187</v>
      </c>
      <c r="K9" s="88"/>
      <c r="L9" s="89"/>
      <c r="M9" s="86"/>
      <c r="N9" s="90"/>
      <c r="O9" s="88"/>
      <c r="P9" s="91"/>
      <c r="Q9" s="91"/>
      <c r="R9" s="92"/>
      <c r="S9" s="88"/>
      <c r="T9" s="92"/>
      <c r="U9" s="92"/>
      <c r="V9" s="92"/>
      <c r="W9" s="94"/>
      <c r="X9" s="94"/>
      <c r="Y9" s="95" t="s">
        <v>187</v>
      </c>
      <c r="Z9" s="93" t="s">
        <v>87</v>
      </c>
      <c r="AA9" s="41"/>
    </row>
    <row r="10" spans="1:27" s="64" customFormat="1" ht="50" hidden="1" x14ac:dyDescent="0.25">
      <c r="A10" s="124"/>
      <c r="B10" s="114" t="s">
        <v>93</v>
      </c>
      <c r="C10" s="97" t="s">
        <v>147</v>
      </c>
      <c r="D10" s="86" t="s">
        <v>119</v>
      </c>
      <c r="E10" s="99"/>
      <c r="F10" s="85"/>
      <c r="G10" s="87" t="s">
        <v>211</v>
      </c>
      <c r="H10" s="100"/>
      <c r="I10" s="87" t="s">
        <v>211</v>
      </c>
      <c r="J10" s="85" t="s">
        <v>188</v>
      </c>
      <c r="K10" s="88"/>
      <c r="L10" s="89"/>
      <c r="M10" s="86"/>
      <c r="N10" s="90"/>
      <c r="O10" s="88"/>
      <c r="P10" s="91"/>
      <c r="Q10" s="91"/>
      <c r="R10" s="92"/>
      <c r="S10" s="88"/>
      <c r="T10" s="92"/>
      <c r="U10" s="92"/>
      <c r="V10" s="92"/>
      <c r="W10" s="94"/>
      <c r="X10" s="94"/>
      <c r="Y10" s="95" t="s">
        <v>188</v>
      </c>
      <c r="Z10" s="93" t="s">
        <v>87</v>
      </c>
      <c r="AA10" s="41"/>
    </row>
    <row r="11" spans="1:27" s="64" customFormat="1" ht="225" hidden="1" x14ac:dyDescent="0.25">
      <c r="A11" s="124"/>
      <c r="B11" s="114" t="s">
        <v>94</v>
      </c>
      <c r="C11" s="97" t="s">
        <v>148</v>
      </c>
      <c r="D11" s="86" t="s">
        <v>120</v>
      </c>
      <c r="E11" s="99"/>
      <c r="F11" s="85"/>
      <c r="G11" s="87" t="s">
        <v>211</v>
      </c>
      <c r="H11" s="100"/>
      <c r="I11" s="87" t="s">
        <v>211</v>
      </c>
      <c r="J11" s="85" t="s">
        <v>189</v>
      </c>
      <c r="K11" s="88"/>
      <c r="L11" s="89"/>
      <c r="M11" s="86"/>
      <c r="N11" s="90"/>
      <c r="O11" s="88"/>
      <c r="P11" s="91"/>
      <c r="Q11" s="91"/>
      <c r="R11" s="92"/>
      <c r="S11" s="88"/>
      <c r="T11" s="92"/>
      <c r="U11" s="92"/>
      <c r="V11" s="92"/>
      <c r="W11" s="94"/>
      <c r="X11" s="94"/>
      <c r="Y11" s="95" t="s">
        <v>189</v>
      </c>
      <c r="Z11" s="93" t="s">
        <v>87</v>
      </c>
      <c r="AA11" s="41"/>
    </row>
    <row r="12" spans="1:27" s="64" customFormat="1" ht="125" hidden="1" x14ac:dyDescent="0.25">
      <c r="A12" s="124"/>
      <c r="B12" s="114" t="s">
        <v>95</v>
      </c>
      <c r="C12" s="97" t="s">
        <v>149</v>
      </c>
      <c r="D12" s="86" t="s">
        <v>121</v>
      </c>
      <c r="E12" s="99"/>
      <c r="F12" s="85"/>
      <c r="G12" s="87" t="s">
        <v>211</v>
      </c>
      <c r="H12" s="100"/>
      <c r="I12" s="87" t="s">
        <v>211</v>
      </c>
      <c r="J12" s="85" t="s">
        <v>190</v>
      </c>
      <c r="K12" s="88"/>
      <c r="L12" s="89"/>
      <c r="M12" s="86"/>
      <c r="N12" s="90"/>
      <c r="O12" s="88"/>
      <c r="P12" s="91"/>
      <c r="Q12" s="91"/>
      <c r="R12" s="92"/>
      <c r="S12" s="88"/>
      <c r="T12" s="92"/>
      <c r="U12" s="92"/>
      <c r="V12" s="92"/>
      <c r="W12" s="94"/>
      <c r="X12" s="94"/>
      <c r="Y12" s="95" t="s">
        <v>190</v>
      </c>
      <c r="Z12" s="93" t="s">
        <v>87</v>
      </c>
      <c r="AA12" s="41"/>
    </row>
    <row r="13" spans="1:27" s="64" customFormat="1" ht="125" hidden="1" x14ac:dyDescent="0.25">
      <c r="A13" s="124"/>
      <c r="B13" s="114" t="s">
        <v>96</v>
      </c>
      <c r="C13" s="97" t="s">
        <v>150</v>
      </c>
      <c r="D13" s="86" t="s">
        <v>121</v>
      </c>
      <c r="E13" s="99"/>
      <c r="F13" s="85"/>
      <c r="G13" s="87" t="s">
        <v>211</v>
      </c>
      <c r="H13" s="100"/>
      <c r="I13" s="87" t="s">
        <v>211</v>
      </c>
      <c r="J13" s="85" t="s">
        <v>190</v>
      </c>
      <c r="K13" s="88"/>
      <c r="L13" s="89"/>
      <c r="M13" s="86"/>
      <c r="N13" s="90"/>
      <c r="O13" s="88"/>
      <c r="P13" s="91"/>
      <c r="Q13" s="91"/>
      <c r="R13" s="92"/>
      <c r="S13" s="88"/>
      <c r="T13" s="92"/>
      <c r="U13" s="92"/>
      <c r="V13" s="92"/>
      <c r="W13" s="94"/>
      <c r="X13" s="94"/>
      <c r="Y13" s="95" t="s">
        <v>190</v>
      </c>
      <c r="Z13" s="93" t="s">
        <v>87</v>
      </c>
      <c r="AA13" s="41"/>
    </row>
    <row r="14" spans="1:27" s="64" customFormat="1" ht="125" hidden="1" x14ac:dyDescent="0.25">
      <c r="A14" s="124"/>
      <c r="B14" s="114" t="s">
        <v>97</v>
      </c>
      <c r="C14" s="97" t="s">
        <v>151</v>
      </c>
      <c r="D14" s="86" t="s">
        <v>121</v>
      </c>
      <c r="E14" s="99"/>
      <c r="F14" s="85"/>
      <c r="G14" s="87" t="s">
        <v>211</v>
      </c>
      <c r="H14" s="100"/>
      <c r="I14" s="87" t="s">
        <v>211</v>
      </c>
      <c r="J14" s="85" t="s">
        <v>190</v>
      </c>
      <c r="K14" s="88"/>
      <c r="L14" s="89"/>
      <c r="M14" s="86"/>
      <c r="N14" s="90"/>
      <c r="O14" s="88"/>
      <c r="P14" s="91"/>
      <c r="Q14" s="91"/>
      <c r="R14" s="92"/>
      <c r="S14" s="88"/>
      <c r="T14" s="92"/>
      <c r="U14" s="92"/>
      <c r="V14" s="92"/>
      <c r="W14" s="94"/>
      <c r="X14" s="94"/>
      <c r="Y14" s="95" t="s">
        <v>190</v>
      </c>
      <c r="Z14" s="93" t="s">
        <v>87</v>
      </c>
      <c r="AA14" s="41"/>
    </row>
    <row r="15" spans="1:27" s="64" customFormat="1" ht="125" hidden="1" x14ac:dyDescent="0.25">
      <c r="A15" s="124"/>
      <c r="B15" s="114" t="s">
        <v>98</v>
      </c>
      <c r="C15" s="97" t="s">
        <v>152</v>
      </c>
      <c r="D15" s="86" t="s">
        <v>121</v>
      </c>
      <c r="E15" s="99"/>
      <c r="F15" s="85"/>
      <c r="G15" s="87" t="s">
        <v>211</v>
      </c>
      <c r="H15" s="100"/>
      <c r="I15" s="87" t="s">
        <v>211</v>
      </c>
      <c r="J15" s="85" t="s">
        <v>190</v>
      </c>
      <c r="K15" s="88"/>
      <c r="L15" s="89"/>
      <c r="M15" s="86"/>
      <c r="N15" s="90"/>
      <c r="O15" s="88"/>
      <c r="P15" s="91"/>
      <c r="Q15" s="91"/>
      <c r="R15" s="92"/>
      <c r="S15" s="88"/>
      <c r="T15" s="92"/>
      <c r="U15" s="92"/>
      <c r="V15" s="92"/>
      <c r="W15" s="94"/>
      <c r="X15" s="94"/>
      <c r="Y15" s="95" t="s">
        <v>190</v>
      </c>
      <c r="Z15" s="93" t="s">
        <v>87</v>
      </c>
      <c r="AA15" s="41"/>
    </row>
    <row r="16" spans="1:27" s="64" customFormat="1" ht="125" hidden="1" x14ac:dyDescent="0.25">
      <c r="A16" s="124"/>
      <c r="B16" s="114" t="s">
        <v>99</v>
      </c>
      <c r="C16" s="97" t="s">
        <v>153</v>
      </c>
      <c r="D16" s="86" t="s">
        <v>121</v>
      </c>
      <c r="E16" s="99"/>
      <c r="F16" s="85"/>
      <c r="G16" s="87" t="s">
        <v>211</v>
      </c>
      <c r="H16" s="100"/>
      <c r="I16" s="87" t="s">
        <v>211</v>
      </c>
      <c r="J16" s="85" t="s">
        <v>190</v>
      </c>
      <c r="K16" s="88"/>
      <c r="L16" s="89"/>
      <c r="M16" s="86"/>
      <c r="N16" s="90"/>
      <c r="O16" s="88"/>
      <c r="P16" s="91"/>
      <c r="Q16" s="91"/>
      <c r="R16" s="92"/>
      <c r="S16" s="88"/>
      <c r="T16" s="92"/>
      <c r="U16" s="92"/>
      <c r="V16" s="92"/>
      <c r="W16" s="94"/>
      <c r="X16" s="94"/>
      <c r="Y16" s="95" t="s">
        <v>190</v>
      </c>
      <c r="Z16" s="93" t="s">
        <v>87</v>
      </c>
      <c r="AA16" s="41"/>
    </row>
    <row r="17" spans="1:27" s="64" customFormat="1" ht="125" hidden="1" x14ac:dyDescent="0.25">
      <c r="A17" s="124"/>
      <c r="B17" s="114" t="s">
        <v>100</v>
      </c>
      <c r="C17" s="97" t="s">
        <v>154</v>
      </c>
      <c r="D17" s="86" t="s">
        <v>121</v>
      </c>
      <c r="E17" s="99"/>
      <c r="F17" s="85"/>
      <c r="G17" s="87" t="s">
        <v>211</v>
      </c>
      <c r="H17" s="100"/>
      <c r="I17" s="87" t="s">
        <v>211</v>
      </c>
      <c r="J17" s="85" t="s">
        <v>190</v>
      </c>
      <c r="K17" s="88"/>
      <c r="L17" s="89"/>
      <c r="M17" s="86"/>
      <c r="N17" s="90"/>
      <c r="O17" s="88"/>
      <c r="P17" s="91"/>
      <c r="Q17" s="91"/>
      <c r="R17" s="92"/>
      <c r="S17" s="88"/>
      <c r="T17" s="92"/>
      <c r="U17" s="92"/>
      <c r="V17" s="92"/>
      <c r="W17" s="94"/>
      <c r="X17" s="94"/>
      <c r="Y17" s="95" t="s">
        <v>190</v>
      </c>
      <c r="Z17" s="93" t="s">
        <v>87</v>
      </c>
      <c r="AA17" s="41"/>
    </row>
    <row r="18" spans="1:27" s="64" customFormat="1" ht="237.5" hidden="1" x14ac:dyDescent="0.25">
      <c r="A18" s="124"/>
      <c r="B18" s="114" t="s">
        <v>101</v>
      </c>
      <c r="C18" s="97" t="s">
        <v>155</v>
      </c>
      <c r="D18" s="86" t="s">
        <v>122</v>
      </c>
      <c r="E18" s="99"/>
      <c r="F18" s="85"/>
      <c r="G18" s="87" t="s">
        <v>211</v>
      </c>
      <c r="H18" s="100"/>
      <c r="I18" s="87" t="s">
        <v>211</v>
      </c>
      <c r="J18" s="85" t="s">
        <v>276</v>
      </c>
      <c r="K18" s="88"/>
      <c r="L18" s="89"/>
      <c r="M18" s="86"/>
      <c r="N18" s="90"/>
      <c r="O18" s="88"/>
      <c r="P18" s="91"/>
      <c r="Q18" s="91"/>
      <c r="R18" s="92"/>
      <c r="S18" s="88"/>
      <c r="T18" s="92"/>
      <c r="U18" s="92"/>
      <c r="V18" s="92"/>
      <c r="W18" s="94"/>
      <c r="X18" s="94"/>
      <c r="Y18" s="95" t="s">
        <v>277</v>
      </c>
      <c r="Z18" s="93" t="s">
        <v>87</v>
      </c>
      <c r="AA18" s="41"/>
    </row>
    <row r="19" spans="1:27" s="64" customFormat="1" ht="100" hidden="1" x14ac:dyDescent="0.25">
      <c r="A19" s="124"/>
      <c r="B19" s="114" t="s">
        <v>278</v>
      </c>
      <c r="C19" s="97" t="s">
        <v>51</v>
      </c>
      <c r="D19" s="86" t="s">
        <v>123</v>
      </c>
      <c r="E19" s="99"/>
      <c r="F19" s="85"/>
      <c r="G19" s="87" t="s">
        <v>211</v>
      </c>
      <c r="H19" s="100"/>
      <c r="I19" s="87" t="s">
        <v>211</v>
      </c>
      <c r="J19" s="85" t="s">
        <v>191</v>
      </c>
      <c r="K19" s="88"/>
      <c r="L19" s="89"/>
      <c r="M19" s="86"/>
      <c r="N19" s="90"/>
      <c r="O19" s="88"/>
      <c r="P19" s="91"/>
      <c r="Q19" s="91"/>
      <c r="R19" s="92"/>
      <c r="S19" s="88"/>
      <c r="T19" s="92"/>
      <c r="U19" s="92"/>
      <c r="V19" s="92"/>
      <c r="W19" s="94"/>
      <c r="X19" s="94"/>
      <c r="Y19" s="95" t="s">
        <v>202</v>
      </c>
      <c r="Z19" s="93" t="s">
        <v>87</v>
      </c>
      <c r="AA19" s="41"/>
    </row>
    <row r="20" spans="1:27" s="64" customFormat="1" ht="112.5" hidden="1" x14ac:dyDescent="0.25">
      <c r="A20" s="124"/>
      <c r="B20" s="114" t="s">
        <v>279</v>
      </c>
      <c r="C20" s="97" t="s">
        <v>79</v>
      </c>
      <c r="D20" s="86" t="s">
        <v>124</v>
      </c>
      <c r="E20" s="99"/>
      <c r="F20" s="85"/>
      <c r="G20" s="87" t="s">
        <v>211</v>
      </c>
      <c r="H20" s="100"/>
      <c r="I20" s="87" t="s">
        <v>211</v>
      </c>
      <c r="J20" s="85" t="s">
        <v>192</v>
      </c>
      <c r="K20" s="88"/>
      <c r="L20" s="89"/>
      <c r="M20" s="86"/>
      <c r="N20" s="90"/>
      <c r="O20" s="88"/>
      <c r="P20" s="91"/>
      <c r="Q20" s="91"/>
      <c r="R20" s="92"/>
      <c r="S20" s="88"/>
      <c r="T20" s="92"/>
      <c r="U20" s="92"/>
      <c r="V20" s="92"/>
      <c r="W20" s="94"/>
      <c r="X20" s="94"/>
      <c r="Y20" s="95" t="s">
        <v>203</v>
      </c>
      <c r="Z20" s="93" t="s">
        <v>87</v>
      </c>
      <c r="AA20" s="41"/>
    </row>
    <row r="21" spans="1:27" s="64" customFormat="1" ht="125" hidden="1" x14ac:dyDescent="0.25">
      <c r="A21" s="124"/>
      <c r="B21" s="114" t="s">
        <v>280</v>
      </c>
      <c r="C21" s="97" t="s">
        <v>156</v>
      </c>
      <c r="D21" s="86" t="s">
        <v>122</v>
      </c>
      <c r="E21" s="99"/>
      <c r="F21" s="85"/>
      <c r="G21" s="87" t="s">
        <v>211</v>
      </c>
      <c r="H21" s="100"/>
      <c r="I21" s="87" t="s">
        <v>211</v>
      </c>
      <c r="J21" s="85" t="s">
        <v>193</v>
      </c>
      <c r="K21" s="88"/>
      <c r="L21" s="89"/>
      <c r="M21" s="86"/>
      <c r="N21" s="90"/>
      <c r="O21" s="88"/>
      <c r="P21" s="91"/>
      <c r="Q21" s="91"/>
      <c r="R21" s="92"/>
      <c r="S21" s="88"/>
      <c r="T21" s="92"/>
      <c r="U21" s="92"/>
      <c r="V21" s="92"/>
      <c r="W21" s="94"/>
      <c r="X21" s="94"/>
      <c r="Y21" s="95" t="s">
        <v>204</v>
      </c>
      <c r="Z21" s="93" t="s">
        <v>87</v>
      </c>
      <c r="AA21" s="41"/>
    </row>
    <row r="22" spans="1:27" s="64" customFormat="1" ht="100" hidden="1" x14ac:dyDescent="0.25">
      <c r="A22" s="124"/>
      <c r="B22" s="114" t="s">
        <v>281</v>
      </c>
      <c r="C22" s="97" t="s">
        <v>157</v>
      </c>
      <c r="D22" s="86" t="s">
        <v>120</v>
      </c>
      <c r="E22" s="99"/>
      <c r="F22" s="85"/>
      <c r="G22" s="87" t="s">
        <v>211</v>
      </c>
      <c r="H22" s="100"/>
      <c r="I22" s="87" t="s">
        <v>211</v>
      </c>
      <c r="J22" s="85" t="s">
        <v>194</v>
      </c>
      <c r="K22" s="88"/>
      <c r="L22" s="89"/>
      <c r="M22" s="86"/>
      <c r="N22" s="90"/>
      <c r="O22" s="88"/>
      <c r="P22" s="91"/>
      <c r="Q22" s="91"/>
      <c r="R22" s="92"/>
      <c r="S22" s="88"/>
      <c r="T22" s="92"/>
      <c r="U22" s="92"/>
      <c r="V22" s="92"/>
      <c r="W22" s="94"/>
      <c r="X22" s="94"/>
      <c r="Y22" s="95" t="s">
        <v>194</v>
      </c>
      <c r="Z22" s="93" t="s">
        <v>87</v>
      </c>
      <c r="AA22" s="41"/>
    </row>
    <row r="23" spans="1:27" s="64" customFormat="1" ht="175" x14ac:dyDescent="0.25">
      <c r="A23" s="124"/>
      <c r="B23" s="114" t="s">
        <v>102</v>
      </c>
      <c r="C23" s="97" t="s">
        <v>158</v>
      </c>
      <c r="D23" s="86" t="s">
        <v>125</v>
      </c>
      <c r="E23" s="99"/>
      <c r="F23" s="85"/>
      <c r="G23" s="87" t="s">
        <v>211</v>
      </c>
      <c r="H23" s="100"/>
      <c r="I23" s="87" t="s">
        <v>211</v>
      </c>
      <c r="J23" s="85" t="s">
        <v>282</v>
      </c>
      <c r="K23" s="88"/>
      <c r="L23" s="89"/>
      <c r="M23" s="86"/>
      <c r="N23" s="90"/>
      <c r="O23" s="88"/>
      <c r="P23" s="91"/>
      <c r="Q23" s="91"/>
      <c r="R23" s="92"/>
      <c r="S23" s="88"/>
      <c r="T23" s="92"/>
      <c r="U23" s="92"/>
      <c r="V23" s="92"/>
      <c r="W23" s="94"/>
      <c r="X23" s="94"/>
      <c r="Y23" s="95" t="s">
        <v>283</v>
      </c>
      <c r="Z23" s="93" t="s">
        <v>87</v>
      </c>
      <c r="AA23" s="41"/>
    </row>
    <row r="24" spans="1:27" s="64" customFormat="1" ht="100" hidden="1" x14ac:dyDescent="0.25">
      <c r="A24" s="124"/>
      <c r="B24" s="114" t="s">
        <v>103</v>
      </c>
      <c r="C24" s="97" t="s">
        <v>159</v>
      </c>
      <c r="D24" s="86" t="s">
        <v>126</v>
      </c>
      <c r="E24" s="99"/>
      <c r="F24" s="85"/>
      <c r="G24" s="87" t="s">
        <v>211</v>
      </c>
      <c r="H24" s="100"/>
      <c r="I24" s="87" t="s">
        <v>211</v>
      </c>
      <c r="J24" s="85" t="s">
        <v>284</v>
      </c>
      <c r="K24" s="88"/>
      <c r="L24" s="89"/>
      <c r="M24" s="86"/>
      <c r="N24" s="90"/>
      <c r="O24" s="88"/>
      <c r="P24" s="91"/>
      <c r="Q24" s="91"/>
      <c r="R24" s="92"/>
      <c r="S24" s="88"/>
      <c r="T24" s="92"/>
      <c r="U24" s="92"/>
      <c r="V24" s="92"/>
      <c r="W24" s="94"/>
      <c r="X24" s="94"/>
      <c r="Y24" s="95" t="s">
        <v>285</v>
      </c>
      <c r="Z24" s="93" t="s">
        <v>87</v>
      </c>
      <c r="AA24" s="41"/>
    </row>
    <row r="25" spans="1:27" s="64" customFormat="1" ht="100" hidden="1" x14ac:dyDescent="0.25">
      <c r="A25" s="124"/>
      <c r="B25" s="114" t="s">
        <v>104</v>
      </c>
      <c r="C25" s="97" t="s">
        <v>160</v>
      </c>
      <c r="D25" s="86" t="s">
        <v>126</v>
      </c>
      <c r="E25" s="99"/>
      <c r="F25" s="85"/>
      <c r="G25" s="87" t="s">
        <v>211</v>
      </c>
      <c r="H25" s="100"/>
      <c r="I25" s="87" t="s">
        <v>211</v>
      </c>
      <c r="J25" s="85" t="s">
        <v>284</v>
      </c>
      <c r="K25" s="88"/>
      <c r="L25" s="89"/>
      <c r="M25" s="86"/>
      <c r="N25" s="90"/>
      <c r="O25" s="88"/>
      <c r="P25" s="91"/>
      <c r="Q25" s="91"/>
      <c r="R25" s="92"/>
      <c r="S25" s="88"/>
      <c r="T25" s="92"/>
      <c r="U25" s="92"/>
      <c r="V25" s="92"/>
      <c r="W25" s="94"/>
      <c r="X25" s="94"/>
      <c r="Y25" s="95" t="s">
        <v>285</v>
      </c>
      <c r="Z25" s="93" t="s">
        <v>87</v>
      </c>
      <c r="AA25" s="41"/>
    </row>
    <row r="26" spans="1:27" s="64" customFormat="1" ht="125" hidden="1" x14ac:dyDescent="0.25">
      <c r="A26" s="124"/>
      <c r="B26" s="114" t="s">
        <v>105</v>
      </c>
      <c r="C26" s="97" t="s">
        <v>161</v>
      </c>
      <c r="D26" s="86" t="s">
        <v>127</v>
      </c>
      <c r="E26" s="99"/>
      <c r="F26" s="85"/>
      <c r="G26" s="87" t="s">
        <v>211</v>
      </c>
      <c r="H26" s="100"/>
      <c r="I26" s="87" t="s">
        <v>211</v>
      </c>
      <c r="J26" s="85" t="s">
        <v>195</v>
      </c>
      <c r="K26" s="88"/>
      <c r="L26" s="89"/>
      <c r="M26" s="86"/>
      <c r="N26" s="90"/>
      <c r="O26" s="88"/>
      <c r="P26" s="91"/>
      <c r="Q26" s="91"/>
      <c r="R26" s="92"/>
      <c r="S26" s="88"/>
      <c r="T26" s="92"/>
      <c r="U26" s="92"/>
      <c r="V26" s="92"/>
      <c r="W26" s="94"/>
      <c r="X26" s="94"/>
      <c r="Y26" s="95" t="s">
        <v>205</v>
      </c>
      <c r="Z26" s="93" t="s">
        <v>87</v>
      </c>
      <c r="AA26" s="41"/>
    </row>
    <row r="27" spans="1:27" s="64" customFormat="1" ht="100" hidden="1" x14ac:dyDescent="0.25">
      <c r="A27" s="124"/>
      <c r="B27" s="114" t="s">
        <v>106</v>
      </c>
      <c r="C27" s="97" t="s">
        <v>162</v>
      </c>
      <c r="D27" s="86" t="s">
        <v>128</v>
      </c>
      <c r="E27" s="99"/>
      <c r="F27" s="85"/>
      <c r="G27" s="87" t="s">
        <v>211</v>
      </c>
      <c r="H27" s="100"/>
      <c r="I27" s="87" t="s">
        <v>211</v>
      </c>
      <c r="J27" s="85" t="s">
        <v>196</v>
      </c>
      <c r="K27" s="88"/>
      <c r="L27" s="89"/>
      <c r="M27" s="86"/>
      <c r="N27" s="90"/>
      <c r="O27" s="88"/>
      <c r="P27" s="91"/>
      <c r="Q27" s="91"/>
      <c r="R27" s="92"/>
      <c r="S27" s="88"/>
      <c r="T27" s="92"/>
      <c r="U27" s="92"/>
      <c r="V27" s="92"/>
      <c r="W27" s="94"/>
      <c r="X27" s="94"/>
      <c r="Y27" s="95" t="s">
        <v>196</v>
      </c>
      <c r="Z27" s="93" t="s">
        <v>87</v>
      </c>
      <c r="AA27" s="41"/>
    </row>
    <row r="28" spans="1:27" s="64" customFormat="1" ht="100" hidden="1" x14ac:dyDescent="0.25">
      <c r="A28" s="124"/>
      <c r="B28" s="114" t="s">
        <v>107</v>
      </c>
      <c r="C28" s="97" t="s">
        <v>163</v>
      </c>
      <c r="D28" s="86" t="s">
        <v>128</v>
      </c>
      <c r="E28" s="99"/>
      <c r="F28" s="85"/>
      <c r="G28" s="87" t="s">
        <v>211</v>
      </c>
      <c r="H28" s="100"/>
      <c r="I28" s="87" t="s">
        <v>211</v>
      </c>
      <c r="J28" s="85" t="s">
        <v>196</v>
      </c>
      <c r="K28" s="88"/>
      <c r="L28" s="89"/>
      <c r="M28" s="86"/>
      <c r="N28" s="90"/>
      <c r="O28" s="88"/>
      <c r="P28" s="91"/>
      <c r="Q28" s="91"/>
      <c r="R28" s="92"/>
      <c r="S28" s="88"/>
      <c r="T28" s="92"/>
      <c r="U28" s="92"/>
      <c r="V28" s="92"/>
      <c r="W28" s="94"/>
      <c r="X28" s="94"/>
      <c r="Y28" s="95" t="s">
        <v>196</v>
      </c>
      <c r="Z28" s="93" t="s">
        <v>87</v>
      </c>
      <c r="AA28" s="41"/>
    </row>
    <row r="29" spans="1:27" s="64" customFormat="1" ht="112.5" hidden="1" x14ac:dyDescent="0.25">
      <c r="A29" s="124"/>
      <c r="B29" s="114" t="s">
        <v>108</v>
      </c>
      <c r="C29" s="97" t="s">
        <v>164</v>
      </c>
      <c r="D29" s="86" t="s">
        <v>120</v>
      </c>
      <c r="E29" s="99"/>
      <c r="F29" s="85"/>
      <c r="G29" s="87" t="s">
        <v>211</v>
      </c>
      <c r="H29" s="100"/>
      <c r="I29" s="87" t="s">
        <v>211</v>
      </c>
      <c r="J29" s="85" t="s">
        <v>194</v>
      </c>
      <c r="K29" s="88"/>
      <c r="L29" s="89"/>
      <c r="M29" s="86"/>
      <c r="N29" s="90"/>
      <c r="O29" s="88"/>
      <c r="P29" s="91"/>
      <c r="Q29" s="91"/>
      <c r="R29" s="92"/>
      <c r="S29" s="88"/>
      <c r="T29" s="92"/>
      <c r="U29" s="92"/>
      <c r="V29" s="92"/>
      <c r="W29" s="94"/>
      <c r="X29" s="94"/>
      <c r="Y29" s="95" t="s">
        <v>194</v>
      </c>
      <c r="Z29" s="93" t="s">
        <v>87</v>
      </c>
      <c r="AA29" s="41"/>
    </row>
    <row r="30" spans="1:27" s="64" customFormat="1" ht="200" hidden="1" x14ac:dyDescent="0.25">
      <c r="A30" s="124"/>
      <c r="B30" s="114" t="s">
        <v>286</v>
      </c>
      <c r="C30" s="97" t="s">
        <v>165</v>
      </c>
      <c r="D30" s="86" t="s">
        <v>129</v>
      </c>
      <c r="E30" s="99"/>
      <c r="F30" s="85"/>
      <c r="G30" s="87" t="s">
        <v>211</v>
      </c>
      <c r="H30" s="100"/>
      <c r="I30" s="87" t="s">
        <v>211</v>
      </c>
      <c r="J30" s="85" t="s">
        <v>194</v>
      </c>
      <c r="K30" s="88"/>
      <c r="L30" s="89"/>
      <c r="M30" s="86"/>
      <c r="N30" s="90"/>
      <c r="O30" s="88"/>
      <c r="P30" s="91"/>
      <c r="Q30" s="91"/>
      <c r="R30" s="92"/>
      <c r="S30" s="88"/>
      <c r="T30" s="92"/>
      <c r="U30" s="92"/>
      <c r="V30" s="92"/>
      <c r="W30" s="94"/>
      <c r="X30" s="94"/>
      <c r="Y30" s="95" t="s">
        <v>206</v>
      </c>
      <c r="Z30" s="93" t="s">
        <v>87</v>
      </c>
      <c r="AA30" s="41"/>
    </row>
    <row r="31" spans="1:27" s="64" customFormat="1" ht="212.5" hidden="1" x14ac:dyDescent="0.25">
      <c r="A31" s="124"/>
      <c r="B31" s="114" t="s">
        <v>287</v>
      </c>
      <c r="C31" s="97" t="s">
        <v>166</v>
      </c>
      <c r="D31" s="86" t="s">
        <v>129</v>
      </c>
      <c r="E31" s="99"/>
      <c r="F31" s="85"/>
      <c r="G31" s="87" t="s">
        <v>211</v>
      </c>
      <c r="H31" s="100"/>
      <c r="I31" s="87" t="s">
        <v>211</v>
      </c>
      <c r="J31" s="85" t="s">
        <v>194</v>
      </c>
      <c r="K31" s="88"/>
      <c r="L31" s="89"/>
      <c r="M31" s="86"/>
      <c r="N31" s="90"/>
      <c r="O31" s="88"/>
      <c r="P31" s="91"/>
      <c r="Q31" s="91"/>
      <c r="R31" s="92"/>
      <c r="S31" s="88"/>
      <c r="T31" s="92"/>
      <c r="U31" s="92"/>
      <c r="V31" s="92"/>
      <c r="W31" s="94"/>
      <c r="X31" s="94"/>
      <c r="Y31" s="95" t="s">
        <v>288</v>
      </c>
      <c r="Z31" s="93" t="s">
        <v>87</v>
      </c>
      <c r="AA31" s="41"/>
    </row>
    <row r="32" spans="1:27" s="64" customFormat="1" ht="200" hidden="1" x14ac:dyDescent="0.25">
      <c r="A32" s="124"/>
      <c r="B32" s="114" t="s">
        <v>289</v>
      </c>
      <c r="C32" s="97" t="s">
        <v>167</v>
      </c>
      <c r="D32" s="86" t="s">
        <v>118</v>
      </c>
      <c r="E32" s="99"/>
      <c r="F32" s="85"/>
      <c r="G32" s="87" t="s">
        <v>211</v>
      </c>
      <c r="H32" s="100"/>
      <c r="I32" s="87" t="s">
        <v>211</v>
      </c>
      <c r="J32" s="85" t="s">
        <v>194</v>
      </c>
      <c r="K32" s="88"/>
      <c r="L32" s="89"/>
      <c r="M32" s="86"/>
      <c r="N32" s="90"/>
      <c r="O32" s="88"/>
      <c r="P32" s="91"/>
      <c r="Q32" s="91"/>
      <c r="R32" s="92"/>
      <c r="S32" s="88"/>
      <c r="T32" s="92"/>
      <c r="U32" s="92"/>
      <c r="V32" s="92"/>
      <c r="W32" s="94"/>
      <c r="X32" s="94"/>
      <c r="Y32" s="95" t="s">
        <v>207</v>
      </c>
      <c r="Z32" s="93" t="s">
        <v>87</v>
      </c>
      <c r="AA32" s="41"/>
    </row>
    <row r="33" spans="1:27" s="64" customFormat="1" ht="112.5" hidden="1" x14ac:dyDescent="0.25">
      <c r="A33" s="124"/>
      <c r="B33" s="114" t="s">
        <v>290</v>
      </c>
      <c r="C33" s="97" t="s">
        <v>168</v>
      </c>
      <c r="D33" s="86" t="s">
        <v>130</v>
      </c>
      <c r="E33" s="99"/>
      <c r="F33" s="85"/>
      <c r="G33" s="87" t="s">
        <v>211</v>
      </c>
      <c r="H33" s="100"/>
      <c r="I33" s="87" t="s">
        <v>211</v>
      </c>
      <c r="J33" s="85" t="s">
        <v>188</v>
      </c>
      <c r="K33" s="88"/>
      <c r="L33" s="89"/>
      <c r="M33" s="86"/>
      <c r="N33" s="90"/>
      <c r="O33" s="88"/>
      <c r="P33" s="91"/>
      <c r="Q33" s="91"/>
      <c r="R33" s="92"/>
      <c r="S33" s="88"/>
      <c r="T33" s="92"/>
      <c r="U33" s="92"/>
      <c r="V33" s="92"/>
      <c r="W33" s="94"/>
      <c r="X33" s="94"/>
      <c r="Y33" s="95" t="s">
        <v>188</v>
      </c>
      <c r="Z33" s="93" t="s">
        <v>87</v>
      </c>
      <c r="AA33" s="41"/>
    </row>
    <row r="34" spans="1:27" s="64" customFormat="1" ht="87.5" hidden="1" x14ac:dyDescent="0.25">
      <c r="A34" s="124"/>
      <c r="B34" s="114" t="s">
        <v>291</v>
      </c>
      <c r="C34" s="97" t="s">
        <v>169</v>
      </c>
      <c r="D34" s="86" t="s">
        <v>131</v>
      </c>
      <c r="E34" s="99"/>
      <c r="F34" s="85"/>
      <c r="G34" s="87" t="s">
        <v>211</v>
      </c>
      <c r="H34" s="100"/>
      <c r="I34" s="87" t="s">
        <v>211</v>
      </c>
      <c r="J34" s="85" t="s">
        <v>188</v>
      </c>
      <c r="K34" s="88"/>
      <c r="L34" s="89"/>
      <c r="M34" s="86"/>
      <c r="N34" s="90"/>
      <c r="O34" s="88"/>
      <c r="P34" s="91"/>
      <c r="Q34" s="91"/>
      <c r="R34" s="92"/>
      <c r="S34" s="88"/>
      <c r="T34" s="92"/>
      <c r="U34" s="92"/>
      <c r="V34" s="92"/>
      <c r="W34" s="94"/>
      <c r="X34" s="94"/>
      <c r="Y34" s="95" t="s">
        <v>188</v>
      </c>
      <c r="Z34" s="93" t="s">
        <v>87</v>
      </c>
      <c r="AA34" s="41"/>
    </row>
    <row r="35" spans="1:27" s="64" customFormat="1" ht="112.5" hidden="1" x14ac:dyDescent="0.25">
      <c r="A35" s="124"/>
      <c r="B35" s="114" t="s">
        <v>292</v>
      </c>
      <c r="C35" s="97" t="s">
        <v>170</v>
      </c>
      <c r="D35" s="86" t="s">
        <v>131</v>
      </c>
      <c r="E35" s="99"/>
      <c r="F35" s="85"/>
      <c r="G35" s="87" t="s">
        <v>211</v>
      </c>
      <c r="H35" s="100"/>
      <c r="I35" s="87" t="s">
        <v>211</v>
      </c>
      <c r="J35" s="85" t="s">
        <v>188</v>
      </c>
      <c r="K35" s="88"/>
      <c r="L35" s="89"/>
      <c r="M35" s="86"/>
      <c r="N35" s="90"/>
      <c r="O35" s="88"/>
      <c r="P35" s="91"/>
      <c r="Q35" s="91"/>
      <c r="R35" s="92"/>
      <c r="S35" s="88"/>
      <c r="T35" s="92"/>
      <c r="U35" s="92"/>
      <c r="V35" s="92"/>
      <c r="W35" s="94"/>
      <c r="X35" s="94"/>
      <c r="Y35" s="95" t="s">
        <v>188</v>
      </c>
      <c r="Z35" s="93" t="s">
        <v>87</v>
      </c>
      <c r="AA35" s="41"/>
    </row>
    <row r="36" spans="1:27" s="64" customFormat="1" ht="112.5" hidden="1" x14ac:dyDescent="0.25">
      <c r="A36" s="124"/>
      <c r="B36" s="114" t="s">
        <v>293</v>
      </c>
      <c r="C36" s="97" t="s">
        <v>171</v>
      </c>
      <c r="D36" s="86" t="s">
        <v>132</v>
      </c>
      <c r="E36" s="99"/>
      <c r="F36" s="85"/>
      <c r="G36" s="87" t="s">
        <v>211</v>
      </c>
      <c r="H36" s="100"/>
      <c r="I36" s="87" t="s">
        <v>211</v>
      </c>
      <c r="J36" s="85" t="s">
        <v>188</v>
      </c>
      <c r="K36" s="88"/>
      <c r="L36" s="89"/>
      <c r="M36" s="86"/>
      <c r="N36" s="90"/>
      <c r="O36" s="88"/>
      <c r="P36" s="91"/>
      <c r="Q36" s="91"/>
      <c r="R36" s="92"/>
      <c r="S36" s="88"/>
      <c r="T36" s="92"/>
      <c r="U36" s="92"/>
      <c r="V36" s="92"/>
      <c r="W36" s="94"/>
      <c r="X36" s="94"/>
      <c r="Y36" s="95" t="s">
        <v>188</v>
      </c>
      <c r="Z36" s="93" t="s">
        <v>87</v>
      </c>
      <c r="AA36" s="41"/>
    </row>
    <row r="37" spans="1:27" s="64" customFormat="1" ht="87.5" hidden="1" x14ac:dyDescent="0.25">
      <c r="A37" s="124"/>
      <c r="B37" s="114" t="s">
        <v>109</v>
      </c>
      <c r="C37" s="97" t="s">
        <v>172</v>
      </c>
      <c r="D37" s="86" t="s">
        <v>132</v>
      </c>
      <c r="E37" s="99"/>
      <c r="F37" s="85"/>
      <c r="G37" s="87" t="s">
        <v>211</v>
      </c>
      <c r="H37" s="100"/>
      <c r="I37" s="87" t="s">
        <v>211</v>
      </c>
      <c r="J37" s="85" t="s">
        <v>188</v>
      </c>
      <c r="K37" s="88"/>
      <c r="L37" s="89"/>
      <c r="M37" s="86"/>
      <c r="N37" s="90"/>
      <c r="O37" s="88"/>
      <c r="P37" s="91"/>
      <c r="Q37" s="91"/>
      <c r="R37" s="92"/>
      <c r="S37" s="88"/>
      <c r="T37" s="92"/>
      <c r="U37" s="92"/>
      <c r="V37" s="92"/>
      <c r="W37" s="94"/>
      <c r="X37" s="94"/>
      <c r="Y37" s="95" t="s">
        <v>188</v>
      </c>
      <c r="Z37" s="93" t="s">
        <v>87</v>
      </c>
      <c r="AA37" s="41"/>
    </row>
    <row r="38" spans="1:27" s="64" customFormat="1" ht="87.5" hidden="1" x14ac:dyDescent="0.25">
      <c r="A38" s="124"/>
      <c r="B38" s="114" t="s">
        <v>110</v>
      </c>
      <c r="C38" s="97" t="s">
        <v>173</v>
      </c>
      <c r="D38" s="86" t="s">
        <v>132</v>
      </c>
      <c r="E38" s="99"/>
      <c r="F38" s="85"/>
      <c r="G38" s="87" t="s">
        <v>211</v>
      </c>
      <c r="H38" s="100"/>
      <c r="I38" s="87" t="s">
        <v>211</v>
      </c>
      <c r="J38" s="85" t="s">
        <v>188</v>
      </c>
      <c r="K38" s="88"/>
      <c r="L38" s="89"/>
      <c r="M38" s="86"/>
      <c r="N38" s="90"/>
      <c r="O38" s="88"/>
      <c r="P38" s="91"/>
      <c r="Q38" s="91"/>
      <c r="R38" s="92"/>
      <c r="S38" s="88"/>
      <c r="T38" s="92"/>
      <c r="U38" s="92"/>
      <c r="V38" s="92"/>
      <c r="W38" s="94"/>
      <c r="X38" s="94"/>
      <c r="Y38" s="95" t="s">
        <v>188</v>
      </c>
      <c r="Z38" s="93" t="s">
        <v>87</v>
      </c>
      <c r="AA38" s="41"/>
    </row>
    <row r="39" spans="1:27" s="64" customFormat="1" ht="112.5" hidden="1" x14ac:dyDescent="0.25">
      <c r="A39" s="124"/>
      <c r="B39" s="114" t="s">
        <v>294</v>
      </c>
      <c r="C39" s="97" t="s">
        <v>174</v>
      </c>
      <c r="D39" s="86" t="s">
        <v>133</v>
      </c>
      <c r="E39" s="99"/>
      <c r="F39" s="85"/>
      <c r="G39" s="87" t="s">
        <v>211</v>
      </c>
      <c r="H39" s="100"/>
      <c r="I39" s="87" t="s">
        <v>211</v>
      </c>
      <c r="J39" s="85" t="s">
        <v>188</v>
      </c>
      <c r="K39" s="88"/>
      <c r="L39" s="89"/>
      <c r="M39" s="86"/>
      <c r="N39" s="90"/>
      <c r="O39" s="88"/>
      <c r="P39" s="91"/>
      <c r="Q39" s="91"/>
      <c r="R39" s="92"/>
      <c r="S39" s="88"/>
      <c r="T39" s="92"/>
      <c r="U39" s="92"/>
      <c r="V39" s="92"/>
      <c r="W39" s="94"/>
      <c r="X39" s="94"/>
      <c r="Y39" s="95" t="s">
        <v>188</v>
      </c>
      <c r="Z39" s="93" t="s">
        <v>87</v>
      </c>
      <c r="AA39" s="41"/>
    </row>
    <row r="40" spans="1:27" s="64" customFormat="1" ht="100" hidden="1" x14ac:dyDescent="0.25">
      <c r="A40" s="124"/>
      <c r="B40" s="114" t="s">
        <v>295</v>
      </c>
      <c r="C40" s="97" t="s">
        <v>175</v>
      </c>
      <c r="D40" s="86" t="s">
        <v>134</v>
      </c>
      <c r="E40" s="99"/>
      <c r="F40" s="85"/>
      <c r="G40" s="87" t="s">
        <v>211</v>
      </c>
      <c r="H40" s="100"/>
      <c r="I40" s="87" t="s">
        <v>211</v>
      </c>
      <c r="J40" s="85" t="s">
        <v>188</v>
      </c>
      <c r="K40" s="88"/>
      <c r="L40" s="89"/>
      <c r="M40" s="86"/>
      <c r="N40" s="90"/>
      <c r="O40" s="88"/>
      <c r="P40" s="91"/>
      <c r="Q40" s="91"/>
      <c r="R40" s="92"/>
      <c r="S40" s="88"/>
      <c r="T40" s="92"/>
      <c r="U40" s="92"/>
      <c r="V40" s="92"/>
      <c r="W40" s="94"/>
      <c r="X40" s="94"/>
      <c r="Y40" s="95" t="s">
        <v>188</v>
      </c>
      <c r="Z40" s="93" t="s">
        <v>87</v>
      </c>
      <c r="AA40" s="41"/>
    </row>
    <row r="41" spans="1:27" s="64" customFormat="1" ht="200" hidden="1" x14ac:dyDescent="0.25">
      <c r="A41" s="124"/>
      <c r="B41" s="114" t="s">
        <v>296</v>
      </c>
      <c r="C41" s="97" t="s">
        <v>176</v>
      </c>
      <c r="D41" s="86" t="s">
        <v>122</v>
      </c>
      <c r="E41" s="99"/>
      <c r="F41" s="85"/>
      <c r="G41" s="87" t="s">
        <v>211</v>
      </c>
      <c r="H41" s="100"/>
      <c r="I41" s="87" t="s">
        <v>211</v>
      </c>
      <c r="J41" s="85" t="s">
        <v>194</v>
      </c>
      <c r="K41" s="88"/>
      <c r="L41" s="89"/>
      <c r="M41" s="86"/>
      <c r="N41" s="90"/>
      <c r="O41" s="88"/>
      <c r="P41" s="91"/>
      <c r="Q41" s="91"/>
      <c r="R41" s="92"/>
      <c r="S41" s="88"/>
      <c r="T41" s="92"/>
      <c r="U41" s="92"/>
      <c r="V41" s="92"/>
      <c r="W41" s="94"/>
      <c r="X41" s="94"/>
      <c r="Y41" s="95" t="s">
        <v>208</v>
      </c>
      <c r="Z41" s="93" t="s">
        <v>87</v>
      </c>
      <c r="AA41" s="41"/>
    </row>
    <row r="42" spans="1:27" s="64" customFormat="1" ht="125" hidden="1" x14ac:dyDescent="0.25">
      <c r="A42" s="124"/>
      <c r="B42" s="114" t="s">
        <v>297</v>
      </c>
      <c r="C42" s="97" t="s">
        <v>177</v>
      </c>
      <c r="D42" s="86" t="s">
        <v>135</v>
      </c>
      <c r="E42" s="99"/>
      <c r="F42" s="85"/>
      <c r="G42" s="87" t="s">
        <v>211</v>
      </c>
      <c r="H42" s="100"/>
      <c r="I42" s="87" t="s">
        <v>211</v>
      </c>
      <c r="J42" s="85" t="s">
        <v>197</v>
      </c>
      <c r="K42" s="88"/>
      <c r="L42" s="89"/>
      <c r="M42" s="86"/>
      <c r="N42" s="90"/>
      <c r="O42" s="88"/>
      <c r="P42" s="91"/>
      <c r="Q42" s="91"/>
      <c r="R42" s="92"/>
      <c r="S42" s="88"/>
      <c r="T42" s="92"/>
      <c r="U42" s="92"/>
      <c r="V42" s="92"/>
      <c r="W42" s="94"/>
      <c r="X42" s="94"/>
      <c r="Y42" s="95" t="s">
        <v>197</v>
      </c>
      <c r="Z42" s="93" t="s">
        <v>87</v>
      </c>
      <c r="AA42" s="41"/>
    </row>
    <row r="43" spans="1:27" s="64" customFormat="1" ht="187.5" hidden="1" x14ac:dyDescent="0.25">
      <c r="A43" s="124"/>
      <c r="B43" s="114" t="s">
        <v>298</v>
      </c>
      <c r="C43" s="97" t="s">
        <v>178</v>
      </c>
      <c r="D43" s="86" t="s">
        <v>120</v>
      </c>
      <c r="E43" s="99"/>
      <c r="F43" s="85"/>
      <c r="G43" s="87" t="s">
        <v>211</v>
      </c>
      <c r="H43" s="100"/>
      <c r="I43" s="87" t="s">
        <v>211</v>
      </c>
      <c r="J43" s="85" t="s">
        <v>198</v>
      </c>
      <c r="K43" s="88"/>
      <c r="L43" s="89"/>
      <c r="M43" s="86"/>
      <c r="N43" s="90"/>
      <c r="O43" s="88"/>
      <c r="P43" s="91"/>
      <c r="Q43" s="91"/>
      <c r="R43" s="92"/>
      <c r="S43" s="88"/>
      <c r="T43" s="92"/>
      <c r="U43" s="92"/>
      <c r="V43" s="92"/>
      <c r="W43" s="94"/>
      <c r="X43" s="94"/>
      <c r="Y43" s="95" t="s">
        <v>209</v>
      </c>
      <c r="Z43" s="93" t="s">
        <v>87</v>
      </c>
      <c r="AA43" s="41"/>
    </row>
    <row r="44" spans="1:27" s="64" customFormat="1" ht="87.5" hidden="1" x14ac:dyDescent="0.25">
      <c r="A44" s="124"/>
      <c r="B44" s="114" t="s">
        <v>299</v>
      </c>
      <c r="C44" s="97" t="s">
        <v>179</v>
      </c>
      <c r="D44" s="86" t="s">
        <v>124</v>
      </c>
      <c r="E44" s="99"/>
      <c r="F44" s="85"/>
      <c r="G44" s="87" t="s">
        <v>211</v>
      </c>
      <c r="H44" s="100"/>
      <c r="I44" s="87" t="s">
        <v>211</v>
      </c>
      <c r="J44" s="85" t="s">
        <v>188</v>
      </c>
      <c r="K44" s="88"/>
      <c r="L44" s="89"/>
      <c r="M44" s="86"/>
      <c r="N44" s="90"/>
      <c r="O44" s="88"/>
      <c r="P44" s="91"/>
      <c r="Q44" s="91"/>
      <c r="R44" s="92"/>
      <c r="S44" s="88"/>
      <c r="T44" s="92"/>
      <c r="U44" s="92"/>
      <c r="V44" s="92"/>
      <c r="W44" s="94"/>
      <c r="X44" s="94"/>
      <c r="Y44" s="95" t="s">
        <v>188</v>
      </c>
      <c r="Z44" s="93" t="s">
        <v>87</v>
      </c>
      <c r="AA44" s="41"/>
    </row>
    <row r="45" spans="1:27" s="64" customFormat="1" ht="237.5" hidden="1" x14ac:dyDescent="0.25">
      <c r="A45" s="124"/>
      <c r="B45" s="114" t="s">
        <v>300</v>
      </c>
      <c r="C45" s="97" t="s">
        <v>180</v>
      </c>
      <c r="D45" s="86" t="s">
        <v>136</v>
      </c>
      <c r="E45" s="99"/>
      <c r="F45" s="85"/>
      <c r="G45" s="87" t="s">
        <v>211</v>
      </c>
      <c r="H45" s="100"/>
      <c r="I45" s="87" t="s">
        <v>211</v>
      </c>
      <c r="J45" s="85" t="s">
        <v>199</v>
      </c>
      <c r="K45" s="88"/>
      <c r="L45" s="89"/>
      <c r="M45" s="86"/>
      <c r="N45" s="90"/>
      <c r="O45" s="88"/>
      <c r="P45" s="91"/>
      <c r="Q45" s="91"/>
      <c r="R45" s="92"/>
      <c r="S45" s="88"/>
      <c r="T45" s="92"/>
      <c r="U45" s="92"/>
      <c r="V45" s="92"/>
      <c r="W45" s="94"/>
      <c r="X45" s="94"/>
      <c r="Y45" s="95" t="s">
        <v>210</v>
      </c>
      <c r="Z45" s="93" t="s">
        <v>87</v>
      </c>
      <c r="AA45" s="41"/>
    </row>
    <row r="46" spans="1:27" s="64" customFormat="1" ht="62.5" hidden="1" x14ac:dyDescent="0.25">
      <c r="A46" s="124"/>
      <c r="B46" s="114" t="s">
        <v>111</v>
      </c>
      <c r="C46" s="97" t="s">
        <v>181</v>
      </c>
      <c r="D46" s="86" t="s">
        <v>137</v>
      </c>
      <c r="E46" s="99"/>
      <c r="F46" s="85"/>
      <c r="G46" s="87" t="s">
        <v>211</v>
      </c>
      <c r="H46" s="100"/>
      <c r="I46" s="87" t="s">
        <v>211</v>
      </c>
      <c r="J46" s="85" t="s">
        <v>194</v>
      </c>
      <c r="K46" s="88"/>
      <c r="L46" s="89"/>
      <c r="M46" s="86"/>
      <c r="N46" s="90"/>
      <c r="O46" s="88"/>
      <c r="P46" s="91"/>
      <c r="Q46" s="91"/>
      <c r="R46" s="92"/>
      <c r="S46" s="88"/>
      <c r="T46" s="92"/>
      <c r="U46" s="92"/>
      <c r="V46" s="92"/>
      <c r="W46" s="94"/>
      <c r="X46" s="94"/>
      <c r="Y46" s="95" t="s">
        <v>194</v>
      </c>
      <c r="Z46" s="93" t="s">
        <v>87</v>
      </c>
      <c r="AA46" s="41"/>
    </row>
    <row r="47" spans="1:27" s="64" customFormat="1" ht="75" x14ac:dyDescent="0.25">
      <c r="A47" s="124"/>
      <c r="B47" s="114" t="s">
        <v>112</v>
      </c>
      <c r="C47" s="97" t="s">
        <v>182</v>
      </c>
      <c r="D47" s="86" t="s">
        <v>125</v>
      </c>
      <c r="E47" s="99"/>
      <c r="F47" s="85"/>
      <c r="G47" s="87" t="s">
        <v>211</v>
      </c>
      <c r="H47" s="100"/>
      <c r="I47" s="87" t="s">
        <v>211</v>
      </c>
      <c r="J47" s="85" t="s">
        <v>200</v>
      </c>
      <c r="K47" s="88"/>
      <c r="L47" s="89"/>
      <c r="M47" s="86"/>
      <c r="N47" s="90"/>
      <c r="O47" s="88"/>
      <c r="P47" s="91"/>
      <c r="Q47" s="91"/>
      <c r="R47" s="92"/>
      <c r="S47" s="88"/>
      <c r="T47" s="92"/>
      <c r="U47" s="92"/>
      <c r="V47" s="92"/>
      <c r="W47" s="94"/>
      <c r="X47" s="94"/>
      <c r="Y47" s="95" t="s">
        <v>200</v>
      </c>
      <c r="Z47" s="93" t="s">
        <v>87</v>
      </c>
      <c r="AA47" s="41"/>
    </row>
    <row r="48" spans="1:27" s="64" customFormat="1" ht="125" hidden="1" x14ac:dyDescent="0.25">
      <c r="A48" s="124"/>
      <c r="B48" s="114" t="s">
        <v>113</v>
      </c>
      <c r="C48" s="97" t="s">
        <v>183</v>
      </c>
      <c r="D48" s="86" t="s">
        <v>138</v>
      </c>
      <c r="E48" s="99"/>
      <c r="F48" s="85"/>
      <c r="G48" s="87" t="s">
        <v>211</v>
      </c>
      <c r="H48" s="100"/>
      <c r="I48" s="87" t="s">
        <v>211</v>
      </c>
      <c r="J48" s="85" t="s">
        <v>301</v>
      </c>
      <c r="K48" s="88"/>
      <c r="L48" s="89"/>
      <c r="M48" s="86"/>
      <c r="N48" s="90"/>
      <c r="O48" s="88"/>
      <c r="P48" s="91"/>
      <c r="Q48" s="91"/>
      <c r="R48" s="92"/>
      <c r="S48" s="88"/>
      <c r="T48" s="92"/>
      <c r="U48" s="92"/>
      <c r="V48" s="92"/>
      <c r="W48" s="94"/>
      <c r="X48" s="94"/>
      <c r="Y48" s="95" t="s">
        <v>301</v>
      </c>
      <c r="Z48" s="93" t="s">
        <v>87</v>
      </c>
      <c r="AA48" s="41"/>
    </row>
    <row r="49" spans="1:27" s="64" customFormat="1" ht="87.5" hidden="1" x14ac:dyDescent="0.25">
      <c r="A49" s="124"/>
      <c r="B49" s="114" t="s">
        <v>302</v>
      </c>
      <c r="C49" s="101" t="s">
        <v>212</v>
      </c>
      <c r="D49" s="102" t="s">
        <v>213</v>
      </c>
      <c r="E49" s="103"/>
      <c r="F49" s="85"/>
      <c r="G49" s="87" t="s">
        <v>211</v>
      </c>
      <c r="H49" s="104"/>
      <c r="I49" s="87" t="s">
        <v>211</v>
      </c>
      <c r="J49" s="105" t="s">
        <v>188</v>
      </c>
      <c r="K49" s="106"/>
      <c r="L49" s="107"/>
      <c r="M49" s="102"/>
      <c r="N49" s="108"/>
      <c r="O49" s="106"/>
      <c r="P49" s="109"/>
      <c r="Q49" s="109"/>
      <c r="R49" s="110"/>
      <c r="S49" s="106"/>
      <c r="T49" s="110"/>
      <c r="U49" s="110"/>
      <c r="V49" s="110"/>
      <c r="W49" s="112"/>
      <c r="X49" s="112"/>
      <c r="Y49" s="113" t="s">
        <v>214</v>
      </c>
      <c r="Z49" s="111" t="s">
        <v>87</v>
      </c>
      <c r="AA49" s="41"/>
    </row>
    <row r="50" spans="1:27" s="64" customFormat="1" ht="87.5" hidden="1" x14ac:dyDescent="0.25">
      <c r="A50" s="124"/>
      <c r="B50" s="114" t="s">
        <v>303</v>
      </c>
      <c r="C50" s="101" t="s">
        <v>215</v>
      </c>
      <c r="D50" s="102" t="s">
        <v>216</v>
      </c>
      <c r="E50" s="103"/>
      <c r="F50" s="85"/>
      <c r="G50" s="87" t="s">
        <v>211</v>
      </c>
      <c r="H50" s="104"/>
      <c r="I50" s="87" t="s">
        <v>211</v>
      </c>
      <c r="J50" s="105" t="s">
        <v>188</v>
      </c>
      <c r="K50" s="106"/>
      <c r="L50" s="107"/>
      <c r="M50" s="102"/>
      <c r="N50" s="108"/>
      <c r="O50" s="106"/>
      <c r="P50" s="109"/>
      <c r="Q50" s="109"/>
      <c r="R50" s="110"/>
      <c r="S50" s="106"/>
      <c r="T50" s="110"/>
      <c r="U50" s="110"/>
      <c r="V50" s="110"/>
      <c r="W50" s="112"/>
      <c r="X50" s="112"/>
      <c r="Y50" s="113" t="s">
        <v>217</v>
      </c>
      <c r="Z50" s="111" t="s">
        <v>87</v>
      </c>
      <c r="AA50" s="41"/>
    </row>
    <row r="51" spans="1:27" s="64" customFormat="1" ht="112.5" hidden="1" x14ac:dyDescent="0.25">
      <c r="A51" s="124"/>
      <c r="B51" s="114" t="s">
        <v>303</v>
      </c>
      <c r="C51" s="101" t="s">
        <v>218</v>
      </c>
      <c r="D51" s="102" t="s">
        <v>219</v>
      </c>
      <c r="E51" s="103"/>
      <c r="F51" s="85"/>
      <c r="G51" s="87" t="s">
        <v>211</v>
      </c>
      <c r="H51" s="104"/>
      <c r="I51" s="87" t="s">
        <v>211</v>
      </c>
      <c r="J51" s="105" t="s">
        <v>220</v>
      </c>
      <c r="K51" s="106"/>
      <c r="L51" s="107"/>
      <c r="M51" s="102"/>
      <c r="N51" s="108"/>
      <c r="O51" s="106"/>
      <c r="P51" s="109"/>
      <c r="Q51" s="109"/>
      <c r="R51" s="110"/>
      <c r="S51" s="106"/>
      <c r="T51" s="110"/>
      <c r="U51" s="110"/>
      <c r="V51" s="110"/>
      <c r="W51" s="112"/>
      <c r="X51" s="112"/>
      <c r="Y51" s="113" t="s">
        <v>217</v>
      </c>
      <c r="Z51" s="111" t="s">
        <v>87</v>
      </c>
      <c r="AA51" s="41"/>
    </row>
    <row r="52" spans="1:27" s="64" customFormat="1" ht="87.5" hidden="1" x14ac:dyDescent="0.25">
      <c r="A52" s="124"/>
      <c r="B52" s="114" t="s">
        <v>222</v>
      </c>
      <c r="C52" s="101" t="s">
        <v>221</v>
      </c>
      <c r="D52" s="102" t="s">
        <v>223</v>
      </c>
      <c r="E52" s="103"/>
      <c r="F52" s="85"/>
      <c r="G52" s="87" t="s">
        <v>211</v>
      </c>
      <c r="H52" s="104"/>
      <c r="I52" s="87" t="s">
        <v>211</v>
      </c>
      <c r="J52" s="105" t="s">
        <v>224</v>
      </c>
      <c r="K52" s="106"/>
      <c r="L52" s="107"/>
      <c r="M52" s="102"/>
      <c r="N52" s="108"/>
      <c r="O52" s="106"/>
      <c r="P52" s="109"/>
      <c r="Q52" s="109"/>
      <c r="R52" s="110"/>
      <c r="S52" s="106"/>
      <c r="T52" s="110"/>
      <c r="U52" s="110"/>
      <c r="V52" s="110"/>
      <c r="W52" s="112"/>
      <c r="X52" s="112"/>
      <c r="Y52" s="113" t="s">
        <v>225</v>
      </c>
      <c r="Z52" s="111" t="s">
        <v>87</v>
      </c>
      <c r="AA52" s="41"/>
    </row>
    <row r="53" spans="1:27" s="64" customFormat="1" ht="137.5" hidden="1" x14ac:dyDescent="0.25">
      <c r="A53" s="124"/>
      <c r="B53" s="114" t="s">
        <v>304</v>
      </c>
      <c r="C53" s="101" t="s">
        <v>228</v>
      </c>
      <c r="D53" s="102" t="s">
        <v>118</v>
      </c>
      <c r="E53" s="103"/>
      <c r="F53" s="85"/>
      <c r="G53" s="87" t="s">
        <v>211</v>
      </c>
      <c r="H53" s="104"/>
      <c r="I53" s="87" t="s">
        <v>211</v>
      </c>
      <c r="J53" s="105" t="s">
        <v>227</v>
      </c>
      <c r="K53" s="106"/>
      <c r="L53" s="107"/>
      <c r="M53" s="102"/>
      <c r="N53" s="108"/>
      <c r="O53" s="106"/>
      <c r="P53" s="109"/>
      <c r="Q53" s="109"/>
      <c r="R53" s="110"/>
      <c r="S53" s="106"/>
      <c r="T53" s="110"/>
      <c r="U53" s="110"/>
      <c r="V53" s="110"/>
      <c r="W53" s="112"/>
      <c r="X53" s="112"/>
      <c r="Y53" s="113" t="s">
        <v>226</v>
      </c>
      <c r="Z53" s="111" t="s">
        <v>87</v>
      </c>
      <c r="AA53" s="41"/>
    </row>
    <row r="54" spans="1:27" s="64" customFormat="1" ht="87.5" hidden="1" x14ac:dyDescent="0.25">
      <c r="A54" s="124"/>
      <c r="B54" s="96" t="s">
        <v>229</v>
      </c>
      <c r="C54" s="101" t="s">
        <v>231</v>
      </c>
      <c r="D54" s="102" t="s">
        <v>233</v>
      </c>
      <c r="E54" s="103"/>
      <c r="F54" s="85"/>
      <c r="G54" s="87" t="s">
        <v>211</v>
      </c>
      <c r="H54" s="104"/>
      <c r="I54" s="87" t="s">
        <v>211</v>
      </c>
      <c r="J54" s="105" t="s">
        <v>235</v>
      </c>
      <c r="K54" s="106"/>
      <c r="L54" s="107"/>
      <c r="M54" s="102"/>
      <c r="N54" s="108"/>
      <c r="O54" s="106"/>
      <c r="P54" s="109"/>
      <c r="Q54" s="109"/>
      <c r="R54" s="110"/>
      <c r="S54" s="106"/>
      <c r="T54" s="110"/>
      <c r="U54" s="110"/>
      <c r="V54" s="110"/>
      <c r="W54" s="112"/>
      <c r="X54" s="112"/>
      <c r="Y54" s="113"/>
      <c r="Z54" s="111"/>
      <c r="AA54" s="41"/>
    </row>
    <row r="55" spans="1:27" s="64" customFormat="1" ht="125" hidden="1" x14ac:dyDescent="0.25">
      <c r="A55" s="124"/>
      <c r="B55" s="96" t="s">
        <v>230</v>
      </c>
      <c r="C55" s="101" t="s">
        <v>232</v>
      </c>
      <c r="D55" s="102" t="s">
        <v>234</v>
      </c>
      <c r="E55" s="103"/>
      <c r="F55" s="85"/>
      <c r="G55" s="87" t="s">
        <v>211</v>
      </c>
      <c r="H55" s="104"/>
      <c r="I55" s="87" t="s">
        <v>211</v>
      </c>
      <c r="J55" s="105" t="s">
        <v>236</v>
      </c>
      <c r="K55" s="106"/>
      <c r="L55" s="107"/>
      <c r="M55" s="102"/>
      <c r="N55" s="108"/>
      <c r="O55" s="106"/>
      <c r="P55" s="109"/>
      <c r="Q55" s="109"/>
      <c r="R55" s="110"/>
      <c r="S55" s="106"/>
      <c r="T55" s="110"/>
      <c r="U55" s="110"/>
      <c r="V55" s="110"/>
      <c r="W55" s="112"/>
      <c r="X55" s="112"/>
      <c r="Y55" s="113"/>
      <c r="Z55" s="111"/>
      <c r="AA55" s="41"/>
    </row>
    <row r="56" spans="1:27" s="64" customFormat="1" ht="112.5" hidden="1" x14ac:dyDescent="0.25">
      <c r="A56" s="124"/>
      <c r="B56" s="114" t="s">
        <v>245</v>
      </c>
      <c r="C56" s="101" t="s">
        <v>237</v>
      </c>
      <c r="D56" s="102" t="s">
        <v>246</v>
      </c>
      <c r="E56" s="103"/>
      <c r="F56" s="85"/>
      <c r="G56" s="87" t="s">
        <v>211</v>
      </c>
      <c r="H56" s="104"/>
      <c r="I56" s="87" t="s">
        <v>211</v>
      </c>
      <c r="J56" s="105" t="s">
        <v>250</v>
      </c>
      <c r="K56" s="106"/>
      <c r="L56" s="107"/>
      <c r="M56" s="102"/>
      <c r="N56" s="108"/>
      <c r="O56" s="106"/>
      <c r="P56" s="109"/>
      <c r="Q56" s="109"/>
      <c r="R56" s="110"/>
      <c r="S56" s="106"/>
      <c r="T56" s="110"/>
      <c r="U56" s="110"/>
      <c r="V56" s="110"/>
      <c r="W56" s="112"/>
      <c r="X56" s="112"/>
      <c r="Y56" s="113"/>
      <c r="Z56" s="111"/>
      <c r="AA56" s="41"/>
    </row>
    <row r="57" spans="1:27" s="64" customFormat="1" ht="125" hidden="1" x14ac:dyDescent="0.25">
      <c r="A57" s="124"/>
      <c r="B57" s="114" t="s">
        <v>305</v>
      </c>
      <c r="C57" s="101" t="s">
        <v>238</v>
      </c>
      <c r="D57" s="102" t="s">
        <v>117</v>
      </c>
      <c r="E57" s="103"/>
      <c r="F57" s="85"/>
      <c r="G57" s="87" t="s">
        <v>211</v>
      </c>
      <c r="H57" s="104"/>
      <c r="I57" s="105"/>
      <c r="J57" s="105" t="s">
        <v>250</v>
      </c>
      <c r="K57" s="106"/>
      <c r="L57" s="107"/>
      <c r="M57" s="102"/>
      <c r="N57" s="108"/>
      <c r="O57" s="106"/>
      <c r="P57" s="109"/>
      <c r="Q57" s="109"/>
      <c r="R57" s="110"/>
      <c r="S57" s="106"/>
      <c r="T57" s="110"/>
      <c r="U57" s="110"/>
      <c r="V57" s="110"/>
      <c r="W57" s="112"/>
      <c r="X57" s="112"/>
      <c r="Y57" s="113"/>
      <c r="Z57" s="111"/>
      <c r="AA57" s="41"/>
    </row>
    <row r="58" spans="1:27" s="64" customFormat="1" ht="125" hidden="1" x14ac:dyDescent="0.25">
      <c r="A58" s="124"/>
      <c r="B58" s="114" t="s">
        <v>306</v>
      </c>
      <c r="C58" s="101" t="s">
        <v>239</v>
      </c>
      <c r="D58" s="102" t="s">
        <v>116</v>
      </c>
      <c r="E58" s="103"/>
      <c r="F58" s="85"/>
      <c r="G58" s="87" t="s">
        <v>211</v>
      </c>
      <c r="H58" s="104"/>
      <c r="I58" s="105"/>
      <c r="J58" s="105" t="s">
        <v>250</v>
      </c>
      <c r="K58" s="106"/>
      <c r="L58" s="107"/>
      <c r="M58" s="102"/>
      <c r="N58" s="108"/>
      <c r="O58" s="106"/>
      <c r="P58" s="109"/>
      <c r="Q58" s="109"/>
      <c r="R58" s="110"/>
      <c r="S58" s="106"/>
      <c r="T58" s="110"/>
      <c r="U58" s="110"/>
      <c r="V58" s="110"/>
      <c r="W58" s="112"/>
      <c r="X58" s="112"/>
      <c r="Y58" s="113"/>
      <c r="Z58" s="111"/>
      <c r="AA58" s="41"/>
    </row>
    <row r="59" spans="1:27" s="64" customFormat="1" ht="125" hidden="1" x14ac:dyDescent="0.25">
      <c r="A59" s="124"/>
      <c r="B59" s="114" t="s">
        <v>307</v>
      </c>
      <c r="C59" s="101" t="s">
        <v>240</v>
      </c>
      <c r="D59" s="102" t="s">
        <v>120</v>
      </c>
      <c r="E59" s="103"/>
      <c r="F59" s="85"/>
      <c r="G59" s="87" t="s">
        <v>211</v>
      </c>
      <c r="H59" s="104"/>
      <c r="I59" s="105"/>
      <c r="J59" s="105" t="s">
        <v>250</v>
      </c>
      <c r="K59" s="106"/>
      <c r="L59" s="107"/>
      <c r="M59" s="102"/>
      <c r="N59" s="108"/>
      <c r="O59" s="106"/>
      <c r="P59" s="109"/>
      <c r="Q59" s="109"/>
      <c r="R59" s="110"/>
      <c r="S59" s="106"/>
      <c r="T59" s="110"/>
      <c r="U59" s="110"/>
      <c r="V59" s="110"/>
      <c r="W59" s="112"/>
      <c r="X59" s="112"/>
      <c r="Y59" s="113"/>
      <c r="Z59" s="111"/>
      <c r="AA59" s="41"/>
    </row>
    <row r="60" spans="1:27" s="64" customFormat="1" ht="112.5" hidden="1" x14ac:dyDescent="0.25">
      <c r="A60" s="124"/>
      <c r="B60" s="114" t="s">
        <v>308</v>
      </c>
      <c r="C60" s="101" t="s">
        <v>241</v>
      </c>
      <c r="D60" s="102" t="s">
        <v>247</v>
      </c>
      <c r="E60" s="103"/>
      <c r="F60" s="85"/>
      <c r="G60" s="87" t="s">
        <v>211</v>
      </c>
      <c r="H60" s="104"/>
      <c r="I60" s="105"/>
      <c r="J60" s="105" t="s">
        <v>251</v>
      </c>
      <c r="K60" s="106"/>
      <c r="L60" s="107"/>
      <c r="M60" s="102"/>
      <c r="N60" s="108"/>
      <c r="O60" s="106"/>
      <c r="P60" s="109"/>
      <c r="Q60" s="109"/>
      <c r="R60" s="110"/>
      <c r="S60" s="106"/>
      <c r="T60" s="110"/>
      <c r="U60" s="110"/>
      <c r="V60" s="110"/>
      <c r="W60" s="112"/>
      <c r="X60" s="112"/>
      <c r="Y60" s="113"/>
      <c r="Z60" s="111"/>
      <c r="AA60" s="41"/>
    </row>
    <row r="61" spans="1:27" s="64" customFormat="1" ht="100" hidden="1" x14ac:dyDescent="0.25">
      <c r="A61" s="124"/>
      <c r="B61" s="114" t="s">
        <v>309</v>
      </c>
      <c r="C61" s="101" t="s">
        <v>242</v>
      </c>
      <c r="D61" s="102" t="s">
        <v>248</v>
      </c>
      <c r="E61" s="103"/>
      <c r="F61" s="85"/>
      <c r="G61" s="87" t="s">
        <v>211</v>
      </c>
      <c r="H61" s="104"/>
      <c r="I61" s="105"/>
      <c r="J61" s="105" t="s">
        <v>251</v>
      </c>
      <c r="K61" s="106"/>
      <c r="L61" s="107"/>
      <c r="M61" s="102"/>
      <c r="N61" s="108"/>
      <c r="O61" s="106"/>
      <c r="P61" s="109"/>
      <c r="Q61" s="109"/>
      <c r="R61" s="110"/>
      <c r="S61" s="106"/>
      <c r="T61" s="110"/>
      <c r="U61" s="110"/>
      <c r="V61" s="110"/>
      <c r="W61" s="112"/>
      <c r="X61" s="112"/>
      <c r="Y61" s="113"/>
      <c r="Z61" s="111"/>
      <c r="AA61" s="41"/>
    </row>
    <row r="62" spans="1:27" s="64" customFormat="1" ht="112.5" hidden="1" x14ac:dyDescent="0.25">
      <c r="A62" s="124"/>
      <c r="B62" s="114" t="s">
        <v>310</v>
      </c>
      <c r="C62" s="101" t="s">
        <v>243</v>
      </c>
      <c r="D62" s="102" t="s">
        <v>248</v>
      </c>
      <c r="E62" s="103"/>
      <c r="F62" s="85"/>
      <c r="G62" s="87" t="s">
        <v>211</v>
      </c>
      <c r="H62" s="104"/>
      <c r="I62" s="105"/>
      <c r="J62" s="105" t="s">
        <v>250</v>
      </c>
      <c r="K62" s="106"/>
      <c r="L62" s="107"/>
      <c r="M62" s="102"/>
      <c r="N62" s="108"/>
      <c r="O62" s="106"/>
      <c r="P62" s="109"/>
      <c r="Q62" s="109"/>
      <c r="R62" s="110"/>
      <c r="S62" s="106"/>
      <c r="T62" s="110"/>
      <c r="U62" s="110"/>
      <c r="V62" s="110"/>
      <c r="W62" s="112"/>
      <c r="X62" s="112"/>
      <c r="Y62" s="113"/>
      <c r="Z62" s="111"/>
      <c r="AA62" s="41"/>
    </row>
    <row r="63" spans="1:27" s="64" customFormat="1" ht="112.5" hidden="1" x14ac:dyDescent="0.25">
      <c r="A63" s="124"/>
      <c r="B63" s="114" t="s">
        <v>311</v>
      </c>
      <c r="C63" s="101" t="s">
        <v>244</v>
      </c>
      <c r="D63" s="102" t="s">
        <v>249</v>
      </c>
      <c r="E63" s="103"/>
      <c r="F63" s="85"/>
      <c r="G63" s="87" t="s">
        <v>211</v>
      </c>
      <c r="H63" s="104"/>
      <c r="I63" s="105"/>
      <c r="J63" s="105" t="s">
        <v>250</v>
      </c>
      <c r="K63" s="106"/>
      <c r="L63" s="107"/>
      <c r="M63" s="102"/>
      <c r="N63" s="108"/>
      <c r="O63" s="106"/>
      <c r="P63" s="109"/>
      <c r="Q63" s="109"/>
      <c r="R63" s="110"/>
      <c r="S63" s="106"/>
      <c r="T63" s="110"/>
      <c r="U63" s="110"/>
      <c r="V63" s="110"/>
      <c r="W63" s="112"/>
      <c r="X63" s="112"/>
      <c r="Y63" s="113"/>
      <c r="Z63" s="111"/>
      <c r="AA63" s="41"/>
    </row>
    <row r="64" spans="1:27" s="64" customFormat="1" ht="100" hidden="1" x14ac:dyDescent="0.25">
      <c r="A64" s="124"/>
      <c r="B64" s="114" t="s">
        <v>259</v>
      </c>
      <c r="C64" s="101" t="s">
        <v>254</v>
      </c>
      <c r="D64" s="102" t="s">
        <v>137</v>
      </c>
      <c r="E64" s="103"/>
      <c r="F64" s="85"/>
      <c r="G64" s="87" t="s">
        <v>211</v>
      </c>
      <c r="H64" s="104"/>
      <c r="I64" s="105"/>
      <c r="J64" s="105" t="s">
        <v>264</v>
      </c>
      <c r="K64" s="106"/>
      <c r="L64" s="107"/>
      <c r="M64" s="102"/>
      <c r="N64" s="108"/>
      <c r="O64" s="106"/>
      <c r="P64" s="109"/>
      <c r="Q64" s="109"/>
      <c r="R64" s="110"/>
      <c r="S64" s="106"/>
      <c r="T64" s="110"/>
      <c r="U64" s="110"/>
      <c r="V64" s="110"/>
      <c r="W64" s="112"/>
      <c r="X64" s="112"/>
      <c r="Y64" s="113"/>
      <c r="Z64" s="111"/>
      <c r="AA64" s="41"/>
    </row>
    <row r="65" spans="1:27" s="64" customFormat="1" ht="200" hidden="1" x14ac:dyDescent="0.25">
      <c r="A65" s="124"/>
      <c r="B65" s="114" t="s">
        <v>312</v>
      </c>
      <c r="C65" s="101" t="s">
        <v>255</v>
      </c>
      <c r="D65" s="102" t="s">
        <v>262</v>
      </c>
      <c r="E65" s="103"/>
      <c r="F65" s="85"/>
      <c r="G65" s="87" t="s">
        <v>211</v>
      </c>
      <c r="H65" s="104"/>
      <c r="I65" s="105"/>
      <c r="J65" s="105" t="s">
        <v>265</v>
      </c>
      <c r="K65" s="106"/>
      <c r="L65" s="107"/>
      <c r="M65" s="102"/>
      <c r="N65" s="108"/>
      <c r="O65" s="106"/>
      <c r="P65" s="109"/>
      <c r="Q65" s="109"/>
      <c r="R65" s="110"/>
      <c r="S65" s="106"/>
      <c r="T65" s="110"/>
      <c r="U65" s="110"/>
      <c r="V65" s="110"/>
      <c r="W65" s="112"/>
      <c r="X65" s="112"/>
      <c r="Y65" s="113"/>
      <c r="Z65" s="111"/>
      <c r="AA65" s="41"/>
    </row>
    <row r="66" spans="1:27" s="64" customFormat="1" ht="100" hidden="1" x14ac:dyDescent="0.25">
      <c r="A66" s="124"/>
      <c r="B66" s="114" t="s">
        <v>313</v>
      </c>
      <c r="C66" s="101" t="s">
        <v>256</v>
      </c>
      <c r="D66" s="102" t="s">
        <v>219</v>
      </c>
      <c r="E66" s="103"/>
      <c r="F66" s="85"/>
      <c r="G66" s="87" t="s">
        <v>211</v>
      </c>
      <c r="H66" s="104"/>
      <c r="I66" s="105"/>
      <c r="J66" s="105" t="s">
        <v>266</v>
      </c>
      <c r="K66" s="106"/>
      <c r="L66" s="107"/>
      <c r="M66" s="102"/>
      <c r="N66" s="108"/>
      <c r="O66" s="106"/>
      <c r="P66" s="109"/>
      <c r="Q66" s="109"/>
      <c r="R66" s="110"/>
      <c r="S66" s="106"/>
      <c r="T66" s="110"/>
      <c r="U66" s="110"/>
      <c r="V66" s="110"/>
      <c r="W66" s="112"/>
      <c r="X66" s="112"/>
      <c r="Y66" s="113"/>
      <c r="Z66" s="111"/>
      <c r="AA66" s="41"/>
    </row>
    <row r="67" spans="1:27" s="64" customFormat="1" ht="100" hidden="1" x14ac:dyDescent="0.25">
      <c r="A67" s="124"/>
      <c r="B67" s="114" t="s">
        <v>260</v>
      </c>
      <c r="C67" s="101" t="s">
        <v>257</v>
      </c>
      <c r="D67" s="102" t="s">
        <v>263</v>
      </c>
      <c r="E67" s="103"/>
      <c r="F67" s="85"/>
      <c r="G67" s="87" t="s">
        <v>211</v>
      </c>
      <c r="H67" s="104"/>
      <c r="I67" s="105"/>
      <c r="J67" s="105" t="s">
        <v>195</v>
      </c>
      <c r="K67" s="106"/>
      <c r="L67" s="107"/>
      <c r="M67" s="102"/>
      <c r="N67" s="108"/>
      <c r="O67" s="106"/>
      <c r="P67" s="109"/>
      <c r="Q67" s="109"/>
      <c r="R67" s="110"/>
      <c r="S67" s="106"/>
      <c r="T67" s="110"/>
      <c r="U67" s="110"/>
      <c r="V67" s="110"/>
      <c r="W67" s="112"/>
      <c r="X67" s="112"/>
      <c r="Y67" s="113"/>
      <c r="Z67" s="111"/>
      <c r="AA67" s="41"/>
    </row>
    <row r="68" spans="1:27" s="64" customFormat="1" ht="100" hidden="1" x14ac:dyDescent="0.25">
      <c r="A68" s="124"/>
      <c r="B68" s="114" t="s">
        <v>261</v>
      </c>
      <c r="C68" s="101" t="s">
        <v>258</v>
      </c>
      <c r="D68" s="102" t="s">
        <v>263</v>
      </c>
      <c r="E68" s="103"/>
      <c r="F68" s="85"/>
      <c r="G68" s="87" t="s">
        <v>211</v>
      </c>
      <c r="H68" s="104"/>
      <c r="I68" s="105"/>
      <c r="J68" s="105" t="s">
        <v>195</v>
      </c>
      <c r="K68" s="106"/>
      <c r="L68" s="107"/>
      <c r="M68" s="102"/>
      <c r="N68" s="108"/>
      <c r="O68" s="106"/>
      <c r="P68" s="109"/>
      <c r="Q68" s="109"/>
      <c r="R68" s="110"/>
      <c r="S68" s="106"/>
      <c r="T68" s="110"/>
      <c r="U68" s="110"/>
      <c r="V68" s="110"/>
      <c r="W68" s="112"/>
      <c r="X68" s="112"/>
      <c r="Y68" s="113"/>
      <c r="Z68" s="111"/>
      <c r="AA68" s="41"/>
    </row>
  </sheetData>
  <autoFilter ref="A1:AA68">
    <filterColumn colId="1">
      <filters>
        <filter val="Air Cooled Chiller"/>
        <filter val="Chiller"/>
      </filters>
    </filterColumn>
  </autoFilter>
  <dataValidations count="1">
    <dataValidation type="list" allowBlank="1" showInputMessage="1" showErrorMessage="1" sqref="F1:F68">
      <formula1>$F$3:$F$9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'Dropdown lists'!$H$4:$H$21</xm:f>
          </x14:formula1>
          <xm:sqref>G1:G68 I2:I56</xm:sqref>
        </x14:dataValidation>
        <x14:dataValidation type="list" allowBlank="1" showInputMessage="1" showErrorMessage="1">
          <x14:formula1>
            <xm:f>'Dropdown lists'!$L$4:$L$26</xm:f>
          </x14:formula1>
          <xm:sqref>I1 I57:I68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B2:AH64"/>
  <sheetViews>
    <sheetView workbookViewId="0">
      <selection activeCell="P12" sqref="P12"/>
    </sheetView>
  </sheetViews>
  <sheetFormatPr defaultRowHeight="12.5" x14ac:dyDescent="0.25"/>
  <cols>
    <col min="8" max="8" width="13.54296875" bestFit="1" customWidth="1"/>
    <col min="12" max="12" width="14.54296875" bestFit="1" customWidth="1"/>
    <col min="13" max="13" width="12" bestFit="1" customWidth="1"/>
    <col min="17" max="17" width="11.54296875" bestFit="1" customWidth="1"/>
    <col min="18" max="18" width="14.1796875" customWidth="1"/>
  </cols>
  <sheetData>
    <row r="2" spans="2:34" s="15" customFormat="1" x14ac:dyDescent="0.25">
      <c r="F2" s="24"/>
      <c r="H2" s="27"/>
      <c r="I2" s="36"/>
      <c r="K2" s="26"/>
      <c r="L2" s="26"/>
      <c r="M2" s="26"/>
      <c r="N2" s="19"/>
      <c r="O2" s="28"/>
      <c r="P2" s="34"/>
      <c r="Q2" s="19"/>
      <c r="R2" s="17"/>
      <c r="S2" s="18"/>
      <c r="T2" s="6"/>
      <c r="U2" s="29"/>
      <c r="V2" s="29"/>
      <c r="W2" s="29"/>
      <c r="X2" s="29"/>
      <c r="Y2" s="29"/>
      <c r="Z2" s="30"/>
      <c r="AA2" s="30"/>
      <c r="AB2" s="6"/>
      <c r="AC2" s="6"/>
      <c r="AD2" s="6"/>
      <c r="AE2" s="6"/>
      <c r="AF2" s="6"/>
      <c r="AG2" s="6"/>
      <c r="AH2" s="6"/>
    </row>
    <row r="3" spans="2:34" s="15" customFormat="1" ht="13" x14ac:dyDescent="0.3">
      <c r="B3" s="4" t="s">
        <v>35</v>
      </c>
      <c r="D3" s="200" t="s">
        <v>7</v>
      </c>
      <c r="E3" s="200" t="s">
        <v>74</v>
      </c>
      <c r="F3" s="201"/>
      <c r="G3" s="200"/>
      <c r="H3" s="202" t="s">
        <v>28</v>
      </c>
      <c r="I3" s="203"/>
      <c r="J3" s="200" t="s">
        <v>36</v>
      </c>
      <c r="K3" s="204"/>
      <c r="L3" s="199" t="s">
        <v>29</v>
      </c>
      <c r="M3" s="204" t="s">
        <v>326</v>
      </c>
      <c r="N3" s="205"/>
      <c r="O3" s="206" t="s">
        <v>80</v>
      </c>
      <c r="P3" s="34"/>
      <c r="Q3" s="19"/>
      <c r="R3" s="17" t="s">
        <v>46</v>
      </c>
      <c r="S3" s="18"/>
      <c r="T3" s="6"/>
      <c r="U3" s="29"/>
      <c r="V3" s="29"/>
      <c r="W3" s="29"/>
      <c r="X3" s="29"/>
      <c r="Y3" s="29"/>
      <c r="Z3" s="30"/>
      <c r="AA3" s="30"/>
      <c r="AB3" s="6"/>
      <c r="AC3" s="6"/>
      <c r="AD3" s="6"/>
      <c r="AE3" s="6"/>
      <c r="AF3" s="6"/>
      <c r="AG3" s="6"/>
      <c r="AH3" s="6"/>
    </row>
    <row r="4" spans="2:34" s="15" customFormat="1" ht="23" x14ac:dyDescent="0.25">
      <c r="D4" s="211" t="s">
        <v>329</v>
      </c>
      <c r="E4" s="208" t="s">
        <v>75</v>
      </c>
      <c r="F4" s="24"/>
      <c r="H4" s="216" t="s">
        <v>342</v>
      </c>
      <c r="I4" s="36"/>
      <c r="J4" s="15" t="s">
        <v>14</v>
      </c>
      <c r="K4" s="26"/>
      <c r="L4" s="255" t="s">
        <v>47</v>
      </c>
      <c r="M4" s="26" t="s">
        <v>14</v>
      </c>
      <c r="N4" s="19"/>
      <c r="O4" s="83">
        <v>1</v>
      </c>
      <c r="P4" s="34"/>
      <c r="Q4" s="19"/>
      <c r="R4" s="213" t="s">
        <v>274</v>
      </c>
      <c r="S4" s="18"/>
      <c r="T4" s="6"/>
      <c r="U4" s="29"/>
      <c r="V4" s="29"/>
      <c r="W4" s="29"/>
      <c r="X4" s="29"/>
      <c r="Y4" s="29"/>
      <c r="Z4" s="30"/>
      <c r="AA4" s="30"/>
      <c r="AB4" s="6"/>
      <c r="AC4" s="6"/>
      <c r="AD4" s="6"/>
      <c r="AE4" s="6"/>
      <c r="AF4" s="6"/>
      <c r="AG4" s="6"/>
      <c r="AH4" s="6"/>
    </row>
    <row r="5" spans="2:34" s="15" customFormat="1" ht="23" x14ac:dyDescent="0.25">
      <c r="D5" s="211" t="s">
        <v>330</v>
      </c>
      <c r="E5" s="208" t="s">
        <v>66</v>
      </c>
      <c r="F5" s="24"/>
      <c r="H5" s="216" t="s">
        <v>15</v>
      </c>
      <c r="I5" s="36"/>
      <c r="J5" s="15" t="s">
        <v>16</v>
      </c>
      <c r="K5" s="26"/>
      <c r="L5" s="255" t="s">
        <v>322</v>
      </c>
      <c r="M5" s="26" t="s">
        <v>34</v>
      </c>
      <c r="N5" s="19"/>
      <c r="O5" s="83">
        <v>2</v>
      </c>
      <c r="P5" s="34"/>
      <c r="Q5" s="19"/>
      <c r="R5" s="213" t="s">
        <v>317</v>
      </c>
      <c r="S5" s="18"/>
      <c r="T5" s="6"/>
      <c r="U5" s="29"/>
      <c r="V5" s="29"/>
      <c r="W5" s="29"/>
      <c r="X5" s="29"/>
      <c r="Y5" s="29"/>
      <c r="Z5" s="30"/>
      <c r="AA5" s="30"/>
      <c r="AB5" s="6"/>
      <c r="AC5" s="6"/>
      <c r="AD5" s="6"/>
      <c r="AE5" s="6"/>
      <c r="AF5" s="6"/>
      <c r="AG5" s="6"/>
      <c r="AH5" s="6"/>
    </row>
    <row r="6" spans="2:34" s="15" customFormat="1" ht="25" x14ac:dyDescent="0.25">
      <c r="D6" s="211" t="s">
        <v>331</v>
      </c>
      <c r="E6" s="207" t="s">
        <v>327</v>
      </c>
      <c r="F6" s="24"/>
      <c r="H6" s="216" t="s">
        <v>343</v>
      </c>
      <c r="I6" s="36"/>
      <c r="K6" s="26"/>
      <c r="L6" s="256" t="s">
        <v>321</v>
      </c>
      <c r="M6" s="26"/>
      <c r="N6" s="19"/>
      <c r="O6" s="83"/>
      <c r="P6" s="34"/>
      <c r="Q6" s="19"/>
      <c r="R6" s="213" t="s">
        <v>41</v>
      </c>
      <c r="S6" s="18"/>
      <c r="T6" s="6"/>
      <c r="U6" s="29"/>
      <c r="V6" s="29"/>
      <c r="W6" s="29"/>
      <c r="X6" s="29"/>
      <c r="Y6" s="29"/>
      <c r="Z6" s="30"/>
      <c r="AA6" s="30"/>
      <c r="AB6" s="6"/>
      <c r="AC6" s="6"/>
      <c r="AD6" s="6"/>
      <c r="AE6" s="6"/>
      <c r="AF6" s="6"/>
      <c r="AG6" s="6"/>
      <c r="AH6" s="6"/>
    </row>
    <row r="7" spans="2:34" s="15" customFormat="1" ht="37.5" customHeight="1" x14ac:dyDescent="0.25">
      <c r="D7" s="211" t="s">
        <v>332</v>
      </c>
      <c r="E7" s="208" t="s">
        <v>76</v>
      </c>
      <c r="F7" s="24"/>
      <c r="H7" s="216" t="s">
        <v>25</v>
      </c>
      <c r="I7" s="36"/>
      <c r="K7" s="26"/>
      <c r="L7" s="256" t="s">
        <v>353</v>
      </c>
      <c r="M7" s="26" t="s">
        <v>1</v>
      </c>
      <c r="N7" s="19"/>
      <c r="O7" s="83">
        <v>3</v>
      </c>
      <c r="P7" s="34"/>
      <c r="Q7" s="19"/>
      <c r="R7" s="213" t="s">
        <v>275</v>
      </c>
      <c r="S7" s="18"/>
      <c r="T7" s="6"/>
      <c r="U7" s="29"/>
      <c r="V7" s="29"/>
      <c r="W7" s="29"/>
      <c r="X7" s="29"/>
      <c r="Y7" s="29"/>
      <c r="Z7" s="30"/>
      <c r="AA7" s="30"/>
      <c r="AB7" s="6"/>
      <c r="AC7" s="6"/>
      <c r="AD7" s="6"/>
      <c r="AE7" s="6"/>
      <c r="AF7" s="6"/>
      <c r="AG7" s="6"/>
      <c r="AH7" s="6"/>
    </row>
    <row r="8" spans="2:34" s="15" customFormat="1" ht="51.65" customHeight="1" x14ac:dyDescent="0.25">
      <c r="D8" s="211" t="s">
        <v>334</v>
      </c>
      <c r="E8" s="208" t="s">
        <v>77</v>
      </c>
      <c r="F8" s="24"/>
      <c r="H8" s="216" t="s">
        <v>27</v>
      </c>
      <c r="I8" s="36"/>
      <c r="K8" s="26"/>
      <c r="L8" s="256" t="s">
        <v>324</v>
      </c>
      <c r="M8" s="26" t="s">
        <v>325</v>
      </c>
      <c r="N8" s="19"/>
      <c r="P8" s="34"/>
      <c r="R8" s="213" t="s">
        <v>339</v>
      </c>
      <c r="S8" s="18"/>
      <c r="T8" s="6"/>
      <c r="U8" s="29"/>
      <c r="V8" s="29"/>
      <c r="W8" s="29"/>
      <c r="X8" s="29"/>
      <c r="Y8" s="29"/>
      <c r="Z8" s="30"/>
      <c r="AA8" s="30"/>
      <c r="AB8" s="6"/>
      <c r="AC8" s="6"/>
      <c r="AD8" s="6"/>
      <c r="AE8" s="6"/>
      <c r="AF8" s="6"/>
      <c r="AG8" s="6"/>
      <c r="AH8" s="6"/>
    </row>
    <row r="9" spans="2:34" s="15" customFormat="1" ht="25" x14ac:dyDescent="0.25">
      <c r="D9" s="211" t="s">
        <v>335</v>
      </c>
      <c r="E9" s="207" t="s">
        <v>78</v>
      </c>
      <c r="F9" s="24"/>
      <c r="H9" s="216" t="s">
        <v>30</v>
      </c>
      <c r="I9" s="36"/>
      <c r="J9" s="15" t="s">
        <v>0</v>
      </c>
      <c r="K9" s="26"/>
      <c r="L9" s="256" t="s">
        <v>355</v>
      </c>
      <c r="N9" s="19"/>
      <c r="P9" s="34"/>
      <c r="R9" s="213" t="s">
        <v>347</v>
      </c>
      <c r="S9" s="18"/>
      <c r="T9" s="6"/>
      <c r="U9" s="29"/>
      <c r="V9" s="29"/>
      <c r="W9" s="29"/>
      <c r="X9" s="29"/>
      <c r="Y9" s="29"/>
      <c r="Z9" s="30"/>
      <c r="AA9" s="30"/>
      <c r="AB9" s="6"/>
      <c r="AC9" s="6"/>
      <c r="AD9" s="6"/>
      <c r="AE9" s="6"/>
      <c r="AF9" s="6"/>
      <c r="AG9" s="6"/>
      <c r="AH9" s="6"/>
    </row>
    <row r="10" spans="2:34" s="15" customFormat="1" ht="34.5" x14ac:dyDescent="0.25">
      <c r="D10" s="211" t="s">
        <v>336</v>
      </c>
      <c r="E10" s="208" t="s">
        <v>328</v>
      </c>
      <c r="F10" s="24"/>
      <c r="H10" s="216" t="s">
        <v>31</v>
      </c>
      <c r="I10" s="36"/>
      <c r="K10" s="26"/>
      <c r="L10" s="255" t="s">
        <v>17</v>
      </c>
      <c r="M10" s="26"/>
      <c r="N10" s="19"/>
      <c r="O10" s="28"/>
      <c r="P10" s="34"/>
      <c r="Q10" s="19"/>
      <c r="R10" s="213" t="s">
        <v>85</v>
      </c>
      <c r="S10" s="18"/>
      <c r="T10" s="6"/>
      <c r="U10" s="29"/>
      <c r="V10" s="29"/>
      <c r="W10" s="29"/>
      <c r="X10" s="29"/>
      <c r="Y10" s="29"/>
      <c r="Z10" s="30"/>
      <c r="AA10" s="30"/>
      <c r="AB10" s="6"/>
      <c r="AC10" s="6"/>
      <c r="AD10" s="6"/>
      <c r="AE10" s="6"/>
      <c r="AF10" s="6"/>
      <c r="AG10" s="6"/>
      <c r="AH10" s="6"/>
    </row>
    <row r="11" spans="2:34" s="15" customFormat="1" ht="30.65" customHeight="1" x14ac:dyDescent="0.25">
      <c r="D11" s="211" t="s">
        <v>337</v>
      </c>
      <c r="E11" s="208" t="s">
        <v>333</v>
      </c>
      <c r="F11" s="24"/>
      <c r="H11" s="216"/>
      <c r="I11" s="36"/>
      <c r="K11" s="26"/>
      <c r="L11" s="255" t="s">
        <v>354</v>
      </c>
      <c r="M11" s="26"/>
      <c r="N11" s="19"/>
      <c r="O11" s="28"/>
      <c r="P11" s="34"/>
      <c r="Q11" s="19"/>
      <c r="R11" s="213" t="s">
        <v>252</v>
      </c>
      <c r="S11" s="18"/>
      <c r="T11" s="6"/>
      <c r="U11" s="29"/>
      <c r="V11" s="29"/>
      <c r="W11" s="29"/>
      <c r="X11" s="29"/>
      <c r="Y11" s="29"/>
      <c r="Z11" s="30"/>
      <c r="AA11" s="30"/>
      <c r="AB11" s="6"/>
      <c r="AC11" s="6"/>
      <c r="AD11" s="6"/>
      <c r="AE11" s="6"/>
      <c r="AF11" s="6"/>
      <c r="AG11" s="6"/>
      <c r="AH11" s="6"/>
    </row>
    <row r="12" spans="2:34" s="15" customFormat="1" ht="30.65" customHeight="1" x14ac:dyDescent="0.25">
      <c r="D12" s="211" t="s">
        <v>388</v>
      </c>
      <c r="E12" s="208" t="s">
        <v>388</v>
      </c>
      <c r="F12" s="24"/>
      <c r="H12" s="216"/>
      <c r="I12" s="36"/>
      <c r="K12" s="26"/>
      <c r="L12" s="255"/>
      <c r="M12" s="26"/>
      <c r="N12" s="19"/>
      <c r="O12" s="28"/>
      <c r="P12" s="34"/>
      <c r="Q12" s="19"/>
      <c r="R12" s="213"/>
      <c r="S12" s="18"/>
      <c r="T12" s="6"/>
      <c r="U12" s="29"/>
      <c r="V12" s="29"/>
      <c r="W12" s="29"/>
      <c r="X12" s="29"/>
      <c r="Y12" s="29"/>
      <c r="Z12" s="30"/>
      <c r="AA12" s="30"/>
      <c r="AB12" s="6"/>
      <c r="AC12" s="6"/>
      <c r="AD12" s="6"/>
      <c r="AE12" s="6"/>
      <c r="AF12" s="6"/>
      <c r="AG12" s="6"/>
      <c r="AH12" s="6"/>
    </row>
    <row r="13" spans="2:34" s="15" customFormat="1" x14ac:dyDescent="0.25">
      <c r="D13" s="211" t="s">
        <v>344</v>
      </c>
      <c r="E13" s="208" t="s">
        <v>26</v>
      </c>
      <c r="F13" s="24"/>
      <c r="H13" s="216"/>
      <c r="I13" s="36"/>
      <c r="K13" s="26"/>
      <c r="L13" s="255" t="s">
        <v>338</v>
      </c>
      <c r="M13" s="26"/>
      <c r="N13" s="19"/>
      <c r="O13" s="28"/>
      <c r="P13" s="35"/>
      <c r="Q13" s="19"/>
      <c r="R13" s="213" t="s">
        <v>340</v>
      </c>
      <c r="S13" s="18"/>
      <c r="T13" s="6"/>
      <c r="U13" s="19"/>
      <c r="V13" s="19"/>
      <c r="W13" s="19"/>
      <c r="X13" s="19"/>
      <c r="Y13" s="19"/>
      <c r="Z13" s="19"/>
      <c r="AA13" s="19"/>
      <c r="AB13" s="6"/>
      <c r="AC13" s="6"/>
      <c r="AD13" s="6"/>
      <c r="AE13" s="6"/>
      <c r="AF13" s="6"/>
      <c r="AG13" s="6"/>
      <c r="AH13" s="6"/>
    </row>
    <row r="14" spans="2:34" s="15" customFormat="1" x14ac:dyDescent="0.25">
      <c r="D14" s="211" t="s">
        <v>346</v>
      </c>
      <c r="E14" s="208" t="s">
        <v>316</v>
      </c>
      <c r="F14" s="24"/>
      <c r="H14" s="216" t="s">
        <v>345</v>
      </c>
      <c r="I14" s="36"/>
      <c r="K14" s="26"/>
      <c r="L14" s="255" t="s">
        <v>48</v>
      </c>
      <c r="M14" s="26"/>
      <c r="N14" s="19"/>
      <c r="O14" s="28"/>
      <c r="P14" s="35"/>
      <c r="Q14" s="19"/>
      <c r="R14" s="213" t="s">
        <v>341</v>
      </c>
      <c r="S14" s="18"/>
      <c r="T14" s="6"/>
      <c r="U14" s="19"/>
      <c r="V14" s="19"/>
      <c r="W14" s="19"/>
      <c r="X14" s="19"/>
      <c r="Y14" s="19"/>
      <c r="Z14" s="19"/>
      <c r="AA14" s="19"/>
      <c r="AB14" s="6"/>
      <c r="AC14" s="6"/>
      <c r="AD14" s="6"/>
      <c r="AE14" s="6"/>
      <c r="AF14" s="6"/>
      <c r="AG14" s="6"/>
      <c r="AH14" s="6"/>
    </row>
    <row r="15" spans="2:34" s="15" customFormat="1" ht="23" x14ac:dyDescent="0.25">
      <c r="D15" s="211" t="s">
        <v>352</v>
      </c>
      <c r="E15" s="208" t="s">
        <v>388</v>
      </c>
      <c r="F15" s="24"/>
      <c r="H15" s="216" t="s">
        <v>18</v>
      </c>
      <c r="I15" s="36"/>
      <c r="K15" s="26"/>
      <c r="L15" s="219" t="s">
        <v>20</v>
      </c>
      <c r="M15" s="26"/>
      <c r="N15" s="19"/>
      <c r="O15" s="28"/>
      <c r="P15" s="35"/>
      <c r="Q15" s="19"/>
      <c r="R15" s="213" t="s">
        <v>376</v>
      </c>
      <c r="S15" s="18"/>
      <c r="T15" s="6"/>
      <c r="U15" s="19"/>
      <c r="V15" s="19"/>
      <c r="W15" s="19"/>
      <c r="X15" s="19"/>
      <c r="Y15" s="19"/>
      <c r="Z15" s="19"/>
      <c r="AA15" s="19"/>
      <c r="AB15" s="6"/>
      <c r="AC15" s="6"/>
      <c r="AD15" s="6"/>
      <c r="AE15" s="6"/>
      <c r="AF15" s="6"/>
      <c r="AG15" s="6"/>
      <c r="AH15" s="6"/>
    </row>
    <row r="16" spans="2:34" s="15" customFormat="1" ht="23" x14ac:dyDescent="0.25">
      <c r="D16" s="211" t="s">
        <v>357</v>
      </c>
      <c r="E16" s="208"/>
      <c r="F16" s="24"/>
      <c r="H16" s="216" t="s">
        <v>24</v>
      </c>
      <c r="I16" s="36"/>
      <c r="K16" s="26"/>
      <c r="L16" s="219" t="s">
        <v>44</v>
      </c>
      <c r="M16" s="26"/>
      <c r="N16" s="19"/>
      <c r="O16" s="28"/>
      <c r="P16" s="35"/>
      <c r="Q16" s="19"/>
      <c r="R16" s="213" t="s">
        <v>349</v>
      </c>
      <c r="S16" s="18"/>
      <c r="T16" s="6"/>
      <c r="U16" s="19"/>
      <c r="V16" s="19"/>
      <c r="W16" s="19"/>
      <c r="X16" s="19"/>
      <c r="Y16" s="19"/>
      <c r="Z16" s="19"/>
      <c r="AA16" s="19"/>
      <c r="AB16" s="6"/>
      <c r="AC16" s="6"/>
      <c r="AD16" s="6"/>
      <c r="AE16" s="6"/>
      <c r="AF16" s="6"/>
      <c r="AG16" s="6"/>
      <c r="AH16" s="6"/>
    </row>
    <row r="17" spans="4:34" s="15" customFormat="1" ht="23" x14ac:dyDescent="0.25">
      <c r="D17" s="211" t="s">
        <v>387</v>
      </c>
      <c r="E17" s="208"/>
      <c r="F17" s="24"/>
      <c r="H17" s="216" t="s">
        <v>49</v>
      </c>
      <c r="I17" s="36"/>
      <c r="K17" s="26"/>
      <c r="L17" s="219" t="s">
        <v>33</v>
      </c>
      <c r="M17" s="26"/>
      <c r="N17" s="19"/>
      <c r="O17" s="28"/>
      <c r="P17" s="35"/>
      <c r="Q17" s="19"/>
      <c r="R17" s="213" t="s">
        <v>356</v>
      </c>
      <c r="S17" s="18"/>
      <c r="T17" s="6"/>
      <c r="U17" s="19"/>
      <c r="V17" s="19"/>
      <c r="W17" s="19"/>
      <c r="X17" s="19"/>
      <c r="Y17" s="19"/>
      <c r="Z17" s="19"/>
      <c r="AA17" s="19"/>
      <c r="AB17" s="6"/>
      <c r="AC17" s="6"/>
      <c r="AD17" s="6"/>
      <c r="AE17" s="6"/>
      <c r="AF17" s="6"/>
      <c r="AG17" s="6"/>
      <c r="AH17" s="6"/>
    </row>
    <row r="18" spans="4:34" s="15" customFormat="1" x14ac:dyDescent="0.25">
      <c r="D18" s="211" t="s">
        <v>388</v>
      </c>
      <c r="E18" s="208"/>
      <c r="F18" s="24"/>
      <c r="H18" s="216" t="s">
        <v>40</v>
      </c>
      <c r="I18" s="36"/>
      <c r="K18" s="26"/>
      <c r="L18" s="219" t="s">
        <v>323</v>
      </c>
      <c r="M18" s="26"/>
      <c r="N18" s="19"/>
      <c r="O18" s="28"/>
      <c r="P18" s="35"/>
      <c r="Q18" s="19"/>
      <c r="R18" s="213"/>
      <c r="S18" s="18"/>
      <c r="T18" s="6"/>
      <c r="U18" s="19"/>
      <c r="V18" s="19"/>
      <c r="W18" s="19"/>
      <c r="X18" s="19"/>
      <c r="Y18" s="19"/>
      <c r="Z18" s="19"/>
      <c r="AA18" s="19"/>
      <c r="AB18" s="6"/>
      <c r="AC18" s="6"/>
      <c r="AD18" s="6"/>
      <c r="AE18" s="6"/>
      <c r="AF18" s="6"/>
      <c r="AG18" s="6"/>
      <c r="AH18" s="6"/>
    </row>
    <row r="19" spans="4:34" s="15" customFormat="1" x14ac:dyDescent="0.25">
      <c r="D19" s="211" t="s">
        <v>67</v>
      </c>
      <c r="E19" s="208"/>
      <c r="F19" s="24"/>
      <c r="H19" s="216" t="s">
        <v>32</v>
      </c>
      <c r="I19" s="36"/>
      <c r="K19" s="26"/>
      <c r="L19" s="219" t="s">
        <v>253</v>
      </c>
      <c r="M19" s="26"/>
      <c r="N19" s="19"/>
      <c r="O19" s="28"/>
      <c r="P19" s="35"/>
      <c r="Q19" s="19"/>
      <c r="R19" s="213"/>
      <c r="S19" s="18"/>
      <c r="T19" s="6"/>
      <c r="U19" s="19"/>
      <c r="V19" s="19"/>
      <c r="W19" s="19"/>
      <c r="X19" s="19"/>
      <c r="Y19" s="19"/>
      <c r="Z19" s="19"/>
      <c r="AA19" s="19"/>
      <c r="AB19" s="6"/>
      <c r="AC19" s="6"/>
      <c r="AD19" s="6"/>
      <c r="AE19" s="6"/>
      <c r="AF19" s="6"/>
      <c r="AG19" s="6"/>
      <c r="AH19" s="6"/>
    </row>
    <row r="20" spans="4:34" x14ac:dyDescent="0.25">
      <c r="D20" s="211"/>
      <c r="E20" s="209"/>
      <c r="H20" s="216" t="s">
        <v>83</v>
      </c>
      <c r="L20" s="219" t="s">
        <v>273</v>
      </c>
      <c r="R20" s="214"/>
    </row>
    <row r="21" spans="4:34" x14ac:dyDescent="0.25">
      <c r="D21" s="211"/>
      <c r="E21" s="209"/>
      <c r="H21" s="216" t="s">
        <v>211</v>
      </c>
      <c r="L21" s="219" t="s">
        <v>53</v>
      </c>
      <c r="O21" t="s">
        <v>45</v>
      </c>
    </row>
    <row r="22" spans="4:34" x14ac:dyDescent="0.25">
      <c r="D22" s="211"/>
      <c r="E22" s="209"/>
      <c r="H22" s="216" t="s">
        <v>63</v>
      </c>
      <c r="L22" s="219" t="s">
        <v>55</v>
      </c>
      <c r="X22" t="s">
        <v>319</v>
      </c>
    </row>
    <row r="23" spans="4:34" ht="25" x14ac:dyDescent="0.25">
      <c r="D23" s="211"/>
      <c r="E23" s="209"/>
      <c r="H23" s="217"/>
      <c r="L23" s="220" t="s">
        <v>60</v>
      </c>
    </row>
    <row r="24" spans="4:34" x14ac:dyDescent="0.25">
      <c r="D24" s="211"/>
      <c r="E24" s="209"/>
      <c r="H24" s="218" t="s">
        <v>351</v>
      </c>
      <c r="L24" s="220" t="s">
        <v>267</v>
      </c>
    </row>
    <row r="25" spans="4:34" x14ac:dyDescent="0.25">
      <c r="D25" s="211"/>
      <c r="E25" s="209"/>
      <c r="H25" s="217"/>
      <c r="L25" s="220" t="s">
        <v>268</v>
      </c>
    </row>
    <row r="26" spans="4:34" x14ac:dyDescent="0.25">
      <c r="D26" s="211"/>
      <c r="E26" s="209"/>
      <c r="H26" s="217"/>
      <c r="L26" s="219" t="s">
        <v>65</v>
      </c>
    </row>
    <row r="27" spans="4:34" x14ac:dyDescent="0.25">
      <c r="D27" s="211"/>
      <c r="E27" s="209"/>
      <c r="H27" s="217"/>
      <c r="L27" s="221"/>
    </row>
    <row r="28" spans="4:34" x14ac:dyDescent="0.25">
      <c r="D28" s="211"/>
      <c r="E28" s="209"/>
      <c r="L28" s="219" t="s">
        <v>315</v>
      </c>
    </row>
    <row r="29" spans="4:34" x14ac:dyDescent="0.25">
      <c r="D29" s="211"/>
      <c r="E29" s="209"/>
      <c r="L29" s="222" t="s">
        <v>348</v>
      </c>
    </row>
    <row r="30" spans="4:34" ht="25" x14ac:dyDescent="0.25">
      <c r="D30" s="211"/>
      <c r="E30" s="209"/>
      <c r="L30" s="220" t="s">
        <v>350</v>
      </c>
    </row>
    <row r="31" spans="4:34" x14ac:dyDescent="0.25">
      <c r="D31" s="211"/>
      <c r="E31" s="209"/>
    </row>
    <row r="32" spans="4:34" x14ac:dyDescent="0.25">
      <c r="D32" s="211"/>
    </row>
    <row r="33" spans="4:4" x14ac:dyDescent="0.25">
      <c r="D33" s="211"/>
    </row>
    <row r="34" spans="4:4" x14ac:dyDescent="0.25">
      <c r="D34" s="211"/>
    </row>
    <row r="35" spans="4:4" x14ac:dyDescent="0.25">
      <c r="D35" s="211"/>
    </row>
    <row r="36" spans="4:4" x14ac:dyDescent="0.25">
      <c r="D36" s="211"/>
    </row>
    <row r="37" spans="4:4" x14ac:dyDescent="0.25">
      <c r="D37" s="211"/>
    </row>
    <row r="38" spans="4:4" x14ac:dyDescent="0.25">
      <c r="D38" s="211"/>
    </row>
    <row r="39" spans="4:4" x14ac:dyDescent="0.25">
      <c r="D39" s="211"/>
    </row>
    <row r="40" spans="4:4" x14ac:dyDescent="0.25">
      <c r="D40" s="211"/>
    </row>
    <row r="41" spans="4:4" x14ac:dyDescent="0.25">
      <c r="D41" s="212"/>
    </row>
    <row r="42" spans="4:4" x14ac:dyDescent="0.25">
      <c r="D42" s="212"/>
    </row>
    <row r="43" spans="4:4" x14ac:dyDescent="0.25">
      <c r="D43" s="212"/>
    </row>
    <row r="44" spans="4:4" x14ac:dyDescent="0.25">
      <c r="D44" s="212"/>
    </row>
    <row r="45" spans="4:4" x14ac:dyDescent="0.25">
      <c r="D45" s="212"/>
    </row>
    <row r="46" spans="4:4" x14ac:dyDescent="0.25">
      <c r="D46" s="212"/>
    </row>
    <row r="47" spans="4:4" x14ac:dyDescent="0.25">
      <c r="D47" s="212"/>
    </row>
    <row r="48" spans="4:4" x14ac:dyDescent="0.25">
      <c r="D48" s="212"/>
    </row>
    <row r="49" spans="4:4" x14ac:dyDescent="0.25">
      <c r="D49" s="210"/>
    </row>
    <row r="50" spans="4:4" x14ac:dyDescent="0.25">
      <c r="D50" s="210"/>
    </row>
    <row r="51" spans="4:4" x14ac:dyDescent="0.25">
      <c r="D51" s="210"/>
    </row>
    <row r="52" spans="4:4" x14ac:dyDescent="0.25">
      <c r="D52" s="210"/>
    </row>
    <row r="53" spans="4:4" x14ac:dyDescent="0.25">
      <c r="D53" s="210"/>
    </row>
    <row r="54" spans="4:4" x14ac:dyDescent="0.25">
      <c r="D54" s="210"/>
    </row>
    <row r="55" spans="4:4" x14ac:dyDescent="0.25">
      <c r="D55" s="210"/>
    </row>
    <row r="56" spans="4:4" x14ac:dyDescent="0.25">
      <c r="D56" s="210"/>
    </row>
    <row r="57" spans="4:4" x14ac:dyDescent="0.25">
      <c r="D57" s="210"/>
    </row>
    <row r="58" spans="4:4" x14ac:dyDescent="0.25">
      <c r="D58" s="210"/>
    </row>
    <row r="59" spans="4:4" x14ac:dyDescent="0.25">
      <c r="D59" s="210"/>
    </row>
    <row r="60" spans="4:4" x14ac:dyDescent="0.25">
      <c r="D60" s="210"/>
    </row>
    <row r="61" spans="4:4" x14ac:dyDescent="0.25">
      <c r="D61" s="210"/>
    </row>
    <row r="62" spans="4:4" x14ac:dyDescent="0.25">
      <c r="D62" s="210"/>
    </row>
    <row r="63" spans="4:4" x14ac:dyDescent="0.25">
      <c r="D63" s="210"/>
    </row>
    <row r="64" spans="4:4" x14ac:dyDescent="0.25">
      <c r="D64" s="2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b8edd3-f71f-4937-a068-019ffeb70ef7">
      <UserInfo>
        <DisplayName>Vergenz, Melissa P</DisplayName>
        <AccountId>188</AccountId>
        <AccountType/>
      </UserInfo>
      <UserInfo>
        <DisplayName>Boyce, Michelle R</DisplayName>
        <AccountId>84</AccountId>
        <AccountType/>
      </UserInfo>
      <UserInfo>
        <DisplayName>Perez, Stefanie</DisplayName>
        <AccountId>276</AccountId>
        <AccountType/>
      </UserInfo>
      <UserInfo>
        <DisplayName>Cottle, J. Steve</DisplayName>
        <AccountId>258</AccountId>
        <AccountType/>
      </UserInfo>
      <UserInfo>
        <DisplayName>Hosler, Rae L</DisplayName>
        <AccountId>277</AccountId>
        <AccountType/>
      </UserInfo>
      <UserInfo>
        <DisplayName>Miller, Cheryl K</DisplayName>
        <AccountId>144</AccountId>
        <AccountType/>
      </UserInfo>
    </SharedWithUsers>
    <_activity xmlns="5c419b36-9c24-4066-85ca-1210162714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AA16E-48CD-4E63-B086-C834F498CD1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CE37554-297B-4687-84F3-2D0374760176}">
  <ds:schemaRefs>
    <ds:schemaRef ds:uri="5c419b36-9c24-4066-85ca-1210162714b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08b8edd3-f71f-4937-a068-019ffeb70ef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9E2842-1457-4E5F-A0B0-438DB5C7EE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D71CE2-5E7B-4981-8BF0-D896682D2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IDIQ LOG FACILITIES</vt:lpstr>
      <vt:lpstr>IDIQ LOG UTILITIES</vt:lpstr>
      <vt:lpstr>REPORT</vt:lpstr>
      <vt:lpstr>Breakdown</vt:lpstr>
      <vt:lpstr>Dropdown lists</vt:lpstr>
      <vt:lpstr>'IDIQ LOG FACILITIES'!Print_Area</vt:lpstr>
      <vt:lpstr>'IDIQ LOG UTILITIES'!Print_Area</vt:lpstr>
      <vt:lpstr>'IDIQ LOG FACILITIES'!Print_Titles</vt:lpstr>
      <vt:lpstr>'IDIQ LOG UTILITIES'!Print_Titles</vt:lpstr>
    </vt:vector>
  </TitlesOfParts>
  <Company>Jacobs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IDIQ Tracker</dc:title>
  <dc:creator>Michael.Killam@jacobs.com</dc:creator>
  <cp:lastModifiedBy>Anderson, John R CIV USN NAVFAC SE JAX FL (USA)</cp:lastModifiedBy>
  <cp:lastPrinted>2023-10-19T12:57:50Z</cp:lastPrinted>
  <dcterms:created xsi:type="dcterms:W3CDTF">2011-03-23T09:52:20Z</dcterms:created>
  <dcterms:modified xsi:type="dcterms:W3CDTF">2024-12-04T11:55:18Z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  <property fmtid="{D5CDD505-2E9C-101B-9397-08002B2CF9AE}" pid="3" name="_dlc_DocIdItemGuid">
    <vt:lpwstr>3b49d3f7-6819-481e-9d67-a3eb40e8e239</vt:lpwstr>
  </property>
  <property fmtid="{D5CDD505-2E9C-101B-9397-08002B2CF9AE}" pid="4" name="_dlc_DocId">
    <vt:lpwstr>HKSM65EHTC2A-1516584934-34</vt:lpwstr>
  </property>
  <property fmtid="{D5CDD505-2E9C-101B-9397-08002B2CF9AE}" pid="5" name="_dlc_DocIdUrl">
    <vt:lpwstr>https://navfac.jacobstechnology.com/Mayport/_layouts/15/DocIdRedir.aspx?ID=HKSM65EHTC2A-1516584934-34, HKSM65EHTC2A-1516584934-34</vt:lpwstr>
  </property>
  <property fmtid="{D5CDD505-2E9C-101B-9397-08002B2CF9AE}" pid="6" name="SharedWithUsers">
    <vt:lpwstr>188;#Vergenz, Melissa P;#84;#Boyce, Michelle R;#276;#Perez, Stefanie</vt:lpwstr>
  </property>
</Properties>
</file>