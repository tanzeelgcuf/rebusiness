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423FCCC7-E5E9-4515-9AAA-6D4FE84FF5A2}" xr6:coauthVersionLast="47" xr6:coauthVersionMax="47" xr10:uidLastSave="{00000000-0000-0000-0000-000000000000}"/>
  <bookViews>
    <workbookView xWindow="-110" yWindow="-110" windowWidth="19420" windowHeight="10420" xr2:uid="{E2BA5A86-7BEC-47F8-AEE4-F973D18B23F1}"/>
  </bookViews>
  <sheets>
    <sheet name="Exhibit 1A-1" sheetId="18" r:id="rId1"/>
    <sheet name="Exhibit 1A-2" sheetId="19" r:id="rId2"/>
    <sheet name="Exhibit 1A-3" sheetId="20" r:id="rId3"/>
    <sheet name="Exhibit 1A-4" sheetId="21" r:id="rId4"/>
    <sheet name="Exhibit 1A-5" sheetId="22" r:id="rId5"/>
    <sheet name="Exhibit 1A-6" sheetId="23" r:id="rId6"/>
    <sheet name="Exhibit 1B" sheetId="17" r:id="rId7"/>
  </sheets>
  <definedNames>
    <definedName name="AwardFee">#REF!</definedName>
    <definedName name="CLIN_Pd_SH">#REF!</definedName>
    <definedName name="Esc">#REF!</definedName>
    <definedName name="FY">#REF!</definedName>
    <definedName name="Indirect_Rates">#REF!</definedName>
    <definedName name="Labor_Category">#REF!</definedName>
    <definedName name="Location">#REF!</definedName>
    <definedName name="Prime_Sub?">#REF!</definedName>
    <definedName name="Type_of_Subk">#REF!</definedName>
    <definedName name="WBS_Description">#REF!</definedName>
    <definedName name="Work_Si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7" l="1"/>
  <c r="C10" i="17"/>
  <c r="C9" i="17"/>
  <c r="R61" i="18"/>
  <c r="P60" i="22"/>
  <c r="M60" i="22"/>
  <c r="J60" i="22"/>
  <c r="G60" i="22"/>
  <c r="P59" i="22"/>
  <c r="M59" i="22"/>
  <c r="J59" i="22"/>
  <c r="G59" i="22"/>
  <c r="P58" i="22"/>
  <c r="M58" i="22"/>
  <c r="J58" i="22"/>
  <c r="G58" i="22"/>
  <c r="O58" i="22" s="1"/>
  <c r="R58" i="22" s="1"/>
  <c r="P57" i="22"/>
  <c r="M57" i="22"/>
  <c r="J57" i="22"/>
  <c r="G57" i="22"/>
  <c r="P56" i="22"/>
  <c r="M56" i="22"/>
  <c r="J56" i="22"/>
  <c r="G56" i="22"/>
  <c r="P55" i="22"/>
  <c r="M55" i="22"/>
  <c r="J55" i="22"/>
  <c r="G55" i="22"/>
  <c r="O55" i="22" s="1"/>
  <c r="R55" i="22" s="1"/>
  <c r="P54" i="22"/>
  <c r="M54" i="22"/>
  <c r="J54" i="22"/>
  <c r="G54" i="22"/>
  <c r="P53" i="22"/>
  <c r="M53" i="22"/>
  <c r="J53" i="22"/>
  <c r="G53" i="22"/>
  <c r="P52" i="22"/>
  <c r="M52" i="22"/>
  <c r="J52" i="22"/>
  <c r="G52" i="22"/>
  <c r="O52" i="22" s="1"/>
  <c r="R52" i="22" s="1"/>
  <c r="P51" i="22"/>
  <c r="M51" i="22"/>
  <c r="J51" i="22"/>
  <c r="G51" i="22"/>
  <c r="P50" i="22"/>
  <c r="M50" i="22"/>
  <c r="J50" i="22"/>
  <c r="G50" i="22"/>
  <c r="P49" i="22"/>
  <c r="M49" i="22"/>
  <c r="J49" i="22"/>
  <c r="G49" i="22"/>
  <c r="O49" i="22" s="1"/>
  <c r="R49" i="22" s="1"/>
  <c r="P48" i="22"/>
  <c r="M48" i="22"/>
  <c r="J48" i="22"/>
  <c r="G48" i="22"/>
  <c r="P47" i="22"/>
  <c r="M47" i="22"/>
  <c r="J47" i="22"/>
  <c r="G47" i="22"/>
  <c r="P46" i="22"/>
  <c r="M46" i="22"/>
  <c r="J46" i="22"/>
  <c r="G46" i="22"/>
  <c r="O46" i="22" s="1"/>
  <c r="R46" i="22" s="1"/>
  <c r="P45" i="22"/>
  <c r="M45" i="22"/>
  <c r="J45" i="22"/>
  <c r="G45" i="22"/>
  <c r="P44" i="22"/>
  <c r="M44" i="22"/>
  <c r="J44" i="22"/>
  <c r="G44" i="22"/>
  <c r="P43" i="22"/>
  <c r="M43" i="22"/>
  <c r="J43" i="22"/>
  <c r="G43" i="22"/>
  <c r="O43" i="22" s="1"/>
  <c r="R43" i="22" s="1"/>
  <c r="P42" i="22"/>
  <c r="M42" i="22"/>
  <c r="J42" i="22"/>
  <c r="G42" i="22"/>
  <c r="P41" i="22"/>
  <c r="M41" i="22"/>
  <c r="J41" i="22"/>
  <c r="G41" i="22"/>
  <c r="P40" i="22"/>
  <c r="M40" i="22"/>
  <c r="J40" i="22"/>
  <c r="G40" i="22"/>
  <c r="O40" i="22" s="1"/>
  <c r="R40" i="22" s="1"/>
  <c r="P39" i="22"/>
  <c r="M39" i="22"/>
  <c r="J39" i="22"/>
  <c r="G39" i="22"/>
  <c r="P38" i="22"/>
  <c r="M38" i="22"/>
  <c r="J38" i="22"/>
  <c r="G38" i="22"/>
  <c r="P37" i="22"/>
  <c r="M37" i="22"/>
  <c r="J37" i="22"/>
  <c r="G37" i="22"/>
  <c r="O37" i="22" s="1"/>
  <c r="R37" i="22" s="1"/>
  <c r="P36" i="22"/>
  <c r="M36" i="22"/>
  <c r="J36" i="22"/>
  <c r="G36" i="22"/>
  <c r="P35" i="22"/>
  <c r="M35" i="22"/>
  <c r="J35" i="22"/>
  <c r="G35" i="22"/>
  <c r="P34" i="22"/>
  <c r="M34" i="22"/>
  <c r="J34" i="22"/>
  <c r="G34" i="22"/>
  <c r="O34" i="22" s="1"/>
  <c r="R34" i="22" s="1"/>
  <c r="P33" i="22"/>
  <c r="M33" i="22"/>
  <c r="J33" i="22"/>
  <c r="G33" i="22"/>
  <c r="P32" i="22"/>
  <c r="M32" i="22"/>
  <c r="J32" i="22"/>
  <c r="G32" i="22"/>
  <c r="P31" i="22"/>
  <c r="M31" i="22"/>
  <c r="J31" i="22"/>
  <c r="G31" i="22"/>
  <c r="O31" i="22" s="1"/>
  <c r="R31" i="22" s="1"/>
  <c r="P30" i="22"/>
  <c r="M30" i="22"/>
  <c r="J30" i="22"/>
  <c r="G30" i="22"/>
  <c r="P29" i="22"/>
  <c r="M29" i="22"/>
  <c r="J29" i="22"/>
  <c r="G29" i="22"/>
  <c r="P28" i="22"/>
  <c r="M28" i="22"/>
  <c r="J28" i="22"/>
  <c r="G28" i="22"/>
  <c r="O28" i="22" s="1"/>
  <c r="R28" i="22" s="1"/>
  <c r="P27" i="22"/>
  <c r="M27" i="22"/>
  <c r="J27" i="22"/>
  <c r="G27" i="22"/>
  <c r="P26" i="22"/>
  <c r="M26" i="22"/>
  <c r="J26" i="22"/>
  <c r="G26" i="22"/>
  <c r="P25" i="22"/>
  <c r="M25" i="22"/>
  <c r="J25" i="22"/>
  <c r="G25" i="22"/>
  <c r="O25" i="22" s="1"/>
  <c r="R25" i="22" s="1"/>
  <c r="P24" i="22"/>
  <c r="M24" i="22"/>
  <c r="J24" i="22"/>
  <c r="G24" i="22"/>
  <c r="P23" i="22"/>
  <c r="M23" i="22"/>
  <c r="J23" i="22"/>
  <c r="G23" i="22"/>
  <c r="P22" i="22"/>
  <c r="M22" i="22"/>
  <c r="J22" i="22"/>
  <c r="G22" i="22"/>
  <c r="O22" i="22" s="1"/>
  <c r="R22" i="22" s="1"/>
  <c r="P21" i="22"/>
  <c r="M21" i="22"/>
  <c r="J21" i="22"/>
  <c r="G21" i="22"/>
  <c r="P20" i="22"/>
  <c r="M20" i="22"/>
  <c r="J20" i="22"/>
  <c r="G20" i="22"/>
  <c r="P19" i="22"/>
  <c r="M19" i="22"/>
  <c r="J19" i="22"/>
  <c r="G19" i="22"/>
  <c r="O19" i="22" s="1"/>
  <c r="R19" i="22" s="1"/>
  <c r="P18" i="22"/>
  <c r="M18" i="22"/>
  <c r="J18" i="22"/>
  <c r="G18" i="22"/>
  <c r="P17" i="22"/>
  <c r="M17" i="22"/>
  <c r="J17" i="22"/>
  <c r="G17" i="22"/>
  <c r="P16" i="22"/>
  <c r="M16" i="22"/>
  <c r="J16" i="22"/>
  <c r="G16" i="22"/>
  <c r="O16" i="22" s="1"/>
  <c r="R16" i="22" s="1"/>
  <c r="P60" i="21"/>
  <c r="M60" i="21"/>
  <c r="J60" i="21"/>
  <c r="G60" i="21"/>
  <c r="O60" i="21" s="1"/>
  <c r="R60" i="21" s="1"/>
  <c r="P59" i="21"/>
  <c r="M59" i="21"/>
  <c r="J59" i="21"/>
  <c r="G59" i="21"/>
  <c r="P58" i="21"/>
  <c r="M58" i="21"/>
  <c r="J58" i="21"/>
  <c r="G58" i="21"/>
  <c r="O58" i="21" s="1"/>
  <c r="R58" i="21" s="1"/>
  <c r="P57" i="21"/>
  <c r="M57" i="21"/>
  <c r="J57" i="21"/>
  <c r="G57" i="21"/>
  <c r="O57" i="21" s="1"/>
  <c r="R57" i="21" s="1"/>
  <c r="P56" i="21"/>
  <c r="M56" i="21"/>
  <c r="J56" i="21"/>
  <c r="G56" i="21"/>
  <c r="P55" i="21"/>
  <c r="M55" i="21"/>
  <c r="J55" i="21"/>
  <c r="G55" i="21"/>
  <c r="O55" i="21" s="1"/>
  <c r="R55" i="21" s="1"/>
  <c r="P54" i="21"/>
  <c r="M54" i="21"/>
  <c r="J54" i="21"/>
  <c r="G54" i="21"/>
  <c r="O54" i="21" s="1"/>
  <c r="R54" i="21" s="1"/>
  <c r="P53" i="21"/>
  <c r="M53" i="21"/>
  <c r="J53" i="21"/>
  <c r="G53" i="21"/>
  <c r="P52" i="21"/>
  <c r="M52" i="21"/>
  <c r="J52" i="21"/>
  <c r="G52" i="21"/>
  <c r="O52" i="21" s="1"/>
  <c r="R52" i="21" s="1"/>
  <c r="P51" i="21"/>
  <c r="M51" i="21"/>
  <c r="J51" i="21"/>
  <c r="G51" i="21"/>
  <c r="O51" i="21" s="1"/>
  <c r="R51" i="21" s="1"/>
  <c r="P50" i="21"/>
  <c r="M50" i="21"/>
  <c r="J50" i="21"/>
  <c r="G50" i="21"/>
  <c r="P49" i="21"/>
  <c r="M49" i="21"/>
  <c r="J49" i="21"/>
  <c r="G49" i="21"/>
  <c r="O49" i="21" s="1"/>
  <c r="R49" i="21" s="1"/>
  <c r="P48" i="21"/>
  <c r="M48" i="21"/>
  <c r="J48" i="21"/>
  <c r="G48" i="21"/>
  <c r="O48" i="21" s="1"/>
  <c r="R48" i="21" s="1"/>
  <c r="P47" i="21"/>
  <c r="M47" i="21"/>
  <c r="J47" i="21"/>
  <c r="G47" i="21"/>
  <c r="P46" i="21"/>
  <c r="M46" i="21"/>
  <c r="J46" i="21"/>
  <c r="G46" i="21"/>
  <c r="P45" i="21"/>
  <c r="M45" i="21"/>
  <c r="J45" i="21"/>
  <c r="G45" i="21"/>
  <c r="O45" i="21" s="1"/>
  <c r="R45" i="21" s="1"/>
  <c r="P44" i="21"/>
  <c r="M44" i="21"/>
  <c r="J44" i="21"/>
  <c r="G44" i="21"/>
  <c r="P43" i="21"/>
  <c r="M43" i="21"/>
  <c r="J43" i="21"/>
  <c r="G43" i="21"/>
  <c r="O43" i="21" s="1"/>
  <c r="R43" i="21" s="1"/>
  <c r="P42" i="21"/>
  <c r="M42" i="21"/>
  <c r="J42" i="21"/>
  <c r="G42" i="21"/>
  <c r="O42" i="21" s="1"/>
  <c r="R42" i="21" s="1"/>
  <c r="P41" i="21"/>
  <c r="M41" i="21"/>
  <c r="J41" i="21"/>
  <c r="G41" i="21"/>
  <c r="P40" i="21"/>
  <c r="M40" i="21"/>
  <c r="J40" i="21"/>
  <c r="G40" i="21"/>
  <c r="O40" i="21" s="1"/>
  <c r="R40" i="21" s="1"/>
  <c r="P39" i="21"/>
  <c r="M39" i="21"/>
  <c r="J39" i="21"/>
  <c r="G39" i="21"/>
  <c r="O39" i="21" s="1"/>
  <c r="R39" i="21" s="1"/>
  <c r="P38" i="21"/>
  <c r="M38" i="21"/>
  <c r="J38" i="21"/>
  <c r="G38" i="21"/>
  <c r="P37" i="21"/>
  <c r="M37" i="21"/>
  <c r="J37" i="21"/>
  <c r="G37" i="21"/>
  <c r="O37" i="21" s="1"/>
  <c r="R37" i="21" s="1"/>
  <c r="P36" i="21"/>
  <c r="M36" i="21"/>
  <c r="J36" i="21"/>
  <c r="G36" i="21"/>
  <c r="O36" i="21" s="1"/>
  <c r="R36" i="21" s="1"/>
  <c r="P35" i="21"/>
  <c r="M35" i="21"/>
  <c r="J35" i="21"/>
  <c r="G35" i="21"/>
  <c r="P34" i="21"/>
  <c r="M34" i="21"/>
  <c r="J34" i="21"/>
  <c r="G34" i="21"/>
  <c r="O34" i="21" s="1"/>
  <c r="R34" i="21" s="1"/>
  <c r="P33" i="21"/>
  <c r="M33" i="21"/>
  <c r="J33" i="21"/>
  <c r="G33" i="21"/>
  <c r="O33" i="21" s="1"/>
  <c r="R33" i="21" s="1"/>
  <c r="P32" i="21"/>
  <c r="M32" i="21"/>
  <c r="J32" i="21"/>
  <c r="G32" i="21"/>
  <c r="P31" i="21"/>
  <c r="M31" i="21"/>
  <c r="J31" i="21"/>
  <c r="G31" i="21"/>
  <c r="O31" i="21" s="1"/>
  <c r="R31" i="21" s="1"/>
  <c r="P30" i="21"/>
  <c r="M30" i="21"/>
  <c r="J30" i="21"/>
  <c r="G30" i="21"/>
  <c r="O30" i="21" s="1"/>
  <c r="R30" i="21" s="1"/>
  <c r="P29" i="21"/>
  <c r="M29" i="21"/>
  <c r="J29" i="21"/>
  <c r="G29" i="21"/>
  <c r="P28" i="21"/>
  <c r="M28" i="21"/>
  <c r="J28" i="21"/>
  <c r="G28" i="21"/>
  <c r="O28" i="21" s="1"/>
  <c r="R28" i="21" s="1"/>
  <c r="P27" i="21"/>
  <c r="M27" i="21"/>
  <c r="J27" i="21"/>
  <c r="G27" i="21"/>
  <c r="O27" i="21" s="1"/>
  <c r="R27" i="21" s="1"/>
  <c r="P26" i="21"/>
  <c r="M26" i="21"/>
  <c r="J26" i="21"/>
  <c r="G26" i="21"/>
  <c r="P25" i="21"/>
  <c r="M25" i="21"/>
  <c r="J25" i="21"/>
  <c r="G25" i="21"/>
  <c r="O25" i="21" s="1"/>
  <c r="R25" i="21" s="1"/>
  <c r="P24" i="21"/>
  <c r="M24" i="21"/>
  <c r="J24" i="21"/>
  <c r="G24" i="21"/>
  <c r="O24" i="21" s="1"/>
  <c r="R24" i="21" s="1"/>
  <c r="P23" i="21"/>
  <c r="M23" i="21"/>
  <c r="J23" i="21"/>
  <c r="G23" i="21"/>
  <c r="P22" i="21"/>
  <c r="M22" i="21"/>
  <c r="J22" i="21"/>
  <c r="G22" i="21"/>
  <c r="O22" i="21" s="1"/>
  <c r="R22" i="21" s="1"/>
  <c r="P21" i="21"/>
  <c r="M21" i="21"/>
  <c r="J21" i="21"/>
  <c r="G21" i="21"/>
  <c r="O21" i="21" s="1"/>
  <c r="R21" i="21" s="1"/>
  <c r="P20" i="21"/>
  <c r="M20" i="21"/>
  <c r="J20" i="21"/>
  <c r="G20" i="21"/>
  <c r="P19" i="21"/>
  <c r="M19" i="21"/>
  <c r="J19" i="21"/>
  <c r="G19" i="21"/>
  <c r="O19" i="21" s="1"/>
  <c r="R19" i="21" s="1"/>
  <c r="P18" i="21"/>
  <c r="M18" i="21"/>
  <c r="J18" i="21"/>
  <c r="G18" i="21"/>
  <c r="O18" i="21" s="1"/>
  <c r="R18" i="21" s="1"/>
  <c r="P17" i="21"/>
  <c r="M17" i="21"/>
  <c r="J17" i="21"/>
  <c r="G17" i="21"/>
  <c r="P16" i="21"/>
  <c r="M16" i="21"/>
  <c r="J16" i="21"/>
  <c r="G16" i="21"/>
  <c r="O16" i="21" s="1"/>
  <c r="R16" i="21" s="1"/>
  <c r="P60" i="20"/>
  <c r="M60" i="20"/>
  <c r="J60" i="20"/>
  <c r="G60" i="20"/>
  <c r="O60" i="20" s="1"/>
  <c r="R60" i="20" s="1"/>
  <c r="P59" i="20"/>
  <c r="M59" i="20"/>
  <c r="J59" i="20"/>
  <c r="G59" i="20"/>
  <c r="P58" i="20"/>
  <c r="M58" i="20"/>
  <c r="J58" i="20"/>
  <c r="G58" i="20"/>
  <c r="P57" i="20"/>
  <c r="M57" i="20"/>
  <c r="J57" i="20"/>
  <c r="G57" i="20"/>
  <c r="P56" i="20"/>
  <c r="M56" i="20"/>
  <c r="J56" i="20"/>
  <c r="G56" i="20"/>
  <c r="O56" i="20" s="1"/>
  <c r="R56" i="20" s="1"/>
  <c r="P55" i="20"/>
  <c r="M55" i="20"/>
  <c r="J55" i="20"/>
  <c r="G55" i="20"/>
  <c r="P54" i="20"/>
  <c r="M54" i="20"/>
  <c r="J54" i="20"/>
  <c r="G54" i="20"/>
  <c r="P53" i="20"/>
  <c r="M53" i="20"/>
  <c r="J53" i="20"/>
  <c r="G53" i="20"/>
  <c r="P52" i="20"/>
  <c r="M52" i="20"/>
  <c r="J52" i="20"/>
  <c r="G52" i="20"/>
  <c r="P51" i="20"/>
  <c r="M51" i="20"/>
  <c r="J51" i="20"/>
  <c r="G51" i="20"/>
  <c r="P50" i="20"/>
  <c r="M50" i="20"/>
  <c r="J50" i="20"/>
  <c r="G50" i="20"/>
  <c r="O50" i="20" s="1"/>
  <c r="R50" i="20" s="1"/>
  <c r="P49" i="20"/>
  <c r="M49" i="20"/>
  <c r="J49" i="20"/>
  <c r="G49" i="20"/>
  <c r="P48" i="20"/>
  <c r="M48" i="20"/>
  <c r="J48" i="20"/>
  <c r="G48" i="20"/>
  <c r="P47" i="20"/>
  <c r="M47" i="20"/>
  <c r="J47" i="20"/>
  <c r="G47" i="20"/>
  <c r="P46" i="20"/>
  <c r="M46" i="20"/>
  <c r="J46" i="20"/>
  <c r="G46" i="20"/>
  <c r="P45" i="20"/>
  <c r="M45" i="20"/>
  <c r="O45" i="20" s="1"/>
  <c r="R45" i="20" s="1"/>
  <c r="J45" i="20"/>
  <c r="G45" i="20"/>
  <c r="P44" i="20"/>
  <c r="M44" i="20"/>
  <c r="J44" i="20"/>
  <c r="G44" i="20"/>
  <c r="O44" i="20" s="1"/>
  <c r="R44" i="20" s="1"/>
  <c r="P43" i="20"/>
  <c r="M43" i="20"/>
  <c r="J43" i="20"/>
  <c r="G43" i="20"/>
  <c r="P42" i="20"/>
  <c r="M42" i="20"/>
  <c r="J42" i="20"/>
  <c r="G42" i="20"/>
  <c r="P41" i="20"/>
  <c r="M41" i="20"/>
  <c r="J41" i="20"/>
  <c r="G41" i="20"/>
  <c r="P40" i="20"/>
  <c r="M40" i="20"/>
  <c r="J40" i="20"/>
  <c r="G40" i="20"/>
  <c r="P39" i="20"/>
  <c r="M39" i="20"/>
  <c r="O39" i="20" s="1"/>
  <c r="R39" i="20" s="1"/>
  <c r="J39" i="20"/>
  <c r="G39" i="20"/>
  <c r="P38" i="20"/>
  <c r="M38" i="20"/>
  <c r="J38" i="20"/>
  <c r="G38" i="20"/>
  <c r="O38" i="20" s="1"/>
  <c r="R38" i="20" s="1"/>
  <c r="P37" i="20"/>
  <c r="M37" i="20"/>
  <c r="J37" i="20"/>
  <c r="G37" i="20"/>
  <c r="P36" i="20"/>
  <c r="M36" i="20"/>
  <c r="J36" i="20"/>
  <c r="G36" i="20"/>
  <c r="P35" i="20"/>
  <c r="M35" i="20"/>
  <c r="J35" i="20"/>
  <c r="G35" i="20"/>
  <c r="P34" i="20"/>
  <c r="M34" i="20"/>
  <c r="J34" i="20"/>
  <c r="G34" i="20"/>
  <c r="P33" i="20"/>
  <c r="M33" i="20"/>
  <c r="O33" i="20" s="1"/>
  <c r="R33" i="20" s="1"/>
  <c r="J33" i="20"/>
  <c r="G33" i="20"/>
  <c r="P32" i="20"/>
  <c r="M32" i="20"/>
  <c r="J32" i="20"/>
  <c r="G32" i="20"/>
  <c r="O32" i="20" s="1"/>
  <c r="R32" i="20" s="1"/>
  <c r="P31" i="20"/>
  <c r="M31" i="20"/>
  <c r="J31" i="20"/>
  <c r="G31" i="20"/>
  <c r="P30" i="20"/>
  <c r="M30" i="20"/>
  <c r="J30" i="20"/>
  <c r="G30" i="20"/>
  <c r="P29" i="20"/>
  <c r="M29" i="20"/>
  <c r="J29" i="20"/>
  <c r="G29" i="20"/>
  <c r="P28" i="20"/>
  <c r="M28" i="20"/>
  <c r="J28" i="20"/>
  <c r="G28" i="20"/>
  <c r="P27" i="20"/>
  <c r="M27" i="20"/>
  <c r="O27" i="20" s="1"/>
  <c r="R27" i="20" s="1"/>
  <c r="J27" i="20"/>
  <c r="G27" i="20"/>
  <c r="P26" i="20"/>
  <c r="M26" i="20"/>
  <c r="J26" i="20"/>
  <c r="G26" i="20"/>
  <c r="O26" i="20" s="1"/>
  <c r="R26" i="20" s="1"/>
  <c r="P25" i="20"/>
  <c r="M25" i="20"/>
  <c r="J25" i="20"/>
  <c r="G25" i="20"/>
  <c r="P24" i="20"/>
  <c r="M24" i="20"/>
  <c r="J24" i="20"/>
  <c r="G24" i="20"/>
  <c r="P23" i="20"/>
  <c r="M23" i="20"/>
  <c r="J23" i="20"/>
  <c r="G23" i="20"/>
  <c r="P22" i="20"/>
  <c r="M22" i="20"/>
  <c r="J22" i="20"/>
  <c r="G22" i="20"/>
  <c r="P21" i="20"/>
  <c r="M21" i="20"/>
  <c r="O21" i="20" s="1"/>
  <c r="R21" i="20" s="1"/>
  <c r="J21" i="20"/>
  <c r="G21" i="20"/>
  <c r="P20" i="20"/>
  <c r="M20" i="20"/>
  <c r="J20" i="20"/>
  <c r="G20" i="20"/>
  <c r="O20" i="20" s="1"/>
  <c r="R20" i="20" s="1"/>
  <c r="P19" i="20"/>
  <c r="M19" i="20"/>
  <c r="J19" i="20"/>
  <c r="G19" i="20"/>
  <c r="P18" i="20"/>
  <c r="M18" i="20"/>
  <c r="J18" i="20"/>
  <c r="G18" i="20"/>
  <c r="P17" i="20"/>
  <c r="M17" i="20"/>
  <c r="J17" i="20"/>
  <c r="G17" i="20"/>
  <c r="P16" i="20"/>
  <c r="M16" i="20"/>
  <c r="J16" i="20"/>
  <c r="G16" i="20"/>
  <c r="P60" i="19"/>
  <c r="M60" i="19"/>
  <c r="J60" i="19"/>
  <c r="G60" i="19"/>
  <c r="P59" i="19"/>
  <c r="M59" i="19"/>
  <c r="J59" i="19"/>
  <c r="G59" i="19"/>
  <c r="P58" i="19"/>
  <c r="M58" i="19"/>
  <c r="J58" i="19"/>
  <c r="G58" i="19"/>
  <c r="P57" i="19"/>
  <c r="M57" i="19"/>
  <c r="J57" i="19"/>
  <c r="G57" i="19"/>
  <c r="P56" i="19"/>
  <c r="M56" i="19"/>
  <c r="J56" i="19"/>
  <c r="G56" i="19"/>
  <c r="P55" i="19"/>
  <c r="M55" i="19"/>
  <c r="J55" i="19"/>
  <c r="G55" i="19"/>
  <c r="P54" i="19"/>
  <c r="M54" i="19"/>
  <c r="J54" i="19"/>
  <c r="G54" i="19"/>
  <c r="P53" i="19"/>
  <c r="M53" i="19"/>
  <c r="J53" i="19"/>
  <c r="G53" i="19"/>
  <c r="P52" i="19"/>
  <c r="M52" i="19"/>
  <c r="J52" i="19"/>
  <c r="G52" i="19"/>
  <c r="P51" i="19"/>
  <c r="M51" i="19"/>
  <c r="J51" i="19"/>
  <c r="G51" i="19"/>
  <c r="P50" i="19"/>
  <c r="M50" i="19"/>
  <c r="J50" i="19"/>
  <c r="G50" i="19"/>
  <c r="P49" i="19"/>
  <c r="M49" i="19"/>
  <c r="J49" i="19"/>
  <c r="G49" i="19"/>
  <c r="P48" i="19"/>
  <c r="M48" i="19"/>
  <c r="J48" i="19"/>
  <c r="G48" i="19"/>
  <c r="P47" i="19"/>
  <c r="M47" i="19"/>
  <c r="J47" i="19"/>
  <c r="G47" i="19"/>
  <c r="P46" i="19"/>
  <c r="M46" i="19"/>
  <c r="J46" i="19"/>
  <c r="G46" i="19"/>
  <c r="P45" i="19"/>
  <c r="M45" i="19"/>
  <c r="J45" i="19"/>
  <c r="G45" i="19"/>
  <c r="P44" i="19"/>
  <c r="M44" i="19"/>
  <c r="J44" i="19"/>
  <c r="G44" i="19"/>
  <c r="P43" i="19"/>
  <c r="M43" i="19"/>
  <c r="J43" i="19"/>
  <c r="G43" i="19"/>
  <c r="P42" i="19"/>
  <c r="M42" i="19"/>
  <c r="J42" i="19"/>
  <c r="G42" i="19"/>
  <c r="P41" i="19"/>
  <c r="M41" i="19"/>
  <c r="J41" i="19"/>
  <c r="G41" i="19"/>
  <c r="P40" i="19"/>
  <c r="M40" i="19"/>
  <c r="J40" i="19"/>
  <c r="G40" i="19"/>
  <c r="P39" i="19"/>
  <c r="M39" i="19"/>
  <c r="J39" i="19"/>
  <c r="G39" i="19"/>
  <c r="P38" i="19"/>
  <c r="M38" i="19"/>
  <c r="J38" i="19"/>
  <c r="G38" i="19"/>
  <c r="P37" i="19"/>
  <c r="M37" i="19"/>
  <c r="J37" i="19"/>
  <c r="G37" i="19"/>
  <c r="P36" i="19"/>
  <c r="M36" i="19"/>
  <c r="J36" i="19"/>
  <c r="G36" i="19"/>
  <c r="P35" i="19"/>
  <c r="M35" i="19"/>
  <c r="J35" i="19"/>
  <c r="G35" i="19"/>
  <c r="P34" i="19"/>
  <c r="M34" i="19"/>
  <c r="J34" i="19"/>
  <c r="G34" i="19"/>
  <c r="P33" i="19"/>
  <c r="M33" i="19"/>
  <c r="J33" i="19"/>
  <c r="G33" i="19"/>
  <c r="P32" i="19"/>
  <c r="M32" i="19"/>
  <c r="J32" i="19"/>
  <c r="G32" i="19"/>
  <c r="P31" i="19"/>
  <c r="M31" i="19"/>
  <c r="J31" i="19"/>
  <c r="G31" i="19"/>
  <c r="P30" i="19"/>
  <c r="M30" i="19"/>
  <c r="J30" i="19"/>
  <c r="G30" i="19"/>
  <c r="P29" i="19"/>
  <c r="M29" i="19"/>
  <c r="J29" i="19"/>
  <c r="G29" i="19"/>
  <c r="P28" i="19"/>
  <c r="M28" i="19"/>
  <c r="J28" i="19"/>
  <c r="G28" i="19"/>
  <c r="P27" i="19"/>
  <c r="M27" i="19"/>
  <c r="J27" i="19"/>
  <c r="G27" i="19"/>
  <c r="P26" i="19"/>
  <c r="M26" i="19"/>
  <c r="J26" i="19"/>
  <c r="G26" i="19"/>
  <c r="P25" i="19"/>
  <c r="M25" i="19"/>
  <c r="J25" i="19"/>
  <c r="G25" i="19"/>
  <c r="P24" i="19"/>
  <c r="M24" i="19"/>
  <c r="J24" i="19"/>
  <c r="G24" i="19"/>
  <c r="P23" i="19"/>
  <c r="M23" i="19"/>
  <c r="J23" i="19"/>
  <c r="G23" i="19"/>
  <c r="P22" i="19"/>
  <c r="M22" i="19"/>
  <c r="J22" i="19"/>
  <c r="G22" i="19"/>
  <c r="P21" i="19"/>
  <c r="M21" i="19"/>
  <c r="J21" i="19"/>
  <c r="G21" i="19"/>
  <c r="P20" i="19"/>
  <c r="M20" i="19"/>
  <c r="J20" i="19"/>
  <c r="G20" i="19"/>
  <c r="P19" i="19"/>
  <c r="M19" i="19"/>
  <c r="J19" i="19"/>
  <c r="G19" i="19"/>
  <c r="P18" i="19"/>
  <c r="M18" i="19"/>
  <c r="J18" i="19"/>
  <c r="G18" i="19"/>
  <c r="P17" i="19"/>
  <c r="M17" i="19"/>
  <c r="J17" i="19"/>
  <c r="G17" i="19"/>
  <c r="P16" i="19"/>
  <c r="M16" i="19"/>
  <c r="J16" i="19"/>
  <c r="G16" i="19"/>
  <c r="H228" i="23"/>
  <c r="G12" i="17" s="1"/>
  <c r="H184" i="23"/>
  <c r="F12" i="17" s="1"/>
  <c r="H140" i="23"/>
  <c r="E12" i="17" s="1"/>
  <c r="H96" i="23"/>
  <c r="D12" i="17" s="1"/>
  <c r="H52" i="23"/>
  <c r="C12" i="17" s="1"/>
  <c r="F13" i="23"/>
  <c r="H13" i="23" s="1"/>
  <c r="O18" i="22" l="1"/>
  <c r="R18" i="22" s="1"/>
  <c r="O21" i="22"/>
  <c r="R21" i="22" s="1"/>
  <c r="O24" i="22"/>
  <c r="R24" i="22" s="1"/>
  <c r="O27" i="22"/>
  <c r="R27" i="22" s="1"/>
  <c r="O30" i="22"/>
  <c r="R30" i="22" s="1"/>
  <c r="O33" i="22"/>
  <c r="R33" i="22" s="1"/>
  <c r="O36" i="22"/>
  <c r="R36" i="22" s="1"/>
  <c r="O39" i="22"/>
  <c r="R39" i="22" s="1"/>
  <c r="O42" i="22"/>
  <c r="R42" i="22" s="1"/>
  <c r="O45" i="22"/>
  <c r="R45" i="22" s="1"/>
  <c r="O48" i="22"/>
  <c r="R48" i="22" s="1"/>
  <c r="O51" i="22"/>
  <c r="R51" i="22" s="1"/>
  <c r="O54" i="22"/>
  <c r="R54" i="22" s="1"/>
  <c r="O57" i="22"/>
  <c r="R57" i="22" s="1"/>
  <c r="O60" i="22"/>
  <c r="R60" i="22" s="1"/>
  <c r="O46" i="21"/>
  <c r="R46" i="21" s="1"/>
  <c r="O31" i="20"/>
  <c r="R31" i="20" s="1"/>
  <c r="O55" i="20"/>
  <c r="R55" i="20" s="1"/>
  <c r="O25" i="20"/>
  <c r="R25" i="20" s="1"/>
  <c r="O19" i="20"/>
  <c r="R19" i="20" s="1"/>
  <c r="O49" i="20"/>
  <c r="R49" i="20" s="1"/>
  <c r="O37" i="20"/>
  <c r="R37" i="20" s="1"/>
  <c r="O51" i="20"/>
  <c r="R51" i="20" s="1"/>
  <c r="O43" i="20"/>
  <c r="R43" i="20" s="1"/>
  <c r="O18" i="19"/>
  <c r="R18" i="19" s="1"/>
  <c r="O21" i="19"/>
  <c r="R21" i="19" s="1"/>
  <c r="O24" i="19"/>
  <c r="R24" i="19" s="1"/>
  <c r="O27" i="19"/>
  <c r="R27" i="19" s="1"/>
  <c r="O30" i="19"/>
  <c r="R30" i="19" s="1"/>
  <c r="O33" i="19"/>
  <c r="R33" i="19" s="1"/>
  <c r="O36" i="19"/>
  <c r="R36" i="19" s="1"/>
  <c r="O39" i="19"/>
  <c r="R39" i="19" s="1"/>
  <c r="O42" i="19"/>
  <c r="R42" i="19" s="1"/>
  <c r="O45" i="19"/>
  <c r="R45" i="19" s="1"/>
  <c r="O48" i="19"/>
  <c r="R48" i="19" s="1"/>
  <c r="O51" i="19"/>
  <c r="R51" i="19" s="1"/>
  <c r="O54" i="19"/>
  <c r="R54" i="19" s="1"/>
  <c r="O57" i="19"/>
  <c r="R57" i="19" s="1"/>
  <c r="O60" i="19"/>
  <c r="R60" i="19" s="1"/>
  <c r="O17" i="22"/>
  <c r="R17" i="22" s="1"/>
  <c r="O20" i="22"/>
  <c r="R20" i="22" s="1"/>
  <c r="O23" i="22"/>
  <c r="R23" i="22" s="1"/>
  <c r="O26" i="22"/>
  <c r="R26" i="22" s="1"/>
  <c r="O29" i="22"/>
  <c r="R29" i="22" s="1"/>
  <c r="O32" i="22"/>
  <c r="R32" i="22" s="1"/>
  <c r="O35" i="22"/>
  <c r="R35" i="22" s="1"/>
  <c r="O38" i="22"/>
  <c r="R38" i="22" s="1"/>
  <c r="O41" i="22"/>
  <c r="R41" i="22" s="1"/>
  <c r="O44" i="22"/>
  <c r="R44" i="22" s="1"/>
  <c r="O47" i="22"/>
  <c r="R47" i="22" s="1"/>
  <c r="O50" i="22"/>
  <c r="R50" i="22" s="1"/>
  <c r="O53" i="22"/>
  <c r="R53" i="22" s="1"/>
  <c r="O56" i="22"/>
  <c r="R56" i="22" s="1"/>
  <c r="O59" i="22"/>
  <c r="R59" i="22" s="1"/>
  <c r="O17" i="21"/>
  <c r="R17" i="21" s="1"/>
  <c r="O20" i="21"/>
  <c r="R20" i="21" s="1"/>
  <c r="O23" i="21"/>
  <c r="R23" i="21" s="1"/>
  <c r="O26" i="21"/>
  <c r="R26" i="21" s="1"/>
  <c r="O29" i="21"/>
  <c r="R29" i="21" s="1"/>
  <c r="O32" i="21"/>
  <c r="R32" i="21" s="1"/>
  <c r="O35" i="21"/>
  <c r="R35" i="21" s="1"/>
  <c r="O38" i="21"/>
  <c r="R38" i="21" s="1"/>
  <c r="O41" i="21"/>
  <c r="R41" i="21" s="1"/>
  <c r="O44" i="21"/>
  <c r="R44" i="21" s="1"/>
  <c r="O47" i="21"/>
  <c r="R47" i="21" s="1"/>
  <c r="O50" i="21"/>
  <c r="R50" i="21" s="1"/>
  <c r="O53" i="21"/>
  <c r="R53" i="21" s="1"/>
  <c r="O56" i="21"/>
  <c r="R56" i="21" s="1"/>
  <c r="O59" i="21"/>
  <c r="R59" i="21" s="1"/>
  <c r="O22" i="20"/>
  <c r="R22" i="20" s="1"/>
  <c r="O28" i="20"/>
  <c r="R28" i="20" s="1"/>
  <c r="O34" i="20"/>
  <c r="R34" i="20" s="1"/>
  <c r="O40" i="20"/>
  <c r="R40" i="20" s="1"/>
  <c r="O46" i="20"/>
  <c r="R46" i="20" s="1"/>
  <c r="O52" i="20"/>
  <c r="R52" i="20" s="1"/>
  <c r="O58" i="20"/>
  <c r="R58" i="20" s="1"/>
  <c r="O16" i="20"/>
  <c r="R16" i="20" s="1"/>
  <c r="O17" i="20"/>
  <c r="R17" i="20" s="1"/>
  <c r="O23" i="20"/>
  <c r="R23" i="20" s="1"/>
  <c r="O29" i="20"/>
  <c r="R29" i="20" s="1"/>
  <c r="O35" i="20"/>
  <c r="R35" i="20" s="1"/>
  <c r="O41" i="20"/>
  <c r="R41" i="20" s="1"/>
  <c r="O47" i="20"/>
  <c r="R47" i="20" s="1"/>
  <c r="O53" i="20"/>
  <c r="R53" i="20" s="1"/>
  <c r="O59" i="20"/>
  <c r="R59" i="20" s="1"/>
  <c r="O18" i="20"/>
  <c r="R18" i="20" s="1"/>
  <c r="O24" i="20"/>
  <c r="R24" i="20" s="1"/>
  <c r="O30" i="20"/>
  <c r="R30" i="20" s="1"/>
  <c r="O36" i="20"/>
  <c r="R36" i="20" s="1"/>
  <c r="O42" i="20"/>
  <c r="R42" i="20" s="1"/>
  <c r="O48" i="20"/>
  <c r="R48" i="20" s="1"/>
  <c r="O54" i="20"/>
  <c r="R54" i="20" s="1"/>
  <c r="O57" i="20"/>
  <c r="R57" i="20" s="1"/>
  <c r="O19" i="19"/>
  <c r="R19" i="19" s="1"/>
  <c r="O28" i="19"/>
  <c r="R28" i="19" s="1"/>
  <c r="O34" i="19"/>
  <c r="R34" i="19" s="1"/>
  <c r="O40" i="19"/>
  <c r="R40" i="19" s="1"/>
  <c r="O46" i="19"/>
  <c r="R46" i="19" s="1"/>
  <c r="O49" i="19"/>
  <c r="R49" i="19" s="1"/>
  <c r="O52" i="19"/>
  <c r="R52" i="19" s="1"/>
  <c r="O58" i="19"/>
  <c r="R58" i="19" s="1"/>
  <c r="O16" i="19"/>
  <c r="R16" i="19" s="1"/>
  <c r="O22" i="19"/>
  <c r="R22" i="19" s="1"/>
  <c r="O25" i="19"/>
  <c r="R25" i="19" s="1"/>
  <c r="O31" i="19"/>
  <c r="R31" i="19" s="1"/>
  <c r="O37" i="19"/>
  <c r="R37" i="19" s="1"/>
  <c r="O43" i="19"/>
  <c r="R43" i="19" s="1"/>
  <c r="O55" i="19"/>
  <c r="R55" i="19" s="1"/>
  <c r="O20" i="19"/>
  <c r="R20" i="19" s="1"/>
  <c r="O26" i="19"/>
  <c r="R26" i="19" s="1"/>
  <c r="O29" i="19"/>
  <c r="R29" i="19" s="1"/>
  <c r="O32" i="19"/>
  <c r="R32" i="19" s="1"/>
  <c r="O38" i="19"/>
  <c r="R38" i="19" s="1"/>
  <c r="O41" i="19"/>
  <c r="R41" i="19" s="1"/>
  <c r="O44" i="19"/>
  <c r="R44" i="19" s="1"/>
  <c r="O47" i="19"/>
  <c r="R47" i="19" s="1"/>
  <c r="O50" i="19"/>
  <c r="R50" i="19" s="1"/>
  <c r="O53" i="19"/>
  <c r="R53" i="19" s="1"/>
  <c r="O56" i="19"/>
  <c r="R56" i="19" s="1"/>
  <c r="O59" i="19"/>
  <c r="R59" i="19" s="1"/>
  <c r="O17" i="19"/>
  <c r="R17" i="19" s="1"/>
  <c r="O23" i="19"/>
  <c r="R23" i="19" s="1"/>
  <c r="O35" i="19"/>
  <c r="R35" i="19" s="1"/>
  <c r="H12" i="17"/>
  <c r="J17" i="18" l="1"/>
  <c r="J14" i="18"/>
  <c r="G14" i="18"/>
  <c r="O11" i="22"/>
  <c r="Q98" i="22" l="1"/>
  <c r="P96" i="22"/>
  <c r="M96" i="22"/>
  <c r="J96" i="22"/>
  <c r="G96" i="22"/>
  <c r="O96" i="22" s="1"/>
  <c r="R96" i="22" s="1"/>
  <c r="P95" i="22"/>
  <c r="M95" i="22"/>
  <c r="J95" i="22"/>
  <c r="G95" i="22"/>
  <c r="P94" i="22"/>
  <c r="M94" i="22"/>
  <c r="J94" i="22"/>
  <c r="G94" i="22"/>
  <c r="P93" i="22"/>
  <c r="M93" i="22"/>
  <c r="J93" i="22"/>
  <c r="G93" i="22"/>
  <c r="O93" i="22" s="1"/>
  <c r="R93" i="22" s="1"/>
  <c r="P92" i="22"/>
  <c r="M92" i="22"/>
  <c r="J92" i="22"/>
  <c r="G92" i="22"/>
  <c r="P91" i="22"/>
  <c r="M91" i="22"/>
  <c r="J91" i="22"/>
  <c r="G91" i="22"/>
  <c r="P90" i="22"/>
  <c r="M90" i="22"/>
  <c r="J90" i="22"/>
  <c r="G90" i="22"/>
  <c r="O90" i="22" s="1"/>
  <c r="R90" i="22" s="1"/>
  <c r="P89" i="22"/>
  <c r="M89" i="22"/>
  <c r="J89" i="22"/>
  <c r="G89" i="22"/>
  <c r="P88" i="22"/>
  <c r="M88" i="22"/>
  <c r="J88" i="22"/>
  <c r="G88" i="22"/>
  <c r="P87" i="22"/>
  <c r="M87" i="22"/>
  <c r="J87" i="22"/>
  <c r="G87" i="22"/>
  <c r="O87" i="22" s="1"/>
  <c r="R87" i="22" s="1"/>
  <c r="P86" i="22"/>
  <c r="M86" i="22"/>
  <c r="J86" i="22"/>
  <c r="G86" i="22"/>
  <c r="P85" i="22"/>
  <c r="M85" i="22"/>
  <c r="J85" i="22"/>
  <c r="G85" i="22"/>
  <c r="P84" i="22"/>
  <c r="M84" i="22"/>
  <c r="J84" i="22"/>
  <c r="G84" i="22"/>
  <c r="O84" i="22" s="1"/>
  <c r="R84" i="22" s="1"/>
  <c r="P83" i="22"/>
  <c r="M83" i="22"/>
  <c r="J83" i="22"/>
  <c r="G83" i="22"/>
  <c r="P82" i="22"/>
  <c r="M82" i="22"/>
  <c r="J82" i="22"/>
  <c r="G82" i="22"/>
  <c r="P81" i="22"/>
  <c r="M81" i="22"/>
  <c r="J81" i="22"/>
  <c r="G81" i="22"/>
  <c r="O81" i="22" s="1"/>
  <c r="R81" i="22" s="1"/>
  <c r="P80" i="22"/>
  <c r="M80" i="22"/>
  <c r="J80" i="22"/>
  <c r="G80" i="22"/>
  <c r="P78" i="22"/>
  <c r="M78" i="22"/>
  <c r="J78" i="22"/>
  <c r="G78" i="22"/>
  <c r="P77" i="22"/>
  <c r="M77" i="22"/>
  <c r="J77" i="22"/>
  <c r="G77" i="22"/>
  <c r="O77" i="22" s="1"/>
  <c r="R77" i="22" s="1"/>
  <c r="P76" i="22"/>
  <c r="M76" i="22"/>
  <c r="J76" i="22"/>
  <c r="G76" i="22"/>
  <c r="P75" i="22"/>
  <c r="M75" i="22"/>
  <c r="J75" i="22"/>
  <c r="G75" i="22"/>
  <c r="P74" i="22"/>
  <c r="M74" i="22"/>
  <c r="J74" i="22"/>
  <c r="G74" i="22"/>
  <c r="O74" i="22" s="1"/>
  <c r="R74" i="22" s="1"/>
  <c r="P73" i="22"/>
  <c r="M73" i="22"/>
  <c r="J73" i="22"/>
  <c r="G73" i="22"/>
  <c r="P72" i="22"/>
  <c r="M72" i="22"/>
  <c r="J72" i="22"/>
  <c r="G72" i="22"/>
  <c r="P71" i="22"/>
  <c r="M71" i="22"/>
  <c r="J71" i="22"/>
  <c r="G71" i="22"/>
  <c r="O71" i="22" s="1"/>
  <c r="R71" i="22" s="1"/>
  <c r="P70" i="22"/>
  <c r="M70" i="22"/>
  <c r="J70" i="22"/>
  <c r="G70" i="22"/>
  <c r="P69" i="22"/>
  <c r="M69" i="22"/>
  <c r="J69" i="22"/>
  <c r="G69" i="22"/>
  <c r="P68" i="22"/>
  <c r="M68" i="22"/>
  <c r="J68" i="22"/>
  <c r="G68" i="22"/>
  <c r="O68" i="22" s="1"/>
  <c r="R68" i="22" s="1"/>
  <c r="P67" i="22"/>
  <c r="M67" i="22"/>
  <c r="J67" i="22"/>
  <c r="G67" i="22"/>
  <c r="P66" i="22"/>
  <c r="M66" i="22"/>
  <c r="J66" i="22"/>
  <c r="G66" i="22"/>
  <c r="P65" i="22"/>
  <c r="M65" i="22"/>
  <c r="J65" i="22"/>
  <c r="G65" i="22"/>
  <c r="O65" i="22" s="1"/>
  <c r="R65" i="22" s="1"/>
  <c r="P64" i="22"/>
  <c r="M64" i="22"/>
  <c r="J64" i="22"/>
  <c r="G64" i="22"/>
  <c r="P63" i="22"/>
  <c r="M63" i="22"/>
  <c r="J63" i="22"/>
  <c r="G63" i="22"/>
  <c r="P62" i="22"/>
  <c r="M62" i="22"/>
  <c r="J62" i="22"/>
  <c r="G62" i="22"/>
  <c r="O62" i="22" s="1"/>
  <c r="R62" i="22" s="1"/>
  <c r="P14" i="22"/>
  <c r="M14" i="22"/>
  <c r="J14" i="22"/>
  <c r="G14" i="22"/>
  <c r="Q98" i="21"/>
  <c r="P96" i="21"/>
  <c r="M96" i="21"/>
  <c r="J96" i="21"/>
  <c r="G96" i="21"/>
  <c r="P95" i="21"/>
  <c r="M95" i="21"/>
  <c r="J95" i="21"/>
  <c r="G95" i="21"/>
  <c r="P94" i="21"/>
  <c r="M94" i="21"/>
  <c r="J94" i="21"/>
  <c r="G94" i="21"/>
  <c r="P93" i="21"/>
  <c r="M93" i="21"/>
  <c r="J93" i="21"/>
  <c r="G93" i="21"/>
  <c r="P92" i="21"/>
  <c r="M92" i="21"/>
  <c r="J92" i="21"/>
  <c r="G92" i="21"/>
  <c r="P91" i="21"/>
  <c r="M91" i="21"/>
  <c r="J91" i="21"/>
  <c r="G91" i="21"/>
  <c r="P90" i="21"/>
  <c r="M90" i="21"/>
  <c r="J90" i="21"/>
  <c r="G90" i="21"/>
  <c r="P89" i="21"/>
  <c r="M89" i="21"/>
  <c r="J89" i="21"/>
  <c r="G89" i="21"/>
  <c r="P88" i="21"/>
  <c r="M88" i="21"/>
  <c r="J88" i="21"/>
  <c r="G88" i="21"/>
  <c r="P87" i="21"/>
  <c r="M87" i="21"/>
  <c r="J87" i="21"/>
  <c r="G87" i="21"/>
  <c r="P86" i="21"/>
  <c r="M86" i="21"/>
  <c r="J86" i="21"/>
  <c r="G86" i="21"/>
  <c r="P85" i="21"/>
  <c r="M85" i="21"/>
  <c r="J85" i="21"/>
  <c r="G85" i="21"/>
  <c r="P84" i="21"/>
  <c r="M84" i="21"/>
  <c r="J84" i="21"/>
  <c r="G84" i="21"/>
  <c r="P83" i="21"/>
  <c r="M83" i="21"/>
  <c r="J83" i="21"/>
  <c r="G83" i="21"/>
  <c r="P82" i="21"/>
  <c r="M82" i="21"/>
  <c r="J82" i="21"/>
  <c r="G82" i="21"/>
  <c r="P81" i="21"/>
  <c r="M81" i="21"/>
  <c r="J81" i="21"/>
  <c r="G81" i="21"/>
  <c r="P80" i="21"/>
  <c r="M80" i="21"/>
  <c r="J80" i="21"/>
  <c r="G80" i="21"/>
  <c r="P78" i="21"/>
  <c r="M78" i="21"/>
  <c r="J78" i="21"/>
  <c r="G78" i="21"/>
  <c r="P77" i="21"/>
  <c r="M77" i="21"/>
  <c r="J77" i="21"/>
  <c r="G77" i="21"/>
  <c r="P76" i="21"/>
  <c r="M76" i="21"/>
  <c r="J76" i="21"/>
  <c r="G76" i="21"/>
  <c r="P75" i="21"/>
  <c r="M75" i="21"/>
  <c r="J75" i="21"/>
  <c r="G75" i="21"/>
  <c r="O75" i="21" s="1"/>
  <c r="R75" i="21" s="1"/>
  <c r="P74" i="21"/>
  <c r="M74" i="21"/>
  <c r="J74" i="21"/>
  <c r="G74" i="21"/>
  <c r="P73" i="21"/>
  <c r="M73" i="21"/>
  <c r="J73" i="21"/>
  <c r="G73" i="21"/>
  <c r="P72" i="21"/>
  <c r="M72" i="21"/>
  <c r="J72" i="21"/>
  <c r="G72" i="21"/>
  <c r="O72" i="21" s="1"/>
  <c r="R72" i="21" s="1"/>
  <c r="P71" i="21"/>
  <c r="M71" i="21"/>
  <c r="J71" i="21"/>
  <c r="G71" i="21"/>
  <c r="P70" i="21"/>
  <c r="M70" i="21"/>
  <c r="J70" i="21"/>
  <c r="G70" i="21"/>
  <c r="P69" i="21"/>
  <c r="M69" i="21"/>
  <c r="J69" i="21"/>
  <c r="G69" i="21"/>
  <c r="P68" i="21"/>
  <c r="M68" i="21"/>
  <c r="J68" i="21"/>
  <c r="G68" i="21"/>
  <c r="P67" i="21"/>
  <c r="M67" i="21"/>
  <c r="J67" i="21"/>
  <c r="G67" i="21"/>
  <c r="P66" i="21"/>
  <c r="M66" i="21"/>
  <c r="J66" i="21"/>
  <c r="G66" i="21"/>
  <c r="P65" i="21"/>
  <c r="M65" i="21"/>
  <c r="J65" i="21"/>
  <c r="G65" i="21"/>
  <c r="P64" i="21"/>
  <c r="M64" i="21"/>
  <c r="J64" i="21"/>
  <c r="G64" i="21"/>
  <c r="O64" i="21" s="1"/>
  <c r="R64" i="21" s="1"/>
  <c r="P63" i="21"/>
  <c r="M63" i="21"/>
  <c r="J63" i="21"/>
  <c r="G63" i="21"/>
  <c r="O63" i="21" s="1"/>
  <c r="R63" i="21" s="1"/>
  <c r="P62" i="21"/>
  <c r="M62" i="21"/>
  <c r="J62" i="21"/>
  <c r="G62" i="21"/>
  <c r="P14" i="21"/>
  <c r="M14" i="21"/>
  <c r="J14" i="21"/>
  <c r="G14" i="21"/>
  <c r="O14" i="21" s="1"/>
  <c r="R14" i="21" s="1"/>
  <c r="O11" i="21"/>
  <c r="Q98" i="20"/>
  <c r="P96" i="20"/>
  <c r="M96" i="20"/>
  <c r="J96" i="20"/>
  <c r="G96" i="20"/>
  <c r="O96" i="20" s="1"/>
  <c r="R96" i="20" s="1"/>
  <c r="P95" i="20"/>
  <c r="M95" i="20"/>
  <c r="J95" i="20"/>
  <c r="G95" i="20"/>
  <c r="O95" i="20" s="1"/>
  <c r="R95" i="20" s="1"/>
  <c r="P94" i="20"/>
  <c r="M94" i="20"/>
  <c r="J94" i="20"/>
  <c r="G94" i="20"/>
  <c r="P93" i="20"/>
  <c r="M93" i="20"/>
  <c r="J93" i="20"/>
  <c r="G93" i="20"/>
  <c r="O93" i="20" s="1"/>
  <c r="R93" i="20" s="1"/>
  <c r="P92" i="20"/>
  <c r="M92" i="20"/>
  <c r="J92" i="20"/>
  <c r="G92" i="20"/>
  <c r="O92" i="20" s="1"/>
  <c r="R92" i="20" s="1"/>
  <c r="P91" i="20"/>
  <c r="M91" i="20"/>
  <c r="J91" i="20"/>
  <c r="G91" i="20"/>
  <c r="P90" i="20"/>
  <c r="M90" i="20"/>
  <c r="J90" i="20"/>
  <c r="G90" i="20"/>
  <c r="O90" i="20" s="1"/>
  <c r="R90" i="20" s="1"/>
  <c r="P89" i="20"/>
  <c r="M89" i="20"/>
  <c r="J89" i="20"/>
  <c r="G89" i="20"/>
  <c r="O89" i="20" s="1"/>
  <c r="R89" i="20" s="1"/>
  <c r="P88" i="20"/>
  <c r="M88" i="20"/>
  <c r="J88" i="20"/>
  <c r="G88" i="20"/>
  <c r="P87" i="20"/>
  <c r="M87" i="20"/>
  <c r="J87" i="20"/>
  <c r="G87" i="20"/>
  <c r="P86" i="20"/>
  <c r="M86" i="20"/>
  <c r="J86" i="20"/>
  <c r="G86" i="20"/>
  <c r="P85" i="20"/>
  <c r="M85" i="20"/>
  <c r="J85" i="20"/>
  <c r="G85" i="20"/>
  <c r="P84" i="20"/>
  <c r="M84" i="20"/>
  <c r="J84" i="20"/>
  <c r="G84" i="20"/>
  <c r="P83" i="20"/>
  <c r="M83" i="20"/>
  <c r="J83" i="20"/>
  <c r="G83" i="20"/>
  <c r="P82" i="20"/>
  <c r="M82" i="20"/>
  <c r="J82" i="20"/>
  <c r="G82" i="20"/>
  <c r="P81" i="20"/>
  <c r="M81" i="20"/>
  <c r="J81" i="20"/>
  <c r="G81" i="20"/>
  <c r="P80" i="20"/>
  <c r="M80" i="20"/>
  <c r="J80" i="20"/>
  <c r="G80" i="20"/>
  <c r="O80" i="20" s="1"/>
  <c r="R80" i="20" s="1"/>
  <c r="P78" i="20"/>
  <c r="M78" i="20"/>
  <c r="J78" i="20"/>
  <c r="G78" i="20"/>
  <c r="P77" i="20"/>
  <c r="M77" i="20"/>
  <c r="J77" i="20"/>
  <c r="G77" i="20"/>
  <c r="P76" i="20"/>
  <c r="M76" i="20"/>
  <c r="J76" i="20"/>
  <c r="G76" i="20"/>
  <c r="O76" i="20" s="1"/>
  <c r="R76" i="20" s="1"/>
  <c r="P75" i="20"/>
  <c r="M75" i="20"/>
  <c r="J75" i="20"/>
  <c r="G75" i="20"/>
  <c r="P74" i="20"/>
  <c r="M74" i="20"/>
  <c r="J74" i="20"/>
  <c r="G74" i="20"/>
  <c r="P73" i="20"/>
  <c r="M73" i="20"/>
  <c r="J73" i="20"/>
  <c r="G73" i="20"/>
  <c r="O73" i="20" s="1"/>
  <c r="R73" i="20" s="1"/>
  <c r="P72" i="20"/>
  <c r="M72" i="20"/>
  <c r="J72" i="20"/>
  <c r="G72" i="20"/>
  <c r="P71" i="20"/>
  <c r="M71" i="20"/>
  <c r="J71" i="20"/>
  <c r="G71" i="20"/>
  <c r="P70" i="20"/>
  <c r="M70" i="20"/>
  <c r="J70" i="20"/>
  <c r="G70" i="20"/>
  <c r="O70" i="20" s="1"/>
  <c r="R70" i="20" s="1"/>
  <c r="P69" i="20"/>
  <c r="M69" i="20"/>
  <c r="J69" i="20"/>
  <c r="G69" i="20"/>
  <c r="P68" i="20"/>
  <c r="M68" i="20"/>
  <c r="J68" i="20"/>
  <c r="G68" i="20"/>
  <c r="P67" i="20"/>
  <c r="M67" i="20"/>
  <c r="J67" i="20"/>
  <c r="G67" i="20"/>
  <c r="O67" i="20" s="1"/>
  <c r="R67" i="20" s="1"/>
  <c r="P66" i="20"/>
  <c r="M66" i="20"/>
  <c r="J66" i="20"/>
  <c r="G66" i="20"/>
  <c r="P65" i="20"/>
  <c r="M65" i="20"/>
  <c r="J65" i="20"/>
  <c r="G65" i="20"/>
  <c r="P64" i="20"/>
  <c r="M64" i="20"/>
  <c r="J64" i="20"/>
  <c r="G64" i="20"/>
  <c r="O64" i="20" s="1"/>
  <c r="R64" i="20" s="1"/>
  <c r="P63" i="20"/>
  <c r="M63" i="20"/>
  <c r="J63" i="20"/>
  <c r="G63" i="20"/>
  <c r="P62" i="20"/>
  <c r="M62" i="20"/>
  <c r="J62" i="20"/>
  <c r="G62" i="20"/>
  <c r="P14" i="20"/>
  <c r="M14" i="20"/>
  <c r="J14" i="20"/>
  <c r="G14" i="20"/>
  <c r="O11" i="20"/>
  <c r="Q98" i="19"/>
  <c r="P96" i="19"/>
  <c r="M96" i="19"/>
  <c r="J96" i="19"/>
  <c r="G96" i="19"/>
  <c r="P95" i="19"/>
  <c r="M95" i="19"/>
  <c r="J95" i="19"/>
  <c r="G95" i="19"/>
  <c r="P94" i="19"/>
  <c r="M94" i="19"/>
  <c r="J94" i="19"/>
  <c r="G94" i="19"/>
  <c r="P93" i="19"/>
  <c r="M93" i="19"/>
  <c r="J93" i="19"/>
  <c r="G93" i="19"/>
  <c r="P92" i="19"/>
  <c r="M92" i="19"/>
  <c r="J92" i="19"/>
  <c r="G92" i="19"/>
  <c r="P91" i="19"/>
  <c r="M91" i="19"/>
  <c r="J91" i="19"/>
  <c r="G91" i="19"/>
  <c r="P90" i="19"/>
  <c r="M90" i="19"/>
  <c r="J90" i="19"/>
  <c r="G90" i="19"/>
  <c r="P89" i="19"/>
  <c r="M89" i="19"/>
  <c r="J89" i="19"/>
  <c r="G89" i="19"/>
  <c r="P88" i="19"/>
  <c r="M88" i="19"/>
  <c r="J88" i="19"/>
  <c r="G88" i="19"/>
  <c r="P87" i="19"/>
  <c r="M87" i="19"/>
  <c r="J87" i="19"/>
  <c r="G87" i="19"/>
  <c r="P86" i="19"/>
  <c r="M86" i="19"/>
  <c r="J86" i="19"/>
  <c r="G86" i="19"/>
  <c r="P85" i="19"/>
  <c r="M85" i="19"/>
  <c r="J85" i="19"/>
  <c r="G85" i="19"/>
  <c r="P84" i="19"/>
  <c r="M84" i="19"/>
  <c r="J84" i="19"/>
  <c r="G84" i="19"/>
  <c r="P83" i="19"/>
  <c r="M83" i="19"/>
  <c r="J83" i="19"/>
  <c r="G83" i="19"/>
  <c r="P82" i="19"/>
  <c r="M82" i="19"/>
  <c r="J82" i="19"/>
  <c r="G82" i="19"/>
  <c r="P81" i="19"/>
  <c r="M81" i="19"/>
  <c r="J81" i="19"/>
  <c r="G81" i="19"/>
  <c r="P80" i="19"/>
  <c r="M80" i="19"/>
  <c r="J80" i="19"/>
  <c r="G80" i="19"/>
  <c r="P78" i="19"/>
  <c r="M78" i="19"/>
  <c r="J78" i="19"/>
  <c r="G78" i="19"/>
  <c r="P77" i="19"/>
  <c r="M77" i="19"/>
  <c r="J77" i="19"/>
  <c r="G77" i="19"/>
  <c r="P76" i="19"/>
  <c r="M76" i="19"/>
  <c r="J76" i="19"/>
  <c r="G76" i="19"/>
  <c r="P75" i="19"/>
  <c r="M75" i="19"/>
  <c r="J75" i="19"/>
  <c r="G75" i="19"/>
  <c r="P74" i="19"/>
  <c r="M74" i="19"/>
  <c r="J74" i="19"/>
  <c r="G74" i="19"/>
  <c r="P73" i="19"/>
  <c r="M73" i="19"/>
  <c r="J73" i="19"/>
  <c r="G73" i="19"/>
  <c r="P72" i="19"/>
  <c r="M72" i="19"/>
  <c r="J72" i="19"/>
  <c r="G72" i="19"/>
  <c r="P71" i="19"/>
  <c r="M71" i="19"/>
  <c r="J71" i="19"/>
  <c r="G71" i="19"/>
  <c r="P70" i="19"/>
  <c r="M70" i="19"/>
  <c r="J70" i="19"/>
  <c r="G70" i="19"/>
  <c r="P69" i="19"/>
  <c r="M69" i="19"/>
  <c r="J69" i="19"/>
  <c r="G69" i="19"/>
  <c r="P68" i="19"/>
  <c r="M68" i="19"/>
  <c r="J68" i="19"/>
  <c r="G68" i="19"/>
  <c r="P67" i="19"/>
  <c r="M67" i="19"/>
  <c r="J67" i="19"/>
  <c r="G67" i="19"/>
  <c r="P66" i="19"/>
  <c r="M66" i="19"/>
  <c r="J66" i="19"/>
  <c r="G66" i="19"/>
  <c r="P65" i="19"/>
  <c r="M65" i="19"/>
  <c r="J65" i="19"/>
  <c r="G65" i="19"/>
  <c r="P64" i="19"/>
  <c r="M64" i="19"/>
  <c r="J64" i="19"/>
  <c r="G64" i="19"/>
  <c r="P63" i="19"/>
  <c r="M63" i="19"/>
  <c r="J63" i="19"/>
  <c r="G63" i="19"/>
  <c r="P62" i="19"/>
  <c r="M62" i="19"/>
  <c r="J62" i="19"/>
  <c r="G62" i="19"/>
  <c r="P14" i="19"/>
  <c r="M14" i="19"/>
  <c r="J14" i="19"/>
  <c r="G14" i="19"/>
  <c r="O11" i="19"/>
  <c r="Q98" i="18"/>
  <c r="P14" i="18"/>
  <c r="J65" i="18"/>
  <c r="G72" i="18"/>
  <c r="J72" i="18"/>
  <c r="M72" i="18"/>
  <c r="P72" i="18"/>
  <c r="G73" i="18"/>
  <c r="J73" i="18"/>
  <c r="M73" i="18"/>
  <c r="P73" i="18"/>
  <c r="G74" i="18"/>
  <c r="J74" i="18"/>
  <c r="M74" i="18"/>
  <c r="P74" i="18"/>
  <c r="G75" i="18"/>
  <c r="J75" i="18"/>
  <c r="M75" i="18"/>
  <c r="P75" i="18"/>
  <c r="G76" i="18"/>
  <c r="J76" i="18"/>
  <c r="M76" i="18"/>
  <c r="P76" i="18"/>
  <c r="G77" i="18"/>
  <c r="J77" i="18"/>
  <c r="M77" i="18"/>
  <c r="P77" i="18"/>
  <c r="M57" i="18"/>
  <c r="M56" i="18"/>
  <c r="M55" i="18"/>
  <c r="M54" i="18"/>
  <c r="M53" i="18"/>
  <c r="M52" i="18"/>
  <c r="M51" i="18"/>
  <c r="M50" i="18"/>
  <c r="M49" i="18"/>
  <c r="M48" i="18"/>
  <c r="M47" i="18"/>
  <c r="M46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P48" i="18"/>
  <c r="P56" i="18"/>
  <c r="P55" i="18"/>
  <c r="P54" i="18"/>
  <c r="P53" i="18"/>
  <c r="P52" i="18"/>
  <c r="P51" i="18"/>
  <c r="P50" i="18"/>
  <c r="P49" i="18"/>
  <c r="P47" i="18"/>
  <c r="P46" i="18"/>
  <c r="P59" i="18"/>
  <c r="M59" i="18"/>
  <c r="J59" i="18"/>
  <c r="G58" i="18"/>
  <c r="J58" i="18"/>
  <c r="M58" i="18"/>
  <c r="P58" i="18"/>
  <c r="G59" i="18"/>
  <c r="G60" i="18"/>
  <c r="J60" i="18"/>
  <c r="M60" i="18"/>
  <c r="P60" i="18"/>
  <c r="P96" i="18"/>
  <c r="M96" i="18"/>
  <c r="J96" i="18"/>
  <c r="G96" i="18"/>
  <c r="P95" i="18"/>
  <c r="M95" i="18"/>
  <c r="J95" i="18"/>
  <c r="G95" i="18"/>
  <c r="P94" i="18"/>
  <c r="M94" i="18"/>
  <c r="J94" i="18"/>
  <c r="G94" i="18"/>
  <c r="P93" i="18"/>
  <c r="M93" i="18"/>
  <c r="J93" i="18"/>
  <c r="G93" i="18"/>
  <c r="P92" i="18"/>
  <c r="M92" i="18"/>
  <c r="J92" i="18"/>
  <c r="G92" i="18"/>
  <c r="P91" i="18"/>
  <c r="M91" i="18"/>
  <c r="J91" i="18"/>
  <c r="G91" i="18"/>
  <c r="P90" i="18"/>
  <c r="M90" i="18"/>
  <c r="J90" i="18"/>
  <c r="G90" i="18"/>
  <c r="P89" i="18"/>
  <c r="M89" i="18"/>
  <c r="J89" i="18"/>
  <c r="G89" i="18"/>
  <c r="P88" i="18"/>
  <c r="M88" i="18"/>
  <c r="J88" i="18"/>
  <c r="G88" i="18"/>
  <c r="P87" i="18"/>
  <c r="M87" i="18"/>
  <c r="J87" i="18"/>
  <c r="G87" i="18"/>
  <c r="P86" i="18"/>
  <c r="M86" i="18"/>
  <c r="J86" i="18"/>
  <c r="G86" i="18"/>
  <c r="P85" i="18"/>
  <c r="M85" i="18"/>
  <c r="J85" i="18"/>
  <c r="G85" i="18"/>
  <c r="P84" i="18"/>
  <c r="M84" i="18"/>
  <c r="J84" i="18"/>
  <c r="G84" i="18"/>
  <c r="P83" i="18"/>
  <c r="M83" i="18"/>
  <c r="J83" i="18"/>
  <c r="G83" i="18"/>
  <c r="P82" i="18"/>
  <c r="M82" i="18"/>
  <c r="J82" i="18"/>
  <c r="G82" i="18"/>
  <c r="P81" i="18"/>
  <c r="M81" i="18"/>
  <c r="J81" i="18"/>
  <c r="G81" i="18"/>
  <c r="P80" i="18"/>
  <c r="M80" i="18"/>
  <c r="J80" i="18"/>
  <c r="G80" i="18"/>
  <c r="P78" i="18"/>
  <c r="M78" i="18"/>
  <c r="J78" i="18"/>
  <c r="G78" i="18"/>
  <c r="P71" i="18"/>
  <c r="M71" i="18"/>
  <c r="J71" i="18"/>
  <c r="G71" i="18"/>
  <c r="P70" i="18"/>
  <c r="M70" i="18"/>
  <c r="J70" i="18"/>
  <c r="G70" i="18"/>
  <c r="P69" i="18"/>
  <c r="M69" i="18"/>
  <c r="J69" i="18"/>
  <c r="G69" i="18"/>
  <c r="P68" i="18"/>
  <c r="M68" i="18"/>
  <c r="J68" i="18"/>
  <c r="G68" i="18"/>
  <c r="P67" i="18"/>
  <c r="M67" i="18"/>
  <c r="J67" i="18"/>
  <c r="G67" i="18"/>
  <c r="P66" i="18"/>
  <c r="M66" i="18"/>
  <c r="J66" i="18"/>
  <c r="G66" i="18"/>
  <c r="P65" i="18"/>
  <c r="M65" i="18"/>
  <c r="G65" i="18"/>
  <c r="P64" i="18"/>
  <c r="M64" i="18"/>
  <c r="J64" i="18"/>
  <c r="G64" i="18"/>
  <c r="P63" i="18"/>
  <c r="M63" i="18"/>
  <c r="J63" i="18"/>
  <c r="G63" i="18"/>
  <c r="P62" i="18"/>
  <c r="M62" i="18"/>
  <c r="J62" i="18"/>
  <c r="G62" i="18"/>
  <c r="P57" i="18"/>
  <c r="P45" i="18"/>
  <c r="M45" i="18"/>
  <c r="J45" i="18"/>
  <c r="G45" i="18"/>
  <c r="P44" i="18"/>
  <c r="M44" i="18"/>
  <c r="J44" i="18"/>
  <c r="G44" i="18"/>
  <c r="P43" i="18"/>
  <c r="M43" i="18"/>
  <c r="J43" i="18"/>
  <c r="G43" i="18"/>
  <c r="P42" i="18"/>
  <c r="M42" i="18"/>
  <c r="J42" i="18"/>
  <c r="G42" i="18"/>
  <c r="P41" i="18"/>
  <c r="M41" i="18"/>
  <c r="J41" i="18"/>
  <c r="G41" i="18"/>
  <c r="P40" i="18"/>
  <c r="M40" i="18"/>
  <c r="J40" i="18"/>
  <c r="G40" i="18"/>
  <c r="P39" i="18"/>
  <c r="M39" i="18"/>
  <c r="J39" i="18"/>
  <c r="G39" i="18"/>
  <c r="P38" i="18"/>
  <c r="M38" i="18"/>
  <c r="J38" i="18"/>
  <c r="G38" i="18"/>
  <c r="P37" i="18"/>
  <c r="M37" i="18"/>
  <c r="J37" i="18"/>
  <c r="G37" i="18"/>
  <c r="P36" i="18"/>
  <c r="M36" i="18"/>
  <c r="J36" i="18"/>
  <c r="G36" i="18"/>
  <c r="P35" i="18"/>
  <c r="M35" i="18"/>
  <c r="J35" i="18"/>
  <c r="G35" i="18"/>
  <c r="P34" i="18"/>
  <c r="M34" i="18"/>
  <c r="J34" i="18"/>
  <c r="G34" i="18"/>
  <c r="P33" i="18"/>
  <c r="M33" i="18"/>
  <c r="J33" i="18"/>
  <c r="G33" i="18"/>
  <c r="P32" i="18"/>
  <c r="M32" i="18"/>
  <c r="J32" i="18"/>
  <c r="G32" i="18"/>
  <c r="P31" i="18"/>
  <c r="M31" i="18"/>
  <c r="J31" i="18"/>
  <c r="G31" i="18"/>
  <c r="P30" i="18"/>
  <c r="M30" i="18"/>
  <c r="J30" i="18"/>
  <c r="G30" i="18"/>
  <c r="P29" i="18"/>
  <c r="M29" i="18"/>
  <c r="J29" i="18"/>
  <c r="G29" i="18"/>
  <c r="P28" i="18"/>
  <c r="M28" i="18"/>
  <c r="J28" i="18"/>
  <c r="G28" i="18"/>
  <c r="P27" i="18"/>
  <c r="M27" i="18"/>
  <c r="J27" i="18"/>
  <c r="G27" i="18"/>
  <c r="P26" i="18"/>
  <c r="M26" i="18"/>
  <c r="J26" i="18"/>
  <c r="G26" i="18"/>
  <c r="P25" i="18"/>
  <c r="M25" i="18"/>
  <c r="J25" i="18"/>
  <c r="G25" i="18"/>
  <c r="P24" i="18"/>
  <c r="M24" i="18"/>
  <c r="J24" i="18"/>
  <c r="G24" i="18"/>
  <c r="P23" i="18"/>
  <c r="M23" i="18"/>
  <c r="J23" i="18"/>
  <c r="G23" i="18"/>
  <c r="P22" i="18"/>
  <c r="M22" i="18"/>
  <c r="J22" i="18"/>
  <c r="G22" i="18"/>
  <c r="P21" i="18"/>
  <c r="M21" i="18"/>
  <c r="J21" i="18"/>
  <c r="G21" i="18"/>
  <c r="P20" i="18"/>
  <c r="M20" i="18"/>
  <c r="J20" i="18"/>
  <c r="G20" i="18"/>
  <c r="P19" i="18"/>
  <c r="M19" i="18"/>
  <c r="J19" i="18"/>
  <c r="G19" i="18"/>
  <c r="P18" i="18"/>
  <c r="M18" i="18"/>
  <c r="J18" i="18"/>
  <c r="G18" i="18"/>
  <c r="P17" i="18"/>
  <c r="M17" i="18"/>
  <c r="G17" i="18"/>
  <c r="P16" i="18"/>
  <c r="M16" i="18"/>
  <c r="J16" i="18"/>
  <c r="G16" i="18"/>
  <c r="M14" i="18"/>
  <c r="O11" i="18"/>
  <c r="O71" i="21" l="1"/>
  <c r="R71" i="21" s="1"/>
  <c r="O14" i="22"/>
  <c r="R14" i="22" s="1"/>
  <c r="O64" i="22"/>
  <c r="R64" i="22" s="1"/>
  <c r="O67" i="22"/>
  <c r="R67" i="22" s="1"/>
  <c r="O70" i="22"/>
  <c r="R70" i="22" s="1"/>
  <c r="O73" i="22"/>
  <c r="R73" i="22" s="1"/>
  <c r="O76" i="22"/>
  <c r="R76" i="22" s="1"/>
  <c r="O80" i="22"/>
  <c r="R80" i="22" s="1"/>
  <c r="O83" i="22"/>
  <c r="R83" i="22" s="1"/>
  <c r="O86" i="22"/>
  <c r="R86" i="22" s="1"/>
  <c r="O89" i="22"/>
  <c r="R89" i="22" s="1"/>
  <c r="O92" i="22"/>
  <c r="R92" i="22" s="1"/>
  <c r="O95" i="22"/>
  <c r="R95" i="22" s="1"/>
  <c r="O66" i="20"/>
  <c r="R66" i="20" s="1"/>
  <c r="O72" i="20"/>
  <c r="R72" i="20" s="1"/>
  <c r="O88" i="20"/>
  <c r="R88" i="20" s="1"/>
  <c r="O71" i="20"/>
  <c r="R71" i="20" s="1"/>
  <c r="O77" i="20"/>
  <c r="R77" i="20" s="1"/>
  <c r="O65" i="19"/>
  <c r="R65" i="19" s="1"/>
  <c r="O84" i="19"/>
  <c r="R84" i="19" s="1"/>
  <c r="O71" i="19"/>
  <c r="R71" i="19" s="1"/>
  <c r="O64" i="19"/>
  <c r="R64" i="19" s="1"/>
  <c r="O70" i="19"/>
  <c r="R70" i="19" s="1"/>
  <c r="O76" i="19"/>
  <c r="R76" i="19" s="1"/>
  <c r="O83" i="19"/>
  <c r="R83" i="19" s="1"/>
  <c r="O89" i="19"/>
  <c r="R89" i="19" s="1"/>
  <c r="O77" i="19"/>
  <c r="R77" i="19" s="1"/>
  <c r="O65" i="21"/>
  <c r="R65" i="21" s="1"/>
  <c r="O77" i="21"/>
  <c r="R77" i="21" s="1"/>
  <c r="O69" i="21"/>
  <c r="R69" i="21" s="1"/>
  <c r="O67" i="21"/>
  <c r="R67" i="21" s="1"/>
  <c r="O73" i="21"/>
  <c r="R73" i="21" s="1"/>
  <c r="O80" i="21"/>
  <c r="R80" i="21" s="1"/>
  <c r="O83" i="21"/>
  <c r="R83" i="21" s="1"/>
  <c r="O86" i="21"/>
  <c r="R86" i="21" s="1"/>
  <c r="O89" i="21"/>
  <c r="R89" i="21" s="1"/>
  <c r="O92" i="21"/>
  <c r="R92" i="21" s="1"/>
  <c r="O95" i="21"/>
  <c r="R95" i="21" s="1"/>
  <c r="O75" i="20"/>
  <c r="R75" i="20" s="1"/>
  <c r="O78" i="20"/>
  <c r="R78" i="20" s="1"/>
  <c r="O82" i="20"/>
  <c r="R82" i="20" s="1"/>
  <c r="O63" i="20"/>
  <c r="R63" i="20" s="1"/>
  <c r="O69" i="20"/>
  <c r="R69" i="20" s="1"/>
  <c r="O94" i="20"/>
  <c r="R94" i="20" s="1"/>
  <c r="O86" i="20"/>
  <c r="R86" i="20" s="1"/>
  <c r="O14" i="20"/>
  <c r="R14" i="20" s="1"/>
  <c r="O62" i="20"/>
  <c r="R62" i="20" s="1"/>
  <c r="O65" i="20"/>
  <c r="R65" i="20" s="1"/>
  <c r="O68" i="20"/>
  <c r="R68" i="20" s="1"/>
  <c r="O81" i="20"/>
  <c r="R81" i="20" s="1"/>
  <c r="O84" i="20"/>
  <c r="R84" i="20" s="1"/>
  <c r="O87" i="20"/>
  <c r="R87" i="20" s="1"/>
  <c r="O95" i="19"/>
  <c r="R95" i="19" s="1"/>
  <c r="O90" i="19"/>
  <c r="R90" i="19" s="1"/>
  <c r="O63" i="22"/>
  <c r="R63" i="22" s="1"/>
  <c r="O66" i="22"/>
  <c r="R66" i="22" s="1"/>
  <c r="O69" i="22"/>
  <c r="R69" i="22" s="1"/>
  <c r="O72" i="22"/>
  <c r="R72" i="22" s="1"/>
  <c r="O75" i="22"/>
  <c r="R75" i="22" s="1"/>
  <c r="O78" i="22"/>
  <c r="R78" i="22" s="1"/>
  <c r="O82" i="22"/>
  <c r="R82" i="22" s="1"/>
  <c r="O85" i="22"/>
  <c r="R85" i="22" s="1"/>
  <c r="O88" i="22"/>
  <c r="R88" i="22" s="1"/>
  <c r="O91" i="22"/>
  <c r="R91" i="22" s="1"/>
  <c r="O94" i="22"/>
  <c r="R94" i="22" s="1"/>
  <c r="O81" i="21"/>
  <c r="R81" i="21" s="1"/>
  <c r="O84" i="21"/>
  <c r="R84" i="21" s="1"/>
  <c r="O87" i="21"/>
  <c r="R87" i="21" s="1"/>
  <c r="O90" i="21"/>
  <c r="R90" i="21" s="1"/>
  <c r="O93" i="21"/>
  <c r="R93" i="21" s="1"/>
  <c r="O96" i="21"/>
  <c r="R96" i="21" s="1"/>
  <c r="O62" i="21"/>
  <c r="R62" i="21" s="1"/>
  <c r="O70" i="21"/>
  <c r="R70" i="21" s="1"/>
  <c r="O78" i="21"/>
  <c r="R78" i="21" s="1"/>
  <c r="O82" i="21"/>
  <c r="R82" i="21" s="1"/>
  <c r="O85" i="21"/>
  <c r="R85" i="21" s="1"/>
  <c r="O88" i="21"/>
  <c r="R88" i="21" s="1"/>
  <c r="O91" i="21"/>
  <c r="R91" i="21" s="1"/>
  <c r="O94" i="21"/>
  <c r="R94" i="21" s="1"/>
  <c r="O68" i="21"/>
  <c r="R68" i="21" s="1"/>
  <c r="O76" i="21"/>
  <c r="R76" i="21" s="1"/>
  <c r="O66" i="21"/>
  <c r="R66" i="21" s="1"/>
  <c r="O74" i="21"/>
  <c r="R74" i="21" s="1"/>
  <c r="O85" i="20"/>
  <c r="R85" i="20" s="1"/>
  <c r="O74" i="20"/>
  <c r="R74" i="20" s="1"/>
  <c r="O83" i="20"/>
  <c r="R83" i="20" s="1"/>
  <c r="O91" i="20"/>
  <c r="R91" i="20" s="1"/>
  <c r="O86" i="19"/>
  <c r="R86" i="19" s="1"/>
  <c r="O14" i="19"/>
  <c r="R14" i="19" s="1"/>
  <c r="O62" i="19"/>
  <c r="R62" i="19" s="1"/>
  <c r="O68" i="19"/>
  <c r="R68" i="19" s="1"/>
  <c r="O74" i="19"/>
  <c r="R74" i="19" s="1"/>
  <c r="O81" i="19"/>
  <c r="R81" i="19" s="1"/>
  <c r="O87" i="19"/>
  <c r="R87" i="19" s="1"/>
  <c r="O93" i="19"/>
  <c r="R93" i="19" s="1"/>
  <c r="O67" i="19"/>
  <c r="R67" i="19" s="1"/>
  <c r="O73" i="19"/>
  <c r="R73" i="19" s="1"/>
  <c r="O80" i="19"/>
  <c r="R80" i="19" s="1"/>
  <c r="O92" i="19"/>
  <c r="R92" i="19" s="1"/>
  <c r="O96" i="19"/>
  <c r="R96" i="19" s="1"/>
  <c r="O66" i="19"/>
  <c r="R66" i="19" s="1"/>
  <c r="O72" i="19"/>
  <c r="R72" i="19" s="1"/>
  <c r="O78" i="19"/>
  <c r="R78" i="19" s="1"/>
  <c r="O85" i="19"/>
  <c r="R85" i="19" s="1"/>
  <c r="O91" i="19"/>
  <c r="R91" i="19" s="1"/>
  <c r="O63" i="19"/>
  <c r="R63" i="19" s="1"/>
  <c r="O69" i="19"/>
  <c r="R69" i="19" s="1"/>
  <c r="O75" i="19"/>
  <c r="R75" i="19" s="1"/>
  <c r="O82" i="19"/>
  <c r="R82" i="19" s="1"/>
  <c r="O88" i="19"/>
  <c r="R88" i="19" s="1"/>
  <c r="O94" i="19"/>
  <c r="R94" i="19" s="1"/>
  <c r="O73" i="18"/>
  <c r="R73" i="18" s="1"/>
  <c r="O77" i="18"/>
  <c r="R77" i="18" s="1"/>
  <c r="O46" i="18"/>
  <c r="R46" i="18" s="1"/>
  <c r="O55" i="18"/>
  <c r="R55" i="18" s="1"/>
  <c r="O47" i="18"/>
  <c r="R47" i="18" s="1"/>
  <c r="O56" i="18"/>
  <c r="R56" i="18" s="1"/>
  <c r="O54" i="18"/>
  <c r="R54" i="18" s="1"/>
  <c r="O48" i="18"/>
  <c r="R48" i="18" s="1"/>
  <c r="O57" i="18"/>
  <c r="R57" i="18" s="1"/>
  <c r="O75" i="18"/>
  <c r="R75" i="18" s="1"/>
  <c r="O60" i="18"/>
  <c r="R60" i="18" s="1"/>
  <c r="O74" i="18"/>
  <c r="R74" i="18" s="1"/>
  <c r="O49" i="18"/>
  <c r="R49" i="18" s="1"/>
  <c r="O50" i="18"/>
  <c r="R50" i="18" s="1"/>
  <c r="O76" i="18"/>
  <c r="R76" i="18" s="1"/>
  <c r="O51" i="18"/>
  <c r="R51" i="18" s="1"/>
  <c r="O72" i="18"/>
  <c r="R72" i="18" s="1"/>
  <c r="O52" i="18"/>
  <c r="R52" i="18" s="1"/>
  <c r="O53" i="18"/>
  <c r="R53" i="18" s="1"/>
  <c r="O59" i="18"/>
  <c r="R59" i="18" s="1"/>
  <c r="O45" i="18"/>
  <c r="R45" i="18" s="1"/>
  <c r="O58" i="18"/>
  <c r="R58" i="18" s="1"/>
  <c r="O70" i="18"/>
  <c r="R70" i="18" s="1"/>
  <c r="O65" i="18"/>
  <c r="R65" i="18" s="1"/>
  <c r="O20" i="18"/>
  <c r="R20" i="18" s="1"/>
  <c r="O23" i="18"/>
  <c r="R23" i="18" s="1"/>
  <c r="O26" i="18"/>
  <c r="R26" i="18" s="1"/>
  <c r="O44" i="18"/>
  <c r="R44" i="18" s="1"/>
  <c r="O63" i="18"/>
  <c r="R63" i="18" s="1"/>
  <c r="O78" i="18"/>
  <c r="R78" i="18" s="1"/>
  <c r="O80" i="18"/>
  <c r="R80" i="18" s="1"/>
  <c r="O83" i="18"/>
  <c r="R83" i="18" s="1"/>
  <c r="O86" i="18"/>
  <c r="R86" i="18" s="1"/>
  <c r="O89" i="18"/>
  <c r="R89" i="18" s="1"/>
  <c r="O27" i="18"/>
  <c r="R27" i="18" s="1"/>
  <c r="O93" i="18"/>
  <c r="R93" i="18" s="1"/>
  <c r="O91" i="18"/>
  <c r="R91" i="18" s="1"/>
  <c r="O37" i="18"/>
  <c r="R37" i="18" s="1"/>
  <c r="O40" i="18"/>
  <c r="R40" i="18" s="1"/>
  <c r="O62" i="18"/>
  <c r="R62" i="18" s="1"/>
  <c r="O38" i="18"/>
  <c r="R38" i="18" s="1"/>
  <c r="O69" i="18"/>
  <c r="R69" i="18" s="1"/>
  <c r="O32" i="18"/>
  <c r="R32" i="18" s="1"/>
  <c r="O95" i="18"/>
  <c r="R95" i="18" s="1"/>
  <c r="O30" i="18"/>
  <c r="R30" i="18" s="1"/>
  <c r="O96" i="18"/>
  <c r="R96" i="18" s="1"/>
  <c r="O16" i="18"/>
  <c r="R16" i="18" s="1"/>
  <c r="O22" i="18"/>
  <c r="R22" i="18" s="1"/>
  <c r="O25" i="18"/>
  <c r="R25" i="18" s="1"/>
  <c r="O34" i="18"/>
  <c r="R34" i="18" s="1"/>
  <c r="O21" i="18"/>
  <c r="R21" i="18" s="1"/>
  <c r="O24" i="18"/>
  <c r="R24" i="18" s="1"/>
  <c r="O41" i="18"/>
  <c r="R41" i="18" s="1"/>
  <c r="O71" i="18"/>
  <c r="R71" i="18" s="1"/>
  <c r="O84" i="18"/>
  <c r="R84" i="18" s="1"/>
  <c r="O87" i="18"/>
  <c r="R87" i="18" s="1"/>
  <c r="O90" i="18"/>
  <c r="R90" i="18" s="1"/>
  <c r="O68" i="18"/>
  <c r="R68" i="18" s="1"/>
  <c r="O33" i="18"/>
  <c r="R33" i="18" s="1"/>
  <c r="O36" i="18"/>
  <c r="R36" i="18" s="1"/>
  <c r="O39" i="18"/>
  <c r="R39" i="18" s="1"/>
  <c r="O66" i="18"/>
  <c r="R66" i="18" s="1"/>
  <c r="O85" i="18"/>
  <c r="R85" i="18" s="1"/>
  <c r="O19" i="18"/>
  <c r="R19" i="18" s="1"/>
  <c r="O42" i="18"/>
  <c r="R42" i="18" s="1"/>
  <c r="O82" i="18"/>
  <c r="R82" i="18" s="1"/>
  <c r="O28" i="18"/>
  <c r="R28" i="18" s="1"/>
  <c r="O88" i="18"/>
  <c r="R88" i="18" s="1"/>
  <c r="O17" i="18"/>
  <c r="R17" i="18" s="1"/>
  <c r="O64" i="18"/>
  <c r="R64" i="18" s="1"/>
  <c r="O31" i="18"/>
  <c r="R31" i="18" s="1"/>
  <c r="O67" i="18"/>
  <c r="R67" i="18" s="1"/>
  <c r="O94" i="18"/>
  <c r="R94" i="18" s="1"/>
  <c r="O29" i="18"/>
  <c r="R29" i="18" s="1"/>
  <c r="O92" i="18"/>
  <c r="R92" i="18" s="1"/>
  <c r="O14" i="18"/>
  <c r="R14" i="18" s="1"/>
  <c r="O18" i="18"/>
  <c r="R18" i="18" s="1"/>
  <c r="O35" i="18"/>
  <c r="R35" i="18" s="1"/>
  <c r="O43" i="18"/>
  <c r="R43" i="18" s="1"/>
  <c r="O81" i="18"/>
  <c r="R81" i="18" s="1"/>
  <c r="R97" i="22" l="1"/>
  <c r="G11" i="17" s="1"/>
  <c r="R79" i="20"/>
  <c r="R97" i="20"/>
  <c r="E11" i="17" s="1"/>
  <c r="R79" i="22"/>
  <c r="G10" i="17" s="1"/>
  <c r="R61" i="21"/>
  <c r="F9" i="17" s="1"/>
  <c r="R97" i="21"/>
  <c r="F11" i="17" s="1"/>
  <c r="R61" i="20"/>
  <c r="E9" i="17" s="1"/>
  <c r="R98" i="20"/>
  <c r="R97" i="19"/>
  <c r="D11" i="17" s="1"/>
  <c r="R97" i="18"/>
  <c r="R61" i="22"/>
  <c r="G9" i="17" s="1"/>
  <c r="G13" i="17" s="1"/>
  <c r="R79" i="21"/>
  <c r="F10" i="17" s="1"/>
  <c r="E10" i="17"/>
  <c r="R61" i="19"/>
  <c r="D9" i="17" s="1"/>
  <c r="R79" i="19"/>
  <c r="D10" i="17" s="1"/>
  <c r="R79" i="18"/>
  <c r="F13" i="17" l="1"/>
  <c r="D13" i="17"/>
  <c r="C13" i="17"/>
  <c r="R98" i="22"/>
  <c r="R98" i="21"/>
  <c r="E13" i="17"/>
  <c r="H10" i="17"/>
  <c r="H11" i="17"/>
  <c r="R98" i="19"/>
  <c r="R98" i="18"/>
  <c r="H9" i="17"/>
  <c r="H13" i="17" l="1"/>
</calcChain>
</file>

<file path=xl/sharedStrings.xml><?xml version="1.0" encoding="utf-8"?>
<sst xmlns="http://schemas.openxmlformats.org/spreadsheetml/2006/main" count="930" uniqueCount="114">
  <si>
    <t>G&amp;A</t>
  </si>
  <si>
    <t>LOW ACCOUNTING SPECIALIST</t>
  </si>
  <si>
    <t>HIGH CM SPECIALIST</t>
  </si>
  <si>
    <t>HIGH DOCUMENTATION SPECIALIST</t>
  </si>
  <si>
    <t>LOW GENERAL BUSINESS SPECIALIST</t>
  </si>
  <si>
    <t>HIGH GENERAL BUSINESS SPECIALIST</t>
  </si>
  <si>
    <t>LOW SCHEDULING SPECIALIST</t>
  </si>
  <si>
    <t>HIGH SCHEDULING SPECIALIST</t>
  </si>
  <si>
    <t>HIGH RISK MGMT SPECIALIST</t>
  </si>
  <si>
    <t>HIGH EVM SPECIALIST</t>
  </si>
  <si>
    <t>HIGH FINANCIAL MGMT SPECIALIST</t>
  </si>
  <si>
    <t>LOW CM SPECIALIST</t>
  </si>
  <si>
    <t>Prime Offeror</t>
  </si>
  <si>
    <t>Subcontractor  (Insert Name)</t>
  </si>
  <si>
    <t>TOTAL COMPOSITE</t>
  </si>
  <si>
    <t>Percent of Effort</t>
  </si>
  <si>
    <t xml:space="preserve">This exhibit contains Source Selection Information.  See FAR 3.104.    </t>
  </si>
  <si>
    <t>DRFP# 80GSFC24R0042</t>
  </si>
  <si>
    <t>Proposing Entity:</t>
  </si>
  <si>
    <t>EXHIBIT 1B</t>
  </si>
  <si>
    <t>PRIME OFFEROR</t>
  </si>
  <si>
    <t>SUMMARY OF GOVERNMENT PRICING MODEL (GPM)</t>
  </si>
  <si>
    <t>Total Loaded Estimated Costs</t>
  </si>
  <si>
    <t>Contract Year 1</t>
  </si>
  <si>
    <t>Contract Year 2</t>
  </si>
  <si>
    <t>Contract Year 3</t>
  </si>
  <si>
    <t>Contract Year 4</t>
  </si>
  <si>
    <t>Contract Year 5</t>
  </si>
  <si>
    <t>GRAND TOTAL</t>
  </si>
  <si>
    <t>Offeror Management and Administrative Labor Costs</t>
  </si>
  <si>
    <t>Offeror Non-labor Recurring ODCs and/or Cost Estimating Relationship Costs</t>
  </si>
  <si>
    <t>GRAND TOTAL GOVERNMENT PRICING MODEL</t>
  </si>
  <si>
    <t>SENIOR ASSOCIATE III</t>
  </si>
  <si>
    <t>ASSOCIATE I</t>
  </si>
  <si>
    <t>ASSOCIATE II</t>
  </si>
  <si>
    <t>ENGAGEMENT EXECUTION LEAD III</t>
  </si>
  <si>
    <t>ENGAGEMENT EXECUTION LEAD IV</t>
  </si>
  <si>
    <t xml:space="preserve">PROJECT EXECUTION SUPPORT III </t>
  </si>
  <si>
    <t>PROJECT EXECUTION SR SPECIALIST I</t>
  </si>
  <si>
    <t>PROJECT EXECUTION SR SPECIALIST II</t>
  </si>
  <si>
    <t>PROJECT EXECUTION SR SPECIALIST III</t>
  </si>
  <si>
    <t>Offeror Name  [     ] Prime   ________________________________________________________</t>
  </si>
  <si>
    <t>Composite IDIQ Rate Development by Year</t>
  </si>
  <si>
    <t>Identify Prime Offeror Loadings Applied to Subcontractor FBL Rates:  e.g. G&amp;A, handling, profit</t>
  </si>
  <si>
    <t>Prime Only</t>
  </si>
  <si>
    <t>Prime Offeror Load (burdens) on Subcontractors</t>
  </si>
  <si>
    <t xml:space="preserve">Note: The Offeror shall provide a fully burdened labor rate for each labor category. </t>
  </si>
  <si>
    <t>NOTE: This percentage should be consistent with what is provided in Tab B and Tab I</t>
  </si>
  <si>
    <t>Subcontractor (Dummy sub1)</t>
  </si>
  <si>
    <t>Subcontractor  (Dummy 2)</t>
  </si>
  <si>
    <t>Prime FBL  Rate*</t>
  </si>
  <si>
    <t>Sub 1 FBL Rate</t>
  </si>
  <si>
    <t>Sub FBL Rate with Prime Load</t>
  </si>
  <si>
    <t>Sub 2 FBL Rate</t>
  </si>
  <si>
    <t>Sub 3 FBL Rate</t>
  </si>
  <si>
    <t>Composite IDIQ FBL Rate</t>
  </si>
  <si>
    <t>Example</t>
  </si>
  <si>
    <t>GSFC (Goddard Space Flight Center) / HQ (Headquarters)</t>
  </si>
  <si>
    <t>GSFC/HQ</t>
  </si>
  <si>
    <t xml:space="preserve">WFF(Wallops / LaRC (Langley </t>
  </si>
  <si>
    <t>EXHIBIT 1A [PRIME OFFEROR]</t>
  </si>
  <si>
    <t>Management and Administrative Labor Categories</t>
  </si>
  <si>
    <t>LOW FINANCIAL MGMT SPECIALIST</t>
  </si>
  <si>
    <t>Total Hours</t>
  </si>
  <si>
    <t>Total Direct Labor Costs</t>
  </si>
  <si>
    <t>WFF/LaRC</t>
  </si>
  <si>
    <t>Grand Total GPM-Specified and Offeror</t>
  </si>
  <si>
    <t>meta</t>
  </si>
  <si>
    <t>WFF(Wallops Flight Facility) / LaRC (Langley Research Center)</t>
  </si>
  <si>
    <t>EXHIBIT 1B [ PRIME OFFEROR]</t>
  </si>
  <si>
    <t>Unburdened ODC Cost</t>
  </si>
  <si>
    <t>Prime Offeror Loaded ODC Costs</t>
  </si>
  <si>
    <t>Other ODC's (Purchased by Prime)</t>
  </si>
  <si>
    <t>Other ODC's (Purchased by Subcontractor)</t>
  </si>
  <si>
    <t>TOTAL LOADED GPM-SPECIFIED ODC COSTS</t>
  </si>
  <si>
    <t>Other Direct Costs (By Element)</t>
  </si>
  <si>
    <t>Materials:</t>
  </si>
  <si>
    <t>Travel:</t>
  </si>
  <si>
    <t>Subcontractor</t>
  </si>
  <si>
    <t>Indirect Bid Rates/Expenses</t>
  </si>
  <si>
    <t>List each applicable Indirect Rate (e.g., G&amp;A, Procurement Burden, Material Handling, etc.) and provide percentage. Add additional rows if needed. Please utilize unlocked formulas to compute Loaded ODC costs. Scroll down for further contract years.</t>
  </si>
  <si>
    <r>
      <rPr>
        <b/>
        <sz val="10"/>
        <color theme="0"/>
        <rFont val="Arial"/>
        <family val="2"/>
      </rPr>
      <t>Fee
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</si>
  <si>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r>
      <rPr>
        <b/>
        <sz val="10"/>
        <color theme="0"/>
        <rFont val="Arial"/>
        <family val="2"/>
      </rPr>
      <t>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</si>
  <si>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t>GPM-Specified Non-Management GSFC/HQ Direct Labor Costs</t>
  </si>
  <si>
    <t>GPM-Specified Non-Management WFF/LaRC Direct Labor Costs</t>
  </si>
  <si>
    <t>Non-Labor Recurring ODCs</t>
  </si>
  <si>
    <t>Material Handling</t>
  </si>
  <si>
    <t>Subtotal</t>
  </si>
  <si>
    <t>SENIOR 1 ACCOUNTING SPECIALIST</t>
  </si>
  <si>
    <t>SENIOR 2 ACCOUNTING SPECIALIST</t>
  </si>
  <si>
    <t>INTERMEDIATE CM SPECIALIST</t>
  </si>
  <si>
    <t>SENIOR 1 CM SPECIALIST</t>
  </si>
  <si>
    <t>SENIOR 2 CM SPECIALIST</t>
  </si>
  <si>
    <t>SENIOR 3 CM SPECIALIST</t>
  </si>
  <si>
    <t>INTERMEDIATE DOCUMENTATION SPECIALIST</t>
  </si>
  <si>
    <t>SENIOR 1 DOCUMENTAION SPECIALIST</t>
  </si>
  <si>
    <t>SENIOR 2 DOCUMENTATION SPECIALIST</t>
  </si>
  <si>
    <t>SENIOR 3 DOCUMENTATION SPECIALIST</t>
  </si>
  <si>
    <t>INTERMEDIATE GENERAL BUSINESS SPECIALIST</t>
  </si>
  <si>
    <t>SENIOR 1 GENERAL BUSINESS SPECIALIST</t>
  </si>
  <si>
    <t>SENIOR 2 GENERAL BUSINESS SPECIALIST</t>
  </si>
  <si>
    <t>SENIOR 3 GENERAL BUSINESS SPECIALIST</t>
  </si>
  <si>
    <t>INTERMEDIATE SCHEDULING SPECIALIST</t>
  </si>
  <si>
    <t>SENIOR 1 SCHEDULING SPECIALIST</t>
  </si>
  <si>
    <t>SENIOR 2 SCHEDULING SPECIALIST</t>
  </si>
  <si>
    <t>SENIOR 3 SCHEDULING SPECIALIST</t>
  </si>
  <si>
    <t>SENIOR 1 RISK MGMT SPECIALIST</t>
  </si>
  <si>
    <t>SENIOR 2 RISK MGMT SPECIALIST</t>
  </si>
  <si>
    <t>SENIOR 3 RISK MGMT SPECIALIST</t>
  </si>
  <si>
    <t>SENIOR 1 EVM SPECIALIST</t>
  </si>
  <si>
    <t>SENIOR 2 EVM SPECIALIST</t>
  </si>
  <si>
    <t>SENIOR 3 EVM SPECIALIST</t>
  </si>
  <si>
    <t>INTERMEDIATE FINANCIAL MGMT SPECIALIST</t>
  </si>
  <si>
    <t>JUNIOR SCHEDULING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</si>
</sst>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0"/>
      <name val="Courier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i/>
      <sz val="10"/>
      <name val="Times New Roman"/>
      <family val="1"/>
    </font>
    <font>
      <sz val="10"/>
      <name val="Arial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b/>
      <sz val="11"/>
      <color theme="3" tint="-0.249977111117893"/>
      <name val="Times New Roman"/>
      <family val="1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Times New Roman"/>
      <family val="1"/>
    </font>
    <font>
      <u/>
      <sz val="10"/>
      <color theme="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theme="9" tint="-0.249977111117893"/>
      <name val="Times New Roman"/>
      <family val="1"/>
    </font>
    <font>
      <b/>
      <sz val="11"/>
      <name val="Calibri"/>
      <family val="2"/>
      <scheme val="minor"/>
    </font>
    <font>
      <b/>
      <i/>
      <sz val="10"/>
      <color rgb="FFFF0000"/>
      <name val="Arial"/>
      <family val="2"/>
    </font>
    <font>
      <i/>
      <sz val="10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3" fillId="0" borderId="0"/>
    <xf numFmtId="0" fontId="4" fillId="0" borderId="0"/>
    <xf numFmtId="0" fontId="8" fillId="0" borderId="0"/>
    <xf numFmtId="0" fontId="4" fillId="0" borderId="0">
      <alignment vertical="center"/>
    </xf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/>
  </cellStyleXfs>
  <cellXfs count="253">
    <xf numFmtId="0" fontId="0" fillId="0" borderId="0" xfId="0"/>
    <xf numFmtId="0" fontId="2" fillId="0" borderId="0" xfId="11"/>
    <xf numFmtId="0" fontId="9" fillId="0" borderId="20" xfId="11" applyFont="1" applyBorder="1" applyAlignment="1">
      <alignment horizontal="center" vertical="center"/>
    </xf>
    <xf numFmtId="0" fontId="9" fillId="0" borderId="16" xfId="11" applyFont="1" applyBorder="1" applyAlignment="1">
      <alignment horizontal="center" vertical="center" wrapText="1"/>
    </xf>
    <xf numFmtId="165" fontId="9" fillId="0" borderId="19" xfId="11" applyNumberFormat="1" applyFont="1" applyBorder="1" applyAlignment="1">
      <alignment horizontal="center" vertical="center"/>
    </xf>
    <xf numFmtId="0" fontId="11" fillId="0" borderId="20" xfId="11" applyFont="1" applyBorder="1" applyAlignment="1">
      <alignment horizontal="left" vertical="center" wrapText="1"/>
    </xf>
    <xf numFmtId="0" fontId="2" fillId="0" borderId="16" xfId="11" applyBorder="1" applyAlignment="1">
      <alignment vertical="center"/>
    </xf>
    <xf numFmtId="0" fontId="2" fillId="0" borderId="19" xfId="11" applyBorder="1" applyAlignment="1">
      <alignment vertical="center"/>
    </xf>
    <xf numFmtId="0" fontId="4" fillId="0" borderId="16" xfId="11" applyFont="1" applyBorder="1" applyAlignment="1">
      <alignment vertical="center"/>
    </xf>
    <xf numFmtId="0" fontId="9" fillId="0" borderId="34" xfId="11" applyFont="1" applyBorder="1" applyAlignment="1">
      <alignment horizontal="center" vertical="center" wrapText="1"/>
    </xf>
    <xf numFmtId="0" fontId="0" fillId="0" borderId="0" xfId="0"/>
    <xf numFmtId="0" fontId="17" fillId="0" borderId="0" xfId="13" applyFont="1"/>
    <xf numFmtId="0" fontId="18" fillId="0" borderId="0" xfId="13" applyFont="1"/>
    <xf numFmtId="0" fontId="16" fillId="0" borderId="0" xfId="13"/>
    <xf numFmtId="0" fontId="17" fillId="0" borderId="0" xfId="13" applyFont="1" applyAlignment="1">
      <alignment vertical="center"/>
    </xf>
    <xf numFmtId="0" fontId="17" fillId="0" borderId="0" xfId="13" applyFont="1" applyAlignment="1">
      <alignment horizontal="center"/>
    </xf>
    <xf numFmtId="0" fontId="20" fillId="0" borderId="0" xfId="13" applyFont="1"/>
    <xf numFmtId="0" fontId="17" fillId="0" borderId="0" xfId="13" applyFont="1" applyAlignment="1" applyProtection="1">
      <alignment horizontal="center" wrapText="1"/>
      <protection locked="0"/>
    </xf>
    <xf numFmtId="0" fontId="17" fillId="0" borderId="0" xfId="13" applyFont="1" applyProtection="1">
      <protection locked="0"/>
    </xf>
    <xf numFmtId="0" fontId="21" fillId="4" borderId="0" xfId="13" applyFont="1" applyFill="1" applyProtection="1">
      <protection locked="0"/>
    </xf>
    <xf numFmtId="9" fontId="21" fillId="5" borderId="34" xfId="15" applyFont="1" applyFill="1" applyBorder="1" applyProtection="1">
      <protection locked="0"/>
    </xf>
    <xf numFmtId="0" fontId="22" fillId="0" borderId="0" xfId="13" applyFont="1" applyProtection="1">
      <protection locked="0"/>
    </xf>
    <xf numFmtId="0" fontId="18" fillId="0" borderId="0" xfId="13" applyFont="1" applyProtection="1">
      <protection locked="0"/>
    </xf>
    <xf numFmtId="0" fontId="21" fillId="0" borderId="0" xfId="13" applyFont="1" applyProtection="1">
      <protection locked="0"/>
    </xf>
    <xf numFmtId="9" fontId="21" fillId="0" borderId="0" xfId="15" applyFont="1" applyProtection="1">
      <protection locked="0"/>
    </xf>
    <xf numFmtId="0" fontId="18" fillId="0" borderId="0" xfId="13" applyFont="1" applyAlignment="1" applyProtection="1">
      <alignment wrapText="1"/>
      <protection locked="0"/>
    </xf>
    <xf numFmtId="0" fontId="20" fillId="0" borderId="0" xfId="13" applyFont="1" applyProtection="1">
      <protection locked="0"/>
    </xf>
    <xf numFmtId="0" fontId="20" fillId="0" borderId="0" xfId="13" applyFont="1" applyAlignment="1" applyProtection="1">
      <alignment wrapText="1"/>
      <protection locked="0"/>
    </xf>
    <xf numFmtId="0" fontId="18" fillId="0" borderId="16" xfId="13" applyFont="1" applyBorder="1" applyAlignment="1">
      <alignment wrapText="1"/>
    </xf>
    <xf numFmtId="0" fontId="17" fillId="0" borderId="16" xfId="13" applyFont="1" applyBorder="1" applyAlignment="1" applyProtection="1">
      <alignment horizontal="center" vertical="center" wrapText="1"/>
      <protection locked="0"/>
    </xf>
    <xf numFmtId="43" fontId="17" fillId="0" borderId="16" xfId="13" applyNumberFormat="1" applyFont="1" applyBorder="1" applyAlignment="1">
      <alignment horizontal="center" vertical="center" wrapText="1"/>
    </xf>
    <xf numFmtId="0" fontId="17" fillId="0" borderId="39" xfId="13" applyFont="1" applyBorder="1" applyAlignment="1" applyProtection="1">
      <alignment horizontal="center" vertical="center" wrapText="1"/>
      <protection locked="0"/>
    </xf>
    <xf numFmtId="43" fontId="17" fillId="0" borderId="40" xfId="13" applyNumberFormat="1" applyFont="1" applyBorder="1" applyAlignment="1">
      <alignment horizontal="center" vertical="center" wrapText="1"/>
    </xf>
    <xf numFmtId="0" fontId="17" fillId="0" borderId="17" xfId="13" applyFont="1" applyBorder="1" applyAlignment="1" applyProtection="1">
      <alignment horizontal="center" vertical="center" wrapText="1"/>
      <protection locked="0"/>
    </xf>
    <xf numFmtId="3" fontId="26" fillId="0" borderId="41" xfId="16" applyNumberFormat="1" applyFont="1" applyBorder="1" applyAlignment="1">
      <alignment horizontal="center"/>
    </xf>
    <xf numFmtId="3" fontId="26" fillId="0" borderId="0" xfId="16" applyNumberFormat="1" applyFont="1" applyAlignment="1">
      <alignment horizontal="center"/>
    </xf>
    <xf numFmtId="164" fontId="22" fillId="5" borderId="17" xfId="13" applyNumberFormat="1" applyFont="1" applyFill="1" applyBorder="1" applyAlignment="1" applyProtection="1">
      <alignment horizontal="center" wrapText="1"/>
      <protection locked="0"/>
    </xf>
    <xf numFmtId="9" fontId="22" fillId="5" borderId="16" xfId="15" applyFont="1" applyFill="1" applyBorder="1" applyAlignment="1">
      <alignment horizontal="center" wrapText="1"/>
    </xf>
    <xf numFmtId="164" fontId="22" fillId="7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16" xfId="13" applyNumberFormat="1" applyFont="1" applyBorder="1" applyAlignment="1">
      <alignment horizontal="center" wrapText="1"/>
    </xf>
    <xf numFmtId="9" fontId="22" fillId="5" borderId="40" xfId="15" applyFont="1" applyFill="1" applyBorder="1" applyAlignment="1">
      <alignment horizontal="center" wrapText="1"/>
    </xf>
    <xf numFmtId="164" fontId="22" fillId="5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27" xfId="13" applyNumberFormat="1" applyFont="1" applyBorder="1" applyAlignment="1" applyProtection="1">
      <alignment horizontal="center" wrapText="1"/>
      <protection locked="0"/>
    </xf>
    <xf numFmtId="9" fontId="27" fillId="0" borderId="16" xfId="13" applyNumberFormat="1" applyFont="1" applyBorder="1" applyAlignment="1">
      <alignment horizontal="center"/>
    </xf>
    <xf numFmtId="3" fontId="29" fillId="0" borderId="43" xfId="12" applyNumberFormat="1" applyFont="1" applyBorder="1"/>
    <xf numFmtId="3" fontId="14" fillId="0" borderId="26" xfId="17" applyFont="1" applyBorder="1" applyAlignment="1">
      <alignment horizontal="center"/>
    </xf>
    <xf numFmtId="164" fontId="30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5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Border="1" applyAlignment="1">
      <alignment horizontal="center" vertical="center" wrapText="1"/>
    </xf>
    <xf numFmtId="9" fontId="31" fillId="8" borderId="40" xfId="13" applyNumberFormat="1" applyFont="1" applyFill="1" applyBorder="1" applyAlignment="1">
      <alignment horizontal="center" vertical="center" wrapText="1"/>
    </xf>
    <xf numFmtId="9" fontId="30" fillId="8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Border="1" applyAlignment="1">
      <alignment horizontal="center" wrapText="1"/>
    </xf>
    <xf numFmtId="9" fontId="32" fillId="0" borderId="16" xfId="13" applyNumberFormat="1" applyFont="1" applyBorder="1" applyAlignment="1">
      <alignment horizontal="center" vertical="center"/>
    </xf>
    <xf numFmtId="3" fontId="29" fillId="0" borderId="13" xfId="12" applyNumberFormat="1" applyFont="1" applyBorder="1"/>
    <xf numFmtId="3" fontId="29" fillId="0" borderId="20" xfId="12" applyNumberFormat="1" applyFont="1" applyBorder="1"/>
    <xf numFmtId="164" fontId="30" fillId="0" borderId="27" xfId="13" applyNumberFormat="1" applyFont="1" applyBorder="1" applyAlignment="1">
      <alignment horizontal="center" wrapText="1"/>
    </xf>
    <xf numFmtId="0" fontId="25" fillId="9" borderId="18" xfId="0" applyFont="1" applyFill="1" applyBorder="1" applyAlignment="1">
      <alignment horizontal="center"/>
    </xf>
    <xf numFmtId="0" fontId="25" fillId="9" borderId="27" xfId="0" applyFont="1" applyFill="1" applyBorder="1" applyAlignment="1">
      <alignment horizontal="center"/>
    </xf>
    <xf numFmtId="0" fontId="25" fillId="10" borderId="18" xfId="0" applyFont="1" applyFill="1" applyBorder="1" applyAlignment="1">
      <alignment horizontal="center"/>
    </xf>
    <xf numFmtId="0" fontId="28" fillId="6" borderId="0" xfId="13" applyFont="1" applyFill="1" applyAlignment="1">
      <alignment horizontal="center"/>
    </xf>
    <xf numFmtId="0" fontId="16" fillId="6" borderId="0" xfId="13" applyFill="1"/>
    <xf numFmtId="0" fontId="16" fillId="6" borderId="42" xfId="13" applyFill="1" applyBorder="1"/>
    <xf numFmtId="9" fontId="32" fillId="0" borderId="18" xfId="13" applyNumberFormat="1" applyFont="1" applyBorder="1" applyAlignment="1">
      <alignment horizontal="center" vertical="center"/>
    </xf>
    <xf numFmtId="0" fontId="35" fillId="0" borderId="0" xfId="13" applyFont="1" applyProtection="1">
      <protection locked="0"/>
    </xf>
    <xf numFmtId="0" fontId="34" fillId="0" borderId="16" xfId="0" applyFont="1" applyBorder="1" applyAlignment="1">
      <alignment horizontal="center" vertical="center"/>
    </xf>
    <xf numFmtId="0" fontId="25" fillId="10" borderId="35" xfId="0" applyFont="1" applyFill="1" applyBorder="1" applyAlignment="1">
      <alignment horizontal="center"/>
    </xf>
    <xf numFmtId="164" fontId="34" fillId="0" borderId="17" xfId="0" applyNumberFormat="1" applyFont="1" applyBorder="1" applyAlignment="1">
      <alignment horizontal="center" vertical="center"/>
    </xf>
    <xf numFmtId="164" fontId="16" fillId="0" borderId="16" xfId="13" applyNumberFormat="1" applyBorder="1" applyAlignment="1">
      <alignment horizontal="center"/>
    </xf>
    <xf numFmtId="0" fontId="36" fillId="0" borderId="16" xfId="0" applyNumberFormat="1" applyFont="1" applyBorder="1" applyAlignment="1">
      <alignment horizontal="center" vertical="center"/>
    </xf>
    <xf numFmtId="166" fontId="27" fillId="0" borderId="16" xfId="1" applyNumberFormat="1" applyFont="1" applyBorder="1" applyAlignment="1">
      <alignment horizontal="center"/>
    </xf>
    <xf numFmtId="0" fontId="0" fillId="0" borderId="30" xfId="0" applyBorder="1"/>
    <xf numFmtId="164" fontId="0" fillId="0" borderId="30" xfId="0" applyNumberFormat="1" applyBorder="1"/>
    <xf numFmtId="0" fontId="37" fillId="0" borderId="0" xfId="0" applyFont="1" applyAlignment="1">
      <alignment horizontal="left" vertical="top"/>
    </xf>
    <xf numFmtId="0" fontId="37" fillId="0" borderId="4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top" wrapText="1"/>
    </xf>
    <xf numFmtId="0" fontId="37" fillId="0" borderId="47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37" fillId="0" borderId="16" xfId="0" applyFont="1" applyBorder="1" applyAlignment="1">
      <alignment horizontal="left" vertical="top"/>
    </xf>
    <xf numFmtId="0" fontId="38" fillId="0" borderId="0" xfId="0" applyFont="1" applyAlignment="1">
      <alignment horizontal="center" vertical="top"/>
    </xf>
    <xf numFmtId="0" fontId="12" fillId="0" borderId="47" xfId="0" applyFont="1" applyBorder="1" applyAlignment="1">
      <alignment horizontal="center" vertical="top" wrapText="1"/>
    </xf>
    <xf numFmtId="0" fontId="37" fillId="0" borderId="0" xfId="0" applyFont="1" applyBorder="1" applyAlignment="1">
      <alignment horizontal="left" vertical="top" wrapText="1"/>
    </xf>
    <xf numFmtId="0" fontId="37" fillId="0" borderId="0" xfId="0" applyFont="1" applyBorder="1" applyAlignment="1">
      <alignment vertical="top" wrapText="1"/>
    </xf>
    <xf numFmtId="0" fontId="18" fillId="0" borderId="43" xfId="13" applyFont="1" applyBorder="1" applyAlignment="1">
      <alignment wrapText="1"/>
    </xf>
    <xf numFmtId="0" fontId="18" fillId="0" borderId="50" xfId="13" applyFont="1" applyBorder="1" applyAlignment="1">
      <alignment wrapText="1"/>
    </xf>
    <xf numFmtId="0" fontId="17" fillId="0" borderId="50" xfId="13" applyFont="1" applyBorder="1" applyAlignment="1" applyProtection="1">
      <alignment horizontal="center" vertical="center" wrapText="1"/>
      <protection locked="0"/>
    </xf>
    <xf numFmtId="43" fontId="17" fillId="0" borderId="50" xfId="13" applyNumberFormat="1" applyFont="1" applyBorder="1" applyAlignment="1">
      <alignment horizontal="center" vertical="center" wrapText="1"/>
    </xf>
    <xf numFmtId="0" fontId="17" fillId="0" borderId="51" xfId="13" applyFont="1" applyBorder="1" applyAlignment="1" applyProtection="1">
      <alignment horizontal="center" vertical="center" wrapText="1"/>
      <protection locked="0"/>
    </xf>
    <xf numFmtId="43" fontId="17" fillId="0" borderId="52" xfId="13" applyNumberFormat="1" applyFont="1" applyBorder="1" applyAlignment="1">
      <alignment horizontal="center" vertical="center" wrapText="1"/>
    </xf>
    <xf numFmtId="0" fontId="17" fillId="0" borderId="15" xfId="13" applyFont="1" applyBorder="1" applyAlignment="1" applyProtection="1">
      <alignment horizontal="center" vertical="center" wrapText="1"/>
      <protection locked="0"/>
    </xf>
    <xf numFmtId="43" fontId="17" fillId="0" borderId="53" xfId="13" applyNumberFormat="1" applyFont="1" applyBorder="1" applyAlignment="1">
      <alignment horizontal="center" vertical="center" wrapText="1"/>
    </xf>
    <xf numFmtId="3" fontId="26" fillId="0" borderId="54" xfId="16" applyNumberFormat="1" applyFont="1" applyBorder="1" applyAlignment="1">
      <alignment horizontal="center"/>
    </xf>
    <xf numFmtId="3" fontId="26" fillId="0" borderId="0" xfId="16" applyNumberFormat="1" applyFont="1" applyBorder="1" applyAlignment="1">
      <alignment horizontal="center"/>
    </xf>
    <xf numFmtId="166" fontId="27" fillId="0" borderId="19" xfId="1" applyNumberFormat="1" applyFont="1" applyBorder="1" applyAlignment="1">
      <alignment horizontal="center"/>
    </xf>
    <xf numFmtId="0" fontId="28" fillId="6" borderId="38" xfId="13" applyFont="1" applyFill="1" applyBorder="1" applyAlignment="1">
      <alignment horizontal="center"/>
    </xf>
    <xf numFmtId="0" fontId="28" fillId="6" borderId="0" xfId="13" applyFont="1" applyFill="1" applyBorder="1" applyAlignment="1">
      <alignment horizontal="center"/>
    </xf>
    <xf numFmtId="0" fontId="16" fillId="6" borderId="0" xfId="13" applyFill="1" applyBorder="1"/>
    <xf numFmtId="0" fontId="16" fillId="6" borderId="55" xfId="13" applyFill="1" applyBorder="1"/>
    <xf numFmtId="164" fontId="34" fillId="0" borderId="19" xfId="0" applyNumberFormat="1" applyFont="1" applyBorder="1" applyAlignment="1">
      <alignment horizontal="center" vertical="center"/>
    </xf>
    <xf numFmtId="3" fontId="29" fillId="0" borderId="12" xfId="12" applyNumberFormat="1" applyFont="1" applyBorder="1"/>
    <xf numFmtId="0" fontId="25" fillId="9" borderId="12" xfId="0" applyFont="1" applyFill="1" applyBorder="1" applyAlignment="1">
      <alignment horizontal="center"/>
    </xf>
    <xf numFmtId="164" fontId="34" fillId="0" borderId="33" xfId="0" applyNumberFormat="1" applyFont="1" applyBorder="1" applyAlignment="1">
      <alignment horizontal="center" vertical="center"/>
    </xf>
    <xf numFmtId="0" fontId="25" fillId="10" borderId="12" xfId="0" applyFont="1" applyFill="1" applyBorder="1" applyAlignment="1">
      <alignment horizontal="center"/>
    </xf>
    <xf numFmtId="164" fontId="16" fillId="0" borderId="19" xfId="13" applyNumberFormat="1" applyBorder="1" applyAlignment="1">
      <alignment horizontal="center"/>
    </xf>
    <xf numFmtId="0" fontId="0" fillId="0" borderId="8" xfId="0" applyBorder="1"/>
    <xf numFmtId="164" fontId="0" fillId="0" borderId="11" xfId="0" applyNumberFormat="1" applyBorder="1"/>
    <xf numFmtId="164" fontId="42" fillId="9" borderId="19" xfId="0" applyNumberFormat="1" applyFont="1" applyFill="1" applyBorder="1" applyAlignment="1">
      <alignment horizontal="center"/>
    </xf>
    <xf numFmtId="164" fontId="43" fillId="10" borderId="19" xfId="0" applyNumberFormat="1" applyFont="1" applyFill="1" applyBorder="1" applyAlignment="1">
      <alignment horizontal="center"/>
    </xf>
    <xf numFmtId="3" fontId="29" fillId="0" borderId="20" xfId="12" applyNumberFormat="1" applyFont="1" applyFill="1" applyBorder="1"/>
    <xf numFmtId="3" fontId="14" fillId="0" borderId="26" xfId="17" applyFont="1" applyFill="1" applyBorder="1" applyAlignment="1">
      <alignment horizontal="center"/>
    </xf>
    <xf numFmtId="164" fontId="30" fillId="0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Fill="1" applyBorder="1" applyAlignment="1">
      <alignment horizontal="center" vertical="center" wrapText="1"/>
    </xf>
    <xf numFmtId="9" fontId="31" fillId="0" borderId="40" xfId="13" applyNumberFormat="1" applyFont="1" applyFill="1" applyBorder="1" applyAlignment="1">
      <alignment horizontal="center" vertical="center" wrapText="1"/>
    </xf>
    <xf numFmtId="9" fontId="30" fillId="0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Fill="1" applyBorder="1" applyAlignment="1">
      <alignment horizontal="center" wrapText="1"/>
    </xf>
    <xf numFmtId="9" fontId="32" fillId="0" borderId="16" xfId="13" applyNumberFormat="1" applyFont="1" applyFill="1" applyBorder="1" applyAlignment="1">
      <alignment horizontal="center" vertical="center"/>
    </xf>
    <xf numFmtId="164" fontId="16" fillId="0" borderId="19" xfId="13" applyNumberFormat="1" applyFill="1" applyBorder="1" applyAlignment="1">
      <alignment horizontal="center"/>
    </xf>
    <xf numFmtId="3" fontId="29" fillId="0" borderId="23" xfId="12" applyNumberFormat="1" applyFont="1" applyFill="1" applyBorder="1"/>
    <xf numFmtId="3" fontId="14" fillId="0" borderId="56" xfId="17" applyFont="1" applyFill="1" applyBorder="1" applyAlignment="1">
      <alignment horizontal="center"/>
    </xf>
    <xf numFmtId="164" fontId="30" fillId="0" borderId="24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25" xfId="15" applyFont="1" applyFill="1" applyBorder="1" applyAlignment="1">
      <alignment horizontal="center" vertical="center" wrapText="1"/>
    </xf>
    <xf numFmtId="164" fontId="30" fillId="0" borderId="25" xfId="13" applyNumberFormat="1" applyFont="1" applyFill="1" applyBorder="1" applyAlignment="1">
      <alignment horizontal="center" vertical="center" wrapText="1"/>
    </xf>
    <xf numFmtId="9" fontId="31" fillId="0" borderId="57" xfId="13" applyNumberFormat="1" applyFont="1" applyFill="1" applyBorder="1" applyAlignment="1">
      <alignment horizontal="center" vertical="center" wrapText="1"/>
    </xf>
    <xf numFmtId="9" fontId="30" fillId="0" borderId="57" xfId="13" applyNumberFormat="1" applyFont="1" applyFill="1" applyBorder="1" applyAlignment="1">
      <alignment horizontal="center" vertical="center" wrapText="1"/>
    </xf>
    <xf numFmtId="164" fontId="30" fillId="0" borderId="24" xfId="13" applyNumberFormat="1" applyFont="1" applyFill="1" applyBorder="1" applyAlignment="1">
      <alignment horizontal="center" wrapText="1"/>
    </xf>
    <xf numFmtId="9" fontId="32" fillId="0" borderId="25" xfId="13" applyNumberFormat="1" applyFont="1" applyFill="1" applyBorder="1" applyAlignment="1">
      <alignment horizontal="center" vertical="center"/>
    </xf>
    <xf numFmtId="164" fontId="16" fillId="0" borderId="22" xfId="13" applyNumberFormat="1" applyFill="1" applyBorder="1" applyAlignment="1">
      <alignment horizontal="center"/>
    </xf>
    <xf numFmtId="3" fontId="29" fillId="14" borderId="0" xfId="12" applyNumberFormat="1" applyFont="1" applyFill="1" applyBorder="1"/>
    <xf numFmtId="3" fontId="14" fillId="14" borderId="0" xfId="17" applyFont="1" applyFill="1" applyBorder="1" applyAlignment="1">
      <alignment horizontal="center"/>
    </xf>
    <xf numFmtId="164" fontId="30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30" fillId="14" borderId="0" xfId="15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vertical="center" wrapText="1"/>
    </xf>
    <xf numFmtId="9" fontId="31" fillId="14" borderId="0" xfId="13" applyNumberFormat="1" applyFont="1" applyFill="1" applyBorder="1" applyAlignment="1">
      <alignment horizontal="center" vertical="center" wrapText="1"/>
    </xf>
    <xf numFmtId="9" fontId="30" fillId="14" borderId="0" xfId="13" applyNumberFormat="1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wrapText="1"/>
    </xf>
    <xf numFmtId="9" fontId="32" fillId="14" borderId="0" xfId="13" applyNumberFormat="1" applyFont="1" applyFill="1" applyBorder="1" applyAlignment="1">
      <alignment horizontal="center" vertical="center"/>
    </xf>
    <xf numFmtId="9" fontId="32" fillId="14" borderId="59" xfId="13" applyNumberFormat="1" applyFont="1" applyFill="1" applyBorder="1" applyAlignment="1">
      <alignment horizontal="center" vertical="center"/>
    </xf>
    <xf numFmtId="164" fontId="6" fillId="14" borderId="59" xfId="13" applyNumberFormat="1" applyFont="1" applyFill="1" applyBorder="1" applyAlignment="1">
      <alignment horizontal="center" vertical="center"/>
    </xf>
    <xf numFmtId="9" fontId="31" fillId="15" borderId="0" xfId="13" applyNumberFormat="1" applyFont="1" applyFill="1" applyBorder="1" applyAlignment="1">
      <alignment horizontal="center" vertical="center" wrapText="1"/>
    </xf>
    <xf numFmtId="9" fontId="30" fillId="15" borderId="0" xfId="13" applyNumberFormat="1" applyFont="1" applyFill="1" applyBorder="1" applyAlignment="1">
      <alignment horizontal="center" vertical="center" wrapText="1"/>
    </xf>
    <xf numFmtId="9" fontId="32" fillId="14" borderId="30" xfId="13" applyNumberFormat="1" applyFont="1" applyFill="1" applyBorder="1" applyAlignment="1">
      <alignment horizontal="center" vertical="center"/>
    </xf>
    <xf numFmtId="164" fontId="16" fillId="14" borderId="30" xfId="13" applyNumberFormat="1" applyFill="1" applyBorder="1" applyAlignment="1">
      <alignment horizontal="center"/>
    </xf>
    <xf numFmtId="164" fontId="17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17" fillId="14" borderId="0" xfId="15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vertical="center" wrapText="1"/>
    </xf>
    <xf numFmtId="9" fontId="44" fillId="15" borderId="0" xfId="13" applyNumberFormat="1" applyFont="1" applyFill="1" applyBorder="1" applyAlignment="1">
      <alignment horizontal="center" vertical="center" wrapText="1"/>
    </xf>
    <xf numFmtId="9" fontId="17" fillId="15" borderId="0" xfId="13" applyNumberFormat="1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wrapText="1"/>
    </xf>
    <xf numFmtId="9" fontId="6" fillId="14" borderId="0" xfId="13" applyNumberFormat="1" applyFont="1" applyFill="1" applyBorder="1" applyAlignment="1">
      <alignment horizontal="center" vertical="center"/>
    </xf>
    <xf numFmtId="9" fontId="6" fillId="14" borderId="30" xfId="13" applyNumberFormat="1" applyFont="1" applyFill="1" applyBorder="1" applyAlignment="1">
      <alignment horizontal="center" vertical="center"/>
    </xf>
    <xf numFmtId="164" fontId="33" fillId="14" borderId="30" xfId="13" applyNumberFormat="1" applyFont="1" applyFill="1" applyBorder="1" applyAlignment="1">
      <alignment horizontal="center"/>
    </xf>
    <xf numFmtId="164" fontId="17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17" fillId="5" borderId="16" xfId="15" applyFont="1" applyFill="1" applyBorder="1" applyAlignment="1">
      <alignment horizontal="center" vertical="center" wrapText="1"/>
    </xf>
    <xf numFmtId="164" fontId="17" fillId="0" borderId="16" xfId="13" applyNumberFormat="1" applyFont="1" applyBorder="1" applyAlignment="1">
      <alignment horizontal="center" vertical="center" wrapText="1"/>
    </xf>
    <xf numFmtId="9" fontId="44" fillId="8" borderId="40" xfId="13" applyNumberFormat="1" applyFont="1" applyFill="1" applyBorder="1" applyAlignment="1">
      <alignment horizontal="center" vertical="center" wrapText="1"/>
    </xf>
    <xf numFmtId="9" fontId="17" fillId="8" borderId="40" xfId="13" applyNumberFormat="1" applyFont="1" applyFill="1" applyBorder="1" applyAlignment="1">
      <alignment horizontal="center" vertical="center" wrapText="1"/>
    </xf>
    <xf numFmtId="164" fontId="17" fillId="0" borderId="17" xfId="13" applyNumberFormat="1" applyFont="1" applyBorder="1" applyAlignment="1">
      <alignment horizontal="center" wrapText="1"/>
    </xf>
    <xf numFmtId="9" fontId="6" fillId="0" borderId="16" xfId="13" applyNumberFormat="1" applyFont="1" applyBorder="1" applyAlignment="1">
      <alignment horizontal="center" vertical="center"/>
    </xf>
    <xf numFmtId="164" fontId="33" fillId="0" borderId="16" xfId="13" applyNumberFormat="1" applyFont="1" applyBorder="1" applyAlignment="1">
      <alignment horizontal="center"/>
    </xf>
    <xf numFmtId="0" fontId="45" fillId="0" borderId="0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top" wrapText="1"/>
    </xf>
    <xf numFmtId="0" fontId="38" fillId="0" borderId="16" xfId="0" applyFont="1" applyBorder="1" applyAlignment="1">
      <alignment horizontal="center" vertical="top"/>
    </xf>
    <xf numFmtId="0" fontId="11" fillId="2" borderId="34" xfId="0" applyFont="1" applyFill="1" applyBorder="1" applyAlignment="1">
      <alignment horizontal="center" vertical="center" wrapText="1"/>
    </xf>
    <xf numFmtId="0" fontId="40" fillId="11" borderId="49" xfId="0" applyFont="1" applyFill="1" applyBorder="1" applyAlignment="1">
      <alignment vertical="center" wrapText="1"/>
    </xf>
    <xf numFmtId="166" fontId="45" fillId="0" borderId="46" xfId="1" applyNumberFormat="1" applyFont="1" applyFill="1" applyBorder="1" applyAlignment="1">
      <alignment vertical="center" wrapText="1"/>
    </xf>
    <xf numFmtId="9" fontId="46" fillId="0" borderId="44" xfId="2" applyFont="1" applyFill="1" applyBorder="1" applyAlignment="1">
      <alignment vertical="center" wrapText="1"/>
    </xf>
    <xf numFmtId="44" fontId="46" fillId="0" borderId="44" xfId="1" applyFont="1" applyFill="1" applyBorder="1" applyAlignment="1">
      <alignment vertical="center" wrapText="1"/>
    </xf>
    <xf numFmtId="9" fontId="46" fillId="0" borderId="46" xfId="2" applyFont="1" applyFill="1" applyBorder="1" applyAlignment="1">
      <alignment vertical="top" wrapText="1"/>
    </xf>
    <xf numFmtId="166" fontId="45" fillId="0" borderId="46" xfId="0" applyNumberFormat="1" applyFont="1" applyFill="1" applyBorder="1" applyAlignment="1">
      <alignment vertical="top" wrapText="1"/>
    </xf>
    <xf numFmtId="0" fontId="2" fillId="0" borderId="30" xfId="11" applyBorder="1" applyAlignment="1">
      <alignment vertical="center"/>
    </xf>
    <xf numFmtId="0" fontId="2" fillId="0" borderId="8" xfId="11" applyBorder="1" applyAlignment="1">
      <alignment vertical="center"/>
    </xf>
    <xf numFmtId="0" fontId="2" fillId="0" borderId="11" xfId="11" applyBorder="1" applyAlignment="1">
      <alignment vertical="center"/>
    </xf>
    <xf numFmtId="0" fontId="37" fillId="0" borderId="67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left" vertical="center" wrapText="1"/>
    </xf>
    <xf numFmtId="0" fontId="37" fillId="0" borderId="61" xfId="0" applyFont="1" applyBorder="1" applyAlignment="1">
      <alignment horizontal="left" vertical="center" wrapText="1"/>
    </xf>
    <xf numFmtId="0" fontId="11" fillId="0" borderId="64" xfId="0" applyFont="1" applyBorder="1" applyAlignment="1">
      <alignment horizontal="left" vertical="top" wrapText="1"/>
    </xf>
    <xf numFmtId="0" fontId="11" fillId="0" borderId="65" xfId="0" applyFont="1" applyBorder="1" applyAlignment="1">
      <alignment horizontal="left" vertical="top" wrapText="1"/>
    </xf>
    <xf numFmtId="0" fontId="37" fillId="0" borderId="68" xfId="0" applyFont="1" applyBorder="1" applyAlignment="1">
      <alignment horizontal="left" vertical="center" wrapText="1"/>
    </xf>
    <xf numFmtId="0" fontId="37" fillId="0" borderId="65" xfId="0" applyFont="1" applyBorder="1" applyAlignment="1">
      <alignment horizontal="left" vertical="center" wrapText="1"/>
    </xf>
    <xf numFmtId="0" fontId="11" fillId="0" borderId="66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9" fillId="0" borderId="0" xfId="14" applyFont="1" applyAlignment="1">
      <alignment horizontal="right" vertical="top" wrapText="1"/>
    </xf>
    <xf numFmtId="0" fontId="23" fillId="0" borderId="18" xfId="13" applyFont="1" applyBorder="1" applyAlignment="1" applyProtection="1">
      <alignment horizontal="center" wrapText="1"/>
      <protection locked="0"/>
    </xf>
    <xf numFmtId="0" fontId="23" fillId="0" borderId="27" xfId="13" applyFont="1" applyBorder="1" applyAlignment="1" applyProtection="1">
      <alignment horizontal="center" wrapText="1"/>
      <protection locked="0"/>
    </xf>
    <xf numFmtId="0" fontId="23" fillId="0" borderId="17" xfId="13" applyFont="1" applyBorder="1" applyAlignment="1" applyProtection="1">
      <alignment horizontal="center" wrapText="1"/>
      <protection locked="0"/>
    </xf>
    <xf numFmtId="0" fontId="20" fillId="3" borderId="6" xfId="13" applyFont="1" applyFill="1" applyBorder="1" applyAlignment="1" applyProtection="1">
      <alignment horizontal="center" wrapText="1"/>
      <protection locked="0"/>
    </xf>
    <xf numFmtId="0" fontId="20" fillId="3" borderId="29" xfId="13" applyFont="1" applyFill="1" applyBorder="1" applyAlignment="1" applyProtection="1">
      <alignment horizontal="center" wrapText="1"/>
      <protection locked="0"/>
    </xf>
    <xf numFmtId="0" fontId="24" fillId="11" borderId="8" xfId="13" applyFont="1" applyFill="1" applyBorder="1" applyAlignment="1" applyProtection="1">
      <alignment horizontal="center" wrapText="1"/>
      <protection locked="0"/>
    </xf>
    <xf numFmtId="0" fontId="24" fillId="11" borderId="11" xfId="13" applyFont="1" applyFill="1" applyBorder="1" applyAlignment="1" applyProtection="1">
      <alignment horizontal="center" wrapText="1"/>
      <protection locked="0"/>
    </xf>
    <xf numFmtId="0" fontId="25" fillId="11" borderId="58" xfId="13" applyFont="1" applyFill="1" applyBorder="1" applyAlignment="1" applyProtection="1">
      <alignment horizontal="center" wrapText="1"/>
      <protection locked="0"/>
    </xf>
    <xf numFmtId="0" fontId="25" fillId="11" borderId="10" xfId="13" applyFont="1" applyFill="1" applyBorder="1" applyAlignment="1" applyProtection="1">
      <alignment horizontal="center" wrapText="1"/>
      <protection locked="0"/>
    </xf>
    <xf numFmtId="0" fontId="25" fillId="12" borderId="10" xfId="13" applyFont="1" applyFill="1" applyBorder="1" applyAlignment="1" applyProtection="1">
      <alignment horizontal="center" wrapText="1"/>
      <protection locked="0"/>
    </xf>
    <xf numFmtId="0" fontId="25" fillId="13" borderId="9" xfId="13" applyFont="1" applyFill="1" applyBorder="1" applyAlignment="1" applyProtection="1">
      <alignment horizontal="center" wrapText="1"/>
      <protection locked="0"/>
    </xf>
    <xf numFmtId="0" fontId="25" fillId="13" borderId="3" xfId="13" applyFont="1" applyFill="1" applyBorder="1" applyAlignment="1" applyProtection="1">
      <alignment horizontal="center" wrapText="1"/>
      <protection locked="0"/>
    </xf>
    <xf numFmtId="0" fontId="20" fillId="3" borderId="1" xfId="13" applyFont="1" applyFill="1" applyBorder="1" applyAlignment="1" applyProtection="1">
      <alignment horizontal="center" wrapText="1"/>
      <protection locked="0"/>
    </xf>
    <xf numFmtId="0" fontId="20" fillId="3" borderId="3" xfId="13" applyFont="1" applyFill="1" applyBorder="1" applyAlignment="1" applyProtection="1">
      <alignment horizontal="center" wrapText="1"/>
      <protection locked="0"/>
    </xf>
    <xf numFmtId="0" fontId="24" fillId="11" borderId="16" xfId="13" applyFont="1" applyFill="1" applyBorder="1" applyAlignment="1" applyProtection="1">
      <alignment horizontal="center" wrapText="1"/>
      <protection locked="0"/>
    </xf>
    <xf numFmtId="0" fontId="25" fillId="11" borderId="16" xfId="13" applyFont="1" applyFill="1" applyBorder="1" applyAlignment="1" applyProtection="1">
      <alignment horizontal="center" wrapText="1"/>
      <protection locked="0"/>
    </xf>
    <xf numFmtId="0" fontId="25" fillId="12" borderId="16" xfId="13" applyFont="1" applyFill="1" applyBorder="1" applyAlignment="1" applyProtection="1">
      <alignment horizontal="center" wrapText="1"/>
      <protection locked="0"/>
    </xf>
    <xf numFmtId="0" fontId="25" fillId="13" borderId="35" xfId="13" applyFont="1" applyFill="1" applyBorder="1" applyAlignment="1" applyProtection="1">
      <alignment horizontal="center" wrapText="1"/>
      <protection locked="0"/>
    </xf>
    <xf numFmtId="0" fontId="25" fillId="13" borderId="14" xfId="13" applyFont="1" applyFill="1" applyBorder="1" applyAlignment="1" applyProtection="1">
      <alignment horizontal="center" wrapText="1"/>
      <protection locked="0"/>
    </xf>
    <xf numFmtId="0" fontId="11" fillId="0" borderId="0" xfId="0" applyFont="1" applyBorder="1" applyAlignment="1">
      <alignment horizontal="left" vertical="top" wrapText="1"/>
    </xf>
    <xf numFmtId="0" fontId="39" fillId="11" borderId="45" xfId="0" applyFont="1" applyFill="1" applyBorder="1" applyAlignment="1">
      <alignment horizontal="left" vertical="center" wrapText="1" indent="5"/>
    </xf>
    <xf numFmtId="0" fontId="39" fillId="11" borderId="46" xfId="0" applyFont="1" applyFill="1" applyBorder="1" applyAlignment="1">
      <alignment horizontal="left" vertical="center" wrapText="1" indent="5"/>
    </xf>
    <xf numFmtId="0" fontId="40" fillId="11" borderId="61" xfId="0" applyFont="1" applyFill="1" applyBorder="1" applyAlignment="1">
      <alignment vertical="top" wrapText="1"/>
    </xf>
    <xf numFmtId="0" fontId="40" fillId="11" borderId="46" xfId="0" applyFont="1" applyFill="1" applyBorder="1" applyAlignment="1">
      <alignment vertical="top" wrapText="1"/>
    </xf>
    <xf numFmtId="0" fontId="39" fillId="11" borderId="45" xfId="0" applyFont="1" applyFill="1" applyBorder="1" applyAlignment="1">
      <alignment vertical="top" wrapText="1"/>
    </xf>
    <xf numFmtId="0" fontId="39" fillId="11" borderId="46" xfId="0" applyFont="1" applyFill="1" applyBorder="1" applyAlignment="1">
      <alignment vertical="top" wrapText="1"/>
    </xf>
    <xf numFmtId="0" fontId="39" fillId="11" borderId="60" xfId="0" applyFont="1" applyFill="1" applyBorder="1" applyAlignment="1">
      <alignment vertical="center" wrapText="1"/>
    </xf>
    <xf numFmtId="0" fontId="39" fillId="11" borderId="46" xfId="0" applyFont="1" applyFill="1" applyBorder="1" applyAlignment="1">
      <alignment vertical="center" wrapText="1"/>
    </xf>
    <xf numFmtId="0" fontId="39" fillId="11" borderId="62" xfId="0" applyFont="1" applyFill="1" applyBorder="1" applyAlignment="1">
      <alignment horizontal="center" vertical="top" wrapText="1"/>
    </xf>
    <xf numFmtId="0" fontId="39" fillId="11" borderId="0" xfId="0" applyFont="1" applyFill="1" applyBorder="1" applyAlignment="1">
      <alignment horizontal="center" vertical="top" wrapText="1"/>
    </xf>
    <xf numFmtId="0" fontId="39" fillId="11" borderId="63" xfId="0" applyFont="1" applyFill="1" applyBorder="1" applyAlignment="1">
      <alignment horizontal="center" vertical="top" wrapText="1"/>
    </xf>
    <xf numFmtId="0" fontId="20" fillId="3" borderId="8" xfId="13" applyFont="1" applyFill="1" applyBorder="1" applyAlignment="1" applyProtection="1">
      <alignment horizontal="center" wrapText="1"/>
      <protection locked="0"/>
    </xf>
    <xf numFmtId="0" fontId="20" fillId="3" borderId="10" xfId="13" applyFont="1" applyFill="1" applyBorder="1" applyAlignment="1" applyProtection="1">
      <alignment horizontal="center" wrapText="1"/>
      <protection locked="0"/>
    </xf>
    <xf numFmtId="0" fontId="20" fillId="3" borderId="11" xfId="13" applyFont="1" applyFill="1" applyBorder="1" applyAlignment="1" applyProtection="1">
      <alignment horizontal="center" wrapText="1"/>
      <protection locked="0"/>
    </xf>
    <xf numFmtId="0" fontId="37" fillId="0" borderId="0" xfId="0" applyFont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40" fillId="11" borderId="45" xfId="0" applyFont="1" applyFill="1" applyBorder="1" applyAlignment="1">
      <alignment horizontal="center" vertical="top" wrapText="1"/>
    </xf>
    <xf numFmtId="0" fontId="40" fillId="11" borderId="46" xfId="0" applyFont="1" applyFill="1" applyBorder="1" applyAlignment="1">
      <alignment horizontal="center" vertical="top" wrapText="1"/>
    </xf>
    <xf numFmtId="0" fontId="39" fillId="11" borderId="45" xfId="0" applyFont="1" applyFill="1" applyBorder="1" applyAlignment="1">
      <alignment horizontal="center" vertical="top" wrapText="1"/>
    </xf>
    <xf numFmtId="0" fontId="39" fillId="11" borderId="46" xfId="0" applyFont="1" applyFill="1" applyBorder="1" applyAlignment="1">
      <alignment horizontal="center" vertical="top" wrapText="1"/>
    </xf>
    <xf numFmtId="0" fontId="20" fillId="3" borderId="2" xfId="13" applyFont="1" applyFill="1" applyBorder="1" applyAlignment="1" applyProtection="1">
      <alignment horizontal="center" wrapText="1"/>
      <protection locked="0"/>
    </xf>
    <xf numFmtId="0" fontId="39" fillId="11" borderId="45" xfId="0" applyFont="1" applyFill="1" applyBorder="1" applyAlignment="1">
      <alignment horizontal="center" vertical="center" wrapText="1"/>
    </xf>
    <xf numFmtId="0" fontId="39" fillId="11" borderId="46" xfId="0" applyFont="1" applyFill="1" applyBorder="1" applyAlignment="1">
      <alignment horizontal="center" vertical="center" wrapText="1"/>
    </xf>
    <xf numFmtId="0" fontId="2" fillId="0" borderId="12" xfId="11" applyBorder="1" applyAlignment="1">
      <alignment horizontal="left"/>
    </xf>
    <xf numFmtId="0" fontId="2" fillId="0" borderId="27" xfId="11" applyBorder="1" applyAlignment="1">
      <alignment horizontal="left"/>
    </xf>
    <xf numFmtId="0" fontId="2" fillId="0" borderId="33" xfId="11" applyBorder="1" applyAlignment="1">
      <alignment horizontal="left"/>
    </xf>
    <xf numFmtId="0" fontId="2" fillId="0" borderId="36" xfId="11" applyBorder="1" applyAlignment="1">
      <alignment horizontal="left"/>
    </xf>
    <xf numFmtId="0" fontId="2" fillId="0" borderId="31" xfId="11" applyBorder="1" applyAlignment="1">
      <alignment horizontal="left"/>
    </xf>
    <xf numFmtId="0" fontId="2" fillId="0" borderId="32" xfId="11" applyBorder="1" applyAlignment="1">
      <alignment horizontal="left"/>
    </xf>
    <xf numFmtId="0" fontId="13" fillId="0" borderId="21" xfId="11" applyFont="1" applyBorder="1" applyAlignment="1">
      <alignment horizontal="left"/>
    </xf>
    <xf numFmtId="0" fontId="13" fillId="0" borderId="28" xfId="11" applyFont="1" applyBorder="1" applyAlignment="1">
      <alignment horizontal="left"/>
    </xf>
    <xf numFmtId="0" fontId="13" fillId="0" borderId="37" xfId="11" applyFont="1" applyBorder="1" applyAlignment="1">
      <alignment horizontal="left"/>
    </xf>
    <xf numFmtId="0" fontId="11" fillId="0" borderId="36" xfId="11" applyFont="1" applyBorder="1" applyAlignment="1">
      <alignment horizontal="left"/>
    </xf>
    <xf numFmtId="0" fontId="11" fillId="0" borderId="31" xfId="11" applyFont="1" applyBorder="1" applyAlignment="1">
      <alignment horizontal="left"/>
    </xf>
    <xf numFmtId="0" fontId="11" fillId="0" borderId="32" xfId="11" applyFont="1" applyBorder="1" applyAlignment="1">
      <alignment horizontal="left"/>
    </xf>
    <xf numFmtId="0" fontId="11" fillId="0" borderId="12" xfId="11" applyFont="1" applyBorder="1" applyAlignment="1">
      <alignment horizontal="left"/>
    </xf>
    <xf numFmtId="0" fontId="11" fillId="0" borderId="27" xfId="11" applyFont="1" applyBorder="1" applyAlignment="1">
      <alignment horizontal="left"/>
    </xf>
    <xf numFmtId="0" fontId="11" fillId="0" borderId="33" xfId="11" applyFont="1" applyBorder="1" applyAlignment="1">
      <alignment horizontal="left"/>
    </xf>
    <xf numFmtId="0" fontId="7" fillId="0" borderId="12" xfId="11" applyFont="1" applyBorder="1" applyAlignment="1">
      <alignment horizontal="left"/>
    </xf>
    <xf numFmtId="0" fontId="7" fillId="0" borderId="27" xfId="11" applyFont="1" applyBorder="1" applyAlignment="1">
      <alignment horizontal="left"/>
    </xf>
    <xf numFmtId="0" fontId="7" fillId="0" borderId="33" xfId="11" applyFont="1" applyBorder="1" applyAlignment="1">
      <alignment horizontal="left"/>
    </xf>
    <xf numFmtId="0" fontId="10" fillId="0" borderId="12" xfId="11" applyFont="1" applyBorder="1" applyAlignment="1">
      <alignment horizontal="left"/>
    </xf>
    <xf numFmtId="0" fontId="10" fillId="0" borderId="27" xfId="11" applyFont="1" applyBorder="1" applyAlignment="1">
      <alignment horizontal="left"/>
    </xf>
    <xf numFmtId="0" fontId="10" fillId="0" borderId="33" xfId="11" applyFont="1" applyBorder="1" applyAlignment="1">
      <alignment horizontal="left"/>
    </xf>
  </cellXfs>
  <cellStyles count="18">
    <cellStyle name="Comma" xfId="12" builtinId="3"/>
    <cellStyle name="Comma 2 3" xfId="16" xr:uid="{558F8067-0BF2-4F33-8ABA-99A117AE3321}"/>
    <cellStyle name="Currency" xfId="1" builtinId="4"/>
    <cellStyle name="Currency 10" xfId="9" xr:uid="{8913E42E-ADF5-445F-BECF-AAA5C403271C}"/>
    <cellStyle name="Normal" xfId="0" builtinId="0"/>
    <cellStyle name="Normal 1" xfId="8" xr:uid="{451D6AC3-793C-4B4C-9C47-0014C9B1CD2B}"/>
    <cellStyle name="Normal 112" xfId="13" xr:uid="{FB90CBB1-D124-4691-B900-0C5DD3F2D494}"/>
    <cellStyle name="Normal 130" xfId="4" xr:uid="{DF53470F-342A-4D07-966A-6DE2C273B0FC}"/>
    <cellStyle name="Normal 2" xfId="3" xr:uid="{A5783DAC-3F1D-4454-976F-BBB93FBFED1F}"/>
    <cellStyle name="Normal 2 12" xfId="5" xr:uid="{4A491E99-9127-434A-915B-92F2F9A9737F}"/>
    <cellStyle name="Normal 2 2 2 4 2" xfId="14" xr:uid="{21F83828-B12A-49A4-9851-E478FCF5FCAF}"/>
    <cellStyle name="Normal 2 2 5" xfId="6" xr:uid="{BE9D8E66-0F75-4FF1-AF0D-1CC6CCFA8043}"/>
    <cellStyle name="Normal 3" xfId="7" xr:uid="{A55CBFB7-1E3A-475A-9566-FE8D10E9159C}"/>
    <cellStyle name="Normal 4" xfId="11" xr:uid="{6429C83C-828B-478A-97AD-D37B00CE2EBF}"/>
    <cellStyle name="Normal_Other workbook" xfId="17" xr:uid="{4B3BF0F2-930A-48A7-9347-21410C0D7BB8}"/>
    <cellStyle name="Percent" xfId="2" builtinId="5"/>
    <cellStyle name="Percent [0]" xfId="10" xr:uid="{D1B95A01-A59F-469D-B34E-9E24AB75AE49}"/>
    <cellStyle name="Percent 6" xfId="15" xr:uid="{809F74C0-0D7E-4899-837A-B8775D6DFE8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7BC2-1E88-4F4A-AA61-4918BC237A37}">
  <dimension ref="A1:R100"/>
  <sheetViews>
    <sheetView showGridLines="0" tabSelected="1" workbookViewId="0">
      <selection activeCell="B5" sqref="B5"/>
    </sheetView>
  </sheetViews>
  <sheetFormatPr defaultRowHeight="12.5" x14ac:dyDescent="0.25"/>
  <cols>
    <col min="1" max="1" width="2" style="10" customWidth="1"/>
    <col min="2" max="2" width="78.453125" customWidth="1"/>
    <col min="3" max="3" width="11.7265625" bestFit="1" customWidth="1"/>
    <col min="7" max="7" width="10.7265625" customWidth="1"/>
    <col min="8" max="8" width="11.26953125" customWidth="1"/>
    <col min="11" max="11" width="11.7265625" customWidth="1"/>
    <col min="13" max="13" width="9.81640625" customWidth="1"/>
    <col min="14" max="14" width="11.26953125" customWidth="1"/>
    <col min="15" max="15" width="10.81640625" customWidth="1"/>
    <col min="16" max="16" width="14" customWidth="1"/>
    <col min="17" max="17" width="12.26953125" customWidth="1"/>
    <col min="18" max="18" width="11.7265625" customWidth="1"/>
  </cols>
  <sheetData>
    <row r="1" spans="2:18" s="13" customFormat="1" ht="15.75" customHeight="1" x14ac:dyDescent="0.35">
      <c r="B1" s="11"/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87"/>
      <c r="P1" s="187"/>
    </row>
    <row r="2" spans="2:18" s="13" customFormat="1" ht="14.5" x14ac:dyDescent="0.35">
      <c r="B2" s="11" t="s">
        <v>18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41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60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42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44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43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45</v>
      </c>
      <c r="C9" s="19"/>
      <c r="D9" s="20"/>
      <c r="E9" s="21"/>
      <c r="F9" s="22"/>
      <c r="G9" s="22"/>
      <c r="H9" s="22"/>
      <c r="I9" s="188" t="s">
        <v>46</v>
      </c>
      <c r="J9" s="189"/>
      <c r="K9" s="189"/>
      <c r="L9" s="189"/>
      <c r="M9" s="190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 t="s">
        <v>67</v>
      </c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47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191" t="str">
        <f>B12</f>
        <v>Contract Year 1</v>
      </c>
      <c r="P11" s="192"/>
    </row>
    <row r="12" spans="2:18" s="13" customFormat="1" ht="19.5" customHeight="1" thickBot="1" x14ac:dyDescent="0.4">
      <c r="B12" s="193" t="s">
        <v>23</v>
      </c>
      <c r="C12" s="194"/>
      <c r="D12" s="195" t="s">
        <v>12</v>
      </c>
      <c r="E12" s="196"/>
      <c r="F12" s="197" t="s">
        <v>48</v>
      </c>
      <c r="G12" s="197"/>
      <c r="H12" s="197"/>
      <c r="I12" s="197" t="s">
        <v>49</v>
      </c>
      <c r="J12" s="197"/>
      <c r="K12" s="197"/>
      <c r="L12" s="197" t="s">
        <v>13</v>
      </c>
      <c r="M12" s="197"/>
      <c r="N12" s="197"/>
      <c r="O12" s="198" t="s">
        <v>14</v>
      </c>
      <c r="P12" s="199"/>
    </row>
    <row r="13" spans="2:18" s="13" customFormat="1" ht="84" x14ac:dyDescent="0.35">
      <c r="B13" s="84"/>
      <c r="C13" s="85"/>
      <c r="D13" s="86" t="s">
        <v>50</v>
      </c>
      <c r="E13" s="87" t="s">
        <v>15</v>
      </c>
      <c r="F13" s="88" t="s">
        <v>51</v>
      </c>
      <c r="G13" s="87" t="s">
        <v>52</v>
      </c>
      <c r="H13" s="89" t="s">
        <v>15</v>
      </c>
      <c r="I13" s="88" t="s">
        <v>53</v>
      </c>
      <c r="J13" s="87" t="s">
        <v>52</v>
      </c>
      <c r="K13" s="89" t="s">
        <v>15</v>
      </c>
      <c r="L13" s="88" t="s">
        <v>54</v>
      </c>
      <c r="M13" s="87" t="s">
        <v>52</v>
      </c>
      <c r="N13" s="89" t="s">
        <v>15</v>
      </c>
      <c r="O13" s="90" t="s">
        <v>55</v>
      </c>
      <c r="P13" s="87" t="s">
        <v>15</v>
      </c>
      <c r="Q13" s="87" t="s">
        <v>63</v>
      </c>
      <c r="R13" s="91" t="s">
        <v>64</v>
      </c>
    </row>
    <row r="14" spans="2:18" s="13" customFormat="1" ht="14.5" x14ac:dyDescent="0.35">
      <c r="B14" s="92" t="s">
        <v>56</v>
      </c>
      <c r="C14" s="93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8">
        <v>1920</v>
      </c>
      <c r="R14" s="94">
        <f>O14*Q14</f>
        <v>78403.199999999997</v>
      </c>
    </row>
    <row r="15" spans="2:18" s="13" customFormat="1" ht="14.5" x14ac:dyDescent="0.35">
      <c r="B15" s="95" t="s">
        <v>57</v>
      </c>
      <c r="C15" s="96" t="s">
        <v>58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61"/>
      <c r="Q15" s="61"/>
      <c r="R15" s="98"/>
    </row>
    <row r="16" spans="2:18" s="13" customFormat="1" ht="15.5" x14ac:dyDescent="0.35">
      <c r="B16" s="54" t="s">
        <v>1</v>
      </c>
      <c r="C16" s="45" t="s">
        <v>58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7" si="0">I16*(1+$D$9)</f>
        <v>0</v>
      </c>
      <c r="K16" s="49"/>
      <c r="L16" s="46"/>
      <c r="M16" s="48">
        <f t="shared" ref="M16:M57" si="1">L16*(1+$D$9)</f>
        <v>0</v>
      </c>
      <c r="N16" s="50"/>
      <c r="O16" s="51">
        <f t="shared" ref="O16:O57" si="2">(D16*E16)+(G16*H16)+(J16*K16)+(M16*N16)</f>
        <v>0</v>
      </c>
      <c r="P16" s="62">
        <f t="shared" ref="P16:P57" si="3">N16+K16+H16+E16</f>
        <v>1</v>
      </c>
      <c r="Q16" s="64">
        <v>1878</v>
      </c>
      <c r="R16" s="99">
        <f>O16*Q16</f>
        <v>0</v>
      </c>
    </row>
    <row r="17" spans="2:18" s="13" customFormat="1" ht="15.5" x14ac:dyDescent="0.35">
      <c r="B17" s="54" t="s">
        <v>88</v>
      </c>
      <c r="C17" s="45" t="s">
        <v>58</v>
      </c>
      <c r="D17" s="46"/>
      <c r="E17" s="47">
        <v>1</v>
      </c>
      <c r="F17" s="46"/>
      <c r="G17" s="48">
        <f t="shared" ref="G17:G57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1878</v>
      </c>
      <c r="R17" s="99">
        <f t="shared" ref="R17:R59" si="5">O17*Q17</f>
        <v>0</v>
      </c>
    </row>
    <row r="18" spans="2:18" s="13" customFormat="1" ht="15.5" x14ac:dyDescent="0.35">
      <c r="B18" s="54" t="s">
        <v>89</v>
      </c>
      <c r="C18" s="45" t="s">
        <v>58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 t="shared" si="0"/>
        <v>0</v>
      </c>
      <c r="K18" s="49"/>
      <c r="L18" s="46"/>
      <c r="M18" s="48">
        <f t="shared" si="1"/>
        <v>0</v>
      </c>
      <c r="N18" s="50"/>
      <c r="O18" s="55">
        <f t="shared" si="2"/>
        <v>0</v>
      </c>
      <c r="P18" s="62">
        <f t="shared" si="3"/>
        <v>1</v>
      </c>
      <c r="Q18" s="64">
        <v>3756</v>
      </c>
      <c r="R18" s="99">
        <f t="shared" si="5"/>
        <v>0</v>
      </c>
    </row>
    <row r="19" spans="2:18" s="13" customFormat="1" ht="15.5" x14ac:dyDescent="0.35">
      <c r="B19" s="54" t="s">
        <v>90</v>
      </c>
      <c r="C19" s="45" t="s">
        <v>58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28170</v>
      </c>
      <c r="R19" s="99">
        <f t="shared" si="5"/>
        <v>0</v>
      </c>
    </row>
    <row r="20" spans="2:18" s="13" customFormat="1" ht="15.5" x14ac:dyDescent="0.35">
      <c r="B20" s="54" t="s">
        <v>2</v>
      </c>
      <c r="C20" s="45" t="s">
        <v>58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16902</v>
      </c>
      <c r="R20" s="99">
        <f t="shared" si="5"/>
        <v>0</v>
      </c>
    </row>
    <row r="21" spans="2:18" s="13" customFormat="1" ht="15.5" x14ac:dyDescent="0.35">
      <c r="B21" s="54" t="s">
        <v>91</v>
      </c>
      <c r="C21" s="45" t="s">
        <v>58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13146</v>
      </c>
      <c r="R21" s="99">
        <f t="shared" si="5"/>
        <v>0</v>
      </c>
    </row>
    <row r="22" spans="2:18" s="13" customFormat="1" ht="15.5" x14ac:dyDescent="0.35">
      <c r="B22" s="54" t="s">
        <v>92</v>
      </c>
      <c r="C22" s="45" t="s">
        <v>58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7512</v>
      </c>
      <c r="R22" s="99">
        <f t="shared" si="5"/>
        <v>0</v>
      </c>
    </row>
    <row r="23" spans="2:18" s="13" customFormat="1" ht="15.5" x14ac:dyDescent="0.35">
      <c r="B23" s="54" t="s">
        <v>93</v>
      </c>
      <c r="C23" s="45" t="s">
        <v>58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31926</v>
      </c>
      <c r="R23" s="99">
        <f t="shared" si="5"/>
        <v>0</v>
      </c>
    </row>
    <row r="24" spans="2:18" s="13" customFormat="1" ht="15.5" x14ac:dyDescent="0.35">
      <c r="B24" s="54" t="s">
        <v>94</v>
      </c>
      <c r="C24" s="45" t="s">
        <v>58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3756</v>
      </c>
      <c r="R24" s="99">
        <f t="shared" si="5"/>
        <v>0</v>
      </c>
    </row>
    <row r="25" spans="2:18" s="13" customFormat="1" ht="15.5" x14ac:dyDescent="0.35">
      <c r="B25" s="54" t="s">
        <v>3</v>
      </c>
      <c r="C25" s="45" t="s">
        <v>58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1878</v>
      </c>
      <c r="R25" s="99">
        <f t="shared" si="5"/>
        <v>0</v>
      </c>
    </row>
    <row r="26" spans="2:18" s="13" customFormat="1" ht="15.5" x14ac:dyDescent="0.35">
      <c r="B26" s="54" t="s">
        <v>95</v>
      </c>
      <c r="C26" s="45" t="s">
        <v>58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9390</v>
      </c>
      <c r="R26" s="99">
        <f t="shared" si="5"/>
        <v>0</v>
      </c>
    </row>
    <row r="27" spans="2:18" s="13" customFormat="1" ht="15.5" x14ac:dyDescent="0.35">
      <c r="B27" s="54" t="s">
        <v>96</v>
      </c>
      <c r="C27" s="45" t="s">
        <v>58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7512</v>
      </c>
      <c r="R27" s="99">
        <f t="shared" si="5"/>
        <v>0</v>
      </c>
    </row>
    <row r="28" spans="2:18" s="13" customFormat="1" ht="15.5" x14ac:dyDescent="0.35">
      <c r="B28" s="54" t="s">
        <v>97</v>
      </c>
      <c r="C28" s="45" t="s">
        <v>58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7512</v>
      </c>
      <c r="R28" s="99">
        <f t="shared" si="5"/>
        <v>0</v>
      </c>
    </row>
    <row r="29" spans="2:18" s="13" customFormat="1" ht="15.5" x14ac:dyDescent="0.35">
      <c r="B29" s="54" t="s">
        <v>4</v>
      </c>
      <c r="C29" s="45" t="s">
        <v>58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16902</v>
      </c>
      <c r="R29" s="99">
        <f t="shared" si="5"/>
        <v>0</v>
      </c>
    </row>
    <row r="30" spans="2:18" s="13" customFormat="1" ht="15.5" x14ac:dyDescent="0.35">
      <c r="B30" s="54" t="s">
        <v>98</v>
      </c>
      <c r="C30" s="45" t="s">
        <v>58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45072</v>
      </c>
      <c r="R30" s="99">
        <f t="shared" si="5"/>
        <v>0</v>
      </c>
    </row>
    <row r="31" spans="2:18" s="13" customFormat="1" ht="15.5" x14ac:dyDescent="0.35">
      <c r="B31" s="54" t="s">
        <v>5</v>
      </c>
      <c r="C31" s="45" t="s">
        <v>58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125826</v>
      </c>
      <c r="R31" s="99">
        <f t="shared" si="5"/>
        <v>0</v>
      </c>
    </row>
    <row r="32" spans="2:18" s="13" customFormat="1" ht="15.5" x14ac:dyDescent="0.35">
      <c r="B32" s="54" t="s">
        <v>99</v>
      </c>
      <c r="C32" s="45" t="s">
        <v>58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110802</v>
      </c>
      <c r="R32" s="99">
        <f t="shared" si="5"/>
        <v>0</v>
      </c>
    </row>
    <row r="33" spans="2:18" s="13" customFormat="1" ht="15.5" x14ac:dyDescent="0.35">
      <c r="B33" s="54" t="s">
        <v>100</v>
      </c>
      <c r="C33" s="45" t="s">
        <v>58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123948</v>
      </c>
      <c r="R33" s="99">
        <f t="shared" si="5"/>
        <v>0</v>
      </c>
    </row>
    <row r="34" spans="2:18" s="13" customFormat="1" ht="15.5" x14ac:dyDescent="0.35">
      <c r="B34" s="54" t="s">
        <v>101</v>
      </c>
      <c r="C34" s="45" t="s">
        <v>58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112680</v>
      </c>
      <c r="R34" s="99">
        <f t="shared" si="5"/>
        <v>0</v>
      </c>
    </row>
    <row r="35" spans="2:18" s="13" customFormat="1" ht="15.5" x14ac:dyDescent="0.35">
      <c r="B35" s="54" t="s">
        <v>6</v>
      </c>
      <c r="C35" s="45" t="s">
        <v>58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15024</v>
      </c>
      <c r="R35" s="99">
        <f t="shared" si="5"/>
        <v>0</v>
      </c>
    </row>
    <row r="36" spans="2:18" s="13" customFormat="1" ht="15.5" x14ac:dyDescent="0.35">
      <c r="B36" s="54" t="s">
        <v>102</v>
      </c>
      <c r="C36" s="45" t="s">
        <v>58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37560</v>
      </c>
      <c r="R36" s="99">
        <f t="shared" si="5"/>
        <v>0</v>
      </c>
    </row>
    <row r="37" spans="2:18" s="13" customFormat="1" ht="15.5" x14ac:dyDescent="0.35">
      <c r="B37" s="54" t="s">
        <v>7</v>
      </c>
      <c r="C37" s="45" t="s">
        <v>58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54462</v>
      </c>
      <c r="R37" s="99">
        <f t="shared" si="5"/>
        <v>0</v>
      </c>
    </row>
    <row r="38" spans="2:18" s="13" customFormat="1" ht="15.5" x14ac:dyDescent="0.35">
      <c r="B38" s="54" t="s">
        <v>103</v>
      </c>
      <c r="C38" s="45" t="s">
        <v>58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46950</v>
      </c>
      <c r="R38" s="99">
        <f t="shared" si="5"/>
        <v>0</v>
      </c>
    </row>
    <row r="39" spans="2:18" s="13" customFormat="1" ht="15.5" x14ac:dyDescent="0.35">
      <c r="B39" s="54" t="s">
        <v>104</v>
      </c>
      <c r="C39" s="45" t="s">
        <v>58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120192</v>
      </c>
      <c r="R39" s="99">
        <f t="shared" si="5"/>
        <v>0</v>
      </c>
    </row>
    <row r="40" spans="2:18" s="13" customFormat="1" ht="15.5" x14ac:dyDescent="0.35">
      <c r="B40" s="54" t="s">
        <v>105</v>
      </c>
      <c r="C40" s="45" t="s">
        <v>58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78876</v>
      </c>
      <c r="R40" s="99">
        <f t="shared" si="5"/>
        <v>0</v>
      </c>
    </row>
    <row r="41" spans="2:18" s="13" customFormat="1" ht="15.5" x14ac:dyDescent="0.35">
      <c r="B41" s="100" t="s">
        <v>8</v>
      </c>
      <c r="C41" s="45" t="s">
        <v>58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3756</v>
      </c>
      <c r="R41" s="99">
        <f t="shared" si="5"/>
        <v>0</v>
      </c>
    </row>
    <row r="42" spans="2:18" s="13" customFormat="1" ht="15.5" x14ac:dyDescent="0.35">
      <c r="B42" s="100" t="s">
        <v>106</v>
      </c>
      <c r="C42" s="45" t="s">
        <v>58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1878</v>
      </c>
      <c r="R42" s="99">
        <f t="shared" si="5"/>
        <v>0</v>
      </c>
    </row>
    <row r="43" spans="2:18" s="13" customFormat="1" ht="15.5" x14ac:dyDescent="0.35">
      <c r="B43" s="100" t="s">
        <v>107</v>
      </c>
      <c r="C43" s="45" t="s">
        <v>58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1878</v>
      </c>
      <c r="R43" s="99">
        <f t="shared" si="5"/>
        <v>0</v>
      </c>
    </row>
    <row r="44" spans="2:18" s="13" customFormat="1" ht="15.5" x14ac:dyDescent="0.35">
      <c r="B44" s="100" t="s">
        <v>108</v>
      </c>
      <c r="C44" s="45" t="s">
        <v>58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1878</v>
      </c>
      <c r="R44" s="99">
        <f t="shared" si="5"/>
        <v>0</v>
      </c>
    </row>
    <row r="45" spans="2:18" s="13" customFormat="1" ht="15.5" x14ac:dyDescent="0.35">
      <c r="B45" s="100" t="s">
        <v>9</v>
      </c>
      <c r="C45" s="45" t="s">
        <v>58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3756</v>
      </c>
      <c r="R45" s="99">
        <f t="shared" si="5"/>
        <v>0</v>
      </c>
    </row>
    <row r="46" spans="2:18" s="13" customFormat="1" ht="15.5" x14ac:dyDescent="0.35">
      <c r="B46" s="100" t="s">
        <v>109</v>
      </c>
      <c r="C46" s="45" t="s">
        <v>58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5634</v>
      </c>
      <c r="R46" s="99">
        <f t="shared" si="5"/>
        <v>0</v>
      </c>
    </row>
    <row r="47" spans="2:18" s="13" customFormat="1" ht="15.5" x14ac:dyDescent="0.35">
      <c r="B47" s="100" t="s">
        <v>110</v>
      </c>
      <c r="C47" s="45" t="s">
        <v>58</v>
      </c>
      <c r="D47" s="46"/>
      <c r="E47" s="47">
        <v>1</v>
      </c>
      <c r="F47" s="46"/>
      <c r="G47" s="48">
        <f t="shared" si="4"/>
        <v>0</v>
      </c>
      <c r="H47" s="49"/>
      <c r="I47" s="46"/>
      <c r="J47" s="48">
        <f t="shared" si="0"/>
        <v>0</v>
      </c>
      <c r="K47" s="49"/>
      <c r="L47" s="46"/>
      <c r="M47" s="48">
        <f t="shared" si="1"/>
        <v>0</v>
      </c>
      <c r="N47" s="50"/>
      <c r="O47" s="55">
        <f t="shared" si="2"/>
        <v>0</v>
      </c>
      <c r="P47" s="62">
        <f t="shared" si="3"/>
        <v>1</v>
      </c>
      <c r="Q47" s="64">
        <v>5634</v>
      </c>
      <c r="R47" s="99">
        <f t="shared" si="5"/>
        <v>0</v>
      </c>
    </row>
    <row r="48" spans="2:18" s="13" customFormat="1" ht="15.5" x14ac:dyDescent="0.35">
      <c r="B48" s="100" t="s">
        <v>111</v>
      </c>
      <c r="C48" s="45" t="s">
        <v>58</v>
      </c>
      <c r="D48" s="46"/>
      <c r="E48" s="47">
        <v>1</v>
      </c>
      <c r="F48" s="46"/>
      <c r="G48" s="48">
        <f t="shared" si="4"/>
        <v>0</v>
      </c>
      <c r="H48" s="49"/>
      <c r="I48" s="46"/>
      <c r="J48" s="48">
        <f t="shared" si="0"/>
        <v>0</v>
      </c>
      <c r="K48" s="49"/>
      <c r="L48" s="46"/>
      <c r="M48" s="48">
        <f t="shared" si="1"/>
        <v>0</v>
      </c>
      <c r="N48" s="50"/>
      <c r="O48" s="55">
        <f t="shared" si="2"/>
        <v>0</v>
      </c>
      <c r="P48" s="62">
        <f>N48+K48+H48+E48</f>
        <v>1</v>
      </c>
      <c r="Q48" s="182">
        <v>9390</v>
      </c>
      <c r="R48" s="99">
        <f t="shared" si="5"/>
        <v>0</v>
      </c>
    </row>
    <row r="49" spans="2:18" s="13" customFormat="1" ht="15.5" x14ac:dyDescent="0.35">
      <c r="B49" s="100" t="s">
        <v>62</v>
      </c>
      <c r="C49" s="45" t="s">
        <v>58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 t="shared" si="0"/>
        <v>0</v>
      </c>
      <c r="K49" s="49"/>
      <c r="L49" s="46"/>
      <c r="M49" s="48">
        <f t="shared" si="1"/>
        <v>0</v>
      </c>
      <c r="N49" s="50"/>
      <c r="O49" s="55">
        <f t="shared" si="2"/>
        <v>0</v>
      </c>
      <c r="P49" s="62">
        <f t="shared" si="3"/>
        <v>1</v>
      </c>
      <c r="Q49" s="64">
        <v>5634</v>
      </c>
      <c r="R49" s="99">
        <f t="shared" si="5"/>
        <v>0</v>
      </c>
    </row>
    <row r="50" spans="2:18" s="13" customFormat="1" ht="15.5" x14ac:dyDescent="0.35">
      <c r="B50" s="100" t="s">
        <v>112</v>
      </c>
      <c r="C50" s="45" t="s">
        <v>58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28170</v>
      </c>
      <c r="R50" s="99">
        <f t="shared" si="5"/>
        <v>0</v>
      </c>
    </row>
    <row r="51" spans="2:18" s="13" customFormat="1" ht="15.5" x14ac:dyDescent="0.35">
      <c r="B51" s="100" t="s">
        <v>10</v>
      </c>
      <c r="C51" s="45" t="s">
        <v>58</v>
      </c>
      <c r="D51" s="46"/>
      <c r="E51" s="47">
        <v>1</v>
      </c>
      <c r="F51" s="46"/>
      <c r="G51" s="48">
        <f t="shared" si="4"/>
        <v>0</v>
      </c>
      <c r="H51" s="49"/>
      <c r="I51" s="46"/>
      <c r="J51" s="48">
        <f t="shared" si="0"/>
        <v>0</v>
      </c>
      <c r="K51" s="49"/>
      <c r="L51" s="46"/>
      <c r="M51" s="48">
        <f t="shared" si="1"/>
        <v>0</v>
      </c>
      <c r="N51" s="50"/>
      <c r="O51" s="55">
        <f t="shared" si="2"/>
        <v>0</v>
      </c>
      <c r="P51" s="62">
        <f t="shared" si="3"/>
        <v>1</v>
      </c>
      <c r="Q51" s="64">
        <v>18780</v>
      </c>
      <c r="R51" s="99">
        <f t="shared" si="5"/>
        <v>0</v>
      </c>
    </row>
    <row r="52" spans="2:18" s="13" customFormat="1" ht="15.5" x14ac:dyDescent="0.35">
      <c r="B52" s="100" t="s">
        <v>35</v>
      </c>
      <c r="C52" s="45" t="s">
        <v>58</v>
      </c>
      <c r="D52" s="46"/>
      <c r="E52" s="47">
        <v>1</v>
      </c>
      <c r="F52" s="46"/>
      <c r="G52" s="48">
        <f t="shared" si="4"/>
        <v>0</v>
      </c>
      <c r="H52" s="49"/>
      <c r="I52" s="46"/>
      <c r="J52" s="48">
        <f t="shared" si="0"/>
        <v>0</v>
      </c>
      <c r="K52" s="49"/>
      <c r="L52" s="46"/>
      <c r="M52" s="48">
        <f t="shared" si="1"/>
        <v>0</v>
      </c>
      <c r="N52" s="50"/>
      <c r="O52" s="55">
        <f t="shared" si="2"/>
        <v>0</v>
      </c>
      <c r="P52" s="62">
        <f t="shared" si="3"/>
        <v>1</v>
      </c>
      <c r="Q52" s="64">
        <v>556</v>
      </c>
      <c r="R52" s="99">
        <f t="shared" si="5"/>
        <v>0</v>
      </c>
    </row>
    <row r="53" spans="2:18" s="13" customFormat="1" ht="15.5" x14ac:dyDescent="0.35">
      <c r="B53" s="100" t="s">
        <v>36</v>
      </c>
      <c r="C53" s="45" t="s">
        <v>58</v>
      </c>
      <c r="D53" s="46"/>
      <c r="E53" s="47">
        <v>1</v>
      </c>
      <c r="F53" s="46"/>
      <c r="G53" s="48">
        <f t="shared" si="4"/>
        <v>0</v>
      </c>
      <c r="H53" s="49"/>
      <c r="I53" s="46"/>
      <c r="J53" s="48">
        <f t="shared" si="0"/>
        <v>0</v>
      </c>
      <c r="K53" s="49"/>
      <c r="L53" s="46"/>
      <c r="M53" s="48">
        <f t="shared" si="1"/>
        <v>0</v>
      </c>
      <c r="N53" s="50"/>
      <c r="O53" s="55">
        <f t="shared" si="2"/>
        <v>0</v>
      </c>
      <c r="P53" s="62">
        <f t="shared" si="3"/>
        <v>1</v>
      </c>
      <c r="Q53" s="64">
        <v>2380</v>
      </c>
      <c r="R53" s="99">
        <f t="shared" si="5"/>
        <v>0</v>
      </c>
    </row>
    <row r="54" spans="2:18" s="13" customFormat="1" ht="15.5" x14ac:dyDescent="0.35">
      <c r="B54" s="100" t="s">
        <v>37</v>
      </c>
      <c r="C54" s="45" t="s">
        <v>58</v>
      </c>
      <c r="D54" s="46"/>
      <c r="E54" s="47">
        <v>1</v>
      </c>
      <c r="F54" s="46"/>
      <c r="G54" s="48">
        <f t="shared" si="4"/>
        <v>0</v>
      </c>
      <c r="H54" s="49"/>
      <c r="I54" s="46"/>
      <c r="J54" s="48">
        <f t="shared" si="0"/>
        <v>0</v>
      </c>
      <c r="K54" s="49"/>
      <c r="L54" s="46"/>
      <c r="M54" s="48">
        <f t="shared" si="1"/>
        <v>0</v>
      </c>
      <c r="N54" s="50"/>
      <c r="O54" s="55">
        <f t="shared" si="2"/>
        <v>0</v>
      </c>
      <c r="P54" s="62">
        <f t="shared" si="3"/>
        <v>1</v>
      </c>
      <c r="Q54" s="64">
        <v>1878</v>
      </c>
      <c r="R54" s="99">
        <f t="shared" si="5"/>
        <v>0</v>
      </c>
    </row>
    <row r="55" spans="2:18" s="13" customFormat="1" ht="15.5" x14ac:dyDescent="0.35">
      <c r="B55" s="100" t="s">
        <v>38</v>
      </c>
      <c r="C55" s="45" t="s">
        <v>58</v>
      </c>
      <c r="D55" s="46"/>
      <c r="E55" s="47">
        <v>1</v>
      </c>
      <c r="F55" s="46"/>
      <c r="G55" s="48">
        <f t="shared" si="4"/>
        <v>0</v>
      </c>
      <c r="H55" s="49"/>
      <c r="I55" s="46"/>
      <c r="J55" s="48">
        <f t="shared" si="0"/>
        <v>0</v>
      </c>
      <c r="K55" s="49"/>
      <c r="L55" s="46"/>
      <c r="M55" s="48">
        <f t="shared" si="1"/>
        <v>0</v>
      </c>
      <c r="N55" s="50"/>
      <c r="O55" s="55">
        <f t="shared" si="2"/>
        <v>0</v>
      </c>
      <c r="P55" s="62">
        <f t="shared" si="3"/>
        <v>1</v>
      </c>
      <c r="Q55" s="64">
        <v>482</v>
      </c>
      <c r="R55" s="99">
        <f t="shared" si="5"/>
        <v>0</v>
      </c>
    </row>
    <row r="56" spans="2:18" s="13" customFormat="1" ht="15.5" x14ac:dyDescent="0.35">
      <c r="B56" s="100" t="s">
        <v>39</v>
      </c>
      <c r="C56" s="45" t="s">
        <v>58</v>
      </c>
      <c r="D56" s="46"/>
      <c r="E56" s="47">
        <v>1</v>
      </c>
      <c r="F56" s="46"/>
      <c r="G56" s="48">
        <f t="shared" si="4"/>
        <v>0</v>
      </c>
      <c r="H56" s="49"/>
      <c r="I56" s="46"/>
      <c r="J56" s="48">
        <f t="shared" si="0"/>
        <v>0</v>
      </c>
      <c r="K56" s="49"/>
      <c r="L56" s="46"/>
      <c r="M56" s="48">
        <f t="shared" si="1"/>
        <v>0</v>
      </c>
      <c r="N56" s="50"/>
      <c r="O56" s="55">
        <f t="shared" si="2"/>
        <v>0</v>
      </c>
      <c r="P56" s="62">
        <f t="shared" si="3"/>
        <v>1</v>
      </c>
      <c r="Q56" s="64">
        <v>5634</v>
      </c>
      <c r="R56" s="99">
        <f t="shared" si="5"/>
        <v>0</v>
      </c>
    </row>
    <row r="57" spans="2:18" s="13" customFormat="1" ht="15.5" x14ac:dyDescent="0.35">
      <c r="B57" s="100" t="s">
        <v>40</v>
      </c>
      <c r="C57" s="45" t="s">
        <v>58</v>
      </c>
      <c r="D57" s="46"/>
      <c r="E57" s="47">
        <v>1</v>
      </c>
      <c r="F57" s="46"/>
      <c r="G57" s="48">
        <f t="shared" si="4"/>
        <v>0</v>
      </c>
      <c r="H57" s="49"/>
      <c r="I57" s="46"/>
      <c r="J57" s="48">
        <f t="shared" si="0"/>
        <v>0</v>
      </c>
      <c r="K57" s="49"/>
      <c r="L57" s="46"/>
      <c r="M57" s="48">
        <f t="shared" si="1"/>
        <v>0</v>
      </c>
      <c r="N57" s="50"/>
      <c r="O57" s="55">
        <f t="shared" si="2"/>
        <v>0</v>
      </c>
      <c r="P57" s="62">
        <f t="shared" si="3"/>
        <v>1</v>
      </c>
      <c r="Q57" s="64">
        <v>3756</v>
      </c>
      <c r="R57" s="99">
        <f t="shared" si="5"/>
        <v>0</v>
      </c>
    </row>
    <row r="58" spans="2:18" s="13" customFormat="1" ht="18" customHeight="1" x14ac:dyDescent="0.35">
      <c r="B58" s="100" t="s">
        <v>32</v>
      </c>
      <c r="C58" s="45" t="s">
        <v>58</v>
      </c>
      <c r="D58" s="46"/>
      <c r="E58" s="47">
        <v>1</v>
      </c>
      <c r="F58" s="46"/>
      <c r="G58" s="48">
        <f t="shared" ref="G58:G60" si="6">F58*(1+$D$9)</f>
        <v>0</v>
      </c>
      <c r="H58" s="49"/>
      <c r="I58" s="46"/>
      <c r="J58" s="48">
        <f t="shared" ref="J58:J60" si="7">I58*(1+$D$9)</f>
        <v>0</v>
      </c>
      <c r="K58" s="49"/>
      <c r="L58" s="46"/>
      <c r="M58" s="48">
        <f t="shared" ref="M58:M60" si="8">L58*(1+$D$9)</f>
        <v>0</v>
      </c>
      <c r="N58" s="50"/>
      <c r="O58" s="55">
        <f t="shared" ref="O58:O60" si="9">(D58*E58)+(G58*H58)+(J58*K58)+(M58*N58)</f>
        <v>0</v>
      </c>
      <c r="P58" s="62">
        <f t="shared" ref="P58:P60" si="10">N58+K58+H58+E58</f>
        <v>1</v>
      </c>
      <c r="Q58" s="64">
        <v>21569</v>
      </c>
      <c r="R58" s="99">
        <f t="shared" si="5"/>
        <v>0</v>
      </c>
    </row>
    <row r="59" spans="2:18" s="13" customFormat="1" ht="18" customHeight="1" x14ac:dyDescent="0.35">
      <c r="B59" s="100" t="s">
        <v>33</v>
      </c>
      <c r="C59" s="45" t="s">
        <v>58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>I59*(1+$D$9)</f>
        <v>0</v>
      </c>
      <c r="K59" s="49"/>
      <c r="L59" s="46"/>
      <c r="M59" s="48">
        <f>L59*(1+$D$9)</f>
        <v>0</v>
      </c>
      <c r="N59" s="50"/>
      <c r="O59" s="55">
        <f>(D59*E59)+(G59*H59)+(J59*K59)+(M59*N59)</f>
        <v>0</v>
      </c>
      <c r="P59" s="62">
        <f>N59+K59+H59+E59</f>
        <v>1</v>
      </c>
      <c r="Q59" s="64">
        <v>1878</v>
      </c>
      <c r="R59" s="99">
        <f t="shared" si="5"/>
        <v>0</v>
      </c>
    </row>
    <row r="60" spans="2:18" s="13" customFormat="1" ht="18" customHeight="1" x14ac:dyDescent="0.35">
      <c r="B60" s="100" t="s">
        <v>34</v>
      </c>
      <c r="C60" s="45" t="s">
        <v>58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5">
        <f t="shared" si="9"/>
        <v>0</v>
      </c>
      <c r="P60" s="62">
        <f t="shared" si="10"/>
        <v>1</v>
      </c>
      <c r="Q60" s="64">
        <v>11865</v>
      </c>
      <c r="R60" s="99">
        <f>O60*Q60</f>
        <v>0</v>
      </c>
    </row>
    <row r="61" spans="2:18" s="13" customFormat="1" ht="14.5" x14ac:dyDescent="0.35">
      <c r="B61" s="101" t="s">
        <v>68</v>
      </c>
      <c r="C61" s="57" t="s">
        <v>65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07">
        <f>SUM(R16:R60)</f>
        <v>0</v>
      </c>
    </row>
    <row r="62" spans="2:18" s="13" customFormat="1" ht="15.5" x14ac:dyDescent="0.35">
      <c r="B62" s="54" t="s">
        <v>89</v>
      </c>
      <c r="C62" s="45" t="s">
        <v>65</v>
      </c>
      <c r="D62" s="46"/>
      <c r="E62" s="47">
        <v>1</v>
      </c>
      <c r="F62" s="46"/>
      <c r="G62" s="48">
        <f t="shared" ref="G62:G78" si="11">F62*(1+$D$9)</f>
        <v>0</v>
      </c>
      <c r="H62" s="49"/>
      <c r="I62" s="46"/>
      <c r="J62" s="48">
        <f t="shared" ref="J62:J78" si="12">I62*(1+$D$9)</f>
        <v>0</v>
      </c>
      <c r="K62" s="49"/>
      <c r="L62" s="46"/>
      <c r="M62" s="48">
        <f t="shared" ref="M62:M78" si="13">L62*(1+$D$9)</f>
        <v>0</v>
      </c>
      <c r="N62" s="50"/>
      <c r="O62" s="51">
        <f t="shared" ref="O62:O78" si="14">(D62*E62)+(G62*H62)+(J62*K62)+(M62*N62)</f>
        <v>0</v>
      </c>
      <c r="P62" s="62">
        <f t="shared" ref="P62:P78" si="15">N62+K62+H62+E62</f>
        <v>1</v>
      </c>
      <c r="Q62" s="64">
        <v>5634</v>
      </c>
      <c r="R62" s="102">
        <f>O62*Q62</f>
        <v>0</v>
      </c>
    </row>
    <row r="63" spans="2:18" s="13" customFormat="1" ht="15.5" x14ac:dyDescent="0.35">
      <c r="B63" s="54" t="s">
        <v>11</v>
      </c>
      <c r="C63" s="45" t="s">
        <v>65</v>
      </c>
      <c r="D63" s="46"/>
      <c r="E63" s="47">
        <v>1</v>
      </c>
      <c r="F63" s="46"/>
      <c r="G63" s="48">
        <f t="shared" si="11"/>
        <v>0</v>
      </c>
      <c r="H63" s="49"/>
      <c r="I63" s="46"/>
      <c r="J63" s="48">
        <f t="shared" si="12"/>
        <v>0</v>
      </c>
      <c r="K63" s="49"/>
      <c r="L63" s="46"/>
      <c r="M63" s="48">
        <f t="shared" si="13"/>
        <v>0</v>
      </c>
      <c r="N63" s="50"/>
      <c r="O63" s="51">
        <f t="shared" si="14"/>
        <v>0</v>
      </c>
      <c r="P63" s="62">
        <f t="shared" si="15"/>
        <v>1</v>
      </c>
      <c r="Q63" s="64">
        <v>1878</v>
      </c>
      <c r="R63" s="102">
        <f t="shared" ref="R63:R78" si="16">O63*Q63</f>
        <v>0</v>
      </c>
    </row>
    <row r="64" spans="2:18" s="13" customFormat="1" ht="15.5" x14ac:dyDescent="0.35">
      <c r="B64" s="54" t="s">
        <v>90</v>
      </c>
      <c r="C64" s="45" t="s">
        <v>65</v>
      </c>
      <c r="D64" s="46"/>
      <c r="E64" s="47">
        <v>1</v>
      </c>
      <c r="F64" s="46"/>
      <c r="G64" s="48">
        <f t="shared" si="11"/>
        <v>0</v>
      </c>
      <c r="H64" s="49"/>
      <c r="I64" s="46"/>
      <c r="J64" s="48">
        <f t="shared" si="12"/>
        <v>0</v>
      </c>
      <c r="K64" s="49"/>
      <c r="L64" s="46"/>
      <c r="M64" s="48">
        <f t="shared" si="13"/>
        <v>0</v>
      </c>
      <c r="N64" s="50"/>
      <c r="O64" s="51">
        <f t="shared" si="14"/>
        <v>0</v>
      </c>
      <c r="P64" s="62">
        <f t="shared" si="15"/>
        <v>1</v>
      </c>
      <c r="Q64" s="64">
        <v>7512</v>
      </c>
      <c r="R64" s="102">
        <f t="shared" si="16"/>
        <v>0</v>
      </c>
    </row>
    <row r="65" spans="2:18" s="13" customFormat="1" ht="15.5" x14ac:dyDescent="0.35">
      <c r="B65" s="54" t="s">
        <v>2</v>
      </c>
      <c r="C65" s="45" t="s">
        <v>65</v>
      </c>
      <c r="D65" s="46"/>
      <c r="E65" s="47">
        <v>1</v>
      </c>
      <c r="F65" s="46"/>
      <c r="G65" s="48">
        <f t="shared" si="11"/>
        <v>0</v>
      </c>
      <c r="H65" s="49"/>
      <c r="I65" s="46"/>
      <c r="J65" s="48">
        <f>I65*(1+$D$9)</f>
        <v>0</v>
      </c>
      <c r="K65" s="49"/>
      <c r="L65" s="46"/>
      <c r="M65" s="48">
        <f t="shared" si="13"/>
        <v>0</v>
      </c>
      <c r="N65" s="50"/>
      <c r="O65" s="51">
        <f t="shared" si="14"/>
        <v>0</v>
      </c>
      <c r="P65" s="62">
        <f t="shared" si="15"/>
        <v>1</v>
      </c>
      <c r="Q65" s="64">
        <v>1878</v>
      </c>
      <c r="R65" s="102">
        <f t="shared" si="16"/>
        <v>0</v>
      </c>
    </row>
    <row r="66" spans="2:18" s="13" customFormat="1" ht="15.5" x14ac:dyDescent="0.35">
      <c r="B66" s="54" t="s">
        <v>91</v>
      </c>
      <c r="C66" s="45" t="s">
        <v>65</v>
      </c>
      <c r="D66" s="46"/>
      <c r="E66" s="47">
        <v>1</v>
      </c>
      <c r="F66" s="46"/>
      <c r="G66" s="48">
        <f t="shared" si="11"/>
        <v>0</v>
      </c>
      <c r="H66" s="49"/>
      <c r="I66" s="46"/>
      <c r="J66" s="48">
        <f t="shared" si="12"/>
        <v>0</v>
      </c>
      <c r="K66" s="49"/>
      <c r="L66" s="46"/>
      <c r="M66" s="48">
        <f t="shared" si="13"/>
        <v>0</v>
      </c>
      <c r="N66" s="50"/>
      <c r="O66" s="51">
        <f t="shared" si="14"/>
        <v>0</v>
      </c>
      <c r="P66" s="62">
        <f t="shared" si="15"/>
        <v>1</v>
      </c>
      <c r="Q66" s="64">
        <v>1878</v>
      </c>
      <c r="R66" s="102">
        <f t="shared" si="16"/>
        <v>0</v>
      </c>
    </row>
    <row r="67" spans="2:18" s="13" customFormat="1" ht="15.5" x14ac:dyDescent="0.35">
      <c r="B67" s="54" t="s">
        <v>97</v>
      </c>
      <c r="C67" s="45" t="s">
        <v>65</v>
      </c>
      <c r="D67" s="46"/>
      <c r="E67" s="47">
        <v>1</v>
      </c>
      <c r="F67" s="46"/>
      <c r="G67" s="48">
        <f t="shared" si="11"/>
        <v>0</v>
      </c>
      <c r="H67" s="49"/>
      <c r="I67" s="46"/>
      <c r="J67" s="48">
        <f t="shared" si="12"/>
        <v>0</v>
      </c>
      <c r="K67" s="49"/>
      <c r="L67" s="46"/>
      <c r="M67" s="48">
        <f t="shared" si="13"/>
        <v>0</v>
      </c>
      <c r="N67" s="50"/>
      <c r="O67" s="51">
        <f t="shared" si="14"/>
        <v>0</v>
      </c>
      <c r="P67" s="62">
        <f t="shared" si="15"/>
        <v>1</v>
      </c>
      <c r="Q67" s="64">
        <v>1878</v>
      </c>
      <c r="R67" s="102">
        <f t="shared" si="16"/>
        <v>0</v>
      </c>
    </row>
    <row r="68" spans="2:18" s="13" customFormat="1" ht="15.5" x14ac:dyDescent="0.35">
      <c r="B68" s="54" t="s">
        <v>98</v>
      </c>
      <c r="C68" s="45" t="s">
        <v>65</v>
      </c>
      <c r="D68" s="46"/>
      <c r="E68" s="47">
        <v>1</v>
      </c>
      <c r="F68" s="46"/>
      <c r="G68" s="48">
        <f t="shared" si="11"/>
        <v>0</v>
      </c>
      <c r="H68" s="49"/>
      <c r="I68" s="46"/>
      <c r="J68" s="48">
        <f t="shared" si="12"/>
        <v>0</v>
      </c>
      <c r="K68" s="49"/>
      <c r="L68" s="46"/>
      <c r="M68" s="48">
        <f t="shared" si="13"/>
        <v>0</v>
      </c>
      <c r="N68" s="50"/>
      <c r="O68" s="51">
        <f t="shared" si="14"/>
        <v>0</v>
      </c>
      <c r="P68" s="62">
        <f t="shared" si="15"/>
        <v>1</v>
      </c>
      <c r="Q68" s="64">
        <v>7512</v>
      </c>
      <c r="R68" s="102">
        <f t="shared" si="16"/>
        <v>0</v>
      </c>
    </row>
    <row r="69" spans="2:18" s="13" customFormat="1" ht="15.5" x14ac:dyDescent="0.35">
      <c r="B69" s="54" t="s">
        <v>5</v>
      </c>
      <c r="C69" s="45" t="s">
        <v>65</v>
      </c>
      <c r="D69" s="46"/>
      <c r="E69" s="47">
        <v>1</v>
      </c>
      <c r="F69" s="46"/>
      <c r="G69" s="48">
        <f t="shared" si="11"/>
        <v>0</v>
      </c>
      <c r="H69" s="49"/>
      <c r="I69" s="46"/>
      <c r="J69" s="48">
        <f t="shared" si="12"/>
        <v>0</v>
      </c>
      <c r="K69" s="49"/>
      <c r="L69" s="46"/>
      <c r="M69" s="48">
        <f t="shared" si="13"/>
        <v>0</v>
      </c>
      <c r="N69" s="50"/>
      <c r="O69" s="51">
        <f t="shared" si="14"/>
        <v>0</v>
      </c>
      <c r="P69" s="62">
        <f t="shared" si="15"/>
        <v>1</v>
      </c>
      <c r="Q69" s="64">
        <v>9390</v>
      </c>
      <c r="R69" s="102">
        <f t="shared" si="16"/>
        <v>0</v>
      </c>
    </row>
    <row r="70" spans="2:18" s="13" customFormat="1" ht="15.5" x14ac:dyDescent="0.35">
      <c r="B70" s="54" t="s">
        <v>100</v>
      </c>
      <c r="C70" s="45" t="s">
        <v>65</v>
      </c>
      <c r="D70" s="46"/>
      <c r="E70" s="47">
        <v>1</v>
      </c>
      <c r="F70" s="46"/>
      <c r="G70" s="48">
        <f t="shared" si="11"/>
        <v>0</v>
      </c>
      <c r="H70" s="49"/>
      <c r="I70" s="46"/>
      <c r="J70" s="48">
        <f t="shared" si="12"/>
        <v>0</v>
      </c>
      <c r="K70" s="49"/>
      <c r="L70" s="46"/>
      <c r="M70" s="48">
        <f t="shared" si="13"/>
        <v>0</v>
      </c>
      <c r="N70" s="50"/>
      <c r="O70" s="51">
        <f t="shared" si="14"/>
        <v>0</v>
      </c>
      <c r="P70" s="62">
        <f t="shared" si="15"/>
        <v>1</v>
      </c>
      <c r="Q70" s="64">
        <v>1878</v>
      </c>
      <c r="R70" s="102">
        <f t="shared" si="16"/>
        <v>0</v>
      </c>
    </row>
    <row r="71" spans="2:18" s="13" customFormat="1" ht="15.5" x14ac:dyDescent="0.35">
      <c r="B71" s="54" t="s">
        <v>101</v>
      </c>
      <c r="C71" s="45" t="s">
        <v>65</v>
      </c>
      <c r="D71" s="46"/>
      <c r="E71" s="47">
        <v>1</v>
      </c>
      <c r="F71" s="46"/>
      <c r="G71" s="48">
        <f t="shared" si="11"/>
        <v>0</v>
      </c>
      <c r="H71" s="49"/>
      <c r="I71" s="46"/>
      <c r="J71" s="48">
        <f t="shared" si="12"/>
        <v>0</v>
      </c>
      <c r="K71" s="49"/>
      <c r="L71" s="46"/>
      <c r="M71" s="48">
        <f t="shared" si="13"/>
        <v>0</v>
      </c>
      <c r="N71" s="50"/>
      <c r="O71" s="51">
        <f t="shared" si="14"/>
        <v>0</v>
      </c>
      <c r="P71" s="62">
        <f t="shared" si="15"/>
        <v>1</v>
      </c>
      <c r="Q71" s="64">
        <v>1878</v>
      </c>
      <c r="R71" s="102">
        <f t="shared" si="16"/>
        <v>0</v>
      </c>
    </row>
    <row r="72" spans="2:18" s="13" customFormat="1" ht="15.5" x14ac:dyDescent="0.35">
      <c r="B72" s="54" t="s">
        <v>113</v>
      </c>
      <c r="C72" s="45" t="s">
        <v>65</v>
      </c>
      <c r="D72" s="46"/>
      <c r="E72" s="47">
        <v>1</v>
      </c>
      <c r="F72" s="46"/>
      <c r="G72" s="48">
        <f t="shared" ref="G72:G77" si="17">F72*(1+$D$9)</f>
        <v>0</v>
      </c>
      <c r="H72" s="49"/>
      <c r="I72" s="46"/>
      <c r="J72" s="48">
        <f t="shared" ref="J72:J77" si="18">I72*(1+$D$9)</f>
        <v>0</v>
      </c>
      <c r="K72" s="49"/>
      <c r="L72" s="46"/>
      <c r="M72" s="48">
        <f t="shared" ref="M72:M77" si="19">L72*(1+$D$9)</f>
        <v>0</v>
      </c>
      <c r="N72" s="50"/>
      <c r="O72" s="51">
        <f t="shared" ref="O72:O77" si="20">(D72*E72)+(G72*H72)+(J72*K72)+(M72*N72)</f>
        <v>0</v>
      </c>
      <c r="P72" s="62">
        <f t="shared" ref="P72:P77" si="21">N72+K72+H72+E72</f>
        <v>1</v>
      </c>
      <c r="Q72" s="64">
        <v>1878</v>
      </c>
      <c r="R72" s="102">
        <f t="shared" si="16"/>
        <v>0</v>
      </c>
    </row>
    <row r="73" spans="2:18" s="13" customFormat="1" ht="15.5" x14ac:dyDescent="0.35">
      <c r="B73" s="54" t="s">
        <v>6</v>
      </c>
      <c r="C73" s="45" t="s">
        <v>65</v>
      </c>
      <c r="D73" s="46"/>
      <c r="E73" s="47">
        <v>1</v>
      </c>
      <c r="F73" s="46"/>
      <c r="G73" s="48">
        <f t="shared" si="17"/>
        <v>0</v>
      </c>
      <c r="H73" s="49"/>
      <c r="I73" s="46"/>
      <c r="J73" s="48">
        <f t="shared" si="18"/>
        <v>0</v>
      </c>
      <c r="K73" s="49"/>
      <c r="L73" s="46"/>
      <c r="M73" s="48">
        <f t="shared" si="19"/>
        <v>0</v>
      </c>
      <c r="N73" s="50"/>
      <c r="O73" s="51">
        <f t="shared" si="20"/>
        <v>0</v>
      </c>
      <c r="P73" s="62">
        <f t="shared" si="21"/>
        <v>1</v>
      </c>
      <c r="Q73" s="64">
        <v>5634</v>
      </c>
      <c r="R73" s="102">
        <f t="shared" si="16"/>
        <v>0</v>
      </c>
    </row>
    <row r="74" spans="2:18" s="13" customFormat="1" ht="15.5" x14ac:dyDescent="0.35">
      <c r="B74" s="54" t="s">
        <v>102</v>
      </c>
      <c r="C74" s="45" t="s">
        <v>65</v>
      </c>
      <c r="D74" s="46"/>
      <c r="E74" s="47">
        <v>1</v>
      </c>
      <c r="F74" s="46"/>
      <c r="G74" s="48">
        <f t="shared" si="17"/>
        <v>0</v>
      </c>
      <c r="H74" s="49"/>
      <c r="I74" s="46"/>
      <c r="J74" s="48">
        <f t="shared" si="18"/>
        <v>0</v>
      </c>
      <c r="K74" s="49"/>
      <c r="L74" s="46"/>
      <c r="M74" s="48">
        <f t="shared" si="19"/>
        <v>0</v>
      </c>
      <c r="N74" s="50"/>
      <c r="O74" s="51">
        <f t="shared" si="20"/>
        <v>0</v>
      </c>
      <c r="P74" s="62">
        <f t="shared" si="21"/>
        <v>1</v>
      </c>
      <c r="Q74" s="64">
        <v>16902</v>
      </c>
      <c r="R74" s="102">
        <f t="shared" si="16"/>
        <v>0</v>
      </c>
    </row>
    <row r="75" spans="2:18" s="13" customFormat="1" ht="15.5" x14ac:dyDescent="0.35">
      <c r="B75" s="54" t="s">
        <v>7</v>
      </c>
      <c r="C75" s="45" t="s">
        <v>65</v>
      </c>
      <c r="D75" s="46"/>
      <c r="E75" s="47">
        <v>1</v>
      </c>
      <c r="F75" s="46"/>
      <c r="G75" s="48">
        <f t="shared" si="17"/>
        <v>0</v>
      </c>
      <c r="H75" s="49"/>
      <c r="I75" s="46"/>
      <c r="J75" s="48">
        <f t="shared" si="18"/>
        <v>0</v>
      </c>
      <c r="K75" s="49"/>
      <c r="L75" s="46"/>
      <c r="M75" s="48">
        <f t="shared" si="19"/>
        <v>0</v>
      </c>
      <c r="N75" s="50"/>
      <c r="O75" s="51">
        <f t="shared" si="20"/>
        <v>0</v>
      </c>
      <c r="P75" s="62">
        <f t="shared" si="21"/>
        <v>1</v>
      </c>
      <c r="Q75" s="64">
        <v>11268</v>
      </c>
      <c r="R75" s="102">
        <f t="shared" si="16"/>
        <v>0</v>
      </c>
    </row>
    <row r="76" spans="2:18" s="13" customFormat="1" ht="15.5" x14ac:dyDescent="0.35">
      <c r="B76" s="54" t="s">
        <v>103</v>
      </c>
      <c r="C76" s="45" t="s">
        <v>65</v>
      </c>
      <c r="D76" s="46"/>
      <c r="E76" s="47">
        <v>1</v>
      </c>
      <c r="F76" s="46"/>
      <c r="G76" s="48">
        <f t="shared" si="17"/>
        <v>0</v>
      </c>
      <c r="H76" s="49"/>
      <c r="I76" s="46"/>
      <c r="J76" s="48">
        <f t="shared" si="18"/>
        <v>0</v>
      </c>
      <c r="K76" s="49"/>
      <c r="L76" s="46"/>
      <c r="M76" s="48">
        <f t="shared" si="19"/>
        <v>0</v>
      </c>
      <c r="N76" s="50"/>
      <c r="O76" s="51">
        <f t="shared" si="20"/>
        <v>0</v>
      </c>
      <c r="P76" s="62">
        <f t="shared" si="21"/>
        <v>1</v>
      </c>
      <c r="Q76" s="64">
        <v>5634</v>
      </c>
      <c r="R76" s="102">
        <f t="shared" si="16"/>
        <v>0</v>
      </c>
    </row>
    <row r="77" spans="2:18" s="13" customFormat="1" ht="15.5" x14ac:dyDescent="0.35">
      <c r="B77" s="54" t="s">
        <v>104</v>
      </c>
      <c r="C77" s="45" t="s">
        <v>65</v>
      </c>
      <c r="D77" s="46"/>
      <c r="E77" s="47">
        <v>1</v>
      </c>
      <c r="F77" s="46"/>
      <c r="G77" s="48">
        <f t="shared" si="17"/>
        <v>0</v>
      </c>
      <c r="H77" s="49"/>
      <c r="I77" s="46"/>
      <c r="J77" s="48">
        <f t="shared" si="18"/>
        <v>0</v>
      </c>
      <c r="K77" s="49"/>
      <c r="L77" s="46"/>
      <c r="M77" s="48">
        <f t="shared" si="19"/>
        <v>0</v>
      </c>
      <c r="N77" s="50"/>
      <c r="O77" s="51">
        <f t="shared" si="20"/>
        <v>0</v>
      </c>
      <c r="P77" s="62">
        <f t="shared" si="21"/>
        <v>1</v>
      </c>
      <c r="Q77" s="64">
        <v>3756</v>
      </c>
      <c r="R77" s="102">
        <f t="shared" si="16"/>
        <v>0</v>
      </c>
    </row>
    <row r="78" spans="2:18" s="13" customFormat="1" ht="15.5" x14ac:dyDescent="0.35">
      <c r="B78" s="54" t="s">
        <v>105</v>
      </c>
      <c r="C78" s="45" t="s">
        <v>65</v>
      </c>
      <c r="D78" s="46"/>
      <c r="E78" s="47">
        <v>1</v>
      </c>
      <c r="F78" s="46"/>
      <c r="G78" s="48">
        <f t="shared" si="11"/>
        <v>0</v>
      </c>
      <c r="H78" s="49"/>
      <c r="I78" s="46"/>
      <c r="J78" s="48">
        <f t="shared" si="12"/>
        <v>0</v>
      </c>
      <c r="K78" s="49"/>
      <c r="L78" s="46"/>
      <c r="M78" s="48">
        <f t="shared" si="13"/>
        <v>0</v>
      </c>
      <c r="N78" s="50"/>
      <c r="O78" s="51">
        <f t="shared" si="14"/>
        <v>0</v>
      </c>
      <c r="P78" s="62">
        <f t="shared" si="15"/>
        <v>1</v>
      </c>
      <c r="Q78" s="64">
        <v>15024</v>
      </c>
      <c r="R78" s="102">
        <f t="shared" si="16"/>
        <v>0</v>
      </c>
    </row>
    <row r="79" spans="2:18" s="13" customFormat="1" ht="15" thickBot="1" x14ac:dyDescent="0.4">
      <c r="B79" s="103" t="s">
        <v>61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65"/>
      <c r="R79" s="108">
        <f>SUM(R62:R78)</f>
        <v>0</v>
      </c>
    </row>
    <row r="80" spans="2:18" s="13" customFormat="1" ht="15.5" x14ac:dyDescent="0.35">
      <c r="B80" s="44"/>
      <c r="C80" s="45"/>
      <c r="D80" s="46"/>
      <c r="E80" s="47">
        <v>1</v>
      </c>
      <c r="F80" s="46"/>
      <c r="G80" s="48">
        <f t="shared" ref="G80:G96" si="22">F80*(1+$D$9)</f>
        <v>0</v>
      </c>
      <c r="H80" s="49"/>
      <c r="I80" s="46"/>
      <c r="J80" s="48">
        <f t="shared" ref="J80:J96" si="23">I80*(1+$D$9)</f>
        <v>0</v>
      </c>
      <c r="K80" s="49"/>
      <c r="L80" s="46"/>
      <c r="M80" s="48">
        <f t="shared" ref="M80:M96" si="24">L80*(1+$D$9)</f>
        <v>0</v>
      </c>
      <c r="N80" s="50"/>
      <c r="O80" s="51">
        <f t="shared" ref="O80:O96" si="25">(D80*E80)+(G80*H80)+(J80*K80)+(M80*N80)</f>
        <v>0</v>
      </c>
      <c r="P80" s="52">
        <f t="shared" ref="P80:P96" si="26">N80+K80+H80+E80</f>
        <v>1</v>
      </c>
      <c r="Q80" s="52"/>
      <c r="R80" s="104">
        <f>O80*Q80</f>
        <v>0</v>
      </c>
    </row>
    <row r="81" spans="2:18" s="13" customFormat="1" ht="15.5" x14ac:dyDescent="0.35">
      <c r="B81" s="53"/>
      <c r="C81" s="45"/>
      <c r="D81" s="46"/>
      <c r="E81" s="47">
        <v>1</v>
      </c>
      <c r="F81" s="46"/>
      <c r="G81" s="48">
        <f t="shared" si="22"/>
        <v>0</v>
      </c>
      <c r="H81" s="49"/>
      <c r="I81" s="46"/>
      <c r="J81" s="48">
        <f t="shared" si="23"/>
        <v>0</v>
      </c>
      <c r="K81" s="49"/>
      <c r="L81" s="46"/>
      <c r="M81" s="48">
        <f t="shared" si="24"/>
        <v>0</v>
      </c>
      <c r="N81" s="50"/>
      <c r="O81" s="51">
        <f t="shared" si="25"/>
        <v>0</v>
      </c>
      <c r="P81" s="52">
        <f t="shared" si="26"/>
        <v>1</v>
      </c>
      <c r="Q81" s="52"/>
      <c r="R81" s="104">
        <f t="shared" ref="R81:R96" si="27">O81*Q81</f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22"/>
        <v>0</v>
      </c>
      <c r="H82" s="49"/>
      <c r="I82" s="46"/>
      <c r="J82" s="48">
        <f t="shared" si="23"/>
        <v>0</v>
      </c>
      <c r="K82" s="49"/>
      <c r="L82" s="46"/>
      <c r="M82" s="48">
        <f t="shared" si="24"/>
        <v>0</v>
      </c>
      <c r="N82" s="50"/>
      <c r="O82" s="51">
        <f t="shared" si="25"/>
        <v>0</v>
      </c>
      <c r="P82" s="52">
        <f t="shared" si="26"/>
        <v>1</v>
      </c>
      <c r="Q82" s="52"/>
      <c r="R82" s="104">
        <f t="shared" si="2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22"/>
        <v>0</v>
      </c>
      <c r="H83" s="49"/>
      <c r="I83" s="46"/>
      <c r="J83" s="48">
        <f t="shared" si="23"/>
        <v>0</v>
      </c>
      <c r="K83" s="49"/>
      <c r="L83" s="46"/>
      <c r="M83" s="48">
        <f t="shared" si="24"/>
        <v>0</v>
      </c>
      <c r="N83" s="50"/>
      <c r="O83" s="51">
        <f t="shared" si="25"/>
        <v>0</v>
      </c>
      <c r="P83" s="52">
        <f t="shared" si="26"/>
        <v>1</v>
      </c>
      <c r="Q83" s="52"/>
      <c r="R83" s="104">
        <f t="shared" si="2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22"/>
        <v>0</v>
      </c>
      <c r="H84" s="49"/>
      <c r="I84" s="46"/>
      <c r="J84" s="48">
        <f t="shared" si="23"/>
        <v>0</v>
      </c>
      <c r="K84" s="49"/>
      <c r="L84" s="46"/>
      <c r="M84" s="48">
        <f t="shared" si="24"/>
        <v>0</v>
      </c>
      <c r="N84" s="50"/>
      <c r="O84" s="51">
        <f t="shared" si="25"/>
        <v>0</v>
      </c>
      <c r="P84" s="52">
        <f t="shared" si="26"/>
        <v>1</v>
      </c>
      <c r="Q84" s="52"/>
      <c r="R84" s="104">
        <f t="shared" si="2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22"/>
        <v>0</v>
      </c>
      <c r="H85" s="49"/>
      <c r="I85" s="46"/>
      <c r="J85" s="48">
        <f t="shared" si="23"/>
        <v>0</v>
      </c>
      <c r="K85" s="49"/>
      <c r="L85" s="46"/>
      <c r="M85" s="48">
        <f t="shared" si="24"/>
        <v>0</v>
      </c>
      <c r="N85" s="50"/>
      <c r="O85" s="51">
        <f t="shared" si="25"/>
        <v>0</v>
      </c>
      <c r="P85" s="52">
        <f t="shared" si="26"/>
        <v>1</v>
      </c>
      <c r="Q85" s="52"/>
      <c r="R85" s="104">
        <f t="shared" si="2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22"/>
        <v>0</v>
      </c>
      <c r="H86" s="49"/>
      <c r="I86" s="46"/>
      <c r="J86" s="48">
        <f t="shared" si="23"/>
        <v>0</v>
      </c>
      <c r="K86" s="49"/>
      <c r="L86" s="46"/>
      <c r="M86" s="48">
        <f t="shared" si="24"/>
        <v>0</v>
      </c>
      <c r="N86" s="50"/>
      <c r="O86" s="51">
        <f t="shared" si="25"/>
        <v>0</v>
      </c>
      <c r="P86" s="52">
        <f t="shared" si="26"/>
        <v>1</v>
      </c>
      <c r="Q86" s="52"/>
      <c r="R86" s="104">
        <f t="shared" si="2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22"/>
        <v>0</v>
      </c>
      <c r="H87" s="49"/>
      <c r="I87" s="46"/>
      <c r="J87" s="48">
        <f t="shared" si="23"/>
        <v>0</v>
      </c>
      <c r="K87" s="49"/>
      <c r="L87" s="46"/>
      <c r="M87" s="48">
        <f t="shared" si="24"/>
        <v>0</v>
      </c>
      <c r="N87" s="50"/>
      <c r="O87" s="51">
        <f t="shared" si="25"/>
        <v>0</v>
      </c>
      <c r="P87" s="52">
        <f t="shared" si="26"/>
        <v>1</v>
      </c>
      <c r="Q87" s="52"/>
      <c r="R87" s="104">
        <f t="shared" si="27"/>
        <v>0</v>
      </c>
    </row>
    <row r="88" spans="2:18" s="13" customFormat="1" ht="15.5" x14ac:dyDescent="0.35">
      <c r="B88" s="54"/>
      <c r="C88" s="45"/>
      <c r="D88" s="46"/>
      <c r="E88" s="47">
        <v>1</v>
      </c>
      <c r="F88" s="46"/>
      <c r="G88" s="48">
        <f t="shared" si="22"/>
        <v>0</v>
      </c>
      <c r="H88" s="49"/>
      <c r="I88" s="46"/>
      <c r="J88" s="48">
        <f t="shared" si="23"/>
        <v>0</v>
      </c>
      <c r="K88" s="49"/>
      <c r="L88" s="46"/>
      <c r="M88" s="48">
        <f t="shared" si="24"/>
        <v>0</v>
      </c>
      <c r="N88" s="50"/>
      <c r="O88" s="51">
        <f t="shared" si="25"/>
        <v>0</v>
      </c>
      <c r="P88" s="52">
        <f t="shared" si="26"/>
        <v>1</v>
      </c>
      <c r="Q88" s="52"/>
      <c r="R88" s="104">
        <f t="shared" si="27"/>
        <v>0</v>
      </c>
    </row>
    <row r="89" spans="2:18" s="13" customFormat="1" ht="15.5" x14ac:dyDescent="0.35">
      <c r="B89" s="54"/>
      <c r="C89" s="45"/>
      <c r="D89" s="46"/>
      <c r="E89" s="47">
        <v>1</v>
      </c>
      <c r="F89" s="46"/>
      <c r="G89" s="48">
        <f t="shared" si="22"/>
        <v>0</v>
      </c>
      <c r="H89" s="49"/>
      <c r="I89" s="46"/>
      <c r="J89" s="48">
        <f t="shared" si="23"/>
        <v>0</v>
      </c>
      <c r="K89" s="49"/>
      <c r="L89" s="46"/>
      <c r="M89" s="48">
        <f t="shared" si="24"/>
        <v>0</v>
      </c>
      <c r="N89" s="50"/>
      <c r="O89" s="51">
        <f t="shared" si="25"/>
        <v>0</v>
      </c>
      <c r="P89" s="52">
        <f t="shared" si="26"/>
        <v>1</v>
      </c>
      <c r="Q89" s="52"/>
      <c r="R89" s="104">
        <f t="shared" si="27"/>
        <v>0</v>
      </c>
    </row>
    <row r="90" spans="2:18" s="13" customFormat="1" ht="15.5" x14ac:dyDescent="0.35">
      <c r="B90" s="54"/>
      <c r="C90" s="45"/>
      <c r="D90" s="46"/>
      <c r="E90" s="47">
        <v>1</v>
      </c>
      <c r="F90" s="46"/>
      <c r="G90" s="48">
        <f t="shared" si="22"/>
        <v>0</v>
      </c>
      <c r="H90" s="49"/>
      <c r="I90" s="46"/>
      <c r="J90" s="48">
        <f t="shared" si="23"/>
        <v>0</v>
      </c>
      <c r="K90" s="49"/>
      <c r="L90" s="46"/>
      <c r="M90" s="48">
        <f t="shared" si="24"/>
        <v>0</v>
      </c>
      <c r="N90" s="50"/>
      <c r="O90" s="51">
        <f t="shared" si="25"/>
        <v>0</v>
      </c>
      <c r="P90" s="52">
        <f t="shared" si="26"/>
        <v>1</v>
      </c>
      <c r="Q90" s="52"/>
      <c r="R90" s="104">
        <f t="shared" si="27"/>
        <v>0</v>
      </c>
    </row>
    <row r="91" spans="2:18" s="13" customFormat="1" ht="15.5" x14ac:dyDescent="0.35">
      <c r="B91" s="54"/>
      <c r="C91" s="45"/>
      <c r="D91" s="46"/>
      <c r="E91" s="47">
        <v>1</v>
      </c>
      <c r="F91" s="46"/>
      <c r="G91" s="48">
        <f t="shared" si="22"/>
        <v>0</v>
      </c>
      <c r="H91" s="49"/>
      <c r="I91" s="46"/>
      <c r="J91" s="48">
        <f t="shared" si="23"/>
        <v>0</v>
      </c>
      <c r="K91" s="49"/>
      <c r="L91" s="46"/>
      <c r="M91" s="48">
        <f t="shared" si="24"/>
        <v>0</v>
      </c>
      <c r="N91" s="50"/>
      <c r="O91" s="51">
        <f t="shared" si="25"/>
        <v>0</v>
      </c>
      <c r="P91" s="52">
        <f t="shared" si="26"/>
        <v>1</v>
      </c>
      <c r="Q91" s="52"/>
      <c r="R91" s="104">
        <f t="shared" si="27"/>
        <v>0</v>
      </c>
    </row>
    <row r="92" spans="2:18" s="13" customFormat="1" ht="15.5" x14ac:dyDescent="0.35">
      <c r="B92" s="54"/>
      <c r="C92" s="45"/>
      <c r="D92" s="46"/>
      <c r="E92" s="47">
        <v>1</v>
      </c>
      <c r="F92" s="46"/>
      <c r="G92" s="48">
        <f t="shared" si="22"/>
        <v>0</v>
      </c>
      <c r="H92" s="49"/>
      <c r="I92" s="46"/>
      <c r="J92" s="48">
        <f t="shared" si="23"/>
        <v>0</v>
      </c>
      <c r="K92" s="49"/>
      <c r="L92" s="46"/>
      <c r="M92" s="48">
        <f t="shared" si="24"/>
        <v>0</v>
      </c>
      <c r="N92" s="50"/>
      <c r="O92" s="51">
        <f t="shared" si="25"/>
        <v>0</v>
      </c>
      <c r="P92" s="52">
        <f t="shared" si="26"/>
        <v>1</v>
      </c>
      <c r="Q92" s="52"/>
      <c r="R92" s="104">
        <f t="shared" si="27"/>
        <v>0</v>
      </c>
    </row>
    <row r="93" spans="2:18" s="13" customFormat="1" ht="15.5" x14ac:dyDescent="0.35">
      <c r="B93" s="54"/>
      <c r="C93" s="45"/>
      <c r="D93" s="46"/>
      <c r="E93" s="47">
        <v>1</v>
      </c>
      <c r="F93" s="46"/>
      <c r="G93" s="48">
        <f t="shared" si="22"/>
        <v>0</v>
      </c>
      <c r="H93" s="49"/>
      <c r="I93" s="46"/>
      <c r="J93" s="48">
        <f t="shared" si="23"/>
        <v>0</v>
      </c>
      <c r="K93" s="49"/>
      <c r="L93" s="46"/>
      <c r="M93" s="48">
        <f t="shared" si="24"/>
        <v>0</v>
      </c>
      <c r="N93" s="50"/>
      <c r="O93" s="51">
        <f t="shared" si="25"/>
        <v>0</v>
      </c>
      <c r="P93" s="52">
        <f t="shared" si="26"/>
        <v>1</v>
      </c>
      <c r="Q93" s="52"/>
      <c r="R93" s="104">
        <f t="shared" si="27"/>
        <v>0</v>
      </c>
    </row>
    <row r="94" spans="2:18" s="13" customFormat="1" ht="15.5" x14ac:dyDescent="0.35">
      <c r="B94" s="54"/>
      <c r="C94" s="45"/>
      <c r="D94" s="46"/>
      <c r="E94" s="47">
        <v>1</v>
      </c>
      <c r="F94" s="46"/>
      <c r="G94" s="48">
        <f t="shared" si="22"/>
        <v>0</v>
      </c>
      <c r="H94" s="49"/>
      <c r="I94" s="46"/>
      <c r="J94" s="48">
        <f t="shared" si="23"/>
        <v>0</v>
      </c>
      <c r="K94" s="49"/>
      <c r="L94" s="46"/>
      <c r="M94" s="48">
        <f t="shared" si="24"/>
        <v>0</v>
      </c>
      <c r="N94" s="50"/>
      <c r="O94" s="51">
        <f t="shared" si="25"/>
        <v>0</v>
      </c>
      <c r="P94" s="52">
        <f t="shared" si="26"/>
        <v>1</v>
      </c>
      <c r="Q94" s="52"/>
      <c r="R94" s="104">
        <f t="shared" si="27"/>
        <v>0</v>
      </c>
    </row>
    <row r="95" spans="2:18" s="13" customFormat="1" ht="15.5" x14ac:dyDescent="0.35">
      <c r="B95" s="109"/>
      <c r="C95" s="110"/>
      <c r="D95" s="111"/>
      <c r="E95" s="112">
        <v>1</v>
      </c>
      <c r="F95" s="111"/>
      <c r="G95" s="113">
        <f t="shared" si="22"/>
        <v>0</v>
      </c>
      <c r="H95" s="114"/>
      <c r="I95" s="111"/>
      <c r="J95" s="113">
        <f t="shared" si="23"/>
        <v>0</v>
      </c>
      <c r="K95" s="114"/>
      <c r="L95" s="111"/>
      <c r="M95" s="113">
        <f t="shared" si="24"/>
        <v>0</v>
      </c>
      <c r="N95" s="115"/>
      <c r="O95" s="116">
        <f t="shared" si="25"/>
        <v>0</v>
      </c>
      <c r="P95" s="117">
        <f t="shared" si="26"/>
        <v>1</v>
      </c>
      <c r="Q95" s="117"/>
      <c r="R95" s="118">
        <f t="shared" si="27"/>
        <v>0</v>
      </c>
    </row>
    <row r="96" spans="2:18" s="13" customFormat="1" ht="16" thickBot="1" x14ac:dyDescent="0.4">
      <c r="B96" s="119"/>
      <c r="C96" s="120"/>
      <c r="D96" s="121"/>
      <c r="E96" s="122">
        <v>1</v>
      </c>
      <c r="F96" s="121"/>
      <c r="G96" s="123">
        <f t="shared" si="22"/>
        <v>0</v>
      </c>
      <c r="H96" s="124"/>
      <c r="I96" s="121"/>
      <c r="J96" s="123">
        <f t="shared" si="23"/>
        <v>0</v>
      </c>
      <c r="K96" s="124"/>
      <c r="L96" s="121"/>
      <c r="M96" s="123">
        <f t="shared" si="24"/>
        <v>0</v>
      </c>
      <c r="N96" s="125"/>
      <c r="O96" s="126">
        <f t="shared" si="25"/>
        <v>0</v>
      </c>
      <c r="P96" s="127">
        <f t="shared" si="26"/>
        <v>1</v>
      </c>
      <c r="Q96" s="127"/>
      <c r="R96" s="128">
        <f t="shared" si="27"/>
        <v>0</v>
      </c>
    </row>
    <row r="97" spans="2:18" s="13" customFormat="1" ht="16" thickBot="1" x14ac:dyDescent="0.4">
      <c r="B97" s="129"/>
      <c r="C97" s="130"/>
      <c r="D97" s="131"/>
      <c r="E97" s="132"/>
      <c r="F97" s="131"/>
      <c r="G97" s="133"/>
      <c r="H97" s="134"/>
      <c r="I97" s="131"/>
      <c r="J97" s="133"/>
      <c r="K97" s="134"/>
      <c r="L97" s="131"/>
      <c r="M97" s="133"/>
      <c r="N97" s="135"/>
      <c r="O97" s="136"/>
      <c r="P97" s="137"/>
      <c r="Q97" s="138"/>
      <c r="R97" s="139">
        <f>SUM(R80:R96)</f>
        <v>0</v>
      </c>
    </row>
    <row r="98" spans="2:18" ht="15" customHeight="1" thickBot="1" x14ac:dyDescent="0.3">
      <c r="Q98" s="105">
        <f>SUM(Q16:Q96)</f>
        <v>1261308</v>
      </c>
      <c r="R98" s="106">
        <f>SUM(R16:R96)</f>
        <v>0</v>
      </c>
    </row>
    <row r="99" spans="2:18" x14ac:dyDescent="0.25">
      <c r="Q99" s="183" t="s">
        <v>66</v>
      </c>
      <c r="R99" s="184"/>
    </row>
    <row r="100" spans="2:18" ht="13" thickBot="1" x14ac:dyDescent="0.3">
      <c r="Q100" s="185"/>
      <c r="R100" s="186"/>
    </row>
  </sheetData>
  <mergeCells count="10">
    <mergeCell ref="Q99:R100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8:P60">
    <cfRule type="cellIs" dxfId="19" priority="9" operator="lessThan">
      <formula>1</formula>
    </cfRule>
  </conditionalFormatting>
  <conditionalFormatting sqref="P62:P78">
    <cfRule type="cellIs" dxfId="18" priority="8" operator="lessThan">
      <formula>1</formula>
    </cfRule>
  </conditionalFormatting>
  <conditionalFormatting sqref="P80:P96">
    <cfRule type="cellIs" dxfId="17" priority="7" operator="lessThan">
      <formula>1</formula>
    </cfRule>
  </conditionalFormatting>
  <conditionalFormatting sqref="P16:P17">
    <cfRule type="cellIs" dxfId="16" priority="6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8B6C-6132-4533-B0E6-BEC3E7DD3C45}">
  <dimension ref="B1:R100"/>
  <sheetViews>
    <sheetView showGridLines="0" workbookViewId="0">
      <selection sqref="A1:A1048576"/>
    </sheetView>
  </sheetViews>
  <sheetFormatPr defaultColWidth="9.1796875" defaultRowHeight="12.5" x14ac:dyDescent="0.25"/>
  <cols>
    <col min="1" max="1" width="2.269531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/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87"/>
      <c r="P1" s="187"/>
    </row>
    <row r="2" spans="2:18" s="13" customFormat="1" ht="14.5" x14ac:dyDescent="0.35">
      <c r="B2" s="11" t="s">
        <v>18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41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60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42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44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43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45</v>
      </c>
      <c r="C9" s="19"/>
      <c r="D9" s="20"/>
      <c r="E9" s="21"/>
      <c r="F9" s="22"/>
      <c r="G9" s="22"/>
      <c r="H9" s="22"/>
      <c r="I9" s="188" t="s">
        <v>46</v>
      </c>
      <c r="J9" s="189"/>
      <c r="K9" s="189"/>
      <c r="L9" s="189"/>
      <c r="M9" s="190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47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0" t="str">
        <f>B12</f>
        <v>Contract Year 2</v>
      </c>
      <c r="P11" s="201"/>
    </row>
    <row r="12" spans="2:18" s="13" customFormat="1" ht="14.9" customHeight="1" x14ac:dyDescent="0.35">
      <c r="B12" s="202" t="s">
        <v>24</v>
      </c>
      <c r="C12" s="202"/>
      <c r="D12" s="203" t="s">
        <v>12</v>
      </c>
      <c r="E12" s="203"/>
      <c r="F12" s="204" t="s">
        <v>48</v>
      </c>
      <c r="G12" s="204"/>
      <c r="H12" s="204"/>
      <c r="I12" s="204" t="s">
        <v>49</v>
      </c>
      <c r="J12" s="204"/>
      <c r="K12" s="204"/>
      <c r="L12" s="204" t="s">
        <v>13</v>
      </c>
      <c r="M12" s="204"/>
      <c r="N12" s="204"/>
      <c r="O12" s="205" t="s">
        <v>14</v>
      </c>
      <c r="P12" s="206"/>
    </row>
    <row r="13" spans="2:18" s="13" customFormat="1" ht="56" x14ac:dyDescent="0.35">
      <c r="B13" s="28"/>
      <c r="C13" s="28"/>
      <c r="D13" s="29" t="s">
        <v>50</v>
      </c>
      <c r="E13" s="30" t="s">
        <v>15</v>
      </c>
      <c r="F13" s="31" t="s">
        <v>51</v>
      </c>
      <c r="G13" s="30" t="s">
        <v>52</v>
      </c>
      <c r="H13" s="32" t="s">
        <v>15</v>
      </c>
      <c r="I13" s="31" t="s">
        <v>53</v>
      </c>
      <c r="J13" s="30" t="s">
        <v>52</v>
      </c>
      <c r="K13" s="32" t="s">
        <v>15</v>
      </c>
      <c r="L13" s="31" t="s">
        <v>54</v>
      </c>
      <c r="M13" s="30" t="s">
        <v>52</v>
      </c>
      <c r="N13" s="32" t="s">
        <v>15</v>
      </c>
      <c r="O13" s="33" t="s">
        <v>55</v>
      </c>
      <c r="P13" s="30" t="s">
        <v>15</v>
      </c>
      <c r="Q13" s="30" t="s">
        <v>63</v>
      </c>
      <c r="R13" s="30" t="s">
        <v>64</v>
      </c>
    </row>
    <row r="14" spans="2:18" s="13" customFormat="1" ht="14.5" x14ac:dyDescent="0.35">
      <c r="B14" s="34" t="s">
        <v>56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8">
        <v>1920</v>
      </c>
      <c r="R14" s="69">
        <f>O14*Q14</f>
        <v>78403.199999999997</v>
      </c>
    </row>
    <row r="15" spans="2:18" s="13" customFormat="1" ht="14.5" x14ac:dyDescent="0.35">
      <c r="B15" s="59" t="s">
        <v>57</v>
      </c>
      <c r="C15" s="59" t="s">
        <v>58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58</v>
      </c>
      <c r="D16" s="46"/>
      <c r="E16" s="47">
        <v>1</v>
      </c>
      <c r="F16" s="46"/>
      <c r="G16" s="48">
        <f>F16*(1+$E$9)</f>
        <v>0</v>
      </c>
      <c r="H16" s="49"/>
      <c r="I16" s="46"/>
      <c r="J16" s="48">
        <f t="shared" ref="J16:J60" si="0">I16*(1+$E$9)</f>
        <v>0</v>
      </c>
      <c r="K16" s="49"/>
      <c r="L16" s="46"/>
      <c r="M16" s="48">
        <f t="shared" ref="M16:M60" si="1">L16*(1+$E$9)</f>
        <v>0</v>
      </c>
      <c r="N16" s="50"/>
      <c r="O16" s="51">
        <f t="shared" ref="O16:O60" si="2">(D16*E16)+(G16*H16)+(J16*K16)+(M16*N16)</f>
        <v>0</v>
      </c>
      <c r="P16" s="62">
        <f t="shared" ref="P16:P60" si="3">N16+K16+H16+E16</f>
        <v>1</v>
      </c>
      <c r="Q16" s="64">
        <v>1878</v>
      </c>
      <c r="R16" s="99">
        <f>O16*Q16</f>
        <v>0</v>
      </c>
    </row>
    <row r="17" spans="2:18" s="13" customFormat="1" ht="15.5" x14ac:dyDescent="0.35">
      <c r="B17" s="54" t="s">
        <v>88</v>
      </c>
      <c r="C17" s="45" t="s">
        <v>58</v>
      </c>
      <c r="D17" s="46"/>
      <c r="E17" s="47">
        <v>1</v>
      </c>
      <c r="F17" s="46"/>
      <c r="G17" s="48">
        <f t="shared" ref="G17:G60" si="4">F17*(1+$E$9)</f>
        <v>0</v>
      </c>
      <c r="H17" s="49"/>
      <c r="I17" s="46"/>
      <c r="J17" s="48">
        <f>I17*(1+$E$9)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1878</v>
      </c>
      <c r="R17" s="99">
        <f t="shared" ref="R17:R59" si="5">O17*Q17</f>
        <v>0</v>
      </c>
    </row>
    <row r="18" spans="2:18" s="13" customFormat="1" ht="15.5" x14ac:dyDescent="0.35">
      <c r="B18" s="54" t="s">
        <v>89</v>
      </c>
      <c r="C18" s="45" t="s">
        <v>58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 t="shared" si="0"/>
        <v>0</v>
      </c>
      <c r="K18" s="49"/>
      <c r="L18" s="46"/>
      <c r="M18" s="48">
        <f t="shared" si="1"/>
        <v>0</v>
      </c>
      <c r="N18" s="50"/>
      <c r="O18" s="55">
        <f t="shared" si="2"/>
        <v>0</v>
      </c>
      <c r="P18" s="62">
        <f t="shared" si="3"/>
        <v>1</v>
      </c>
      <c r="Q18" s="64">
        <v>3756</v>
      </c>
      <c r="R18" s="99">
        <f t="shared" si="5"/>
        <v>0</v>
      </c>
    </row>
    <row r="19" spans="2:18" s="13" customFormat="1" ht="15.5" x14ac:dyDescent="0.35">
      <c r="B19" s="54" t="s">
        <v>90</v>
      </c>
      <c r="C19" s="45" t="s">
        <v>58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28170</v>
      </c>
      <c r="R19" s="99">
        <f t="shared" si="5"/>
        <v>0</v>
      </c>
    </row>
    <row r="20" spans="2:18" s="13" customFormat="1" ht="15.5" x14ac:dyDescent="0.35">
      <c r="B20" s="54" t="s">
        <v>2</v>
      </c>
      <c r="C20" s="45" t="s">
        <v>58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16902</v>
      </c>
      <c r="R20" s="99">
        <f t="shared" si="5"/>
        <v>0</v>
      </c>
    </row>
    <row r="21" spans="2:18" s="13" customFormat="1" ht="15.5" x14ac:dyDescent="0.35">
      <c r="B21" s="54" t="s">
        <v>91</v>
      </c>
      <c r="C21" s="45" t="s">
        <v>58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13146</v>
      </c>
      <c r="R21" s="99">
        <f t="shared" si="5"/>
        <v>0</v>
      </c>
    </row>
    <row r="22" spans="2:18" s="13" customFormat="1" ht="15.5" x14ac:dyDescent="0.35">
      <c r="B22" s="54" t="s">
        <v>92</v>
      </c>
      <c r="C22" s="45" t="s">
        <v>58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7512</v>
      </c>
      <c r="R22" s="99">
        <f t="shared" si="5"/>
        <v>0</v>
      </c>
    </row>
    <row r="23" spans="2:18" s="13" customFormat="1" ht="15.5" x14ac:dyDescent="0.35">
      <c r="B23" s="54" t="s">
        <v>93</v>
      </c>
      <c r="C23" s="45" t="s">
        <v>58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31926</v>
      </c>
      <c r="R23" s="99">
        <f t="shared" si="5"/>
        <v>0</v>
      </c>
    </row>
    <row r="24" spans="2:18" s="13" customFormat="1" ht="15.5" x14ac:dyDescent="0.35">
      <c r="B24" s="54" t="s">
        <v>94</v>
      </c>
      <c r="C24" s="45" t="s">
        <v>58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3756</v>
      </c>
      <c r="R24" s="99">
        <f t="shared" si="5"/>
        <v>0</v>
      </c>
    </row>
    <row r="25" spans="2:18" s="13" customFormat="1" ht="15.5" x14ac:dyDescent="0.35">
      <c r="B25" s="54" t="s">
        <v>3</v>
      </c>
      <c r="C25" s="45" t="s">
        <v>58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1878</v>
      </c>
      <c r="R25" s="99">
        <f t="shared" si="5"/>
        <v>0</v>
      </c>
    </row>
    <row r="26" spans="2:18" s="13" customFormat="1" ht="15.5" x14ac:dyDescent="0.35">
      <c r="B26" s="54" t="s">
        <v>95</v>
      </c>
      <c r="C26" s="45" t="s">
        <v>58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9390</v>
      </c>
      <c r="R26" s="99">
        <f t="shared" si="5"/>
        <v>0</v>
      </c>
    </row>
    <row r="27" spans="2:18" s="13" customFormat="1" ht="15.5" x14ac:dyDescent="0.35">
      <c r="B27" s="54" t="s">
        <v>96</v>
      </c>
      <c r="C27" s="45" t="s">
        <v>58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7512</v>
      </c>
      <c r="R27" s="99">
        <f t="shared" si="5"/>
        <v>0</v>
      </c>
    </row>
    <row r="28" spans="2:18" s="13" customFormat="1" ht="15.5" x14ac:dyDescent="0.35">
      <c r="B28" s="54" t="s">
        <v>97</v>
      </c>
      <c r="C28" s="45" t="s">
        <v>58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7512</v>
      </c>
      <c r="R28" s="99">
        <f t="shared" si="5"/>
        <v>0</v>
      </c>
    </row>
    <row r="29" spans="2:18" s="13" customFormat="1" ht="15.5" x14ac:dyDescent="0.35">
      <c r="B29" s="54" t="s">
        <v>4</v>
      </c>
      <c r="C29" s="45" t="s">
        <v>58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16902</v>
      </c>
      <c r="R29" s="99">
        <f t="shared" si="5"/>
        <v>0</v>
      </c>
    </row>
    <row r="30" spans="2:18" s="13" customFormat="1" ht="15.5" x14ac:dyDescent="0.35">
      <c r="B30" s="54" t="s">
        <v>98</v>
      </c>
      <c r="C30" s="45" t="s">
        <v>58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45072</v>
      </c>
      <c r="R30" s="99">
        <f t="shared" si="5"/>
        <v>0</v>
      </c>
    </row>
    <row r="31" spans="2:18" s="13" customFormat="1" ht="15.5" x14ac:dyDescent="0.35">
      <c r="B31" s="54" t="s">
        <v>5</v>
      </c>
      <c r="C31" s="45" t="s">
        <v>58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125826</v>
      </c>
      <c r="R31" s="99">
        <f t="shared" si="5"/>
        <v>0</v>
      </c>
    </row>
    <row r="32" spans="2:18" s="13" customFormat="1" ht="15.5" x14ac:dyDescent="0.35">
      <c r="B32" s="54" t="s">
        <v>99</v>
      </c>
      <c r="C32" s="45" t="s">
        <v>58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110802</v>
      </c>
      <c r="R32" s="99">
        <f t="shared" si="5"/>
        <v>0</v>
      </c>
    </row>
    <row r="33" spans="2:18" s="13" customFormat="1" ht="15.5" x14ac:dyDescent="0.35">
      <c r="B33" s="54" t="s">
        <v>100</v>
      </c>
      <c r="C33" s="45" t="s">
        <v>58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123948</v>
      </c>
      <c r="R33" s="99">
        <f t="shared" si="5"/>
        <v>0</v>
      </c>
    </row>
    <row r="34" spans="2:18" s="13" customFormat="1" ht="15.5" x14ac:dyDescent="0.35">
      <c r="B34" s="54" t="s">
        <v>101</v>
      </c>
      <c r="C34" s="45" t="s">
        <v>58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112680</v>
      </c>
      <c r="R34" s="99">
        <f t="shared" si="5"/>
        <v>0</v>
      </c>
    </row>
    <row r="35" spans="2:18" s="13" customFormat="1" ht="15.5" x14ac:dyDescent="0.35">
      <c r="B35" s="54" t="s">
        <v>6</v>
      </c>
      <c r="C35" s="45" t="s">
        <v>58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15024</v>
      </c>
      <c r="R35" s="99">
        <f t="shared" si="5"/>
        <v>0</v>
      </c>
    </row>
    <row r="36" spans="2:18" s="13" customFormat="1" ht="15.5" x14ac:dyDescent="0.35">
      <c r="B36" s="54" t="s">
        <v>102</v>
      </c>
      <c r="C36" s="45" t="s">
        <v>58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37560</v>
      </c>
      <c r="R36" s="99">
        <f t="shared" si="5"/>
        <v>0</v>
      </c>
    </row>
    <row r="37" spans="2:18" s="13" customFormat="1" ht="15.5" x14ac:dyDescent="0.35">
      <c r="B37" s="54" t="s">
        <v>7</v>
      </c>
      <c r="C37" s="45" t="s">
        <v>58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54462</v>
      </c>
      <c r="R37" s="99">
        <f t="shared" si="5"/>
        <v>0</v>
      </c>
    </row>
    <row r="38" spans="2:18" s="13" customFormat="1" ht="15.5" x14ac:dyDescent="0.35">
      <c r="B38" s="54" t="s">
        <v>103</v>
      </c>
      <c r="C38" s="45" t="s">
        <v>58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46950</v>
      </c>
      <c r="R38" s="99">
        <f t="shared" si="5"/>
        <v>0</v>
      </c>
    </row>
    <row r="39" spans="2:18" s="13" customFormat="1" ht="15.5" x14ac:dyDescent="0.35">
      <c r="B39" s="54" t="s">
        <v>104</v>
      </c>
      <c r="C39" s="45" t="s">
        <v>58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120192</v>
      </c>
      <c r="R39" s="99">
        <f t="shared" si="5"/>
        <v>0</v>
      </c>
    </row>
    <row r="40" spans="2:18" s="13" customFormat="1" ht="15.5" x14ac:dyDescent="0.35">
      <c r="B40" s="54" t="s">
        <v>105</v>
      </c>
      <c r="C40" s="45" t="s">
        <v>58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78876</v>
      </c>
      <c r="R40" s="99">
        <f t="shared" si="5"/>
        <v>0</v>
      </c>
    </row>
    <row r="41" spans="2:18" s="13" customFormat="1" ht="15.5" x14ac:dyDescent="0.35">
      <c r="B41" s="100" t="s">
        <v>8</v>
      </c>
      <c r="C41" s="45" t="s">
        <v>58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3756</v>
      </c>
      <c r="R41" s="99">
        <f t="shared" si="5"/>
        <v>0</v>
      </c>
    </row>
    <row r="42" spans="2:18" s="13" customFormat="1" ht="15.5" x14ac:dyDescent="0.35">
      <c r="B42" s="100" t="s">
        <v>106</v>
      </c>
      <c r="C42" s="45" t="s">
        <v>58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1878</v>
      </c>
      <c r="R42" s="99">
        <f t="shared" si="5"/>
        <v>0</v>
      </c>
    </row>
    <row r="43" spans="2:18" s="13" customFormat="1" ht="15.5" x14ac:dyDescent="0.35">
      <c r="B43" s="100" t="s">
        <v>107</v>
      </c>
      <c r="C43" s="45" t="s">
        <v>58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1878</v>
      </c>
      <c r="R43" s="99">
        <f t="shared" si="5"/>
        <v>0</v>
      </c>
    </row>
    <row r="44" spans="2:18" s="13" customFormat="1" ht="15.5" x14ac:dyDescent="0.35">
      <c r="B44" s="100" t="s">
        <v>108</v>
      </c>
      <c r="C44" s="45" t="s">
        <v>58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1878</v>
      </c>
      <c r="R44" s="99">
        <f t="shared" si="5"/>
        <v>0</v>
      </c>
    </row>
    <row r="45" spans="2:18" s="13" customFormat="1" ht="15.5" x14ac:dyDescent="0.35">
      <c r="B45" s="100" t="s">
        <v>9</v>
      </c>
      <c r="C45" s="45" t="s">
        <v>58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3756</v>
      </c>
      <c r="R45" s="99">
        <f t="shared" si="5"/>
        <v>0</v>
      </c>
    </row>
    <row r="46" spans="2:18" s="13" customFormat="1" ht="15.5" x14ac:dyDescent="0.35">
      <c r="B46" s="100" t="s">
        <v>109</v>
      </c>
      <c r="C46" s="45" t="s">
        <v>58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5634</v>
      </c>
      <c r="R46" s="99">
        <f t="shared" si="5"/>
        <v>0</v>
      </c>
    </row>
    <row r="47" spans="2:18" s="13" customFormat="1" ht="15.5" x14ac:dyDescent="0.35">
      <c r="B47" s="100" t="s">
        <v>110</v>
      </c>
      <c r="C47" s="45" t="s">
        <v>58</v>
      </c>
      <c r="D47" s="46"/>
      <c r="E47" s="47">
        <v>1</v>
      </c>
      <c r="F47" s="46"/>
      <c r="G47" s="48">
        <f t="shared" si="4"/>
        <v>0</v>
      </c>
      <c r="H47" s="49"/>
      <c r="I47" s="46"/>
      <c r="J47" s="48">
        <f t="shared" si="0"/>
        <v>0</v>
      </c>
      <c r="K47" s="49"/>
      <c r="L47" s="46"/>
      <c r="M47" s="48">
        <f t="shared" si="1"/>
        <v>0</v>
      </c>
      <c r="N47" s="50"/>
      <c r="O47" s="55">
        <f t="shared" si="2"/>
        <v>0</v>
      </c>
      <c r="P47" s="62">
        <f t="shared" si="3"/>
        <v>1</v>
      </c>
      <c r="Q47" s="64">
        <v>5634</v>
      </c>
      <c r="R47" s="99">
        <f t="shared" si="5"/>
        <v>0</v>
      </c>
    </row>
    <row r="48" spans="2:18" s="13" customFormat="1" ht="15.5" x14ac:dyDescent="0.35">
      <c r="B48" s="100" t="s">
        <v>111</v>
      </c>
      <c r="C48" s="45" t="s">
        <v>58</v>
      </c>
      <c r="D48" s="46"/>
      <c r="E48" s="47">
        <v>1</v>
      </c>
      <c r="F48" s="46"/>
      <c r="G48" s="48">
        <f t="shared" si="4"/>
        <v>0</v>
      </c>
      <c r="H48" s="49"/>
      <c r="I48" s="46"/>
      <c r="J48" s="48">
        <f t="shared" si="0"/>
        <v>0</v>
      </c>
      <c r="K48" s="49"/>
      <c r="L48" s="46"/>
      <c r="M48" s="48">
        <f t="shared" si="1"/>
        <v>0</v>
      </c>
      <c r="N48" s="50"/>
      <c r="O48" s="55">
        <f t="shared" si="2"/>
        <v>0</v>
      </c>
      <c r="P48" s="62">
        <f>N48+K48+H48+E48</f>
        <v>1</v>
      </c>
      <c r="Q48" s="182">
        <v>9390</v>
      </c>
      <c r="R48" s="99">
        <f t="shared" si="5"/>
        <v>0</v>
      </c>
    </row>
    <row r="49" spans="2:18" s="13" customFormat="1" ht="15.5" x14ac:dyDescent="0.35">
      <c r="B49" s="100" t="s">
        <v>62</v>
      </c>
      <c r="C49" s="45" t="s">
        <v>58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 t="shared" si="0"/>
        <v>0</v>
      </c>
      <c r="K49" s="49"/>
      <c r="L49" s="46"/>
      <c r="M49" s="48">
        <f t="shared" si="1"/>
        <v>0</v>
      </c>
      <c r="N49" s="50"/>
      <c r="O49" s="55">
        <f t="shared" si="2"/>
        <v>0</v>
      </c>
      <c r="P49" s="62">
        <f t="shared" si="3"/>
        <v>1</v>
      </c>
      <c r="Q49" s="64">
        <v>5634</v>
      </c>
      <c r="R49" s="99">
        <f t="shared" si="5"/>
        <v>0</v>
      </c>
    </row>
    <row r="50" spans="2:18" s="13" customFormat="1" ht="15.5" x14ac:dyDescent="0.35">
      <c r="B50" s="100" t="s">
        <v>112</v>
      </c>
      <c r="C50" s="45" t="s">
        <v>58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28170</v>
      </c>
      <c r="R50" s="99">
        <f t="shared" si="5"/>
        <v>0</v>
      </c>
    </row>
    <row r="51" spans="2:18" s="13" customFormat="1" ht="15.5" x14ac:dyDescent="0.35">
      <c r="B51" s="100" t="s">
        <v>10</v>
      </c>
      <c r="C51" s="45" t="s">
        <v>58</v>
      </c>
      <c r="D51" s="46"/>
      <c r="E51" s="47">
        <v>1</v>
      </c>
      <c r="F51" s="46"/>
      <c r="G51" s="48">
        <f t="shared" si="4"/>
        <v>0</v>
      </c>
      <c r="H51" s="49"/>
      <c r="I51" s="46"/>
      <c r="J51" s="48">
        <f t="shared" si="0"/>
        <v>0</v>
      </c>
      <c r="K51" s="49"/>
      <c r="L51" s="46"/>
      <c r="M51" s="48">
        <f t="shared" si="1"/>
        <v>0</v>
      </c>
      <c r="N51" s="50"/>
      <c r="O51" s="55">
        <f t="shared" si="2"/>
        <v>0</v>
      </c>
      <c r="P51" s="62">
        <f t="shared" si="3"/>
        <v>1</v>
      </c>
      <c r="Q51" s="64">
        <v>18780</v>
      </c>
      <c r="R51" s="99">
        <f t="shared" si="5"/>
        <v>0</v>
      </c>
    </row>
    <row r="52" spans="2:18" s="13" customFormat="1" ht="15.5" x14ac:dyDescent="0.35">
      <c r="B52" s="100" t="s">
        <v>35</v>
      </c>
      <c r="C52" s="45" t="s">
        <v>58</v>
      </c>
      <c r="D52" s="46"/>
      <c r="E52" s="47">
        <v>1</v>
      </c>
      <c r="F52" s="46"/>
      <c r="G52" s="48">
        <f t="shared" si="4"/>
        <v>0</v>
      </c>
      <c r="H52" s="49"/>
      <c r="I52" s="46"/>
      <c r="J52" s="48">
        <f t="shared" si="0"/>
        <v>0</v>
      </c>
      <c r="K52" s="49"/>
      <c r="L52" s="46"/>
      <c r="M52" s="48">
        <f t="shared" si="1"/>
        <v>0</v>
      </c>
      <c r="N52" s="50"/>
      <c r="O52" s="55">
        <f t="shared" si="2"/>
        <v>0</v>
      </c>
      <c r="P52" s="62">
        <f t="shared" si="3"/>
        <v>1</v>
      </c>
      <c r="Q52" s="64">
        <v>556</v>
      </c>
      <c r="R52" s="99">
        <f t="shared" si="5"/>
        <v>0</v>
      </c>
    </row>
    <row r="53" spans="2:18" s="13" customFormat="1" ht="15.5" x14ac:dyDescent="0.35">
      <c r="B53" s="100" t="s">
        <v>36</v>
      </c>
      <c r="C53" s="45" t="s">
        <v>58</v>
      </c>
      <c r="D53" s="46"/>
      <c r="E53" s="47">
        <v>1</v>
      </c>
      <c r="F53" s="46"/>
      <c r="G53" s="48">
        <f t="shared" si="4"/>
        <v>0</v>
      </c>
      <c r="H53" s="49"/>
      <c r="I53" s="46"/>
      <c r="J53" s="48">
        <f t="shared" si="0"/>
        <v>0</v>
      </c>
      <c r="K53" s="49"/>
      <c r="L53" s="46"/>
      <c r="M53" s="48">
        <f t="shared" si="1"/>
        <v>0</v>
      </c>
      <c r="N53" s="50"/>
      <c r="O53" s="55">
        <f t="shared" si="2"/>
        <v>0</v>
      </c>
      <c r="P53" s="62">
        <f t="shared" si="3"/>
        <v>1</v>
      </c>
      <c r="Q53" s="64">
        <v>2380</v>
      </c>
      <c r="R53" s="99">
        <f t="shared" si="5"/>
        <v>0</v>
      </c>
    </row>
    <row r="54" spans="2:18" s="13" customFormat="1" ht="15.5" x14ac:dyDescent="0.35">
      <c r="B54" s="100" t="s">
        <v>37</v>
      </c>
      <c r="C54" s="45" t="s">
        <v>58</v>
      </c>
      <c r="D54" s="46"/>
      <c r="E54" s="47">
        <v>1</v>
      </c>
      <c r="F54" s="46"/>
      <c r="G54" s="48">
        <f t="shared" si="4"/>
        <v>0</v>
      </c>
      <c r="H54" s="49"/>
      <c r="I54" s="46"/>
      <c r="J54" s="48">
        <f t="shared" si="0"/>
        <v>0</v>
      </c>
      <c r="K54" s="49"/>
      <c r="L54" s="46"/>
      <c r="M54" s="48">
        <f t="shared" si="1"/>
        <v>0</v>
      </c>
      <c r="N54" s="50"/>
      <c r="O54" s="55">
        <f t="shared" si="2"/>
        <v>0</v>
      </c>
      <c r="P54" s="62">
        <f t="shared" si="3"/>
        <v>1</v>
      </c>
      <c r="Q54" s="64">
        <v>1878</v>
      </c>
      <c r="R54" s="99">
        <f t="shared" si="5"/>
        <v>0</v>
      </c>
    </row>
    <row r="55" spans="2:18" s="13" customFormat="1" ht="15.5" x14ac:dyDescent="0.35">
      <c r="B55" s="100" t="s">
        <v>38</v>
      </c>
      <c r="C55" s="45" t="s">
        <v>58</v>
      </c>
      <c r="D55" s="46"/>
      <c r="E55" s="47">
        <v>1</v>
      </c>
      <c r="F55" s="46"/>
      <c r="G55" s="48">
        <f t="shared" si="4"/>
        <v>0</v>
      </c>
      <c r="H55" s="49"/>
      <c r="I55" s="46"/>
      <c r="J55" s="48">
        <f t="shared" si="0"/>
        <v>0</v>
      </c>
      <c r="K55" s="49"/>
      <c r="L55" s="46"/>
      <c r="M55" s="48">
        <f t="shared" si="1"/>
        <v>0</v>
      </c>
      <c r="N55" s="50"/>
      <c r="O55" s="55">
        <f t="shared" si="2"/>
        <v>0</v>
      </c>
      <c r="P55" s="62">
        <f t="shared" si="3"/>
        <v>1</v>
      </c>
      <c r="Q55" s="64">
        <v>482</v>
      </c>
      <c r="R55" s="99">
        <f t="shared" si="5"/>
        <v>0</v>
      </c>
    </row>
    <row r="56" spans="2:18" s="13" customFormat="1" ht="15.5" x14ac:dyDescent="0.35">
      <c r="B56" s="100" t="s">
        <v>39</v>
      </c>
      <c r="C56" s="45" t="s">
        <v>58</v>
      </c>
      <c r="D56" s="46"/>
      <c r="E56" s="47">
        <v>1</v>
      </c>
      <c r="F56" s="46"/>
      <c r="G56" s="48">
        <f t="shared" si="4"/>
        <v>0</v>
      </c>
      <c r="H56" s="49"/>
      <c r="I56" s="46"/>
      <c r="J56" s="48">
        <f t="shared" si="0"/>
        <v>0</v>
      </c>
      <c r="K56" s="49"/>
      <c r="L56" s="46"/>
      <c r="M56" s="48">
        <f t="shared" si="1"/>
        <v>0</v>
      </c>
      <c r="N56" s="50"/>
      <c r="O56" s="55">
        <f t="shared" si="2"/>
        <v>0</v>
      </c>
      <c r="P56" s="62">
        <f t="shared" si="3"/>
        <v>1</v>
      </c>
      <c r="Q56" s="64">
        <v>5634</v>
      </c>
      <c r="R56" s="99">
        <f t="shared" si="5"/>
        <v>0</v>
      </c>
    </row>
    <row r="57" spans="2:18" s="13" customFormat="1" ht="15.5" x14ac:dyDescent="0.35">
      <c r="B57" s="100" t="s">
        <v>40</v>
      </c>
      <c r="C57" s="45" t="s">
        <v>58</v>
      </c>
      <c r="D57" s="46"/>
      <c r="E57" s="47">
        <v>1</v>
      </c>
      <c r="F57" s="46"/>
      <c r="G57" s="48">
        <f t="shared" si="4"/>
        <v>0</v>
      </c>
      <c r="H57" s="49"/>
      <c r="I57" s="46"/>
      <c r="J57" s="48">
        <f t="shared" si="0"/>
        <v>0</v>
      </c>
      <c r="K57" s="49"/>
      <c r="L57" s="46"/>
      <c r="M57" s="48">
        <f t="shared" si="1"/>
        <v>0</v>
      </c>
      <c r="N57" s="50"/>
      <c r="O57" s="55">
        <f t="shared" si="2"/>
        <v>0</v>
      </c>
      <c r="P57" s="62">
        <f t="shared" si="3"/>
        <v>1</v>
      </c>
      <c r="Q57" s="64">
        <v>3756</v>
      </c>
      <c r="R57" s="99">
        <f t="shared" si="5"/>
        <v>0</v>
      </c>
    </row>
    <row r="58" spans="2:18" s="13" customFormat="1" ht="15.5" x14ac:dyDescent="0.35">
      <c r="B58" s="100" t="s">
        <v>32</v>
      </c>
      <c r="C58" s="45" t="s">
        <v>58</v>
      </c>
      <c r="D58" s="46"/>
      <c r="E58" s="47">
        <v>1</v>
      </c>
      <c r="F58" s="46"/>
      <c r="G58" s="48">
        <f t="shared" si="4"/>
        <v>0</v>
      </c>
      <c r="H58" s="49"/>
      <c r="I58" s="46"/>
      <c r="J58" s="48">
        <f t="shared" si="0"/>
        <v>0</v>
      </c>
      <c r="K58" s="49"/>
      <c r="L58" s="46"/>
      <c r="M58" s="48">
        <f t="shared" si="1"/>
        <v>0</v>
      </c>
      <c r="N58" s="50"/>
      <c r="O58" s="55">
        <f t="shared" si="2"/>
        <v>0</v>
      </c>
      <c r="P58" s="62">
        <f t="shared" si="3"/>
        <v>1</v>
      </c>
      <c r="Q58" s="64">
        <v>21569</v>
      </c>
      <c r="R58" s="99">
        <f t="shared" si="5"/>
        <v>0</v>
      </c>
    </row>
    <row r="59" spans="2:18" s="13" customFormat="1" ht="15.5" x14ac:dyDescent="0.35">
      <c r="B59" s="100" t="s">
        <v>33</v>
      </c>
      <c r="C59" s="45" t="s">
        <v>58</v>
      </c>
      <c r="D59" s="46"/>
      <c r="E59" s="47">
        <v>1</v>
      </c>
      <c r="F59" s="46"/>
      <c r="G59" s="48">
        <f t="shared" si="4"/>
        <v>0</v>
      </c>
      <c r="H59" s="49"/>
      <c r="I59" s="46"/>
      <c r="J59" s="48">
        <f>I59*(1+$E$9)</f>
        <v>0</v>
      </c>
      <c r="K59" s="49"/>
      <c r="L59" s="46"/>
      <c r="M59" s="48">
        <f>L59*(1+$E$9)</f>
        <v>0</v>
      </c>
      <c r="N59" s="50"/>
      <c r="O59" s="55">
        <f>(D59*E59)+(G59*H59)+(J59*K59)+(M59*N59)</f>
        <v>0</v>
      </c>
      <c r="P59" s="62">
        <f>N59+K59+H59+E59</f>
        <v>1</v>
      </c>
      <c r="Q59" s="64">
        <v>1878</v>
      </c>
      <c r="R59" s="99">
        <f t="shared" si="5"/>
        <v>0</v>
      </c>
    </row>
    <row r="60" spans="2:18" s="13" customFormat="1" ht="15.5" x14ac:dyDescent="0.35">
      <c r="B60" s="100" t="s">
        <v>34</v>
      </c>
      <c r="C60" s="45" t="s">
        <v>58</v>
      </c>
      <c r="D60" s="46"/>
      <c r="E60" s="47">
        <v>1</v>
      </c>
      <c r="F60" s="46"/>
      <c r="G60" s="48">
        <f t="shared" si="4"/>
        <v>0</v>
      </c>
      <c r="H60" s="49"/>
      <c r="I60" s="46"/>
      <c r="J60" s="48">
        <f t="shared" si="0"/>
        <v>0</v>
      </c>
      <c r="K60" s="49"/>
      <c r="L60" s="46"/>
      <c r="M60" s="48">
        <f t="shared" si="1"/>
        <v>0</v>
      </c>
      <c r="N60" s="50"/>
      <c r="O60" s="55">
        <f t="shared" si="2"/>
        <v>0</v>
      </c>
      <c r="P60" s="62">
        <f t="shared" si="3"/>
        <v>1</v>
      </c>
      <c r="Q60" s="64">
        <v>11865</v>
      </c>
      <c r="R60" s="99">
        <f>O60*Q60</f>
        <v>0</v>
      </c>
    </row>
    <row r="61" spans="2:18" s="13" customFormat="1" ht="14.5" x14ac:dyDescent="0.35">
      <c r="B61" s="56" t="s">
        <v>59</v>
      </c>
      <c r="C61" s="57" t="s">
        <v>65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07">
        <f>SUM(R16:R60)</f>
        <v>0</v>
      </c>
    </row>
    <row r="62" spans="2:18" s="13" customFormat="1" ht="15.5" x14ac:dyDescent="0.35">
      <c r="B62" s="54" t="s">
        <v>89</v>
      </c>
      <c r="C62" s="45" t="s">
        <v>65</v>
      </c>
      <c r="D62" s="46"/>
      <c r="E62" s="47">
        <v>1</v>
      </c>
      <c r="F62" s="46"/>
      <c r="G62" s="48">
        <f t="shared" ref="G62:G78" si="6">F62*(1+$D$9)</f>
        <v>0</v>
      </c>
      <c r="H62" s="49"/>
      <c r="I62" s="46"/>
      <c r="J62" s="48">
        <f t="shared" ref="J62:J78" si="7">I62*(1+$D$9)</f>
        <v>0</v>
      </c>
      <c r="K62" s="49"/>
      <c r="L62" s="46"/>
      <c r="M62" s="48">
        <f t="shared" ref="M62:M78" si="8">L62*(1+$D$9)</f>
        <v>0</v>
      </c>
      <c r="N62" s="50"/>
      <c r="O62" s="51">
        <f t="shared" ref="O62:O78" si="9">(D62*E62)+(G62*H62)+(J62*K62)+(M62*N62)</f>
        <v>0</v>
      </c>
      <c r="P62" s="62">
        <f t="shared" ref="P62:P78" si="10">N62+K62+H62+E62</f>
        <v>1</v>
      </c>
      <c r="Q62" s="64">
        <v>5634</v>
      </c>
      <c r="R62" s="66">
        <f>O62*Q62</f>
        <v>0</v>
      </c>
    </row>
    <row r="63" spans="2:18" s="13" customFormat="1" ht="15.5" x14ac:dyDescent="0.35">
      <c r="B63" s="54" t="s">
        <v>11</v>
      </c>
      <c r="C63" s="45" t="s">
        <v>65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1878</v>
      </c>
      <c r="R63" s="66">
        <f t="shared" ref="R63:R78" si="11">O63*Q63</f>
        <v>0</v>
      </c>
    </row>
    <row r="64" spans="2:18" s="13" customFormat="1" ht="15.5" x14ac:dyDescent="0.35">
      <c r="B64" s="54" t="s">
        <v>90</v>
      </c>
      <c r="C64" s="45" t="s">
        <v>65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7512</v>
      </c>
      <c r="R64" s="66">
        <f t="shared" si="11"/>
        <v>0</v>
      </c>
    </row>
    <row r="65" spans="2:18" s="13" customFormat="1" ht="15.5" x14ac:dyDescent="0.35">
      <c r="B65" s="54" t="s">
        <v>2</v>
      </c>
      <c r="C65" s="45" t="s">
        <v>65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>I65*(1+$D$9)</f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1878</v>
      </c>
      <c r="R65" s="66">
        <f t="shared" si="11"/>
        <v>0</v>
      </c>
    </row>
    <row r="66" spans="2:18" s="13" customFormat="1" ht="15.5" x14ac:dyDescent="0.35">
      <c r="B66" s="54" t="s">
        <v>91</v>
      </c>
      <c r="C66" s="45" t="s">
        <v>65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1878</v>
      </c>
      <c r="R66" s="66">
        <f t="shared" si="11"/>
        <v>0</v>
      </c>
    </row>
    <row r="67" spans="2:18" s="13" customFormat="1" ht="15.5" x14ac:dyDescent="0.35">
      <c r="B67" s="54" t="s">
        <v>97</v>
      </c>
      <c r="C67" s="45" t="s">
        <v>65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1878</v>
      </c>
      <c r="R67" s="66">
        <f t="shared" si="11"/>
        <v>0</v>
      </c>
    </row>
    <row r="68" spans="2:18" s="13" customFormat="1" ht="15.5" x14ac:dyDescent="0.35">
      <c r="B68" s="54" t="s">
        <v>98</v>
      </c>
      <c r="C68" s="45" t="s">
        <v>65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7512</v>
      </c>
      <c r="R68" s="66">
        <f t="shared" si="11"/>
        <v>0</v>
      </c>
    </row>
    <row r="69" spans="2:18" s="13" customFormat="1" ht="15.5" x14ac:dyDescent="0.35">
      <c r="B69" s="54" t="s">
        <v>5</v>
      </c>
      <c r="C69" s="45" t="s">
        <v>65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9390</v>
      </c>
      <c r="R69" s="66">
        <f t="shared" si="11"/>
        <v>0</v>
      </c>
    </row>
    <row r="70" spans="2:18" s="13" customFormat="1" ht="15.5" x14ac:dyDescent="0.35">
      <c r="B70" s="54" t="s">
        <v>100</v>
      </c>
      <c r="C70" s="45" t="s">
        <v>65</v>
      </c>
      <c r="D70" s="46"/>
      <c r="E70" s="47">
        <v>1</v>
      </c>
      <c r="F70" s="46"/>
      <c r="G70" s="48">
        <f t="shared" si="6"/>
        <v>0</v>
      </c>
      <c r="H70" s="49"/>
      <c r="I70" s="46"/>
      <c r="J70" s="48">
        <f t="shared" si="7"/>
        <v>0</v>
      </c>
      <c r="K70" s="49"/>
      <c r="L70" s="46"/>
      <c r="M70" s="48">
        <f t="shared" si="8"/>
        <v>0</v>
      </c>
      <c r="N70" s="50"/>
      <c r="O70" s="51">
        <f t="shared" si="9"/>
        <v>0</v>
      </c>
      <c r="P70" s="62">
        <f t="shared" si="10"/>
        <v>1</v>
      </c>
      <c r="Q70" s="64">
        <v>1878</v>
      </c>
      <c r="R70" s="66">
        <f t="shared" si="11"/>
        <v>0</v>
      </c>
    </row>
    <row r="71" spans="2:18" s="13" customFormat="1" ht="15.5" x14ac:dyDescent="0.35">
      <c r="B71" s="54" t="s">
        <v>101</v>
      </c>
      <c r="C71" s="45" t="s">
        <v>65</v>
      </c>
      <c r="D71" s="46"/>
      <c r="E71" s="47">
        <v>1</v>
      </c>
      <c r="F71" s="46"/>
      <c r="G71" s="48">
        <f t="shared" si="6"/>
        <v>0</v>
      </c>
      <c r="H71" s="49"/>
      <c r="I71" s="46"/>
      <c r="J71" s="48">
        <f t="shared" si="7"/>
        <v>0</v>
      </c>
      <c r="K71" s="49"/>
      <c r="L71" s="46"/>
      <c r="M71" s="48">
        <f t="shared" si="8"/>
        <v>0</v>
      </c>
      <c r="N71" s="50"/>
      <c r="O71" s="51">
        <f t="shared" si="9"/>
        <v>0</v>
      </c>
      <c r="P71" s="62">
        <f t="shared" si="10"/>
        <v>1</v>
      </c>
      <c r="Q71" s="64">
        <v>1878</v>
      </c>
      <c r="R71" s="66">
        <f t="shared" si="11"/>
        <v>0</v>
      </c>
    </row>
    <row r="72" spans="2:18" s="13" customFormat="1" ht="15.5" x14ac:dyDescent="0.35">
      <c r="B72" s="54" t="s">
        <v>113</v>
      </c>
      <c r="C72" s="45" t="s">
        <v>65</v>
      </c>
      <c r="D72" s="46"/>
      <c r="E72" s="47">
        <v>1</v>
      </c>
      <c r="F72" s="46"/>
      <c r="G72" s="48">
        <f t="shared" si="6"/>
        <v>0</v>
      </c>
      <c r="H72" s="49"/>
      <c r="I72" s="46"/>
      <c r="J72" s="48">
        <f t="shared" si="7"/>
        <v>0</v>
      </c>
      <c r="K72" s="49"/>
      <c r="L72" s="46"/>
      <c r="M72" s="48">
        <f t="shared" si="8"/>
        <v>0</v>
      </c>
      <c r="N72" s="50"/>
      <c r="O72" s="51">
        <f t="shared" si="9"/>
        <v>0</v>
      </c>
      <c r="P72" s="62">
        <f t="shared" si="10"/>
        <v>1</v>
      </c>
      <c r="Q72" s="64">
        <v>1878</v>
      </c>
      <c r="R72" s="66">
        <f t="shared" si="11"/>
        <v>0</v>
      </c>
    </row>
    <row r="73" spans="2:18" s="13" customFormat="1" ht="15.5" x14ac:dyDescent="0.35">
      <c r="B73" s="54" t="s">
        <v>6</v>
      </c>
      <c r="C73" s="45" t="s">
        <v>65</v>
      </c>
      <c r="D73" s="46"/>
      <c r="E73" s="47">
        <v>1</v>
      </c>
      <c r="F73" s="46"/>
      <c r="G73" s="48">
        <f t="shared" si="6"/>
        <v>0</v>
      </c>
      <c r="H73" s="49"/>
      <c r="I73" s="46"/>
      <c r="J73" s="48">
        <f t="shared" si="7"/>
        <v>0</v>
      </c>
      <c r="K73" s="49"/>
      <c r="L73" s="46"/>
      <c r="M73" s="48">
        <f t="shared" si="8"/>
        <v>0</v>
      </c>
      <c r="N73" s="50"/>
      <c r="O73" s="51">
        <f t="shared" si="9"/>
        <v>0</v>
      </c>
      <c r="P73" s="62">
        <f t="shared" si="10"/>
        <v>1</v>
      </c>
      <c r="Q73" s="64">
        <v>5634</v>
      </c>
      <c r="R73" s="66">
        <f t="shared" si="11"/>
        <v>0</v>
      </c>
    </row>
    <row r="74" spans="2:18" s="13" customFormat="1" ht="15.5" x14ac:dyDescent="0.35">
      <c r="B74" s="54" t="s">
        <v>102</v>
      </c>
      <c r="C74" s="45" t="s">
        <v>65</v>
      </c>
      <c r="D74" s="46"/>
      <c r="E74" s="47">
        <v>1</v>
      </c>
      <c r="F74" s="46"/>
      <c r="G74" s="48">
        <f t="shared" si="6"/>
        <v>0</v>
      </c>
      <c r="H74" s="49"/>
      <c r="I74" s="46"/>
      <c r="J74" s="48">
        <f t="shared" si="7"/>
        <v>0</v>
      </c>
      <c r="K74" s="49"/>
      <c r="L74" s="46"/>
      <c r="M74" s="48">
        <f t="shared" si="8"/>
        <v>0</v>
      </c>
      <c r="N74" s="50"/>
      <c r="O74" s="51">
        <f t="shared" si="9"/>
        <v>0</v>
      </c>
      <c r="P74" s="62">
        <f t="shared" si="10"/>
        <v>1</v>
      </c>
      <c r="Q74" s="64">
        <v>16902</v>
      </c>
      <c r="R74" s="66">
        <f t="shared" si="11"/>
        <v>0</v>
      </c>
    </row>
    <row r="75" spans="2:18" s="13" customFormat="1" ht="15.5" x14ac:dyDescent="0.35">
      <c r="B75" s="54" t="s">
        <v>7</v>
      </c>
      <c r="C75" s="45" t="s">
        <v>65</v>
      </c>
      <c r="D75" s="46"/>
      <c r="E75" s="47">
        <v>1</v>
      </c>
      <c r="F75" s="46"/>
      <c r="G75" s="48">
        <f t="shared" si="6"/>
        <v>0</v>
      </c>
      <c r="H75" s="49"/>
      <c r="I75" s="46"/>
      <c r="J75" s="48">
        <f t="shared" si="7"/>
        <v>0</v>
      </c>
      <c r="K75" s="49"/>
      <c r="L75" s="46"/>
      <c r="M75" s="48">
        <f t="shared" si="8"/>
        <v>0</v>
      </c>
      <c r="N75" s="50"/>
      <c r="O75" s="51">
        <f t="shared" si="9"/>
        <v>0</v>
      </c>
      <c r="P75" s="62">
        <f t="shared" si="10"/>
        <v>1</v>
      </c>
      <c r="Q75" s="64">
        <v>11268</v>
      </c>
      <c r="R75" s="66">
        <f t="shared" si="11"/>
        <v>0</v>
      </c>
    </row>
    <row r="76" spans="2:18" s="13" customFormat="1" ht="15.5" x14ac:dyDescent="0.35">
      <c r="B76" s="54" t="s">
        <v>103</v>
      </c>
      <c r="C76" s="45" t="s">
        <v>65</v>
      </c>
      <c r="D76" s="46"/>
      <c r="E76" s="47">
        <v>1</v>
      </c>
      <c r="F76" s="46"/>
      <c r="G76" s="48">
        <f t="shared" si="6"/>
        <v>0</v>
      </c>
      <c r="H76" s="49"/>
      <c r="I76" s="46"/>
      <c r="J76" s="48">
        <f t="shared" si="7"/>
        <v>0</v>
      </c>
      <c r="K76" s="49"/>
      <c r="L76" s="46"/>
      <c r="M76" s="48">
        <f t="shared" si="8"/>
        <v>0</v>
      </c>
      <c r="N76" s="50"/>
      <c r="O76" s="51">
        <f t="shared" si="9"/>
        <v>0</v>
      </c>
      <c r="P76" s="62">
        <f t="shared" si="10"/>
        <v>1</v>
      </c>
      <c r="Q76" s="64">
        <v>5634</v>
      </c>
      <c r="R76" s="66">
        <f t="shared" si="11"/>
        <v>0</v>
      </c>
    </row>
    <row r="77" spans="2:18" s="13" customFormat="1" ht="15.5" x14ac:dyDescent="0.35">
      <c r="B77" s="54" t="s">
        <v>104</v>
      </c>
      <c r="C77" s="45" t="s">
        <v>65</v>
      </c>
      <c r="D77" s="46"/>
      <c r="E77" s="47">
        <v>1</v>
      </c>
      <c r="F77" s="46"/>
      <c r="G77" s="48">
        <f t="shared" si="6"/>
        <v>0</v>
      </c>
      <c r="H77" s="49"/>
      <c r="I77" s="46"/>
      <c r="J77" s="48">
        <f t="shared" si="7"/>
        <v>0</v>
      </c>
      <c r="K77" s="49"/>
      <c r="L77" s="46"/>
      <c r="M77" s="48">
        <f t="shared" si="8"/>
        <v>0</v>
      </c>
      <c r="N77" s="50"/>
      <c r="O77" s="51">
        <f t="shared" si="9"/>
        <v>0</v>
      </c>
      <c r="P77" s="62">
        <f t="shared" si="10"/>
        <v>1</v>
      </c>
      <c r="Q77" s="64">
        <v>3756</v>
      </c>
      <c r="R77" s="66">
        <f t="shared" si="11"/>
        <v>0</v>
      </c>
    </row>
    <row r="78" spans="2:18" s="13" customFormat="1" ht="15.5" x14ac:dyDescent="0.35">
      <c r="B78" s="54" t="s">
        <v>105</v>
      </c>
      <c r="C78" s="45" t="s">
        <v>65</v>
      </c>
      <c r="D78" s="46"/>
      <c r="E78" s="47">
        <v>1</v>
      </c>
      <c r="F78" s="46"/>
      <c r="G78" s="48">
        <f t="shared" si="6"/>
        <v>0</v>
      </c>
      <c r="H78" s="49"/>
      <c r="I78" s="46"/>
      <c r="J78" s="48">
        <f t="shared" si="7"/>
        <v>0</v>
      </c>
      <c r="K78" s="49"/>
      <c r="L78" s="46"/>
      <c r="M78" s="48">
        <f t="shared" si="8"/>
        <v>0</v>
      </c>
      <c r="N78" s="50"/>
      <c r="O78" s="51">
        <f t="shared" si="9"/>
        <v>0</v>
      </c>
      <c r="P78" s="62">
        <f t="shared" si="10"/>
        <v>1</v>
      </c>
      <c r="Q78" s="64">
        <v>15024</v>
      </c>
      <c r="R78" s="66">
        <f t="shared" si="11"/>
        <v>0</v>
      </c>
    </row>
    <row r="79" spans="2:18" s="13" customFormat="1" ht="15" thickBot="1" x14ac:dyDescent="0.4">
      <c r="B79" s="58" t="s">
        <v>61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65"/>
      <c r="R79" s="108">
        <f>SUM(R62:R78)</f>
        <v>0</v>
      </c>
    </row>
    <row r="80" spans="2:18" s="13" customFormat="1" ht="15.5" x14ac:dyDescent="0.35">
      <c r="B80" s="44"/>
      <c r="C80" s="45"/>
      <c r="D80" s="46"/>
      <c r="E80" s="47">
        <v>1</v>
      </c>
      <c r="F80" s="46"/>
      <c r="G80" s="48">
        <f t="shared" ref="G80:G96" si="12">F80*(1+$D$9)</f>
        <v>0</v>
      </c>
      <c r="H80" s="49"/>
      <c r="I80" s="46"/>
      <c r="J80" s="48">
        <f t="shared" ref="J80:J96" si="13">I80*(1+$D$9)</f>
        <v>0</v>
      </c>
      <c r="K80" s="49"/>
      <c r="L80" s="46"/>
      <c r="M80" s="48">
        <f t="shared" ref="M80:M96" si="14">L80*(1+$D$9)</f>
        <v>0</v>
      </c>
      <c r="N80" s="50"/>
      <c r="O80" s="51">
        <f t="shared" ref="O80:O96" si="15">(D80*E80)+(G80*H80)+(J80*K80)+(M80*N80)</f>
        <v>0</v>
      </c>
      <c r="P80" s="52">
        <f t="shared" ref="P80:P96" si="16">N80+K80+H80+E80</f>
        <v>1</v>
      </c>
      <c r="Q80" s="52"/>
      <c r="R80" s="67">
        <f>O80*Q80</f>
        <v>0</v>
      </c>
    </row>
    <row r="81" spans="2:18" s="13" customFormat="1" ht="15.5" x14ac:dyDescent="0.35">
      <c r="B81" s="53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7">
        <f t="shared" ref="R81:R96" si="17">O81*Q81</f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7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7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7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7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52"/>
      <c r="R86" s="67">
        <f t="shared" si="1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52"/>
      <c r="R87" s="67">
        <f t="shared" si="17"/>
        <v>0</v>
      </c>
    </row>
    <row r="88" spans="2:18" s="13" customFormat="1" ht="15.5" x14ac:dyDescent="0.35">
      <c r="B88" s="54"/>
      <c r="C88" s="45"/>
      <c r="D88" s="46"/>
      <c r="E88" s="47">
        <v>1</v>
      </c>
      <c r="F88" s="46"/>
      <c r="G88" s="48">
        <f t="shared" si="12"/>
        <v>0</v>
      </c>
      <c r="H88" s="49"/>
      <c r="I88" s="46"/>
      <c r="J88" s="48">
        <f t="shared" si="13"/>
        <v>0</v>
      </c>
      <c r="K88" s="49"/>
      <c r="L88" s="46"/>
      <c r="M88" s="48">
        <f t="shared" si="14"/>
        <v>0</v>
      </c>
      <c r="N88" s="50"/>
      <c r="O88" s="51">
        <f t="shared" si="15"/>
        <v>0</v>
      </c>
      <c r="P88" s="52">
        <f t="shared" si="16"/>
        <v>1</v>
      </c>
      <c r="Q88" s="52"/>
      <c r="R88" s="67">
        <f t="shared" si="17"/>
        <v>0</v>
      </c>
    </row>
    <row r="89" spans="2:18" s="13" customFormat="1" ht="15.5" x14ac:dyDescent="0.35">
      <c r="B89" s="54"/>
      <c r="C89" s="45"/>
      <c r="D89" s="46"/>
      <c r="E89" s="47">
        <v>1</v>
      </c>
      <c r="F89" s="46"/>
      <c r="G89" s="48">
        <f t="shared" si="12"/>
        <v>0</v>
      </c>
      <c r="H89" s="49"/>
      <c r="I89" s="46"/>
      <c r="J89" s="48">
        <f t="shared" si="13"/>
        <v>0</v>
      </c>
      <c r="K89" s="49"/>
      <c r="L89" s="46"/>
      <c r="M89" s="48">
        <f t="shared" si="14"/>
        <v>0</v>
      </c>
      <c r="N89" s="50"/>
      <c r="O89" s="51">
        <f t="shared" si="15"/>
        <v>0</v>
      </c>
      <c r="P89" s="52">
        <f t="shared" si="16"/>
        <v>1</v>
      </c>
      <c r="Q89" s="52"/>
      <c r="R89" s="67">
        <f t="shared" si="17"/>
        <v>0</v>
      </c>
    </row>
    <row r="90" spans="2:18" s="13" customFormat="1" ht="15.5" x14ac:dyDescent="0.35">
      <c r="B90" s="54"/>
      <c r="C90" s="45"/>
      <c r="D90" s="46"/>
      <c r="E90" s="47">
        <v>1</v>
      </c>
      <c r="F90" s="46"/>
      <c r="G90" s="48">
        <f t="shared" si="12"/>
        <v>0</v>
      </c>
      <c r="H90" s="49"/>
      <c r="I90" s="46"/>
      <c r="J90" s="48">
        <f t="shared" si="13"/>
        <v>0</v>
      </c>
      <c r="K90" s="49"/>
      <c r="L90" s="46"/>
      <c r="M90" s="48">
        <f t="shared" si="14"/>
        <v>0</v>
      </c>
      <c r="N90" s="50"/>
      <c r="O90" s="51">
        <f t="shared" si="15"/>
        <v>0</v>
      </c>
      <c r="P90" s="52">
        <f t="shared" si="16"/>
        <v>1</v>
      </c>
      <c r="Q90" s="52"/>
      <c r="R90" s="67">
        <f t="shared" si="17"/>
        <v>0</v>
      </c>
    </row>
    <row r="91" spans="2:18" s="13" customFormat="1" ht="15.5" x14ac:dyDescent="0.35">
      <c r="B91" s="54"/>
      <c r="C91" s="45"/>
      <c r="D91" s="46"/>
      <c r="E91" s="47">
        <v>1</v>
      </c>
      <c r="F91" s="46"/>
      <c r="G91" s="48">
        <f t="shared" si="12"/>
        <v>0</v>
      </c>
      <c r="H91" s="49"/>
      <c r="I91" s="46"/>
      <c r="J91" s="48">
        <f t="shared" si="13"/>
        <v>0</v>
      </c>
      <c r="K91" s="49"/>
      <c r="L91" s="46"/>
      <c r="M91" s="48">
        <f t="shared" si="14"/>
        <v>0</v>
      </c>
      <c r="N91" s="50"/>
      <c r="O91" s="51">
        <f t="shared" si="15"/>
        <v>0</v>
      </c>
      <c r="P91" s="52">
        <f t="shared" si="16"/>
        <v>1</v>
      </c>
      <c r="Q91" s="52"/>
      <c r="R91" s="67">
        <f t="shared" si="17"/>
        <v>0</v>
      </c>
    </row>
    <row r="92" spans="2:18" s="13" customFormat="1" ht="15.5" x14ac:dyDescent="0.35">
      <c r="B92" s="54"/>
      <c r="C92" s="45"/>
      <c r="D92" s="46"/>
      <c r="E92" s="47">
        <v>1</v>
      </c>
      <c r="F92" s="46"/>
      <c r="G92" s="48">
        <f t="shared" si="12"/>
        <v>0</v>
      </c>
      <c r="H92" s="49"/>
      <c r="I92" s="46"/>
      <c r="J92" s="48">
        <f t="shared" si="13"/>
        <v>0</v>
      </c>
      <c r="K92" s="49"/>
      <c r="L92" s="46"/>
      <c r="M92" s="48">
        <f t="shared" si="14"/>
        <v>0</v>
      </c>
      <c r="N92" s="50"/>
      <c r="O92" s="51">
        <f t="shared" si="15"/>
        <v>0</v>
      </c>
      <c r="P92" s="52">
        <f t="shared" si="16"/>
        <v>1</v>
      </c>
      <c r="Q92" s="52"/>
      <c r="R92" s="67">
        <f t="shared" si="17"/>
        <v>0</v>
      </c>
    </row>
    <row r="93" spans="2:18" s="13" customFormat="1" ht="15.5" x14ac:dyDescent="0.35">
      <c r="B93" s="54"/>
      <c r="C93" s="45"/>
      <c r="D93" s="46"/>
      <c r="E93" s="47">
        <v>1</v>
      </c>
      <c r="F93" s="46"/>
      <c r="G93" s="48">
        <f t="shared" si="12"/>
        <v>0</v>
      </c>
      <c r="H93" s="49"/>
      <c r="I93" s="46"/>
      <c r="J93" s="48">
        <f t="shared" si="13"/>
        <v>0</v>
      </c>
      <c r="K93" s="49"/>
      <c r="L93" s="46"/>
      <c r="M93" s="48">
        <f t="shared" si="14"/>
        <v>0</v>
      </c>
      <c r="N93" s="50"/>
      <c r="O93" s="51">
        <f t="shared" si="15"/>
        <v>0</v>
      </c>
      <c r="P93" s="52">
        <f t="shared" si="16"/>
        <v>1</v>
      </c>
      <c r="Q93" s="52"/>
      <c r="R93" s="67">
        <f t="shared" si="17"/>
        <v>0</v>
      </c>
    </row>
    <row r="94" spans="2:18" s="13" customFormat="1" ht="15.5" x14ac:dyDescent="0.35">
      <c r="B94" s="54"/>
      <c r="C94" s="45"/>
      <c r="D94" s="46"/>
      <c r="E94" s="47">
        <v>1</v>
      </c>
      <c r="F94" s="46"/>
      <c r="G94" s="48">
        <f t="shared" si="12"/>
        <v>0</v>
      </c>
      <c r="H94" s="49"/>
      <c r="I94" s="46"/>
      <c r="J94" s="48">
        <f t="shared" si="13"/>
        <v>0</v>
      </c>
      <c r="K94" s="49"/>
      <c r="L94" s="46"/>
      <c r="M94" s="48">
        <f t="shared" si="14"/>
        <v>0</v>
      </c>
      <c r="N94" s="50"/>
      <c r="O94" s="51">
        <f t="shared" si="15"/>
        <v>0</v>
      </c>
      <c r="P94" s="52">
        <f t="shared" si="16"/>
        <v>1</v>
      </c>
      <c r="Q94" s="52"/>
      <c r="R94" s="67">
        <f t="shared" si="17"/>
        <v>0</v>
      </c>
    </row>
    <row r="95" spans="2:18" s="13" customFormat="1" ht="15.5" x14ac:dyDescent="0.35">
      <c r="B95" s="54"/>
      <c r="C95" s="45"/>
      <c r="D95" s="46"/>
      <c r="E95" s="47">
        <v>1</v>
      </c>
      <c r="F95" s="46"/>
      <c r="G95" s="48">
        <f t="shared" si="12"/>
        <v>0</v>
      </c>
      <c r="H95" s="49"/>
      <c r="I95" s="46"/>
      <c r="J95" s="48">
        <f t="shared" si="13"/>
        <v>0</v>
      </c>
      <c r="K95" s="49"/>
      <c r="L95" s="46"/>
      <c r="M95" s="48">
        <f t="shared" si="14"/>
        <v>0</v>
      </c>
      <c r="N95" s="50"/>
      <c r="O95" s="51">
        <f t="shared" si="15"/>
        <v>0</v>
      </c>
      <c r="P95" s="52">
        <f t="shared" si="16"/>
        <v>1</v>
      </c>
      <c r="Q95" s="52"/>
      <c r="R95" s="67">
        <f t="shared" si="17"/>
        <v>0</v>
      </c>
    </row>
    <row r="96" spans="2:18" s="13" customFormat="1" ht="15.5" x14ac:dyDescent="0.35">
      <c r="B96" s="54"/>
      <c r="C96" s="45"/>
      <c r="D96" s="46"/>
      <c r="E96" s="47">
        <v>1</v>
      </c>
      <c r="F96" s="46"/>
      <c r="G96" s="48">
        <f t="shared" si="12"/>
        <v>0</v>
      </c>
      <c r="H96" s="49"/>
      <c r="I96" s="46"/>
      <c r="J96" s="48">
        <f t="shared" si="13"/>
        <v>0</v>
      </c>
      <c r="K96" s="49"/>
      <c r="L96" s="46"/>
      <c r="M96" s="48">
        <f t="shared" si="14"/>
        <v>0</v>
      </c>
      <c r="N96" s="50"/>
      <c r="O96" s="51">
        <f t="shared" si="15"/>
        <v>0</v>
      </c>
      <c r="P96" s="52">
        <f t="shared" si="16"/>
        <v>1</v>
      </c>
      <c r="Q96" s="52"/>
      <c r="R96" s="67">
        <f t="shared" si="17"/>
        <v>0</v>
      </c>
    </row>
    <row r="97" spans="2:18" s="13" customFormat="1" ht="15.5" x14ac:dyDescent="0.35">
      <c r="B97" s="129"/>
      <c r="C97" s="130"/>
      <c r="D97" s="144"/>
      <c r="E97" s="145"/>
      <c r="F97" s="144"/>
      <c r="G97" s="146"/>
      <c r="H97" s="147"/>
      <c r="I97" s="144"/>
      <c r="J97" s="146"/>
      <c r="K97" s="147"/>
      <c r="L97" s="144"/>
      <c r="M97" s="146"/>
      <c r="N97" s="148"/>
      <c r="O97" s="149"/>
      <c r="P97" s="150"/>
      <c r="Q97" s="151"/>
      <c r="R97" s="152">
        <f>SUM(R80:R96)</f>
        <v>0</v>
      </c>
    </row>
    <row r="98" spans="2:18" ht="15" customHeight="1" thickBot="1" x14ac:dyDescent="0.3">
      <c r="Q98" s="70">
        <f>SUM(Q16:Q96)</f>
        <v>1261308</v>
      </c>
      <c r="R98" s="71">
        <f>SUM(R16:R96)</f>
        <v>0</v>
      </c>
    </row>
    <row r="99" spans="2:18" ht="12.75" customHeight="1" x14ac:dyDescent="0.25">
      <c r="Q99" s="183" t="s">
        <v>66</v>
      </c>
      <c r="R99" s="184"/>
    </row>
    <row r="100" spans="2:18" ht="13" thickBot="1" x14ac:dyDescent="0.3">
      <c r="Q100" s="185"/>
      <c r="R100" s="186"/>
    </row>
  </sheetData>
  <mergeCells count="10">
    <mergeCell ref="Q99:R100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62:P78">
    <cfRule type="cellIs" dxfId="15" priority="5" operator="lessThan">
      <formula>1</formula>
    </cfRule>
  </conditionalFormatting>
  <conditionalFormatting sqref="P80:P96">
    <cfRule type="cellIs" dxfId="14" priority="4" operator="lessThan">
      <formula>1</formula>
    </cfRule>
  </conditionalFormatting>
  <conditionalFormatting sqref="P18:P60">
    <cfRule type="cellIs" dxfId="13" priority="2" operator="lessThan">
      <formula>1</formula>
    </cfRule>
  </conditionalFormatting>
  <conditionalFormatting sqref="P16:P17">
    <cfRule type="cellIs" dxfId="12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2750-C76A-4487-A89B-E8E7F329817A}">
  <dimension ref="B1:R100"/>
  <sheetViews>
    <sheetView showGridLines="0" workbookViewId="0">
      <selection sqref="A1:A1048576"/>
    </sheetView>
  </sheetViews>
  <sheetFormatPr defaultColWidth="9.1796875" defaultRowHeight="12.5" x14ac:dyDescent="0.25"/>
  <cols>
    <col min="1" max="1" width="2.179687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/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87"/>
      <c r="P1" s="187"/>
    </row>
    <row r="2" spans="2:18" s="13" customFormat="1" ht="14.5" x14ac:dyDescent="0.35">
      <c r="B2" s="11" t="s">
        <v>18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41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60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42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44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43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45</v>
      </c>
      <c r="C9" s="19"/>
      <c r="D9" s="20"/>
      <c r="E9" s="21"/>
      <c r="F9" s="22"/>
      <c r="G9" s="22"/>
      <c r="H9" s="22"/>
      <c r="I9" s="188" t="s">
        <v>46</v>
      </c>
      <c r="J9" s="189"/>
      <c r="K9" s="189"/>
      <c r="L9" s="189"/>
      <c r="M9" s="190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47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0" t="str">
        <f>B12</f>
        <v>Contract Year 3</v>
      </c>
      <c r="P11" s="201"/>
    </row>
    <row r="12" spans="2:18" s="13" customFormat="1" ht="14.9" customHeight="1" x14ac:dyDescent="0.35">
      <c r="B12" s="202" t="s">
        <v>25</v>
      </c>
      <c r="C12" s="202"/>
      <c r="D12" s="203" t="s">
        <v>12</v>
      </c>
      <c r="E12" s="203"/>
      <c r="F12" s="204" t="s">
        <v>48</v>
      </c>
      <c r="G12" s="204"/>
      <c r="H12" s="204"/>
      <c r="I12" s="204" t="s">
        <v>49</v>
      </c>
      <c r="J12" s="204"/>
      <c r="K12" s="204"/>
      <c r="L12" s="204" t="s">
        <v>13</v>
      </c>
      <c r="M12" s="204"/>
      <c r="N12" s="204"/>
      <c r="O12" s="205" t="s">
        <v>14</v>
      </c>
      <c r="P12" s="206"/>
    </row>
    <row r="13" spans="2:18" s="13" customFormat="1" ht="56" x14ac:dyDescent="0.35">
      <c r="B13" s="28"/>
      <c r="C13" s="28"/>
      <c r="D13" s="29" t="s">
        <v>50</v>
      </c>
      <c r="E13" s="30" t="s">
        <v>15</v>
      </c>
      <c r="F13" s="31" t="s">
        <v>51</v>
      </c>
      <c r="G13" s="30" t="s">
        <v>52</v>
      </c>
      <c r="H13" s="32" t="s">
        <v>15</v>
      </c>
      <c r="I13" s="31" t="s">
        <v>53</v>
      </c>
      <c r="J13" s="30" t="s">
        <v>52</v>
      </c>
      <c r="K13" s="32" t="s">
        <v>15</v>
      </c>
      <c r="L13" s="31" t="s">
        <v>54</v>
      </c>
      <c r="M13" s="30" t="s">
        <v>52</v>
      </c>
      <c r="N13" s="32" t="s">
        <v>15</v>
      </c>
      <c r="O13" s="33" t="s">
        <v>55</v>
      </c>
      <c r="P13" s="30" t="s">
        <v>15</v>
      </c>
      <c r="Q13" s="30" t="s">
        <v>63</v>
      </c>
      <c r="R13" s="30" t="s">
        <v>64</v>
      </c>
    </row>
    <row r="14" spans="2:18" s="13" customFormat="1" ht="14.5" x14ac:dyDescent="0.35">
      <c r="B14" s="34" t="s">
        <v>56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8">
        <v>1920</v>
      </c>
      <c r="R14" s="69">
        <f>O14*Q14</f>
        <v>78403.199999999997</v>
      </c>
    </row>
    <row r="15" spans="2:18" s="13" customFormat="1" ht="14.5" x14ac:dyDescent="0.35">
      <c r="B15" s="59" t="s">
        <v>57</v>
      </c>
      <c r="C15" s="59" t="s">
        <v>58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58</v>
      </c>
      <c r="D16" s="46"/>
      <c r="E16" s="47">
        <v>1</v>
      </c>
      <c r="F16" s="46"/>
      <c r="G16" s="48">
        <f>F16*(1+$E$9)</f>
        <v>0</v>
      </c>
      <c r="H16" s="49"/>
      <c r="I16" s="46"/>
      <c r="J16" s="48">
        <f t="shared" ref="J16:J60" si="0">I16*(1+$E$9)</f>
        <v>0</v>
      </c>
      <c r="K16" s="49"/>
      <c r="L16" s="46"/>
      <c r="M16" s="48">
        <f t="shared" ref="M16:M60" si="1">L16*(1+$E$9)</f>
        <v>0</v>
      </c>
      <c r="N16" s="50"/>
      <c r="O16" s="51">
        <f t="shared" ref="O16:O60" si="2">(D16*E16)+(G16*H16)+(J16*K16)+(M16*N16)</f>
        <v>0</v>
      </c>
      <c r="P16" s="62">
        <f t="shared" ref="P16:P60" si="3">N16+K16+H16+E16</f>
        <v>1</v>
      </c>
      <c r="Q16" s="64">
        <v>1878</v>
      </c>
      <c r="R16" s="99">
        <f>O16*Q16</f>
        <v>0</v>
      </c>
    </row>
    <row r="17" spans="2:18" s="13" customFormat="1" ht="15.5" x14ac:dyDescent="0.35">
      <c r="B17" s="54" t="s">
        <v>88</v>
      </c>
      <c r="C17" s="45" t="s">
        <v>58</v>
      </c>
      <c r="D17" s="46"/>
      <c r="E17" s="47">
        <v>1</v>
      </c>
      <c r="F17" s="46"/>
      <c r="G17" s="48">
        <f t="shared" ref="G17:G60" si="4">F17*(1+$E$9)</f>
        <v>0</v>
      </c>
      <c r="H17" s="49"/>
      <c r="I17" s="46"/>
      <c r="J17" s="48">
        <f>I17*(1+$E$9)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1878</v>
      </c>
      <c r="R17" s="99">
        <f t="shared" ref="R17:R59" si="5">O17*Q17</f>
        <v>0</v>
      </c>
    </row>
    <row r="18" spans="2:18" s="13" customFormat="1" ht="15.5" x14ac:dyDescent="0.35">
      <c r="B18" s="54" t="s">
        <v>89</v>
      </c>
      <c r="C18" s="45" t="s">
        <v>58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 t="shared" si="0"/>
        <v>0</v>
      </c>
      <c r="K18" s="49"/>
      <c r="L18" s="46"/>
      <c r="M18" s="48">
        <f t="shared" si="1"/>
        <v>0</v>
      </c>
      <c r="N18" s="50"/>
      <c r="O18" s="55">
        <f t="shared" si="2"/>
        <v>0</v>
      </c>
      <c r="P18" s="62">
        <f t="shared" si="3"/>
        <v>1</v>
      </c>
      <c r="Q18" s="64">
        <v>3756</v>
      </c>
      <c r="R18" s="99">
        <f t="shared" si="5"/>
        <v>0</v>
      </c>
    </row>
    <row r="19" spans="2:18" s="13" customFormat="1" ht="15.5" x14ac:dyDescent="0.35">
      <c r="B19" s="54" t="s">
        <v>90</v>
      </c>
      <c r="C19" s="45" t="s">
        <v>58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28170</v>
      </c>
      <c r="R19" s="99">
        <f t="shared" si="5"/>
        <v>0</v>
      </c>
    </row>
    <row r="20" spans="2:18" s="13" customFormat="1" ht="15.5" x14ac:dyDescent="0.35">
      <c r="B20" s="54" t="s">
        <v>2</v>
      </c>
      <c r="C20" s="45" t="s">
        <v>58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16902</v>
      </c>
      <c r="R20" s="99">
        <f t="shared" si="5"/>
        <v>0</v>
      </c>
    </row>
    <row r="21" spans="2:18" s="13" customFormat="1" ht="15.5" x14ac:dyDescent="0.35">
      <c r="B21" s="54" t="s">
        <v>91</v>
      </c>
      <c r="C21" s="45" t="s">
        <v>58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13146</v>
      </c>
      <c r="R21" s="99">
        <f t="shared" si="5"/>
        <v>0</v>
      </c>
    </row>
    <row r="22" spans="2:18" s="13" customFormat="1" ht="15.5" x14ac:dyDescent="0.35">
      <c r="B22" s="54" t="s">
        <v>92</v>
      </c>
      <c r="C22" s="45" t="s">
        <v>58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7512</v>
      </c>
      <c r="R22" s="99">
        <f t="shared" si="5"/>
        <v>0</v>
      </c>
    </row>
    <row r="23" spans="2:18" s="13" customFormat="1" ht="15.5" x14ac:dyDescent="0.35">
      <c r="B23" s="54" t="s">
        <v>93</v>
      </c>
      <c r="C23" s="45" t="s">
        <v>58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31926</v>
      </c>
      <c r="R23" s="99">
        <f t="shared" si="5"/>
        <v>0</v>
      </c>
    </row>
    <row r="24" spans="2:18" s="13" customFormat="1" ht="15.5" x14ac:dyDescent="0.35">
      <c r="B24" s="54" t="s">
        <v>94</v>
      </c>
      <c r="C24" s="45" t="s">
        <v>58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3756</v>
      </c>
      <c r="R24" s="99">
        <f t="shared" si="5"/>
        <v>0</v>
      </c>
    </row>
    <row r="25" spans="2:18" s="13" customFormat="1" ht="15.5" x14ac:dyDescent="0.35">
      <c r="B25" s="54" t="s">
        <v>3</v>
      </c>
      <c r="C25" s="45" t="s">
        <v>58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1878</v>
      </c>
      <c r="R25" s="99">
        <f t="shared" si="5"/>
        <v>0</v>
      </c>
    </row>
    <row r="26" spans="2:18" s="13" customFormat="1" ht="15.5" x14ac:dyDescent="0.35">
      <c r="B26" s="54" t="s">
        <v>95</v>
      </c>
      <c r="C26" s="45" t="s">
        <v>58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9390</v>
      </c>
      <c r="R26" s="99">
        <f t="shared" si="5"/>
        <v>0</v>
      </c>
    </row>
    <row r="27" spans="2:18" s="13" customFormat="1" ht="15.5" x14ac:dyDescent="0.35">
      <c r="B27" s="54" t="s">
        <v>96</v>
      </c>
      <c r="C27" s="45" t="s">
        <v>58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7512</v>
      </c>
      <c r="R27" s="99">
        <f t="shared" si="5"/>
        <v>0</v>
      </c>
    </row>
    <row r="28" spans="2:18" s="13" customFormat="1" ht="15.5" x14ac:dyDescent="0.35">
      <c r="B28" s="54" t="s">
        <v>97</v>
      </c>
      <c r="C28" s="45" t="s">
        <v>58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7512</v>
      </c>
      <c r="R28" s="99">
        <f t="shared" si="5"/>
        <v>0</v>
      </c>
    </row>
    <row r="29" spans="2:18" s="13" customFormat="1" ht="15.5" x14ac:dyDescent="0.35">
      <c r="B29" s="54" t="s">
        <v>4</v>
      </c>
      <c r="C29" s="45" t="s">
        <v>58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16902</v>
      </c>
      <c r="R29" s="99">
        <f t="shared" si="5"/>
        <v>0</v>
      </c>
    </row>
    <row r="30" spans="2:18" s="13" customFormat="1" ht="15.5" x14ac:dyDescent="0.35">
      <c r="B30" s="54" t="s">
        <v>98</v>
      </c>
      <c r="C30" s="45" t="s">
        <v>58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45072</v>
      </c>
      <c r="R30" s="99">
        <f t="shared" si="5"/>
        <v>0</v>
      </c>
    </row>
    <row r="31" spans="2:18" s="13" customFormat="1" ht="15.5" x14ac:dyDescent="0.35">
      <c r="B31" s="54" t="s">
        <v>5</v>
      </c>
      <c r="C31" s="45" t="s">
        <v>58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125826</v>
      </c>
      <c r="R31" s="99">
        <f t="shared" si="5"/>
        <v>0</v>
      </c>
    </row>
    <row r="32" spans="2:18" s="13" customFormat="1" ht="15.5" x14ac:dyDescent="0.35">
      <c r="B32" s="54" t="s">
        <v>99</v>
      </c>
      <c r="C32" s="45" t="s">
        <v>58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110802</v>
      </c>
      <c r="R32" s="99">
        <f t="shared" si="5"/>
        <v>0</v>
      </c>
    </row>
    <row r="33" spans="2:18" s="13" customFormat="1" ht="15.5" x14ac:dyDescent="0.35">
      <c r="B33" s="54" t="s">
        <v>100</v>
      </c>
      <c r="C33" s="45" t="s">
        <v>58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123948</v>
      </c>
      <c r="R33" s="99">
        <f t="shared" si="5"/>
        <v>0</v>
      </c>
    </row>
    <row r="34" spans="2:18" s="13" customFormat="1" ht="15.5" x14ac:dyDescent="0.35">
      <c r="B34" s="54" t="s">
        <v>101</v>
      </c>
      <c r="C34" s="45" t="s">
        <v>58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112680</v>
      </c>
      <c r="R34" s="99">
        <f t="shared" si="5"/>
        <v>0</v>
      </c>
    </row>
    <row r="35" spans="2:18" s="13" customFormat="1" ht="15.5" x14ac:dyDescent="0.35">
      <c r="B35" s="54" t="s">
        <v>6</v>
      </c>
      <c r="C35" s="45" t="s">
        <v>58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15024</v>
      </c>
      <c r="R35" s="99">
        <f t="shared" si="5"/>
        <v>0</v>
      </c>
    </row>
    <row r="36" spans="2:18" s="13" customFormat="1" ht="15.5" x14ac:dyDescent="0.35">
      <c r="B36" s="54" t="s">
        <v>102</v>
      </c>
      <c r="C36" s="45" t="s">
        <v>58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37560</v>
      </c>
      <c r="R36" s="99">
        <f t="shared" si="5"/>
        <v>0</v>
      </c>
    </row>
    <row r="37" spans="2:18" s="13" customFormat="1" ht="15.5" x14ac:dyDescent="0.35">
      <c r="B37" s="54" t="s">
        <v>7</v>
      </c>
      <c r="C37" s="45" t="s">
        <v>58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54462</v>
      </c>
      <c r="R37" s="99">
        <f t="shared" si="5"/>
        <v>0</v>
      </c>
    </row>
    <row r="38" spans="2:18" s="13" customFormat="1" ht="15.5" x14ac:dyDescent="0.35">
      <c r="B38" s="54" t="s">
        <v>103</v>
      </c>
      <c r="C38" s="45" t="s">
        <v>58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46950</v>
      </c>
      <c r="R38" s="99">
        <f t="shared" si="5"/>
        <v>0</v>
      </c>
    </row>
    <row r="39" spans="2:18" s="13" customFormat="1" ht="15.5" x14ac:dyDescent="0.35">
      <c r="B39" s="54" t="s">
        <v>104</v>
      </c>
      <c r="C39" s="45" t="s">
        <v>58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120192</v>
      </c>
      <c r="R39" s="99">
        <f t="shared" si="5"/>
        <v>0</v>
      </c>
    </row>
    <row r="40" spans="2:18" s="13" customFormat="1" ht="15.5" x14ac:dyDescent="0.35">
      <c r="B40" s="54" t="s">
        <v>105</v>
      </c>
      <c r="C40" s="45" t="s">
        <v>58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78876</v>
      </c>
      <c r="R40" s="99">
        <f t="shared" si="5"/>
        <v>0</v>
      </c>
    </row>
    <row r="41" spans="2:18" s="13" customFormat="1" ht="15.5" x14ac:dyDescent="0.35">
      <c r="B41" s="100" t="s">
        <v>8</v>
      </c>
      <c r="C41" s="45" t="s">
        <v>58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3756</v>
      </c>
      <c r="R41" s="99">
        <f t="shared" si="5"/>
        <v>0</v>
      </c>
    </row>
    <row r="42" spans="2:18" s="13" customFormat="1" ht="15.5" x14ac:dyDescent="0.35">
      <c r="B42" s="100" t="s">
        <v>106</v>
      </c>
      <c r="C42" s="45" t="s">
        <v>58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1878</v>
      </c>
      <c r="R42" s="99">
        <f t="shared" si="5"/>
        <v>0</v>
      </c>
    </row>
    <row r="43" spans="2:18" s="13" customFormat="1" ht="15.5" x14ac:dyDescent="0.35">
      <c r="B43" s="100" t="s">
        <v>107</v>
      </c>
      <c r="C43" s="45" t="s">
        <v>58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1878</v>
      </c>
      <c r="R43" s="99">
        <f t="shared" si="5"/>
        <v>0</v>
      </c>
    </row>
    <row r="44" spans="2:18" s="13" customFormat="1" ht="15.5" x14ac:dyDescent="0.35">
      <c r="B44" s="100" t="s">
        <v>108</v>
      </c>
      <c r="C44" s="45" t="s">
        <v>58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1878</v>
      </c>
      <c r="R44" s="99">
        <f t="shared" si="5"/>
        <v>0</v>
      </c>
    </row>
    <row r="45" spans="2:18" s="13" customFormat="1" ht="15.5" x14ac:dyDescent="0.35">
      <c r="B45" s="100" t="s">
        <v>9</v>
      </c>
      <c r="C45" s="45" t="s">
        <v>58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3756</v>
      </c>
      <c r="R45" s="99">
        <f t="shared" si="5"/>
        <v>0</v>
      </c>
    </row>
    <row r="46" spans="2:18" s="13" customFormat="1" ht="15.5" x14ac:dyDescent="0.35">
      <c r="B46" s="100" t="s">
        <v>109</v>
      </c>
      <c r="C46" s="45" t="s">
        <v>58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5634</v>
      </c>
      <c r="R46" s="99">
        <f t="shared" si="5"/>
        <v>0</v>
      </c>
    </row>
    <row r="47" spans="2:18" s="13" customFormat="1" ht="15.5" x14ac:dyDescent="0.35">
      <c r="B47" s="100" t="s">
        <v>110</v>
      </c>
      <c r="C47" s="45" t="s">
        <v>58</v>
      </c>
      <c r="D47" s="46"/>
      <c r="E47" s="47">
        <v>1</v>
      </c>
      <c r="F47" s="46"/>
      <c r="G47" s="48">
        <f t="shared" si="4"/>
        <v>0</v>
      </c>
      <c r="H47" s="49"/>
      <c r="I47" s="46"/>
      <c r="J47" s="48">
        <f t="shared" si="0"/>
        <v>0</v>
      </c>
      <c r="K47" s="49"/>
      <c r="L47" s="46"/>
      <c r="M47" s="48">
        <f t="shared" si="1"/>
        <v>0</v>
      </c>
      <c r="N47" s="50"/>
      <c r="O47" s="55">
        <f t="shared" si="2"/>
        <v>0</v>
      </c>
      <c r="P47" s="62">
        <f t="shared" si="3"/>
        <v>1</v>
      </c>
      <c r="Q47" s="64">
        <v>5634</v>
      </c>
      <c r="R47" s="99">
        <f t="shared" si="5"/>
        <v>0</v>
      </c>
    </row>
    <row r="48" spans="2:18" s="13" customFormat="1" ht="15.5" x14ac:dyDescent="0.35">
      <c r="B48" s="100" t="s">
        <v>111</v>
      </c>
      <c r="C48" s="45" t="s">
        <v>58</v>
      </c>
      <c r="D48" s="46"/>
      <c r="E48" s="47">
        <v>1</v>
      </c>
      <c r="F48" s="46"/>
      <c r="G48" s="48">
        <f t="shared" si="4"/>
        <v>0</v>
      </c>
      <c r="H48" s="49"/>
      <c r="I48" s="46"/>
      <c r="J48" s="48">
        <f t="shared" si="0"/>
        <v>0</v>
      </c>
      <c r="K48" s="49"/>
      <c r="L48" s="46"/>
      <c r="M48" s="48">
        <f t="shared" si="1"/>
        <v>0</v>
      </c>
      <c r="N48" s="50"/>
      <c r="O48" s="55">
        <f t="shared" si="2"/>
        <v>0</v>
      </c>
      <c r="P48" s="62">
        <f>N48+K48+H48+E48</f>
        <v>1</v>
      </c>
      <c r="Q48" s="182">
        <v>9390</v>
      </c>
      <c r="R48" s="99">
        <f t="shared" si="5"/>
        <v>0</v>
      </c>
    </row>
    <row r="49" spans="2:18" s="13" customFormat="1" ht="15.5" x14ac:dyDescent="0.35">
      <c r="B49" s="100" t="s">
        <v>62</v>
      </c>
      <c r="C49" s="45" t="s">
        <v>58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 t="shared" si="0"/>
        <v>0</v>
      </c>
      <c r="K49" s="49"/>
      <c r="L49" s="46"/>
      <c r="M49" s="48">
        <f t="shared" si="1"/>
        <v>0</v>
      </c>
      <c r="N49" s="50"/>
      <c r="O49" s="55">
        <f t="shared" si="2"/>
        <v>0</v>
      </c>
      <c r="P49" s="62">
        <f t="shared" si="3"/>
        <v>1</v>
      </c>
      <c r="Q49" s="64">
        <v>5634</v>
      </c>
      <c r="R49" s="99">
        <f t="shared" si="5"/>
        <v>0</v>
      </c>
    </row>
    <row r="50" spans="2:18" s="13" customFormat="1" ht="15.5" x14ac:dyDescent="0.35">
      <c r="B50" s="100" t="s">
        <v>112</v>
      </c>
      <c r="C50" s="45" t="s">
        <v>58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28170</v>
      </c>
      <c r="R50" s="99">
        <f t="shared" si="5"/>
        <v>0</v>
      </c>
    </row>
    <row r="51" spans="2:18" s="13" customFormat="1" ht="15.5" x14ac:dyDescent="0.35">
      <c r="B51" s="100" t="s">
        <v>10</v>
      </c>
      <c r="C51" s="45" t="s">
        <v>58</v>
      </c>
      <c r="D51" s="46"/>
      <c r="E51" s="47">
        <v>1</v>
      </c>
      <c r="F51" s="46"/>
      <c r="G51" s="48">
        <f t="shared" si="4"/>
        <v>0</v>
      </c>
      <c r="H51" s="49"/>
      <c r="I51" s="46"/>
      <c r="J51" s="48">
        <f t="shared" si="0"/>
        <v>0</v>
      </c>
      <c r="K51" s="49"/>
      <c r="L51" s="46"/>
      <c r="M51" s="48">
        <f t="shared" si="1"/>
        <v>0</v>
      </c>
      <c r="N51" s="50"/>
      <c r="O51" s="55">
        <f t="shared" si="2"/>
        <v>0</v>
      </c>
      <c r="P51" s="62">
        <f t="shared" si="3"/>
        <v>1</v>
      </c>
      <c r="Q51" s="64">
        <v>18780</v>
      </c>
      <c r="R51" s="99">
        <f t="shared" si="5"/>
        <v>0</v>
      </c>
    </row>
    <row r="52" spans="2:18" s="13" customFormat="1" ht="15.5" x14ac:dyDescent="0.35">
      <c r="B52" s="100" t="s">
        <v>35</v>
      </c>
      <c r="C52" s="45" t="s">
        <v>58</v>
      </c>
      <c r="D52" s="46"/>
      <c r="E52" s="47">
        <v>1</v>
      </c>
      <c r="F52" s="46"/>
      <c r="G52" s="48">
        <f t="shared" si="4"/>
        <v>0</v>
      </c>
      <c r="H52" s="49"/>
      <c r="I52" s="46"/>
      <c r="J52" s="48">
        <f t="shared" si="0"/>
        <v>0</v>
      </c>
      <c r="K52" s="49"/>
      <c r="L52" s="46"/>
      <c r="M52" s="48">
        <f t="shared" si="1"/>
        <v>0</v>
      </c>
      <c r="N52" s="50"/>
      <c r="O52" s="55">
        <f t="shared" si="2"/>
        <v>0</v>
      </c>
      <c r="P52" s="62">
        <f t="shared" si="3"/>
        <v>1</v>
      </c>
      <c r="Q52" s="64">
        <v>556</v>
      </c>
      <c r="R52" s="99">
        <f t="shared" si="5"/>
        <v>0</v>
      </c>
    </row>
    <row r="53" spans="2:18" s="13" customFormat="1" ht="15.5" x14ac:dyDescent="0.35">
      <c r="B53" s="100" t="s">
        <v>36</v>
      </c>
      <c r="C53" s="45" t="s">
        <v>58</v>
      </c>
      <c r="D53" s="46"/>
      <c r="E53" s="47">
        <v>1</v>
      </c>
      <c r="F53" s="46"/>
      <c r="G53" s="48">
        <f t="shared" si="4"/>
        <v>0</v>
      </c>
      <c r="H53" s="49"/>
      <c r="I53" s="46"/>
      <c r="J53" s="48">
        <f t="shared" si="0"/>
        <v>0</v>
      </c>
      <c r="K53" s="49"/>
      <c r="L53" s="46"/>
      <c r="M53" s="48">
        <f t="shared" si="1"/>
        <v>0</v>
      </c>
      <c r="N53" s="50"/>
      <c r="O53" s="55">
        <f t="shared" si="2"/>
        <v>0</v>
      </c>
      <c r="P53" s="62">
        <f t="shared" si="3"/>
        <v>1</v>
      </c>
      <c r="Q53" s="64">
        <v>2380</v>
      </c>
      <c r="R53" s="99">
        <f t="shared" si="5"/>
        <v>0</v>
      </c>
    </row>
    <row r="54" spans="2:18" s="13" customFormat="1" ht="15.5" x14ac:dyDescent="0.35">
      <c r="B54" s="100" t="s">
        <v>37</v>
      </c>
      <c r="C54" s="45" t="s">
        <v>58</v>
      </c>
      <c r="D54" s="46"/>
      <c r="E54" s="47">
        <v>1</v>
      </c>
      <c r="F54" s="46"/>
      <c r="G54" s="48">
        <f t="shared" si="4"/>
        <v>0</v>
      </c>
      <c r="H54" s="49"/>
      <c r="I54" s="46"/>
      <c r="J54" s="48">
        <f t="shared" si="0"/>
        <v>0</v>
      </c>
      <c r="K54" s="49"/>
      <c r="L54" s="46"/>
      <c r="M54" s="48">
        <f t="shared" si="1"/>
        <v>0</v>
      </c>
      <c r="N54" s="50"/>
      <c r="O54" s="55">
        <f t="shared" si="2"/>
        <v>0</v>
      </c>
      <c r="P54" s="62">
        <f t="shared" si="3"/>
        <v>1</v>
      </c>
      <c r="Q54" s="64">
        <v>1878</v>
      </c>
      <c r="R54" s="99">
        <f t="shared" si="5"/>
        <v>0</v>
      </c>
    </row>
    <row r="55" spans="2:18" s="13" customFormat="1" ht="15.5" x14ac:dyDescent="0.35">
      <c r="B55" s="100" t="s">
        <v>38</v>
      </c>
      <c r="C55" s="45" t="s">
        <v>58</v>
      </c>
      <c r="D55" s="46"/>
      <c r="E55" s="47">
        <v>1</v>
      </c>
      <c r="F55" s="46"/>
      <c r="G55" s="48">
        <f t="shared" si="4"/>
        <v>0</v>
      </c>
      <c r="H55" s="49"/>
      <c r="I55" s="46"/>
      <c r="J55" s="48">
        <f t="shared" si="0"/>
        <v>0</v>
      </c>
      <c r="K55" s="49"/>
      <c r="L55" s="46"/>
      <c r="M55" s="48">
        <f t="shared" si="1"/>
        <v>0</v>
      </c>
      <c r="N55" s="50"/>
      <c r="O55" s="55">
        <f t="shared" si="2"/>
        <v>0</v>
      </c>
      <c r="P55" s="62">
        <f t="shared" si="3"/>
        <v>1</v>
      </c>
      <c r="Q55" s="64">
        <v>482</v>
      </c>
      <c r="R55" s="99">
        <f t="shared" si="5"/>
        <v>0</v>
      </c>
    </row>
    <row r="56" spans="2:18" s="13" customFormat="1" ht="15.5" x14ac:dyDescent="0.35">
      <c r="B56" s="100" t="s">
        <v>39</v>
      </c>
      <c r="C56" s="45" t="s">
        <v>58</v>
      </c>
      <c r="D56" s="46"/>
      <c r="E56" s="47">
        <v>1</v>
      </c>
      <c r="F56" s="46"/>
      <c r="G56" s="48">
        <f t="shared" si="4"/>
        <v>0</v>
      </c>
      <c r="H56" s="49"/>
      <c r="I56" s="46"/>
      <c r="J56" s="48">
        <f t="shared" si="0"/>
        <v>0</v>
      </c>
      <c r="K56" s="49"/>
      <c r="L56" s="46"/>
      <c r="M56" s="48">
        <f t="shared" si="1"/>
        <v>0</v>
      </c>
      <c r="N56" s="50"/>
      <c r="O56" s="55">
        <f t="shared" si="2"/>
        <v>0</v>
      </c>
      <c r="P56" s="62">
        <f t="shared" si="3"/>
        <v>1</v>
      </c>
      <c r="Q56" s="64">
        <v>5634</v>
      </c>
      <c r="R56" s="99">
        <f t="shared" si="5"/>
        <v>0</v>
      </c>
    </row>
    <row r="57" spans="2:18" s="13" customFormat="1" ht="15.5" x14ac:dyDescent="0.35">
      <c r="B57" s="100" t="s">
        <v>40</v>
      </c>
      <c r="C57" s="45" t="s">
        <v>58</v>
      </c>
      <c r="D57" s="46"/>
      <c r="E57" s="47">
        <v>1</v>
      </c>
      <c r="F57" s="46"/>
      <c r="G57" s="48">
        <f t="shared" si="4"/>
        <v>0</v>
      </c>
      <c r="H57" s="49"/>
      <c r="I57" s="46"/>
      <c r="J57" s="48">
        <f t="shared" si="0"/>
        <v>0</v>
      </c>
      <c r="K57" s="49"/>
      <c r="L57" s="46"/>
      <c r="M57" s="48">
        <f t="shared" si="1"/>
        <v>0</v>
      </c>
      <c r="N57" s="50"/>
      <c r="O57" s="55">
        <f t="shared" si="2"/>
        <v>0</v>
      </c>
      <c r="P57" s="62">
        <f t="shared" si="3"/>
        <v>1</v>
      </c>
      <c r="Q57" s="64">
        <v>3756</v>
      </c>
      <c r="R57" s="99">
        <f t="shared" si="5"/>
        <v>0</v>
      </c>
    </row>
    <row r="58" spans="2:18" s="13" customFormat="1" ht="15.5" x14ac:dyDescent="0.35">
      <c r="B58" s="100" t="s">
        <v>32</v>
      </c>
      <c r="C58" s="45" t="s">
        <v>58</v>
      </c>
      <c r="D58" s="46"/>
      <c r="E58" s="47">
        <v>1</v>
      </c>
      <c r="F58" s="46"/>
      <c r="G58" s="48">
        <f t="shared" si="4"/>
        <v>0</v>
      </c>
      <c r="H58" s="49"/>
      <c r="I58" s="46"/>
      <c r="J58" s="48">
        <f t="shared" si="0"/>
        <v>0</v>
      </c>
      <c r="K58" s="49"/>
      <c r="L58" s="46"/>
      <c r="M58" s="48">
        <f t="shared" si="1"/>
        <v>0</v>
      </c>
      <c r="N58" s="50"/>
      <c r="O58" s="55">
        <f t="shared" si="2"/>
        <v>0</v>
      </c>
      <c r="P58" s="62">
        <f t="shared" si="3"/>
        <v>1</v>
      </c>
      <c r="Q58" s="64">
        <v>21569</v>
      </c>
      <c r="R58" s="99">
        <f t="shared" si="5"/>
        <v>0</v>
      </c>
    </row>
    <row r="59" spans="2:18" s="13" customFormat="1" ht="15.5" x14ac:dyDescent="0.35">
      <c r="B59" s="100" t="s">
        <v>33</v>
      </c>
      <c r="C59" s="45" t="s">
        <v>58</v>
      </c>
      <c r="D59" s="46"/>
      <c r="E59" s="47">
        <v>1</v>
      </c>
      <c r="F59" s="46"/>
      <c r="G59" s="48">
        <f t="shared" si="4"/>
        <v>0</v>
      </c>
      <c r="H59" s="49"/>
      <c r="I59" s="46"/>
      <c r="J59" s="48">
        <f>I59*(1+$E$9)</f>
        <v>0</v>
      </c>
      <c r="K59" s="49"/>
      <c r="L59" s="46"/>
      <c r="M59" s="48">
        <f>L59*(1+$E$9)</f>
        <v>0</v>
      </c>
      <c r="N59" s="50"/>
      <c r="O59" s="55">
        <f>(D59*E59)+(G59*H59)+(J59*K59)+(M59*N59)</f>
        <v>0</v>
      </c>
      <c r="P59" s="62">
        <f>N59+K59+H59+E59</f>
        <v>1</v>
      </c>
      <c r="Q59" s="64">
        <v>1878</v>
      </c>
      <c r="R59" s="99">
        <f t="shared" si="5"/>
        <v>0</v>
      </c>
    </row>
    <row r="60" spans="2:18" s="13" customFormat="1" ht="15.5" x14ac:dyDescent="0.35">
      <c r="B60" s="100" t="s">
        <v>34</v>
      </c>
      <c r="C60" s="45" t="s">
        <v>58</v>
      </c>
      <c r="D60" s="46"/>
      <c r="E60" s="47">
        <v>1</v>
      </c>
      <c r="F60" s="46"/>
      <c r="G60" s="48">
        <f t="shared" si="4"/>
        <v>0</v>
      </c>
      <c r="H60" s="49"/>
      <c r="I60" s="46"/>
      <c r="J60" s="48">
        <f t="shared" si="0"/>
        <v>0</v>
      </c>
      <c r="K60" s="49"/>
      <c r="L60" s="46"/>
      <c r="M60" s="48">
        <f t="shared" si="1"/>
        <v>0</v>
      </c>
      <c r="N60" s="50"/>
      <c r="O60" s="55">
        <f t="shared" si="2"/>
        <v>0</v>
      </c>
      <c r="P60" s="62">
        <f t="shared" si="3"/>
        <v>1</v>
      </c>
      <c r="Q60" s="64">
        <v>11865</v>
      </c>
      <c r="R60" s="99">
        <f>O60*Q60</f>
        <v>0</v>
      </c>
    </row>
    <row r="61" spans="2:18" s="13" customFormat="1" ht="14.5" x14ac:dyDescent="0.35">
      <c r="B61" s="56" t="s">
        <v>59</v>
      </c>
      <c r="C61" s="57" t="s">
        <v>65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07">
        <f>SUM(R16:R60)</f>
        <v>0</v>
      </c>
    </row>
    <row r="62" spans="2:18" s="13" customFormat="1" ht="15.5" x14ac:dyDescent="0.35">
      <c r="B62" s="54" t="s">
        <v>89</v>
      </c>
      <c r="C62" s="45" t="s">
        <v>65</v>
      </c>
      <c r="D62" s="46"/>
      <c r="E62" s="47">
        <v>1</v>
      </c>
      <c r="F62" s="46"/>
      <c r="G62" s="48">
        <f t="shared" ref="G62:G78" si="6">F62*(1+$D$9)</f>
        <v>0</v>
      </c>
      <c r="H62" s="49"/>
      <c r="I62" s="46"/>
      <c r="J62" s="48">
        <f t="shared" ref="J62:J78" si="7">I62*(1+$D$9)</f>
        <v>0</v>
      </c>
      <c r="K62" s="49"/>
      <c r="L62" s="46"/>
      <c r="M62" s="48">
        <f t="shared" ref="M62:M78" si="8">L62*(1+$D$9)</f>
        <v>0</v>
      </c>
      <c r="N62" s="50"/>
      <c r="O62" s="51">
        <f t="shared" ref="O62:O78" si="9">(D62*E62)+(G62*H62)+(J62*K62)+(M62*N62)</f>
        <v>0</v>
      </c>
      <c r="P62" s="62">
        <f t="shared" ref="P62:P78" si="10">N62+K62+H62+E62</f>
        <v>1</v>
      </c>
      <c r="Q62" s="64">
        <v>5634</v>
      </c>
      <c r="R62" s="66">
        <f>O62*Q62</f>
        <v>0</v>
      </c>
    </row>
    <row r="63" spans="2:18" s="13" customFormat="1" ht="15.5" x14ac:dyDescent="0.35">
      <c r="B63" s="54" t="s">
        <v>11</v>
      </c>
      <c r="C63" s="45" t="s">
        <v>65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1878</v>
      </c>
      <c r="R63" s="66">
        <f t="shared" ref="R63:R78" si="11">O63*Q63</f>
        <v>0</v>
      </c>
    </row>
    <row r="64" spans="2:18" s="13" customFormat="1" ht="15.5" x14ac:dyDescent="0.35">
      <c r="B64" s="54" t="s">
        <v>90</v>
      </c>
      <c r="C64" s="45" t="s">
        <v>65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7512</v>
      </c>
      <c r="R64" s="66">
        <f t="shared" si="11"/>
        <v>0</v>
      </c>
    </row>
    <row r="65" spans="2:18" s="13" customFormat="1" ht="15.5" x14ac:dyDescent="0.35">
      <c r="B65" s="54" t="s">
        <v>2</v>
      </c>
      <c r="C65" s="45" t="s">
        <v>65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>I65*(1+$D$9)</f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1878</v>
      </c>
      <c r="R65" s="66">
        <f t="shared" si="11"/>
        <v>0</v>
      </c>
    </row>
    <row r="66" spans="2:18" s="13" customFormat="1" ht="15.5" x14ac:dyDescent="0.35">
      <c r="B66" s="54" t="s">
        <v>91</v>
      </c>
      <c r="C66" s="45" t="s">
        <v>65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1878</v>
      </c>
      <c r="R66" s="66">
        <f t="shared" si="11"/>
        <v>0</v>
      </c>
    </row>
    <row r="67" spans="2:18" s="13" customFormat="1" ht="15.5" x14ac:dyDescent="0.35">
      <c r="B67" s="54" t="s">
        <v>97</v>
      </c>
      <c r="C67" s="45" t="s">
        <v>65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1878</v>
      </c>
      <c r="R67" s="66">
        <f t="shared" si="11"/>
        <v>0</v>
      </c>
    </row>
    <row r="68" spans="2:18" s="13" customFormat="1" ht="15.5" x14ac:dyDescent="0.35">
      <c r="B68" s="54" t="s">
        <v>98</v>
      </c>
      <c r="C68" s="45" t="s">
        <v>65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7512</v>
      </c>
      <c r="R68" s="66">
        <f t="shared" si="11"/>
        <v>0</v>
      </c>
    </row>
    <row r="69" spans="2:18" s="13" customFormat="1" ht="15.5" x14ac:dyDescent="0.35">
      <c r="B69" s="54" t="s">
        <v>5</v>
      </c>
      <c r="C69" s="45" t="s">
        <v>65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9390</v>
      </c>
      <c r="R69" s="66">
        <f t="shared" si="11"/>
        <v>0</v>
      </c>
    </row>
    <row r="70" spans="2:18" s="13" customFormat="1" ht="15.5" x14ac:dyDescent="0.35">
      <c r="B70" s="54" t="s">
        <v>100</v>
      </c>
      <c r="C70" s="45" t="s">
        <v>65</v>
      </c>
      <c r="D70" s="46"/>
      <c r="E70" s="47">
        <v>1</v>
      </c>
      <c r="F70" s="46"/>
      <c r="G70" s="48">
        <f t="shared" si="6"/>
        <v>0</v>
      </c>
      <c r="H70" s="49"/>
      <c r="I70" s="46"/>
      <c r="J70" s="48">
        <f t="shared" si="7"/>
        <v>0</v>
      </c>
      <c r="K70" s="49"/>
      <c r="L70" s="46"/>
      <c r="M70" s="48">
        <f t="shared" si="8"/>
        <v>0</v>
      </c>
      <c r="N70" s="50"/>
      <c r="O70" s="51">
        <f t="shared" si="9"/>
        <v>0</v>
      </c>
      <c r="P70" s="62">
        <f t="shared" si="10"/>
        <v>1</v>
      </c>
      <c r="Q70" s="64">
        <v>1878</v>
      </c>
      <c r="R70" s="66">
        <f t="shared" si="11"/>
        <v>0</v>
      </c>
    </row>
    <row r="71" spans="2:18" s="13" customFormat="1" ht="15.5" x14ac:dyDescent="0.35">
      <c r="B71" s="54" t="s">
        <v>101</v>
      </c>
      <c r="C71" s="45" t="s">
        <v>65</v>
      </c>
      <c r="D71" s="46"/>
      <c r="E71" s="47">
        <v>1</v>
      </c>
      <c r="F71" s="46"/>
      <c r="G71" s="48">
        <f t="shared" si="6"/>
        <v>0</v>
      </c>
      <c r="H71" s="49"/>
      <c r="I71" s="46"/>
      <c r="J71" s="48">
        <f t="shared" si="7"/>
        <v>0</v>
      </c>
      <c r="K71" s="49"/>
      <c r="L71" s="46"/>
      <c r="M71" s="48">
        <f t="shared" si="8"/>
        <v>0</v>
      </c>
      <c r="N71" s="50"/>
      <c r="O71" s="51">
        <f t="shared" si="9"/>
        <v>0</v>
      </c>
      <c r="P71" s="62">
        <f t="shared" si="10"/>
        <v>1</v>
      </c>
      <c r="Q71" s="64">
        <v>1878</v>
      </c>
      <c r="R71" s="66">
        <f t="shared" si="11"/>
        <v>0</v>
      </c>
    </row>
    <row r="72" spans="2:18" s="13" customFormat="1" ht="15.5" x14ac:dyDescent="0.35">
      <c r="B72" s="54" t="s">
        <v>113</v>
      </c>
      <c r="C72" s="45" t="s">
        <v>65</v>
      </c>
      <c r="D72" s="46"/>
      <c r="E72" s="47">
        <v>1</v>
      </c>
      <c r="F72" s="46"/>
      <c r="G72" s="48">
        <f t="shared" si="6"/>
        <v>0</v>
      </c>
      <c r="H72" s="49"/>
      <c r="I72" s="46"/>
      <c r="J72" s="48">
        <f t="shared" si="7"/>
        <v>0</v>
      </c>
      <c r="K72" s="49"/>
      <c r="L72" s="46"/>
      <c r="M72" s="48">
        <f t="shared" si="8"/>
        <v>0</v>
      </c>
      <c r="N72" s="50"/>
      <c r="O72" s="51">
        <f t="shared" si="9"/>
        <v>0</v>
      </c>
      <c r="P72" s="62">
        <f t="shared" si="10"/>
        <v>1</v>
      </c>
      <c r="Q72" s="64">
        <v>1878</v>
      </c>
      <c r="R72" s="66">
        <f t="shared" si="11"/>
        <v>0</v>
      </c>
    </row>
    <row r="73" spans="2:18" s="13" customFormat="1" ht="15.5" x14ac:dyDescent="0.35">
      <c r="B73" s="54" t="s">
        <v>6</v>
      </c>
      <c r="C73" s="45" t="s">
        <v>65</v>
      </c>
      <c r="D73" s="46"/>
      <c r="E73" s="47">
        <v>1</v>
      </c>
      <c r="F73" s="46"/>
      <c r="G73" s="48">
        <f t="shared" si="6"/>
        <v>0</v>
      </c>
      <c r="H73" s="49"/>
      <c r="I73" s="46"/>
      <c r="J73" s="48">
        <f t="shared" si="7"/>
        <v>0</v>
      </c>
      <c r="K73" s="49"/>
      <c r="L73" s="46"/>
      <c r="M73" s="48">
        <f t="shared" si="8"/>
        <v>0</v>
      </c>
      <c r="N73" s="50"/>
      <c r="O73" s="51">
        <f t="shared" si="9"/>
        <v>0</v>
      </c>
      <c r="P73" s="62">
        <f t="shared" si="10"/>
        <v>1</v>
      </c>
      <c r="Q73" s="64">
        <v>5634</v>
      </c>
      <c r="R73" s="66">
        <f t="shared" si="11"/>
        <v>0</v>
      </c>
    </row>
    <row r="74" spans="2:18" s="13" customFormat="1" ht="15.5" x14ac:dyDescent="0.35">
      <c r="B74" s="54" t="s">
        <v>102</v>
      </c>
      <c r="C74" s="45" t="s">
        <v>65</v>
      </c>
      <c r="D74" s="46"/>
      <c r="E74" s="47">
        <v>1</v>
      </c>
      <c r="F74" s="46"/>
      <c r="G74" s="48">
        <f t="shared" si="6"/>
        <v>0</v>
      </c>
      <c r="H74" s="49"/>
      <c r="I74" s="46"/>
      <c r="J74" s="48">
        <f t="shared" si="7"/>
        <v>0</v>
      </c>
      <c r="K74" s="49"/>
      <c r="L74" s="46"/>
      <c r="M74" s="48">
        <f t="shared" si="8"/>
        <v>0</v>
      </c>
      <c r="N74" s="50"/>
      <c r="O74" s="51">
        <f t="shared" si="9"/>
        <v>0</v>
      </c>
      <c r="P74" s="62">
        <f t="shared" si="10"/>
        <v>1</v>
      </c>
      <c r="Q74" s="64">
        <v>16902</v>
      </c>
      <c r="R74" s="66">
        <f t="shared" si="11"/>
        <v>0</v>
      </c>
    </row>
    <row r="75" spans="2:18" s="13" customFormat="1" ht="15.5" x14ac:dyDescent="0.35">
      <c r="B75" s="54" t="s">
        <v>7</v>
      </c>
      <c r="C75" s="45" t="s">
        <v>65</v>
      </c>
      <c r="D75" s="46"/>
      <c r="E75" s="47">
        <v>1</v>
      </c>
      <c r="F75" s="46"/>
      <c r="G75" s="48">
        <f t="shared" si="6"/>
        <v>0</v>
      </c>
      <c r="H75" s="49"/>
      <c r="I75" s="46"/>
      <c r="J75" s="48">
        <f t="shared" si="7"/>
        <v>0</v>
      </c>
      <c r="K75" s="49"/>
      <c r="L75" s="46"/>
      <c r="M75" s="48">
        <f t="shared" si="8"/>
        <v>0</v>
      </c>
      <c r="N75" s="50"/>
      <c r="O75" s="51">
        <f t="shared" si="9"/>
        <v>0</v>
      </c>
      <c r="P75" s="62">
        <f t="shared" si="10"/>
        <v>1</v>
      </c>
      <c r="Q75" s="64">
        <v>11268</v>
      </c>
      <c r="R75" s="66">
        <f t="shared" si="11"/>
        <v>0</v>
      </c>
    </row>
    <row r="76" spans="2:18" s="13" customFormat="1" ht="15.5" x14ac:dyDescent="0.35">
      <c r="B76" s="54" t="s">
        <v>103</v>
      </c>
      <c r="C76" s="45" t="s">
        <v>65</v>
      </c>
      <c r="D76" s="46"/>
      <c r="E76" s="47">
        <v>1</v>
      </c>
      <c r="F76" s="46"/>
      <c r="G76" s="48">
        <f t="shared" si="6"/>
        <v>0</v>
      </c>
      <c r="H76" s="49"/>
      <c r="I76" s="46"/>
      <c r="J76" s="48">
        <f t="shared" si="7"/>
        <v>0</v>
      </c>
      <c r="K76" s="49"/>
      <c r="L76" s="46"/>
      <c r="M76" s="48">
        <f t="shared" si="8"/>
        <v>0</v>
      </c>
      <c r="N76" s="50"/>
      <c r="O76" s="51">
        <f t="shared" si="9"/>
        <v>0</v>
      </c>
      <c r="P76" s="62">
        <f t="shared" si="10"/>
        <v>1</v>
      </c>
      <c r="Q76" s="64">
        <v>5634</v>
      </c>
      <c r="R76" s="66">
        <f t="shared" si="11"/>
        <v>0</v>
      </c>
    </row>
    <row r="77" spans="2:18" s="13" customFormat="1" ht="15.5" x14ac:dyDescent="0.35">
      <c r="B77" s="54" t="s">
        <v>104</v>
      </c>
      <c r="C77" s="45" t="s">
        <v>65</v>
      </c>
      <c r="D77" s="46"/>
      <c r="E77" s="47">
        <v>1</v>
      </c>
      <c r="F77" s="46"/>
      <c r="G77" s="48">
        <f t="shared" si="6"/>
        <v>0</v>
      </c>
      <c r="H77" s="49"/>
      <c r="I77" s="46"/>
      <c r="J77" s="48">
        <f t="shared" si="7"/>
        <v>0</v>
      </c>
      <c r="K77" s="49"/>
      <c r="L77" s="46"/>
      <c r="M77" s="48">
        <f t="shared" si="8"/>
        <v>0</v>
      </c>
      <c r="N77" s="50"/>
      <c r="O77" s="51">
        <f t="shared" si="9"/>
        <v>0</v>
      </c>
      <c r="P77" s="62">
        <f t="shared" si="10"/>
        <v>1</v>
      </c>
      <c r="Q77" s="64">
        <v>3756</v>
      </c>
      <c r="R77" s="66">
        <f t="shared" si="11"/>
        <v>0</v>
      </c>
    </row>
    <row r="78" spans="2:18" s="13" customFormat="1" ht="15.5" x14ac:dyDescent="0.35">
      <c r="B78" s="54" t="s">
        <v>105</v>
      </c>
      <c r="C78" s="45" t="s">
        <v>65</v>
      </c>
      <c r="D78" s="46"/>
      <c r="E78" s="47">
        <v>1</v>
      </c>
      <c r="F78" s="46"/>
      <c r="G78" s="48">
        <f t="shared" si="6"/>
        <v>0</v>
      </c>
      <c r="H78" s="49"/>
      <c r="I78" s="46"/>
      <c r="J78" s="48">
        <f t="shared" si="7"/>
        <v>0</v>
      </c>
      <c r="K78" s="49"/>
      <c r="L78" s="46"/>
      <c r="M78" s="48">
        <f t="shared" si="8"/>
        <v>0</v>
      </c>
      <c r="N78" s="50"/>
      <c r="O78" s="51">
        <f t="shared" si="9"/>
        <v>0</v>
      </c>
      <c r="P78" s="62">
        <f t="shared" si="10"/>
        <v>1</v>
      </c>
      <c r="Q78" s="64">
        <v>15024</v>
      </c>
      <c r="R78" s="66">
        <f t="shared" si="11"/>
        <v>0</v>
      </c>
    </row>
    <row r="79" spans="2:18" s="13" customFormat="1" ht="15" thickBot="1" x14ac:dyDescent="0.4">
      <c r="B79" s="58" t="s">
        <v>61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65"/>
      <c r="R79" s="108">
        <f>SUM(R62:R78)</f>
        <v>0</v>
      </c>
    </row>
    <row r="80" spans="2:18" s="13" customFormat="1" ht="15.5" x14ac:dyDescent="0.35">
      <c r="B80" s="44"/>
      <c r="C80" s="45"/>
      <c r="D80" s="46"/>
      <c r="E80" s="47">
        <v>1</v>
      </c>
      <c r="F80" s="46"/>
      <c r="G80" s="48">
        <f t="shared" ref="G80:G96" si="12">F80*(1+$D$9)</f>
        <v>0</v>
      </c>
      <c r="H80" s="49"/>
      <c r="I80" s="46"/>
      <c r="J80" s="48">
        <f t="shared" ref="J80:J96" si="13">I80*(1+$D$9)</f>
        <v>0</v>
      </c>
      <c r="K80" s="49"/>
      <c r="L80" s="46"/>
      <c r="M80" s="48">
        <f t="shared" ref="M80:M96" si="14">L80*(1+$D$9)</f>
        <v>0</v>
      </c>
      <c r="N80" s="50"/>
      <c r="O80" s="51">
        <f t="shared" ref="O80:O96" si="15">(D80*E80)+(G80*H80)+(J80*K80)+(M80*N80)</f>
        <v>0</v>
      </c>
      <c r="P80" s="52">
        <f t="shared" ref="P80:P96" si="16">N80+K80+H80+E80</f>
        <v>1</v>
      </c>
      <c r="Q80" s="52"/>
      <c r="R80" s="67">
        <f>O80*Q80</f>
        <v>0</v>
      </c>
    </row>
    <row r="81" spans="2:18" s="13" customFormat="1" ht="15.5" x14ac:dyDescent="0.35">
      <c r="B81" s="53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7">
        <f t="shared" ref="R81:R96" si="17">O81*Q81</f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7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7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7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7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52"/>
      <c r="R86" s="67">
        <f t="shared" si="1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52"/>
      <c r="R87" s="67">
        <f t="shared" si="17"/>
        <v>0</v>
      </c>
    </row>
    <row r="88" spans="2:18" s="13" customFormat="1" ht="15.5" x14ac:dyDescent="0.35">
      <c r="B88" s="54"/>
      <c r="C88" s="45"/>
      <c r="D88" s="46"/>
      <c r="E88" s="47">
        <v>1</v>
      </c>
      <c r="F88" s="46"/>
      <c r="G88" s="48">
        <f t="shared" si="12"/>
        <v>0</v>
      </c>
      <c r="H88" s="49"/>
      <c r="I88" s="46"/>
      <c r="J88" s="48">
        <f t="shared" si="13"/>
        <v>0</v>
      </c>
      <c r="K88" s="49"/>
      <c r="L88" s="46"/>
      <c r="M88" s="48">
        <f t="shared" si="14"/>
        <v>0</v>
      </c>
      <c r="N88" s="50"/>
      <c r="O88" s="51">
        <f t="shared" si="15"/>
        <v>0</v>
      </c>
      <c r="P88" s="52">
        <f t="shared" si="16"/>
        <v>1</v>
      </c>
      <c r="Q88" s="52"/>
      <c r="R88" s="67">
        <f t="shared" si="17"/>
        <v>0</v>
      </c>
    </row>
    <row r="89" spans="2:18" s="13" customFormat="1" ht="15.5" x14ac:dyDescent="0.35">
      <c r="B89" s="54"/>
      <c r="C89" s="45"/>
      <c r="D89" s="46"/>
      <c r="E89" s="47">
        <v>1</v>
      </c>
      <c r="F89" s="46"/>
      <c r="G89" s="48">
        <f t="shared" si="12"/>
        <v>0</v>
      </c>
      <c r="H89" s="49"/>
      <c r="I89" s="46"/>
      <c r="J89" s="48">
        <f t="shared" si="13"/>
        <v>0</v>
      </c>
      <c r="K89" s="49"/>
      <c r="L89" s="46"/>
      <c r="M89" s="48">
        <f t="shared" si="14"/>
        <v>0</v>
      </c>
      <c r="N89" s="50"/>
      <c r="O89" s="51">
        <f t="shared" si="15"/>
        <v>0</v>
      </c>
      <c r="P89" s="52">
        <f t="shared" si="16"/>
        <v>1</v>
      </c>
      <c r="Q89" s="52"/>
      <c r="R89" s="67">
        <f t="shared" si="17"/>
        <v>0</v>
      </c>
    </row>
    <row r="90" spans="2:18" s="13" customFormat="1" ht="15.5" x14ac:dyDescent="0.35">
      <c r="B90" s="54"/>
      <c r="C90" s="45"/>
      <c r="D90" s="46"/>
      <c r="E90" s="47">
        <v>1</v>
      </c>
      <c r="F90" s="46"/>
      <c r="G90" s="48">
        <f t="shared" si="12"/>
        <v>0</v>
      </c>
      <c r="H90" s="49"/>
      <c r="I90" s="46"/>
      <c r="J90" s="48">
        <f t="shared" si="13"/>
        <v>0</v>
      </c>
      <c r="K90" s="49"/>
      <c r="L90" s="46"/>
      <c r="M90" s="48">
        <f t="shared" si="14"/>
        <v>0</v>
      </c>
      <c r="N90" s="50"/>
      <c r="O90" s="51">
        <f t="shared" si="15"/>
        <v>0</v>
      </c>
      <c r="P90" s="52">
        <f t="shared" si="16"/>
        <v>1</v>
      </c>
      <c r="Q90" s="52"/>
      <c r="R90" s="67">
        <f t="shared" si="17"/>
        <v>0</v>
      </c>
    </row>
    <row r="91" spans="2:18" s="13" customFormat="1" ht="15.5" x14ac:dyDescent="0.35">
      <c r="B91" s="54"/>
      <c r="C91" s="45"/>
      <c r="D91" s="46"/>
      <c r="E91" s="47">
        <v>1</v>
      </c>
      <c r="F91" s="46"/>
      <c r="G91" s="48">
        <f t="shared" si="12"/>
        <v>0</v>
      </c>
      <c r="H91" s="49"/>
      <c r="I91" s="46"/>
      <c r="J91" s="48">
        <f t="shared" si="13"/>
        <v>0</v>
      </c>
      <c r="K91" s="49"/>
      <c r="L91" s="46"/>
      <c r="M91" s="48">
        <f t="shared" si="14"/>
        <v>0</v>
      </c>
      <c r="N91" s="50"/>
      <c r="O91" s="51">
        <f t="shared" si="15"/>
        <v>0</v>
      </c>
      <c r="P91" s="52">
        <f t="shared" si="16"/>
        <v>1</v>
      </c>
      <c r="Q91" s="52"/>
      <c r="R91" s="67">
        <f t="shared" si="17"/>
        <v>0</v>
      </c>
    </row>
    <row r="92" spans="2:18" s="13" customFormat="1" ht="15.5" x14ac:dyDescent="0.35">
      <c r="B92" s="54"/>
      <c r="C92" s="45"/>
      <c r="D92" s="46"/>
      <c r="E92" s="47">
        <v>1</v>
      </c>
      <c r="F92" s="46"/>
      <c r="G92" s="48">
        <f t="shared" si="12"/>
        <v>0</v>
      </c>
      <c r="H92" s="49"/>
      <c r="I92" s="46"/>
      <c r="J92" s="48">
        <f t="shared" si="13"/>
        <v>0</v>
      </c>
      <c r="K92" s="49"/>
      <c r="L92" s="46"/>
      <c r="M92" s="48">
        <f t="shared" si="14"/>
        <v>0</v>
      </c>
      <c r="N92" s="50"/>
      <c r="O92" s="51">
        <f t="shared" si="15"/>
        <v>0</v>
      </c>
      <c r="P92" s="52">
        <f t="shared" si="16"/>
        <v>1</v>
      </c>
      <c r="Q92" s="52"/>
      <c r="R92" s="67">
        <f t="shared" si="17"/>
        <v>0</v>
      </c>
    </row>
    <row r="93" spans="2:18" s="13" customFormat="1" ht="15.5" x14ac:dyDescent="0.35">
      <c r="B93" s="54"/>
      <c r="C93" s="45"/>
      <c r="D93" s="46"/>
      <c r="E93" s="47">
        <v>1</v>
      </c>
      <c r="F93" s="46"/>
      <c r="G93" s="48">
        <f t="shared" si="12"/>
        <v>0</v>
      </c>
      <c r="H93" s="49"/>
      <c r="I93" s="46"/>
      <c r="J93" s="48">
        <f t="shared" si="13"/>
        <v>0</v>
      </c>
      <c r="K93" s="49"/>
      <c r="L93" s="46"/>
      <c r="M93" s="48">
        <f t="shared" si="14"/>
        <v>0</v>
      </c>
      <c r="N93" s="50"/>
      <c r="O93" s="51">
        <f t="shared" si="15"/>
        <v>0</v>
      </c>
      <c r="P93" s="52">
        <f t="shared" si="16"/>
        <v>1</v>
      </c>
      <c r="Q93" s="52"/>
      <c r="R93" s="67">
        <f t="shared" si="17"/>
        <v>0</v>
      </c>
    </row>
    <row r="94" spans="2:18" s="13" customFormat="1" ht="15.5" x14ac:dyDescent="0.35">
      <c r="B94" s="54"/>
      <c r="C94" s="45"/>
      <c r="D94" s="46"/>
      <c r="E94" s="47">
        <v>1</v>
      </c>
      <c r="F94" s="46"/>
      <c r="G94" s="48">
        <f t="shared" si="12"/>
        <v>0</v>
      </c>
      <c r="H94" s="49"/>
      <c r="I94" s="46"/>
      <c r="J94" s="48">
        <f t="shared" si="13"/>
        <v>0</v>
      </c>
      <c r="K94" s="49"/>
      <c r="L94" s="46"/>
      <c r="M94" s="48">
        <f t="shared" si="14"/>
        <v>0</v>
      </c>
      <c r="N94" s="50"/>
      <c r="O94" s="51">
        <f t="shared" si="15"/>
        <v>0</v>
      </c>
      <c r="P94" s="52">
        <f t="shared" si="16"/>
        <v>1</v>
      </c>
      <c r="Q94" s="52"/>
      <c r="R94" s="67">
        <f t="shared" si="17"/>
        <v>0</v>
      </c>
    </row>
    <row r="95" spans="2:18" s="13" customFormat="1" ht="15.5" x14ac:dyDescent="0.35">
      <c r="B95" s="54"/>
      <c r="C95" s="45"/>
      <c r="D95" s="46"/>
      <c r="E95" s="47">
        <v>1</v>
      </c>
      <c r="F95" s="46"/>
      <c r="G95" s="48">
        <f t="shared" si="12"/>
        <v>0</v>
      </c>
      <c r="H95" s="49"/>
      <c r="I95" s="46"/>
      <c r="J95" s="48">
        <f t="shared" si="13"/>
        <v>0</v>
      </c>
      <c r="K95" s="49"/>
      <c r="L95" s="46"/>
      <c r="M95" s="48">
        <f t="shared" si="14"/>
        <v>0</v>
      </c>
      <c r="N95" s="50"/>
      <c r="O95" s="51">
        <f t="shared" si="15"/>
        <v>0</v>
      </c>
      <c r="P95" s="52">
        <f t="shared" si="16"/>
        <v>1</v>
      </c>
      <c r="Q95" s="52"/>
      <c r="R95" s="67">
        <f t="shared" si="17"/>
        <v>0</v>
      </c>
    </row>
    <row r="96" spans="2:18" s="13" customFormat="1" ht="15.5" x14ac:dyDescent="0.35">
      <c r="B96" s="54"/>
      <c r="C96" s="45"/>
      <c r="D96" s="46"/>
      <c r="E96" s="47">
        <v>1</v>
      </c>
      <c r="F96" s="46"/>
      <c r="G96" s="48">
        <f t="shared" si="12"/>
        <v>0</v>
      </c>
      <c r="H96" s="49"/>
      <c r="I96" s="46"/>
      <c r="J96" s="48">
        <f t="shared" si="13"/>
        <v>0</v>
      </c>
      <c r="K96" s="49"/>
      <c r="L96" s="46"/>
      <c r="M96" s="48">
        <f t="shared" si="14"/>
        <v>0</v>
      </c>
      <c r="N96" s="50"/>
      <c r="O96" s="51">
        <f t="shared" si="15"/>
        <v>0</v>
      </c>
      <c r="P96" s="52">
        <f t="shared" si="16"/>
        <v>1</v>
      </c>
      <c r="Q96" s="52"/>
      <c r="R96" s="67">
        <f t="shared" si="17"/>
        <v>0</v>
      </c>
    </row>
    <row r="97" spans="2:18" s="13" customFormat="1" ht="15.5" x14ac:dyDescent="0.35">
      <c r="B97" s="129"/>
      <c r="C97" s="130"/>
      <c r="D97" s="131"/>
      <c r="E97" s="132"/>
      <c r="F97" s="131"/>
      <c r="G97" s="133"/>
      <c r="H97" s="140"/>
      <c r="I97" s="131"/>
      <c r="J97" s="133"/>
      <c r="K97" s="140"/>
      <c r="L97" s="131"/>
      <c r="M97" s="133"/>
      <c r="N97" s="141"/>
      <c r="O97" s="136"/>
      <c r="P97" s="137"/>
      <c r="Q97" s="142"/>
      <c r="R97" s="143">
        <f>SUM(R80:R96)</f>
        <v>0</v>
      </c>
    </row>
    <row r="98" spans="2:18" ht="15" customHeight="1" thickBot="1" x14ac:dyDescent="0.3">
      <c r="Q98" s="70">
        <f>SUM(Q16:Q96)</f>
        <v>1261308</v>
      </c>
      <c r="R98" s="71">
        <f>SUM(R16:R96)</f>
        <v>0</v>
      </c>
    </row>
    <row r="99" spans="2:18" x14ac:dyDescent="0.25">
      <c r="Q99" s="183" t="s">
        <v>66</v>
      </c>
      <c r="R99" s="184"/>
    </row>
    <row r="100" spans="2:18" ht="13" thickBot="1" x14ac:dyDescent="0.3">
      <c r="Q100" s="185"/>
      <c r="R100" s="186"/>
    </row>
  </sheetData>
  <mergeCells count="10">
    <mergeCell ref="Q99:R100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62:P78">
    <cfRule type="cellIs" dxfId="11" priority="5" operator="lessThan">
      <formula>1</formula>
    </cfRule>
  </conditionalFormatting>
  <conditionalFormatting sqref="P80:P96">
    <cfRule type="cellIs" dxfId="10" priority="4" operator="lessThan">
      <formula>1</formula>
    </cfRule>
  </conditionalFormatting>
  <conditionalFormatting sqref="P18:P60">
    <cfRule type="cellIs" dxfId="9" priority="2" operator="lessThan">
      <formula>1</formula>
    </cfRule>
  </conditionalFormatting>
  <conditionalFormatting sqref="P16:P17">
    <cfRule type="cellIs" dxfId="8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AB4-C05C-46C0-903A-9F3B734A3A60}">
  <dimension ref="B1:R100"/>
  <sheetViews>
    <sheetView showGridLines="0" workbookViewId="0">
      <selection sqref="A1:A1048576"/>
    </sheetView>
  </sheetViews>
  <sheetFormatPr defaultColWidth="9.1796875" defaultRowHeight="12.5" x14ac:dyDescent="0.25"/>
  <cols>
    <col min="1" max="1" width="1.269531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/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87"/>
      <c r="P1" s="187"/>
    </row>
    <row r="2" spans="2:18" s="13" customFormat="1" ht="14.5" x14ac:dyDescent="0.35">
      <c r="B2" s="11" t="s">
        <v>18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41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60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42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44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43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45</v>
      </c>
      <c r="C9" s="19"/>
      <c r="D9" s="20"/>
      <c r="E9" s="21"/>
      <c r="F9" s="22"/>
      <c r="G9" s="22"/>
      <c r="H9" s="22"/>
      <c r="I9" s="188" t="s">
        <v>46</v>
      </c>
      <c r="J9" s="189"/>
      <c r="K9" s="189"/>
      <c r="L9" s="189"/>
      <c r="M9" s="190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47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0" t="str">
        <f>B12</f>
        <v>Contract Year 4</v>
      </c>
      <c r="P11" s="201"/>
    </row>
    <row r="12" spans="2:18" s="13" customFormat="1" ht="14.9" customHeight="1" x14ac:dyDescent="0.35">
      <c r="B12" s="202" t="s">
        <v>26</v>
      </c>
      <c r="C12" s="202"/>
      <c r="D12" s="203" t="s">
        <v>12</v>
      </c>
      <c r="E12" s="203"/>
      <c r="F12" s="204" t="s">
        <v>48</v>
      </c>
      <c r="G12" s="204"/>
      <c r="H12" s="204"/>
      <c r="I12" s="204" t="s">
        <v>49</v>
      </c>
      <c r="J12" s="204"/>
      <c r="K12" s="204"/>
      <c r="L12" s="204" t="s">
        <v>13</v>
      </c>
      <c r="M12" s="204"/>
      <c r="N12" s="204"/>
      <c r="O12" s="205" t="s">
        <v>14</v>
      </c>
      <c r="P12" s="206"/>
    </row>
    <row r="13" spans="2:18" s="13" customFormat="1" ht="56" x14ac:dyDescent="0.35">
      <c r="B13" s="28"/>
      <c r="C13" s="28"/>
      <c r="D13" s="29" t="s">
        <v>50</v>
      </c>
      <c r="E13" s="30" t="s">
        <v>15</v>
      </c>
      <c r="F13" s="31" t="s">
        <v>51</v>
      </c>
      <c r="G13" s="30" t="s">
        <v>52</v>
      </c>
      <c r="H13" s="32" t="s">
        <v>15</v>
      </c>
      <c r="I13" s="31" t="s">
        <v>53</v>
      </c>
      <c r="J13" s="30" t="s">
        <v>52</v>
      </c>
      <c r="K13" s="32" t="s">
        <v>15</v>
      </c>
      <c r="L13" s="31" t="s">
        <v>54</v>
      </c>
      <c r="M13" s="30" t="s">
        <v>52</v>
      </c>
      <c r="N13" s="32" t="s">
        <v>15</v>
      </c>
      <c r="O13" s="33" t="s">
        <v>55</v>
      </c>
      <c r="P13" s="30" t="s">
        <v>15</v>
      </c>
      <c r="Q13" s="30" t="s">
        <v>63</v>
      </c>
      <c r="R13" s="30" t="s">
        <v>64</v>
      </c>
    </row>
    <row r="14" spans="2:18" s="13" customFormat="1" ht="14.5" x14ac:dyDescent="0.35">
      <c r="B14" s="34" t="s">
        <v>56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8">
        <v>1920</v>
      </c>
      <c r="R14" s="69">
        <f>O14*Q14</f>
        <v>78403.199999999997</v>
      </c>
    </row>
    <row r="15" spans="2:18" s="13" customFormat="1" ht="14.5" x14ac:dyDescent="0.35">
      <c r="B15" s="59" t="s">
        <v>57</v>
      </c>
      <c r="C15" s="59" t="s">
        <v>58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58</v>
      </c>
      <c r="D16" s="46"/>
      <c r="E16" s="47">
        <v>1</v>
      </c>
      <c r="F16" s="46"/>
      <c r="G16" s="48">
        <f>F16*(1+$E$9)</f>
        <v>0</v>
      </c>
      <c r="H16" s="49"/>
      <c r="I16" s="46"/>
      <c r="J16" s="48">
        <f t="shared" ref="J16:J60" si="0">I16*(1+$E$9)</f>
        <v>0</v>
      </c>
      <c r="K16" s="49"/>
      <c r="L16" s="46"/>
      <c r="M16" s="48">
        <f t="shared" ref="M16:M60" si="1">L16*(1+$E$9)</f>
        <v>0</v>
      </c>
      <c r="N16" s="50"/>
      <c r="O16" s="51">
        <f t="shared" ref="O16:O60" si="2">(D16*E16)+(G16*H16)+(J16*K16)+(M16*N16)</f>
        <v>0</v>
      </c>
      <c r="P16" s="62">
        <f t="shared" ref="P16:P60" si="3">N16+K16+H16+E16</f>
        <v>1</v>
      </c>
      <c r="Q16" s="64">
        <v>1878</v>
      </c>
      <c r="R16" s="99">
        <f>O16*Q16</f>
        <v>0</v>
      </c>
    </row>
    <row r="17" spans="2:18" s="13" customFormat="1" ht="15.5" x14ac:dyDescent="0.35">
      <c r="B17" s="54" t="s">
        <v>88</v>
      </c>
      <c r="C17" s="45" t="s">
        <v>58</v>
      </c>
      <c r="D17" s="46"/>
      <c r="E17" s="47">
        <v>1</v>
      </c>
      <c r="F17" s="46"/>
      <c r="G17" s="48">
        <f t="shared" ref="G17:G60" si="4">F17*(1+$E$9)</f>
        <v>0</v>
      </c>
      <c r="H17" s="49"/>
      <c r="I17" s="46"/>
      <c r="J17" s="48">
        <f>I17*(1+$E$9)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1878</v>
      </c>
      <c r="R17" s="99">
        <f t="shared" ref="R17:R59" si="5">O17*Q17</f>
        <v>0</v>
      </c>
    </row>
    <row r="18" spans="2:18" s="13" customFormat="1" ht="15.5" x14ac:dyDescent="0.35">
      <c r="B18" s="54" t="s">
        <v>89</v>
      </c>
      <c r="C18" s="45" t="s">
        <v>58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 t="shared" si="0"/>
        <v>0</v>
      </c>
      <c r="K18" s="49"/>
      <c r="L18" s="46"/>
      <c r="M18" s="48">
        <f t="shared" si="1"/>
        <v>0</v>
      </c>
      <c r="N18" s="50"/>
      <c r="O18" s="55">
        <f t="shared" si="2"/>
        <v>0</v>
      </c>
      <c r="P18" s="62">
        <f t="shared" si="3"/>
        <v>1</v>
      </c>
      <c r="Q18" s="64">
        <v>3756</v>
      </c>
      <c r="R18" s="99">
        <f t="shared" si="5"/>
        <v>0</v>
      </c>
    </row>
    <row r="19" spans="2:18" s="13" customFormat="1" ht="15.5" x14ac:dyDescent="0.35">
      <c r="B19" s="54" t="s">
        <v>90</v>
      </c>
      <c r="C19" s="45" t="s">
        <v>58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28170</v>
      </c>
      <c r="R19" s="99">
        <f t="shared" si="5"/>
        <v>0</v>
      </c>
    </row>
    <row r="20" spans="2:18" s="13" customFormat="1" ht="15.5" x14ac:dyDescent="0.35">
      <c r="B20" s="54" t="s">
        <v>2</v>
      </c>
      <c r="C20" s="45" t="s">
        <v>58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16902</v>
      </c>
      <c r="R20" s="99">
        <f t="shared" si="5"/>
        <v>0</v>
      </c>
    </row>
    <row r="21" spans="2:18" s="13" customFormat="1" ht="15.5" x14ac:dyDescent="0.35">
      <c r="B21" s="54" t="s">
        <v>91</v>
      </c>
      <c r="C21" s="45" t="s">
        <v>58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13146</v>
      </c>
      <c r="R21" s="99">
        <f t="shared" si="5"/>
        <v>0</v>
      </c>
    </row>
    <row r="22" spans="2:18" s="13" customFormat="1" ht="15.5" x14ac:dyDescent="0.35">
      <c r="B22" s="54" t="s">
        <v>92</v>
      </c>
      <c r="C22" s="45" t="s">
        <v>58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7512</v>
      </c>
      <c r="R22" s="99">
        <f t="shared" si="5"/>
        <v>0</v>
      </c>
    </row>
    <row r="23" spans="2:18" s="13" customFormat="1" ht="15.5" x14ac:dyDescent="0.35">
      <c r="B23" s="54" t="s">
        <v>93</v>
      </c>
      <c r="C23" s="45" t="s">
        <v>58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31926</v>
      </c>
      <c r="R23" s="99">
        <f t="shared" si="5"/>
        <v>0</v>
      </c>
    </row>
    <row r="24" spans="2:18" s="13" customFormat="1" ht="15.5" x14ac:dyDescent="0.35">
      <c r="B24" s="54" t="s">
        <v>94</v>
      </c>
      <c r="C24" s="45" t="s">
        <v>58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3756</v>
      </c>
      <c r="R24" s="99">
        <f t="shared" si="5"/>
        <v>0</v>
      </c>
    </row>
    <row r="25" spans="2:18" s="13" customFormat="1" ht="15.5" x14ac:dyDescent="0.35">
      <c r="B25" s="54" t="s">
        <v>3</v>
      </c>
      <c r="C25" s="45" t="s">
        <v>58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1878</v>
      </c>
      <c r="R25" s="99">
        <f t="shared" si="5"/>
        <v>0</v>
      </c>
    </row>
    <row r="26" spans="2:18" s="13" customFormat="1" ht="15.5" x14ac:dyDescent="0.35">
      <c r="B26" s="54" t="s">
        <v>95</v>
      </c>
      <c r="C26" s="45" t="s">
        <v>58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9390</v>
      </c>
      <c r="R26" s="99">
        <f t="shared" si="5"/>
        <v>0</v>
      </c>
    </row>
    <row r="27" spans="2:18" s="13" customFormat="1" ht="15.5" x14ac:dyDescent="0.35">
      <c r="B27" s="54" t="s">
        <v>96</v>
      </c>
      <c r="C27" s="45" t="s">
        <v>58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7512</v>
      </c>
      <c r="R27" s="99">
        <f t="shared" si="5"/>
        <v>0</v>
      </c>
    </row>
    <row r="28" spans="2:18" s="13" customFormat="1" ht="15.5" x14ac:dyDescent="0.35">
      <c r="B28" s="54" t="s">
        <v>97</v>
      </c>
      <c r="C28" s="45" t="s">
        <v>58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7512</v>
      </c>
      <c r="R28" s="99">
        <f t="shared" si="5"/>
        <v>0</v>
      </c>
    </row>
    <row r="29" spans="2:18" s="13" customFormat="1" ht="15.5" x14ac:dyDescent="0.35">
      <c r="B29" s="54" t="s">
        <v>4</v>
      </c>
      <c r="C29" s="45" t="s">
        <v>58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16902</v>
      </c>
      <c r="R29" s="99">
        <f t="shared" si="5"/>
        <v>0</v>
      </c>
    </row>
    <row r="30" spans="2:18" s="13" customFormat="1" ht="15.5" x14ac:dyDescent="0.35">
      <c r="B30" s="54" t="s">
        <v>98</v>
      </c>
      <c r="C30" s="45" t="s">
        <v>58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45072</v>
      </c>
      <c r="R30" s="99">
        <f t="shared" si="5"/>
        <v>0</v>
      </c>
    </row>
    <row r="31" spans="2:18" s="13" customFormat="1" ht="15.5" x14ac:dyDescent="0.35">
      <c r="B31" s="54" t="s">
        <v>5</v>
      </c>
      <c r="C31" s="45" t="s">
        <v>58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125826</v>
      </c>
      <c r="R31" s="99">
        <f t="shared" si="5"/>
        <v>0</v>
      </c>
    </row>
    <row r="32" spans="2:18" s="13" customFormat="1" ht="15.5" x14ac:dyDescent="0.35">
      <c r="B32" s="54" t="s">
        <v>99</v>
      </c>
      <c r="C32" s="45" t="s">
        <v>58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110802</v>
      </c>
      <c r="R32" s="99">
        <f t="shared" si="5"/>
        <v>0</v>
      </c>
    </row>
    <row r="33" spans="2:18" s="13" customFormat="1" ht="15.5" x14ac:dyDescent="0.35">
      <c r="B33" s="54" t="s">
        <v>100</v>
      </c>
      <c r="C33" s="45" t="s">
        <v>58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123948</v>
      </c>
      <c r="R33" s="99">
        <f t="shared" si="5"/>
        <v>0</v>
      </c>
    </row>
    <row r="34" spans="2:18" s="13" customFormat="1" ht="15.5" x14ac:dyDescent="0.35">
      <c r="B34" s="54" t="s">
        <v>101</v>
      </c>
      <c r="C34" s="45" t="s">
        <v>58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112680</v>
      </c>
      <c r="R34" s="99">
        <f t="shared" si="5"/>
        <v>0</v>
      </c>
    </row>
    <row r="35" spans="2:18" s="13" customFormat="1" ht="15.5" x14ac:dyDescent="0.35">
      <c r="B35" s="54" t="s">
        <v>6</v>
      </c>
      <c r="C35" s="45" t="s">
        <v>58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15024</v>
      </c>
      <c r="R35" s="99">
        <f t="shared" si="5"/>
        <v>0</v>
      </c>
    </row>
    <row r="36" spans="2:18" s="13" customFormat="1" ht="15.5" x14ac:dyDescent="0.35">
      <c r="B36" s="54" t="s">
        <v>102</v>
      </c>
      <c r="C36" s="45" t="s">
        <v>58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37560</v>
      </c>
      <c r="R36" s="99">
        <f t="shared" si="5"/>
        <v>0</v>
      </c>
    </row>
    <row r="37" spans="2:18" s="13" customFormat="1" ht="15.5" x14ac:dyDescent="0.35">
      <c r="B37" s="54" t="s">
        <v>7</v>
      </c>
      <c r="C37" s="45" t="s">
        <v>58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54462</v>
      </c>
      <c r="R37" s="99">
        <f t="shared" si="5"/>
        <v>0</v>
      </c>
    </row>
    <row r="38" spans="2:18" s="13" customFormat="1" ht="15.5" x14ac:dyDescent="0.35">
      <c r="B38" s="54" t="s">
        <v>103</v>
      </c>
      <c r="C38" s="45" t="s">
        <v>58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46950</v>
      </c>
      <c r="R38" s="99">
        <f t="shared" si="5"/>
        <v>0</v>
      </c>
    </row>
    <row r="39" spans="2:18" s="13" customFormat="1" ht="15.5" x14ac:dyDescent="0.35">
      <c r="B39" s="54" t="s">
        <v>104</v>
      </c>
      <c r="C39" s="45" t="s">
        <v>58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120192</v>
      </c>
      <c r="R39" s="99">
        <f t="shared" si="5"/>
        <v>0</v>
      </c>
    </row>
    <row r="40" spans="2:18" s="13" customFormat="1" ht="15.5" x14ac:dyDescent="0.35">
      <c r="B40" s="54" t="s">
        <v>105</v>
      </c>
      <c r="C40" s="45" t="s">
        <v>58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78876</v>
      </c>
      <c r="R40" s="99">
        <f t="shared" si="5"/>
        <v>0</v>
      </c>
    </row>
    <row r="41" spans="2:18" s="13" customFormat="1" ht="15.5" x14ac:dyDescent="0.35">
      <c r="B41" s="100" t="s">
        <v>8</v>
      </c>
      <c r="C41" s="45" t="s">
        <v>58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3756</v>
      </c>
      <c r="R41" s="99">
        <f t="shared" si="5"/>
        <v>0</v>
      </c>
    </row>
    <row r="42" spans="2:18" s="13" customFormat="1" ht="15.5" x14ac:dyDescent="0.35">
      <c r="B42" s="100" t="s">
        <v>106</v>
      </c>
      <c r="C42" s="45" t="s">
        <v>58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1878</v>
      </c>
      <c r="R42" s="99">
        <f t="shared" si="5"/>
        <v>0</v>
      </c>
    </row>
    <row r="43" spans="2:18" s="13" customFormat="1" ht="15.5" x14ac:dyDescent="0.35">
      <c r="B43" s="100" t="s">
        <v>107</v>
      </c>
      <c r="C43" s="45" t="s">
        <v>58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1878</v>
      </c>
      <c r="R43" s="99">
        <f t="shared" si="5"/>
        <v>0</v>
      </c>
    </row>
    <row r="44" spans="2:18" s="13" customFormat="1" ht="15.5" x14ac:dyDescent="0.35">
      <c r="B44" s="100" t="s">
        <v>108</v>
      </c>
      <c r="C44" s="45" t="s">
        <v>58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1878</v>
      </c>
      <c r="R44" s="99">
        <f t="shared" si="5"/>
        <v>0</v>
      </c>
    </row>
    <row r="45" spans="2:18" s="13" customFormat="1" ht="15.5" x14ac:dyDescent="0.35">
      <c r="B45" s="100" t="s">
        <v>9</v>
      </c>
      <c r="C45" s="45" t="s">
        <v>58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3756</v>
      </c>
      <c r="R45" s="99">
        <f t="shared" si="5"/>
        <v>0</v>
      </c>
    </row>
    <row r="46" spans="2:18" s="13" customFormat="1" ht="15.5" x14ac:dyDescent="0.35">
      <c r="B46" s="100" t="s">
        <v>109</v>
      </c>
      <c r="C46" s="45" t="s">
        <v>58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5634</v>
      </c>
      <c r="R46" s="99">
        <f t="shared" si="5"/>
        <v>0</v>
      </c>
    </row>
    <row r="47" spans="2:18" s="13" customFormat="1" ht="15.5" x14ac:dyDescent="0.35">
      <c r="B47" s="100" t="s">
        <v>110</v>
      </c>
      <c r="C47" s="45" t="s">
        <v>58</v>
      </c>
      <c r="D47" s="46"/>
      <c r="E47" s="47">
        <v>1</v>
      </c>
      <c r="F47" s="46"/>
      <c r="G47" s="48">
        <f t="shared" si="4"/>
        <v>0</v>
      </c>
      <c r="H47" s="49"/>
      <c r="I47" s="46"/>
      <c r="J47" s="48">
        <f t="shared" si="0"/>
        <v>0</v>
      </c>
      <c r="K47" s="49"/>
      <c r="L47" s="46"/>
      <c r="M47" s="48">
        <f t="shared" si="1"/>
        <v>0</v>
      </c>
      <c r="N47" s="50"/>
      <c r="O47" s="55">
        <f t="shared" si="2"/>
        <v>0</v>
      </c>
      <c r="P47" s="62">
        <f t="shared" si="3"/>
        <v>1</v>
      </c>
      <c r="Q47" s="64">
        <v>5634</v>
      </c>
      <c r="R47" s="99">
        <f t="shared" si="5"/>
        <v>0</v>
      </c>
    </row>
    <row r="48" spans="2:18" s="13" customFormat="1" ht="15.5" x14ac:dyDescent="0.35">
      <c r="B48" s="100" t="s">
        <v>111</v>
      </c>
      <c r="C48" s="45" t="s">
        <v>58</v>
      </c>
      <c r="D48" s="46"/>
      <c r="E48" s="47">
        <v>1</v>
      </c>
      <c r="F48" s="46"/>
      <c r="G48" s="48">
        <f t="shared" si="4"/>
        <v>0</v>
      </c>
      <c r="H48" s="49"/>
      <c r="I48" s="46"/>
      <c r="J48" s="48">
        <f t="shared" si="0"/>
        <v>0</v>
      </c>
      <c r="K48" s="49"/>
      <c r="L48" s="46"/>
      <c r="M48" s="48">
        <f t="shared" si="1"/>
        <v>0</v>
      </c>
      <c r="N48" s="50"/>
      <c r="O48" s="55">
        <f t="shared" si="2"/>
        <v>0</v>
      </c>
      <c r="P48" s="62">
        <f>N48+K48+H48+E48</f>
        <v>1</v>
      </c>
      <c r="Q48" s="182">
        <v>9390</v>
      </c>
      <c r="R48" s="99">
        <f t="shared" si="5"/>
        <v>0</v>
      </c>
    </row>
    <row r="49" spans="2:18" s="13" customFormat="1" ht="15.5" x14ac:dyDescent="0.35">
      <c r="B49" s="100" t="s">
        <v>62</v>
      </c>
      <c r="C49" s="45" t="s">
        <v>58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 t="shared" si="0"/>
        <v>0</v>
      </c>
      <c r="K49" s="49"/>
      <c r="L49" s="46"/>
      <c r="M49" s="48">
        <f t="shared" si="1"/>
        <v>0</v>
      </c>
      <c r="N49" s="50"/>
      <c r="O49" s="55">
        <f t="shared" si="2"/>
        <v>0</v>
      </c>
      <c r="P49" s="62">
        <f t="shared" si="3"/>
        <v>1</v>
      </c>
      <c r="Q49" s="64">
        <v>5634</v>
      </c>
      <c r="R49" s="99">
        <f t="shared" si="5"/>
        <v>0</v>
      </c>
    </row>
    <row r="50" spans="2:18" s="13" customFormat="1" ht="15.5" x14ac:dyDescent="0.35">
      <c r="B50" s="100" t="s">
        <v>112</v>
      </c>
      <c r="C50" s="45" t="s">
        <v>58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28170</v>
      </c>
      <c r="R50" s="99">
        <f t="shared" si="5"/>
        <v>0</v>
      </c>
    </row>
    <row r="51" spans="2:18" s="13" customFormat="1" ht="15.5" x14ac:dyDescent="0.35">
      <c r="B51" s="100" t="s">
        <v>10</v>
      </c>
      <c r="C51" s="45" t="s">
        <v>58</v>
      </c>
      <c r="D51" s="46"/>
      <c r="E51" s="47">
        <v>1</v>
      </c>
      <c r="F51" s="46"/>
      <c r="G51" s="48">
        <f t="shared" si="4"/>
        <v>0</v>
      </c>
      <c r="H51" s="49"/>
      <c r="I51" s="46"/>
      <c r="J51" s="48">
        <f t="shared" si="0"/>
        <v>0</v>
      </c>
      <c r="K51" s="49"/>
      <c r="L51" s="46"/>
      <c r="M51" s="48">
        <f t="shared" si="1"/>
        <v>0</v>
      </c>
      <c r="N51" s="50"/>
      <c r="O51" s="55">
        <f t="shared" si="2"/>
        <v>0</v>
      </c>
      <c r="P51" s="62">
        <f t="shared" si="3"/>
        <v>1</v>
      </c>
      <c r="Q51" s="64">
        <v>18780</v>
      </c>
      <c r="R51" s="99">
        <f t="shared" si="5"/>
        <v>0</v>
      </c>
    </row>
    <row r="52" spans="2:18" s="13" customFormat="1" ht="15.5" x14ac:dyDescent="0.35">
      <c r="B52" s="100" t="s">
        <v>35</v>
      </c>
      <c r="C52" s="45" t="s">
        <v>58</v>
      </c>
      <c r="D52" s="46"/>
      <c r="E52" s="47">
        <v>1</v>
      </c>
      <c r="F52" s="46"/>
      <c r="G52" s="48">
        <f t="shared" si="4"/>
        <v>0</v>
      </c>
      <c r="H52" s="49"/>
      <c r="I52" s="46"/>
      <c r="J52" s="48">
        <f t="shared" si="0"/>
        <v>0</v>
      </c>
      <c r="K52" s="49"/>
      <c r="L52" s="46"/>
      <c r="M52" s="48">
        <f t="shared" si="1"/>
        <v>0</v>
      </c>
      <c r="N52" s="50"/>
      <c r="O52" s="55">
        <f t="shared" si="2"/>
        <v>0</v>
      </c>
      <c r="P52" s="62">
        <f t="shared" si="3"/>
        <v>1</v>
      </c>
      <c r="Q52" s="64">
        <v>556</v>
      </c>
      <c r="R52" s="99">
        <f t="shared" si="5"/>
        <v>0</v>
      </c>
    </row>
    <row r="53" spans="2:18" s="13" customFormat="1" ht="15.5" x14ac:dyDescent="0.35">
      <c r="B53" s="100" t="s">
        <v>36</v>
      </c>
      <c r="C53" s="45" t="s">
        <v>58</v>
      </c>
      <c r="D53" s="46"/>
      <c r="E53" s="47">
        <v>1</v>
      </c>
      <c r="F53" s="46"/>
      <c r="G53" s="48">
        <f t="shared" si="4"/>
        <v>0</v>
      </c>
      <c r="H53" s="49"/>
      <c r="I53" s="46"/>
      <c r="J53" s="48">
        <f t="shared" si="0"/>
        <v>0</v>
      </c>
      <c r="K53" s="49"/>
      <c r="L53" s="46"/>
      <c r="M53" s="48">
        <f t="shared" si="1"/>
        <v>0</v>
      </c>
      <c r="N53" s="50"/>
      <c r="O53" s="55">
        <f t="shared" si="2"/>
        <v>0</v>
      </c>
      <c r="P53" s="62">
        <f t="shared" si="3"/>
        <v>1</v>
      </c>
      <c r="Q53" s="64">
        <v>2380</v>
      </c>
      <c r="R53" s="99">
        <f t="shared" si="5"/>
        <v>0</v>
      </c>
    </row>
    <row r="54" spans="2:18" s="13" customFormat="1" ht="15.5" x14ac:dyDescent="0.35">
      <c r="B54" s="100" t="s">
        <v>37</v>
      </c>
      <c r="C54" s="45" t="s">
        <v>58</v>
      </c>
      <c r="D54" s="46"/>
      <c r="E54" s="47">
        <v>1</v>
      </c>
      <c r="F54" s="46"/>
      <c r="G54" s="48">
        <f t="shared" si="4"/>
        <v>0</v>
      </c>
      <c r="H54" s="49"/>
      <c r="I54" s="46"/>
      <c r="J54" s="48">
        <f t="shared" si="0"/>
        <v>0</v>
      </c>
      <c r="K54" s="49"/>
      <c r="L54" s="46"/>
      <c r="M54" s="48">
        <f t="shared" si="1"/>
        <v>0</v>
      </c>
      <c r="N54" s="50"/>
      <c r="O54" s="55">
        <f t="shared" si="2"/>
        <v>0</v>
      </c>
      <c r="P54" s="62">
        <f t="shared" si="3"/>
        <v>1</v>
      </c>
      <c r="Q54" s="64">
        <v>1878</v>
      </c>
      <c r="R54" s="99">
        <f t="shared" si="5"/>
        <v>0</v>
      </c>
    </row>
    <row r="55" spans="2:18" s="13" customFormat="1" ht="15.5" x14ac:dyDescent="0.35">
      <c r="B55" s="100" t="s">
        <v>38</v>
      </c>
      <c r="C55" s="45" t="s">
        <v>58</v>
      </c>
      <c r="D55" s="46"/>
      <c r="E55" s="47">
        <v>1</v>
      </c>
      <c r="F55" s="46"/>
      <c r="G55" s="48">
        <f t="shared" si="4"/>
        <v>0</v>
      </c>
      <c r="H55" s="49"/>
      <c r="I55" s="46"/>
      <c r="J55" s="48">
        <f t="shared" si="0"/>
        <v>0</v>
      </c>
      <c r="K55" s="49"/>
      <c r="L55" s="46"/>
      <c r="M55" s="48">
        <f t="shared" si="1"/>
        <v>0</v>
      </c>
      <c r="N55" s="50"/>
      <c r="O55" s="55">
        <f t="shared" si="2"/>
        <v>0</v>
      </c>
      <c r="P55" s="62">
        <f t="shared" si="3"/>
        <v>1</v>
      </c>
      <c r="Q55" s="64">
        <v>482</v>
      </c>
      <c r="R55" s="99">
        <f t="shared" si="5"/>
        <v>0</v>
      </c>
    </row>
    <row r="56" spans="2:18" s="13" customFormat="1" ht="15.5" x14ac:dyDescent="0.35">
      <c r="B56" s="100" t="s">
        <v>39</v>
      </c>
      <c r="C56" s="45" t="s">
        <v>58</v>
      </c>
      <c r="D56" s="46"/>
      <c r="E56" s="47">
        <v>1</v>
      </c>
      <c r="F56" s="46"/>
      <c r="G56" s="48">
        <f t="shared" si="4"/>
        <v>0</v>
      </c>
      <c r="H56" s="49"/>
      <c r="I56" s="46"/>
      <c r="J56" s="48">
        <f t="shared" si="0"/>
        <v>0</v>
      </c>
      <c r="K56" s="49"/>
      <c r="L56" s="46"/>
      <c r="M56" s="48">
        <f t="shared" si="1"/>
        <v>0</v>
      </c>
      <c r="N56" s="50"/>
      <c r="O56" s="55">
        <f t="shared" si="2"/>
        <v>0</v>
      </c>
      <c r="P56" s="62">
        <f t="shared" si="3"/>
        <v>1</v>
      </c>
      <c r="Q56" s="64">
        <v>5634</v>
      </c>
      <c r="R56" s="99">
        <f t="shared" si="5"/>
        <v>0</v>
      </c>
    </row>
    <row r="57" spans="2:18" s="13" customFormat="1" ht="15.5" x14ac:dyDescent="0.35">
      <c r="B57" s="100" t="s">
        <v>40</v>
      </c>
      <c r="C57" s="45" t="s">
        <v>58</v>
      </c>
      <c r="D57" s="46"/>
      <c r="E57" s="47">
        <v>1</v>
      </c>
      <c r="F57" s="46"/>
      <c r="G57" s="48">
        <f t="shared" si="4"/>
        <v>0</v>
      </c>
      <c r="H57" s="49"/>
      <c r="I57" s="46"/>
      <c r="J57" s="48">
        <f t="shared" si="0"/>
        <v>0</v>
      </c>
      <c r="K57" s="49"/>
      <c r="L57" s="46"/>
      <c r="M57" s="48">
        <f t="shared" si="1"/>
        <v>0</v>
      </c>
      <c r="N57" s="50"/>
      <c r="O57" s="55">
        <f t="shared" si="2"/>
        <v>0</v>
      </c>
      <c r="P57" s="62">
        <f t="shared" si="3"/>
        <v>1</v>
      </c>
      <c r="Q57" s="64">
        <v>3756</v>
      </c>
      <c r="R57" s="99">
        <f t="shared" si="5"/>
        <v>0</v>
      </c>
    </row>
    <row r="58" spans="2:18" s="13" customFormat="1" ht="15.5" x14ac:dyDescent="0.35">
      <c r="B58" s="100" t="s">
        <v>32</v>
      </c>
      <c r="C58" s="45" t="s">
        <v>58</v>
      </c>
      <c r="D58" s="46"/>
      <c r="E58" s="47">
        <v>1</v>
      </c>
      <c r="F58" s="46"/>
      <c r="G58" s="48">
        <f t="shared" si="4"/>
        <v>0</v>
      </c>
      <c r="H58" s="49"/>
      <c r="I58" s="46"/>
      <c r="J58" s="48">
        <f t="shared" si="0"/>
        <v>0</v>
      </c>
      <c r="K58" s="49"/>
      <c r="L58" s="46"/>
      <c r="M58" s="48">
        <f t="shared" si="1"/>
        <v>0</v>
      </c>
      <c r="N58" s="50"/>
      <c r="O58" s="55">
        <f t="shared" si="2"/>
        <v>0</v>
      </c>
      <c r="P58" s="62">
        <f t="shared" si="3"/>
        <v>1</v>
      </c>
      <c r="Q58" s="64">
        <v>21569</v>
      </c>
      <c r="R58" s="99">
        <f t="shared" si="5"/>
        <v>0</v>
      </c>
    </row>
    <row r="59" spans="2:18" s="13" customFormat="1" ht="15.5" x14ac:dyDescent="0.35">
      <c r="B59" s="100" t="s">
        <v>33</v>
      </c>
      <c r="C59" s="45" t="s">
        <v>58</v>
      </c>
      <c r="D59" s="46"/>
      <c r="E59" s="47">
        <v>1</v>
      </c>
      <c r="F59" s="46"/>
      <c r="G59" s="48">
        <f t="shared" si="4"/>
        <v>0</v>
      </c>
      <c r="H59" s="49"/>
      <c r="I59" s="46"/>
      <c r="J59" s="48">
        <f>I59*(1+$E$9)</f>
        <v>0</v>
      </c>
      <c r="K59" s="49"/>
      <c r="L59" s="46"/>
      <c r="M59" s="48">
        <f>L59*(1+$E$9)</f>
        <v>0</v>
      </c>
      <c r="N59" s="50"/>
      <c r="O59" s="55">
        <f>(D59*E59)+(G59*H59)+(J59*K59)+(M59*N59)</f>
        <v>0</v>
      </c>
      <c r="P59" s="62">
        <f>N59+K59+H59+E59</f>
        <v>1</v>
      </c>
      <c r="Q59" s="64">
        <v>1878</v>
      </c>
      <c r="R59" s="99">
        <f t="shared" si="5"/>
        <v>0</v>
      </c>
    </row>
    <row r="60" spans="2:18" s="13" customFormat="1" ht="15.5" x14ac:dyDescent="0.35">
      <c r="B60" s="100" t="s">
        <v>34</v>
      </c>
      <c r="C60" s="45" t="s">
        <v>58</v>
      </c>
      <c r="D60" s="46"/>
      <c r="E60" s="47">
        <v>1</v>
      </c>
      <c r="F60" s="46"/>
      <c r="G60" s="48">
        <f t="shared" si="4"/>
        <v>0</v>
      </c>
      <c r="H60" s="49"/>
      <c r="I60" s="46"/>
      <c r="J60" s="48">
        <f t="shared" si="0"/>
        <v>0</v>
      </c>
      <c r="K60" s="49"/>
      <c r="L60" s="46"/>
      <c r="M60" s="48">
        <f t="shared" si="1"/>
        <v>0</v>
      </c>
      <c r="N60" s="50"/>
      <c r="O60" s="55">
        <f t="shared" si="2"/>
        <v>0</v>
      </c>
      <c r="P60" s="62">
        <f t="shared" si="3"/>
        <v>1</v>
      </c>
      <c r="Q60" s="64">
        <v>11865</v>
      </c>
      <c r="R60" s="99">
        <f>O60*Q60</f>
        <v>0</v>
      </c>
    </row>
    <row r="61" spans="2:18" s="13" customFormat="1" ht="14.5" x14ac:dyDescent="0.35">
      <c r="B61" s="56" t="s">
        <v>59</v>
      </c>
      <c r="C61" s="57" t="s">
        <v>65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07">
        <f>SUM(R16:R60)</f>
        <v>0</v>
      </c>
    </row>
    <row r="62" spans="2:18" s="13" customFormat="1" ht="15.5" x14ac:dyDescent="0.35">
      <c r="B62" s="54" t="s">
        <v>89</v>
      </c>
      <c r="C62" s="45" t="s">
        <v>65</v>
      </c>
      <c r="D62" s="46"/>
      <c r="E62" s="47">
        <v>1</v>
      </c>
      <c r="F62" s="46"/>
      <c r="G62" s="48">
        <f t="shared" ref="G62:G78" si="6">F62*(1+$D$9)</f>
        <v>0</v>
      </c>
      <c r="H62" s="49"/>
      <c r="I62" s="46"/>
      <c r="J62" s="48">
        <f t="shared" ref="J62:J78" si="7">I62*(1+$D$9)</f>
        <v>0</v>
      </c>
      <c r="K62" s="49"/>
      <c r="L62" s="46"/>
      <c r="M62" s="48">
        <f t="shared" ref="M62:M78" si="8">L62*(1+$D$9)</f>
        <v>0</v>
      </c>
      <c r="N62" s="50"/>
      <c r="O62" s="51">
        <f t="shared" ref="O62:O78" si="9">(D62*E62)+(G62*H62)+(J62*K62)+(M62*N62)</f>
        <v>0</v>
      </c>
      <c r="P62" s="62">
        <f t="shared" ref="P62:P78" si="10">N62+K62+H62+E62</f>
        <v>1</v>
      </c>
      <c r="Q62" s="64">
        <v>5634</v>
      </c>
      <c r="R62" s="66">
        <f>O62*Q62</f>
        <v>0</v>
      </c>
    </row>
    <row r="63" spans="2:18" s="13" customFormat="1" ht="15.5" x14ac:dyDescent="0.35">
      <c r="B63" s="54" t="s">
        <v>11</v>
      </c>
      <c r="C63" s="45" t="s">
        <v>65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1878</v>
      </c>
      <c r="R63" s="66">
        <f t="shared" ref="R63:R78" si="11">O63*Q63</f>
        <v>0</v>
      </c>
    </row>
    <row r="64" spans="2:18" s="13" customFormat="1" ht="15.5" x14ac:dyDescent="0.35">
      <c r="B64" s="54" t="s">
        <v>90</v>
      </c>
      <c r="C64" s="45" t="s">
        <v>65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7512</v>
      </c>
      <c r="R64" s="66">
        <f t="shared" si="11"/>
        <v>0</v>
      </c>
    </row>
    <row r="65" spans="2:18" s="13" customFormat="1" ht="15.5" x14ac:dyDescent="0.35">
      <c r="B65" s="54" t="s">
        <v>2</v>
      </c>
      <c r="C65" s="45" t="s">
        <v>65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>I65*(1+$D$9)</f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1878</v>
      </c>
      <c r="R65" s="66">
        <f t="shared" si="11"/>
        <v>0</v>
      </c>
    </row>
    <row r="66" spans="2:18" s="13" customFormat="1" ht="15.5" x14ac:dyDescent="0.35">
      <c r="B66" s="54" t="s">
        <v>91</v>
      </c>
      <c r="C66" s="45" t="s">
        <v>65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1878</v>
      </c>
      <c r="R66" s="66">
        <f t="shared" si="11"/>
        <v>0</v>
      </c>
    </row>
    <row r="67" spans="2:18" s="13" customFormat="1" ht="15.5" x14ac:dyDescent="0.35">
      <c r="B67" s="54" t="s">
        <v>97</v>
      </c>
      <c r="C67" s="45" t="s">
        <v>65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1878</v>
      </c>
      <c r="R67" s="66">
        <f t="shared" si="11"/>
        <v>0</v>
      </c>
    </row>
    <row r="68" spans="2:18" s="13" customFormat="1" ht="15.5" x14ac:dyDescent="0.35">
      <c r="B68" s="54" t="s">
        <v>98</v>
      </c>
      <c r="C68" s="45" t="s">
        <v>65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7512</v>
      </c>
      <c r="R68" s="66">
        <f t="shared" si="11"/>
        <v>0</v>
      </c>
    </row>
    <row r="69" spans="2:18" s="13" customFormat="1" ht="15.5" x14ac:dyDescent="0.35">
      <c r="B69" s="54" t="s">
        <v>5</v>
      </c>
      <c r="C69" s="45" t="s">
        <v>65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9390</v>
      </c>
      <c r="R69" s="66">
        <f t="shared" si="11"/>
        <v>0</v>
      </c>
    </row>
    <row r="70" spans="2:18" s="13" customFormat="1" ht="15.5" x14ac:dyDescent="0.35">
      <c r="B70" s="54" t="s">
        <v>100</v>
      </c>
      <c r="C70" s="45" t="s">
        <v>65</v>
      </c>
      <c r="D70" s="46"/>
      <c r="E70" s="47">
        <v>1</v>
      </c>
      <c r="F70" s="46"/>
      <c r="G70" s="48">
        <f t="shared" si="6"/>
        <v>0</v>
      </c>
      <c r="H70" s="49"/>
      <c r="I70" s="46"/>
      <c r="J70" s="48">
        <f t="shared" si="7"/>
        <v>0</v>
      </c>
      <c r="K70" s="49"/>
      <c r="L70" s="46"/>
      <c r="M70" s="48">
        <f t="shared" si="8"/>
        <v>0</v>
      </c>
      <c r="N70" s="50"/>
      <c r="O70" s="51">
        <f t="shared" si="9"/>
        <v>0</v>
      </c>
      <c r="P70" s="62">
        <f t="shared" si="10"/>
        <v>1</v>
      </c>
      <c r="Q70" s="64">
        <v>1878</v>
      </c>
      <c r="R70" s="66">
        <f t="shared" si="11"/>
        <v>0</v>
      </c>
    </row>
    <row r="71" spans="2:18" s="13" customFormat="1" ht="15.5" x14ac:dyDescent="0.35">
      <c r="B71" s="54" t="s">
        <v>101</v>
      </c>
      <c r="C71" s="45" t="s">
        <v>65</v>
      </c>
      <c r="D71" s="46"/>
      <c r="E71" s="47">
        <v>1</v>
      </c>
      <c r="F71" s="46"/>
      <c r="G71" s="48">
        <f t="shared" si="6"/>
        <v>0</v>
      </c>
      <c r="H71" s="49"/>
      <c r="I71" s="46"/>
      <c r="J71" s="48">
        <f t="shared" si="7"/>
        <v>0</v>
      </c>
      <c r="K71" s="49"/>
      <c r="L71" s="46"/>
      <c r="M71" s="48">
        <f t="shared" si="8"/>
        <v>0</v>
      </c>
      <c r="N71" s="50"/>
      <c r="O71" s="51">
        <f t="shared" si="9"/>
        <v>0</v>
      </c>
      <c r="P71" s="62">
        <f t="shared" si="10"/>
        <v>1</v>
      </c>
      <c r="Q71" s="64">
        <v>1878</v>
      </c>
      <c r="R71" s="66">
        <f t="shared" si="11"/>
        <v>0</v>
      </c>
    </row>
    <row r="72" spans="2:18" s="13" customFormat="1" ht="15.5" x14ac:dyDescent="0.35">
      <c r="B72" s="54" t="s">
        <v>113</v>
      </c>
      <c r="C72" s="45" t="s">
        <v>65</v>
      </c>
      <c r="D72" s="46"/>
      <c r="E72" s="47">
        <v>1</v>
      </c>
      <c r="F72" s="46"/>
      <c r="G72" s="48">
        <f t="shared" si="6"/>
        <v>0</v>
      </c>
      <c r="H72" s="49"/>
      <c r="I72" s="46"/>
      <c r="J72" s="48">
        <f t="shared" si="7"/>
        <v>0</v>
      </c>
      <c r="K72" s="49"/>
      <c r="L72" s="46"/>
      <c r="M72" s="48">
        <f t="shared" si="8"/>
        <v>0</v>
      </c>
      <c r="N72" s="50"/>
      <c r="O72" s="51">
        <f t="shared" si="9"/>
        <v>0</v>
      </c>
      <c r="P72" s="62">
        <f t="shared" si="10"/>
        <v>1</v>
      </c>
      <c r="Q72" s="64">
        <v>1878</v>
      </c>
      <c r="R72" s="66">
        <f t="shared" si="11"/>
        <v>0</v>
      </c>
    </row>
    <row r="73" spans="2:18" s="13" customFormat="1" ht="15.5" x14ac:dyDescent="0.35">
      <c r="B73" s="54" t="s">
        <v>6</v>
      </c>
      <c r="C73" s="45" t="s">
        <v>65</v>
      </c>
      <c r="D73" s="46"/>
      <c r="E73" s="47">
        <v>1</v>
      </c>
      <c r="F73" s="46"/>
      <c r="G73" s="48">
        <f t="shared" si="6"/>
        <v>0</v>
      </c>
      <c r="H73" s="49"/>
      <c r="I73" s="46"/>
      <c r="J73" s="48">
        <f t="shared" si="7"/>
        <v>0</v>
      </c>
      <c r="K73" s="49"/>
      <c r="L73" s="46"/>
      <c r="M73" s="48">
        <f t="shared" si="8"/>
        <v>0</v>
      </c>
      <c r="N73" s="50"/>
      <c r="O73" s="51">
        <f t="shared" si="9"/>
        <v>0</v>
      </c>
      <c r="P73" s="62">
        <f t="shared" si="10"/>
        <v>1</v>
      </c>
      <c r="Q73" s="64">
        <v>5634</v>
      </c>
      <c r="R73" s="66">
        <f t="shared" si="11"/>
        <v>0</v>
      </c>
    </row>
    <row r="74" spans="2:18" s="13" customFormat="1" ht="15.5" x14ac:dyDescent="0.35">
      <c r="B74" s="54" t="s">
        <v>102</v>
      </c>
      <c r="C74" s="45" t="s">
        <v>65</v>
      </c>
      <c r="D74" s="46"/>
      <c r="E74" s="47">
        <v>1</v>
      </c>
      <c r="F74" s="46"/>
      <c r="G74" s="48">
        <f t="shared" si="6"/>
        <v>0</v>
      </c>
      <c r="H74" s="49"/>
      <c r="I74" s="46"/>
      <c r="J74" s="48">
        <f t="shared" si="7"/>
        <v>0</v>
      </c>
      <c r="K74" s="49"/>
      <c r="L74" s="46"/>
      <c r="M74" s="48">
        <f t="shared" si="8"/>
        <v>0</v>
      </c>
      <c r="N74" s="50"/>
      <c r="O74" s="51">
        <f t="shared" si="9"/>
        <v>0</v>
      </c>
      <c r="P74" s="62">
        <f t="shared" si="10"/>
        <v>1</v>
      </c>
      <c r="Q74" s="64">
        <v>16902</v>
      </c>
      <c r="R74" s="66">
        <f t="shared" si="11"/>
        <v>0</v>
      </c>
    </row>
    <row r="75" spans="2:18" s="13" customFormat="1" ht="15.5" x14ac:dyDescent="0.35">
      <c r="B75" s="54" t="s">
        <v>7</v>
      </c>
      <c r="C75" s="45" t="s">
        <v>65</v>
      </c>
      <c r="D75" s="46"/>
      <c r="E75" s="47">
        <v>1</v>
      </c>
      <c r="F75" s="46"/>
      <c r="G75" s="48">
        <f t="shared" si="6"/>
        <v>0</v>
      </c>
      <c r="H75" s="49"/>
      <c r="I75" s="46"/>
      <c r="J75" s="48">
        <f t="shared" si="7"/>
        <v>0</v>
      </c>
      <c r="K75" s="49"/>
      <c r="L75" s="46"/>
      <c r="M75" s="48">
        <f t="shared" si="8"/>
        <v>0</v>
      </c>
      <c r="N75" s="50"/>
      <c r="O75" s="51">
        <f t="shared" si="9"/>
        <v>0</v>
      </c>
      <c r="P75" s="62">
        <f t="shared" si="10"/>
        <v>1</v>
      </c>
      <c r="Q75" s="64">
        <v>11268</v>
      </c>
      <c r="R75" s="66">
        <f t="shared" si="11"/>
        <v>0</v>
      </c>
    </row>
    <row r="76" spans="2:18" s="13" customFormat="1" ht="15.5" x14ac:dyDescent="0.35">
      <c r="B76" s="54" t="s">
        <v>103</v>
      </c>
      <c r="C76" s="45" t="s">
        <v>65</v>
      </c>
      <c r="D76" s="46"/>
      <c r="E76" s="47">
        <v>1</v>
      </c>
      <c r="F76" s="46"/>
      <c r="G76" s="48">
        <f t="shared" si="6"/>
        <v>0</v>
      </c>
      <c r="H76" s="49"/>
      <c r="I76" s="46"/>
      <c r="J76" s="48">
        <f t="shared" si="7"/>
        <v>0</v>
      </c>
      <c r="K76" s="49"/>
      <c r="L76" s="46"/>
      <c r="M76" s="48">
        <f t="shared" si="8"/>
        <v>0</v>
      </c>
      <c r="N76" s="50"/>
      <c r="O76" s="51">
        <f t="shared" si="9"/>
        <v>0</v>
      </c>
      <c r="P76" s="62">
        <f t="shared" si="10"/>
        <v>1</v>
      </c>
      <c r="Q76" s="64">
        <v>5634</v>
      </c>
      <c r="R76" s="66">
        <f t="shared" si="11"/>
        <v>0</v>
      </c>
    </row>
    <row r="77" spans="2:18" s="13" customFormat="1" ht="15.5" x14ac:dyDescent="0.35">
      <c r="B77" s="54" t="s">
        <v>104</v>
      </c>
      <c r="C77" s="45" t="s">
        <v>65</v>
      </c>
      <c r="D77" s="46"/>
      <c r="E77" s="47">
        <v>1</v>
      </c>
      <c r="F77" s="46"/>
      <c r="G77" s="48">
        <f t="shared" si="6"/>
        <v>0</v>
      </c>
      <c r="H77" s="49"/>
      <c r="I77" s="46"/>
      <c r="J77" s="48">
        <f t="shared" si="7"/>
        <v>0</v>
      </c>
      <c r="K77" s="49"/>
      <c r="L77" s="46"/>
      <c r="M77" s="48">
        <f t="shared" si="8"/>
        <v>0</v>
      </c>
      <c r="N77" s="50"/>
      <c r="O77" s="51">
        <f t="shared" si="9"/>
        <v>0</v>
      </c>
      <c r="P77" s="62">
        <f t="shared" si="10"/>
        <v>1</v>
      </c>
      <c r="Q77" s="64">
        <v>3756</v>
      </c>
      <c r="R77" s="66">
        <f t="shared" si="11"/>
        <v>0</v>
      </c>
    </row>
    <row r="78" spans="2:18" s="13" customFormat="1" ht="15.5" x14ac:dyDescent="0.35">
      <c r="B78" s="54" t="s">
        <v>105</v>
      </c>
      <c r="C78" s="45" t="s">
        <v>65</v>
      </c>
      <c r="D78" s="46"/>
      <c r="E78" s="47">
        <v>1</v>
      </c>
      <c r="F78" s="46"/>
      <c r="G78" s="48">
        <f t="shared" si="6"/>
        <v>0</v>
      </c>
      <c r="H78" s="49"/>
      <c r="I78" s="46"/>
      <c r="J78" s="48">
        <f t="shared" si="7"/>
        <v>0</v>
      </c>
      <c r="K78" s="49"/>
      <c r="L78" s="46"/>
      <c r="M78" s="48">
        <f t="shared" si="8"/>
        <v>0</v>
      </c>
      <c r="N78" s="50"/>
      <c r="O78" s="51">
        <f t="shared" si="9"/>
        <v>0</v>
      </c>
      <c r="P78" s="62">
        <f t="shared" si="10"/>
        <v>1</v>
      </c>
      <c r="Q78" s="64">
        <v>15024</v>
      </c>
      <c r="R78" s="66">
        <f t="shared" si="11"/>
        <v>0</v>
      </c>
    </row>
    <row r="79" spans="2:18" s="13" customFormat="1" ht="15" thickBot="1" x14ac:dyDescent="0.4">
      <c r="B79" s="58" t="s">
        <v>61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65"/>
      <c r="R79" s="108">
        <f>SUM(R62:R78)</f>
        <v>0</v>
      </c>
    </row>
    <row r="80" spans="2:18" s="13" customFormat="1" ht="15.5" x14ac:dyDescent="0.35">
      <c r="B80" s="44"/>
      <c r="C80" s="45"/>
      <c r="D80" s="46"/>
      <c r="E80" s="47">
        <v>1</v>
      </c>
      <c r="F80" s="46"/>
      <c r="G80" s="48">
        <f t="shared" ref="G80:G96" si="12">F80*(1+$D$9)</f>
        <v>0</v>
      </c>
      <c r="H80" s="49"/>
      <c r="I80" s="46"/>
      <c r="J80" s="48">
        <f t="shared" ref="J80:J96" si="13">I80*(1+$D$9)</f>
        <v>0</v>
      </c>
      <c r="K80" s="49"/>
      <c r="L80" s="46"/>
      <c r="M80" s="48">
        <f t="shared" ref="M80:M96" si="14">L80*(1+$D$9)</f>
        <v>0</v>
      </c>
      <c r="N80" s="50"/>
      <c r="O80" s="51">
        <f t="shared" ref="O80:O96" si="15">(D80*E80)+(G80*H80)+(J80*K80)+(M80*N80)</f>
        <v>0</v>
      </c>
      <c r="P80" s="52">
        <f t="shared" ref="P80:P96" si="16">N80+K80+H80+E80</f>
        <v>1</v>
      </c>
      <c r="Q80" s="52"/>
      <c r="R80" s="67">
        <f>O80*Q80</f>
        <v>0</v>
      </c>
    </row>
    <row r="81" spans="2:18" s="13" customFormat="1" ht="15.5" x14ac:dyDescent="0.35">
      <c r="B81" s="53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7">
        <f t="shared" ref="R81:R96" si="17">O81*Q81</f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7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7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7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7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52"/>
      <c r="R86" s="67">
        <f t="shared" si="1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52"/>
      <c r="R87" s="67">
        <f t="shared" si="17"/>
        <v>0</v>
      </c>
    </row>
    <row r="88" spans="2:18" s="13" customFormat="1" ht="15.5" x14ac:dyDescent="0.35">
      <c r="B88" s="54"/>
      <c r="C88" s="45"/>
      <c r="D88" s="46"/>
      <c r="E88" s="47">
        <v>1</v>
      </c>
      <c r="F88" s="46"/>
      <c r="G88" s="48">
        <f t="shared" si="12"/>
        <v>0</v>
      </c>
      <c r="H88" s="49"/>
      <c r="I88" s="46"/>
      <c r="J88" s="48">
        <f t="shared" si="13"/>
        <v>0</v>
      </c>
      <c r="K88" s="49"/>
      <c r="L88" s="46"/>
      <c r="M88" s="48">
        <f t="shared" si="14"/>
        <v>0</v>
      </c>
      <c r="N88" s="50"/>
      <c r="O88" s="51">
        <f t="shared" si="15"/>
        <v>0</v>
      </c>
      <c r="P88" s="52">
        <f t="shared" si="16"/>
        <v>1</v>
      </c>
      <c r="Q88" s="52"/>
      <c r="R88" s="67">
        <f t="shared" si="17"/>
        <v>0</v>
      </c>
    </row>
    <row r="89" spans="2:18" s="13" customFormat="1" ht="15.5" x14ac:dyDescent="0.35">
      <c r="B89" s="54"/>
      <c r="C89" s="45"/>
      <c r="D89" s="46"/>
      <c r="E89" s="47">
        <v>1</v>
      </c>
      <c r="F89" s="46"/>
      <c r="G89" s="48">
        <f t="shared" si="12"/>
        <v>0</v>
      </c>
      <c r="H89" s="49"/>
      <c r="I89" s="46"/>
      <c r="J89" s="48">
        <f t="shared" si="13"/>
        <v>0</v>
      </c>
      <c r="K89" s="49"/>
      <c r="L89" s="46"/>
      <c r="M89" s="48">
        <f t="shared" si="14"/>
        <v>0</v>
      </c>
      <c r="N89" s="50"/>
      <c r="O89" s="51">
        <f t="shared" si="15"/>
        <v>0</v>
      </c>
      <c r="P89" s="52">
        <f t="shared" si="16"/>
        <v>1</v>
      </c>
      <c r="Q89" s="52"/>
      <c r="R89" s="67">
        <f t="shared" si="17"/>
        <v>0</v>
      </c>
    </row>
    <row r="90" spans="2:18" s="13" customFormat="1" ht="15.5" x14ac:dyDescent="0.35">
      <c r="B90" s="54"/>
      <c r="C90" s="45"/>
      <c r="D90" s="46"/>
      <c r="E90" s="47">
        <v>1</v>
      </c>
      <c r="F90" s="46"/>
      <c r="G90" s="48">
        <f t="shared" si="12"/>
        <v>0</v>
      </c>
      <c r="H90" s="49"/>
      <c r="I90" s="46"/>
      <c r="J90" s="48">
        <f t="shared" si="13"/>
        <v>0</v>
      </c>
      <c r="K90" s="49"/>
      <c r="L90" s="46"/>
      <c r="M90" s="48">
        <f t="shared" si="14"/>
        <v>0</v>
      </c>
      <c r="N90" s="50"/>
      <c r="O90" s="51">
        <f t="shared" si="15"/>
        <v>0</v>
      </c>
      <c r="P90" s="52">
        <f t="shared" si="16"/>
        <v>1</v>
      </c>
      <c r="Q90" s="52"/>
      <c r="R90" s="67">
        <f t="shared" si="17"/>
        <v>0</v>
      </c>
    </row>
    <row r="91" spans="2:18" s="13" customFormat="1" ht="15.5" x14ac:dyDescent="0.35">
      <c r="B91" s="54"/>
      <c r="C91" s="45"/>
      <c r="D91" s="46"/>
      <c r="E91" s="47">
        <v>1</v>
      </c>
      <c r="F91" s="46"/>
      <c r="G91" s="48">
        <f t="shared" si="12"/>
        <v>0</v>
      </c>
      <c r="H91" s="49"/>
      <c r="I91" s="46"/>
      <c r="J91" s="48">
        <f t="shared" si="13"/>
        <v>0</v>
      </c>
      <c r="K91" s="49"/>
      <c r="L91" s="46"/>
      <c r="M91" s="48">
        <f t="shared" si="14"/>
        <v>0</v>
      </c>
      <c r="N91" s="50"/>
      <c r="O91" s="51">
        <f t="shared" si="15"/>
        <v>0</v>
      </c>
      <c r="P91" s="52">
        <f t="shared" si="16"/>
        <v>1</v>
      </c>
      <c r="Q91" s="52"/>
      <c r="R91" s="67">
        <f t="shared" si="17"/>
        <v>0</v>
      </c>
    </row>
    <row r="92" spans="2:18" s="13" customFormat="1" ht="15.5" x14ac:dyDescent="0.35">
      <c r="B92" s="54"/>
      <c r="C92" s="45"/>
      <c r="D92" s="46"/>
      <c r="E92" s="47">
        <v>1</v>
      </c>
      <c r="F92" s="46"/>
      <c r="G92" s="48">
        <f t="shared" si="12"/>
        <v>0</v>
      </c>
      <c r="H92" s="49"/>
      <c r="I92" s="46"/>
      <c r="J92" s="48">
        <f t="shared" si="13"/>
        <v>0</v>
      </c>
      <c r="K92" s="49"/>
      <c r="L92" s="46"/>
      <c r="M92" s="48">
        <f t="shared" si="14"/>
        <v>0</v>
      </c>
      <c r="N92" s="50"/>
      <c r="O92" s="51">
        <f t="shared" si="15"/>
        <v>0</v>
      </c>
      <c r="P92" s="52">
        <f t="shared" si="16"/>
        <v>1</v>
      </c>
      <c r="Q92" s="52"/>
      <c r="R92" s="67">
        <f t="shared" si="17"/>
        <v>0</v>
      </c>
    </row>
    <row r="93" spans="2:18" s="13" customFormat="1" ht="15.5" x14ac:dyDescent="0.35">
      <c r="B93" s="54"/>
      <c r="C93" s="45"/>
      <c r="D93" s="46"/>
      <c r="E93" s="47">
        <v>1</v>
      </c>
      <c r="F93" s="46"/>
      <c r="G93" s="48">
        <f t="shared" si="12"/>
        <v>0</v>
      </c>
      <c r="H93" s="49"/>
      <c r="I93" s="46"/>
      <c r="J93" s="48">
        <f t="shared" si="13"/>
        <v>0</v>
      </c>
      <c r="K93" s="49"/>
      <c r="L93" s="46"/>
      <c r="M93" s="48">
        <f t="shared" si="14"/>
        <v>0</v>
      </c>
      <c r="N93" s="50"/>
      <c r="O93" s="51">
        <f t="shared" si="15"/>
        <v>0</v>
      </c>
      <c r="P93" s="52">
        <f t="shared" si="16"/>
        <v>1</v>
      </c>
      <c r="Q93" s="52"/>
      <c r="R93" s="67">
        <f t="shared" si="17"/>
        <v>0</v>
      </c>
    </row>
    <row r="94" spans="2:18" s="13" customFormat="1" ht="15.5" x14ac:dyDescent="0.35">
      <c r="B94" s="54"/>
      <c r="C94" s="45"/>
      <c r="D94" s="46"/>
      <c r="E94" s="47">
        <v>1</v>
      </c>
      <c r="F94" s="46"/>
      <c r="G94" s="48">
        <f t="shared" si="12"/>
        <v>0</v>
      </c>
      <c r="H94" s="49"/>
      <c r="I94" s="46"/>
      <c r="J94" s="48">
        <f t="shared" si="13"/>
        <v>0</v>
      </c>
      <c r="K94" s="49"/>
      <c r="L94" s="46"/>
      <c r="M94" s="48">
        <f t="shared" si="14"/>
        <v>0</v>
      </c>
      <c r="N94" s="50"/>
      <c r="O94" s="51">
        <f t="shared" si="15"/>
        <v>0</v>
      </c>
      <c r="P94" s="52">
        <f t="shared" si="16"/>
        <v>1</v>
      </c>
      <c r="Q94" s="52"/>
      <c r="R94" s="67">
        <f t="shared" si="17"/>
        <v>0</v>
      </c>
    </row>
    <row r="95" spans="2:18" s="13" customFormat="1" ht="15.5" x14ac:dyDescent="0.35">
      <c r="B95" s="54"/>
      <c r="C95" s="45"/>
      <c r="D95" s="46"/>
      <c r="E95" s="47">
        <v>1</v>
      </c>
      <c r="F95" s="46"/>
      <c r="G95" s="48">
        <f t="shared" si="12"/>
        <v>0</v>
      </c>
      <c r="H95" s="49"/>
      <c r="I95" s="46"/>
      <c r="J95" s="48">
        <f t="shared" si="13"/>
        <v>0</v>
      </c>
      <c r="K95" s="49"/>
      <c r="L95" s="46"/>
      <c r="M95" s="48">
        <f t="shared" si="14"/>
        <v>0</v>
      </c>
      <c r="N95" s="50"/>
      <c r="O95" s="51">
        <f t="shared" si="15"/>
        <v>0</v>
      </c>
      <c r="P95" s="52">
        <f t="shared" si="16"/>
        <v>1</v>
      </c>
      <c r="Q95" s="52"/>
      <c r="R95" s="67">
        <f t="shared" si="17"/>
        <v>0</v>
      </c>
    </row>
    <row r="96" spans="2:18" s="13" customFormat="1" ht="15.5" x14ac:dyDescent="0.35">
      <c r="B96" s="54"/>
      <c r="C96" s="45"/>
      <c r="D96" s="153"/>
      <c r="E96" s="154">
        <v>1</v>
      </c>
      <c r="F96" s="153"/>
      <c r="G96" s="155">
        <f t="shared" si="12"/>
        <v>0</v>
      </c>
      <c r="H96" s="156"/>
      <c r="I96" s="153"/>
      <c r="J96" s="155">
        <f t="shared" si="13"/>
        <v>0</v>
      </c>
      <c r="K96" s="156"/>
      <c r="L96" s="153"/>
      <c r="M96" s="155">
        <f t="shared" si="14"/>
        <v>0</v>
      </c>
      <c r="N96" s="157"/>
      <c r="O96" s="158">
        <f t="shared" si="15"/>
        <v>0</v>
      </c>
      <c r="P96" s="159">
        <f t="shared" si="16"/>
        <v>1</v>
      </c>
      <c r="Q96" s="159"/>
      <c r="R96" s="160">
        <f t="shared" si="17"/>
        <v>0</v>
      </c>
    </row>
    <row r="97" spans="2:18" s="13" customFormat="1" ht="15.5" x14ac:dyDescent="0.35">
      <c r="B97" s="129"/>
      <c r="C97" s="130"/>
      <c r="D97" s="144"/>
      <c r="E97" s="145"/>
      <c r="F97" s="144"/>
      <c r="G97" s="146"/>
      <c r="H97" s="147"/>
      <c r="I97" s="144"/>
      <c r="J97" s="146"/>
      <c r="K97" s="147"/>
      <c r="L97" s="144"/>
      <c r="M97" s="146"/>
      <c r="N97" s="148"/>
      <c r="O97" s="149"/>
      <c r="P97" s="150"/>
      <c r="Q97" s="151"/>
      <c r="R97" s="152">
        <f>SUM(R80:R96)</f>
        <v>0</v>
      </c>
    </row>
    <row r="98" spans="2:18" ht="15" customHeight="1" thickBot="1" x14ac:dyDescent="0.3">
      <c r="Q98" s="70">
        <f>SUM(Q16:Q96)</f>
        <v>1261308</v>
      </c>
      <c r="R98" s="71">
        <f>SUM(R16:R96)</f>
        <v>0</v>
      </c>
    </row>
    <row r="99" spans="2:18" x14ac:dyDescent="0.25">
      <c r="Q99" s="183" t="s">
        <v>66</v>
      </c>
      <c r="R99" s="184"/>
    </row>
    <row r="100" spans="2:18" ht="13" thickBot="1" x14ac:dyDescent="0.3">
      <c r="Q100" s="185"/>
      <c r="R100" s="186"/>
    </row>
  </sheetData>
  <mergeCells count="10">
    <mergeCell ref="Q99:R100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62:P78">
    <cfRule type="cellIs" dxfId="7" priority="5" operator="lessThan">
      <formula>1</formula>
    </cfRule>
  </conditionalFormatting>
  <conditionalFormatting sqref="P80:P96">
    <cfRule type="cellIs" dxfId="6" priority="4" operator="lessThan">
      <formula>1</formula>
    </cfRule>
  </conditionalFormatting>
  <conditionalFormatting sqref="P18:P60">
    <cfRule type="cellIs" dxfId="5" priority="2" operator="lessThan">
      <formula>1</formula>
    </cfRule>
  </conditionalFormatting>
  <conditionalFormatting sqref="P16:P17">
    <cfRule type="cellIs" dxfId="4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9C75-BD33-4996-B6A3-ACCF5E04B7E0}">
  <dimension ref="B1:R100"/>
  <sheetViews>
    <sheetView showGridLines="0" topLeftCell="A55" workbookViewId="0">
      <selection activeCell="A55" sqref="A1:A1048576"/>
    </sheetView>
  </sheetViews>
  <sheetFormatPr defaultColWidth="9.1796875" defaultRowHeight="12.5" x14ac:dyDescent="0.25"/>
  <cols>
    <col min="1" max="1" width="1.816406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/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87"/>
      <c r="P1" s="187"/>
    </row>
    <row r="2" spans="2:18" s="13" customFormat="1" ht="14.5" x14ac:dyDescent="0.35">
      <c r="B2" s="11" t="s">
        <v>18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41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60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42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44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43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45</v>
      </c>
      <c r="C9" s="19"/>
      <c r="D9" s="20"/>
      <c r="E9" s="21"/>
      <c r="F9" s="22"/>
      <c r="G9" s="22"/>
      <c r="H9" s="22"/>
      <c r="I9" s="188" t="s">
        <v>46</v>
      </c>
      <c r="J9" s="189"/>
      <c r="K9" s="189"/>
      <c r="L9" s="189"/>
      <c r="M9" s="190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47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00" t="str">
        <f>B12</f>
        <v>Contract Year 5</v>
      </c>
      <c r="P11" s="201"/>
    </row>
    <row r="12" spans="2:18" s="13" customFormat="1" ht="14.9" customHeight="1" x14ac:dyDescent="0.35">
      <c r="B12" s="202" t="s">
        <v>27</v>
      </c>
      <c r="C12" s="202"/>
      <c r="D12" s="203" t="s">
        <v>12</v>
      </c>
      <c r="E12" s="203"/>
      <c r="F12" s="204" t="s">
        <v>48</v>
      </c>
      <c r="G12" s="204"/>
      <c r="H12" s="204"/>
      <c r="I12" s="204" t="s">
        <v>49</v>
      </c>
      <c r="J12" s="204"/>
      <c r="K12" s="204"/>
      <c r="L12" s="204" t="s">
        <v>13</v>
      </c>
      <c r="M12" s="204"/>
      <c r="N12" s="204"/>
      <c r="O12" s="205" t="s">
        <v>14</v>
      </c>
      <c r="P12" s="206"/>
    </row>
    <row r="13" spans="2:18" s="13" customFormat="1" ht="56" x14ac:dyDescent="0.35">
      <c r="B13" s="28"/>
      <c r="C13" s="28"/>
      <c r="D13" s="29" t="s">
        <v>50</v>
      </c>
      <c r="E13" s="30" t="s">
        <v>15</v>
      </c>
      <c r="F13" s="31" t="s">
        <v>51</v>
      </c>
      <c r="G13" s="30" t="s">
        <v>52</v>
      </c>
      <c r="H13" s="32" t="s">
        <v>15</v>
      </c>
      <c r="I13" s="31" t="s">
        <v>53</v>
      </c>
      <c r="J13" s="30" t="s">
        <v>52</v>
      </c>
      <c r="K13" s="32" t="s">
        <v>15</v>
      </c>
      <c r="L13" s="31" t="s">
        <v>54</v>
      </c>
      <c r="M13" s="30" t="s">
        <v>52</v>
      </c>
      <c r="N13" s="32" t="s">
        <v>15</v>
      </c>
      <c r="O13" s="33" t="s">
        <v>55</v>
      </c>
      <c r="P13" s="30" t="s">
        <v>15</v>
      </c>
      <c r="Q13" s="30" t="s">
        <v>63</v>
      </c>
      <c r="R13" s="30" t="s">
        <v>64</v>
      </c>
    </row>
    <row r="14" spans="2:18" s="13" customFormat="1" ht="14.5" x14ac:dyDescent="0.35">
      <c r="B14" s="34" t="s">
        <v>56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8">
        <v>1920</v>
      </c>
      <c r="R14" s="69">
        <f>O14*Q14</f>
        <v>78403.199999999997</v>
      </c>
    </row>
    <row r="15" spans="2:18" s="13" customFormat="1" ht="14.5" x14ac:dyDescent="0.35">
      <c r="B15" s="59" t="s">
        <v>57</v>
      </c>
      <c r="C15" s="59" t="s">
        <v>58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58</v>
      </c>
      <c r="D16" s="46"/>
      <c r="E16" s="47">
        <v>1</v>
      </c>
      <c r="F16" s="46"/>
      <c r="G16" s="48">
        <f>F16*(1+$E$9)</f>
        <v>0</v>
      </c>
      <c r="H16" s="49"/>
      <c r="I16" s="46"/>
      <c r="J16" s="48">
        <f t="shared" ref="J16:J60" si="0">I16*(1+$E$9)</f>
        <v>0</v>
      </c>
      <c r="K16" s="49"/>
      <c r="L16" s="46"/>
      <c r="M16" s="48">
        <f t="shared" ref="M16:M60" si="1">L16*(1+$E$9)</f>
        <v>0</v>
      </c>
      <c r="N16" s="50"/>
      <c r="O16" s="51">
        <f t="shared" ref="O16:O60" si="2">(D16*E16)+(G16*H16)+(J16*K16)+(M16*N16)</f>
        <v>0</v>
      </c>
      <c r="P16" s="62">
        <f t="shared" ref="P16:P60" si="3">N16+K16+H16+E16</f>
        <v>1</v>
      </c>
      <c r="Q16" s="64">
        <v>1878</v>
      </c>
      <c r="R16" s="99">
        <f>O16*Q16</f>
        <v>0</v>
      </c>
    </row>
    <row r="17" spans="2:18" s="13" customFormat="1" ht="15.5" x14ac:dyDescent="0.35">
      <c r="B17" s="54" t="s">
        <v>88</v>
      </c>
      <c r="C17" s="45" t="s">
        <v>58</v>
      </c>
      <c r="D17" s="46"/>
      <c r="E17" s="47">
        <v>1</v>
      </c>
      <c r="F17" s="46"/>
      <c r="G17" s="48">
        <f t="shared" ref="G17:G60" si="4">F17*(1+$E$9)</f>
        <v>0</v>
      </c>
      <c r="H17" s="49"/>
      <c r="I17" s="46"/>
      <c r="J17" s="48">
        <f>I17*(1+$E$9)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1878</v>
      </c>
      <c r="R17" s="99">
        <f t="shared" ref="R17:R59" si="5">O17*Q17</f>
        <v>0</v>
      </c>
    </row>
    <row r="18" spans="2:18" s="13" customFormat="1" ht="15.5" x14ac:dyDescent="0.35">
      <c r="B18" s="54" t="s">
        <v>89</v>
      </c>
      <c r="C18" s="45" t="s">
        <v>58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 t="shared" si="0"/>
        <v>0</v>
      </c>
      <c r="K18" s="49"/>
      <c r="L18" s="46"/>
      <c r="M18" s="48">
        <f t="shared" si="1"/>
        <v>0</v>
      </c>
      <c r="N18" s="50"/>
      <c r="O18" s="55">
        <f t="shared" si="2"/>
        <v>0</v>
      </c>
      <c r="P18" s="62">
        <f t="shared" si="3"/>
        <v>1</v>
      </c>
      <c r="Q18" s="64">
        <v>3756</v>
      </c>
      <c r="R18" s="99">
        <f t="shared" si="5"/>
        <v>0</v>
      </c>
    </row>
    <row r="19" spans="2:18" s="13" customFormat="1" ht="15.5" x14ac:dyDescent="0.35">
      <c r="B19" s="54" t="s">
        <v>90</v>
      </c>
      <c r="C19" s="45" t="s">
        <v>58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28170</v>
      </c>
      <c r="R19" s="99">
        <f t="shared" si="5"/>
        <v>0</v>
      </c>
    </row>
    <row r="20" spans="2:18" s="13" customFormat="1" ht="15.5" x14ac:dyDescent="0.35">
      <c r="B20" s="54" t="s">
        <v>2</v>
      </c>
      <c r="C20" s="45" t="s">
        <v>58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16902</v>
      </c>
      <c r="R20" s="99">
        <f t="shared" si="5"/>
        <v>0</v>
      </c>
    </row>
    <row r="21" spans="2:18" s="13" customFormat="1" ht="15.5" x14ac:dyDescent="0.35">
      <c r="B21" s="54" t="s">
        <v>91</v>
      </c>
      <c r="C21" s="45" t="s">
        <v>58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13146</v>
      </c>
      <c r="R21" s="99">
        <f t="shared" si="5"/>
        <v>0</v>
      </c>
    </row>
    <row r="22" spans="2:18" s="13" customFormat="1" ht="15.5" x14ac:dyDescent="0.35">
      <c r="B22" s="54" t="s">
        <v>92</v>
      </c>
      <c r="C22" s="45" t="s">
        <v>58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7512</v>
      </c>
      <c r="R22" s="99">
        <f t="shared" si="5"/>
        <v>0</v>
      </c>
    </row>
    <row r="23" spans="2:18" s="13" customFormat="1" ht="15.5" x14ac:dyDescent="0.35">
      <c r="B23" s="54" t="s">
        <v>93</v>
      </c>
      <c r="C23" s="45" t="s">
        <v>58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31926</v>
      </c>
      <c r="R23" s="99">
        <f t="shared" si="5"/>
        <v>0</v>
      </c>
    </row>
    <row r="24" spans="2:18" s="13" customFormat="1" ht="15.5" x14ac:dyDescent="0.35">
      <c r="B24" s="54" t="s">
        <v>94</v>
      </c>
      <c r="C24" s="45" t="s">
        <v>58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3756</v>
      </c>
      <c r="R24" s="99">
        <f t="shared" si="5"/>
        <v>0</v>
      </c>
    </row>
    <row r="25" spans="2:18" s="13" customFormat="1" ht="15.5" x14ac:dyDescent="0.35">
      <c r="B25" s="54" t="s">
        <v>3</v>
      </c>
      <c r="C25" s="45" t="s">
        <v>58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1878</v>
      </c>
      <c r="R25" s="99">
        <f t="shared" si="5"/>
        <v>0</v>
      </c>
    </row>
    <row r="26" spans="2:18" s="13" customFormat="1" ht="15.5" x14ac:dyDescent="0.35">
      <c r="B26" s="54" t="s">
        <v>95</v>
      </c>
      <c r="C26" s="45" t="s">
        <v>58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9390</v>
      </c>
      <c r="R26" s="99">
        <f t="shared" si="5"/>
        <v>0</v>
      </c>
    </row>
    <row r="27" spans="2:18" s="13" customFormat="1" ht="15.5" x14ac:dyDescent="0.35">
      <c r="B27" s="54" t="s">
        <v>96</v>
      </c>
      <c r="C27" s="45" t="s">
        <v>58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7512</v>
      </c>
      <c r="R27" s="99">
        <f t="shared" si="5"/>
        <v>0</v>
      </c>
    </row>
    <row r="28" spans="2:18" s="13" customFormat="1" ht="15.5" x14ac:dyDescent="0.35">
      <c r="B28" s="54" t="s">
        <v>97</v>
      </c>
      <c r="C28" s="45" t="s">
        <v>58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7512</v>
      </c>
      <c r="R28" s="99">
        <f t="shared" si="5"/>
        <v>0</v>
      </c>
    </row>
    <row r="29" spans="2:18" s="13" customFormat="1" ht="15.5" x14ac:dyDescent="0.35">
      <c r="B29" s="54" t="s">
        <v>4</v>
      </c>
      <c r="C29" s="45" t="s">
        <v>58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16902</v>
      </c>
      <c r="R29" s="99">
        <f t="shared" si="5"/>
        <v>0</v>
      </c>
    </row>
    <row r="30" spans="2:18" s="13" customFormat="1" ht="15.5" x14ac:dyDescent="0.35">
      <c r="B30" s="54" t="s">
        <v>98</v>
      </c>
      <c r="C30" s="45" t="s">
        <v>58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45072</v>
      </c>
      <c r="R30" s="99">
        <f t="shared" si="5"/>
        <v>0</v>
      </c>
    </row>
    <row r="31" spans="2:18" s="13" customFormat="1" ht="15.5" x14ac:dyDescent="0.35">
      <c r="B31" s="54" t="s">
        <v>5</v>
      </c>
      <c r="C31" s="45" t="s">
        <v>58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125826</v>
      </c>
      <c r="R31" s="99">
        <f t="shared" si="5"/>
        <v>0</v>
      </c>
    </row>
    <row r="32" spans="2:18" s="13" customFormat="1" ht="15.5" x14ac:dyDescent="0.35">
      <c r="B32" s="54" t="s">
        <v>99</v>
      </c>
      <c r="C32" s="45" t="s">
        <v>58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110802</v>
      </c>
      <c r="R32" s="99">
        <f t="shared" si="5"/>
        <v>0</v>
      </c>
    </row>
    <row r="33" spans="2:18" s="13" customFormat="1" ht="15.5" x14ac:dyDescent="0.35">
      <c r="B33" s="54" t="s">
        <v>100</v>
      </c>
      <c r="C33" s="45" t="s">
        <v>58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123948</v>
      </c>
      <c r="R33" s="99">
        <f t="shared" si="5"/>
        <v>0</v>
      </c>
    </row>
    <row r="34" spans="2:18" s="13" customFormat="1" ht="15.5" x14ac:dyDescent="0.35">
      <c r="B34" s="54" t="s">
        <v>101</v>
      </c>
      <c r="C34" s="45" t="s">
        <v>58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112680</v>
      </c>
      <c r="R34" s="99">
        <f t="shared" si="5"/>
        <v>0</v>
      </c>
    </row>
    <row r="35" spans="2:18" s="13" customFormat="1" ht="15.5" x14ac:dyDescent="0.35">
      <c r="B35" s="54" t="s">
        <v>6</v>
      </c>
      <c r="C35" s="45" t="s">
        <v>58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15024</v>
      </c>
      <c r="R35" s="99">
        <f t="shared" si="5"/>
        <v>0</v>
      </c>
    </row>
    <row r="36" spans="2:18" s="13" customFormat="1" ht="15.5" x14ac:dyDescent="0.35">
      <c r="B36" s="54" t="s">
        <v>102</v>
      </c>
      <c r="C36" s="45" t="s">
        <v>58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37560</v>
      </c>
      <c r="R36" s="99">
        <f t="shared" si="5"/>
        <v>0</v>
      </c>
    </row>
    <row r="37" spans="2:18" s="13" customFormat="1" ht="15.5" x14ac:dyDescent="0.35">
      <c r="B37" s="54" t="s">
        <v>7</v>
      </c>
      <c r="C37" s="45" t="s">
        <v>58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54462</v>
      </c>
      <c r="R37" s="99">
        <f t="shared" si="5"/>
        <v>0</v>
      </c>
    </row>
    <row r="38" spans="2:18" s="13" customFormat="1" ht="15.5" x14ac:dyDescent="0.35">
      <c r="B38" s="54" t="s">
        <v>103</v>
      </c>
      <c r="C38" s="45" t="s">
        <v>58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46950</v>
      </c>
      <c r="R38" s="99">
        <f t="shared" si="5"/>
        <v>0</v>
      </c>
    </row>
    <row r="39" spans="2:18" s="13" customFormat="1" ht="15.5" x14ac:dyDescent="0.35">
      <c r="B39" s="54" t="s">
        <v>104</v>
      </c>
      <c r="C39" s="45" t="s">
        <v>58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120192</v>
      </c>
      <c r="R39" s="99">
        <f t="shared" si="5"/>
        <v>0</v>
      </c>
    </row>
    <row r="40" spans="2:18" s="13" customFormat="1" ht="15.5" x14ac:dyDescent="0.35">
      <c r="B40" s="54" t="s">
        <v>105</v>
      </c>
      <c r="C40" s="45" t="s">
        <v>58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78876</v>
      </c>
      <c r="R40" s="99">
        <f t="shared" si="5"/>
        <v>0</v>
      </c>
    </row>
    <row r="41" spans="2:18" s="13" customFormat="1" ht="15.5" x14ac:dyDescent="0.35">
      <c r="B41" s="100" t="s">
        <v>8</v>
      </c>
      <c r="C41" s="45" t="s">
        <v>58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3756</v>
      </c>
      <c r="R41" s="99">
        <f t="shared" si="5"/>
        <v>0</v>
      </c>
    </row>
    <row r="42" spans="2:18" s="13" customFormat="1" ht="15.5" x14ac:dyDescent="0.35">
      <c r="B42" s="100" t="s">
        <v>106</v>
      </c>
      <c r="C42" s="45" t="s">
        <v>58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1878</v>
      </c>
      <c r="R42" s="99">
        <f t="shared" si="5"/>
        <v>0</v>
      </c>
    </row>
    <row r="43" spans="2:18" s="13" customFormat="1" ht="15.5" x14ac:dyDescent="0.35">
      <c r="B43" s="100" t="s">
        <v>107</v>
      </c>
      <c r="C43" s="45" t="s">
        <v>58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1878</v>
      </c>
      <c r="R43" s="99">
        <f t="shared" si="5"/>
        <v>0</v>
      </c>
    </row>
    <row r="44" spans="2:18" s="13" customFormat="1" ht="15.5" x14ac:dyDescent="0.35">
      <c r="B44" s="100" t="s">
        <v>108</v>
      </c>
      <c r="C44" s="45" t="s">
        <v>58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1878</v>
      </c>
      <c r="R44" s="99">
        <f t="shared" si="5"/>
        <v>0</v>
      </c>
    </row>
    <row r="45" spans="2:18" s="13" customFormat="1" ht="15.5" x14ac:dyDescent="0.35">
      <c r="B45" s="100" t="s">
        <v>9</v>
      </c>
      <c r="C45" s="45" t="s">
        <v>58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3756</v>
      </c>
      <c r="R45" s="99">
        <f t="shared" si="5"/>
        <v>0</v>
      </c>
    </row>
    <row r="46" spans="2:18" s="13" customFormat="1" ht="15.5" x14ac:dyDescent="0.35">
      <c r="B46" s="100" t="s">
        <v>109</v>
      </c>
      <c r="C46" s="45" t="s">
        <v>58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5634</v>
      </c>
      <c r="R46" s="99">
        <f t="shared" si="5"/>
        <v>0</v>
      </c>
    </row>
    <row r="47" spans="2:18" s="13" customFormat="1" ht="15.5" x14ac:dyDescent="0.35">
      <c r="B47" s="100" t="s">
        <v>110</v>
      </c>
      <c r="C47" s="45" t="s">
        <v>58</v>
      </c>
      <c r="D47" s="46"/>
      <c r="E47" s="47">
        <v>1</v>
      </c>
      <c r="F47" s="46"/>
      <c r="G47" s="48">
        <f t="shared" si="4"/>
        <v>0</v>
      </c>
      <c r="H47" s="49"/>
      <c r="I47" s="46"/>
      <c r="J47" s="48">
        <f t="shared" si="0"/>
        <v>0</v>
      </c>
      <c r="K47" s="49"/>
      <c r="L47" s="46"/>
      <c r="M47" s="48">
        <f t="shared" si="1"/>
        <v>0</v>
      </c>
      <c r="N47" s="50"/>
      <c r="O47" s="55">
        <f t="shared" si="2"/>
        <v>0</v>
      </c>
      <c r="P47" s="62">
        <f t="shared" si="3"/>
        <v>1</v>
      </c>
      <c r="Q47" s="64">
        <v>5634</v>
      </c>
      <c r="R47" s="99">
        <f t="shared" si="5"/>
        <v>0</v>
      </c>
    </row>
    <row r="48" spans="2:18" s="13" customFormat="1" ht="15.5" x14ac:dyDescent="0.35">
      <c r="B48" s="100" t="s">
        <v>111</v>
      </c>
      <c r="C48" s="45" t="s">
        <v>58</v>
      </c>
      <c r="D48" s="46"/>
      <c r="E48" s="47">
        <v>1</v>
      </c>
      <c r="F48" s="46"/>
      <c r="G48" s="48">
        <f t="shared" si="4"/>
        <v>0</v>
      </c>
      <c r="H48" s="49"/>
      <c r="I48" s="46"/>
      <c r="J48" s="48">
        <f t="shared" si="0"/>
        <v>0</v>
      </c>
      <c r="K48" s="49"/>
      <c r="L48" s="46"/>
      <c r="M48" s="48">
        <f t="shared" si="1"/>
        <v>0</v>
      </c>
      <c r="N48" s="50"/>
      <c r="O48" s="55">
        <f t="shared" si="2"/>
        <v>0</v>
      </c>
      <c r="P48" s="62">
        <f>N48+K48+H48+E48</f>
        <v>1</v>
      </c>
      <c r="Q48" s="182">
        <v>9390</v>
      </c>
      <c r="R48" s="99">
        <f t="shared" si="5"/>
        <v>0</v>
      </c>
    </row>
    <row r="49" spans="2:18" s="13" customFormat="1" ht="15.5" x14ac:dyDescent="0.35">
      <c r="B49" s="100" t="s">
        <v>62</v>
      </c>
      <c r="C49" s="45" t="s">
        <v>58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 t="shared" si="0"/>
        <v>0</v>
      </c>
      <c r="K49" s="49"/>
      <c r="L49" s="46"/>
      <c r="M49" s="48">
        <f t="shared" si="1"/>
        <v>0</v>
      </c>
      <c r="N49" s="50"/>
      <c r="O49" s="55">
        <f t="shared" si="2"/>
        <v>0</v>
      </c>
      <c r="P49" s="62">
        <f t="shared" si="3"/>
        <v>1</v>
      </c>
      <c r="Q49" s="64">
        <v>5634</v>
      </c>
      <c r="R49" s="99">
        <f t="shared" si="5"/>
        <v>0</v>
      </c>
    </row>
    <row r="50" spans="2:18" s="13" customFormat="1" ht="15.5" x14ac:dyDescent="0.35">
      <c r="B50" s="100" t="s">
        <v>112</v>
      </c>
      <c r="C50" s="45" t="s">
        <v>58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28170</v>
      </c>
      <c r="R50" s="99">
        <f t="shared" si="5"/>
        <v>0</v>
      </c>
    </row>
    <row r="51" spans="2:18" s="13" customFormat="1" ht="15.5" x14ac:dyDescent="0.35">
      <c r="B51" s="100" t="s">
        <v>10</v>
      </c>
      <c r="C51" s="45" t="s">
        <v>58</v>
      </c>
      <c r="D51" s="46"/>
      <c r="E51" s="47">
        <v>1</v>
      </c>
      <c r="F51" s="46"/>
      <c r="G51" s="48">
        <f t="shared" si="4"/>
        <v>0</v>
      </c>
      <c r="H51" s="49"/>
      <c r="I51" s="46"/>
      <c r="J51" s="48">
        <f t="shared" si="0"/>
        <v>0</v>
      </c>
      <c r="K51" s="49"/>
      <c r="L51" s="46"/>
      <c r="M51" s="48">
        <f t="shared" si="1"/>
        <v>0</v>
      </c>
      <c r="N51" s="50"/>
      <c r="O51" s="55">
        <f t="shared" si="2"/>
        <v>0</v>
      </c>
      <c r="P51" s="62">
        <f t="shared" si="3"/>
        <v>1</v>
      </c>
      <c r="Q51" s="64">
        <v>18780</v>
      </c>
      <c r="R51" s="99">
        <f t="shared" si="5"/>
        <v>0</v>
      </c>
    </row>
    <row r="52" spans="2:18" s="13" customFormat="1" ht="15.5" x14ac:dyDescent="0.35">
      <c r="B52" s="100" t="s">
        <v>35</v>
      </c>
      <c r="C52" s="45" t="s">
        <v>58</v>
      </c>
      <c r="D52" s="46"/>
      <c r="E52" s="47">
        <v>1</v>
      </c>
      <c r="F52" s="46"/>
      <c r="G52" s="48">
        <f t="shared" si="4"/>
        <v>0</v>
      </c>
      <c r="H52" s="49"/>
      <c r="I52" s="46"/>
      <c r="J52" s="48">
        <f t="shared" si="0"/>
        <v>0</v>
      </c>
      <c r="K52" s="49"/>
      <c r="L52" s="46"/>
      <c r="M52" s="48">
        <f t="shared" si="1"/>
        <v>0</v>
      </c>
      <c r="N52" s="50"/>
      <c r="O52" s="55">
        <f t="shared" si="2"/>
        <v>0</v>
      </c>
      <c r="P52" s="62">
        <f t="shared" si="3"/>
        <v>1</v>
      </c>
      <c r="Q52" s="64">
        <v>556</v>
      </c>
      <c r="R52" s="99">
        <f t="shared" si="5"/>
        <v>0</v>
      </c>
    </row>
    <row r="53" spans="2:18" s="13" customFormat="1" ht="15.5" x14ac:dyDescent="0.35">
      <c r="B53" s="100" t="s">
        <v>36</v>
      </c>
      <c r="C53" s="45" t="s">
        <v>58</v>
      </c>
      <c r="D53" s="46"/>
      <c r="E53" s="47">
        <v>1</v>
      </c>
      <c r="F53" s="46"/>
      <c r="G53" s="48">
        <f t="shared" si="4"/>
        <v>0</v>
      </c>
      <c r="H53" s="49"/>
      <c r="I53" s="46"/>
      <c r="J53" s="48">
        <f t="shared" si="0"/>
        <v>0</v>
      </c>
      <c r="K53" s="49"/>
      <c r="L53" s="46"/>
      <c r="M53" s="48">
        <f t="shared" si="1"/>
        <v>0</v>
      </c>
      <c r="N53" s="50"/>
      <c r="O53" s="55">
        <f t="shared" si="2"/>
        <v>0</v>
      </c>
      <c r="P53" s="62">
        <f t="shared" si="3"/>
        <v>1</v>
      </c>
      <c r="Q53" s="64">
        <v>2380</v>
      </c>
      <c r="R53" s="99">
        <f t="shared" si="5"/>
        <v>0</v>
      </c>
    </row>
    <row r="54" spans="2:18" s="13" customFormat="1" ht="15.5" x14ac:dyDescent="0.35">
      <c r="B54" s="100" t="s">
        <v>37</v>
      </c>
      <c r="C54" s="45" t="s">
        <v>58</v>
      </c>
      <c r="D54" s="46"/>
      <c r="E54" s="47">
        <v>1</v>
      </c>
      <c r="F54" s="46"/>
      <c r="G54" s="48">
        <f t="shared" si="4"/>
        <v>0</v>
      </c>
      <c r="H54" s="49"/>
      <c r="I54" s="46"/>
      <c r="J54" s="48">
        <f t="shared" si="0"/>
        <v>0</v>
      </c>
      <c r="K54" s="49"/>
      <c r="L54" s="46"/>
      <c r="M54" s="48">
        <f t="shared" si="1"/>
        <v>0</v>
      </c>
      <c r="N54" s="50"/>
      <c r="O54" s="55">
        <f t="shared" si="2"/>
        <v>0</v>
      </c>
      <c r="P54" s="62">
        <f t="shared" si="3"/>
        <v>1</v>
      </c>
      <c r="Q54" s="64">
        <v>1878</v>
      </c>
      <c r="R54" s="99">
        <f t="shared" si="5"/>
        <v>0</v>
      </c>
    </row>
    <row r="55" spans="2:18" s="13" customFormat="1" ht="15.5" x14ac:dyDescent="0.35">
      <c r="B55" s="100" t="s">
        <v>38</v>
      </c>
      <c r="C55" s="45" t="s">
        <v>58</v>
      </c>
      <c r="D55" s="46"/>
      <c r="E55" s="47">
        <v>1</v>
      </c>
      <c r="F55" s="46"/>
      <c r="G55" s="48">
        <f t="shared" si="4"/>
        <v>0</v>
      </c>
      <c r="H55" s="49"/>
      <c r="I55" s="46"/>
      <c r="J55" s="48">
        <f t="shared" si="0"/>
        <v>0</v>
      </c>
      <c r="K55" s="49"/>
      <c r="L55" s="46"/>
      <c r="M55" s="48">
        <f t="shared" si="1"/>
        <v>0</v>
      </c>
      <c r="N55" s="50"/>
      <c r="O55" s="55">
        <f t="shared" si="2"/>
        <v>0</v>
      </c>
      <c r="P55" s="62">
        <f t="shared" si="3"/>
        <v>1</v>
      </c>
      <c r="Q55" s="64">
        <v>482</v>
      </c>
      <c r="R55" s="99">
        <f t="shared" si="5"/>
        <v>0</v>
      </c>
    </row>
    <row r="56" spans="2:18" s="13" customFormat="1" ht="15.5" x14ac:dyDescent="0.35">
      <c r="B56" s="100" t="s">
        <v>39</v>
      </c>
      <c r="C56" s="45" t="s">
        <v>58</v>
      </c>
      <c r="D56" s="46"/>
      <c r="E56" s="47">
        <v>1</v>
      </c>
      <c r="F56" s="46"/>
      <c r="G56" s="48">
        <f t="shared" si="4"/>
        <v>0</v>
      </c>
      <c r="H56" s="49"/>
      <c r="I56" s="46"/>
      <c r="J56" s="48">
        <f t="shared" si="0"/>
        <v>0</v>
      </c>
      <c r="K56" s="49"/>
      <c r="L56" s="46"/>
      <c r="M56" s="48">
        <f t="shared" si="1"/>
        <v>0</v>
      </c>
      <c r="N56" s="50"/>
      <c r="O56" s="55">
        <f t="shared" si="2"/>
        <v>0</v>
      </c>
      <c r="P56" s="62">
        <f t="shared" si="3"/>
        <v>1</v>
      </c>
      <c r="Q56" s="64">
        <v>5634</v>
      </c>
      <c r="R56" s="99">
        <f t="shared" si="5"/>
        <v>0</v>
      </c>
    </row>
    <row r="57" spans="2:18" s="13" customFormat="1" ht="15.5" x14ac:dyDescent="0.35">
      <c r="B57" s="100" t="s">
        <v>40</v>
      </c>
      <c r="C57" s="45" t="s">
        <v>58</v>
      </c>
      <c r="D57" s="46"/>
      <c r="E57" s="47">
        <v>1</v>
      </c>
      <c r="F57" s="46"/>
      <c r="G57" s="48">
        <f t="shared" si="4"/>
        <v>0</v>
      </c>
      <c r="H57" s="49"/>
      <c r="I57" s="46"/>
      <c r="J57" s="48">
        <f t="shared" si="0"/>
        <v>0</v>
      </c>
      <c r="K57" s="49"/>
      <c r="L57" s="46"/>
      <c r="M57" s="48">
        <f t="shared" si="1"/>
        <v>0</v>
      </c>
      <c r="N57" s="50"/>
      <c r="O57" s="55">
        <f t="shared" si="2"/>
        <v>0</v>
      </c>
      <c r="P57" s="62">
        <f t="shared" si="3"/>
        <v>1</v>
      </c>
      <c r="Q57" s="64">
        <v>3756</v>
      </c>
      <c r="R57" s="99">
        <f t="shared" si="5"/>
        <v>0</v>
      </c>
    </row>
    <row r="58" spans="2:18" s="13" customFormat="1" ht="15.5" x14ac:dyDescent="0.35">
      <c r="B58" s="100" t="s">
        <v>32</v>
      </c>
      <c r="C58" s="45" t="s">
        <v>58</v>
      </c>
      <c r="D58" s="46"/>
      <c r="E58" s="47">
        <v>1</v>
      </c>
      <c r="F58" s="46"/>
      <c r="G58" s="48">
        <f t="shared" si="4"/>
        <v>0</v>
      </c>
      <c r="H58" s="49"/>
      <c r="I58" s="46"/>
      <c r="J58" s="48">
        <f t="shared" si="0"/>
        <v>0</v>
      </c>
      <c r="K58" s="49"/>
      <c r="L58" s="46"/>
      <c r="M58" s="48">
        <f t="shared" si="1"/>
        <v>0</v>
      </c>
      <c r="N58" s="50"/>
      <c r="O58" s="55">
        <f t="shared" si="2"/>
        <v>0</v>
      </c>
      <c r="P58" s="62">
        <f t="shared" si="3"/>
        <v>1</v>
      </c>
      <c r="Q58" s="64">
        <v>21569</v>
      </c>
      <c r="R58" s="99">
        <f t="shared" si="5"/>
        <v>0</v>
      </c>
    </row>
    <row r="59" spans="2:18" s="13" customFormat="1" ht="15.5" x14ac:dyDescent="0.35">
      <c r="B59" s="100" t="s">
        <v>33</v>
      </c>
      <c r="C59" s="45" t="s">
        <v>58</v>
      </c>
      <c r="D59" s="46"/>
      <c r="E59" s="47">
        <v>1</v>
      </c>
      <c r="F59" s="46"/>
      <c r="G59" s="48">
        <f t="shared" si="4"/>
        <v>0</v>
      </c>
      <c r="H59" s="49"/>
      <c r="I59" s="46"/>
      <c r="J59" s="48">
        <f>I59*(1+$E$9)</f>
        <v>0</v>
      </c>
      <c r="K59" s="49"/>
      <c r="L59" s="46"/>
      <c r="M59" s="48">
        <f>L59*(1+$E$9)</f>
        <v>0</v>
      </c>
      <c r="N59" s="50"/>
      <c r="O59" s="55">
        <f>(D59*E59)+(G59*H59)+(J59*K59)+(M59*N59)</f>
        <v>0</v>
      </c>
      <c r="P59" s="62">
        <f>N59+K59+H59+E59</f>
        <v>1</v>
      </c>
      <c r="Q59" s="64">
        <v>1878</v>
      </c>
      <c r="R59" s="99">
        <f t="shared" si="5"/>
        <v>0</v>
      </c>
    </row>
    <row r="60" spans="2:18" s="13" customFormat="1" ht="15.5" x14ac:dyDescent="0.35">
      <c r="B60" s="100" t="s">
        <v>34</v>
      </c>
      <c r="C60" s="45" t="s">
        <v>58</v>
      </c>
      <c r="D60" s="46"/>
      <c r="E60" s="47">
        <v>1</v>
      </c>
      <c r="F60" s="46"/>
      <c r="G60" s="48">
        <f t="shared" si="4"/>
        <v>0</v>
      </c>
      <c r="H60" s="49"/>
      <c r="I60" s="46"/>
      <c r="J60" s="48">
        <f t="shared" si="0"/>
        <v>0</v>
      </c>
      <c r="K60" s="49"/>
      <c r="L60" s="46"/>
      <c r="M60" s="48">
        <f t="shared" si="1"/>
        <v>0</v>
      </c>
      <c r="N60" s="50"/>
      <c r="O60" s="55">
        <f t="shared" si="2"/>
        <v>0</v>
      </c>
      <c r="P60" s="62">
        <f t="shared" si="3"/>
        <v>1</v>
      </c>
      <c r="Q60" s="64">
        <v>11865</v>
      </c>
      <c r="R60" s="99">
        <f>O60*Q60</f>
        <v>0</v>
      </c>
    </row>
    <row r="61" spans="2:18" s="13" customFormat="1" ht="14.5" x14ac:dyDescent="0.35">
      <c r="B61" s="56" t="s">
        <v>59</v>
      </c>
      <c r="C61" s="57" t="s">
        <v>65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07">
        <f>SUM(R16:R60)</f>
        <v>0</v>
      </c>
    </row>
    <row r="62" spans="2:18" s="13" customFormat="1" ht="15.5" x14ac:dyDescent="0.35">
      <c r="B62" s="54" t="s">
        <v>89</v>
      </c>
      <c r="C62" s="45" t="s">
        <v>65</v>
      </c>
      <c r="D62" s="46"/>
      <c r="E62" s="47">
        <v>1</v>
      </c>
      <c r="F62" s="46"/>
      <c r="G62" s="48">
        <f t="shared" ref="G62:G78" si="6">F62*(1+$D$9)</f>
        <v>0</v>
      </c>
      <c r="H62" s="49"/>
      <c r="I62" s="46"/>
      <c r="J62" s="48">
        <f t="shared" ref="J62:J78" si="7">I62*(1+$D$9)</f>
        <v>0</v>
      </c>
      <c r="K62" s="49"/>
      <c r="L62" s="46"/>
      <c r="M62" s="48">
        <f t="shared" ref="M62:M78" si="8">L62*(1+$D$9)</f>
        <v>0</v>
      </c>
      <c r="N62" s="50"/>
      <c r="O62" s="51">
        <f t="shared" ref="O62:O78" si="9">(D62*E62)+(G62*H62)+(J62*K62)+(M62*N62)</f>
        <v>0</v>
      </c>
      <c r="P62" s="62">
        <f t="shared" ref="P62:P78" si="10">N62+K62+H62+E62</f>
        <v>1</v>
      </c>
      <c r="Q62" s="64">
        <v>5634</v>
      </c>
      <c r="R62" s="66">
        <f>O62*Q62</f>
        <v>0</v>
      </c>
    </row>
    <row r="63" spans="2:18" s="13" customFormat="1" ht="15.5" x14ac:dyDescent="0.35">
      <c r="B63" s="54" t="s">
        <v>11</v>
      </c>
      <c r="C63" s="45" t="s">
        <v>65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1878</v>
      </c>
      <c r="R63" s="66">
        <f t="shared" ref="R63:R78" si="11">O63*Q63</f>
        <v>0</v>
      </c>
    </row>
    <row r="64" spans="2:18" s="13" customFormat="1" ht="15.5" x14ac:dyDescent="0.35">
      <c r="B64" s="54" t="s">
        <v>90</v>
      </c>
      <c r="C64" s="45" t="s">
        <v>65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7512</v>
      </c>
      <c r="R64" s="66">
        <f t="shared" si="11"/>
        <v>0</v>
      </c>
    </row>
    <row r="65" spans="2:18" s="13" customFormat="1" ht="15.5" x14ac:dyDescent="0.35">
      <c r="B65" s="54" t="s">
        <v>2</v>
      </c>
      <c r="C65" s="45" t="s">
        <v>65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>I65*(1+$D$9)</f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1878</v>
      </c>
      <c r="R65" s="66">
        <f t="shared" si="11"/>
        <v>0</v>
      </c>
    </row>
    <row r="66" spans="2:18" s="13" customFormat="1" ht="15.5" x14ac:dyDescent="0.35">
      <c r="B66" s="54" t="s">
        <v>91</v>
      </c>
      <c r="C66" s="45" t="s">
        <v>65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1878</v>
      </c>
      <c r="R66" s="66">
        <f t="shared" si="11"/>
        <v>0</v>
      </c>
    </row>
    <row r="67" spans="2:18" s="13" customFormat="1" ht="15.5" x14ac:dyDescent="0.35">
      <c r="B67" s="54" t="s">
        <v>97</v>
      </c>
      <c r="C67" s="45" t="s">
        <v>65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1878</v>
      </c>
      <c r="R67" s="66">
        <f t="shared" si="11"/>
        <v>0</v>
      </c>
    </row>
    <row r="68" spans="2:18" s="13" customFormat="1" ht="15.5" x14ac:dyDescent="0.35">
      <c r="B68" s="54" t="s">
        <v>98</v>
      </c>
      <c r="C68" s="45" t="s">
        <v>65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7512</v>
      </c>
      <c r="R68" s="66">
        <f t="shared" si="11"/>
        <v>0</v>
      </c>
    </row>
    <row r="69" spans="2:18" s="13" customFormat="1" ht="15.5" x14ac:dyDescent="0.35">
      <c r="B69" s="54" t="s">
        <v>5</v>
      </c>
      <c r="C69" s="45" t="s">
        <v>65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9390</v>
      </c>
      <c r="R69" s="66">
        <f t="shared" si="11"/>
        <v>0</v>
      </c>
    </row>
    <row r="70" spans="2:18" s="13" customFormat="1" ht="15.5" x14ac:dyDescent="0.35">
      <c r="B70" s="54" t="s">
        <v>100</v>
      </c>
      <c r="C70" s="45" t="s">
        <v>65</v>
      </c>
      <c r="D70" s="46"/>
      <c r="E70" s="47">
        <v>1</v>
      </c>
      <c r="F70" s="46"/>
      <c r="G70" s="48">
        <f t="shared" si="6"/>
        <v>0</v>
      </c>
      <c r="H70" s="49"/>
      <c r="I70" s="46"/>
      <c r="J70" s="48">
        <f t="shared" si="7"/>
        <v>0</v>
      </c>
      <c r="K70" s="49"/>
      <c r="L70" s="46"/>
      <c r="M70" s="48">
        <f t="shared" si="8"/>
        <v>0</v>
      </c>
      <c r="N70" s="50"/>
      <c r="O70" s="51">
        <f t="shared" si="9"/>
        <v>0</v>
      </c>
      <c r="P70" s="62">
        <f t="shared" si="10"/>
        <v>1</v>
      </c>
      <c r="Q70" s="64">
        <v>1878</v>
      </c>
      <c r="R70" s="66">
        <f t="shared" si="11"/>
        <v>0</v>
      </c>
    </row>
    <row r="71" spans="2:18" s="13" customFormat="1" ht="15.5" x14ac:dyDescent="0.35">
      <c r="B71" s="54" t="s">
        <v>101</v>
      </c>
      <c r="C71" s="45" t="s">
        <v>65</v>
      </c>
      <c r="D71" s="46"/>
      <c r="E71" s="47">
        <v>1</v>
      </c>
      <c r="F71" s="46"/>
      <c r="G71" s="48">
        <f t="shared" si="6"/>
        <v>0</v>
      </c>
      <c r="H71" s="49"/>
      <c r="I71" s="46"/>
      <c r="J71" s="48">
        <f t="shared" si="7"/>
        <v>0</v>
      </c>
      <c r="K71" s="49"/>
      <c r="L71" s="46"/>
      <c r="M71" s="48">
        <f t="shared" si="8"/>
        <v>0</v>
      </c>
      <c r="N71" s="50"/>
      <c r="O71" s="51">
        <f t="shared" si="9"/>
        <v>0</v>
      </c>
      <c r="P71" s="62">
        <f t="shared" si="10"/>
        <v>1</v>
      </c>
      <c r="Q71" s="64">
        <v>1878</v>
      </c>
      <c r="R71" s="66">
        <f t="shared" si="11"/>
        <v>0</v>
      </c>
    </row>
    <row r="72" spans="2:18" s="13" customFormat="1" ht="15.5" x14ac:dyDescent="0.35">
      <c r="B72" s="54" t="s">
        <v>113</v>
      </c>
      <c r="C72" s="45" t="s">
        <v>65</v>
      </c>
      <c r="D72" s="46"/>
      <c r="E72" s="47">
        <v>1</v>
      </c>
      <c r="F72" s="46"/>
      <c r="G72" s="48">
        <f t="shared" si="6"/>
        <v>0</v>
      </c>
      <c r="H72" s="49"/>
      <c r="I72" s="46"/>
      <c r="J72" s="48">
        <f t="shared" si="7"/>
        <v>0</v>
      </c>
      <c r="K72" s="49"/>
      <c r="L72" s="46"/>
      <c r="M72" s="48">
        <f t="shared" si="8"/>
        <v>0</v>
      </c>
      <c r="N72" s="50"/>
      <c r="O72" s="51">
        <f t="shared" si="9"/>
        <v>0</v>
      </c>
      <c r="P72" s="62">
        <f t="shared" si="10"/>
        <v>1</v>
      </c>
      <c r="Q72" s="64">
        <v>1878</v>
      </c>
      <c r="R72" s="66">
        <f t="shared" si="11"/>
        <v>0</v>
      </c>
    </row>
    <row r="73" spans="2:18" s="13" customFormat="1" ht="15.5" x14ac:dyDescent="0.35">
      <c r="B73" s="54" t="s">
        <v>6</v>
      </c>
      <c r="C73" s="45" t="s">
        <v>65</v>
      </c>
      <c r="D73" s="46"/>
      <c r="E73" s="47">
        <v>1</v>
      </c>
      <c r="F73" s="46"/>
      <c r="G73" s="48">
        <f t="shared" si="6"/>
        <v>0</v>
      </c>
      <c r="H73" s="49"/>
      <c r="I73" s="46"/>
      <c r="J73" s="48">
        <f t="shared" si="7"/>
        <v>0</v>
      </c>
      <c r="K73" s="49"/>
      <c r="L73" s="46"/>
      <c r="M73" s="48">
        <f t="shared" si="8"/>
        <v>0</v>
      </c>
      <c r="N73" s="50"/>
      <c r="O73" s="51">
        <f t="shared" si="9"/>
        <v>0</v>
      </c>
      <c r="P73" s="62">
        <f t="shared" si="10"/>
        <v>1</v>
      </c>
      <c r="Q73" s="64">
        <v>5634</v>
      </c>
      <c r="R73" s="66">
        <f t="shared" si="11"/>
        <v>0</v>
      </c>
    </row>
    <row r="74" spans="2:18" s="13" customFormat="1" ht="15.5" x14ac:dyDescent="0.35">
      <c r="B74" s="54" t="s">
        <v>102</v>
      </c>
      <c r="C74" s="45" t="s">
        <v>65</v>
      </c>
      <c r="D74" s="46"/>
      <c r="E74" s="47">
        <v>1</v>
      </c>
      <c r="F74" s="46"/>
      <c r="G74" s="48">
        <f t="shared" si="6"/>
        <v>0</v>
      </c>
      <c r="H74" s="49"/>
      <c r="I74" s="46"/>
      <c r="J74" s="48">
        <f t="shared" si="7"/>
        <v>0</v>
      </c>
      <c r="K74" s="49"/>
      <c r="L74" s="46"/>
      <c r="M74" s="48">
        <f t="shared" si="8"/>
        <v>0</v>
      </c>
      <c r="N74" s="50"/>
      <c r="O74" s="51">
        <f t="shared" si="9"/>
        <v>0</v>
      </c>
      <c r="P74" s="62">
        <f t="shared" si="10"/>
        <v>1</v>
      </c>
      <c r="Q74" s="64">
        <v>16902</v>
      </c>
      <c r="R74" s="66">
        <f t="shared" si="11"/>
        <v>0</v>
      </c>
    </row>
    <row r="75" spans="2:18" s="13" customFormat="1" ht="15.5" x14ac:dyDescent="0.35">
      <c r="B75" s="54" t="s">
        <v>7</v>
      </c>
      <c r="C75" s="45" t="s">
        <v>65</v>
      </c>
      <c r="D75" s="46"/>
      <c r="E75" s="47">
        <v>1</v>
      </c>
      <c r="F75" s="46"/>
      <c r="G75" s="48">
        <f t="shared" si="6"/>
        <v>0</v>
      </c>
      <c r="H75" s="49"/>
      <c r="I75" s="46"/>
      <c r="J75" s="48">
        <f t="shared" si="7"/>
        <v>0</v>
      </c>
      <c r="K75" s="49"/>
      <c r="L75" s="46"/>
      <c r="M75" s="48">
        <f t="shared" si="8"/>
        <v>0</v>
      </c>
      <c r="N75" s="50"/>
      <c r="O75" s="51">
        <f t="shared" si="9"/>
        <v>0</v>
      </c>
      <c r="P75" s="62">
        <f t="shared" si="10"/>
        <v>1</v>
      </c>
      <c r="Q75" s="64">
        <v>11268</v>
      </c>
      <c r="R75" s="66">
        <f t="shared" si="11"/>
        <v>0</v>
      </c>
    </row>
    <row r="76" spans="2:18" s="13" customFormat="1" ht="15.5" x14ac:dyDescent="0.35">
      <c r="B76" s="54" t="s">
        <v>103</v>
      </c>
      <c r="C76" s="45" t="s">
        <v>65</v>
      </c>
      <c r="D76" s="46"/>
      <c r="E76" s="47">
        <v>1</v>
      </c>
      <c r="F76" s="46"/>
      <c r="G76" s="48">
        <f t="shared" si="6"/>
        <v>0</v>
      </c>
      <c r="H76" s="49"/>
      <c r="I76" s="46"/>
      <c r="J76" s="48">
        <f t="shared" si="7"/>
        <v>0</v>
      </c>
      <c r="K76" s="49"/>
      <c r="L76" s="46"/>
      <c r="M76" s="48">
        <f t="shared" si="8"/>
        <v>0</v>
      </c>
      <c r="N76" s="50"/>
      <c r="O76" s="51">
        <f t="shared" si="9"/>
        <v>0</v>
      </c>
      <c r="P76" s="62">
        <f t="shared" si="10"/>
        <v>1</v>
      </c>
      <c r="Q76" s="64">
        <v>5634</v>
      </c>
      <c r="R76" s="66">
        <f t="shared" si="11"/>
        <v>0</v>
      </c>
    </row>
    <row r="77" spans="2:18" s="13" customFormat="1" ht="15.5" x14ac:dyDescent="0.35">
      <c r="B77" s="54" t="s">
        <v>104</v>
      </c>
      <c r="C77" s="45" t="s">
        <v>65</v>
      </c>
      <c r="D77" s="46"/>
      <c r="E77" s="47">
        <v>1</v>
      </c>
      <c r="F77" s="46"/>
      <c r="G77" s="48">
        <f t="shared" si="6"/>
        <v>0</v>
      </c>
      <c r="H77" s="49"/>
      <c r="I77" s="46"/>
      <c r="J77" s="48">
        <f t="shared" si="7"/>
        <v>0</v>
      </c>
      <c r="K77" s="49"/>
      <c r="L77" s="46"/>
      <c r="M77" s="48">
        <f t="shared" si="8"/>
        <v>0</v>
      </c>
      <c r="N77" s="50"/>
      <c r="O77" s="51">
        <f t="shared" si="9"/>
        <v>0</v>
      </c>
      <c r="P77" s="62">
        <f t="shared" si="10"/>
        <v>1</v>
      </c>
      <c r="Q77" s="64">
        <v>3756</v>
      </c>
      <c r="R77" s="66">
        <f t="shared" si="11"/>
        <v>0</v>
      </c>
    </row>
    <row r="78" spans="2:18" s="13" customFormat="1" ht="15.5" x14ac:dyDescent="0.35">
      <c r="B78" s="54" t="s">
        <v>105</v>
      </c>
      <c r="C78" s="45" t="s">
        <v>65</v>
      </c>
      <c r="D78" s="46"/>
      <c r="E78" s="47">
        <v>1</v>
      </c>
      <c r="F78" s="46"/>
      <c r="G78" s="48">
        <f t="shared" si="6"/>
        <v>0</v>
      </c>
      <c r="H78" s="49"/>
      <c r="I78" s="46"/>
      <c r="J78" s="48">
        <f t="shared" si="7"/>
        <v>0</v>
      </c>
      <c r="K78" s="49"/>
      <c r="L78" s="46"/>
      <c r="M78" s="48">
        <f t="shared" si="8"/>
        <v>0</v>
      </c>
      <c r="N78" s="50"/>
      <c r="O78" s="51">
        <f t="shared" si="9"/>
        <v>0</v>
      </c>
      <c r="P78" s="62">
        <f t="shared" si="10"/>
        <v>1</v>
      </c>
      <c r="Q78" s="64">
        <v>15024</v>
      </c>
      <c r="R78" s="66">
        <f t="shared" si="11"/>
        <v>0</v>
      </c>
    </row>
    <row r="79" spans="2:18" s="13" customFormat="1" ht="15" thickBot="1" x14ac:dyDescent="0.4">
      <c r="B79" s="58" t="s">
        <v>61</v>
      </c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65"/>
      <c r="R79" s="108">
        <f>SUM(R62:R78)</f>
        <v>0</v>
      </c>
    </row>
    <row r="80" spans="2:18" s="13" customFormat="1" ht="15.5" x14ac:dyDescent="0.35">
      <c r="B80" s="44"/>
      <c r="C80" s="45"/>
      <c r="D80" s="46"/>
      <c r="E80" s="47">
        <v>1</v>
      </c>
      <c r="F80" s="46"/>
      <c r="G80" s="48">
        <f t="shared" ref="G80:G96" si="12">F80*(1+$D$9)</f>
        <v>0</v>
      </c>
      <c r="H80" s="49"/>
      <c r="I80" s="46"/>
      <c r="J80" s="48">
        <f t="shared" ref="J80:J96" si="13">I80*(1+$D$9)</f>
        <v>0</v>
      </c>
      <c r="K80" s="49"/>
      <c r="L80" s="46"/>
      <c r="M80" s="48">
        <f t="shared" ref="M80:M96" si="14">L80*(1+$D$9)</f>
        <v>0</v>
      </c>
      <c r="N80" s="50"/>
      <c r="O80" s="51">
        <f t="shared" ref="O80:O96" si="15">(D80*E80)+(G80*H80)+(J80*K80)+(M80*N80)</f>
        <v>0</v>
      </c>
      <c r="P80" s="52">
        <f t="shared" ref="P80:P96" si="16">N80+K80+H80+E80</f>
        <v>1</v>
      </c>
      <c r="Q80" s="52"/>
      <c r="R80" s="67">
        <f>O80*Q80</f>
        <v>0</v>
      </c>
    </row>
    <row r="81" spans="2:18" s="13" customFormat="1" ht="15.5" x14ac:dyDescent="0.35">
      <c r="B81" s="53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7">
        <f t="shared" ref="R81:R96" si="17">O81*Q81</f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7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7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7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7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52"/>
      <c r="R86" s="67">
        <f t="shared" si="1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52"/>
      <c r="R87" s="67">
        <f t="shared" si="17"/>
        <v>0</v>
      </c>
    </row>
    <row r="88" spans="2:18" s="13" customFormat="1" ht="15.5" x14ac:dyDescent="0.35">
      <c r="B88" s="54"/>
      <c r="C88" s="45"/>
      <c r="D88" s="46"/>
      <c r="E88" s="47">
        <v>1</v>
      </c>
      <c r="F88" s="46"/>
      <c r="G88" s="48">
        <f t="shared" si="12"/>
        <v>0</v>
      </c>
      <c r="H88" s="49"/>
      <c r="I88" s="46"/>
      <c r="J88" s="48">
        <f t="shared" si="13"/>
        <v>0</v>
      </c>
      <c r="K88" s="49"/>
      <c r="L88" s="46"/>
      <c r="M88" s="48">
        <f t="shared" si="14"/>
        <v>0</v>
      </c>
      <c r="N88" s="50"/>
      <c r="O88" s="51">
        <f t="shared" si="15"/>
        <v>0</v>
      </c>
      <c r="P88" s="52">
        <f t="shared" si="16"/>
        <v>1</v>
      </c>
      <c r="Q88" s="52"/>
      <c r="R88" s="67">
        <f t="shared" si="17"/>
        <v>0</v>
      </c>
    </row>
    <row r="89" spans="2:18" s="13" customFormat="1" ht="15.5" x14ac:dyDescent="0.35">
      <c r="B89" s="54"/>
      <c r="C89" s="45"/>
      <c r="D89" s="46"/>
      <c r="E89" s="47">
        <v>1</v>
      </c>
      <c r="F89" s="46"/>
      <c r="G89" s="48">
        <f t="shared" si="12"/>
        <v>0</v>
      </c>
      <c r="H89" s="49"/>
      <c r="I89" s="46"/>
      <c r="J89" s="48">
        <f t="shared" si="13"/>
        <v>0</v>
      </c>
      <c r="K89" s="49"/>
      <c r="L89" s="46"/>
      <c r="M89" s="48">
        <f t="shared" si="14"/>
        <v>0</v>
      </c>
      <c r="N89" s="50"/>
      <c r="O89" s="51">
        <f t="shared" si="15"/>
        <v>0</v>
      </c>
      <c r="P89" s="52">
        <f t="shared" si="16"/>
        <v>1</v>
      </c>
      <c r="Q89" s="52"/>
      <c r="R89" s="67">
        <f t="shared" si="17"/>
        <v>0</v>
      </c>
    </row>
    <row r="90" spans="2:18" s="13" customFormat="1" ht="15.5" x14ac:dyDescent="0.35">
      <c r="B90" s="54"/>
      <c r="C90" s="45"/>
      <c r="D90" s="46"/>
      <c r="E90" s="47">
        <v>1</v>
      </c>
      <c r="F90" s="46"/>
      <c r="G90" s="48">
        <f t="shared" si="12"/>
        <v>0</v>
      </c>
      <c r="H90" s="49"/>
      <c r="I90" s="46"/>
      <c r="J90" s="48">
        <f t="shared" si="13"/>
        <v>0</v>
      </c>
      <c r="K90" s="49"/>
      <c r="L90" s="46"/>
      <c r="M90" s="48">
        <f t="shared" si="14"/>
        <v>0</v>
      </c>
      <c r="N90" s="50"/>
      <c r="O90" s="51">
        <f t="shared" si="15"/>
        <v>0</v>
      </c>
      <c r="P90" s="52">
        <f t="shared" si="16"/>
        <v>1</v>
      </c>
      <c r="Q90" s="52"/>
      <c r="R90" s="67">
        <f t="shared" si="17"/>
        <v>0</v>
      </c>
    </row>
    <row r="91" spans="2:18" s="13" customFormat="1" ht="15.5" x14ac:dyDescent="0.35">
      <c r="B91" s="54"/>
      <c r="C91" s="45"/>
      <c r="D91" s="46"/>
      <c r="E91" s="47">
        <v>1</v>
      </c>
      <c r="F91" s="46"/>
      <c r="G91" s="48">
        <f t="shared" si="12"/>
        <v>0</v>
      </c>
      <c r="H91" s="49"/>
      <c r="I91" s="46"/>
      <c r="J91" s="48">
        <f t="shared" si="13"/>
        <v>0</v>
      </c>
      <c r="K91" s="49"/>
      <c r="L91" s="46"/>
      <c r="M91" s="48">
        <f t="shared" si="14"/>
        <v>0</v>
      </c>
      <c r="N91" s="50"/>
      <c r="O91" s="51">
        <f t="shared" si="15"/>
        <v>0</v>
      </c>
      <c r="P91" s="52">
        <f t="shared" si="16"/>
        <v>1</v>
      </c>
      <c r="Q91" s="52"/>
      <c r="R91" s="67">
        <f t="shared" si="17"/>
        <v>0</v>
      </c>
    </row>
    <row r="92" spans="2:18" s="13" customFormat="1" ht="15.5" x14ac:dyDescent="0.35">
      <c r="B92" s="54"/>
      <c r="C92" s="45"/>
      <c r="D92" s="46"/>
      <c r="E92" s="47">
        <v>1</v>
      </c>
      <c r="F92" s="46"/>
      <c r="G92" s="48">
        <f t="shared" si="12"/>
        <v>0</v>
      </c>
      <c r="H92" s="49"/>
      <c r="I92" s="46"/>
      <c r="J92" s="48">
        <f t="shared" si="13"/>
        <v>0</v>
      </c>
      <c r="K92" s="49"/>
      <c r="L92" s="46"/>
      <c r="M92" s="48">
        <f t="shared" si="14"/>
        <v>0</v>
      </c>
      <c r="N92" s="50"/>
      <c r="O92" s="51">
        <f t="shared" si="15"/>
        <v>0</v>
      </c>
      <c r="P92" s="52">
        <f t="shared" si="16"/>
        <v>1</v>
      </c>
      <c r="Q92" s="52"/>
      <c r="R92" s="67">
        <f t="shared" si="17"/>
        <v>0</v>
      </c>
    </row>
    <row r="93" spans="2:18" s="13" customFormat="1" ht="15.5" x14ac:dyDescent="0.35">
      <c r="B93" s="54"/>
      <c r="C93" s="45"/>
      <c r="D93" s="46"/>
      <c r="E93" s="47">
        <v>1</v>
      </c>
      <c r="F93" s="46"/>
      <c r="G93" s="48">
        <f t="shared" si="12"/>
        <v>0</v>
      </c>
      <c r="H93" s="49"/>
      <c r="I93" s="46"/>
      <c r="J93" s="48">
        <f t="shared" si="13"/>
        <v>0</v>
      </c>
      <c r="K93" s="49"/>
      <c r="L93" s="46"/>
      <c r="M93" s="48">
        <f t="shared" si="14"/>
        <v>0</v>
      </c>
      <c r="N93" s="50"/>
      <c r="O93" s="51">
        <f t="shared" si="15"/>
        <v>0</v>
      </c>
      <c r="P93" s="52">
        <f t="shared" si="16"/>
        <v>1</v>
      </c>
      <c r="Q93" s="52"/>
      <c r="R93" s="67">
        <f t="shared" si="17"/>
        <v>0</v>
      </c>
    </row>
    <row r="94" spans="2:18" s="13" customFormat="1" ht="15.5" x14ac:dyDescent="0.35">
      <c r="B94" s="54"/>
      <c r="C94" s="45"/>
      <c r="D94" s="46"/>
      <c r="E94" s="47">
        <v>1</v>
      </c>
      <c r="F94" s="46"/>
      <c r="G94" s="48">
        <f t="shared" si="12"/>
        <v>0</v>
      </c>
      <c r="H94" s="49"/>
      <c r="I94" s="46"/>
      <c r="J94" s="48">
        <f t="shared" si="13"/>
        <v>0</v>
      </c>
      <c r="K94" s="49"/>
      <c r="L94" s="46"/>
      <c r="M94" s="48">
        <f t="shared" si="14"/>
        <v>0</v>
      </c>
      <c r="N94" s="50"/>
      <c r="O94" s="51">
        <f t="shared" si="15"/>
        <v>0</v>
      </c>
      <c r="P94" s="52">
        <f t="shared" si="16"/>
        <v>1</v>
      </c>
      <c r="Q94" s="52"/>
      <c r="R94" s="67">
        <f t="shared" si="17"/>
        <v>0</v>
      </c>
    </row>
    <row r="95" spans="2:18" s="13" customFormat="1" ht="15.5" x14ac:dyDescent="0.35">
      <c r="B95" s="54"/>
      <c r="C95" s="45"/>
      <c r="D95" s="46"/>
      <c r="E95" s="47">
        <v>1</v>
      </c>
      <c r="F95" s="46"/>
      <c r="G95" s="48">
        <f t="shared" si="12"/>
        <v>0</v>
      </c>
      <c r="H95" s="49"/>
      <c r="I95" s="46"/>
      <c r="J95" s="48">
        <f t="shared" si="13"/>
        <v>0</v>
      </c>
      <c r="K95" s="49"/>
      <c r="L95" s="46"/>
      <c r="M95" s="48">
        <f t="shared" si="14"/>
        <v>0</v>
      </c>
      <c r="N95" s="50"/>
      <c r="O95" s="51">
        <f t="shared" si="15"/>
        <v>0</v>
      </c>
      <c r="P95" s="52">
        <f t="shared" si="16"/>
        <v>1</v>
      </c>
      <c r="Q95" s="52"/>
      <c r="R95" s="67">
        <f t="shared" si="17"/>
        <v>0</v>
      </c>
    </row>
    <row r="96" spans="2:18" s="13" customFormat="1" ht="15.5" x14ac:dyDescent="0.35">
      <c r="B96" s="54"/>
      <c r="C96" s="45"/>
      <c r="D96" s="46"/>
      <c r="E96" s="47">
        <v>1</v>
      </c>
      <c r="F96" s="46"/>
      <c r="G96" s="48">
        <f t="shared" si="12"/>
        <v>0</v>
      </c>
      <c r="H96" s="49"/>
      <c r="I96" s="46"/>
      <c r="J96" s="48">
        <f t="shared" si="13"/>
        <v>0</v>
      </c>
      <c r="K96" s="49"/>
      <c r="L96" s="46"/>
      <c r="M96" s="48">
        <f t="shared" si="14"/>
        <v>0</v>
      </c>
      <c r="N96" s="50"/>
      <c r="O96" s="51">
        <f t="shared" si="15"/>
        <v>0</v>
      </c>
      <c r="P96" s="52">
        <f t="shared" si="16"/>
        <v>1</v>
      </c>
      <c r="Q96" s="52"/>
      <c r="R96" s="67">
        <f t="shared" si="17"/>
        <v>0</v>
      </c>
    </row>
    <row r="97" spans="2:18" s="13" customFormat="1" ht="15.5" x14ac:dyDescent="0.35">
      <c r="B97" s="129"/>
      <c r="C97" s="130"/>
      <c r="D97" s="144"/>
      <c r="E97" s="145"/>
      <c r="F97" s="144"/>
      <c r="G97" s="146"/>
      <c r="H97" s="147"/>
      <c r="I97" s="144"/>
      <c r="J97" s="146"/>
      <c r="K97" s="147"/>
      <c r="L97" s="144"/>
      <c r="M97" s="146"/>
      <c r="N97" s="148"/>
      <c r="O97" s="149"/>
      <c r="P97" s="150"/>
      <c r="Q97" s="151"/>
      <c r="R97" s="152">
        <f>SUM(R80:R96)</f>
        <v>0</v>
      </c>
    </row>
    <row r="98" spans="2:18" ht="15" customHeight="1" thickBot="1" x14ac:dyDescent="0.3">
      <c r="Q98" s="70">
        <f>SUM(Q16:Q96)</f>
        <v>1261308</v>
      </c>
      <c r="R98" s="71">
        <f>SUM(R16:R96)</f>
        <v>0</v>
      </c>
    </row>
    <row r="99" spans="2:18" x14ac:dyDescent="0.25">
      <c r="Q99" s="183" t="s">
        <v>66</v>
      </c>
      <c r="R99" s="184"/>
    </row>
    <row r="100" spans="2:18" ht="13" thickBot="1" x14ac:dyDescent="0.3">
      <c r="Q100" s="185"/>
      <c r="R100" s="186"/>
    </row>
  </sheetData>
  <mergeCells count="10">
    <mergeCell ref="Q99:R100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62:P78">
    <cfRule type="cellIs" dxfId="3" priority="5" operator="lessThan">
      <formula>1</formula>
    </cfRule>
  </conditionalFormatting>
  <conditionalFormatting sqref="P80:P96">
    <cfRule type="cellIs" dxfId="2" priority="4" operator="lessThan">
      <formula>1</formula>
    </cfRule>
  </conditionalFormatting>
  <conditionalFormatting sqref="P18:P60">
    <cfRule type="cellIs" dxfId="1" priority="2" operator="lessThan">
      <formula>1</formula>
    </cfRule>
  </conditionalFormatting>
  <conditionalFormatting sqref="P16:P17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8F98-352F-46E4-AECA-6E26F87051F3}">
  <dimension ref="A2:M228"/>
  <sheetViews>
    <sheetView showGridLines="0" workbookViewId="0">
      <selection activeCell="B10" sqref="B10"/>
    </sheetView>
  </sheetViews>
  <sheetFormatPr defaultRowHeight="12.5" x14ac:dyDescent="0.25"/>
  <cols>
    <col min="1" max="1" width="1.81640625" style="10" customWidth="1"/>
    <col min="2" max="2" width="95.7265625" customWidth="1"/>
    <col min="3" max="3" width="25.26953125" style="10" customWidth="1"/>
    <col min="4" max="4" width="12.7265625" customWidth="1"/>
    <col min="5" max="5" width="13.453125" customWidth="1"/>
    <col min="6" max="6" width="13.54296875" customWidth="1"/>
    <col min="7" max="7" width="12.453125" customWidth="1"/>
    <col min="8" max="8" width="16" customWidth="1"/>
  </cols>
  <sheetData>
    <row r="2" spans="2:13" s="13" customFormat="1" ht="14.5" x14ac:dyDescent="0.35">
      <c r="B2" s="11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s="13" customFormat="1" ht="14.5" x14ac:dyDescent="0.35">
      <c r="B3" s="14" t="s">
        <v>41</v>
      </c>
      <c r="C3" s="14"/>
      <c r="D3" s="11"/>
      <c r="E3" s="11"/>
      <c r="F3" s="11"/>
      <c r="G3" s="11"/>
      <c r="H3" s="11"/>
      <c r="I3" s="11"/>
      <c r="J3" s="11"/>
      <c r="K3" s="11"/>
      <c r="L3" s="11"/>
      <c r="M3" s="15"/>
    </row>
    <row r="4" spans="2:13" s="13" customFormat="1" ht="14.5" x14ac:dyDescent="0.35">
      <c r="B4" s="207" t="s">
        <v>69</v>
      </c>
      <c r="C4" s="207"/>
      <c r="D4" s="207"/>
      <c r="E4" s="207"/>
      <c r="F4" s="207"/>
      <c r="G4" s="207"/>
      <c r="H4" s="207"/>
      <c r="I4" s="12"/>
      <c r="J4" s="12"/>
      <c r="K4" s="12"/>
      <c r="L4" s="12"/>
      <c r="M4" s="12"/>
    </row>
    <row r="6" spans="2:13" ht="13" x14ac:dyDescent="0.25">
      <c r="B6" s="207" t="s">
        <v>85</v>
      </c>
      <c r="C6" s="207"/>
      <c r="D6" s="207"/>
      <c r="E6" s="207"/>
      <c r="F6" s="207"/>
      <c r="G6" s="207"/>
      <c r="H6" s="207"/>
    </row>
    <row r="8" spans="2:13" ht="28.5" customHeight="1" thickBot="1" x14ac:dyDescent="0.3">
      <c r="B8" s="222" t="s">
        <v>80</v>
      </c>
      <c r="C8" s="222"/>
      <c r="D8" s="83"/>
      <c r="E8" s="83"/>
      <c r="F8" s="83"/>
      <c r="G8" s="83"/>
      <c r="H8" s="83"/>
    </row>
    <row r="9" spans="2:13" s="10" customFormat="1" ht="18" thickBot="1" x14ac:dyDescent="0.4">
      <c r="B9" s="82"/>
      <c r="C9" s="82"/>
      <c r="D9" s="219" t="s">
        <v>23</v>
      </c>
      <c r="E9" s="220"/>
      <c r="F9" s="221"/>
      <c r="G9" s="82"/>
      <c r="H9" s="82"/>
    </row>
    <row r="10" spans="2:13" ht="19.5" customHeight="1" thickBot="1" x14ac:dyDescent="0.3">
      <c r="D10" s="216" t="s">
        <v>79</v>
      </c>
      <c r="E10" s="217"/>
      <c r="F10" s="218"/>
    </row>
    <row r="11" spans="2:13" s="72" customFormat="1" ht="26.5" thickBot="1" x14ac:dyDescent="0.3">
      <c r="B11" s="208" t="s">
        <v>75</v>
      </c>
      <c r="C11" s="214" t="s">
        <v>70</v>
      </c>
      <c r="D11" s="164" t="s">
        <v>86</v>
      </c>
      <c r="E11" s="164" t="s">
        <v>0</v>
      </c>
      <c r="F11" s="223" t="s">
        <v>87</v>
      </c>
      <c r="G11" s="210" t="s">
        <v>81</v>
      </c>
      <c r="H11" s="212" t="s">
        <v>71</v>
      </c>
    </row>
    <row r="12" spans="2:13" s="72" customFormat="1" ht="37.5" customHeight="1" x14ac:dyDescent="0.25">
      <c r="B12" s="209"/>
      <c r="C12" s="215"/>
      <c r="D12" s="165" t="s">
        <v>82</v>
      </c>
      <c r="E12" s="165" t="s">
        <v>82</v>
      </c>
      <c r="F12" s="224"/>
      <c r="G12" s="211"/>
      <c r="H12" s="213"/>
    </row>
    <row r="13" spans="2:13" s="72" customFormat="1" ht="13" x14ac:dyDescent="0.25">
      <c r="B13" s="161" t="s">
        <v>56</v>
      </c>
      <c r="C13" s="166">
        <v>20000</v>
      </c>
      <c r="D13" s="167">
        <v>0.01</v>
      </c>
      <c r="E13" s="167"/>
      <c r="F13" s="168">
        <f>C13*(1+D13)</f>
        <v>20200</v>
      </c>
      <c r="G13" s="169">
        <v>0.01</v>
      </c>
      <c r="H13" s="170">
        <f>F13*(1+G13)</f>
        <v>20402</v>
      </c>
    </row>
    <row r="14" spans="2:13" s="72" customFormat="1" ht="13.5" x14ac:dyDescent="0.25">
      <c r="B14" s="163" t="s">
        <v>12</v>
      </c>
      <c r="C14" s="77"/>
      <c r="D14" s="73"/>
      <c r="E14" s="73"/>
      <c r="F14" s="73"/>
      <c r="G14" s="75"/>
      <c r="H14" s="76"/>
    </row>
    <row r="15" spans="2:13" s="72" customFormat="1" ht="13" x14ac:dyDescent="0.25">
      <c r="B15" s="162" t="s">
        <v>76</v>
      </c>
      <c r="C15" s="74"/>
      <c r="D15" s="73"/>
      <c r="E15" s="73"/>
      <c r="F15" s="73"/>
      <c r="G15" s="75"/>
      <c r="H15" s="76"/>
    </row>
    <row r="16" spans="2:13" s="72" customFormat="1" ht="13" x14ac:dyDescent="0.25">
      <c r="B16" s="74"/>
      <c r="C16" s="74"/>
      <c r="D16" s="73"/>
      <c r="E16" s="73"/>
      <c r="F16" s="73"/>
      <c r="G16" s="75"/>
      <c r="H16" s="76"/>
    </row>
    <row r="17" spans="2:8" s="72" customFormat="1" ht="13" x14ac:dyDescent="0.25">
      <c r="B17" s="74"/>
      <c r="C17" s="74"/>
      <c r="D17" s="73"/>
      <c r="E17" s="73"/>
      <c r="F17" s="73"/>
      <c r="G17" s="75"/>
      <c r="H17" s="76"/>
    </row>
    <row r="18" spans="2:8" s="72" customFormat="1" ht="13" x14ac:dyDescent="0.25">
      <c r="B18" s="74"/>
      <c r="C18" s="74"/>
      <c r="D18" s="73"/>
      <c r="E18" s="73"/>
      <c r="F18" s="73"/>
      <c r="G18" s="75"/>
      <c r="H18" s="76"/>
    </row>
    <row r="19" spans="2:8" s="72" customFormat="1" ht="13" x14ac:dyDescent="0.25">
      <c r="C19" s="74"/>
      <c r="D19" s="73"/>
      <c r="E19" s="73"/>
      <c r="F19" s="73"/>
      <c r="G19" s="75"/>
      <c r="H19" s="76"/>
    </row>
    <row r="20" spans="2:8" s="72" customFormat="1" ht="13" x14ac:dyDescent="0.25">
      <c r="B20" s="74"/>
      <c r="C20" s="74"/>
      <c r="D20" s="73"/>
      <c r="E20" s="73"/>
      <c r="F20" s="73"/>
      <c r="G20" s="75"/>
      <c r="H20" s="76"/>
    </row>
    <row r="21" spans="2:8" s="72" customFormat="1" ht="13" x14ac:dyDescent="0.25">
      <c r="B21" s="74" t="s">
        <v>77</v>
      </c>
      <c r="C21" s="74"/>
      <c r="D21" s="73"/>
      <c r="E21" s="73"/>
      <c r="F21" s="73"/>
      <c r="G21" s="75"/>
      <c r="H21" s="76"/>
    </row>
    <row r="22" spans="2:8" s="72" customFormat="1" ht="13" x14ac:dyDescent="0.25">
      <c r="B22" s="74"/>
      <c r="C22" s="74"/>
      <c r="D22" s="73"/>
      <c r="E22" s="73"/>
      <c r="F22" s="73"/>
      <c r="G22" s="75"/>
      <c r="H22" s="76"/>
    </row>
    <row r="23" spans="2:8" s="72" customFormat="1" ht="13" x14ac:dyDescent="0.25">
      <c r="C23" s="74"/>
      <c r="D23" s="73"/>
      <c r="E23" s="73"/>
      <c r="F23" s="73"/>
      <c r="G23" s="75"/>
      <c r="H23" s="76"/>
    </row>
    <row r="24" spans="2:8" s="72" customFormat="1" ht="13" x14ac:dyDescent="0.25">
      <c r="B24" s="74"/>
      <c r="C24" s="74"/>
      <c r="D24" s="73"/>
      <c r="E24" s="73"/>
      <c r="F24" s="73"/>
      <c r="G24" s="75"/>
      <c r="H24" s="76"/>
    </row>
    <row r="25" spans="2:8" s="72" customFormat="1" ht="13" x14ac:dyDescent="0.25">
      <c r="B25" s="74"/>
      <c r="C25" s="74"/>
      <c r="D25" s="73"/>
      <c r="E25" s="73"/>
      <c r="F25" s="73"/>
      <c r="G25" s="75"/>
      <c r="H25" s="76"/>
    </row>
    <row r="26" spans="2:8" s="72" customFormat="1" ht="13" x14ac:dyDescent="0.25">
      <c r="B26" s="74"/>
      <c r="C26" s="74"/>
      <c r="D26" s="73"/>
      <c r="E26" s="73"/>
      <c r="F26" s="73"/>
      <c r="G26" s="75"/>
      <c r="H26" s="76"/>
    </row>
    <row r="27" spans="2:8" s="72" customFormat="1" ht="13" x14ac:dyDescent="0.25">
      <c r="B27" s="74" t="s">
        <v>72</v>
      </c>
      <c r="C27" s="74"/>
      <c r="D27" s="73"/>
      <c r="E27" s="73"/>
      <c r="F27" s="73"/>
      <c r="G27" s="75"/>
      <c r="H27" s="76"/>
    </row>
    <row r="28" spans="2:8" s="72" customFormat="1" ht="13" x14ac:dyDescent="0.25">
      <c r="B28" s="74"/>
      <c r="C28" s="74"/>
      <c r="D28" s="73"/>
      <c r="E28" s="73"/>
      <c r="F28" s="73"/>
      <c r="G28" s="75"/>
      <c r="H28" s="76"/>
    </row>
    <row r="29" spans="2:8" s="72" customFormat="1" ht="13" x14ac:dyDescent="0.25">
      <c r="B29" s="74"/>
      <c r="C29" s="74"/>
      <c r="D29" s="73"/>
      <c r="E29" s="73"/>
      <c r="F29" s="73"/>
      <c r="G29" s="75"/>
      <c r="H29" s="76"/>
    </row>
    <row r="30" spans="2:8" s="72" customFormat="1" ht="13" x14ac:dyDescent="0.25">
      <c r="B30" s="74"/>
      <c r="C30" s="74"/>
      <c r="D30" s="73"/>
      <c r="E30" s="73"/>
      <c r="F30" s="73"/>
      <c r="G30" s="75"/>
      <c r="H30" s="76"/>
    </row>
    <row r="31" spans="2:8" s="72" customFormat="1" ht="13" x14ac:dyDescent="0.25">
      <c r="B31" s="74"/>
      <c r="C31" s="74"/>
      <c r="D31" s="73"/>
      <c r="E31" s="73"/>
      <c r="F31" s="73"/>
      <c r="G31" s="75"/>
      <c r="H31" s="76"/>
    </row>
    <row r="32" spans="2:8" s="72" customFormat="1" ht="13" x14ac:dyDescent="0.25">
      <c r="B32" s="74"/>
      <c r="C32" s="74"/>
      <c r="D32" s="73"/>
      <c r="E32" s="73"/>
      <c r="F32" s="73"/>
      <c r="G32" s="75"/>
      <c r="H32" s="76"/>
    </row>
    <row r="33" spans="2:8" s="72" customFormat="1" ht="13" x14ac:dyDescent="0.25">
      <c r="B33" s="81" t="s">
        <v>78</v>
      </c>
      <c r="C33" s="74"/>
      <c r="D33" s="73"/>
      <c r="E33" s="73"/>
      <c r="F33" s="73"/>
      <c r="G33" s="75"/>
      <c r="H33" s="76"/>
    </row>
    <row r="34" spans="2:8" s="72" customFormat="1" ht="13" x14ac:dyDescent="0.25">
      <c r="B34" s="74" t="s">
        <v>76</v>
      </c>
      <c r="C34" s="74"/>
      <c r="D34" s="73"/>
      <c r="E34" s="73"/>
      <c r="F34" s="73"/>
      <c r="G34" s="75"/>
      <c r="H34" s="76"/>
    </row>
    <row r="35" spans="2:8" s="72" customFormat="1" ht="13" x14ac:dyDescent="0.25">
      <c r="B35" s="74"/>
      <c r="C35" s="74"/>
      <c r="D35" s="73"/>
      <c r="E35" s="73"/>
      <c r="F35" s="73"/>
      <c r="G35" s="75"/>
      <c r="H35" s="76"/>
    </row>
    <row r="36" spans="2:8" s="72" customFormat="1" ht="13" x14ac:dyDescent="0.25">
      <c r="B36" s="74"/>
      <c r="C36" s="74"/>
      <c r="D36" s="73"/>
      <c r="E36" s="73"/>
      <c r="F36" s="73"/>
      <c r="G36" s="75"/>
      <c r="H36" s="76"/>
    </row>
    <row r="37" spans="2:8" s="72" customFormat="1" ht="13" x14ac:dyDescent="0.25">
      <c r="B37" s="74"/>
      <c r="C37" s="74"/>
      <c r="D37" s="73"/>
      <c r="E37" s="73"/>
      <c r="F37" s="73"/>
      <c r="G37" s="75"/>
      <c r="H37" s="76"/>
    </row>
    <row r="38" spans="2:8" s="72" customFormat="1" ht="13" x14ac:dyDescent="0.25">
      <c r="B38" s="74"/>
      <c r="C38" s="74"/>
      <c r="D38" s="73"/>
      <c r="E38" s="73"/>
      <c r="F38" s="73"/>
      <c r="G38" s="75"/>
      <c r="H38" s="76"/>
    </row>
    <row r="39" spans="2:8" s="72" customFormat="1" ht="13" x14ac:dyDescent="0.25">
      <c r="B39" s="74"/>
      <c r="C39" s="74"/>
      <c r="D39" s="73"/>
      <c r="E39" s="73"/>
      <c r="F39" s="73"/>
      <c r="G39" s="75"/>
      <c r="H39" s="76"/>
    </row>
    <row r="40" spans="2:8" s="72" customFormat="1" ht="13" x14ac:dyDescent="0.25">
      <c r="B40" s="74" t="s">
        <v>77</v>
      </c>
      <c r="C40" s="74"/>
      <c r="D40" s="73"/>
      <c r="E40" s="73"/>
      <c r="F40" s="73"/>
      <c r="G40" s="75"/>
      <c r="H40" s="76"/>
    </row>
    <row r="41" spans="2:8" s="72" customFormat="1" ht="13" x14ac:dyDescent="0.25">
      <c r="C41" s="74"/>
      <c r="D41" s="73"/>
      <c r="E41" s="73"/>
      <c r="F41" s="73"/>
      <c r="G41" s="75"/>
      <c r="H41" s="76"/>
    </row>
    <row r="42" spans="2:8" s="72" customFormat="1" ht="13" x14ac:dyDescent="0.25">
      <c r="B42" s="74"/>
      <c r="C42" s="74"/>
      <c r="D42" s="73"/>
      <c r="E42" s="73"/>
      <c r="F42" s="73"/>
      <c r="G42" s="75"/>
      <c r="H42" s="76"/>
    </row>
    <row r="43" spans="2:8" s="72" customFormat="1" ht="13" x14ac:dyDescent="0.25">
      <c r="B43" s="74"/>
      <c r="C43" s="74"/>
      <c r="D43" s="73"/>
      <c r="E43" s="73"/>
      <c r="F43" s="73"/>
      <c r="G43" s="75"/>
      <c r="H43" s="76"/>
    </row>
    <row r="44" spans="2:8" s="72" customFormat="1" ht="13" x14ac:dyDescent="0.25">
      <c r="B44" s="74"/>
      <c r="C44" s="74"/>
      <c r="D44" s="73"/>
      <c r="E44" s="73"/>
      <c r="F44" s="73"/>
      <c r="G44" s="75"/>
      <c r="H44" s="76"/>
    </row>
    <row r="45" spans="2:8" s="72" customFormat="1" ht="13" x14ac:dyDescent="0.25">
      <c r="B45" s="74"/>
      <c r="C45" s="74"/>
      <c r="D45" s="73"/>
      <c r="E45" s="73"/>
      <c r="F45" s="73"/>
      <c r="G45" s="75"/>
      <c r="H45" s="76"/>
    </row>
    <row r="46" spans="2:8" s="72" customFormat="1" ht="13" x14ac:dyDescent="0.25">
      <c r="B46" s="74" t="s">
        <v>73</v>
      </c>
      <c r="C46" s="74"/>
      <c r="D46" s="73"/>
      <c r="E46" s="73"/>
      <c r="F46" s="73"/>
      <c r="G46" s="75"/>
      <c r="H46" s="76"/>
    </row>
    <row r="47" spans="2:8" s="72" customFormat="1" ht="13" x14ac:dyDescent="0.25">
      <c r="B47" s="78"/>
      <c r="C47" s="74"/>
      <c r="D47" s="73"/>
      <c r="E47" s="73"/>
      <c r="F47" s="73"/>
      <c r="G47" s="75"/>
      <c r="H47" s="76"/>
    </row>
    <row r="48" spans="2:8" s="72" customFormat="1" ht="13" x14ac:dyDescent="0.25">
      <c r="B48" s="79"/>
      <c r="C48" s="77"/>
      <c r="D48" s="73"/>
      <c r="E48" s="73"/>
      <c r="F48" s="73"/>
      <c r="G48" s="75"/>
      <c r="H48" s="76"/>
    </row>
    <row r="49" spans="2:8" s="72" customFormat="1" ht="13" x14ac:dyDescent="0.25">
      <c r="B49" s="79"/>
      <c r="C49" s="77"/>
      <c r="D49" s="73"/>
      <c r="E49" s="73"/>
      <c r="F49" s="73"/>
      <c r="G49" s="75"/>
      <c r="H49" s="76"/>
    </row>
    <row r="50" spans="2:8" s="72" customFormat="1" ht="13" x14ac:dyDescent="0.25">
      <c r="B50" s="79"/>
      <c r="C50" s="77"/>
      <c r="D50" s="73"/>
      <c r="E50" s="73"/>
      <c r="F50" s="73"/>
      <c r="G50" s="75"/>
      <c r="H50" s="76"/>
    </row>
    <row r="51" spans="2:8" s="72" customFormat="1" ht="13.5" thickBot="1" x14ac:dyDescent="0.3">
      <c r="B51" s="174"/>
      <c r="C51" s="175"/>
      <c r="D51" s="176"/>
      <c r="E51" s="176"/>
      <c r="F51" s="176"/>
      <c r="G51" s="175"/>
      <c r="H51" s="175"/>
    </row>
    <row r="52" spans="2:8" s="72" customFormat="1" ht="13.5" thickBot="1" x14ac:dyDescent="0.3">
      <c r="B52" s="177" t="s">
        <v>74</v>
      </c>
      <c r="C52" s="178"/>
      <c r="D52" s="179"/>
      <c r="E52" s="179"/>
      <c r="F52" s="179"/>
      <c r="G52" s="180"/>
      <c r="H52" s="181">
        <f>SUM(H15:H51)</f>
        <v>0</v>
      </c>
    </row>
    <row r="53" spans="2:8" ht="13" thickBot="1" x14ac:dyDescent="0.3"/>
    <row r="54" spans="2:8" s="10" customFormat="1" ht="18" thickBot="1" x14ac:dyDescent="0.4">
      <c r="D54" s="219" t="s">
        <v>24</v>
      </c>
      <c r="E54" s="220"/>
      <c r="F54" s="221"/>
    </row>
    <row r="55" spans="2:8" ht="13.5" thickBot="1" x14ac:dyDescent="0.3">
      <c r="B55" s="10"/>
      <c r="D55" s="216" t="s">
        <v>79</v>
      </c>
      <c r="E55" s="217"/>
      <c r="F55" s="218"/>
      <c r="G55" s="10"/>
      <c r="H55" s="10"/>
    </row>
    <row r="56" spans="2:8" ht="12.75" customHeight="1" thickBot="1" x14ac:dyDescent="0.3">
      <c r="B56" s="208" t="s">
        <v>75</v>
      </c>
      <c r="C56" s="230" t="s">
        <v>70</v>
      </c>
      <c r="D56" s="164" t="s">
        <v>86</v>
      </c>
      <c r="E56" s="164" t="s">
        <v>0</v>
      </c>
      <c r="F56" s="223" t="s">
        <v>87</v>
      </c>
      <c r="G56" s="225" t="s">
        <v>81</v>
      </c>
      <c r="H56" s="227" t="s">
        <v>71</v>
      </c>
    </row>
    <row r="57" spans="2:8" ht="27.75" customHeight="1" x14ac:dyDescent="0.25">
      <c r="B57" s="209"/>
      <c r="C57" s="231"/>
      <c r="D57" s="165" t="s">
        <v>82</v>
      </c>
      <c r="E57" s="165" t="s">
        <v>82</v>
      </c>
      <c r="F57" s="224"/>
      <c r="G57" s="226"/>
      <c r="H57" s="228"/>
    </row>
    <row r="58" spans="2:8" ht="13.5" x14ac:dyDescent="0.25">
      <c r="B58" s="80" t="s">
        <v>12</v>
      </c>
      <c r="C58" s="74"/>
      <c r="D58" s="73"/>
      <c r="E58" s="73"/>
      <c r="F58" s="73"/>
      <c r="G58" s="75"/>
      <c r="H58" s="76"/>
    </row>
    <row r="59" spans="2:8" ht="13" x14ac:dyDescent="0.25">
      <c r="B59" s="74" t="s">
        <v>76</v>
      </c>
      <c r="C59" s="74"/>
      <c r="D59" s="73"/>
      <c r="E59" s="73"/>
      <c r="F59" s="73"/>
      <c r="G59" s="75"/>
      <c r="H59" s="76"/>
    </row>
    <row r="60" spans="2:8" ht="13" x14ac:dyDescent="0.25">
      <c r="B60" s="74"/>
      <c r="C60" s="74"/>
      <c r="D60" s="73"/>
      <c r="E60" s="73"/>
      <c r="F60" s="73"/>
      <c r="G60" s="75"/>
      <c r="H60" s="76"/>
    </row>
    <row r="61" spans="2:8" ht="13" x14ac:dyDescent="0.25">
      <c r="B61" s="74"/>
      <c r="C61" s="74"/>
      <c r="D61" s="73"/>
      <c r="E61" s="73"/>
      <c r="F61" s="73"/>
      <c r="G61" s="75"/>
      <c r="H61" s="76"/>
    </row>
    <row r="62" spans="2:8" ht="13" x14ac:dyDescent="0.25">
      <c r="B62" s="74"/>
      <c r="C62" s="74"/>
      <c r="D62" s="73"/>
      <c r="E62" s="73"/>
      <c r="F62" s="73"/>
      <c r="G62" s="75"/>
      <c r="H62" s="76"/>
    </row>
    <row r="63" spans="2:8" ht="13" x14ac:dyDescent="0.25">
      <c r="B63" s="72"/>
      <c r="C63" s="74"/>
      <c r="D63" s="73"/>
      <c r="E63" s="73"/>
      <c r="F63" s="73"/>
      <c r="G63" s="75"/>
      <c r="H63" s="76"/>
    </row>
    <row r="64" spans="2:8" ht="13" x14ac:dyDescent="0.25">
      <c r="B64" s="74"/>
      <c r="C64" s="74"/>
      <c r="D64" s="73"/>
      <c r="E64" s="73"/>
      <c r="F64" s="73"/>
      <c r="G64" s="75"/>
      <c r="H64" s="76"/>
    </row>
    <row r="65" spans="2:8" ht="13" x14ac:dyDescent="0.25">
      <c r="B65" s="74" t="s">
        <v>77</v>
      </c>
      <c r="C65" s="74"/>
      <c r="D65" s="73"/>
      <c r="E65" s="73"/>
      <c r="F65" s="73"/>
      <c r="G65" s="75"/>
      <c r="H65" s="76"/>
    </row>
    <row r="66" spans="2:8" ht="13" x14ac:dyDescent="0.25">
      <c r="B66" s="74"/>
      <c r="C66" s="74"/>
      <c r="D66" s="73"/>
      <c r="E66" s="73"/>
      <c r="F66" s="73"/>
      <c r="G66" s="75"/>
      <c r="H66" s="76"/>
    </row>
    <row r="67" spans="2:8" ht="13" x14ac:dyDescent="0.25">
      <c r="B67" s="72"/>
      <c r="C67" s="74"/>
      <c r="D67" s="73"/>
      <c r="E67" s="73"/>
      <c r="F67" s="73"/>
      <c r="G67" s="75"/>
      <c r="H67" s="76"/>
    </row>
    <row r="68" spans="2:8" ht="13" x14ac:dyDescent="0.25">
      <c r="B68" s="74"/>
      <c r="C68" s="74"/>
      <c r="D68" s="73"/>
      <c r="E68" s="73"/>
      <c r="F68" s="73"/>
      <c r="G68" s="75"/>
      <c r="H68" s="76"/>
    </row>
    <row r="69" spans="2:8" ht="13" x14ac:dyDescent="0.25">
      <c r="B69" s="74"/>
      <c r="C69" s="74"/>
      <c r="D69" s="73"/>
      <c r="E69" s="73"/>
      <c r="F69" s="73"/>
      <c r="G69" s="75"/>
      <c r="H69" s="76"/>
    </row>
    <row r="70" spans="2:8" ht="13" x14ac:dyDescent="0.25">
      <c r="B70" s="74"/>
      <c r="C70" s="74"/>
      <c r="D70" s="73"/>
      <c r="E70" s="73"/>
      <c r="F70" s="73"/>
      <c r="G70" s="75"/>
      <c r="H70" s="76"/>
    </row>
    <row r="71" spans="2:8" ht="13" x14ac:dyDescent="0.25">
      <c r="B71" s="74" t="s">
        <v>72</v>
      </c>
      <c r="C71" s="74"/>
      <c r="D71" s="73"/>
      <c r="E71" s="73"/>
      <c r="F71" s="73"/>
      <c r="G71" s="75"/>
      <c r="H71" s="76"/>
    </row>
    <row r="72" spans="2:8" ht="13" x14ac:dyDescent="0.25">
      <c r="B72" s="74"/>
      <c r="C72" s="74"/>
      <c r="D72" s="73"/>
      <c r="E72" s="73"/>
      <c r="F72" s="73"/>
      <c r="G72" s="75"/>
      <c r="H72" s="76"/>
    </row>
    <row r="73" spans="2:8" ht="13" x14ac:dyDescent="0.25">
      <c r="B73" s="74"/>
      <c r="C73" s="74"/>
      <c r="D73" s="73"/>
      <c r="E73" s="73"/>
      <c r="F73" s="73"/>
      <c r="G73" s="75"/>
      <c r="H73" s="76"/>
    </row>
    <row r="74" spans="2:8" ht="13" x14ac:dyDescent="0.25">
      <c r="B74" s="74"/>
      <c r="C74" s="74"/>
      <c r="D74" s="73"/>
      <c r="E74" s="73"/>
      <c r="F74" s="73"/>
      <c r="G74" s="75"/>
      <c r="H74" s="76"/>
    </row>
    <row r="75" spans="2:8" ht="13" x14ac:dyDescent="0.25">
      <c r="B75" s="74"/>
      <c r="C75" s="74"/>
      <c r="D75" s="73"/>
      <c r="E75" s="73"/>
      <c r="F75" s="73"/>
      <c r="G75" s="75"/>
      <c r="H75" s="76"/>
    </row>
    <row r="76" spans="2:8" ht="13" x14ac:dyDescent="0.25">
      <c r="B76" s="74"/>
      <c r="C76" s="74"/>
      <c r="D76" s="73"/>
      <c r="E76" s="73"/>
      <c r="F76" s="73"/>
      <c r="G76" s="75"/>
      <c r="H76" s="76"/>
    </row>
    <row r="77" spans="2:8" ht="13" x14ac:dyDescent="0.25">
      <c r="B77" s="81" t="s">
        <v>78</v>
      </c>
      <c r="C77" s="74"/>
      <c r="D77" s="73"/>
      <c r="E77" s="73"/>
      <c r="F77" s="73"/>
      <c r="G77" s="75"/>
      <c r="H77" s="76"/>
    </row>
    <row r="78" spans="2:8" ht="13" x14ac:dyDescent="0.25">
      <c r="B78" s="74" t="s">
        <v>76</v>
      </c>
      <c r="C78" s="74"/>
      <c r="D78" s="73"/>
      <c r="E78" s="73"/>
      <c r="F78" s="73"/>
      <c r="G78" s="75"/>
      <c r="H78" s="76"/>
    </row>
    <row r="79" spans="2:8" ht="13" x14ac:dyDescent="0.25">
      <c r="B79" s="74"/>
      <c r="C79" s="74"/>
      <c r="D79" s="73"/>
      <c r="E79" s="73"/>
      <c r="F79" s="73"/>
      <c r="G79" s="75"/>
      <c r="H79" s="76"/>
    </row>
    <row r="80" spans="2:8" ht="13" x14ac:dyDescent="0.25">
      <c r="B80" s="74"/>
      <c r="C80" s="74"/>
      <c r="D80" s="73"/>
      <c r="E80" s="73"/>
      <c r="F80" s="73"/>
      <c r="G80" s="75"/>
      <c r="H80" s="76"/>
    </row>
    <row r="81" spans="2:8" ht="13" x14ac:dyDescent="0.25">
      <c r="B81" s="74"/>
      <c r="C81" s="74"/>
      <c r="D81" s="73"/>
      <c r="E81" s="73"/>
      <c r="F81" s="73"/>
      <c r="G81" s="75"/>
      <c r="H81" s="76"/>
    </row>
    <row r="82" spans="2:8" ht="13" x14ac:dyDescent="0.25">
      <c r="B82" s="74"/>
      <c r="C82" s="74"/>
      <c r="D82" s="73"/>
      <c r="E82" s="73"/>
      <c r="F82" s="73"/>
      <c r="G82" s="75"/>
      <c r="H82" s="76"/>
    </row>
    <row r="83" spans="2:8" ht="13" x14ac:dyDescent="0.25">
      <c r="B83" s="74"/>
      <c r="C83" s="74"/>
      <c r="D83" s="73"/>
      <c r="E83" s="73"/>
      <c r="F83" s="73"/>
      <c r="G83" s="75"/>
      <c r="H83" s="76"/>
    </row>
    <row r="84" spans="2:8" ht="13" x14ac:dyDescent="0.25">
      <c r="B84" s="74" t="s">
        <v>77</v>
      </c>
      <c r="C84" s="74"/>
      <c r="D84" s="73"/>
      <c r="E84" s="73"/>
      <c r="F84" s="73"/>
      <c r="G84" s="75"/>
      <c r="H84" s="76"/>
    </row>
    <row r="85" spans="2:8" ht="13" x14ac:dyDescent="0.25">
      <c r="B85" s="72"/>
      <c r="C85" s="74"/>
      <c r="D85" s="73"/>
      <c r="E85" s="73"/>
      <c r="F85" s="73"/>
      <c r="G85" s="75"/>
      <c r="H85" s="76"/>
    </row>
    <row r="86" spans="2:8" ht="13" x14ac:dyDescent="0.25">
      <c r="B86" s="74"/>
      <c r="C86" s="74"/>
      <c r="D86" s="73"/>
      <c r="E86" s="73"/>
      <c r="F86" s="73"/>
      <c r="G86" s="75"/>
      <c r="H86" s="76"/>
    </row>
    <row r="87" spans="2:8" ht="13" x14ac:dyDescent="0.25">
      <c r="B87" s="74"/>
      <c r="C87" s="74"/>
      <c r="D87" s="73"/>
      <c r="E87" s="73"/>
      <c r="F87" s="73"/>
      <c r="G87" s="75"/>
      <c r="H87" s="76"/>
    </row>
    <row r="88" spans="2:8" ht="13" x14ac:dyDescent="0.25">
      <c r="B88" s="74"/>
      <c r="C88" s="74"/>
      <c r="D88" s="73"/>
      <c r="E88" s="73"/>
      <c r="F88" s="73"/>
      <c r="G88" s="75"/>
      <c r="H88" s="76"/>
    </row>
    <row r="89" spans="2:8" ht="13" x14ac:dyDescent="0.25">
      <c r="B89" s="74"/>
      <c r="C89" s="74"/>
      <c r="D89" s="73"/>
      <c r="E89" s="73"/>
      <c r="F89" s="73"/>
      <c r="G89" s="75"/>
      <c r="H89" s="76"/>
    </row>
    <row r="90" spans="2:8" ht="13" x14ac:dyDescent="0.25">
      <c r="B90" s="74" t="s">
        <v>73</v>
      </c>
      <c r="C90" s="74"/>
      <c r="D90" s="73"/>
      <c r="E90" s="73"/>
      <c r="F90" s="73"/>
      <c r="G90" s="75"/>
      <c r="H90" s="76"/>
    </row>
    <row r="91" spans="2:8" ht="13" x14ac:dyDescent="0.25">
      <c r="B91" s="78"/>
      <c r="C91" s="74"/>
      <c r="D91" s="73"/>
      <c r="E91" s="73"/>
      <c r="F91" s="73"/>
      <c r="G91" s="75"/>
      <c r="H91" s="76"/>
    </row>
    <row r="92" spans="2:8" ht="13" x14ac:dyDescent="0.25">
      <c r="B92" s="79"/>
      <c r="C92" s="77"/>
      <c r="D92" s="73"/>
      <c r="E92" s="73"/>
      <c r="F92" s="73"/>
      <c r="G92" s="75"/>
      <c r="H92" s="76"/>
    </row>
    <row r="93" spans="2:8" ht="13" x14ac:dyDescent="0.25">
      <c r="B93" s="79"/>
      <c r="C93" s="77"/>
      <c r="D93" s="73"/>
      <c r="E93" s="73"/>
      <c r="F93" s="73"/>
      <c r="G93" s="75"/>
      <c r="H93" s="76"/>
    </row>
    <row r="94" spans="2:8" ht="13" x14ac:dyDescent="0.25">
      <c r="B94" s="79"/>
      <c r="C94" s="77"/>
      <c r="D94" s="73"/>
      <c r="E94" s="73"/>
      <c r="F94" s="73"/>
      <c r="G94" s="75"/>
      <c r="H94" s="76"/>
    </row>
    <row r="95" spans="2:8" ht="13.5" thickBot="1" x14ac:dyDescent="0.3">
      <c r="B95" s="174"/>
      <c r="C95" s="175"/>
      <c r="D95" s="176"/>
      <c r="E95" s="176"/>
      <c r="F95" s="176"/>
      <c r="G95" s="175"/>
      <c r="H95" s="175"/>
    </row>
    <row r="96" spans="2:8" ht="13.5" thickBot="1" x14ac:dyDescent="0.3">
      <c r="B96" s="177" t="s">
        <v>74</v>
      </c>
      <c r="C96" s="178"/>
      <c r="D96" s="179"/>
      <c r="E96" s="179"/>
      <c r="F96" s="179"/>
      <c r="G96" s="180"/>
      <c r="H96" s="181">
        <f>SUM(H59:H95)</f>
        <v>0</v>
      </c>
    </row>
    <row r="97" spans="2:8" ht="13" thickBot="1" x14ac:dyDescent="0.3"/>
    <row r="98" spans="2:8" s="10" customFormat="1" ht="18" thickBot="1" x14ac:dyDescent="0.4">
      <c r="D98" s="200" t="s">
        <v>25</v>
      </c>
      <c r="E98" s="229"/>
      <c r="F98" s="201"/>
    </row>
    <row r="99" spans="2:8" ht="19.5" customHeight="1" thickBot="1" x14ac:dyDescent="0.3">
      <c r="B99" s="10"/>
      <c r="D99" s="216" t="s">
        <v>79</v>
      </c>
      <c r="E99" s="217"/>
      <c r="F99" s="218"/>
      <c r="G99" s="10"/>
      <c r="H99" s="10"/>
    </row>
    <row r="100" spans="2:8" ht="12.75" customHeight="1" thickBot="1" x14ac:dyDescent="0.3">
      <c r="B100" s="208" t="s">
        <v>75</v>
      </c>
      <c r="C100" s="230" t="s">
        <v>70</v>
      </c>
      <c r="D100" s="164" t="s">
        <v>86</v>
      </c>
      <c r="E100" s="164" t="s">
        <v>0</v>
      </c>
      <c r="F100" s="223" t="s">
        <v>87</v>
      </c>
      <c r="G100" s="225" t="s">
        <v>81</v>
      </c>
      <c r="H100" s="227" t="s">
        <v>71</v>
      </c>
    </row>
    <row r="101" spans="2:8" ht="29.25" customHeight="1" x14ac:dyDescent="0.25">
      <c r="B101" s="209"/>
      <c r="C101" s="231"/>
      <c r="D101" s="165" t="s">
        <v>82</v>
      </c>
      <c r="E101" s="165" t="s">
        <v>82</v>
      </c>
      <c r="F101" s="224"/>
      <c r="G101" s="226"/>
      <c r="H101" s="228"/>
    </row>
    <row r="102" spans="2:8" ht="13.5" x14ac:dyDescent="0.25">
      <c r="B102" s="80" t="s">
        <v>12</v>
      </c>
      <c r="C102" s="74"/>
      <c r="D102" s="73"/>
      <c r="E102" s="73"/>
      <c r="F102" s="73"/>
      <c r="G102" s="75"/>
      <c r="H102" s="76"/>
    </row>
    <row r="103" spans="2:8" ht="13" x14ac:dyDescent="0.25">
      <c r="B103" s="74" t="s">
        <v>76</v>
      </c>
      <c r="C103" s="74"/>
      <c r="D103" s="73"/>
      <c r="E103" s="73"/>
      <c r="F103" s="73"/>
      <c r="G103" s="75"/>
      <c r="H103" s="76"/>
    </row>
    <row r="104" spans="2:8" ht="13" x14ac:dyDescent="0.25">
      <c r="B104" s="74"/>
      <c r="C104" s="74"/>
      <c r="D104" s="73"/>
      <c r="E104" s="73"/>
      <c r="F104" s="73"/>
      <c r="G104" s="75"/>
      <c r="H104" s="76"/>
    </row>
    <row r="105" spans="2:8" ht="13" x14ac:dyDescent="0.25">
      <c r="B105" s="74"/>
      <c r="C105" s="74"/>
      <c r="D105" s="73"/>
      <c r="E105" s="73"/>
      <c r="F105" s="73"/>
      <c r="G105" s="75"/>
      <c r="H105" s="76"/>
    </row>
    <row r="106" spans="2:8" ht="13" x14ac:dyDescent="0.25">
      <c r="B106" s="74"/>
      <c r="C106" s="74"/>
      <c r="D106" s="73"/>
      <c r="E106" s="73"/>
      <c r="F106" s="73"/>
      <c r="G106" s="75"/>
      <c r="H106" s="76"/>
    </row>
    <row r="107" spans="2:8" ht="13" x14ac:dyDescent="0.25">
      <c r="B107" s="72"/>
      <c r="C107" s="74"/>
      <c r="D107" s="73"/>
      <c r="E107" s="73"/>
      <c r="F107" s="73"/>
      <c r="G107" s="75"/>
      <c r="H107" s="76"/>
    </row>
    <row r="108" spans="2:8" ht="13" x14ac:dyDescent="0.25">
      <c r="B108" s="74"/>
      <c r="C108" s="74"/>
      <c r="D108" s="73"/>
      <c r="E108" s="73"/>
      <c r="F108" s="73"/>
      <c r="G108" s="75"/>
      <c r="H108" s="76"/>
    </row>
    <row r="109" spans="2:8" ht="13" x14ac:dyDescent="0.25">
      <c r="B109" s="74" t="s">
        <v>77</v>
      </c>
      <c r="C109" s="74"/>
      <c r="D109" s="73"/>
      <c r="E109" s="73"/>
      <c r="F109" s="73"/>
      <c r="G109" s="75"/>
      <c r="H109" s="76"/>
    </row>
    <row r="110" spans="2:8" ht="13" x14ac:dyDescent="0.25">
      <c r="B110" s="74"/>
      <c r="C110" s="74"/>
      <c r="D110" s="73"/>
      <c r="E110" s="73"/>
      <c r="F110" s="73"/>
      <c r="G110" s="75"/>
      <c r="H110" s="76"/>
    </row>
    <row r="111" spans="2:8" ht="13" x14ac:dyDescent="0.25">
      <c r="B111" s="72"/>
      <c r="C111" s="74"/>
      <c r="D111" s="73"/>
      <c r="E111" s="73"/>
      <c r="F111" s="73"/>
      <c r="G111" s="75"/>
      <c r="H111" s="76"/>
    </row>
    <row r="112" spans="2:8" ht="13" x14ac:dyDescent="0.25">
      <c r="B112" s="74"/>
      <c r="C112" s="74"/>
      <c r="D112" s="73"/>
      <c r="E112" s="73"/>
      <c r="F112" s="73"/>
      <c r="G112" s="75"/>
      <c r="H112" s="76"/>
    </row>
    <row r="113" spans="2:8" ht="13" x14ac:dyDescent="0.25">
      <c r="B113" s="74"/>
      <c r="C113" s="74"/>
      <c r="D113" s="73"/>
      <c r="E113" s="73"/>
      <c r="F113" s="73"/>
      <c r="G113" s="75"/>
      <c r="H113" s="76"/>
    </row>
    <row r="114" spans="2:8" ht="13" x14ac:dyDescent="0.25">
      <c r="B114" s="74"/>
      <c r="C114" s="74"/>
      <c r="D114" s="73"/>
      <c r="E114" s="73"/>
      <c r="F114" s="73"/>
      <c r="G114" s="75"/>
      <c r="H114" s="76"/>
    </row>
    <row r="115" spans="2:8" ht="13" x14ac:dyDescent="0.25">
      <c r="B115" s="74" t="s">
        <v>72</v>
      </c>
      <c r="C115" s="74"/>
      <c r="D115" s="73"/>
      <c r="E115" s="73"/>
      <c r="F115" s="73"/>
      <c r="G115" s="75"/>
      <c r="H115" s="76"/>
    </row>
    <row r="116" spans="2:8" ht="13" x14ac:dyDescent="0.25">
      <c r="B116" s="74"/>
      <c r="C116" s="74"/>
      <c r="D116" s="73"/>
      <c r="E116" s="73"/>
      <c r="F116" s="73"/>
      <c r="G116" s="75"/>
      <c r="H116" s="76"/>
    </row>
    <row r="117" spans="2:8" ht="13" x14ac:dyDescent="0.25">
      <c r="B117" s="74"/>
      <c r="C117" s="74"/>
      <c r="D117" s="73"/>
      <c r="E117" s="73"/>
      <c r="F117" s="73"/>
      <c r="G117" s="75"/>
      <c r="H117" s="76"/>
    </row>
    <row r="118" spans="2:8" ht="13" x14ac:dyDescent="0.25">
      <c r="B118" s="74"/>
      <c r="C118" s="74"/>
      <c r="D118" s="73"/>
      <c r="E118" s="73"/>
      <c r="F118" s="73"/>
      <c r="G118" s="75"/>
      <c r="H118" s="76"/>
    </row>
    <row r="119" spans="2:8" ht="13" x14ac:dyDescent="0.25">
      <c r="B119" s="74"/>
      <c r="C119" s="74"/>
      <c r="D119" s="73"/>
      <c r="E119" s="73"/>
      <c r="F119" s="73"/>
      <c r="G119" s="75"/>
      <c r="H119" s="76"/>
    </row>
    <row r="120" spans="2:8" ht="13" x14ac:dyDescent="0.25">
      <c r="B120" s="74"/>
      <c r="C120" s="74"/>
      <c r="D120" s="73"/>
      <c r="E120" s="73"/>
      <c r="F120" s="73"/>
      <c r="G120" s="75"/>
      <c r="H120" s="76"/>
    </row>
    <row r="121" spans="2:8" ht="13" x14ac:dyDescent="0.25">
      <c r="B121" s="81" t="s">
        <v>78</v>
      </c>
      <c r="C121" s="74"/>
      <c r="D121" s="73"/>
      <c r="E121" s="73"/>
      <c r="F121" s="73"/>
      <c r="G121" s="75"/>
      <c r="H121" s="76"/>
    </row>
    <row r="122" spans="2:8" ht="13" x14ac:dyDescent="0.25">
      <c r="B122" s="74" t="s">
        <v>76</v>
      </c>
      <c r="C122" s="74"/>
      <c r="D122" s="73"/>
      <c r="E122" s="73"/>
      <c r="F122" s="73"/>
      <c r="G122" s="75"/>
      <c r="H122" s="76"/>
    </row>
    <row r="123" spans="2:8" ht="13" x14ac:dyDescent="0.25">
      <c r="B123" s="74"/>
      <c r="C123" s="74"/>
      <c r="D123" s="73"/>
      <c r="E123" s="73"/>
      <c r="F123" s="73"/>
      <c r="G123" s="75"/>
      <c r="H123" s="76"/>
    </row>
    <row r="124" spans="2:8" ht="13" x14ac:dyDescent="0.25">
      <c r="B124" s="74"/>
      <c r="C124" s="74"/>
      <c r="D124" s="73"/>
      <c r="E124" s="73"/>
      <c r="F124" s="73"/>
      <c r="G124" s="75"/>
      <c r="H124" s="76"/>
    </row>
    <row r="125" spans="2:8" ht="13" x14ac:dyDescent="0.25">
      <c r="B125" s="74"/>
      <c r="C125" s="74"/>
      <c r="D125" s="73"/>
      <c r="E125" s="73"/>
      <c r="F125" s="73"/>
      <c r="G125" s="75"/>
      <c r="H125" s="76"/>
    </row>
    <row r="126" spans="2:8" ht="13" x14ac:dyDescent="0.25">
      <c r="B126" s="74"/>
      <c r="C126" s="74"/>
      <c r="D126" s="73"/>
      <c r="E126" s="73"/>
      <c r="F126" s="73"/>
      <c r="G126" s="75"/>
      <c r="H126" s="76"/>
    </row>
    <row r="127" spans="2:8" ht="13" x14ac:dyDescent="0.25">
      <c r="B127" s="74"/>
      <c r="C127" s="74"/>
      <c r="D127" s="73"/>
      <c r="E127" s="73"/>
      <c r="F127" s="73"/>
      <c r="G127" s="75"/>
      <c r="H127" s="76"/>
    </row>
    <row r="128" spans="2:8" ht="13" x14ac:dyDescent="0.25">
      <c r="B128" s="74" t="s">
        <v>77</v>
      </c>
      <c r="C128" s="74"/>
      <c r="D128" s="73"/>
      <c r="E128" s="73"/>
      <c r="F128" s="73"/>
      <c r="G128" s="75"/>
      <c r="H128" s="76"/>
    </row>
    <row r="129" spans="2:8" ht="13" x14ac:dyDescent="0.25">
      <c r="B129" s="72"/>
      <c r="C129" s="74"/>
      <c r="D129" s="73"/>
      <c r="E129" s="73"/>
      <c r="F129" s="73"/>
      <c r="G129" s="75"/>
      <c r="H129" s="76"/>
    </row>
    <row r="130" spans="2:8" ht="13" x14ac:dyDescent="0.25">
      <c r="B130" s="74"/>
      <c r="C130" s="74"/>
      <c r="D130" s="73"/>
      <c r="E130" s="73"/>
      <c r="F130" s="73"/>
      <c r="G130" s="75"/>
      <c r="H130" s="76"/>
    </row>
    <row r="131" spans="2:8" ht="13" x14ac:dyDescent="0.25">
      <c r="B131" s="74"/>
      <c r="C131" s="74"/>
      <c r="D131" s="73"/>
      <c r="E131" s="73"/>
      <c r="F131" s="73"/>
      <c r="G131" s="75"/>
      <c r="H131" s="76"/>
    </row>
    <row r="132" spans="2:8" ht="13" x14ac:dyDescent="0.25">
      <c r="B132" s="74"/>
      <c r="C132" s="74"/>
      <c r="D132" s="73"/>
      <c r="E132" s="73"/>
      <c r="F132" s="73"/>
      <c r="G132" s="75"/>
      <c r="H132" s="76"/>
    </row>
    <row r="133" spans="2:8" ht="13" x14ac:dyDescent="0.25">
      <c r="B133" s="74"/>
      <c r="C133" s="74"/>
      <c r="D133" s="73"/>
      <c r="E133" s="73"/>
      <c r="F133" s="73"/>
      <c r="G133" s="75"/>
      <c r="H133" s="76"/>
    </row>
    <row r="134" spans="2:8" ht="13" x14ac:dyDescent="0.25">
      <c r="B134" s="74" t="s">
        <v>73</v>
      </c>
      <c r="C134" s="74"/>
      <c r="D134" s="73"/>
      <c r="E134" s="73"/>
      <c r="F134" s="73"/>
      <c r="G134" s="75"/>
      <c r="H134" s="76"/>
    </row>
    <row r="135" spans="2:8" ht="13" x14ac:dyDescent="0.25">
      <c r="B135" s="78"/>
      <c r="C135" s="74"/>
      <c r="D135" s="73"/>
      <c r="E135" s="73"/>
      <c r="F135" s="73"/>
      <c r="G135" s="75"/>
      <c r="H135" s="76"/>
    </row>
    <row r="136" spans="2:8" ht="13" x14ac:dyDescent="0.25">
      <c r="B136" s="79"/>
      <c r="C136" s="77"/>
      <c r="D136" s="73"/>
      <c r="E136" s="73"/>
      <c r="F136" s="73"/>
      <c r="G136" s="75"/>
      <c r="H136" s="76"/>
    </row>
    <row r="137" spans="2:8" ht="13" x14ac:dyDescent="0.25">
      <c r="B137" s="79"/>
      <c r="C137" s="77"/>
      <c r="D137" s="73"/>
      <c r="E137" s="73"/>
      <c r="F137" s="73"/>
      <c r="G137" s="75"/>
      <c r="H137" s="76"/>
    </row>
    <row r="138" spans="2:8" ht="13" x14ac:dyDescent="0.25">
      <c r="B138" s="79"/>
      <c r="C138" s="77"/>
      <c r="D138" s="73"/>
      <c r="E138" s="73"/>
      <c r="F138" s="73"/>
      <c r="G138" s="75"/>
      <c r="H138" s="76"/>
    </row>
    <row r="139" spans="2:8" ht="13.5" thickBot="1" x14ac:dyDescent="0.3">
      <c r="B139" s="174"/>
      <c r="C139" s="175"/>
      <c r="D139" s="176"/>
      <c r="E139" s="176"/>
      <c r="F139" s="176"/>
      <c r="G139" s="175"/>
      <c r="H139" s="175"/>
    </row>
    <row r="140" spans="2:8" ht="13.5" thickBot="1" x14ac:dyDescent="0.3">
      <c r="B140" s="177" t="s">
        <v>74</v>
      </c>
      <c r="C140" s="178"/>
      <c r="D140" s="179"/>
      <c r="E140" s="179"/>
      <c r="F140" s="179"/>
      <c r="G140" s="180"/>
      <c r="H140" s="181">
        <f>SUM(H103:H139)</f>
        <v>0</v>
      </c>
    </row>
    <row r="141" spans="2:8" ht="13" thickBot="1" x14ac:dyDescent="0.3"/>
    <row r="142" spans="2:8" s="10" customFormat="1" ht="18" thickBot="1" x14ac:dyDescent="0.4">
      <c r="D142" s="200" t="s">
        <v>26</v>
      </c>
      <c r="E142" s="229"/>
      <c r="F142" s="201"/>
    </row>
    <row r="143" spans="2:8" ht="13.5" thickBot="1" x14ac:dyDescent="0.3">
      <c r="B143" s="10"/>
      <c r="D143" s="216" t="s">
        <v>79</v>
      </c>
      <c r="E143" s="217"/>
      <c r="F143" s="218"/>
      <c r="G143" s="10"/>
      <c r="H143" s="10"/>
    </row>
    <row r="144" spans="2:8" ht="12.75" customHeight="1" thickBot="1" x14ac:dyDescent="0.3">
      <c r="B144" s="208" t="s">
        <v>75</v>
      </c>
      <c r="C144" s="230" t="s">
        <v>70</v>
      </c>
      <c r="D144" s="164" t="s">
        <v>86</v>
      </c>
      <c r="E144" s="164" t="s">
        <v>0</v>
      </c>
      <c r="F144" s="223" t="s">
        <v>87</v>
      </c>
      <c r="G144" s="225" t="s">
        <v>81</v>
      </c>
      <c r="H144" s="227" t="s">
        <v>71</v>
      </c>
    </row>
    <row r="145" spans="2:8" ht="30.75" customHeight="1" x14ac:dyDescent="0.25">
      <c r="B145" s="209"/>
      <c r="C145" s="231"/>
      <c r="D145" s="165" t="s">
        <v>82</v>
      </c>
      <c r="E145" s="165" t="s">
        <v>82</v>
      </c>
      <c r="F145" s="224"/>
      <c r="G145" s="226"/>
      <c r="H145" s="228"/>
    </row>
    <row r="146" spans="2:8" ht="13.5" x14ac:dyDescent="0.25">
      <c r="B146" s="80" t="s">
        <v>12</v>
      </c>
      <c r="C146" s="74"/>
      <c r="D146" s="73"/>
      <c r="E146" s="73"/>
      <c r="F146" s="73"/>
      <c r="G146" s="75"/>
      <c r="H146" s="76"/>
    </row>
    <row r="147" spans="2:8" ht="13" x14ac:dyDescent="0.25">
      <c r="B147" s="74" t="s">
        <v>76</v>
      </c>
      <c r="C147" s="74"/>
      <c r="D147" s="73"/>
      <c r="E147" s="73"/>
      <c r="F147" s="73"/>
      <c r="G147" s="75"/>
      <c r="H147" s="76"/>
    </row>
    <row r="148" spans="2:8" ht="13" x14ac:dyDescent="0.25">
      <c r="B148" s="74"/>
      <c r="C148" s="74"/>
      <c r="D148" s="73"/>
      <c r="E148" s="73"/>
      <c r="F148" s="73"/>
      <c r="G148" s="75"/>
      <c r="H148" s="76"/>
    </row>
    <row r="149" spans="2:8" ht="13" x14ac:dyDescent="0.25">
      <c r="B149" s="74"/>
      <c r="C149" s="74"/>
      <c r="D149" s="73"/>
      <c r="E149" s="73"/>
      <c r="F149" s="73"/>
      <c r="G149" s="75"/>
      <c r="H149" s="76"/>
    </row>
    <row r="150" spans="2:8" ht="13" x14ac:dyDescent="0.25">
      <c r="B150" s="74"/>
      <c r="C150" s="74"/>
      <c r="D150" s="73"/>
      <c r="E150" s="73"/>
      <c r="F150" s="73"/>
      <c r="G150" s="75"/>
      <c r="H150" s="76"/>
    </row>
    <row r="151" spans="2:8" ht="13" x14ac:dyDescent="0.25">
      <c r="B151" s="72"/>
      <c r="C151" s="74"/>
      <c r="D151" s="73"/>
      <c r="E151" s="73"/>
      <c r="F151" s="73"/>
      <c r="G151" s="75"/>
      <c r="H151" s="76"/>
    </row>
    <row r="152" spans="2:8" ht="13" x14ac:dyDescent="0.25">
      <c r="B152" s="74"/>
      <c r="C152" s="74"/>
      <c r="D152" s="73"/>
      <c r="E152" s="73"/>
      <c r="F152" s="73"/>
      <c r="G152" s="75"/>
      <c r="H152" s="76"/>
    </row>
    <row r="153" spans="2:8" ht="13" x14ac:dyDescent="0.25">
      <c r="B153" s="74" t="s">
        <v>77</v>
      </c>
      <c r="C153" s="74"/>
      <c r="D153" s="73"/>
      <c r="E153" s="73"/>
      <c r="F153" s="73"/>
      <c r="G153" s="75"/>
      <c r="H153" s="76"/>
    </row>
    <row r="154" spans="2:8" ht="13" x14ac:dyDescent="0.25">
      <c r="B154" s="74"/>
      <c r="C154" s="74"/>
      <c r="D154" s="73"/>
      <c r="E154" s="73"/>
      <c r="F154" s="73"/>
      <c r="G154" s="75"/>
      <c r="H154" s="76"/>
    </row>
    <row r="155" spans="2:8" ht="13" x14ac:dyDescent="0.25">
      <c r="B155" s="72"/>
      <c r="C155" s="74"/>
      <c r="D155" s="73"/>
      <c r="E155" s="73"/>
      <c r="F155" s="73"/>
      <c r="G155" s="75"/>
      <c r="H155" s="76"/>
    </row>
    <row r="156" spans="2:8" ht="13" x14ac:dyDescent="0.25">
      <c r="B156" s="74"/>
      <c r="C156" s="74"/>
      <c r="D156" s="73"/>
      <c r="E156" s="73"/>
      <c r="F156" s="73"/>
      <c r="G156" s="75"/>
      <c r="H156" s="76"/>
    </row>
    <row r="157" spans="2:8" ht="13" x14ac:dyDescent="0.25">
      <c r="B157" s="74"/>
      <c r="C157" s="74"/>
      <c r="D157" s="73"/>
      <c r="E157" s="73"/>
      <c r="F157" s="73"/>
      <c r="G157" s="75"/>
      <c r="H157" s="76"/>
    </row>
    <row r="158" spans="2:8" ht="13" x14ac:dyDescent="0.25">
      <c r="B158" s="74"/>
      <c r="C158" s="74"/>
      <c r="D158" s="73"/>
      <c r="E158" s="73"/>
      <c r="F158" s="73"/>
      <c r="G158" s="75"/>
      <c r="H158" s="76"/>
    </row>
    <row r="159" spans="2:8" ht="13" x14ac:dyDescent="0.25">
      <c r="B159" s="74" t="s">
        <v>72</v>
      </c>
      <c r="C159" s="74"/>
      <c r="D159" s="73"/>
      <c r="E159" s="73"/>
      <c r="F159" s="73"/>
      <c r="G159" s="75"/>
      <c r="H159" s="76"/>
    </row>
    <row r="160" spans="2:8" ht="13" x14ac:dyDescent="0.25">
      <c r="B160" s="74"/>
      <c r="C160" s="74"/>
      <c r="D160" s="73"/>
      <c r="E160" s="73"/>
      <c r="F160" s="73"/>
      <c r="G160" s="75"/>
      <c r="H160" s="76"/>
    </row>
    <row r="161" spans="2:8" ht="13" x14ac:dyDescent="0.25">
      <c r="B161" s="74"/>
      <c r="C161" s="74"/>
      <c r="D161" s="73"/>
      <c r="E161" s="73"/>
      <c r="F161" s="73"/>
      <c r="G161" s="75"/>
      <c r="H161" s="76"/>
    </row>
    <row r="162" spans="2:8" ht="13" x14ac:dyDescent="0.25">
      <c r="B162" s="74"/>
      <c r="C162" s="74"/>
      <c r="D162" s="73"/>
      <c r="E162" s="73"/>
      <c r="F162" s="73"/>
      <c r="G162" s="75"/>
      <c r="H162" s="76"/>
    </row>
    <row r="163" spans="2:8" ht="13" x14ac:dyDescent="0.25">
      <c r="B163" s="74"/>
      <c r="C163" s="74"/>
      <c r="D163" s="73"/>
      <c r="E163" s="73"/>
      <c r="F163" s="73"/>
      <c r="G163" s="75"/>
      <c r="H163" s="76"/>
    </row>
    <row r="164" spans="2:8" ht="13" x14ac:dyDescent="0.25">
      <c r="B164" s="74"/>
      <c r="C164" s="74"/>
      <c r="D164" s="73"/>
      <c r="E164" s="73"/>
      <c r="F164" s="73"/>
      <c r="G164" s="75"/>
      <c r="H164" s="76"/>
    </row>
    <row r="165" spans="2:8" ht="13" x14ac:dyDescent="0.25">
      <c r="B165" s="81" t="s">
        <v>78</v>
      </c>
      <c r="C165" s="74"/>
      <c r="D165" s="73"/>
      <c r="E165" s="73"/>
      <c r="F165" s="73"/>
      <c r="G165" s="75"/>
      <c r="H165" s="76"/>
    </row>
    <row r="166" spans="2:8" ht="13" x14ac:dyDescent="0.25">
      <c r="B166" s="74" t="s">
        <v>76</v>
      </c>
      <c r="C166" s="74"/>
      <c r="D166" s="73"/>
      <c r="E166" s="73"/>
      <c r="F166" s="73"/>
      <c r="G166" s="75"/>
      <c r="H166" s="76"/>
    </row>
    <row r="167" spans="2:8" ht="13" x14ac:dyDescent="0.25">
      <c r="B167" s="74"/>
      <c r="C167" s="74"/>
      <c r="D167" s="73"/>
      <c r="E167" s="73"/>
      <c r="F167" s="73"/>
      <c r="G167" s="75"/>
      <c r="H167" s="76"/>
    </row>
    <row r="168" spans="2:8" ht="13" x14ac:dyDescent="0.25">
      <c r="B168" s="74"/>
      <c r="C168" s="74"/>
      <c r="D168" s="73"/>
      <c r="E168" s="73"/>
      <c r="F168" s="73"/>
      <c r="G168" s="75"/>
      <c r="H168" s="76"/>
    </row>
    <row r="169" spans="2:8" ht="13" x14ac:dyDescent="0.25">
      <c r="B169" s="74"/>
      <c r="C169" s="74"/>
      <c r="D169" s="73"/>
      <c r="E169" s="73"/>
      <c r="F169" s="73"/>
      <c r="G169" s="75"/>
      <c r="H169" s="76"/>
    </row>
    <row r="170" spans="2:8" ht="13" x14ac:dyDescent="0.25">
      <c r="B170" s="74"/>
      <c r="C170" s="74"/>
      <c r="D170" s="73"/>
      <c r="E170" s="73"/>
      <c r="F170" s="73"/>
      <c r="G170" s="75"/>
      <c r="H170" s="76"/>
    </row>
    <row r="171" spans="2:8" ht="13" x14ac:dyDescent="0.25">
      <c r="B171" s="74"/>
      <c r="C171" s="74"/>
      <c r="D171" s="73"/>
      <c r="E171" s="73"/>
      <c r="F171" s="73"/>
      <c r="G171" s="75"/>
      <c r="H171" s="76"/>
    </row>
    <row r="172" spans="2:8" ht="13" x14ac:dyDescent="0.25">
      <c r="B172" s="74" t="s">
        <v>77</v>
      </c>
      <c r="C172" s="74"/>
      <c r="D172" s="73"/>
      <c r="E172" s="73"/>
      <c r="F172" s="73"/>
      <c r="G172" s="75"/>
      <c r="H172" s="76"/>
    </row>
    <row r="173" spans="2:8" ht="13" x14ac:dyDescent="0.25">
      <c r="B173" s="72"/>
      <c r="C173" s="74"/>
      <c r="D173" s="73"/>
      <c r="E173" s="73"/>
      <c r="F173" s="73"/>
      <c r="G173" s="75"/>
      <c r="H173" s="76"/>
    </row>
    <row r="174" spans="2:8" ht="13" x14ac:dyDescent="0.25">
      <c r="B174" s="74"/>
      <c r="C174" s="74"/>
      <c r="D174" s="73"/>
      <c r="E174" s="73"/>
      <c r="F174" s="73"/>
      <c r="G174" s="75"/>
      <c r="H174" s="76"/>
    </row>
    <row r="175" spans="2:8" ht="13" x14ac:dyDescent="0.25">
      <c r="B175" s="74"/>
      <c r="C175" s="74"/>
      <c r="D175" s="73"/>
      <c r="E175" s="73"/>
      <c r="F175" s="73"/>
      <c r="G175" s="75"/>
      <c r="H175" s="76"/>
    </row>
    <row r="176" spans="2:8" ht="13" x14ac:dyDescent="0.25">
      <c r="B176" s="74"/>
      <c r="C176" s="74"/>
      <c r="D176" s="73"/>
      <c r="E176" s="73"/>
      <c r="F176" s="73"/>
      <c r="G176" s="75"/>
      <c r="H176" s="76"/>
    </row>
    <row r="177" spans="2:8" ht="13" x14ac:dyDescent="0.25">
      <c r="B177" s="74"/>
      <c r="C177" s="74"/>
      <c r="D177" s="73"/>
      <c r="E177" s="73"/>
      <c r="F177" s="73"/>
      <c r="G177" s="75"/>
      <c r="H177" s="76"/>
    </row>
    <row r="178" spans="2:8" ht="13" x14ac:dyDescent="0.25">
      <c r="B178" s="74" t="s">
        <v>73</v>
      </c>
      <c r="C178" s="74"/>
      <c r="D178" s="73"/>
      <c r="E178" s="73"/>
      <c r="F178" s="73"/>
      <c r="G178" s="75"/>
      <c r="H178" s="76"/>
    </row>
    <row r="179" spans="2:8" ht="13" x14ac:dyDescent="0.25">
      <c r="B179" s="78"/>
      <c r="C179" s="74"/>
      <c r="D179" s="73"/>
      <c r="E179" s="73"/>
      <c r="F179" s="73"/>
      <c r="G179" s="75"/>
      <c r="H179" s="76"/>
    </row>
    <row r="180" spans="2:8" ht="13" x14ac:dyDescent="0.25">
      <c r="B180" s="79"/>
      <c r="C180" s="77"/>
      <c r="D180" s="73"/>
      <c r="E180" s="73"/>
      <c r="F180" s="73"/>
      <c r="G180" s="75"/>
      <c r="H180" s="76"/>
    </row>
    <row r="181" spans="2:8" ht="13" x14ac:dyDescent="0.25">
      <c r="B181" s="79"/>
      <c r="C181" s="77"/>
      <c r="D181" s="73"/>
      <c r="E181" s="73"/>
      <c r="F181" s="73"/>
      <c r="G181" s="75"/>
      <c r="H181" s="76"/>
    </row>
    <row r="182" spans="2:8" ht="13" x14ac:dyDescent="0.25">
      <c r="B182" s="79"/>
      <c r="C182" s="77"/>
      <c r="D182" s="73"/>
      <c r="E182" s="73"/>
      <c r="F182" s="73"/>
      <c r="G182" s="75"/>
      <c r="H182" s="76"/>
    </row>
    <row r="183" spans="2:8" ht="13.5" thickBot="1" x14ac:dyDescent="0.3">
      <c r="B183" s="174"/>
      <c r="C183" s="175"/>
      <c r="D183" s="176"/>
      <c r="E183" s="176"/>
      <c r="F183" s="176"/>
      <c r="G183" s="175"/>
      <c r="H183" s="175"/>
    </row>
    <row r="184" spans="2:8" ht="13.5" thickBot="1" x14ac:dyDescent="0.3">
      <c r="B184" s="177" t="s">
        <v>74</v>
      </c>
      <c r="C184" s="178"/>
      <c r="D184" s="179"/>
      <c r="E184" s="179"/>
      <c r="F184" s="179"/>
      <c r="G184" s="180"/>
      <c r="H184" s="181">
        <f>SUM(H147:H183)</f>
        <v>0</v>
      </c>
    </row>
    <row r="185" spans="2:8" ht="13" thickBot="1" x14ac:dyDescent="0.3"/>
    <row r="186" spans="2:8" s="10" customFormat="1" ht="18" thickBot="1" x14ac:dyDescent="0.4">
      <c r="D186" s="200" t="s">
        <v>27</v>
      </c>
      <c r="E186" s="229"/>
      <c r="F186" s="201"/>
    </row>
    <row r="187" spans="2:8" ht="13.5" thickBot="1" x14ac:dyDescent="0.3">
      <c r="B187" s="10"/>
      <c r="D187" s="216" t="s">
        <v>79</v>
      </c>
      <c r="E187" s="217"/>
      <c r="F187" s="218"/>
      <c r="G187" s="10"/>
      <c r="H187" s="10"/>
    </row>
    <row r="188" spans="2:8" ht="12.75" customHeight="1" thickBot="1" x14ac:dyDescent="0.3">
      <c r="B188" s="208" t="s">
        <v>75</v>
      </c>
      <c r="C188" s="230" t="s">
        <v>70</v>
      </c>
      <c r="D188" s="164" t="s">
        <v>86</v>
      </c>
      <c r="E188" s="164" t="s">
        <v>0</v>
      </c>
      <c r="F188" s="223" t="s">
        <v>87</v>
      </c>
      <c r="G188" s="225" t="s">
        <v>81</v>
      </c>
      <c r="H188" s="227" t="s">
        <v>71</v>
      </c>
    </row>
    <row r="189" spans="2:8" ht="28.5" customHeight="1" x14ac:dyDescent="0.25">
      <c r="B189" s="209"/>
      <c r="C189" s="231"/>
      <c r="D189" s="165" t="s">
        <v>82</v>
      </c>
      <c r="E189" s="165" t="s">
        <v>82</v>
      </c>
      <c r="F189" s="224"/>
      <c r="G189" s="226"/>
      <c r="H189" s="228"/>
    </row>
    <row r="190" spans="2:8" ht="13.5" x14ac:dyDescent="0.25">
      <c r="B190" s="80" t="s">
        <v>12</v>
      </c>
      <c r="C190" s="74"/>
      <c r="D190" s="73"/>
      <c r="E190" s="73"/>
      <c r="F190" s="73"/>
      <c r="G190" s="75"/>
      <c r="H190" s="76"/>
    </row>
    <row r="191" spans="2:8" ht="13" x14ac:dyDescent="0.25">
      <c r="B191" s="74" t="s">
        <v>76</v>
      </c>
      <c r="C191" s="74"/>
      <c r="D191" s="73"/>
      <c r="E191" s="73"/>
      <c r="F191" s="73"/>
      <c r="G191" s="75"/>
      <c r="H191" s="76"/>
    </row>
    <row r="192" spans="2:8" ht="13" x14ac:dyDescent="0.25">
      <c r="B192" s="74"/>
      <c r="C192" s="74"/>
      <c r="D192" s="73"/>
      <c r="E192" s="73"/>
      <c r="F192" s="73"/>
      <c r="G192" s="75"/>
      <c r="H192" s="76"/>
    </row>
    <row r="193" spans="2:8" ht="13" x14ac:dyDescent="0.25">
      <c r="B193" s="74"/>
      <c r="C193" s="74"/>
      <c r="D193" s="73"/>
      <c r="E193" s="73"/>
      <c r="F193" s="73"/>
      <c r="G193" s="75"/>
      <c r="H193" s="76"/>
    </row>
    <row r="194" spans="2:8" ht="13" x14ac:dyDescent="0.25">
      <c r="B194" s="74"/>
      <c r="C194" s="74"/>
      <c r="D194" s="73"/>
      <c r="E194" s="73"/>
      <c r="F194" s="73"/>
      <c r="G194" s="75"/>
      <c r="H194" s="76"/>
    </row>
    <row r="195" spans="2:8" ht="13" x14ac:dyDescent="0.25">
      <c r="B195" s="72"/>
      <c r="C195" s="74"/>
      <c r="D195" s="73"/>
      <c r="E195" s="73"/>
      <c r="F195" s="73"/>
      <c r="G195" s="75"/>
      <c r="H195" s="76"/>
    </row>
    <row r="196" spans="2:8" ht="13" x14ac:dyDescent="0.25">
      <c r="B196" s="74"/>
      <c r="C196" s="74"/>
      <c r="D196" s="73"/>
      <c r="E196" s="73"/>
      <c r="F196" s="73"/>
      <c r="G196" s="75"/>
      <c r="H196" s="76"/>
    </row>
    <row r="197" spans="2:8" ht="13" x14ac:dyDescent="0.25">
      <c r="B197" s="74" t="s">
        <v>77</v>
      </c>
      <c r="C197" s="74"/>
      <c r="D197" s="73"/>
      <c r="E197" s="73"/>
      <c r="F197" s="73"/>
      <c r="G197" s="75"/>
      <c r="H197" s="76"/>
    </row>
    <row r="198" spans="2:8" ht="13" x14ac:dyDescent="0.25">
      <c r="B198" s="74"/>
      <c r="C198" s="74"/>
      <c r="D198" s="73"/>
      <c r="E198" s="73"/>
      <c r="F198" s="73"/>
      <c r="G198" s="75"/>
      <c r="H198" s="76"/>
    </row>
    <row r="199" spans="2:8" ht="13" x14ac:dyDescent="0.25">
      <c r="B199" s="72"/>
      <c r="C199" s="74"/>
      <c r="D199" s="73"/>
      <c r="E199" s="73"/>
      <c r="F199" s="73"/>
      <c r="G199" s="75"/>
      <c r="H199" s="76"/>
    </row>
    <row r="200" spans="2:8" ht="13" x14ac:dyDescent="0.25">
      <c r="B200" s="74"/>
      <c r="C200" s="74"/>
      <c r="D200" s="73"/>
      <c r="E200" s="73"/>
      <c r="F200" s="73"/>
      <c r="G200" s="75"/>
      <c r="H200" s="76"/>
    </row>
    <row r="201" spans="2:8" ht="13" x14ac:dyDescent="0.25">
      <c r="B201" s="74"/>
      <c r="C201" s="74"/>
      <c r="D201" s="73"/>
      <c r="E201" s="73"/>
      <c r="F201" s="73"/>
      <c r="G201" s="75"/>
      <c r="H201" s="76"/>
    </row>
    <row r="202" spans="2:8" ht="13" x14ac:dyDescent="0.25">
      <c r="B202" s="74"/>
      <c r="C202" s="74"/>
      <c r="D202" s="73"/>
      <c r="E202" s="73"/>
      <c r="F202" s="73"/>
      <c r="G202" s="75"/>
      <c r="H202" s="76"/>
    </row>
    <row r="203" spans="2:8" ht="13" x14ac:dyDescent="0.25">
      <c r="B203" s="74" t="s">
        <v>72</v>
      </c>
      <c r="C203" s="74"/>
      <c r="D203" s="73"/>
      <c r="E203" s="73"/>
      <c r="F203" s="73"/>
      <c r="G203" s="75"/>
      <c r="H203" s="76"/>
    </row>
    <row r="204" spans="2:8" ht="13" x14ac:dyDescent="0.25">
      <c r="B204" s="74"/>
      <c r="C204" s="74"/>
      <c r="D204" s="73"/>
      <c r="E204" s="73"/>
      <c r="F204" s="73"/>
      <c r="G204" s="75"/>
      <c r="H204" s="76"/>
    </row>
    <row r="205" spans="2:8" ht="13" x14ac:dyDescent="0.25">
      <c r="B205" s="74"/>
      <c r="C205" s="74"/>
      <c r="D205" s="73"/>
      <c r="E205" s="73"/>
      <c r="F205" s="73"/>
      <c r="G205" s="75"/>
      <c r="H205" s="76"/>
    </row>
    <row r="206" spans="2:8" ht="13" x14ac:dyDescent="0.25">
      <c r="B206" s="74"/>
      <c r="C206" s="74"/>
      <c r="D206" s="73"/>
      <c r="E206" s="73"/>
      <c r="F206" s="73"/>
      <c r="G206" s="75"/>
      <c r="H206" s="76"/>
    </row>
    <row r="207" spans="2:8" ht="13" x14ac:dyDescent="0.25">
      <c r="B207" s="74"/>
      <c r="C207" s="74"/>
      <c r="D207" s="73"/>
      <c r="E207" s="73"/>
      <c r="F207" s="73"/>
      <c r="G207" s="75"/>
      <c r="H207" s="76"/>
    </row>
    <row r="208" spans="2:8" ht="13" x14ac:dyDescent="0.25">
      <c r="B208" s="74"/>
      <c r="C208" s="74"/>
      <c r="D208" s="73"/>
      <c r="E208" s="73"/>
      <c r="F208" s="73"/>
      <c r="G208" s="75"/>
      <c r="H208" s="76"/>
    </row>
    <row r="209" spans="2:8" ht="13" x14ac:dyDescent="0.25">
      <c r="B209" s="81" t="s">
        <v>78</v>
      </c>
      <c r="C209" s="74"/>
      <c r="D209" s="73"/>
      <c r="E209" s="73"/>
      <c r="F209" s="73"/>
      <c r="G209" s="75"/>
      <c r="H209" s="76"/>
    </row>
    <row r="210" spans="2:8" ht="13" x14ac:dyDescent="0.25">
      <c r="B210" s="74" t="s">
        <v>76</v>
      </c>
      <c r="C210" s="74"/>
      <c r="D210" s="73"/>
      <c r="E210" s="73"/>
      <c r="F210" s="73"/>
      <c r="G210" s="75"/>
      <c r="H210" s="76"/>
    </row>
    <row r="211" spans="2:8" ht="13" x14ac:dyDescent="0.25">
      <c r="B211" s="74"/>
      <c r="C211" s="74"/>
      <c r="D211" s="73"/>
      <c r="E211" s="73"/>
      <c r="F211" s="73"/>
      <c r="G211" s="75"/>
      <c r="H211" s="76"/>
    </row>
    <row r="212" spans="2:8" ht="13" x14ac:dyDescent="0.25">
      <c r="B212" s="74"/>
      <c r="C212" s="74"/>
      <c r="D212" s="73"/>
      <c r="E212" s="73"/>
      <c r="F212" s="73"/>
      <c r="G212" s="75"/>
      <c r="H212" s="76"/>
    </row>
    <row r="213" spans="2:8" ht="13" x14ac:dyDescent="0.25">
      <c r="B213" s="74"/>
      <c r="C213" s="74"/>
      <c r="D213" s="73"/>
      <c r="E213" s="73"/>
      <c r="F213" s="73"/>
      <c r="G213" s="75"/>
      <c r="H213" s="76"/>
    </row>
    <row r="214" spans="2:8" ht="13" x14ac:dyDescent="0.25">
      <c r="B214" s="74"/>
      <c r="C214" s="74"/>
      <c r="D214" s="73"/>
      <c r="E214" s="73"/>
      <c r="F214" s="73"/>
      <c r="G214" s="75"/>
      <c r="H214" s="76"/>
    </row>
    <row r="215" spans="2:8" ht="13" x14ac:dyDescent="0.25">
      <c r="B215" s="74"/>
      <c r="C215" s="74"/>
      <c r="D215" s="73"/>
      <c r="E215" s="73"/>
      <c r="F215" s="73"/>
      <c r="G215" s="75"/>
      <c r="H215" s="76"/>
    </row>
    <row r="216" spans="2:8" ht="13" x14ac:dyDescent="0.25">
      <c r="B216" s="74" t="s">
        <v>77</v>
      </c>
      <c r="C216" s="74"/>
      <c r="D216" s="73"/>
      <c r="E216" s="73"/>
      <c r="F216" s="73"/>
      <c r="G216" s="75"/>
      <c r="H216" s="76"/>
    </row>
    <row r="217" spans="2:8" ht="13" x14ac:dyDescent="0.25">
      <c r="B217" s="72"/>
      <c r="C217" s="74"/>
      <c r="D217" s="73"/>
      <c r="E217" s="73"/>
      <c r="F217" s="73"/>
      <c r="G217" s="75"/>
      <c r="H217" s="76"/>
    </row>
    <row r="218" spans="2:8" ht="13" x14ac:dyDescent="0.25">
      <c r="B218" s="74"/>
      <c r="C218" s="74"/>
      <c r="D218" s="73"/>
      <c r="E218" s="73"/>
      <c r="F218" s="73"/>
      <c r="G218" s="75"/>
      <c r="H218" s="76"/>
    </row>
    <row r="219" spans="2:8" ht="13" x14ac:dyDescent="0.25">
      <c r="B219" s="74"/>
      <c r="C219" s="74"/>
      <c r="D219" s="73"/>
      <c r="E219" s="73"/>
      <c r="F219" s="73"/>
      <c r="G219" s="75"/>
      <c r="H219" s="76"/>
    </row>
    <row r="220" spans="2:8" ht="13" x14ac:dyDescent="0.25">
      <c r="B220" s="74"/>
      <c r="C220" s="74"/>
      <c r="D220" s="73"/>
      <c r="E220" s="73"/>
      <c r="F220" s="73"/>
      <c r="G220" s="75"/>
      <c r="H220" s="76"/>
    </row>
    <row r="221" spans="2:8" ht="13" x14ac:dyDescent="0.25">
      <c r="B221" s="74"/>
      <c r="C221" s="74"/>
      <c r="D221" s="73"/>
      <c r="E221" s="73"/>
      <c r="F221" s="73"/>
      <c r="G221" s="75"/>
      <c r="H221" s="76"/>
    </row>
    <row r="222" spans="2:8" ht="13" x14ac:dyDescent="0.25">
      <c r="B222" s="74" t="s">
        <v>73</v>
      </c>
      <c r="C222" s="74"/>
      <c r="D222" s="73"/>
      <c r="E222" s="73"/>
      <c r="F222" s="73"/>
      <c r="G222" s="75"/>
      <c r="H222" s="76"/>
    </row>
    <row r="223" spans="2:8" ht="13" x14ac:dyDescent="0.25">
      <c r="B223" s="78"/>
      <c r="C223" s="74"/>
      <c r="D223" s="73"/>
      <c r="E223" s="73"/>
      <c r="F223" s="73"/>
      <c r="G223" s="75"/>
      <c r="H223" s="76"/>
    </row>
    <row r="224" spans="2:8" ht="13" x14ac:dyDescent="0.25">
      <c r="B224" s="79"/>
      <c r="C224" s="77"/>
      <c r="D224" s="73"/>
      <c r="E224" s="73"/>
      <c r="F224" s="73"/>
      <c r="G224" s="75"/>
      <c r="H224" s="76"/>
    </row>
    <row r="225" spans="2:8" ht="13" x14ac:dyDescent="0.25">
      <c r="B225" s="79"/>
      <c r="C225" s="77"/>
      <c r="D225" s="73"/>
      <c r="E225" s="73"/>
      <c r="F225" s="73"/>
      <c r="G225" s="75"/>
      <c r="H225" s="76"/>
    </row>
    <row r="226" spans="2:8" ht="13" x14ac:dyDescent="0.25">
      <c r="B226" s="79"/>
      <c r="C226" s="77"/>
      <c r="D226" s="73"/>
      <c r="E226" s="73"/>
      <c r="F226" s="73"/>
      <c r="G226" s="75"/>
      <c r="H226" s="76"/>
    </row>
    <row r="227" spans="2:8" ht="13.5" thickBot="1" x14ac:dyDescent="0.3">
      <c r="B227" s="174"/>
      <c r="C227" s="175"/>
      <c r="D227" s="176"/>
      <c r="E227" s="176"/>
      <c r="F227" s="176"/>
      <c r="G227" s="175"/>
      <c r="H227" s="175"/>
    </row>
    <row r="228" spans="2:8" ht="13.5" thickBot="1" x14ac:dyDescent="0.3">
      <c r="B228" s="177" t="s">
        <v>74</v>
      </c>
      <c r="C228" s="178"/>
      <c r="D228" s="179"/>
      <c r="E228" s="179"/>
      <c r="F228" s="179"/>
      <c r="G228" s="180"/>
      <c r="H228" s="181">
        <f>SUM(H191:H227)</f>
        <v>0</v>
      </c>
    </row>
  </sheetData>
  <mergeCells count="38">
    <mergeCell ref="H188:H189"/>
    <mergeCell ref="D187:F187"/>
    <mergeCell ref="F188:F189"/>
    <mergeCell ref="D142:F142"/>
    <mergeCell ref="B144:B145"/>
    <mergeCell ref="C144:C145"/>
    <mergeCell ref="G144:G145"/>
    <mergeCell ref="H144:H145"/>
    <mergeCell ref="F144:F145"/>
    <mergeCell ref="D186:F186"/>
    <mergeCell ref="B188:B189"/>
    <mergeCell ref="C188:C189"/>
    <mergeCell ref="G188:G189"/>
    <mergeCell ref="D143:F143"/>
    <mergeCell ref="B100:B101"/>
    <mergeCell ref="C100:C101"/>
    <mergeCell ref="G100:G101"/>
    <mergeCell ref="H100:H101"/>
    <mergeCell ref="B56:B57"/>
    <mergeCell ref="C56:C57"/>
    <mergeCell ref="F56:F57"/>
    <mergeCell ref="D99:F99"/>
    <mergeCell ref="F100:F101"/>
    <mergeCell ref="D54:F54"/>
    <mergeCell ref="F11:F12"/>
    <mergeCell ref="G56:G57"/>
    <mergeCell ref="H56:H57"/>
    <mergeCell ref="D98:F98"/>
    <mergeCell ref="D55:F55"/>
    <mergeCell ref="B4:H4"/>
    <mergeCell ref="B6:H6"/>
    <mergeCell ref="B11:B12"/>
    <mergeCell ref="G11:G12"/>
    <mergeCell ref="H11:H12"/>
    <mergeCell ref="C11:C12"/>
    <mergeCell ref="D10:F10"/>
    <mergeCell ref="D9:F9"/>
    <mergeCell ref="B8:C8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4B0A-DDCC-4667-BF3B-7632F2975C9C}">
  <sheetPr>
    <pageSetUpPr fitToPage="1"/>
  </sheetPr>
  <dimension ref="B1:H15"/>
  <sheetViews>
    <sheetView showGridLines="0" workbookViewId="0">
      <selection activeCell="C9" sqref="C9"/>
    </sheetView>
  </sheetViews>
  <sheetFormatPr defaultColWidth="9.1796875" defaultRowHeight="14.5" x14ac:dyDescent="0.35"/>
  <cols>
    <col min="1" max="1" width="2.54296875" style="1" customWidth="1"/>
    <col min="2" max="2" width="37.81640625" style="1" customWidth="1"/>
    <col min="3" max="3" width="17.26953125" style="1" customWidth="1"/>
    <col min="4" max="4" width="17.54296875" style="1" customWidth="1"/>
    <col min="5" max="5" width="17" style="1" customWidth="1"/>
    <col min="6" max="6" width="17.1796875" style="1" customWidth="1"/>
    <col min="7" max="7" width="17" style="1" customWidth="1"/>
    <col min="8" max="8" width="18" style="1" customWidth="1"/>
    <col min="9" max="16384" width="9.1796875" style="1"/>
  </cols>
  <sheetData>
    <row r="1" spans="2:8" x14ac:dyDescent="0.35">
      <c r="B1" s="241" t="s">
        <v>17</v>
      </c>
      <c r="C1" s="242"/>
      <c r="D1" s="242"/>
      <c r="E1" s="242"/>
      <c r="F1" s="242"/>
      <c r="G1" s="242"/>
      <c r="H1" s="243"/>
    </row>
    <row r="2" spans="2:8" x14ac:dyDescent="0.35">
      <c r="B2" s="244" t="s">
        <v>18</v>
      </c>
      <c r="C2" s="245"/>
      <c r="D2" s="245"/>
      <c r="E2" s="245"/>
      <c r="F2" s="245"/>
      <c r="G2" s="245"/>
      <c r="H2" s="246"/>
    </row>
    <row r="3" spans="2:8" x14ac:dyDescent="0.35">
      <c r="B3" s="244"/>
      <c r="C3" s="245"/>
      <c r="D3" s="245"/>
      <c r="E3" s="245"/>
      <c r="F3" s="245"/>
      <c r="G3" s="245"/>
      <c r="H3" s="246"/>
    </row>
    <row r="4" spans="2:8" x14ac:dyDescent="0.35">
      <c r="B4" s="244" t="s">
        <v>19</v>
      </c>
      <c r="C4" s="245"/>
      <c r="D4" s="245"/>
      <c r="E4" s="245"/>
      <c r="F4" s="245"/>
      <c r="G4" s="245"/>
      <c r="H4" s="246"/>
    </row>
    <row r="5" spans="2:8" ht="18" x14ac:dyDescent="0.4">
      <c r="B5" s="247" t="s">
        <v>20</v>
      </c>
      <c r="C5" s="248"/>
      <c r="D5" s="248"/>
      <c r="E5" s="248"/>
      <c r="F5" s="248"/>
      <c r="G5" s="248"/>
      <c r="H5" s="249"/>
    </row>
    <row r="6" spans="2:8" ht="15.5" x14ac:dyDescent="0.35">
      <c r="B6" s="250" t="s">
        <v>21</v>
      </c>
      <c r="C6" s="251"/>
      <c r="D6" s="251"/>
      <c r="E6" s="251"/>
      <c r="F6" s="251"/>
      <c r="G6" s="251"/>
      <c r="H6" s="252"/>
    </row>
    <row r="7" spans="2:8" x14ac:dyDescent="0.35">
      <c r="B7" s="232"/>
      <c r="C7" s="233"/>
      <c r="D7" s="233"/>
      <c r="E7" s="233"/>
      <c r="F7" s="233"/>
      <c r="G7" s="233"/>
      <c r="H7" s="234"/>
    </row>
    <row r="8" spans="2:8" x14ac:dyDescent="0.35">
      <c r="B8" s="2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4" t="s">
        <v>28</v>
      </c>
    </row>
    <row r="9" spans="2:8" ht="44.25" customHeight="1" x14ac:dyDescent="0.35">
      <c r="B9" s="5" t="s">
        <v>83</v>
      </c>
      <c r="C9" s="6">
        <f>'Exhibit 1A-1'!R61</f>
        <v>0</v>
      </c>
      <c r="D9" s="6">
        <f>'Exhibit 1A-2'!R61</f>
        <v>0</v>
      </c>
      <c r="E9" s="6">
        <f>'Exhibit 1A-3'!R61</f>
        <v>0</v>
      </c>
      <c r="F9" s="6">
        <f>'Exhibit 1A-4'!R61</f>
        <v>0</v>
      </c>
      <c r="G9" s="6">
        <f>'Exhibit 1A-5'!R61</f>
        <v>0</v>
      </c>
      <c r="H9" s="7">
        <f>SUM(C9:G9)</f>
        <v>0</v>
      </c>
    </row>
    <row r="10" spans="2:8" ht="46.5" customHeight="1" x14ac:dyDescent="0.35">
      <c r="B10" s="5" t="s">
        <v>84</v>
      </c>
      <c r="C10" s="8">
        <f>'Exhibit 1A-1'!R79</f>
        <v>0</v>
      </c>
      <c r="D10" s="8">
        <f>'Exhibit 1A-2'!R79</f>
        <v>0</v>
      </c>
      <c r="E10" s="8">
        <f>'Exhibit 1A-3'!R79</f>
        <v>0</v>
      </c>
      <c r="F10" s="8">
        <f>'Exhibit 1A-4'!R79</f>
        <v>0</v>
      </c>
      <c r="G10" s="8">
        <f>'Exhibit 1A-5'!R79</f>
        <v>0</v>
      </c>
      <c r="H10" s="7">
        <f t="shared" ref="H10:H12" si="0">SUM(C10:G10)</f>
        <v>0</v>
      </c>
    </row>
    <row r="11" spans="2:8" ht="40" customHeight="1" x14ac:dyDescent="0.35">
      <c r="B11" s="5" t="s">
        <v>29</v>
      </c>
      <c r="C11" s="6">
        <f>'Exhibit 1A-1'!R97</f>
        <v>0</v>
      </c>
      <c r="D11" s="6">
        <f>'Exhibit 1A-2'!R97</f>
        <v>0</v>
      </c>
      <c r="E11" s="6">
        <f>'Exhibit 1A-3'!R97</f>
        <v>0</v>
      </c>
      <c r="F11" s="6">
        <f>'Exhibit 1A-4'!R97</f>
        <v>0</v>
      </c>
      <c r="G11" s="6">
        <f>'Exhibit 1A-5'!R97</f>
        <v>0</v>
      </c>
      <c r="H11" s="6">
        <f>SUM(C11:G11)</f>
        <v>0</v>
      </c>
    </row>
    <row r="12" spans="2:8" ht="40" customHeight="1" thickBot="1" x14ac:dyDescent="0.4">
      <c r="B12" s="5" t="s">
        <v>30</v>
      </c>
      <c r="C12" s="171">
        <f>'Exhibit 1A-6'!H52</f>
        <v>0</v>
      </c>
      <c r="D12" s="171">
        <f>'Exhibit 1A-6'!H96</f>
        <v>0</v>
      </c>
      <c r="E12" s="171">
        <f>'Exhibit 1A-6'!H140</f>
        <v>0</v>
      </c>
      <c r="F12" s="171">
        <f>'Exhibit 1A-6'!H184</f>
        <v>0</v>
      </c>
      <c r="G12" s="171">
        <f>'Exhibit 1A-6'!H228</f>
        <v>0</v>
      </c>
      <c r="H12" s="171">
        <f t="shared" si="0"/>
        <v>0</v>
      </c>
    </row>
    <row r="13" spans="2:8" ht="40" customHeight="1" thickBot="1" x14ac:dyDescent="0.4">
      <c r="B13" s="9" t="s">
        <v>31</v>
      </c>
      <c r="C13" s="172">
        <f>SUM(C9:C12)</f>
        <v>0</v>
      </c>
      <c r="D13" s="172">
        <f t="shared" ref="D13:G13" si="1">SUM(D9:D12)</f>
        <v>0</v>
      </c>
      <c r="E13" s="172">
        <f t="shared" si="1"/>
        <v>0</v>
      </c>
      <c r="F13" s="172">
        <f t="shared" si="1"/>
        <v>0</v>
      </c>
      <c r="G13" s="172">
        <f t="shared" si="1"/>
        <v>0</v>
      </c>
      <c r="H13" s="173">
        <f>SUM(C13:G13)</f>
        <v>0</v>
      </c>
    </row>
    <row r="14" spans="2:8" x14ac:dyDescent="0.35">
      <c r="B14" s="235"/>
      <c r="C14" s="236"/>
      <c r="D14" s="236"/>
      <c r="E14" s="236"/>
      <c r="F14" s="236"/>
      <c r="G14" s="236"/>
      <c r="H14" s="237"/>
    </row>
    <row r="15" spans="2:8" ht="15" thickBot="1" x14ac:dyDescent="0.4">
      <c r="B15" s="238" t="s">
        <v>16</v>
      </c>
      <c r="C15" s="239"/>
      <c r="D15" s="239"/>
      <c r="E15" s="239"/>
      <c r="F15" s="239"/>
      <c r="G15" s="239"/>
      <c r="H15" s="240"/>
    </row>
  </sheetData>
  <mergeCells count="9">
    <mergeCell ref="B7:H7"/>
    <mergeCell ref="B14:H14"/>
    <mergeCell ref="B15:H15"/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  <pageSetup scale="93" fitToHeight="7" orientation="landscape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 1A-1</vt:lpstr>
      <vt:lpstr>Exhibit 1A-2</vt:lpstr>
      <vt:lpstr>Exhibit 1A-3</vt:lpstr>
      <vt:lpstr>Exhibit 1A-4</vt:lpstr>
      <vt:lpstr>Exhibit 1A-5</vt:lpstr>
      <vt:lpstr>Exhibit 1A-6</vt:lpstr>
      <vt:lpstr>Exhibit 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2025-03-10T15:58:40Z</dcterms:created>
  <dcterms:modified xsi:type="dcterms:W3CDTF">2025-03-17T17:07:33Z</dcterms:modified>
  <cp:category/>
  <cp:contentStatus/>
</cp:coreProperties>
</file>