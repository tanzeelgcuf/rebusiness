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cquisition\CONTRACT FILES\Rebecca Nichols\PR-26-GPO-1452   040ADV-25-R-0028    Stennis Waste system\02 Solicitation\OGC RFP package\"/>
    </mc:Choice>
  </mc:AlternateContent>
  <xr:revisionPtr revIDLastSave="0" documentId="13_ncr:1_{5D6F2A05-8930-4EA4-9C15-1B62CBE646A1}" xr6:coauthVersionLast="47" xr6:coauthVersionMax="47" xr10:uidLastSave="{00000000-0000-0000-0000-000000000000}"/>
  <bookViews>
    <workbookView xWindow="28680" yWindow="-120" windowWidth="29040" windowHeight="15720" xr2:uid="{0C953DD5-4D74-4AAC-AF6B-79A269A93036}"/>
  </bookViews>
  <sheets>
    <sheet name="Price Summary" sheetId="1" r:id="rId1"/>
    <sheet name="Equipment" sheetId="2" r:id="rId2"/>
    <sheet name="Design" sheetId="5" r:id="rId3"/>
    <sheet name="Materials" sheetId="3" r:id="rId4"/>
    <sheet name="Labor" sheetId="6" r:id="rId5"/>
    <sheet name="Other" sheetId="7" r:id="rId6"/>
    <sheet name="BOM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8" l="1"/>
  <c r="G62" i="8"/>
  <c r="E14" i="7"/>
  <c r="E3" i="7" l="1"/>
  <c r="E24" i="2"/>
  <c r="E9" i="6" l="1"/>
  <c r="E15" i="3"/>
  <c r="D4" i="5"/>
</calcChain>
</file>

<file path=xl/sharedStrings.xml><?xml version="1.0" encoding="utf-8"?>
<sst xmlns="http://schemas.openxmlformats.org/spreadsheetml/2006/main" count="302" uniqueCount="140">
  <si>
    <t>CLIN</t>
  </si>
  <si>
    <t>CLIN 0001</t>
  </si>
  <si>
    <t>CLIN 0002</t>
  </si>
  <si>
    <t>CLIN 0003</t>
  </si>
  <si>
    <t>CLIN 0004</t>
  </si>
  <si>
    <t>CLIN 0005</t>
  </si>
  <si>
    <t>NAME</t>
  </si>
  <si>
    <t>DESCRIPTION</t>
  </si>
  <si>
    <t>VOLTAGE &amp; MOTOR HP</t>
  </si>
  <si>
    <t>QTY.</t>
  </si>
  <si>
    <t>Unit Price</t>
  </si>
  <si>
    <t>Total Price</t>
  </si>
  <si>
    <t>Total</t>
  </si>
  <si>
    <t>DESCRIPTION / SOURCE</t>
  </si>
  <si>
    <t xml:space="preserve">QTY. </t>
  </si>
  <si>
    <t>Amount of Profit Included in Total Proposed Amount:</t>
  </si>
  <si>
    <t>Construction Contingency</t>
  </si>
  <si>
    <t>CLIN 0006</t>
  </si>
  <si>
    <t>460VAC (7.5HP)</t>
  </si>
  <si>
    <t>DIVERT VALVE</t>
  </si>
  <si>
    <t>120VAC (10A)</t>
  </si>
  <si>
    <t>DISINTEGRATOR</t>
  </si>
  <si>
    <t>460VAC (60HP)</t>
  </si>
  <si>
    <t>DISINTEGRATOR RELAY FAN</t>
  </si>
  <si>
    <t>460VAC (10HP)</t>
  </si>
  <si>
    <t>DUST RELAY FAN</t>
  </si>
  <si>
    <t>DUST CYCLONE</t>
  </si>
  <si>
    <t xml:space="preserve"> </t>
  </si>
  <si>
    <t>AIRLOCK</t>
  </si>
  <si>
    <t>460VAC (2HP)</t>
  </si>
  <si>
    <t>BRIQUETTER</t>
  </si>
  <si>
    <t>460VAC (15HP)</t>
  </si>
  <si>
    <t>MATERIAL HANDLING FAN</t>
  </si>
  <si>
    <t>460VAC (25HP)</t>
  </si>
  <si>
    <t>DUCT DIVERT VALVE</t>
  </si>
  <si>
    <t>FLAME AND SPARK SYSTEM</t>
  </si>
  <si>
    <t>NO RETURN VALVE (NRV)</t>
  </si>
  <si>
    <t>DUST COLLECTOR</t>
  </si>
  <si>
    <t>120VAC (5A)</t>
  </si>
  <si>
    <t>RETURN AIR FAN</t>
  </si>
  <si>
    <t>460VAC (75HP)</t>
  </si>
  <si>
    <t>BULK WASTE SHREDDER</t>
  </si>
  <si>
    <t>EXISTING</t>
  </si>
  <si>
    <t>BULK WASTE MATERIAL FAN</t>
  </si>
  <si>
    <t>VFD 10 HP Heavy Duty</t>
  </si>
  <si>
    <t>480 Volt 20 Amp</t>
  </si>
  <si>
    <t>VFD 15 HP Heavy Duty</t>
  </si>
  <si>
    <t>VFD 75 HP Heavy Duty</t>
  </si>
  <si>
    <t xml:space="preserve">480 Volt 40 Amp </t>
  </si>
  <si>
    <t xml:space="preserve">Sift Start 480 310 amp </t>
  </si>
  <si>
    <t>480 volt 150 Amp</t>
  </si>
  <si>
    <t xml:space="preserve">PLC Hardware </t>
  </si>
  <si>
    <t xml:space="preserve">I/O modules/ Touchscreens </t>
  </si>
  <si>
    <t>Control Panels</t>
  </si>
  <si>
    <t>Materials 0003</t>
  </si>
  <si>
    <t>STRUCTURAL STEEL</t>
  </si>
  <si>
    <t>24"X24"</t>
  </si>
  <si>
    <t>FAN SUPPORT STRUCTURE</t>
  </si>
  <si>
    <t>NRV SUPPORT</t>
  </si>
  <si>
    <t>DUST COLLECTOR SUPPORT</t>
  </si>
  <si>
    <t>12" Ducting (total linear ft)</t>
  </si>
  <si>
    <t>12" Spiral Galvanized</t>
  </si>
  <si>
    <t>estimated quantity</t>
  </si>
  <si>
    <t>24x24 square ducting (total linear ft)</t>
  </si>
  <si>
    <t>24x24 galvanized steel</t>
  </si>
  <si>
    <t>30" Ducting (total linear ft)</t>
  </si>
  <si>
    <t>30" Spiral Galvanized</t>
  </si>
  <si>
    <t>DUCT SUPPORT</t>
  </si>
  <si>
    <t>TRIM DUCTING (12IN.)</t>
  </si>
  <si>
    <t>DUST DUCTING (30IN.)</t>
  </si>
  <si>
    <t>RETURN AIR DUCTING (30IN.)</t>
  </si>
  <si>
    <t>Ducting Insulation (linear feet)</t>
  </si>
  <si>
    <t>Industry Standard for External piping</t>
  </si>
  <si>
    <t xml:space="preserve">Electrical Materials </t>
  </si>
  <si>
    <t>CONDUIT, WIRING, BREAKERS, ETC.</t>
  </si>
  <si>
    <t>Labor 0004</t>
  </si>
  <si>
    <t xml:space="preserve">Support Structures </t>
  </si>
  <si>
    <t>Fab and Installation</t>
  </si>
  <si>
    <t>Electrical Labor</t>
  </si>
  <si>
    <t xml:space="preserve">Mechanical Labor </t>
  </si>
  <si>
    <t>Machine Installation Labor</t>
  </si>
  <si>
    <t>Installation of Items List in Equipment</t>
  </si>
  <si>
    <t xml:space="preserve">Training </t>
  </si>
  <si>
    <t>One Week &amp; Startup</t>
  </si>
  <si>
    <t xml:space="preserve">Crane and Support </t>
  </si>
  <si>
    <t xml:space="preserve">Project Manager </t>
  </si>
  <si>
    <t>Site Manager (duration of project)</t>
  </si>
  <si>
    <t>TOTAL</t>
  </si>
  <si>
    <t>Please Complete the Equipment, Design, Materials, Labor, Other, and BOM tabs, then use the data to populate this Price Summary Sheet.</t>
  </si>
  <si>
    <t>Control Panel</t>
  </si>
  <si>
    <t>SEPARATOR</t>
  </si>
  <si>
    <t>Engineering Support</t>
  </si>
  <si>
    <t>STEEL SUPPORT</t>
  </si>
  <si>
    <t>DROP CHUTE</t>
  </si>
  <si>
    <t>Estimated QTY.</t>
  </si>
  <si>
    <t>Note: please provide your quantity calculations if different</t>
  </si>
  <si>
    <t>Note: this is projected list of equipment, please add yours as needed</t>
  </si>
  <si>
    <t>Electrical</t>
  </si>
  <si>
    <t xml:space="preserve">Mechancial </t>
  </si>
  <si>
    <t xml:space="preserve">Mechanical </t>
  </si>
  <si>
    <t xml:space="preserve">Engineering Support </t>
  </si>
  <si>
    <t>%</t>
  </si>
  <si>
    <r>
      <rPr>
        <b/>
        <sz val="11"/>
        <color theme="1"/>
        <rFont val="Calibri"/>
        <family val="2"/>
        <scheme val="minor"/>
      </rPr>
      <t>Engineering Support:</t>
    </r>
    <r>
      <rPr>
        <sz val="11"/>
        <color theme="1"/>
        <rFont val="Calibri"/>
        <family val="2"/>
        <scheme val="minor"/>
      </rPr>
      <t xml:space="preserve"> Support Structures </t>
    </r>
  </si>
  <si>
    <r>
      <rPr>
        <b/>
        <sz val="11"/>
        <color theme="1"/>
        <rFont val="Calibri"/>
        <family val="2"/>
        <scheme val="minor"/>
      </rPr>
      <t>Engineering Support:</t>
    </r>
    <r>
      <rPr>
        <sz val="11"/>
        <color theme="1"/>
        <rFont val="Calibri"/>
        <family val="2"/>
        <scheme val="minor"/>
      </rPr>
      <t xml:space="preserve"> Electrical Labor</t>
    </r>
  </si>
  <si>
    <r>
      <rPr>
        <b/>
        <sz val="11"/>
        <color theme="1"/>
        <rFont val="Calibri"/>
        <family val="2"/>
        <scheme val="minor"/>
      </rPr>
      <t xml:space="preserve">Engineering Support: </t>
    </r>
    <r>
      <rPr>
        <sz val="11"/>
        <color theme="1"/>
        <rFont val="Calibri"/>
        <family val="2"/>
        <scheme val="minor"/>
      </rPr>
      <t xml:space="preserve">Mechanical Labor </t>
    </r>
  </si>
  <si>
    <t>Preliminary and final Design</t>
  </si>
  <si>
    <t>Description</t>
  </si>
  <si>
    <t>TOTAL PRICE</t>
  </si>
  <si>
    <t>All Equipment (include the hurricane tie downs)</t>
  </si>
  <si>
    <t>$TBD</t>
  </si>
  <si>
    <t>Preliminary and Final Waste System Design</t>
  </si>
  <si>
    <t>All Materials</t>
  </si>
  <si>
    <t>Labor/installation (including travel)</t>
  </si>
  <si>
    <t>Tariffs for equipment (if applicable)</t>
  </si>
  <si>
    <t xml:space="preserve">Sub TOTAL PRICE </t>
  </si>
  <si>
    <t>Mandatory CLINs</t>
  </si>
  <si>
    <t>CLIN 1001</t>
  </si>
  <si>
    <t>Maintenance Services Year 1 After One Year Warranty</t>
  </si>
  <si>
    <t>CLIN 1002</t>
  </si>
  <si>
    <t>Spare Parts Replacement Year 1 After One Year Warranty</t>
  </si>
  <si>
    <t>CLIN 2001</t>
  </si>
  <si>
    <t>Maintenance Services Year 2 After One Year Warranty</t>
  </si>
  <si>
    <t>CLIN 2002</t>
  </si>
  <si>
    <t>Spare Parts Replacement Year 2 After One Year Warranty</t>
  </si>
  <si>
    <t>CLIN 3001</t>
  </si>
  <si>
    <t>Maintenance Services Year 3 After One Year Warranty</t>
  </si>
  <si>
    <t>CLIN 3002</t>
  </si>
  <si>
    <t>Spare Parts Replacement Year 3 After One Year Warranty</t>
  </si>
  <si>
    <t>CLIN 4001</t>
  </si>
  <si>
    <t>Maintenance Services Year 4 After One Year Warranty</t>
  </si>
  <si>
    <t>CLIN 4002</t>
  </si>
  <si>
    <t>Spare Parts Replacement Year 4 After One Year Warranty</t>
  </si>
  <si>
    <t>Optional to propose CLINs</t>
  </si>
  <si>
    <t>Vendor Contracted preliminary and final Design</t>
  </si>
  <si>
    <t>Equipment 0001</t>
  </si>
  <si>
    <t>Design 0002</t>
  </si>
  <si>
    <t>Travel (if applicable)</t>
  </si>
  <si>
    <t>Tariffs 0006</t>
  </si>
  <si>
    <t>Contingency 0005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</si>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</sst>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\ #,##0.00_);_(&quot;$&quot;\ \(#,##0.00\);_(&quot;$&quot;\ &quot;-&quot;??_);_(@_)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0" xfId="0" applyBorder="1"/>
    <xf numFmtId="164" fontId="0" fillId="0" borderId="1" xfId="1" applyNumberFormat="1" applyFont="1" applyFill="1" applyBorder="1"/>
    <xf numFmtId="164" fontId="0" fillId="0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164" fontId="0" fillId="0" borderId="0" xfId="1" applyNumberFormat="1" applyFont="1" applyFill="1" applyBorder="1" applyAlignment="1">
      <alignment horizontal="center"/>
    </xf>
    <xf numFmtId="0" fontId="0" fillId="0" borderId="1" xfId="0" applyFill="1" applyBorder="1"/>
    <xf numFmtId="164" fontId="1" fillId="0" borderId="2" xfId="1" applyNumberFormat="1" applyFont="1" applyFill="1" applyBorder="1" applyAlignment="1">
      <alignment horizontal="center"/>
    </xf>
    <xf numFmtId="7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5" fontId="0" fillId="0" borderId="1" xfId="0" applyNumberFormat="1" applyBorder="1"/>
    <xf numFmtId="0" fontId="1" fillId="0" borderId="1" xfId="0" applyFont="1" applyBorder="1" applyAlignment="1">
      <alignment horizontal="right"/>
    </xf>
    <xf numFmtId="164" fontId="1" fillId="0" borderId="1" xfId="1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44" fontId="0" fillId="0" borderId="1" xfId="1" applyFont="1" applyFill="1" applyBorder="1"/>
    <xf numFmtId="0" fontId="0" fillId="0" borderId="0" xfId="0" applyFill="1"/>
    <xf numFmtId="0" fontId="0" fillId="0" borderId="0" xfId="0" applyFill="1" applyBorder="1" applyAlignment="1"/>
    <xf numFmtId="44" fontId="3" fillId="2" borderId="0" xfId="0" applyNumberFormat="1" applyFont="1" applyFill="1" applyAlignment="1">
      <alignment horizontal="right"/>
    </xf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164" fontId="0" fillId="0" borderId="7" xfId="1" applyNumberFormat="1" applyFont="1" applyFill="1" applyBorder="1" applyAlignment="1">
      <alignment horizontal="center" vertical="center"/>
    </xf>
    <xf numFmtId="164" fontId="0" fillId="0" borderId="8" xfId="1" applyNumberFormat="1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5" fillId="0" borderId="11" xfId="0" applyFont="1" applyBorder="1" applyAlignment="1">
      <alignment horizontal="left"/>
    </xf>
    <xf numFmtId="0" fontId="0" fillId="0" borderId="11" xfId="0" applyBorder="1" applyAlignment="1">
      <alignment horizontal="center"/>
    </xf>
    <xf numFmtId="164" fontId="0" fillId="0" borderId="11" xfId="1" applyNumberFormat="1" applyFont="1" applyFill="1" applyBorder="1" applyAlignment="1">
      <alignment horizontal="center" vertical="center"/>
    </xf>
    <xf numFmtId="164" fontId="0" fillId="0" borderId="12" xfId="1" applyNumberFormat="1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164" fontId="0" fillId="0" borderId="1" xfId="1" applyNumberFormat="1" applyFont="1" applyFill="1" applyBorder="1" applyAlignment="1">
      <alignment horizontal="center" vertical="center"/>
    </xf>
    <xf numFmtId="164" fontId="0" fillId="0" borderId="14" xfId="1" applyNumberFormat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44" fontId="0" fillId="0" borderId="11" xfId="1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164" fontId="0" fillId="0" borderId="17" xfId="1" applyNumberFormat="1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164" fontId="0" fillId="0" borderId="19" xfId="1" applyNumberFormat="1" applyFont="1" applyFill="1" applyBorder="1" applyAlignment="1">
      <alignment horizontal="center"/>
    </xf>
    <xf numFmtId="164" fontId="0" fillId="0" borderId="20" xfId="1" applyNumberFormat="1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25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AAFA-C023-4A05-8368-4C3010AE65DA}">
  <dimension ref="A1:C23"/>
  <sheetViews>
    <sheetView tabSelected="1" workbookViewId="0">
      <selection activeCell="C15" sqref="C15"/>
    </sheetView>
  </sheetViews>
  <sheetFormatPr defaultRowHeight="14.5" x14ac:dyDescent="0.35"/>
  <cols>
    <col min="1" max="1" width="19.453125" customWidth="1"/>
    <col min="2" max="2" width="65.36328125" customWidth="1"/>
    <col min="3" max="3" width="49.1796875" customWidth="1"/>
  </cols>
  <sheetData>
    <row r="1" spans="1:3" x14ac:dyDescent="0.35">
      <c r="A1" s="76" t="s">
        <v>88</v>
      </c>
      <c r="B1" s="76"/>
      <c r="C1" s="76"/>
    </row>
    <row r="2" spans="1:3" x14ac:dyDescent="0.35">
      <c r="A2" s="70" t="s">
        <v>115</v>
      </c>
      <c r="B2" s="1"/>
      <c r="C2" s="1"/>
    </row>
    <row r="3" spans="1:3" x14ac:dyDescent="0.35">
      <c r="A3" s="63" t="s">
        <v>0</v>
      </c>
      <c r="B3" s="63" t="s">
        <v>106</v>
      </c>
      <c r="C3" s="63" t="s">
        <v>107</v>
      </c>
    </row>
    <row r="4" spans="1:3" x14ac:dyDescent="0.35">
      <c r="A4" s="1" t="s">
        <v>1</v>
      </c>
      <c r="B4" s="1" t="s">
        <v>108</v>
      </c>
      <c r="C4" s="1" t="s">
        <v>109</v>
      </c>
    </row>
    <row r="5" spans="1:3" x14ac:dyDescent="0.35">
      <c r="A5" s="1" t="s">
        <v>2</v>
      </c>
      <c r="B5" s="1" t="s">
        <v>110</v>
      </c>
      <c r="C5" s="1" t="s">
        <v>109</v>
      </c>
    </row>
    <row r="6" spans="1:3" x14ac:dyDescent="0.35">
      <c r="A6" s="1" t="s">
        <v>3</v>
      </c>
      <c r="B6" s="1" t="s">
        <v>111</v>
      </c>
      <c r="C6" s="1" t="s">
        <v>109</v>
      </c>
    </row>
    <row r="7" spans="1:3" x14ac:dyDescent="0.35">
      <c r="A7" s="1" t="s">
        <v>4</v>
      </c>
      <c r="B7" s="1" t="s">
        <v>112</v>
      </c>
      <c r="C7" s="1" t="s">
        <v>109</v>
      </c>
    </row>
    <row r="8" spans="1:3" x14ac:dyDescent="0.35">
      <c r="A8" s="1" t="s">
        <v>5</v>
      </c>
      <c r="B8" s="1" t="s">
        <v>16</v>
      </c>
      <c r="C8" s="1" t="s">
        <v>109</v>
      </c>
    </row>
    <row r="9" spans="1:3" x14ac:dyDescent="0.35">
      <c r="A9" s="1" t="s">
        <v>17</v>
      </c>
      <c r="B9" s="1" t="s">
        <v>113</v>
      </c>
      <c r="C9" s="1" t="s">
        <v>109</v>
      </c>
    </row>
    <row r="10" spans="1:3" s="68" customFormat="1" x14ac:dyDescent="0.35">
      <c r="A10" s="70" t="s">
        <v>114</v>
      </c>
      <c r="B10" s="70"/>
      <c r="C10" s="70" t="s">
        <v>109</v>
      </c>
    </row>
    <row r="11" spans="1:3" x14ac:dyDescent="0.35">
      <c r="A11" s="68" t="s">
        <v>132</v>
      </c>
    </row>
    <row r="12" spans="1:3" x14ac:dyDescent="0.35">
      <c r="A12" s="63" t="s">
        <v>0</v>
      </c>
      <c r="B12" s="63" t="s">
        <v>106</v>
      </c>
      <c r="C12" s="63" t="s">
        <v>107</v>
      </c>
    </row>
    <row r="13" spans="1:3" x14ac:dyDescent="0.35">
      <c r="A13" s="1" t="s">
        <v>116</v>
      </c>
      <c r="B13" s="1" t="s">
        <v>117</v>
      </c>
      <c r="C13" s="1" t="s">
        <v>109</v>
      </c>
    </row>
    <row r="14" spans="1:3" x14ac:dyDescent="0.35">
      <c r="A14" s="1" t="s">
        <v>118</v>
      </c>
      <c r="B14" s="1" t="s">
        <v>119</v>
      </c>
      <c r="C14" s="1" t="s">
        <v>109</v>
      </c>
    </row>
    <row r="15" spans="1:3" x14ac:dyDescent="0.35">
      <c r="A15" s="1" t="s">
        <v>120</v>
      </c>
      <c r="B15" s="1" t="s">
        <v>121</v>
      </c>
      <c r="C15" s="1" t="s">
        <v>109</v>
      </c>
    </row>
    <row r="16" spans="1:3" x14ac:dyDescent="0.35">
      <c r="A16" s="1" t="s">
        <v>122</v>
      </c>
      <c r="B16" s="1" t="s">
        <v>123</v>
      </c>
      <c r="C16" s="1" t="s">
        <v>109</v>
      </c>
    </row>
    <row r="17" spans="1:3" x14ac:dyDescent="0.35">
      <c r="A17" s="1" t="s">
        <v>124</v>
      </c>
      <c r="B17" s="1" t="s">
        <v>125</v>
      </c>
      <c r="C17" s="1" t="s">
        <v>109</v>
      </c>
    </row>
    <row r="18" spans="1:3" x14ac:dyDescent="0.35">
      <c r="A18" s="1" t="s">
        <v>126</v>
      </c>
      <c r="B18" s="1" t="s">
        <v>127</v>
      </c>
      <c r="C18" s="1" t="s">
        <v>109</v>
      </c>
    </row>
    <row r="19" spans="1:3" x14ac:dyDescent="0.35">
      <c r="A19" s="1" t="s">
        <v>128</v>
      </c>
      <c r="B19" s="1" t="s">
        <v>129</v>
      </c>
      <c r="C19" s="1" t="s">
        <v>109</v>
      </c>
    </row>
    <row r="20" spans="1:3" x14ac:dyDescent="0.35">
      <c r="A20" s="1" t="s">
        <v>130</v>
      </c>
      <c r="B20" s="1" t="s">
        <v>131</v>
      </c>
      <c r="C20" s="1" t="s">
        <v>109</v>
      </c>
    </row>
    <row r="21" spans="1:3" s="68" customFormat="1" x14ac:dyDescent="0.35">
      <c r="A21" s="70" t="s">
        <v>114</v>
      </c>
      <c r="B21" s="70"/>
      <c r="C21" s="70" t="s">
        <v>109</v>
      </c>
    </row>
    <row r="23" spans="1:3" x14ac:dyDescent="0.35">
      <c r="B23" s="23" t="s">
        <v>15</v>
      </c>
      <c r="C23" s="22">
        <v>0</v>
      </c>
    </row>
  </sheetData>
  <mergeCells count="1">
    <mergeCell ref="A1:C1"/>
  </mergeCells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754B-BF65-4142-A00B-C3058D948DD1}">
  <dimension ref="A1:N25"/>
  <sheetViews>
    <sheetView workbookViewId="0">
      <selection activeCell="A25" sqref="A25"/>
    </sheetView>
  </sheetViews>
  <sheetFormatPr defaultRowHeight="14.5" x14ac:dyDescent="0.35"/>
  <cols>
    <col min="1" max="1" width="27.81640625" bestFit="1" customWidth="1"/>
    <col min="2" max="2" width="29.1796875" customWidth="1"/>
    <col min="4" max="4" width="14.1796875" bestFit="1" customWidth="1"/>
    <col min="5" max="5" width="14.7265625" style="5" bestFit="1" customWidth="1"/>
  </cols>
  <sheetData>
    <row r="1" spans="1:14" x14ac:dyDescent="0.35">
      <c r="A1" s="24" t="s">
        <v>6</v>
      </c>
      <c r="B1" s="24" t="s">
        <v>8</v>
      </c>
      <c r="C1" s="24" t="s">
        <v>9</v>
      </c>
      <c r="D1" s="24" t="s">
        <v>10</v>
      </c>
      <c r="E1" s="24" t="s">
        <v>11</v>
      </c>
    </row>
    <row r="2" spans="1:14" x14ac:dyDescent="0.35">
      <c r="A2" s="8" t="s">
        <v>90</v>
      </c>
      <c r="B2" s="1" t="s">
        <v>18</v>
      </c>
      <c r="C2" s="1">
        <v>1</v>
      </c>
      <c r="D2" s="4"/>
      <c r="E2" s="4"/>
      <c r="G2" s="21"/>
      <c r="H2" s="21"/>
      <c r="I2" s="21"/>
      <c r="J2" s="21"/>
      <c r="K2" s="21"/>
      <c r="L2" s="20"/>
      <c r="M2" s="20"/>
      <c r="N2" s="20"/>
    </row>
    <row r="3" spans="1:14" x14ac:dyDescent="0.35">
      <c r="A3" s="8" t="s">
        <v>19</v>
      </c>
      <c r="B3" s="1" t="s">
        <v>20</v>
      </c>
      <c r="C3" s="1">
        <v>1</v>
      </c>
      <c r="D3" s="3"/>
      <c r="E3" s="4"/>
      <c r="G3" s="20"/>
      <c r="H3" s="20"/>
      <c r="I3" s="20"/>
      <c r="J3" s="20"/>
      <c r="K3" s="20"/>
      <c r="L3" s="20"/>
      <c r="M3" s="20"/>
      <c r="N3" s="20"/>
    </row>
    <row r="4" spans="1:14" x14ac:dyDescent="0.35">
      <c r="A4" s="8" t="s">
        <v>21</v>
      </c>
      <c r="B4" s="1" t="s">
        <v>22</v>
      </c>
      <c r="C4" s="1">
        <v>2</v>
      </c>
      <c r="D4" s="3"/>
      <c r="E4" s="4"/>
    </row>
    <row r="5" spans="1:14" x14ac:dyDescent="0.35">
      <c r="A5" s="8" t="s">
        <v>23</v>
      </c>
      <c r="B5" s="1" t="s">
        <v>24</v>
      </c>
      <c r="C5" s="1">
        <v>2</v>
      </c>
      <c r="D5" s="3"/>
      <c r="E5" s="4"/>
    </row>
    <row r="6" spans="1:14" x14ac:dyDescent="0.35">
      <c r="A6" s="8" t="s">
        <v>25</v>
      </c>
      <c r="B6" s="1" t="s">
        <v>24</v>
      </c>
      <c r="C6" s="1">
        <v>1</v>
      </c>
      <c r="D6" s="3"/>
      <c r="E6" s="4"/>
    </row>
    <row r="7" spans="1:14" x14ac:dyDescent="0.35">
      <c r="A7" s="8" t="s">
        <v>26</v>
      </c>
      <c r="B7" s="1" t="s">
        <v>27</v>
      </c>
      <c r="C7" s="1">
        <v>1</v>
      </c>
      <c r="D7" s="3"/>
      <c r="E7" s="4"/>
    </row>
    <row r="8" spans="1:14" x14ac:dyDescent="0.35">
      <c r="A8" s="8" t="s">
        <v>28</v>
      </c>
      <c r="B8" s="1" t="s">
        <v>29</v>
      </c>
      <c r="C8" s="1">
        <v>1</v>
      </c>
      <c r="D8" s="3"/>
      <c r="E8" s="4"/>
    </row>
    <row r="9" spans="1:14" x14ac:dyDescent="0.35">
      <c r="A9" s="8" t="s">
        <v>30</v>
      </c>
      <c r="B9" s="1" t="s">
        <v>31</v>
      </c>
      <c r="C9" s="1">
        <v>1</v>
      </c>
      <c r="D9" s="3"/>
      <c r="E9" s="4"/>
    </row>
    <row r="10" spans="1:14" x14ac:dyDescent="0.35">
      <c r="A10" s="8" t="s">
        <v>32</v>
      </c>
      <c r="B10" s="1" t="s">
        <v>33</v>
      </c>
      <c r="C10" s="1">
        <v>10</v>
      </c>
      <c r="D10" s="3"/>
      <c r="E10" s="4"/>
    </row>
    <row r="11" spans="1:14" x14ac:dyDescent="0.35">
      <c r="A11" s="8" t="s">
        <v>34</v>
      </c>
      <c r="B11" s="1" t="s">
        <v>20</v>
      </c>
      <c r="C11" s="1">
        <v>10</v>
      </c>
      <c r="D11" s="3"/>
      <c r="E11" s="4"/>
    </row>
    <row r="12" spans="1:14" x14ac:dyDescent="0.35">
      <c r="A12" s="8" t="s">
        <v>35</v>
      </c>
      <c r="B12" s="1" t="s">
        <v>20</v>
      </c>
      <c r="C12" s="1">
        <v>1</v>
      </c>
      <c r="D12" s="3"/>
      <c r="E12" s="4"/>
    </row>
    <row r="13" spans="1:14" x14ac:dyDescent="0.35">
      <c r="A13" s="8" t="s">
        <v>36</v>
      </c>
      <c r="B13" s="1" t="s">
        <v>20</v>
      </c>
      <c r="C13" s="1">
        <v>1</v>
      </c>
      <c r="D13" s="3"/>
      <c r="E13" s="4"/>
    </row>
    <row r="14" spans="1:14" x14ac:dyDescent="0.35">
      <c r="A14" s="8" t="s">
        <v>37</v>
      </c>
      <c r="B14" s="1" t="s">
        <v>38</v>
      </c>
      <c r="C14" s="1">
        <v>1</v>
      </c>
      <c r="D14" s="4"/>
      <c r="E14" s="4"/>
    </row>
    <row r="15" spans="1:14" x14ac:dyDescent="0.35">
      <c r="A15" s="8" t="s">
        <v>39</v>
      </c>
      <c r="B15" s="1" t="s">
        <v>40</v>
      </c>
      <c r="C15" s="1">
        <v>2</v>
      </c>
      <c r="D15" s="3"/>
      <c r="E15" s="4"/>
    </row>
    <row r="16" spans="1:14" x14ac:dyDescent="0.35">
      <c r="A16" s="8" t="s">
        <v>41</v>
      </c>
      <c r="B16" s="1" t="s">
        <v>42</v>
      </c>
      <c r="C16" s="1">
        <v>1</v>
      </c>
      <c r="D16" s="4"/>
      <c r="E16" s="4"/>
    </row>
    <row r="17" spans="1:5" x14ac:dyDescent="0.35">
      <c r="A17" s="8" t="s">
        <v>43</v>
      </c>
      <c r="B17" s="1" t="s">
        <v>33</v>
      </c>
      <c r="C17" s="1">
        <v>1</v>
      </c>
      <c r="D17" s="3"/>
      <c r="E17" s="4"/>
    </row>
    <row r="18" spans="1:5" x14ac:dyDescent="0.35">
      <c r="A18" s="8" t="s">
        <v>44</v>
      </c>
      <c r="B18" s="1" t="s">
        <v>45</v>
      </c>
      <c r="C18" s="1">
        <v>3</v>
      </c>
      <c r="D18" s="19"/>
      <c r="E18" s="4"/>
    </row>
    <row r="19" spans="1:5" x14ac:dyDescent="0.35">
      <c r="A19" s="8" t="s">
        <v>46</v>
      </c>
      <c r="B19" s="1" t="s">
        <v>45</v>
      </c>
      <c r="C19" s="1">
        <v>10</v>
      </c>
      <c r="D19" s="19"/>
      <c r="E19" s="4"/>
    </row>
    <row r="20" spans="1:5" x14ac:dyDescent="0.35">
      <c r="A20" s="8" t="s">
        <v>47</v>
      </c>
      <c r="B20" s="1" t="s">
        <v>48</v>
      </c>
      <c r="C20" s="1">
        <v>1</v>
      </c>
      <c r="D20" s="19"/>
      <c r="E20" s="4"/>
    </row>
    <row r="21" spans="1:5" x14ac:dyDescent="0.35">
      <c r="A21" s="8" t="s">
        <v>49</v>
      </c>
      <c r="B21" s="1" t="s">
        <v>50</v>
      </c>
      <c r="C21" s="1">
        <v>1</v>
      </c>
      <c r="D21" s="19"/>
      <c r="E21" s="4"/>
    </row>
    <row r="22" spans="1:5" x14ac:dyDescent="0.35">
      <c r="A22" s="8" t="s">
        <v>51</v>
      </c>
      <c r="B22" s="1" t="s">
        <v>52</v>
      </c>
      <c r="C22" s="1">
        <v>1</v>
      </c>
      <c r="D22" s="19"/>
      <c r="E22" s="4"/>
    </row>
    <row r="23" spans="1:5" x14ac:dyDescent="0.35">
      <c r="A23" s="8" t="s">
        <v>89</v>
      </c>
      <c r="B23" s="1"/>
      <c r="C23" s="1">
        <v>1</v>
      </c>
      <c r="D23" s="19"/>
      <c r="E23" s="4"/>
    </row>
    <row r="24" spans="1:5" x14ac:dyDescent="0.35">
      <c r="D24" s="15" t="s">
        <v>12</v>
      </c>
      <c r="E24" s="17">
        <f>SUM(E2:E23)</f>
        <v>0</v>
      </c>
    </row>
    <row r="25" spans="1:5" x14ac:dyDescent="0.35">
      <c r="A25" s="67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7F74-F710-4808-A445-2A358455F5C1}">
  <dimension ref="A1:D6"/>
  <sheetViews>
    <sheetView workbookViewId="0">
      <selection activeCell="A6" sqref="A6"/>
    </sheetView>
  </sheetViews>
  <sheetFormatPr defaultRowHeight="14.5" x14ac:dyDescent="0.35"/>
  <cols>
    <col min="1" max="1" width="40.6328125" bestFit="1" customWidth="1"/>
    <col min="3" max="3" width="14.1796875" bestFit="1" customWidth="1"/>
    <col min="4" max="4" width="14.7265625" style="5" bestFit="1" customWidth="1"/>
  </cols>
  <sheetData>
    <row r="1" spans="1:4" x14ac:dyDescent="0.35">
      <c r="A1" s="24" t="s">
        <v>6</v>
      </c>
      <c r="B1" s="24" t="s">
        <v>9</v>
      </c>
      <c r="C1" s="24" t="s">
        <v>10</v>
      </c>
      <c r="D1" s="24" t="s">
        <v>11</v>
      </c>
    </row>
    <row r="2" spans="1:4" x14ac:dyDescent="0.35">
      <c r="A2" s="12" t="s">
        <v>105</v>
      </c>
      <c r="B2" s="25">
        <v>1</v>
      </c>
      <c r="C2" s="4"/>
      <c r="D2" s="4"/>
    </row>
    <row r="3" spans="1:4" x14ac:dyDescent="0.35">
      <c r="A3" s="12" t="s">
        <v>100</v>
      </c>
      <c r="B3" s="25">
        <v>1</v>
      </c>
      <c r="C3" s="4"/>
      <c r="D3" s="4"/>
    </row>
    <row r="4" spans="1:4" x14ac:dyDescent="0.35">
      <c r="C4" s="15" t="s">
        <v>12</v>
      </c>
      <c r="D4" s="9">
        <f>SUM(D2:D3)</f>
        <v>0</v>
      </c>
    </row>
    <row r="6" spans="1:4" x14ac:dyDescent="0.35">
      <c r="A6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87BF-D2D2-4ECC-A0B9-64CEDA9CF83D}">
  <dimension ref="A1:E17"/>
  <sheetViews>
    <sheetView workbookViewId="0">
      <selection activeCell="B20" sqref="B20"/>
    </sheetView>
  </sheetViews>
  <sheetFormatPr defaultRowHeight="14.5" x14ac:dyDescent="0.35"/>
  <cols>
    <col min="1" max="1" width="33.81640625" customWidth="1"/>
    <col min="2" max="2" width="36" customWidth="1"/>
    <col min="3" max="3" width="13.90625" bestFit="1" customWidth="1"/>
    <col min="4" max="4" width="14.1796875" bestFit="1" customWidth="1"/>
    <col min="5" max="5" width="14.7265625" style="5" bestFit="1" customWidth="1"/>
  </cols>
  <sheetData>
    <row r="1" spans="1:5" x14ac:dyDescent="0.35">
      <c r="A1" s="24" t="s">
        <v>6</v>
      </c>
      <c r="B1" s="24" t="s">
        <v>7</v>
      </c>
      <c r="C1" s="24" t="s">
        <v>94</v>
      </c>
      <c r="D1" s="24" t="s">
        <v>10</v>
      </c>
      <c r="E1" s="24" t="s">
        <v>11</v>
      </c>
    </row>
    <row r="2" spans="1:5" x14ac:dyDescent="0.35">
      <c r="A2" s="1" t="s">
        <v>92</v>
      </c>
      <c r="B2" s="1" t="s">
        <v>55</v>
      </c>
      <c r="C2" s="1">
        <v>1</v>
      </c>
      <c r="D2" s="3"/>
      <c r="E2" s="4"/>
    </row>
    <row r="3" spans="1:5" x14ac:dyDescent="0.35">
      <c r="A3" s="1" t="s">
        <v>93</v>
      </c>
      <c r="B3" s="1" t="s">
        <v>56</v>
      </c>
      <c r="C3" s="1">
        <v>1</v>
      </c>
      <c r="D3" s="3"/>
      <c r="E3" s="4"/>
    </row>
    <row r="4" spans="1:5" x14ac:dyDescent="0.35">
      <c r="A4" s="1" t="s">
        <v>57</v>
      </c>
      <c r="B4" s="1" t="s">
        <v>55</v>
      </c>
      <c r="C4" s="1">
        <v>1</v>
      </c>
      <c r="D4" s="3"/>
      <c r="E4" s="4"/>
    </row>
    <row r="5" spans="1:5" x14ac:dyDescent="0.35">
      <c r="A5" s="1" t="s">
        <v>58</v>
      </c>
      <c r="B5" s="1" t="s">
        <v>55</v>
      </c>
      <c r="C5" s="1">
        <v>1</v>
      </c>
      <c r="D5" s="3"/>
      <c r="E5" s="4"/>
    </row>
    <row r="6" spans="1:5" x14ac:dyDescent="0.35">
      <c r="A6" s="8" t="s">
        <v>59</v>
      </c>
      <c r="B6" s="1" t="s">
        <v>55</v>
      </c>
      <c r="C6" s="1">
        <v>1</v>
      </c>
      <c r="D6" s="3"/>
      <c r="E6" s="4"/>
    </row>
    <row r="7" spans="1:5" x14ac:dyDescent="0.35">
      <c r="A7" s="8" t="s">
        <v>60</v>
      </c>
      <c r="B7" s="1" t="s">
        <v>61</v>
      </c>
      <c r="C7" s="13">
        <v>1700</v>
      </c>
      <c r="D7" s="3"/>
      <c r="E7" s="4"/>
    </row>
    <row r="8" spans="1:5" x14ac:dyDescent="0.35">
      <c r="A8" s="8" t="s">
        <v>63</v>
      </c>
      <c r="B8" s="1" t="s">
        <v>64</v>
      </c>
      <c r="C8" s="13">
        <v>40</v>
      </c>
      <c r="D8" s="3"/>
      <c r="E8" s="4"/>
    </row>
    <row r="9" spans="1:5" x14ac:dyDescent="0.35">
      <c r="A9" s="8" t="s">
        <v>65</v>
      </c>
      <c r="B9" s="1" t="s">
        <v>66</v>
      </c>
      <c r="C9" s="13">
        <v>250</v>
      </c>
      <c r="D9" s="3"/>
      <c r="E9" s="4"/>
    </row>
    <row r="10" spans="1:5" x14ac:dyDescent="0.35">
      <c r="A10" s="8" t="s">
        <v>67</v>
      </c>
      <c r="B10" s="1" t="s">
        <v>68</v>
      </c>
      <c r="C10" s="13">
        <v>220</v>
      </c>
      <c r="D10" s="3"/>
      <c r="E10" s="4"/>
    </row>
    <row r="11" spans="1:5" x14ac:dyDescent="0.35">
      <c r="A11" s="8" t="s">
        <v>67</v>
      </c>
      <c r="B11" s="1" t="s">
        <v>69</v>
      </c>
      <c r="C11" s="13">
        <v>5</v>
      </c>
      <c r="D11" s="3"/>
      <c r="E11" s="4"/>
    </row>
    <row r="12" spans="1:5" x14ac:dyDescent="0.35">
      <c r="A12" s="8" t="s">
        <v>67</v>
      </c>
      <c r="B12" s="1" t="s">
        <v>70</v>
      </c>
      <c r="C12" s="13">
        <v>30</v>
      </c>
      <c r="D12" s="3"/>
      <c r="E12" s="4"/>
    </row>
    <row r="13" spans="1:5" x14ac:dyDescent="0.35">
      <c r="A13" s="8" t="s">
        <v>71</v>
      </c>
      <c r="B13" s="1" t="s">
        <v>72</v>
      </c>
      <c r="C13" s="13">
        <v>2000</v>
      </c>
      <c r="D13" s="3"/>
      <c r="E13" s="4"/>
    </row>
    <row r="14" spans="1:5" x14ac:dyDescent="0.35">
      <c r="A14" s="8" t="s">
        <v>73</v>
      </c>
      <c r="B14" s="1" t="s">
        <v>74</v>
      </c>
      <c r="C14" s="1">
        <v>1</v>
      </c>
      <c r="D14" s="3"/>
      <c r="E14" s="4"/>
    </row>
    <row r="15" spans="1:5" x14ac:dyDescent="0.35">
      <c r="A15" s="2"/>
      <c r="B15" s="2"/>
      <c r="C15" s="2"/>
      <c r="D15" s="16" t="s">
        <v>12</v>
      </c>
      <c r="E15" s="17">
        <f>SUM(E2:E14)</f>
        <v>0</v>
      </c>
    </row>
    <row r="16" spans="1:5" x14ac:dyDescent="0.35">
      <c r="A16" s="66" t="s">
        <v>95</v>
      </c>
      <c r="B16" s="2"/>
      <c r="C16" s="2"/>
      <c r="D16" s="6"/>
      <c r="E16" s="7"/>
    </row>
    <row r="17" spans="1:5" x14ac:dyDescent="0.35">
      <c r="A17" s="2"/>
      <c r="B17" s="2"/>
      <c r="C17" s="2"/>
      <c r="D17" s="6"/>
      <c r="E1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23A-8115-4E60-8BFC-9F2334E4410D}">
  <dimension ref="A1:I10"/>
  <sheetViews>
    <sheetView workbookViewId="0">
      <selection activeCell="A10" sqref="A10"/>
    </sheetView>
  </sheetViews>
  <sheetFormatPr defaultRowHeight="14.5" x14ac:dyDescent="0.35"/>
  <cols>
    <col min="1" max="1" width="40.1796875" customWidth="1"/>
    <col min="2" max="2" width="37.1796875" bestFit="1" customWidth="1"/>
    <col min="3" max="3" width="13.453125" bestFit="1" customWidth="1"/>
    <col min="4" max="4" width="14.1796875" bestFit="1" customWidth="1"/>
    <col min="5" max="5" width="14.7265625" style="5" bestFit="1" customWidth="1"/>
    <col min="7" max="7" width="11.81640625" bestFit="1" customWidth="1"/>
    <col min="9" max="9" width="10.81640625" bestFit="1" customWidth="1"/>
  </cols>
  <sheetData>
    <row r="1" spans="1:9" x14ac:dyDescent="0.35">
      <c r="A1" s="24" t="s">
        <v>6</v>
      </c>
      <c r="B1" s="24" t="s">
        <v>7</v>
      </c>
      <c r="C1" s="24" t="s">
        <v>14</v>
      </c>
      <c r="D1" s="24" t="s">
        <v>10</v>
      </c>
      <c r="E1" s="24" t="s">
        <v>11</v>
      </c>
    </row>
    <row r="2" spans="1:9" x14ac:dyDescent="0.35">
      <c r="A2" s="62" t="s">
        <v>102</v>
      </c>
      <c r="B2" s="12" t="s">
        <v>77</v>
      </c>
      <c r="C2" s="13">
        <v>1</v>
      </c>
      <c r="D2" s="3"/>
      <c r="E2" s="4"/>
    </row>
    <row r="3" spans="1:9" x14ac:dyDescent="0.35">
      <c r="A3" s="8" t="s">
        <v>103</v>
      </c>
      <c r="B3" s="1" t="s">
        <v>97</v>
      </c>
      <c r="C3" s="1">
        <v>1</v>
      </c>
      <c r="D3" s="3"/>
      <c r="E3" s="4"/>
      <c r="G3" s="10"/>
      <c r="I3" s="10"/>
    </row>
    <row r="4" spans="1:9" x14ac:dyDescent="0.35">
      <c r="A4" s="8" t="s">
        <v>104</v>
      </c>
      <c r="B4" s="1" t="s">
        <v>99</v>
      </c>
      <c r="C4" s="1">
        <v>1</v>
      </c>
      <c r="D4" s="3"/>
      <c r="E4" s="4"/>
      <c r="I4" s="10"/>
    </row>
    <row r="5" spans="1:9" x14ac:dyDescent="0.35">
      <c r="A5" s="8" t="s">
        <v>80</v>
      </c>
      <c r="B5" s="1" t="s">
        <v>81</v>
      </c>
      <c r="C5" s="1">
        <v>1</v>
      </c>
      <c r="D5" s="3"/>
      <c r="E5" s="4"/>
      <c r="I5" s="10"/>
    </row>
    <row r="6" spans="1:9" x14ac:dyDescent="0.35">
      <c r="A6" s="8" t="s">
        <v>82</v>
      </c>
      <c r="B6" s="1" t="s">
        <v>83</v>
      </c>
      <c r="C6" s="1">
        <v>1</v>
      </c>
      <c r="D6" s="3"/>
      <c r="E6" s="4"/>
      <c r="I6" s="10"/>
    </row>
    <row r="7" spans="1:9" x14ac:dyDescent="0.35">
      <c r="A7" s="8" t="s">
        <v>84</v>
      </c>
      <c r="B7" s="1"/>
      <c r="C7" s="1">
        <v>1</v>
      </c>
      <c r="D7" s="3"/>
      <c r="E7" s="4"/>
    </row>
    <row r="8" spans="1:9" x14ac:dyDescent="0.35">
      <c r="A8" s="8" t="s">
        <v>85</v>
      </c>
      <c r="B8" s="1" t="s">
        <v>86</v>
      </c>
      <c r="C8" s="1">
        <v>1</v>
      </c>
      <c r="D8" s="3"/>
      <c r="E8" s="4"/>
    </row>
    <row r="9" spans="1:9" x14ac:dyDescent="0.35">
      <c r="D9" s="18" t="s">
        <v>12</v>
      </c>
      <c r="E9" s="9">
        <f>SUM(E2:E8)</f>
        <v>0</v>
      </c>
    </row>
    <row r="10" spans="1:9" x14ac:dyDescent="0.35">
      <c r="A10" s="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8A0F-319E-418B-ABE5-E47612D74789}">
  <dimension ref="A1:E14"/>
  <sheetViews>
    <sheetView workbookViewId="0">
      <selection activeCell="E15" sqref="E15"/>
    </sheetView>
  </sheetViews>
  <sheetFormatPr defaultRowHeight="14.5" x14ac:dyDescent="0.35"/>
  <cols>
    <col min="1" max="1" width="48.90625" customWidth="1"/>
    <col min="2" max="2" width="37.26953125" bestFit="1" customWidth="1"/>
    <col min="3" max="3" width="26.7265625" customWidth="1"/>
    <col min="4" max="4" width="14.453125" customWidth="1"/>
    <col min="5" max="5" width="13.1796875" customWidth="1"/>
    <col min="6" max="6" width="16.36328125" customWidth="1"/>
  </cols>
  <sheetData>
    <row r="1" spans="1:5" x14ac:dyDescent="0.35">
      <c r="A1" s="24" t="s">
        <v>6</v>
      </c>
      <c r="B1" s="24" t="s">
        <v>7</v>
      </c>
      <c r="C1" s="24" t="s">
        <v>9</v>
      </c>
      <c r="D1" s="24" t="s">
        <v>10</v>
      </c>
      <c r="E1" s="24" t="s">
        <v>11</v>
      </c>
    </row>
    <row r="2" spans="1:5" x14ac:dyDescent="0.35">
      <c r="A2" s="1" t="s">
        <v>16</v>
      </c>
      <c r="B2" s="1" t="s">
        <v>101</v>
      </c>
      <c r="C2" s="1">
        <v>1</v>
      </c>
      <c r="D2" s="14"/>
      <c r="E2" s="14"/>
    </row>
    <row r="3" spans="1:5" x14ac:dyDescent="0.35">
      <c r="D3" s="15" t="s">
        <v>12</v>
      </c>
      <c r="E3" s="9">
        <f>SUM(E2:E2)</f>
        <v>0</v>
      </c>
    </row>
    <row r="5" spans="1:5" x14ac:dyDescent="0.35">
      <c r="A5" s="68" t="s">
        <v>139</v>
      </c>
    </row>
    <row r="6" spans="1:5" x14ac:dyDescent="0.35">
      <c r="A6" s="1" t="s">
        <v>117</v>
      </c>
      <c r="B6" s="1"/>
      <c r="C6" s="1">
        <v>1</v>
      </c>
      <c r="D6" s="14"/>
      <c r="E6" s="14"/>
    </row>
    <row r="7" spans="1:5" x14ac:dyDescent="0.35">
      <c r="A7" s="1" t="s">
        <v>119</v>
      </c>
      <c r="B7" s="1"/>
      <c r="C7" s="1">
        <v>1</v>
      </c>
      <c r="D7" s="14"/>
      <c r="E7" s="14"/>
    </row>
    <row r="8" spans="1:5" x14ac:dyDescent="0.35">
      <c r="A8" s="1" t="s">
        <v>121</v>
      </c>
      <c r="B8" s="1"/>
      <c r="C8" s="1">
        <v>1</v>
      </c>
      <c r="D8" s="14"/>
      <c r="E8" s="14"/>
    </row>
    <row r="9" spans="1:5" x14ac:dyDescent="0.35">
      <c r="A9" s="1" t="s">
        <v>123</v>
      </c>
      <c r="B9" s="1"/>
      <c r="C9" s="1">
        <v>1</v>
      </c>
      <c r="D9" s="14"/>
      <c r="E9" s="14"/>
    </row>
    <row r="10" spans="1:5" x14ac:dyDescent="0.35">
      <c r="A10" s="1" t="s">
        <v>125</v>
      </c>
      <c r="B10" s="1"/>
      <c r="C10" s="1">
        <v>1</v>
      </c>
      <c r="D10" s="14"/>
      <c r="E10" s="14"/>
    </row>
    <row r="11" spans="1:5" x14ac:dyDescent="0.35">
      <c r="A11" s="1" t="s">
        <v>127</v>
      </c>
      <c r="B11" s="1"/>
      <c r="C11" s="1">
        <v>1</v>
      </c>
      <c r="D11" s="14"/>
      <c r="E11" s="14"/>
    </row>
    <row r="12" spans="1:5" x14ac:dyDescent="0.35">
      <c r="A12" s="1" t="s">
        <v>129</v>
      </c>
      <c r="B12" s="1"/>
      <c r="C12" s="1">
        <v>1</v>
      </c>
      <c r="D12" s="14"/>
      <c r="E12" s="14"/>
    </row>
    <row r="13" spans="1:5" x14ac:dyDescent="0.35">
      <c r="A13" s="1" t="s">
        <v>131</v>
      </c>
      <c r="B13" s="1"/>
      <c r="C13" s="1">
        <v>1</v>
      </c>
      <c r="D13" s="14"/>
      <c r="E13" s="14"/>
    </row>
    <row r="14" spans="1:5" x14ac:dyDescent="0.35">
      <c r="D14" s="15" t="s">
        <v>12</v>
      </c>
      <c r="E14" s="9">
        <f>SUM(E6:E13)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3695-287B-49BC-B004-DAA72142310E}">
  <dimension ref="A1:G62"/>
  <sheetViews>
    <sheetView topLeftCell="A12" zoomScale="90" zoomScaleNormal="90" workbookViewId="0">
      <selection activeCell="G51" sqref="G51"/>
    </sheetView>
  </sheetViews>
  <sheetFormatPr defaultRowHeight="14.5" x14ac:dyDescent="0.35"/>
  <cols>
    <col min="1" max="1" width="18.08984375" bestFit="1" customWidth="1"/>
    <col min="2" max="2" width="43.90625" customWidth="1"/>
    <col min="3" max="3" width="44.36328125" customWidth="1"/>
    <col min="4" max="4" width="25.08984375" bestFit="1" customWidth="1"/>
    <col min="5" max="5" width="8.7265625" style="11"/>
    <col min="6" max="6" width="12.54296875" bestFit="1" customWidth="1"/>
    <col min="7" max="7" width="14.26953125" bestFit="1" customWidth="1"/>
  </cols>
  <sheetData>
    <row r="1" spans="1:7" ht="28" customHeight="1" thickBot="1" x14ac:dyDescent="0.4">
      <c r="A1" s="64" t="s">
        <v>0</v>
      </c>
      <c r="B1" s="64" t="s">
        <v>6</v>
      </c>
      <c r="C1" s="64" t="s">
        <v>13</v>
      </c>
      <c r="D1" s="64" t="s">
        <v>8</v>
      </c>
      <c r="E1" s="64" t="s">
        <v>9</v>
      </c>
      <c r="F1" s="64" t="s">
        <v>10</v>
      </c>
      <c r="G1" s="65" t="s">
        <v>11</v>
      </c>
    </row>
    <row r="2" spans="1:7" x14ac:dyDescent="0.35">
      <c r="A2" s="79" t="s">
        <v>134</v>
      </c>
      <c r="B2" s="36" t="s">
        <v>90</v>
      </c>
      <c r="C2" s="37"/>
      <c r="D2" s="37" t="s">
        <v>18</v>
      </c>
      <c r="E2" s="28">
        <v>1</v>
      </c>
      <c r="F2" s="29"/>
      <c r="G2" s="30"/>
    </row>
    <row r="3" spans="1:7" x14ac:dyDescent="0.35">
      <c r="A3" s="81"/>
      <c r="B3" s="38" t="s">
        <v>19</v>
      </c>
      <c r="C3" s="1"/>
      <c r="D3" s="1" t="s">
        <v>20</v>
      </c>
      <c r="E3" s="25">
        <v>1</v>
      </c>
      <c r="F3" s="39"/>
      <c r="G3" s="40"/>
    </row>
    <row r="4" spans="1:7" x14ac:dyDescent="0.35">
      <c r="A4" s="81"/>
      <c r="B4" s="38" t="s">
        <v>21</v>
      </c>
      <c r="C4" s="1"/>
      <c r="D4" s="1" t="s">
        <v>22</v>
      </c>
      <c r="E4" s="25">
        <v>2</v>
      </c>
      <c r="F4" s="39"/>
      <c r="G4" s="40"/>
    </row>
    <row r="5" spans="1:7" x14ac:dyDescent="0.35">
      <c r="A5" s="81"/>
      <c r="B5" s="38" t="s">
        <v>23</v>
      </c>
      <c r="C5" s="1"/>
      <c r="D5" s="1" t="s">
        <v>24</v>
      </c>
      <c r="E5" s="25">
        <v>2</v>
      </c>
      <c r="F5" s="39"/>
      <c r="G5" s="40"/>
    </row>
    <row r="6" spans="1:7" x14ac:dyDescent="0.35">
      <c r="A6" s="81"/>
      <c r="B6" s="38" t="s">
        <v>25</v>
      </c>
      <c r="C6" s="1"/>
      <c r="D6" s="1" t="s">
        <v>24</v>
      </c>
      <c r="E6" s="25">
        <v>1</v>
      </c>
      <c r="F6" s="39"/>
      <c r="G6" s="40"/>
    </row>
    <row r="7" spans="1:7" x14ac:dyDescent="0.35">
      <c r="A7" s="81"/>
      <c r="B7" s="38" t="s">
        <v>26</v>
      </c>
      <c r="C7" s="1"/>
      <c r="D7" s="1" t="s">
        <v>27</v>
      </c>
      <c r="E7" s="25">
        <v>1</v>
      </c>
      <c r="F7" s="39"/>
      <c r="G7" s="40"/>
    </row>
    <row r="8" spans="1:7" x14ac:dyDescent="0.35">
      <c r="A8" s="81"/>
      <c r="B8" s="38" t="s">
        <v>28</v>
      </c>
      <c r="C8" s="1"/>
      <c r="D8" s="1" t="s">
        <v>29</v>
      </c>
      <c r="E8" s="25">
        <v>1</v>
      </c>
      <c r="F8" s="39"/>
      <c r="G8" s="40"/>
    </row>
    <row r="9" spans="1:7" x14ac:dyDescent="0.35">
      <c r="A9" s="81"/>
      <c r="B9" s="38" t="s">
        <v>30</v>
      </c>
      <c r="C9" s="1"/>
      <c r="D9" s="1" t="s">
        <v>31</v>
      </c>
      <c r="E9" s="25">
        <v>1</v>
      </c>
      <c r="F9" s="39"/>
      <c r="G9" s="40"/>
    </row>
    <row r="10" spans="1:7" x14ac:dyDescent="0.35">
      <c r="A10" s="81"/>
      <c r="B10" s="38" t="s">
        <v>32</v>
      </c>
      <c r="C10" s="1"/>
      <c r="D10" s="1" t="s">
        <v>33</v>
      </c>
      <c r="E10" s="25">
        <v>10</v>
      </c>
      <c r="F10" s="39"/>
      <c r="G10" s="40"/>
    </row>
    <row r="11" spans="1:7" x14ac:dyDescent="0.35">
      <c r="A11" s="81"/>
      <c r="B11" s="38" t="s">
        <v>34</v>
      </c>
      <c r="C11" s="1"/>
      <c r="D11" s="1" t="s">
        <v>20</v>
      </c>
      <c r="E11" s="25">
        <v>10</v>
      </c>
      <c r="F11" s="39"/>
      <c r="G11" s="40"/>
    </row>
    <row r="12" spans="1:7" x14ac:dyDescent="0.35">
      <c r="A12" s="81"/>
      <c r="B12" s="38" t="s">
        <v>35</v>
      </c>
      <c r="C12" s="1"/>
      <c r="D12" s="1" t="s">
        <v>20</v>
      </c>
      <c r="E12" s="25">
        <v>1</v>
      </c>
      <c r="F12" s="39"/>
      <c r="G12" s="40"/>
    </row>
    <row r="13" spans="1:7" x14ac:dyDescent="0.35">
      <c r="A13" s="81"/>
      <c r="B13" s="38" t="s">
        <v>36</v>
      </c>
      <c r="C13" s="1"/>
      <c r="D13" s="1" t="s">
        <v>20</v>
      </c>
      <c r="E13" s="25">
        <v>1</v>
      </c>
      <c r="F13" s="39"/>
      <c r="G13" s="40"/>
    </row>
    <row r="14" spans="1:7" x14ac:dyDescent="0.35">
      <c r="A14" s="81"/>
      <c r="B14" s="38" t="s">
        <v>37</v>
      </c>
      <c r="C14" s="1"/>
      <c r="D14" s="1" t="s">
        <v>38</v>
      </c>
      <c r="E14" s="25">
        <v>1</v>
      </c>
      <c r="F14" s="39"/>
      <c r="G14" s="40"/>
    </row>
    <row r="15" spans="1:7" x14ac:dyDescent="0.35">
      <c r="A15" s="81"/>
      <c r="B15" s="38" t="s">
        <v>39</v>
      </c>
      <c r="C15" s="1"/>
      <c r="D15" s="1" t="s">
        <v>40</v>
      </c>
      <c r="E15" s="25">
        <v>2</v>
      </c>
      <c r="F15" s="39"/>
      <c r="G15" s="40"/>
    </row>
    <row r="16" spans="1:7" x14ac:dyDescent="0.35">
      <c r="A16" s="81"/>
      <c r="B16" s="38" t="s">
        <v>41</v>
      </c>
      <c r="C16" s="1"/>
      <c r="D16" s="1" t="s">
        <v>42</v>
      </c>
      <c r="E16" s="25">
        <v>1</v>
      </c>
      <c r="F16" s="39"/>
      <c r="G16" s="40"/>
    </row>
    <row r="17" spans="1:7" x14ac:dyDescent="0.35">
      <c r="A17" s="81"/>
      <c r="B17" s="38" t="s">
        <v>43</v>
      </c>
      <c r="C17" s="1"/>
      <c r="D17" s="1" t="s">
        <v>33</v>
      </c>
      <c r="E17" s="25">
        <v>1</v>
      </c>
      <c r="F17" s="39"/>
      <c r="G17" s="40"/>
    </row>
    <row r="18" spans="1:7" x14ac:dyDescent="0.35">
      <c r="A18" s="81"/>
      <c r="B18" s="38" t="s">
        <v>44</v>
      </c>
      <c r="C18" s="1"/>
      <c r="D18" s="1" t="s">
        <v>45</v>
      </c>
      <c r="E18" s="25">
        <v>3</v>
      </c>
      <c r="F18" s="41"/>
      <c r="G18" s="40"/>
    </row>
    <row r="19" spans="1:7" x14ac:dyDescent="0.35">
      <c r="A19" s="81"/>
      <c r="B19" s="38" t="s">
        <v>46</v>
      </c>
      <c r="C19" s="1"/>
      <c r="D19" s="1" t="s">
        <v>45</v>
      </c>
      <c r="E19" s="25">
        <v>10</v>
      </c>
      <c r="F19" s="41"/>
      <c r="G19" s="40"/>
    </row>
    <row r="20" spans="1:7" x14ac:dyDescent="0.35">
      <c r="A20" s="81"/>
      <c r="B20" s="38" t="s">
        <v>47</v>
      </c>
      <c r="C20" s="1"/>
      <c r="D20" s="1" t="s">
        <v>48</v>
      </c>
      <c r="E20" s="25">
        <v>1</v>
      </c>
      <c r="F20" s="41"/>
      <c r="G20" s="40"/>
    </row>
    <row r="21" spans="1:7" x14ac:dyDescent="0.35">
      <c r="A21" s="81"/>
      <c r="B21" s="38" t="s">
        <v>49</v>
      </c>
      <c r="C21" s="1"/>
      <c r="D21" s="1" t="s">
        <v>50</v>
      </c>
      <c r="E21" s="25">
        <v>1</v>
      </c>
      <c r="F21" s="41"/>
      <c r="G21" s="40"/>
    </row>
    <row r="22" spans="1:7" x14ac:dyDescent="0.35">
      <c r="A22" s="81"/>
      <c r="B22" s="38" t="s">
        <v>51</v>
      </c>
      <c r="C22" s="1"/>
      <c r="D22" s="1" t="s">
        <v>52</v>
      </c>
      <c r="E22" s="25">
        <v>1</v>
      </c>
      <c r="F22" s="41"/>
      <c r="G22" s="40"/>
    </row>
    <row r="23" spans="1:7" ht="15" thickBot="1" x14ac:dyDescent="0.4">
      <c r="A23" s="80"/>
      <c r="B23" s="42" t="s">
        <v>53</v>
      </c>
      <c r="C23" s="43"/>
      <c r="D23" s="43"/>
      <c r="E23" s="33">
        <v>1</v>
      </c>
      <c r="F23" s="44"/>
      <c r="G23" s="35"/>
    </row>
    <row r="24" spans="1:7" x14ac:dyDescent="0.35">
      <c r="A24" s="79" t="s">
        <v>135</v>
      </c>
      <c r="B24" s="26" t="s">
        <v>133</v>
      </c>
      <c r="C24" s="27"/>
      <c r="D24" s="28"/>
      <c r="E24" s="28">
        <v>1</v>
      </c>
      <c r="F24" s="29"/>
      <c r="G24" s="30"/>
    </row>
    <row r="25" spans="1:7" ht="15" thickBot="1" x14ac:dyDescent="0.4">
      <c r="A25" s="80"/>
      <c r="B25" s="31" t="s">
        <v>91</v>
      </c>
      <c r="C25" s="32"/>
      <c r="D25" s="33"/>
      <c r="E25" s="33">
        <v>1</v>
      </c>
      <c r="F25" s="34"/>
      <c r="G25" s="35"/>
    </row>
    <row r="26" spans="1:7" x14ac:dyDescent="0.35">
      <c r="A26" s="79" t="s">
        <v>54</v>
      </c>
      <c r="B26" s="36" t="s">
        <v>92</v>
      </c>
      <c r="C26" s="37" t="s">
        <v>55</v>
      </c>
      <c r="D26" s="37"/>
      <c r="E26" s="28">
        <v>1</v>
      </c>
      <c r="F26" s="29"/>
      <c r="G26" s="30"/>
    </row>
    <row r="27" spans="1:7" x14ac:dyDescent="0.35">
      <c r="A27" s="81"/>
      <c r="B27" s="38" t="s">
        <v>93</v>
      </c>
      <c r="C27" s="1" t="s">
        <v>56</v>
      </c>
      <c r="D27" s="1"/>
      <c r="E27" s="25">
        <v>1</v>
      </c>
      <c r="F27" s="39"/>
      <c r="G27" s="40"/>
    </row>
    <row r="28" spans="1:7" x14ac:dyDescent="0.35">
      <c r="A28" s="81"/>
      <c r="B28" s="38" t="s">
        <v>57</v>
      </c>
      <c r="C28" s="1" t="s">
        <v>55</v>
      </c>
      <c r="D28" s="1"/>
      <c r="E28" s="25">
        <v>1</v>
      </c>
      <c r="F28" s="39"/>
      <c r="G28" s="40"/>
    </row>
    <row r="29" spans="1:7" x14ac:dyDescent="0.35">
      <c r="A29" s="81"/>
      <c r="B29" s="38" t="s">
        <v>58</v>
      </c>
      <c r="C29" s="1" t="s">
        <v>55</v>
      </c>
      <c r="D29" s="1"/>
      <c r="E29" s="25">
        <v>1</v>
      </c>
      <c r="F29" s="39"/>
      <c r="G29" s="40"/>
    </row>
    <row r="30" spans="1:7" x14ac:dyDescent="0.35">
      <c r="A30" s="81"/>
      <c r="B30" s="38" t="s">
        <v>59</v>
      </c>
      <c r="C30" s="1" t="s">
        <v>55</v>
      </c>
      <c r="D30" s="1"/>
      <c r="E30" s="25">
        <v>1</v>
      </c>
      <c r="F30" s="39"/>
      <c r="G30" s="40"/>
    </row>
    <row r="31" spans="1:7" x14ac:dyDescent="0.35">
      <c r="A31" s="81"/>
      <c r="B31" s="38" t="s">
        <v>60</v>
      </c>
      <c r="C31" s="1" t="s">
        <v>61</v>
      </c>
      <c r="D31" s="1" t="s">
        <v>62</v>
      </c>
      <c r="E31" s="25">
        <v>1700</v>
      </c>
      <c r="F31" s="39"/>
      <c r="G31" s="40"/>
    </row>
    <row r="32" spans="1:7" x14ac:dyDescent="0.35">
      <c r="A32" s="81"/>
      <c r="B32" s="38" t="s">
        <v>63</v>
      </c>
      <c r="C32" s="1" t="s">
        <v>64</v>
      </c>
      <c r="D32" s="1" t="s">
        <v>62</v>
      </c>
      <c r="E32" s="25">
        <v>40</v>
      </c>
      <c r="F32" s="39"/>
      <c r="G32" s="40"/>
    </row>
    <row r="33" spans="1:7" x14ac:dyDescent="0.35">
      <c r="A33" s="81"/>
      <c r="B33" s="38" t="s">
        <v>65</v>
      </c>
      <c r="C33" s="1" t="s">
        <v>66</v>
      </c>
      <c r="D33" s="1" t="s">
        <v>62</v>
      </c>
      <c r="E33" s="25">
        <v>250</v>
      </c>
      <c r="F33" s="39"/>
      <c r="G33" s="40"/>
    </row>
    <row r="34" spans="1:7" x14ac:dyDescent="0.35">
      <c r="A34" s="81"/>
      <c r="B34" s="38" t="s">
        <v>67</v>
      </c>
      <c r="C34" s="1" t="s">
        <v>68</v>
      </c>
      <c r="D34" s="1" t="s">
        <v>62</v>
      </c>
      <c r="E34" s="25">
        <v>220</v>
      </c>
      <c r="F34" s="39"/>
      <c r="G34" s="40"/>
    </row>
    <row r="35" spans="1:7" x14ac:dyDescent="0.35">
      <c r="A35" s="81"/>
      <c r="B35" s="38" t="s">
        <v>67</v>
      </c>
      <c r="C35" s="1" t="s">
        <v>69</v>
      </c>
      <c r="D35" s="1" t="s">
        <v>62</v>
      </c>
      <c r="E35" s="25">
        <v>5</v>
      </c>
      <c r="F35" s="39"/>
      <c r="G35" s="40"/>
    </row>
    <row r="36" spans="1:7" x14ac:dyDescent="0.35">
      <c r="A36" s="81"/>
      <c r="B36" s="38" t="s">
        <v>67</v>
      </c>
      <c r="C36" s="1" t="s">
        <v>70</v>
      </c>
      <c r="D36" s="1" t="s">
        <v>62</v>
      </c>
      <c r="E36" s="25">
        <v>30</v>
      </c>
      <c r="F36" s="39"/>
      <c r="G36" s="40"/>
    </row>
    <row r="37" spans="1:7" x14ac:dyDescent="0.35">
      <c r="A37" s="81"/>
      <c r="B37" s="38" t="s">
        <v>71</v>
      </c>
      <c r="C37" s="1" t="s">
        <v>72</v>
      </c>
      <c r="D37" s="1" t="s">
        <v>62</v>
      </c>
      <c r="E37" s="25">
        <v>2000</v>
      </c>
      <c r="F37" s="39"/>
      <c r="G37" s="40"/>
    </row>
    <row r="38" spans="1:7" x14ac:dyDescent="0.35">
      <c r="A38" s="81"/>
      <c r="B38" s="38" t="s">
        <v>73</v>
      </c>
      <c r="C38" s="1" t="s">
        <v>74</v>
      </c>
      <c r="D38" s="1"/>
      <c r="E38" s="25">
        <v>1</v>
      </c>
      <c r="F38" s="39"/>
      <c r="G38" s="40"/>
    </row>
    <row r="39" spans="1:7" x14ac:dyDescent="0.35">
      <c r="A39" s="82" t="s">
        <v>75</v>
      </c>
      <c r="B39" s="45" t="s">
        <v>76</v>
      </c>
      <c r="C39" s="46" t="s">
        <v>77</v>
      </c>
      <c r="D39" s="47"/>
      <c r="E39" s="48">
        <v>1</v>
      </c>
      <c r="F39" s="49"/>
      <c r="G39" s="50"/>
    </row>
    <row r="40" spans="1:7" x14ac:dyDescent="0.35">
      <c r="A40" s="82"/>
      <c r="B40" s="38" t="s">
        <v>78</v>
      </c>
      <c r="C40" s="1" t="s">
        <v>97</v>
      </c>
      <c r="D40" s="1"/>
      <c r="E40" s="25">
        <v>1</v>
      </c>
      <c r="F40" s="4"/>
      <c r="G40" s="40"/>
    </row>
    <row r="41" spans="1:7" x14ac:dyDescent="0.35">
      <c r="A41" s="82"/>
      <c r="B41" s="38" t="s">
        <v>79</v>
      </c>
      <c r="C41" s="1" t="s">
        <v>98</v>
      </c>
      <c r="D41" s="1"/>
      <c r="E41" s="25">
        <v>1</v>
      </c>
      <c r="F41" s="4"/>
      <c r="G41" s="40"/>
    </row>
    <row r="42" spans="1:7" x14ac:dyDescent="0.35">
      <c r="A42" s="82"/>
      <c r="B42" s="38" t="s">
        <v>80</v>
      </c>
      <c r="C42" s="1" t="s">
        <v>81</v>
      </c>
      <c r="D42" s="1"/>
      <c r="E42" s="25">
        <v>1</v>
      </c>
      <c r="F42" s="4"/>
      <c r="G42" s="40"/>
    </row>
    <row r="43" spans="1:7" x14ac:dyDescent="0.35">
      <c r="A43" s="82"/>
      <c r="B43" s="38" t="s">
        <v>82</v>
      </c>
      <c r="C43" s="1" t="s">
        <v>83</v>
      </c>
      <c r="D43" s="1"/>
      <c r="E43" s="25">
        <v>1</v>
      </c>
      <c r="F43" s="4"/>
      <c r="G43" s="40"/>
    </row>
    <row r="44" spans="1:7" x14ac:dyDescent="0.35">
      <c r="A44" s="82"/>
      <c r="B44" s="38" t="s">
        <v>136</v>
      </c>
      <c r="C44" s="1"/>
      <c r="D44" s="1"/>
      <c r="E44" s="25">
        <v>1</v>
      </c>
      <c r="F44" s="4"/>
      <c r="G44" s="40"/>
    </row>
    <row r="45" spans="1:7" x14ac:dyDescent="0.35">
      <c r="A45" s="82"/>
      <c r="B45" s="38" t="s">
        <v>91</v>
      </c>
      <c r="C45" s="1"/>
      <c r="D45" s="1"/>
      <c r="E45" s="25">
        <v>1</v>
      </c>
      <c r="F45" s="4"/>
      <c r="G45" s="40"/>
    </row>
    <row r="46" spans="1:7" x14ac:dyDescent="0.35">
      <c r="A46" s="82"/>
      <c r="B46" s="38" t="s">
        <v>84</v>
      </c>
      <c r="C46" s="1"/>
      <c r="D46" s="1"/>
      <c r="E46" s="25">
        <v>1</v>
      </c>
      <c r="F46" s="4"/>
      <c r="G46" s="40"/>
    </row>
    <row r="47" spans="1:7" ht="15" thickBot="1" x14ac:dyDescent="0.4">
      <c r="A47" s="82"/>
      <c r="B47" s="51" t="s">
        <v>85</v>
      </c>
      <c r="C47" s="52" t="s">
        <v>86</v>
      </c>
      <c r="D47" s="52"/>
      <c r="E47" s="53">
        <v>1</v>
      </c>
      <c r="F47" s="54"/>
      <c r="G47" s="55"/>
    </row>
    <row r="48" spans="1:7" ht="15" thickBot="1" x14ac:dyDescent="0.4">
      <c r="A48" s="56" t="s">
        <v>138</v>
      </c>
      <c r="B48" s="36" t="s">
        <v>16</v>
      </c>
      <c r="C48" s="37"/>
      <c r="D48" s="37"/>
      <c r="E48" s="28">
        <v>1</v>
      </c>
      <c r="F48" s="57"/>
      <c r="G48" s="58"/>
    </row>
    <row r="49" spans="1:7" ht="15" thickBot="1" x14ac:dyDescent="0.4">
      <c r="A49" s="56" t="s">
        <v>137</v>
      </c>
      <c r="B49" s="71" t="s">
        <v>113</v>
      </c>
      <c r="C49" s="72"/>
      <c r="D49" s="72"/>
      <c r="E49" s="73">
        <v>1</v>
      </c>
      <c r="F49" s="74"/>
      <c r="G49" s="75"/>
    </row>
    <row r="50" spans="1:7" ht="15" thickBot="1" x14ac:dyDescent="0.4">
      <c r="A50" s="59"/>
      <c r="B50" s="77" t="s">
        <v>87</v>
      </c>
      <c r="C50" s="78"/>
      <c r="D50" s="78"/>
      <c r="E50" s="60"/>
      <c r="F50" s="61"/>
      <c r="G50" s="83">
        <f>SUM(G2:G49)</f>
        <v>0</v>
      </c>
    </row>
    <row r="53" spans="1:7" x14ac:dyDescent="0.35">
      <c r="A53" s="68" t="s">
        <v>139</v>
      </c>
      <c r="E53"/>
    </row>
    <row r="54" spans="1:7" x14ac:dyDescent="0.35">
      <c r="A54" s="1" t="s">
        <v>117</v>
      </c>
      <c r="B54" s="1"/>
      <c r="C54" s="1"/>
      <c r="D54" s="1"/>
      <c r="E54" s="1">
        <v>1</v>
      </c>
      <c r="F54" s="14"/>
      <c r="G54" s="14"/>
    </row>
    <row r="55" spans="1:7" x14ac:dyDescent="0.35">
      <c r="A55" s="1" t="s">
        <v>119</v>
      </c>
      <c r="B55" s="1"/>
      <c r="C55" s="1"/>
      <c r="D55" s="1"/>
      <c r="E55" s="1">
        <v>1</v>
      </c>
      <c r="F55" s="14"/>
      <c r="G55" s="14"/>
    </row>
    <row r="56" spans="1:7" x14ac:dyDescent="0.35">
      <c r="A56" s="1" t="s">
        <v>121</v>
      </c>
      <c r="B56" s="1"/>
      <c r="C56" s="1"/>
      <c r="D56" s="1"/>
      <c r="E56" s="1">
        <v>1</v>
      </c>
      <c r="F56" s="14"/>
      <c r="G56" s="14"/>
    </row>
    <row r="57" spans="1:7" x14ac:dyDescent="0.35">
      <c r="A57" s="1" t="s">
        <v>123</v>
      </c>
      <c r="B57" s="1"/>
      <c r="C57" s="1"/>
      <c r="D57" s="1"/>
      <c r="E57" s="1">
        <v>1</v>
      </c>
      <c r="F57" s="14"/>
      <c r="G57" s="14"/>
    </row>
    <row r="58" spans="1:7" x14ac:dyDescent="0.35">
      <c r="A58" s="1" t="s">
        <v>125</v>
      </c>
      <c r="B58" s="1"/>
      <c r="C58" s="1"/>
      <c r="D58" s="1"/>
      <c r="E58" s="1">
        <v>1</v>
      </c>
      <c r="F58" s="14"/>
      <c r="G58" s="14"/>
    </row>
    <row r="59" spans="1:7" x14ac:dyDescent="0.35">
      <c r="A59" s="1" t="s">
        <v>127</v>
      </c>
      <c r="B59" s="1"/>
      <c r="C59" s="1"/>
      <c r="D59" s="1"/>
      <c r="E59" s="1">
        <v>1</v>
      </c>
      <c r="F59" s="14"/>
      <c r="G59" s="14"/>
    </row>
    <row r="60" spans="1:7" x14ac:dyDescent="0.35">
      <c r="A60" s="1" t="s">
        <v>129</v>
      </c>
      <c r="B60" s="1"/>
      <c r="C60" s="1"/>
      <c r="D60" s="1"/>
      <c r="E60" s="1">
        <v>1</v>
      </c>
      <c r="F60" s="14"/>
      <c r="G60" s="14"/>
    </row>
    <row r="61" spans="1:7" x14ac:dyDescent="0.35">
      <c r="A61" s="1" t="s">
        <v>131</v>
      </c>
      <c r="B61" s="1"/>
      <c r="C61" s="1"/>
      <c r="D61" s="1"/>
      <c r="E61" s="1">
        <v>1</v>
      </c>
      <c r="F61" s="14"/>
      <c r="G61" s="14"/>
    </row>
    <row r="62" spans="1:7" x14ac:dyDescent="0.35">
      <c r="A62" s="1"/>
      <c r="B62" s="1"/>
      <c r="C62" s="1"/>
      <c r="D62" s="1"/>
      <c r="E62" s="1"/>
      <c r="F62" s="15" t="s">
        <v>12</v>
      </c>
      <c r="G62" s="9">
        <f>SUM(G54:G61)</f>
        <v>0</v>
      </c>
    </row>
  </sheetData>
  <mergeCells count="5">
    <mergeCell ref="B50:D50"/>
    <mergeCell ref="A24:A25"/>
    <mergeCell ref="A2:A23"/>
    <mergeCell ref="A26:A38"/>
    <mergeCell ref="A39:A47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8c3e8a-fdf4-421c-8c19-6cc1efb124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163610120D6429F3F8EC897CF263F" ma:contentTypeVersion="10" ma:contentTypeDescription="Create a new document." ma:contentTypeScope="" ma:versionID="34842d5c0bad5e2b3be50f6074f3656c">
  <xsd:schema xmlns:xsd="http://www.w3.org/2001/XMLSchema" xmlns:xs="http://www.w3.org/2001/XMLSchema" xmlns:p="http://schemas.microsoft.com/office/2006/metadata/properties" xmlns:ns3="688c3e8a-fdf4-421c-8c19-6cc1efb12412" xmlns:ns4="b3611dcf-c9aa-435c-91d2-d3cab7b77b20" targetNamespace="http://schemas.microsoft.com/office/2006/metadata/properties" ma:root="true" ma:fieldsID="5612d268b657edde0b34f9686c30753b" ns3:_="" ns4:_="">
    <xsd:import namespace="688c3e8a-fdf4-421c-8c19-6cc1efb12412"/>
    <xsd:import namespace="b3611dcf-c9aa-435c-91d2-d3cab7b77b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3e8a-fdf4-421c-8c19-6cc1efb12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11dcf-c9aa-435c-91d2-d3cab7b77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8E1122-BB0C-45DB-AFFA-71A95E55A60B}">
  <ds:schemaRefs>
    <ds:schemaRef ds:uri="http://schemas.microsoft.com/office/2006/metadata/properties"/>
    <ds:schemaRef ds:uri="http://schemas.microsoft.com/office/infopath/2007/PartnerControls"/>
    <ds:schemaRef ds:uri="688c3e8a-fdf4-421c-8c19-6cc1efb12412"/>
  </ds:schemaRefs>
</ds:datastoreItem>
</file>

<file path=customXml/itemProps2.xml><?xml version="1.0" encoding="utf-8"?>
<ds:datastoreItem xmlns:ds="http://schemas.openxmlformats.org/officeDocument/2006/customXml" ds:itemID="{E913DD9A-0B81-43CF-A14D-A6774FBF0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9BA22-FAE3-4820-B51E-E85FCF78A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c3e8a-fdf4-421c-8c19-6cc1efb12412"/>
    <ds:schemaRef ds:uri="b3611dcf-c9aa-435c-91d2-d3cab7b77b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Price Summary</vt:lpstr>
      <vt:lpstr>Equipment</vt:lpstr>
      <vt:lpstr>Design</vt:lpstr>
      <vt:lpstr>Materials</vt:lpstr>
      <vt:lpstr>Labor</vt:lpstr>
      <vt:lpstr>Other</vt:lpstr>
      <vt:lpstr>BOM</vt:lpstr>
    </vt:vector>
  </TitlesOfParts>
  <Manager/>
  <Company>Government Publishing Office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Dyeshia Sampson</dc:creator>
  <cp:keywords/>
  <dc:description/>
  <cp:lastModifiedBy>Holl, Nataliya A.</cp:lastModifiedBy>
  <cp:revision/>
  <cp:lastPrinted>2025-06-27T18:52:46Z</cp:lastPrinted>
  <dcterms:created xsi:type="dcterms:W3CDTF">2022-11-18T19:02:46Z</dcterms:created>
  <dcterms:modified xsi:type="dcterms:W3CDTF">2025-10-29T20:20:07Z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0x010100613163610120D6429F3F8EC897CF263F</vt:lpwstr>
  </property>
</Properties>
</file>