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https://armyeitaas-my.sharepoint-mil.us/personal/dillon_s_barks_civ_army_mil/Documents/Documents/OMD/IDIQ Solicitations/Concrete 2025/"/>
    </mc:Choice>
  </mc:AlternateContent>
  <xr:revisionPtr revIDLastSave="0" documentId="8_{C12FBF25-F425-4671-AE80-AA394C9BE657}" xr6:coauthVersionLast="47" xr6:coauthVersionMax="47" xr10:uidLastSave="{00000000-0000-0000-0000-000000000000}"/>
  <bookViews>
    <workbookView xWindow="-120" yWindow="120" windowWidth="29040" windowHeight="15480" xr2:uid="{00000000-000D-0000-FFFF-FFFF00000000}"/>
  </bookViews>
  <sheets>
    <sheet name="2025 Base" sheetId="1" r:id="rId1"/>
    <sheet name="Option 1" sheetId="7" r:id="rId2"/>
    <sheet name="Option 2" sheetId="8" r:id="rId3"/>
    <sheet name="Option 3" sheetId="9" r:id="rId4"/>
    <sheet name="Option 4" sheetId="10" r:id="rId5"/>
  </sheets>
  <definedNames>
    <definedName name="_xlnm.Print_Area" localSheetId="0">'2025 Base'!$A$1:$F$64</definedName>
    <definedName name="_xlnm.Print_Area" localSheetId="1">'Option 1'!$A$1:$F$64</definedName>
    <definedName name="_xlnm.Print_Area" localSheetId="2">'Option 2'!$A$1:$F$64</definedName>
    <definedName name="_xlnm.Print_Area" localSheetId="3">'Option 3'!$A$1:$F$64</definedName>
    <definedName name="_xlnm.Print_Area" localSheetId="4">'Option 4'!$A$1:$F$65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3" i="10" l="1"/>
  <c r="F41" i="10"/>
  <c r="F29" i="10"/>
  <c r="F17" i="10"/>
  <c r="F14" i="10"/>
  <c r="F5" i="10"/>
  <c r="F63" i="10"/>
  <c r="F62" i="10"/>
  <c r="F61" i="10"/>
  <c r="F60" i="10"/>
  <c r="F59" i="10"/>
  <c r="F58" i="10"/>
  <c r="F57" i="10"/>
  <c r="F56" i="10"/>
  <c r="F55" i="10"/>
  <c r="F54" i="10"/>
  <c r="F51" i="10"/>
  <c r="F50" i="10"/>
  <c r="F49" i="10"/>
  <c r="F48" i="10"/>
  <c r="F47" i="10"/>
  <c r="F46" i="10"/>
  <c r="F45" i="10"/>
  <c r="F44" i="10"/>
  <c r="F43" i="10"/>
  <c r="F42" i="10"/>
  <c r="F39" i="10"/>
  <c r="F38" i="10"/>
  <c r="F37" i="10"/>
  <c r="F36" i="10"/>
  <c r="F35" i="10"/>
  <c r="F34" i="10"/>
  <c r="F33" i="10"/>
  <c r="F32" i="10"/>
  <c r="F31" i="10"/>
  <c r="F30" i="10"/>
  <c r="F27" i="10"/>
  <c r="F26" i="10"/>
  <c r="F25" i="10"/>
  <c r="F24" i="10"/>
  <c r="F23" i="10"/>
  <c r="F22" i="10"/>
  <c r="F21" i="10"/>
  <c r="F20" i="10"/>
  <c r="F19" i="10"/>
  <c r="F18" i="10"/>
  <c r="F15" i="10"/>
  <c r="F13" i="10"/>
  <c r="F12" i="10"/>
  <c r="F11" i="10"/>
  <c r="F10" i="10"/>
  <c r="F9" i="10"/>
  <c r="F8" i="10"/>
  <c r="F7" i="10"/>
  <c r="F6" i="10"/>
  <c r="F3" i="10"/>
  <c r="F63" i="9"/>
  <c r="F62" i="9"/>
  <c r="F61" i="9"/>
  <c r="F60" i="9"/>
  <c r="F59" i="9"/>
  <c r="F58" i="9"/>
  <c r="F57" i="9"/>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F5" i="9"/>
  <c r="F4" i="9"/>
  <c r="F3" i="9"/>
  <c r="F63" i="8"/>
  <c r="F62" i="8"/>
  <c r="F61" i="8"/>
  <c r="F60" i="8"/>
  <c r="F59" i="8"/>
  <c r="F58" i="8"/>
  <c r="F57" i="8"/>
  <c r="F56" i="8"/>
  <c r="F55" i="8"/>
  <c r="F54" i="8"/>
  <c r="F53" i="8"/>
  <c r="F52" i="8"/>
  <c r="F51" i="8"/>
  <c r="F50" i="8"/>
  <c r="F49" i="8"/>
  <c r="F48" i="8"/>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F63" i="7"/>
  <c r="F51" i="7"/>
  <c r="F39" i="7"/>
  <c r="F27" i="7"/>
  <c r="F15" i="7"/>
  <c r="F62" i="7"/>
  <c r="F61" i="7"/>
  <c r="F60" i="7"/>
  <c r="F59" i="7"/>
  <c r="F58" i="7"/>
  <c r="F57" i="7"/>
  <c r="F56" i="7"/>
  <c r="F53" i="7"/>
  <c r="F50" i="7"/>
  <c r="F49" i="7"/>
  <c r="F48" i="7"/>
  <c r="F47" i="7"/>
  <c r="F46" i="7"/>
  <c r="F45" i="7"/>
  <c r="F44" i="7"/>
  <c r="F41" i="7"/>
  <c r="F38" i="7"/>
  <c r="F37" i="7"/>
  <c r="F36" i="7"/>
  <c r="F35" i="7"/>
  <c r="F34" i="7"/>
  <c r="F33" i="7"/>
  <c r="F32" i="7"/>
  <c r="F29" i="7"/>
  <c r="F26" i="7"/>
  <c r="F25" i="7"/>
  <c r="F24" i="7"/>
  <c r="F23" i="7"/>
  <c r="F22" i="7"/>
  <c r="F21" i="7"/>
  <c r="F20" i="7"/>
  <c r="F17" i="7"/>
  <c r="F14" i="7"/>
  <c r="F13" i="7"/>
  <c r="F12" i="7"/>
  <c r="F11" i="7"/>
  <c r="F10" i="7"/>
  <c r="F9" i="7"/>
  <c r="F8" i="7"/>
  <c r="F5" i="7"/>
  <c r="F64" i="8" l="1"/>
  <c r="F4" i="10"/>
  <c r="F16" i="10"/>
  <c r="F28" i="10"/>
  <c r="F40" i="10"/>
  <c r="F52" i="10"/>
  <c r="F64" i="9"/>
  <c r="F6" i="7"/>
  <c r="F18" i="7"/>
  <c r="F30" i="7"/>
  <c r="F42" i="7"/>
  <c r="F54" i="7"/>
  <c r="F7" i="7"/>
  <c r="F19" i="7"/>
  <c r="F31" i="7"/>
  <c r="F43" i="7"/>
  <c r="F55" i="7"/>
  <c r="F3" i="7"/>
  <c r="F4" i="7"/>
  <c r="F16" i="7"/>
  <c r="F28" i="7"/>
  <c r="F40" i="7"/>
  <c r="F52" i="7"/>
  <c r="F64" i="7" l="1"/>
  <c r="F64" i="10"/>
  <c r="F63" i="1" l="1"/>
  <c r="F62" i="1"/>
  <c r="F60" i="1" l="1"/>
  <c r="F61" i="1"/>
  <c r="F54" i="1" l="1"/>
  <c r="F53" i="1"/>
  <c r="F52" i="1"/>
  <c r="F59" i="1" l="1"/>
  <c r="F58" i="1"/>
  <c r="F57" i="1"/>
  <c r="F55" i="1" l="1"/>
  <c r="F56" i="1"/>
  <c r="F51" i="1" l="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64" i="1" l="1"/>
  <c r="F65" i="10" s="1"/>
</calcChain>
</file>

<file path=xl/sharedStrings.xml><?xml version="1.0" encoding="utf-8"?>
<sst xmlns="http://schemas.openxmlformats.org/spreadsheetml/2006/main" count="651" uniqueCount="81">
  <si>
    <t>Task</t>
  </si>
  <si>
    <t>U/M</t>
  </si>
  <si>
    <t>Qty</t>
  </si>
  <si>
    <t xml:space="preserve">The Contractor shall install new concrete combination curb and gutter.  A section of pavement 6" wide extending the length of the excavation will be saw cut and removed, and new rock base and asphalt pavement installed to match adjacent asphalt.  See Technical Exhibit DWG #2 for TYP Detail. </t>
  </si>
  <si>
    <t>The Contractor shall remove existing concrete ditches and replace with new 6 in. thick concrete ditch.  See Technical Exhibit DWG #3 for TYP Detail.</t>
  </si>
  <si>
    <t xml:space="preserve">The Contractor shall install new 6 in. thick concrete ditch.  See Technical Exhibit DWG #3 for TYP Detail. </t>
  </si>
  <si>
    <t xml:space="preserve">The Contractor shall remove existing steps and replace with new concrete steps.  See Technical Exhibit DWG #4. </t>
  </si>
  <si>
    <t xml:space="preserve">The Contractor shall install new concrete steps. See Technical Exhibit DWG #4. </t>
  </si>
  <si>
    <t xml:space="preserve">The Contractor shall remove existing handrails and replace with new aluminum handrails meeting the Uniform Federal Accessibility Standards.  See Technical Exhibit DWG #4. </t>
  </si>
  <si>
    <t>The Contractor shall install new aluminum handrails meeting the Uniform Federal Accessibility Standards.  See Technical Exhibit DWG #4.</t>
  </si>
  <si>
    <t xml:space="preserve">The Contractor shall remove existing handrails and replace with new steel handrails complete with 1 coat of primer, and painted with 2 coats of oil base enamel paint (Color # 10085). Handrails shall meet requirements of the Uniform Federal Accessibility Standards. See Technical Exhibit DWG #4. </t>
  </si>
  <si>
    <t>The Contractor Shall install new steel handrails complete with 1 coat of primer, and painted with 2 coats of oil base enamel paint (Color # 10085). Handrails shall meet requirements of the Uniform Federal Accessibility Standards.  See Technical Exhibit DWG #4.</t>
  </si>
  <si>
    <t>The Contractor shall remove existing concrete or asphalt sidewalk and replace with new concrete sidewalk.  See Technical Exhibit DWG #5.</t>
  </si>
  <si>
    <t>The Contractor shall install new concrete sidewalk.  See Technical Exhibit DWG #5.</t>
  </si>
  <si>
    <t>The Contractor shall remove existing dumpster pad and replace with new concrete dumpster pad.  See Technical Exhibit DWG #6.</t>
  </si>
  <si>
    <t>The Contractor shall install new concrete dumpster pad.  See Technical Exhibit DWG #6.</t>
  </si>
  <si>
    <t>The Contractor shall remove existing check dam, end wall, or retaining wall, and replace with new concrete end wall, check dam, or retaining wall.</t>
  </si>
  <si>
    <t>The Contractor shall install new concrete end wall, check dam, or retaining wall.</t>
  </si>
  <si>
    <t>The Contractor shall remove existing concrete or asphalt.</t>
  </si>
  <si>
    <t xml:space="preserve">The Contractor shall install new precast 6 foot concrete wheel stops containing two #4 rebar.  Wheel stops shall be anchored with #4 rebar a minimum of 18" in length. </t>
  </si>
  <si>
    <t xml:space="preserve">The Contractor shall remove existing curb &amp; gutter, asphalt pavement and sidewalk, and install new concrete return curb.  A section of pavement 6" wide extending the length of the excavation will be saw cut and removed, and new rock base and asphalt pavement installed to match adjacent asphalt (where required).  See Technical Exhibit DWG #8. </t>
  </si>
  <si>
    <t xml:space="preserve">The Contractor shall install new concrete ramp.  A section of pavement 6" wide extending the length of the excavation will be saw cut and removed, and new rock base and asphalt pavement installed to match adjacent asphalt (where required). See Technical Exhibit DWG #8. </t>
  </si>
  <si>
    <t xml:space="preserve">The Contractor shall remove existing curb &amp; gutter, asphalt pavement and driveway, and install new concrete drive ramp.  A section of pavement 6" wide extending the length of the excavation will be saw cut and removed and new rock base and asphalt pavement installed to match adjacent asphalt.  See Technical Exhibit DWG #9. </t>
  </si>
  <si>
    <t xml:space="preserve">The Contractor shall install miscellaneous concrete requiring simple form work at various locations. </t>
  </si>
  <si>
    <t xml:space="preserve">The Contractor shall saw cut asphalt or concrete to 4 in. in thickness, with welded wire fabric reinforcement.  </t>
  </si>
  <si>
    <t xml:space="preserve">The Contractor shall saw cut concrete to 8 in.  in thickness, with rebar reinforcement. </t>
  </si>
  <si>
    <t>The Contractor shall install and compact hot mix asphalt as specified.  Note:  this Bid Item will be used when additional asphalt is required adjacent to concrete work that is outside the requirements of other bid items.</t>
  </si>
  <si>
    <t>The Contractor shall install and compact fill material as specified.  Suitable fill will be clay with no rocks exceeding 2" dimensions.</t>
  </si>
  <si>
    <t>The Contractor shall furnish and install 36" diameter drainage pipe.  Pipe shall be corrugated metal, 14 gauge galvanized, corrugated steel.  There shall be one inch minus crushed limestone placed around the pipe and compacted to a minimum height of one foot above the pipe.  The Contractor shall also install flared end sections as directed by the Contracting Officer.  Provide 1/2 c.y. (cubic yard) to 1 c.y. of 2" clean aggregate around inlets and outlets.  Area around inlet and outlet shall be shaped so the runoff runs in and out of the culvert.  Lineal measure will be based on length of culvert, including end sections.</t>
  </si>
  <si>
    <t>The Contractor shall furnish and install 48" diameter drainage pipe.  Pipe shall be corrugated metal, 14 gauge galvanized, corrugated steel.  There shall be one inch minus crushed limestone placed around the pipe and compacted to a minimum height of one foot above the pipe.  The Contractor shall also install flared end sections as directed by the Contracting Officer.  Provide 1/2 c.y. (cubic yard) to 1 c.y. of 2" clean aggregate around inlets and outlets.  Area around inlet and outlet shall be shaped so the runoff runs in and out of the culvert.  Lineal measure will be based on length of culvert, including end sections.</t>
  </si>
  <si>
    <t>The Contractor shall furnish and install up to 6" diameter drainage pipe.  Pipe shall Sched 40 PVC.  Lineal measure will be based on length of culvert, including end sections.</t>
  </si>
  <si>
    <t>The Contractor shall install standard size brick veneer.  Brick shall conform to ASTM C 216, type FBS.  Mortar shall conform to ASTM C 270, type N.  Brick shall be laid in running bond with each course bonded at corners.  Joints shall be 3/8" wide and concave tooled.  The Contractor shall use construction methods that will minimize efflorescence.  The Contractor shall remove efflorescence for six months after acceptance.  Brick color will be selected by the Contracting Officer.  Brick shall be sealed as required.</t>
  </si>
  <si>
    <t>The Contractor shall install high early strength concrete requiring simple form work at various locations.  Reinforcement is required.</t>
  </si>
  <si>
    <t>The Contractor shall collect and test concrete samples.  Report findings of test performed by a Certified Testing Lab.</t>
  </si>
  <si>
    <t>The Contractor shall furnish and install barrier posts, 6” dia. x 7’ long.  Pipe shall conform to ASTM A53, Type E or S, Minimum Wall Thickness 0.322 inches.  Embed bottom  4’ in 18” diameter concrete and fill pipe with concrete.  Round concrete at top of pipe.  Leave 3” of concrete below pipe.  Contractor shall paint post with 2 coats of exterior paint.  Color to be nutmeg brown, Fed Std No. 10080.</t>
  </si>
  <si>
    <t>The Contractor shall furnish and install 4’ dia. flared end section on culvert.</t>
  </si>
  <si>
    <t>The Contractor shall furnish and install 1’ or 1 ½’ dia. flared end section on culvert.</t>
  </si>
  <si>
    <t xml:space="preserve">The Contractor shall fill expansion/control joints.  The Contractor shall clean out joints of existing materials and debris and fill with self leveling filler.  Backer rod may be required.   </t>
  </si>
  <si>
    <t>The Contractor shall furnish and install 12" diameter drainage pipe.  Pipe shall be corrugated metal, 14 gauge galvanized, corrugated steel.  There shall be one inch minus crushed limestone placed around the pipe and compacted to a minimum height of one foot above the pipe.  The Contractor shall also install flared end sections as directed by the Contracting Officer.  Provide 1/2 c.y. (cubic yard) to 1 c.y. of 2" clean aggregate around inlets and outlets.  Area around inlet and outlet shall be shaped so the runoff runs in and out of the culvert.  Lineal measure will be based on length of culvert, including end sections.</t>
  </si>
  <si>
    <t>The Contractor shall furnish and install 18" diameter drainage pipe.  Pipe shall be corrugated metal, 14 gauge galvanized, corrugated steel.  There shall be one inch minus crushed limestone placed around the pipe and compacted to a minimum height of one foot above the pipe.  The Contractor shall also install flared end sections as directed by the Contracting Officer.  Provide 1/2 c.y. (cubic yard) to 1 c.y. of 2" clean aggregate around inlets and outlets.  Area around inlet and outlet shall be shaped so the runoff runs in and out of the culvert.  Lineal measure will be based on length of culvert, including end sections.</t>
  </si>
  <si>
    <t>The Contractor shall furnish and install 24" diameter drainage pipe.  Pipe shall be corrugated metal, 14 gauge galvanized, corrugated steel.  There shall be one inch minus crushed limestone placed around the pipe and compacted to a minimum height of one foot above the pipe.  The Contractor shall also install flared end sections as directed by the Contracting Officer.  Provide 1/2 c.y. (cubic yard) to 1 c.y. of 2" clean aggregate around inlets and outlets.  Area around inlet and outlet shall be shaped so the runoff runs in and out of the culvert.  Lineal measure will be based on length of culvert, including end sections.</t>
  </si>
  <si>
    <t>The Contractor shall furnish and install 30" diameter drainage pipe.  Pipe shall be corrugated metal, 14 gauge galvanized, corrugated steel.  There shall be one inch minus crushed limestone placed around the pipe and compacted to a minimum height of one foot above the pipe.  The Contractor shall also install flared end sections as directed by the Contracting Officer.  Provide 1/2 c.y. (cubic yard) to 1 c.y. of 2" clean aggregate around inlets and outlets.  Area around inlet and outlet shall be shaped so the runoff runs in and out of the culvert.  Lineal measure will be based on length of culvert, including end sections.</t>
  </si>
  <si>
    <t>LF</t>
  </si>
  <si>
    <t>SY</t>
  </si>
  <si>
    <t>CY</t>
  </si>
  <si>
    <t>EA</t>
  </si>
  <si>
    <t>TN</t>
  </si>
  <si>
    <t>SF</t>
  </si>
  <si>
    <t>CYL</t>
  </si>
  <si>
    <t>Provide smooth dowels, 12" long, 3/4" diameter, per Section 03200</t>
  </si>
  <si>
    <t xml:space="preserve">The Contractor shall remove existing combination curb and gutter and replace with new concrete curb and gutter to match adjacent combination curb and gutter.  A section of pavement 6" wide extending the length of the excavation will be saw cut and removed, and new rock base and asphalt pavement installed to match adjacent asphalt.  See Technical Exhibit DWG #2 for TYP Detail. </t>
  </si>
  <si>
    <t>The Contractor shall furnish and install precast concrete segmental retaining wall blocks.  Excavation and backfill are included.</t>
  </si>
  <si>
    <t xml:space="preserve">The Contractor shall install new 4 in. ‑ 12 in. thick concrete pad/slab.  NOTE: slab to be 4, 6, 8, 10, or 12 in. thick. Includes excavation up to six inches deep.  See Technical Exhibit DWG #7. </t>
  </si>
  <si>
    <t>The Contractor shall excavate excess soil and rock, and haul to a designated area to dispose of material.  This task item applies for cuts greater than six inches deep.  Quantities will be from calculations based on the average end method of the designed facility.</t>
  </si>
  <si>
    <t>The Contractor shall provide 1 1/2" minus limestone compacted base rock as specified.  NOTE: This Bid Item may be used in conjunction with another Bid Item which already has base rock included to obtain a thicker base than specified in the Contract Drawings, or used alone.</t>
  </si>
  <si>
    <t>The Contractor shall provide 2" clean limestone crushed rock as specified.</t>
  </si>
  <si>
    <t>The Contractor shall provide 3" clean limestone crushed rock as specified.</t>
  </si>
  <si>
    <t>Bid Total</t>
  </si>
  <si>
    <t>Bid Unit Price</t>
  </si>
  <si>
    <t xml:space="preserve">The Contractor shall provide exposed aggregate finish on sidewalk or walls </t>
  </si>
  <si>
    <t>The Contractor shall provide topsoil placed and levelled at depth specified (minimum 4" depth)</t>
  </si>
  <si>
    <t>The Contractor shall provide hydroseeding. (1000 sq ft minimum)</t>
  </si>
  <si>
    <t>The Contractor shall provide and install  8" HDPE corrugated pipe.</t>
  </si>
  <si>
    <t>The Contractor shall provide and install  10" HDPE corrugated pipe.</t>
  </si>
  <si>
    <t>The Contractor shall provide and install  12" HDPE corrugated pipe.</t>
  </si>
  <si>
    <t>The Contractor shall provide and install Aluminum Pedestrian Guardrail. See Technical Exhibit DWG #10.</t>
  </si>
  <si>
    <t>The Contractor shall provide and install Steel Pedestrian Guardrail. See Technical Exhibit DWG #10.</t>
  </si>
  <si>
    <t>The Contractor shall provide 6"to 9" shot rock/rip rap limestone crushed rock as specified.</t>
  </si>
  <si>
    <t>The Contractor shall provide a concrete pump truck as required. The pump will be paid for on a per day use.</t>
  </si>
  <si>
    <t>The Contractor shall install sidewalk trench drain as required full width of sidewalk up to 6'.</t>
  </si>
  <si>
    <t>The Contractor shall provide seed and straw. This task item is to be used in conjuction with tasks 30 and 54.   (1000 sq ft minimum)</t>
  </si>
  <si>
    <t>TOTAL:</t>
  </si>
  <si>
    <t>GRAND TOTAL (BASE YEAR PLUS 4 OPTION YEARS):</t>
  </si>
  <si>
    <t>Task Description</t>
  </si>
  <si>
    <t>Concrete IDIQ - 2025 Base Year IGCE</t>
  </si>
  <si>
    <t>Concrete IDIQ - 2026 Option 1 IGCE</t>
  </si>
  <si>
    <t>Concrete IDIQ - 2027 Option 2 IGCE</t>
  </si>
  <si>
    <t>Concrete IDIQ - 2028 Option 3 IGCE</t>
  </si>
  <si>
    <t>Concrete IDIQ - 2029 Option 4 IGCE</t>
  </si>
  <si>
    <t>The Contractor shall remove existing concrete curb and replace with new concrete curb to match adjacent curbing.  A section of pavement 6" wide extending the length of the excavation will be saw cut and removed, and new rock base and asphalt pavement installed to match adjacent asphalt.</t>
  </si>
  <si>
    <t xml:space="preserve">The Contractor shall install new concrete curb.  A section of pavement 6" wide extending the length of the excavation will be saw cut and removed, and new rock base and asphalt pavement installed to match adjacent asphalt.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</si>
</sst>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3" x14ac:knownFonts="1">
    <font>
      <sz val="11"/>
      <color theme="1"/>
      <name val="Calibri"/>
      <family val="2"/>
      <scheme val="minor"/>
    </font>
    <font>
      <sz val="8"/>
      <color theme="1"/>
      <name val="Calibri"/>
      <family val="2"/>
      <scheme val="minor"/>
    </font>
    <font>
      <sz val="8"/>
      <name val="Arial"/>
      <family val="2"/>
    </font>
    <font>
      <sz val="8"/>
      <name val="Calibri"/>
      <family val="2"/>
      <scheme val="minor"/>
    </font>
    <font>
      <sz val="11"/>
      <name val="Calibri"/>
      <family val="2"/>
      <scheme val="minor"/>
    </font>
    <font>
      <sz val="11"/>
      <color rgb="FFFF0000"/>
      <name val="Calibri"/>
      <family val="2"/>
      <scheme val="minor"/>
    </font>
    <font>
      <sz val="10"/>
      <name val="Arial"/>
    </font>
    <font>
      <sz val="10"/>
      <color theme="1"/>
      <name val="Times New Roman"/>
      <family val="1"/>
    </font>
    <font>
      <sz val="10"/>
      <color rgb="FFFF0000"/>
      <name val="Times New Roman"/>
      <family val="1"/>
    </font>
    <font>
      <b/>
      <sz val="8"/>
      <name val="Calibri"/>
      <family val="2"/>
      <scheme val="minor"/>
    </font>
    <font>
      <b/>
      <sz val="10"/>
      <name val="Calibri"/>
      <family val="2"/>
      <scheme val="minor"/>
    </font>
    <font>
      <b/>
      <sz val="8"/>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6" fillId="0" borderId="0"/>
    <xf numFmtId="44" fontId="6" fillId="0" borderId="0" applyFont="0" applyFill="0" applyBorder="0" applyAlignment="0" applyProtection="0"/>
  </cellStyleXfs>
  <cellXfs count="43">
    <xf numFmtId="0" fontId="0" fillId="0" borderId="0" xfId="0"/>
    <xf numFmtId="164" fontId="3" fillId="2" borderId="1" xfId="0" applyNumberFormat="1" applyFont="1" applyFill="1" applyBorder="1" applyAlignment="1">
      <alignment horizontal="center"/>
    </xf>
    <xf numFmtId="0" fontId="3" fillId="2" borderId="1" xfId="0" applyFont="1" applyFill="1" applyBorder="1" applyAlignment="1">
      <alignment horizontal="center"/>
    </xf>
    <xf numFmtId="0" fontId="5" fillId="2" borderId="0" xfId="0" applyFont="1" applyFill="1"/>
    <xf numFmtId="0" fontId="0" fillId="2" borderId="0" xfId="0" applyFill="1"/>
    <xf numFmtId="0" fontId="1" fillId="2" borderId="0" xfId="0" applyFont="1" applyFill="1"/>
    <xf numFmtId="0" fontId="1" fillId="2" borderId="1" xfId="0" applyFont="1" applyFill="1" applyBorder="1" applyAlignment="1">
      <alignment horizontal="center"/>
    </xf>
    <xf numFmtId="0" fontId="8" fillId="2" borderId="0" xfId="0" applyFont="1" applyFill="1"/>
    <xf numFmtId="0" fontId="7" fillId="2" borderId="0" xfId="0" applyFont="1" applyFill="1"/>
    <xf numFmtId="0" fontId="0" fillId="2" borderId="0" xfId="0" applyFill="1" applyAlignment="1">
      <alignment horizontal="center"/>
    </xf>
    <xf numFmtId="0" fontId="4" fillId="2" borderId="0" xfId="0" applyFont="1" applyFill="1"/>
    <xf numFmtId="0" fontId="3" fillId="2" borderId="0" xfId="0" applyFont="1" applyFill="1" applyAlignment="1">
      <alignment horizontal="center"/>
    </xf>
    <xf numFmtId="0" fontId="2" fillId="2" borderId="0" xfId="0" applyFont="1" applyFill="1" applyAlignment="1">
      <alignment horizontal="justify"/>
    </xf>
    <xf numFmtId="0" fontId="3" fillId="2" borderId="0" xfId="0" applyFont="1" applyFill="1"/>
    <xf numFmtId="164" fontId="0" fillId="2" borderId="0" xfId="0" applyNumberFormat="1" applyFill="1"/>
    <xf numFmtId="0" fontId="3" fillId="2" borderId="2" xfId="0" applyFont="1" applyFill="1" applyBorder="1" applyAlignment="1">
      <alignment horizontal="center"/>
    </xf>
    <xf numFmtId="164" fontId="9" fillId="2" borderId="4" xfId="0" applyNumberFormat="1" applyFont="1" applyFill="1" applyBorder="1" applyAlignment="1">
      <alignment horizontal="center"/>
    </xf>
    <xf numFmtId="0" fontId="10" fillId="2" borderId="1" xfId="0" applyFont="1" applyFill="1" applyBorder="1" applyAlignment="1">
      <alignment horizontal="center"/>
    </xf>
    <xf numFmtId="0" fontId="10" fillId="2" borderId="1" xfId="0" applyFont="1" applyFill="1" applyBorder="1" applyAlignment="1">
      <alignment horizontal="center" wrapText="1"/>
    </xf>
    <xf numFmtId="0" fontId="10" fillId="2" borderId="1" xfId="0" applyFont="1" applyFill="1" applyBorder="1" applyAlignment="1" applyProtection="1">
      <alignment horizontal="center" wrapText="1"/>
      <protection locked="0"/>
    </xf>
    <xf numFmtId="0" fontId="3" fillId="2" borderId="3" xfId="0" applyFont="1" applyFill="1" applyBorder="1" applyAlignment="1"/>
    <xf numFmtId="0" fontId="9" fillId="2" borderId="2" xfId="0" applyFont="1" applyFill="1" applyBorder="1" applyAlignment="1">
      <alignment horizontal="center"/>
    </xf>
    <xf numFmtId="0" fontId="3" fillId="2" borderId="0" xfId="0" applyFont="1" applyFill="1" applyAlignment="1">
      <alignment horizontal="justify"/>
    </xf>
    <xf numFmtId="0" fontId="3" fillId="2" borderId="1" xfId="0" applyFont="1" applyFill="1" applyBorder="1" applyAlignment="1">
      <alignment wrapText="1"/>
    </xf>
    <xf numFmtId="0" fontId="3" fillId="2" borderId="1" xfId="0" applyFont="1" applyFill="1" applyBorder="1"/>
    <xf numFmtId="0" fontId="3" fillId="2" borderId="2" xfId="0" applyFont="1" applyFill="1" applyBorder="1"/>
    <xf numFmtId="0" fontId="3" fillId="2" borderId="0" xfId="0" applyFont="1" applyFill="1" applyBorder="1" applyAlignment="1">
      <alignment horizontal="center"/>
    </xf>
    <xf numFmtId="0" fontId="2" fillId="2" borderId="0" xfId="0" applyFont="1" applyFill="1" applyBorder="1" applyAlignment="1">
      <alignment horizontal="justify"/>
    </xf>
    <xf numFmtId="0" fontId="4" fillId="2" borderId="0" xfId="0" applyFont="1" applyFill="1" applyBorder="1"/>
    <xf numFmtId="0" fontId="3" fillId="2" borderId="0" xfId="0" applyFont="1" applyFill="1" applyBorder="1"/>
    <xf numFmtId="0" fontId="0" fillId="2" borderId="0" xfId="0" applyFill="1" applyBorder="1"/>
    <xf numFmtId="164" fontId="0" fillId="2" borderId="0" xfId="0" applyNumberFormat="1" applyFill="1" applyBorder="1"/>
    <xf numFmtId="0" fontId="0" fillId="2" borderId="0" xfId="0" applyFill="1" applyBorder="1" applyAlignment="1">
      <alignment horizontal="center"/>
    </xf>
    <xf numFmtId="0" fontId="3" fillId="2" borderId="5" xfId="0" applyFont="1" applyFill="1" applyBorder="1" applyAlignment="1"/>
    <xf numFmtId="0" fontId="3" fillId="2" borderId="6" xfId="0" applyFont="1" applyFill="1" applyBorder="1"/>
    <xf numFmtId="0" fontId="9" fillId="2" borderId="6" xfId="0" applyFont="1" applyFill="1" applyBorder="1" applyAlignment="1">
      <alignment horizontal="center"/>
    </xf>
    <xf numFmtId="0" fontId="3" fillId="2" borderId="6" xfId="0" applyFont="1" applyFill="1" applyBorder="1" applyAlignment="1">
      <alignment horizontal="center"/>
    </xf>
    <xf numFmtId="164" fontId="9" fillId="2" borderId="7" xfId="0" applyNumberFormat="1" applyFont="1" applyFill="1" applyBorder="1" applyAlignment="1">
      <alignment horizontal="center"/>
    </xf>
    <xf numFmtId="0" fontId="12" fillId="2" borderId="5" xfId="0" applyFont="1" applyFill="1" applyBorder="1" applyAlignment="1">
      <alignment horizontal="center"/>
    </xf>
    <xf numFmtId="0" fontId="12" fillId="2" borderId="6" xfId="0" applyFont="1" applyFill="1" applyBorder="1" applyAlignment="1">
      <alignment horizontal="center"/>
    </xf>
    <xf numFmtId="0" fontId="12" fillId="2" borderId="7" xfId="0" applyFont="1" applyFill="1" applyBorder="1" applyAlignment="1">
      <alignment horizontal="center"/>
    </xf>
    <xf numFmtId="0" fontId="11" fillId="0" borderId="5" xfId="0" applyFont="1" applyBorder="1" applyAlignment="1">
      <alignment horizontal="center"/>
    </xf>
    <xf numFmtId="0" fontId="11" fillId="0" borderId="6" xfId="0" applyFont="1" applyBorder="1" applyAlignment="1">
      <alignment horizontal="center"/>
    </xf>
  </cellXfs>
  <cellStyles count="3">
    <cellStyle name="Currency 2" xfId="2" xr:uid="{00000000-0005-0000-0000-000000000000}"/>
    <cellStyle name="Normal" xfId="0" builtinId="0"/>
    <cellStyle name="Normal 2"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74"/>
  <sheetViews>
    <sheetView tabSelected="1" topLeftCell="A14" zoomScaleNormal="100" workbookViewId="0">
      <selection activeCell="B5" sqref="B5"/>
    </sheetView>
  </sheetViews>
  <sheetFormatPr defaultRowHeight="15" x14ac:dyDescent="0.25"/>
  <cols>
    <col min="1" max="1" width="5.5703125" style="4" customWidth="1"/>
    <col min="2" max="2" width="53.5703125" style="4" customWidth="1"/>
    <col min="3" max="3" width="7.85546875" style="9" customWidth="1"/>
    <col min="4" max="4" width="4.42578125" style="9" bestFit="1" customWidth="1"/>
    <col min="5" max="5" width="10.7109375" style="4" customWidth="1"/>
    <col min="6" max="7" width="14" style="4" customWidth="1"/>
    <col min="8" max="16384" width="9.140625" style="4"/>
  </cols>
  <sheetData>
    <row r="1" spans="1:11" ht="15.75" x14ac:dyDescent="0.25">
      <c r="A1" s="38" t="s">
        <v>74</v>
      </c>
      <c r="B1" s="39"/>
      <c r="C1" s="39"/>
      <c r="D1" s="39"/>
      <c r="E1" s="39"/>
      <c r="F1" s="40"/>
      <c r="K1" s="5"/>
    </row>
    <row r="2" spans="1:11" ht="26.25" x14ac:dyDescent="0.25">
      <c r="A2" s="17" t="s">
        <v>0</v>
      </c>
      <c r="B2" s="18" t="s">
        <v>73</v>
      </c>
      <c r="C2" s="17" t="s">
        <v>2</v>
      </c>
      <c r="D2" s="17" t="s">
        <v>1</v>
      </c>
      <c r="E2" s="19" t="s">
        <v>58</v>
      </c>
      <c r="F2" s="17" t="s">
        <v>57</v>
      </c>
      <c r="G2" s="3"/>
    </row>
    <row r="3" spans="1:11" ht="45.75" x14ac:dyDescent="0.25">
      <c r="A3" s="2">
        <v>1</v>
      </c>
      <c r="B3" s="23" t="s">
        <v>79</v>
      </c>
      <c r="C3" s="2">
        <v>50</v>
      </c>
      <c r="D3" s="2" t="s">
        <v>42</v>
      </c>
      <c r="E3" s="1"/>
      <c r="F3" s="1">
        <f t="shared" ref="F3:F34" si="0">+C3*E3</f>
        <v>0</v>
      </c>
      <c r="I3" s="14"/>
    </row>
    <row r="4" spans="1:11" ht="45.75" x14ac:dyDescent="0.25">
      <c r="A4" s="2">
        <v>2</v>
      </c>
      <c r="B4" s="23" t="s">
        <v>80</v>
      </c>
      <c r="C4" s="2">
        <v>50</v>
      </c>
      <c r="D4" s="2" t="s">
        <v>42</v>
      </c>
      <c r="E4" s="1"/>
      <c r="F4" s="1">
        <f t="shared" si="0"/>
        <v>0</v>
      </c>
      <c r="I4" s="14"/>
    </row>
    <row r="5" spans="1:11" ht="64.5" customHeight="1" x14ac:dyDescent="0.25">
      <c r="A5" s="2">
        <v>3</v>
      </c>
      <c r="B5" s="23" t="s">
        <v>50</v>
      </c>
      <c r="C5" s="2">
        <v>100</v>
      </c>
      <c r="D5" s="2" t="s">
        <v>42</v>
      </c>
      <c r="E5" s="1"/>
      <c r="F5" s="1">
        <f t="shared" si="0"/>
        <v>0</v>
      </c>
      <c r="I5" s="14"/>
    </row>
    <row r="6" spans="1:11" ht="45.75" x14ac:dyDescent="0.25">
      <c r="A6" s="2">
        <v>4</v>
      </c>
      <c r="B6" s="23" t="s">
        <v>3</v>
      </c>
      <c r="C6" s="2">
        <v>1500</v>
      </c>
      <c r="D6" s="2" t="s">
        <v>42</v>
      </c>
      <c r="E6" s="1"/>
      <c r="F6" s="1">
        <f t="shared" si="0"/>
        <v>0</v>
      </c>
      <c r="I6" s="14"/>
    </row>
    <row r="7" spans="1:11" ht="23.25" x14ac:dyDescent="0.25">
      <c r="A7" s="2">
        <v>5</v>
      </c>
      <c r="B7" s="23" t="s">
        <v>4</v>
      </c>
      <c r="C7" s="2">
        <v>100</v>
      </c>
      <c r="D7" s="2" t="s">
        <v>43</v>
      </c>
      <c r="E7" s="1"/>
      <c r="F7" s="1">
        <f t="shared" si="0"/>
        <v>0</v>
      </c>
      <c r="I7" s="14"/>
    </row>
    <row r="8" spans="1:11" ht="23.25" x14ac:dyDescent="0.25">
      <c r="A8" s="2">
        <v>6</v>
      </c>
      <c r="B8" s="23" t="s">
        <v>5</v>
      </c>
      <c r="C8" s="2">
        <v>300</v>
      </c>
      <c r="D8" s="2" t="s">
        <v>43</v>
      </c>
      <c r="E8" s="1"/>
      <c r="F8" s="1">
        <f t="shared" si="0"/>
        <v>0</v>
      </c>
      <c r="I8" s="14"/>
    </row>
    <row r="9" spans="1:11" ht="23.25" x14ac:dyDescent="0.25">
      <c r="A9" s="2">
        <v>7</v>
      </c>
      <c r="B9" s="23" t="s">
        <v>6</v>
      </c>
      <c r="C9" s="2">
        <v>10</v>
      </c>
      <c r="D9" s="2" t="s">
        <v>44</v>
      </c>
      <c r="E9" s="1"/>
      <c r="F9" s="1">
        <f t="shared" si="0"/>
        <v>0</v>
      </c>
      <c r="I9" s="14"/>
    </row>
    <row r="10" spans="1:11" ht="23.25" x14ac:dyDescent="0.25">
      <c r="A10" s="2">
        <v>8</v>
      </c>
      <c r="B10" s="23" t="s">
        <v>7</v>
      </c>
      <c r="C10" s="2">
        <v>25</v>
      </c>
      <c r="D10" s="2" t="s">
        <v>44</v>
      </c>
      <c r="E10" s="1"/>
      <c r="F10" s="1">
        <f t="shared" si="0"/>
        <v>0</v>
      </c>
      <c r="I10" s="14"/>
    </row>
    <row r="11" spans="1:11" ht="34.5" x14ac:dyDescent="0.25">
      <c r="A11" s="2">
        <v>9</v>
      </c>
      <c r="B11" s="23" t="s">
        <v>8</v>
      </c>
      <c r="C11" s="2">
        <v>90</v>
      </c>
      <c r="D11" s="2" t="s">
        <v>42</v>
      </c>
      <c r="E11" s="1"/>
      <c r="F11" s="1">
        <f t="shared" si="0"/>
        <v>0</v>
      </c>
      <c r="I11" s="14"/>
    </row>
    <row r="12" spans="1:11" ht="23.25" x14ac:dyDescent="0.25">
      <c r="A12" s="2">
        <v>10</v>
      </c>
      <c r="B12" s="23" t="s">
        <v>9</v>
      </c>
      <c r="C12" s="2">
        <v>100</v>
      </c>
      <c r="D12" s="2" t="s">
        <v>42</v>
      </c>
      <c r="E12" s="1"/>
      <c r="F12" s="1">
        <f t="shared" si="0"/>
        <v>0</v>
      </c>
      <c r="I12" s="14"/>
    </row>
    <row r="13" spans="1:11" ht="45.75" x14ac:dyDescent="0.25">
      <c r="A13" s="2">
        <v>11</v>
      </c>
      <c r="B13" s="23" t="s">
        <v>10</v>
      </c>
      <c r="C13" s="2">
        <v>50</v>
      </c>
      <c r="D13" s="2" t="s">
        <v>42</v>
      </c>
      <c r="E13" s="1"/>
      <c r="F13" s="1">
        <f t="shared" si="0"/>
        <v>0</v>
      </c>
      <c r="I13" s="14"/>
    </row>
    <row r="14" spans="1:11" ht="45.75" x14ac:dyDescent="0.25">
      <c r="A14" s="2">
        <v>12</v>
      </c>
      <c r="B14" s="23" t="s">
        <v>11</v>
      </c>
      <c r="C14" s="2">
        <v>200</v>
      </c>
      <c r="D14" s="2" t="s">
        <v>42</v>
      </c>
      <c r="E14" s="1"/>
      <c r="F14" s="1">
        <f t="shared" si="0"/>
        <v>0</v>
      </c>
      <c r="I14" s="14"/>
    </row>
    <row r="15" spans="1:11" ht="23.25" x14ac:dyDescent="0.25">
      <c r="A15" s="2">
        <v>13</v>
      </c>
      <c r="B15" s="23" t="s">
        <v>12</v>
      </c>
      <c r="C15" s="2">
        <v>600</v>
      </c>
      <c r="D15" s="2" t="s">
        <v>43</v>
      </c>
      <c r="E15" s="1"/>
      <c r="F15" s="1">
        <f t="shared" si="0"/>
        <v>0</v>
      </c>
      <c r="I15" s="14"/>
    </row>
    <row r="16" spans="1:11" ht="24" customHeight="1" x14ac:dyDescent="0.25">
      <c r="A16" s="2">
        <v>14</v>
      </c>
      <c r="B16" s="23" t="s">
        <v>13</v>
      </c>
      <c r="C16" s="2">
        <v>2000</v>
      </c>
      <c r="D16" s="2" t="s">
        <v>43</v>
      </c>
      <c r="E16" s="1"/>
      <c r="F16" s="1">
        <f t="shared" si="0"/>
        <v>0</v>
      </c>
      <c r="I16" s="14"/>
    </row>
    <row r="17" spans="1:9" ht="23.25" x14ac:dyDescent="0.25">
      <c r="A17" s="2">
        <v>15</v>
      </c>
      <c r="B17" s="23" t="s">
        <v>14</v>
      </c>
      <c r="C17" s="2">
        <v>3</v>
      </c>
      <c r="D17" s="2" t="s">
        <v>45</v>
      </c>
      <c r="E17" s="1"/>
      <c r="F17" s="1">
        <f t="shared" si="0"/>
        <v>0</v>
      </c>
      <c r="I17" s="14"/>
    </row>
    <row r="18" spans="1:9" ht="23.25" x14ac:dyDescent="0.25">
      <c r="A18" s="2">
        <v>16</v>
      </c>
      <c r="B18" s="23" t="s">
        <v>15</v>
      </c>
      <c r="C18" s="2">
        <v>3</v>
      </c>
      <c r="D18" s="2" t="s">
        <v>45</v>
      </c>
      <c r="E18" s="1"/>
      <c r="F18" s="1">
        <f t="shared" si="0"/>
        <v>0</v>
      </c>
      <c r="I18" s="14"/>
    </row>
    <row r="19" spans="1:9" ht="23.25" x14ac:dyDescent="0.25">
      <c r="A19" s="2">
        <v>17</v>
      </c>
      <c r="B19" s="23" t="s">
        <v>16</v>
      </c>
      <c r="C19" s="2">
        <v>10</v>
      </c>
      <c r="D19" s="2" t="s">
        <v>44</v>
      </c>
      <c r="E19" s="1"/>
      <c r="F19" s="1">
        <f t="shared" si="0"/>
        <v>0</v>
      </c>
      <c r="I19" s="14"/>
    </row>
    <row r="20" spans="1:9" ht="23.25" x14ac:dyDescent="0.25">
      <c r="A20" s="2">
        <v>18</v>
      </c>
      <c r="B20" s="23" t="s">
        <v>17</v>
      </c>
      <c r="C20" s="2">
        <v>100</v>
      </c>
      <c r="D20" s="2" t="s">
        <v>44</v>
      </c>
      <c r="E20" s="1"/>
      <c r="F20" s="1">
        <f t="shared" si="0"/>
        <v>0</v>
      </c>
      <c r="I20" s="14"/>
    </row>
    <row r="21" spans="1:9" x14ac:dyDescent="0.25">
      <c r="A21" s="2">
        <v>19</v>
      </c>
      <c r="B21" s="24" t="s">
        <v>18</v>
      </c>
      <c r="C21" s="2">
        <v>1500</v>
      </c>
      <c r="D21" s="2" t="s">
        <v>44</v>
      </c>
      <c r="E21" s="1"/>
      <c r="F21" s="1">
        <f t="shared" si="0"/>
        <v>0</v>
      </c>
      <c r="I21" s="14"/>
    </row>
    <row r="22" spans="1:9" ht="34.5" x14ac:dyDescent="0.25">
      <c r="A22" s="2">
        <v>20</v>
      </c>
      <c r="B22" s="23" t="s">
        <v>52</v>
      </c>
      <c r="C22" s="2">
        <v>2000</v>
      </c>
      <c r="D22" s="2" t="s">
        <v>44</v>
      </c>
      <c r="E22" s="1"/>
      <c r="F22" s="1">
        <f t="shared" si="0"/>
        <v>0</v>
      </c>
      <c r="I22" s="14"/>
    </row>
    <row r="23" spans="1:9" ht="34.5" x14ac:dyDescent="0.25">
      <c r="A23" s="2">
        <v>21</v>
      </c>
      <c r="B23" s="23" t="s">
        <v>19</v>
      </c>
      <c r="C23" s="2">
        <v>100</v>
      </c>
      <c r="D23" s="2" t="s">
        <v>45</v>
      </c>
      <c r="E23" s="1"/>
      <c r="F23" s="1">
        <f t="shared" si="0"/>
        <v>0</v>
      </c>
      <c r="I23" s="14"/>
    </row>
    <row r="24" spans="1:9" ht="57" x14ac:dyDescent="0.25">
      <c r="A24" s="2">
        <v>22</v>
      </c>
      <c r="B24" s="23" t="s">
        <v>20</v>
      </c>
      <c r="C24" s="2">
        <v>50</v>
      </c>
      <c r="D24" s="2" t="s">
        <v>43</v>
      </c>
      <c r="E24" s="1"/>
      <c r="F24" s="1">
        <f t="shared" si="0"/>
        <v>0</v>
      </c>
      <c r="I24" s="14"/>
    </row>
    <row r="25" spans="1:9" ht="45.75" x14ac:dyDescent="0.25">
      <c r="A25" s="2">
        <v>23</v>
      </c>
      <c r="B25" s="23" t="s">
        <v>21</v>
      </c>
      <c r="C25" s="2">
        <v>20</v>
      </c>
      <c r="D25" s="2" t="s">
        <v>44</v>
      </c>
      <c r="E25" s="1"/>
      <c r="F25" s="1">
        <f t="shared" si="0"/>
        <v>0</v>
      </c>
      <c r="I25" s="14"/>
    </row>
    <row r="26" spans="1:9" ht="57" x14ac:dyDescent="0.25">
      <c r="A26" s="2">
        <v>24</v>
      </c>
      <c r="B26" s="23" t="s">
        <v>22</v>
      </c>
      <c r="C26" s="2">
        <v>50</v>
      </c>
      <c r="D26" s="2" t="s">
        <v>43</v>
      </c>
      <c r="E26" s="1"/>
      <c r="F26" s="1">
        <f t="shared" si="0"/>
        <v>0</v>
      </c>
      <c r="I26" s="14"/>
    </row>
    <row r="27" spans="1:9" ht="23.25" x14ac:dyDescent="0.25">
      <c r="A27" s="2">
        <v>25</v>
      </c>
      <c r="B27" s="23" t="s">
        <v>23</v>
      </c>
      <c r="C27" s="2">
        <v>700</v>
      </c>
      <c r="D27" s="2" t="s">
        <v>44</v>
      </c>
      <c r="E27" s="1"/>
      <c r="F27" s="1">
        <f t="shared" si="0"/>
        <v>0</v>
      </c>
      <c r="I27" s="14"/>
    </row>
    <row r="28" spans="1:9" ht="23.25" x14ac:dyDescent="0.25">
      <c r="A28" s="2">
        <v>26</v>
      </c>
      <c r="B28" s="23" t="s">
        <v>24</v>
      </c>
      <c r="C28" s="2">
        <v>1500</v>
      </c>
      <c r="D28" s="2" t="s">
        <v>42</v>
      </c>
      <c r="E28" s="1"/>
      <c r="F28" s="1">
        <f t="shared" si="0"/>
        <v>0</v>
      </c>
      <c r="I28" s="14"/>
    </row>
    <row r="29" spans="1:9" ht="23.25" x14ac:dyDescent="0.25">
      <c r="A29" s="2">
        <v>27</v>
      </c>
      <c r="B29" s="23" t="s">
        <v>25</v>
      </c>
      <c r="C29" s="2">
        <v>50</v>
      </c>
      <c r="D29" s="2" t="s">
        <v>42</v>
      </c>
      <c r="E29" s="1"/>
      <c r="F29" s="1">
        <f t="shared" si="0"/>
        <v>0</v>
      </c>
      <c r="I29" s="14"/>
    </row>
    <row r="30" spans="1:9" ht="45.75" x14ac:dyDescent="0.25">
      <c r="A30" s="2">
        <v>28</v>
      </c>
      <c r="B30" s="23" t="s">
        <v>54</v>
      </c>
      <c r="C30" s="2">
        <v>2000</v>
      </c>
      <c r="D30" s="2" t="s">
        <v>46</v>
      </c>
      <c r="E30" s="1"/>
      <c r="F30" s="1">
        <f t="shared" si="0"/>
        <v>0</v>
      </c>
      <c r="I30" s="14"/>
    </row>
    <row r="31" spans="1:9" ht="34.5" x14ac:dyDescent="0.25">
      <c r="A31" s="2">
        <v>29</v>
      </c>
      <c r="B31" s="23" t="s">
        <v>26</v>
      </c>
      <c r="C31" s="2">
        <v>30</v>
      </c>
      <c r="D31" s="2" t="s">
        <v>46</v>
      </c>
      <c r="E31" s="1"/>
      <c r="F31" s="1">
        <f t="shared" si="0"/>
        <v>0</v>
      </c>
      <c r="I31" s="14"/>
    </row>
    <row r="32" spans="1:9" ht="23.25" x14ac:dyDescent="0.25">
      <c r="A32" s="2">
        <v>30</v>
      </c>
      <c r="B32" s="23" t="s">
        <v>27</v>
      </c>
      <c r="C32" s="2">
        <v>2500</v>
      </c>
      <c r="D32" s="2" t="s">
        <v>44</v>
      </c>
      <c r="E32" s="1"/>
      <c r="F32" s="1">
        <f t="shared" si="0"/>
        <v>0</v>
      </c>
      <c r="I32" s="14"/>
    </row>
    <row r="33" spans="1:9" ht="102" x14ac:dyDescent="0.25">
      <c r="A33" s="2">
        <v>31</v>
      </c>
      <c r="B33" s="23" t="s">
        <v>38</v>
      </c>
      <c r="C33" s="2">
        <v>200</v>
      </c>
      <c r="D33" s="2" t="s">
        <v>42</v>
      </c>
      <c r="E33" s="1"/>
      <c r="F33" s="1">
        <f t="shared" si="0"/>
        <v>0</v>
      </c>
      <c r="I33" s="14"/>
    </row>
    <row r="34" spans="1:9" ht="102" x14ac:dyDescent="0.25">
      <c r="A34" s="2">
        <v>32</v>
      </c>
      <c r="B34" s="23" t="s">
        <v>39</v>
      </c>
      <c r="C34" s="2">
        <v>200</v>
      </c>
      <c r="D34" s="2" t="s">
        <v>42</v>
      </c>
      <c r="E34" s="1"/>
      <c r="F34" s="1">
        <f t="shared" si="0"/>
        <v>0</v>
      </c>
      <c r="I34" s="14"/>
    </row>
    <row r="35" spans="1:9" ht="102" x14ac:dyDescent="0.25">
      <c r="A35" s="2">
        <v>33</v>
      </c>
      <c r="B35" s="23" t="s">
        <v>40</v>
      </c>
      <c r="C35" s="2">
        <v>200</v>
      </c>
      <c r="D35" s="2" t="s">
        <v>42</v>
      </c>
      <c r="E35" s="1"/>
      <c r="F35" s="1">
        <f t="shared" ref="F35:F58" si="1">+C35*E35</f>
        <v>0</v>
      </c>
      <c r="I35" s="14"/>
    </row>
    <row r="36" spans="1:9" ht="102" x14ac:dyDescent="0.25">
      <c r="A36" s="2">
        <v>34</v>
      </c>
      <c r="B36" s="23" t="s">
        <v>41</v>
      </c>
      <c r="C36" s="2">
        <v>250</v>
      </c>
      <c r="D36" s="2" t="s">
        <v>42</v>
      </c>
      <c r="E36" s="1"/>
      <c r="F36" s="1">
        <f t="shared" si="1"/>
        <v>0</v>
      </c>
      <c r="I36" s="14"/>
    </row>
    <row r="37" spans="1:9" ht="102" x14ac:dyDescent="0.25">
      <c r="A37" s="2">
        <v>35</v>
      </c>
      <c r="B37" s="23" t="s">
        <v>28</v>
      </c>
      <c r="C37" s="2">
        <v>160</v>
      </c>
      <c r="D37" s="2" t="s">
        <v>42</v>
      </c>
      <c r="E37" s="1"/>
      <c r="F37" s="1">
        <f t="shared" si="1"/>
        <v>0</v>
      </c>
      <c r="I37" s="14"/>
    </row>
    <row r="38" spans="1:9" ht="102" x14ac:dyDescent="0.25">
      <c r="A38" s="2">
        <v>36</v>
      </c>
      <c r="B38" s="23" t="s">
        <v>29</v>
      </c>
      <c r="C38" s="2">
        <v>160</v>
      </c>
      <c r="D38" s="2" t="s">
        <v>42</v>
      </c>
      <c r="E38" s="1"/>
      <c r="F38" s="1">
        <f t="shared" si="1"/>
        <v>0</v>
      </c>
      <c r="I38" s="14"/>
    </row>
    <row r="39" spans="1:9" ht="34.5" x14ac:dyDescent="0.25">
      <c r="A39" s="2">
        <v>37</v>
      </c>
      <c r="B39" s="23" t="s">
        <v>30</v>
      </c>
      <c r="C39" s="2">
        <v>100</v>
      </c>
      <c r="D39" s="2" t="s">
        <v>42</v>
      </c>
      <c r="E39" s="1"/>
      <c r="F39" s="1">
        <f t="shared" si="1"/>
        <v>0</v>
      </c>
      <c r="I39" s="14"/>
    </row>
    <row r="40" spans="1:9" ht="45.75" x14ac:dyDescent="0.25">
      <c r="A40" s="2">
        <v>38</v>
      </c>
      <c r="B40" s="23" t="s">
        <v>53</v>
      </c>
      <c r="C40" s="2">
        <v>2000</v>
      </c>
      <c r="D40" s="2" t="s">
        <v>44</v>
      </c>
      <c r="E40" s="1"/>
      <c r="F40" s="1">
        <f t="shared" si="1"/>
        <v>0</v>
      </c>
      <c r="I40" s="14"/>
    </row>
    <row r="41" spans="1:9" ht="79.5" x14ac:dyDescent="0.25">
      <c r="A41" s="2">
        <v>39</v>
      </c>
      <c r="B41" s="23" t="s">
        <v>31</v>
      </c>
      <c r="C41" s="2">
        <v>300</v>
      </c>
      <c r="D41" s="2" t="s">
        <v>47</v>
      </c>
      <c r="E41" s="1"/>
      <c r="F41" s="1">
        <f t="shared" si="1"/>
        <v>0</v>
      </c>
      <c r="I41" s="14"/>
    </row>
    <row r="42" spans="1:9" ht="23.25" x14ac:dyDescent="0.25">
      <c r="A42" s="2">
        <v>40</v>
      </c>
      <c r="B42" s="23" t="s">
        <v>32</v>
      </c>
      <c r="C42" s="2">
        <v>250</v>
      </c>
      <c r="D42" s="2" t="s">
        <v>44</v>
      </c>
      <c r="E42" s="1"/>
      <c r="F42" s="1">
        <f t="shared" si="1"/>
        <v>0</v>
      </c>
      <c r="I42" s="14"/>
    </row>
    <row r="43" spans="1:9" ht="23.25" x14ac:dyDescent="0.25">
      <c r="A43" s="2">
        <v>41</v>
      </c>
      <c r="B43" s="23" t="s">
        <v>33</v>
      </c>
      <c r="C43" s="2">
        <v>10</v>
      </c>
      <c r="D43" s="2" t="s">
        <v>48</v>
      </c>
      <c r="E43" s="1"/>
      <c r="F43" s="1">
        <f t="shared" si="1"/>
        <v>0</v>
      </c>
      <c r="I43" s="14"/>
    </row>
    <row r="44" spans="1:9" ht="68.25" x14ac:dyDescent="0.25">
      <c r="A44" s="2">
        <v>42</v>
      </c>
      <c r="B44" s="23" t="s">
        <v>34</v>
      </c>
      <c r="C44" s="2">
        <v>10</v>
      </c>
      <c r="D44" s="2" t="s">
        <v>45</v>
      </c>
      <c r="E44" s="1"/>
      <c r="F44" s="1">
        <f t="shared" si="1"/>
        <v>0</v>
      </c>
      <c r="I44" s="14"/>
    </row>
    <row r="45" spans="1:9" ht="23.25" x14ac:dyDescent="0.25">
      <c r="A45" s="2">
        <v>43</v>
      </c>
      <c r="B45" s="23" t="s">
        <v>51</v>
      </c>
      <c r="C45" s="2">
        <v>600</v>
      </c>
      <c r="D45" s="2" t="s">
        <v>45</v>
      </c>
      <c r="E45" s="1"/>
      <c r="F45" s="1">
        <f t="shared" si="1"/>
        <v>0</v>
      </c>
      <c r="I45" s="14"/>
    </row>
    <row r="46" spans="1:9" x14ac:dyDescent="0.25">
      <c r="A46" s="2">
        <v>44</v>
      </c>
      <c r="B46" s="23" t="s">
        <v>35</v>
      </c>
      <c r="C46" s="2">
        <v>10</v>
      </c>
      <c r="D46" s="2" t="s">
        <v>45</v>
      </c>
      <c r="E46" s="1"/>
      <c r="F46" s="1">
        <f t="shared" si="1"/>
        <v>0</v>
      </c>
      <c r="I46" s="14"/>
    </row>
    <row r="47" spans="1:9" ht="23.25" x14ac:dyDescent="0.25">
      <c r="A47" s="2">
        <v>45</v>
      </c>
      <c r="B47" s="23" t="s">
        <v>36</v>
      </c>
      <c r="C47" s="2">
        <v>20</v>
      </c>
      <c r="D47" s="2" t="s">
        <v>45</v>
      </c>
      <c r="E47" s="1"/>
      <c r="F47" s="1">
        <f t="shared" si="1"/>
        <v>0</v>
      </c>
      <c r="I47" s="14"/>
    </row>
    <row r="48" spans="1:9" ht="34.5" x14ac:dyDescent="0.25">
      <c r="A48" s="2">
        <v>46</v>
      </c>
      <c r="B48" s="23" t="s">
        <v>37</v>
      </c>
      <c r="C48" s="2">
        <v>1200</v>
      </c>
      <c r="D48" s="2" t="s">
        <v>42</v>
      </c>
      <c r="E48" s="1"/>
      <c r="F48" s="1">
        <f t="shared" si="1"/>
        <v>0</v>
      </c>
      <c r="I48" s="14"/>
    </row>
    <row r="49" spans="1:9" ht="18.75" customHeight="1" x14ac:dyDescent="0.25">
      <c r="A49" s="2">
        <v>47</v>
      </c>
      <c r="B49" s="23" t="s">
        <v>49</v>
      </c>
      <c r="C49" s="2">
        <v>1000</v>
      </c>
      <c r="D49" s="2" t="s">
        <v>45</v>
      </c>
      <c r="E49" s="1"/>
      <c r="F49" s="1">
        <f t="shared" si="1"/>
        <v>0</v>
      </c>
      <c r="I49" s="14"/>
    </row>
    <row r="50" spans="1:9" x14ac:dyDescent="0.25">
      <c r="A50" s="2">
        <v>48</v>
      </c>
      <c r="B50" s="23" t="s">
        <v>55</v>
      </c>
      <c r="C50" s="2">
        <v>500</v>
      </c>
      <c r="D50" s="2" t="s">
        <v>46</v>
      </c>
      <c r="E50" s="1"/>
      <c r="F50" s="1">
        <f t="shared" si="1"/>
        <v>0</v>
      </c>
      <c r="I50" s="14"/>
    </row>
    <row r="51" spans="1:9" x14ac:dyDescent="0.25">
      <c r="A51" s="2">
        <v>49</v>
      </c>
      <c r="B51" s="23" t="s">
        <v>56</v>
      </c>
      <c r="C51" s="2">
        <v>500</v>
      </c>
      <c r="D51" s="2" t="s">
        <v>46</v>
      </c>
      <c r="E51" s="1"/>
      <c r="F51" s="1">
        <f t="shared" si="1"/>
        <v>0</v>
      </c>
      <c r="I51" s="14"/>
    </row>
    <row r="52" spans="1:9" x14ac:dyDescent="0.25">
      <c r="A52" s="2">
        <v>50</v>
      </c>
      <c r="B52" s="23" t="s">
        <v>62</v>
      </c>
      <c r="C52" s="2">
        <v>100</v>
      </c>
      <c r="D52" s="2" t="s">
        <v>42</v>
      </c>
      <c r="E52" s="1"/>
      <c r="F52" s="1">
        <f t="shared" si="1"/>
        <v>0</v>
      </c>
      <c r="G52" s="3"/>
      <c r="I52" s="14"/>
    </row>
    <row r="53" spans="1:9" x14ac:dyDescent="0.25">
      <c r="A53" s="2">
        <v>51</v>
      </c>
      <c r="B53" s="23" t="s">
        <v>63</v>
      </c>
      <c r="C53" s="2">
        <v>100</v>
      </c>
      <c r="D53" s="2" t="s">
        <v>42</v>
      </c>
      <c r="E53" s="1"/>
      <c r="F53" s="1">
        <f t="shared" si="1"/>
        <v>0</v>
      </c>
      <c r="G53" s="3"/>
      <c r="I53" s="14"/>
    </row>
    <row r="54" spans="1:9" x14ac:dyDescent="0.25">
      <c r="A54" s="2">
        <v>52</v>
      </c>
      <c r="B54" s="23" t="s">
        <v>64</v>
      </c>
      <c r="C54" s="2">
        <v>100</v>
      </c>
      <c r="D54" s="2" t="s">
        <v>42</v>
      </c>
      <c r="E54" s="1"/>
      <c r="F54" s="1">
        <f t="shared" si="1"/>
        <v>0</v>
      </c>
      <c r="G54" s="3"/>
      <c r="I54" s="14"/>
    </row>
    <row r="55" spans="1:9" x14ac:dyDescent="0.25">
      <c r="A55" s="2">
        <v>53</v>
      </c>
      <c r="B55" s="23" t="s">
        <v>59</v>
      </c>
      <c r="C55" s="6">
        <v>1000</v>
      </c>
      <c r="D55" s="2" t="s">
        <v>47</v>
      </c>
      <c r="E55" s="1"/>
      <c r="F55" s="1">
        <f t="shared" si="1"/>
        <v>0</v>
      </c>
      <c r="I55" s="14"/>
    </row>
    <row r="56" spans="1:9" ht="23.25" x14ac:dyDescent="0.25">
      <c r="A56" s="2">
        <v>54</v>
      </c>
      <c r="B56" s="23" t="s">
        <v>60</v>
      </c>
      <c r="C56" s="6">
        <v>300</v>
      </c>
      <c r="D56" s="2" t="s">
        <v>44</v>
      </c>
      <c r="E56" s="1"/>
      <c r="F56" s="1">
        <f t="shared" si="1"/>
        <v>0</v>
      </c>
      <c r="I56" s="14"/>
    </row>
    <row r="57" spans="1:9" x14ac:dyDescent="0.25">
      <c r="A57" s="2">
        <v>55</v>
      </c>
      <c r="B57" s="23" t="s">
        <v>61</v>
      </c>
      <c r="C57" s="6">
        <v>30000</v>
      </c>
      <c r="D57" s="2" t="s">
        <v>47</v>
      </c>
      <c r="E57" s="1"/>
      <c r="F57" s="1">
        <f t="shared" si="1"/>
        <v>0</v>
      </c>
      <c r="I57" s="14"/>
    </row>
    <row r="58" spans="1:9" ht="23.25" x14ac:dyDescent="0.25">
      <c r="A58" s="2">
        <v>56</v>
      </c>
      <c r="B58" s="23" t="s">
        <v>70</v>
      </c>
      <c r="C58" s="6">
        <v>30000</v>
      </c>
      <c r="D58" s="2" t="s">
        <v>47</v>
      </c>
      <c r="E58" s="1"/>
      <c r="F58" s="1">
        <f t="shared" si="1"/>
        <v>0</v>
      </c>
      <c r="I58" s="14"/>
    </row>
    <row r="59" spans="1:9" s="8" customFormat="1" ht="23.25" x14ac:dyDescent="0.25">
      <c r="A59" s="2">
        <v>57</v>
      </c>
      <c r="B59" s="23" t="s">
        <v>69</v>
      </c>
      <c r="C59" s="6">
        <v>10</v>
      </c>
      <c r="D59" s="2" t="s">
        <v>45</v>
      </c>
      <c r="E59" s="1"/>
      <c r="F59" s="1">
        <f>+C59*E59</f>
        <v>0</v>
      </c>
      <c r="G59" s="7"/>
      <c r="I59" s="14"/>
    </row>
    <row r="60" spans="1:9" s="8" customFormat="1" ht="23.25" x14ac:dyDescent="0.25">
      <c r="A60" s="2">
        <v>58</v>
      </c>
      <c r="B60" s="23" t="s">
        <v>65</v>
      </c>
      <c r="C60" s="6">
        <v>200</v>
      </c>
      <c r="D60" s="2" t="s">
        <v>42</v>
      </c>
      <c r="E60" s="1"/>
      <c r="F60" s="1">
        <f>+C60*E60</f>
        <v>0</v>
      </c>
      <c r="G60" s="7"/>
      <c r="I60" s="14"/>
    </row>
    <row r="61" spans="1:9" s="8" customFormat="1" ht="23.25" x14ac:dyDescent="0.25">
      <c r="A61" s="2">
        <v>59</v>
      </c>
      <c r="B61" s="23" t="s">
        <v>66</v>
      </c>
      <c r="C61" s="6">
        <v>200</v>
      </c>
      <c r="D61" s="2" t="s">
        <v>42</v>
      </c>
      <c r="E61" s="1"/>
      <c r="F61" s="1">
        <f>+C61*E61</f>
        <v>0</v>
      </c>
      <c r="G61" s="7"/>
      <c r="I61" s="14"/>
    </row>
    <row r="62" spans="1:9" ht="23.25" x14ac:dyDescent="0.25">
      <c r="A62" s="2">
        <v>60</v>
      </c>
      <c r="B62" s="23" t="s">
        <v>67</v>
      </c>
      <c r="C62" s="6">
        <v>500</v>
      </c>
      <c r="D62" s="2" t="s">
        <v>46</v>
      </c>
      <c r="E62" s="1"/>
      <c r="F62" s="1">
        <f>+C62*E62</f>
        <v>0</v>
      </c>
    </row>
    <row r="63" spans="1:9" ht="23.25" x14ac:dyDescent="0.25">
      <c r="A63" s="2">
        <v>61</v>
      </c>
      <c r="B63" s="23" t="s">
        <v>68</v>
      </c>
      <c r="C63" s="6">
        <v>5</v>
      </c>
      <c r="D63" s="2" t="s">
        <v>45</v>
      </c>
      <c r="E63" s="1"/>
      <c r="F63" s="1">
        <f>+C63*E63</f>
        <v>0</v>
      </c>
    </row>
    <row r="64" spans="1:9" x14ac:dyDescent="0.25">
      <c r="A64" s="20"/>
      <c r="B64" s="25"/>
      <c r="C64" s="21" t="s">
        <v>71</v>
      </c>
      <c r="D64" s="15"/>
      <c r="E64" s="25"/>
      <c r="F64" s="16">
        <f>+SUM(F3:F63)</f>
        <v>0</v>
      </c>
    </row>
    <row r="65" spans="1:6" x14ac:dyDescent="0.25">
      <c r="A65" s="11"/>
      <c r="B65" s="22"/>
      <c r="C65" s="11"/>
      <c r="D65" s="11"/>
      <c r="E65" s="10"/>
      <c r="F65" s="10"/>
    </row>
    <row r="66" spans="1:6" x14ac:dyDescent="0.25">
      <c r="A66" s="11"/>
      <c r="B66" s="12"/>
      <c r="C66" s="11"/>
      <c r="D66" s="11"/>
      <c r="E66" s="10"/>
      <c r="F66" s="10"/>
    </row>
    <row r="67" spans="1:6" x14ac:dyDescent="0.25">
      <c r="A67" s="11"/>
      <c r="B67" s="12"/>
      <c r="C67" s="11"/>
      <c r="D67" s="11"/>
      <c r="E67" s="10"/>
      <c r="F67" s="13"/>
    </row>
    <row r="68" spans="1:6" x14ac:dyDescent="0.25">
      <c r="A68" s="11"/>
      <c r="B68" s="12"/>
      <c r="C68" s="11"/>
      <c r="D68" s="11"/>
      <c r="E68" s="10"/>
      <c r="F68" s="13"/>
    </row>
    <row r="69" spans="1:6" x14ac:dyDescent="0.25">
      <c r="A69" s="11"/>
      <c r="B69" s="12"/>
      <c r="C69" s="11"/>
      <c r="D69" s="11"/>
      <c r="E69" s="10"/>
      <c r="F69" s="13"/>
    </row>
    <row r="70" spans="1:6" x14ac:dyDescent="0.25">
      <c r="A70" s="11"/>
      <c r="B70" s="12"/>
      <c r="C70" s="11"/>
      <c r="D70" s="11"/>
      <c r="E70" s="10"/>
      <c r="F70" s="13"/>
    </row>
    <row r="71" spans="1:6" x14ac:dyDescent="0.25">
      <c r="A71" s="11"/>
      <c r="B71" s="12"/>
      <c r="C71" s="11"/>
      <c r="D71" s="11"/>
      <c r="E71" s="10"/>
      <c r="F71" s="13"/>
    </row>
    <row r="72" spans="1:6" x14ac:dyDescent="0.25">
      <c r="A72" s="11"/>
      <c r="B72" s="12"/>
      <c r="C72" s="11"/>
      <c r="D72" s="11"/>
      <c r="E72" s="10"/>
      <c r="F72" s="13"/>
    </row>
    <row r="73" spans="1:6" x14ac:dyDescent="0.25">
      <c r="A73" s="11"/>
      <c r="B73" s="12"/>
      <c r="C73" s="11"/>
      <c r="D73" s="11"/>
      <c r="E73" s="10"/>
      <c r="F73" s="13"/>
    </row>
    <row r="74" spans="1:6" x14ac:dyDescent="0.25">
      <c r="A74" s="11"/>
      <c r="B74" s="12"/>
      <c r="C74" s="11"/>
      <c r="D74" s="11"/>
      <c r="E74" s="10"/>
      <c r="F74" s="10"/>
    </row>
  </sheetData>
  <mergeCells count="1">
    <mergeCell ref="A1:F1"/>
  </mergeCells>
  <pageMargins left="0.7" right="0.7" top="0.75" bottom="0.75" header="0.3" footer="0.3"/>
  <pageSetup scale="9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219C-C4FF-4E46-9A36-3E6C89960801}">
  <sheetPr>
    <pageSetUpPr fitToPage="1"/>
  </sheetPr>
  <dimension ref="A1:K74"/>
  <sheetViews>
    <sheetView topLeftCell="A48" zoomScaleNormal="100" workbookViewId="0">
      <selection activeCell="B5" sqref="B5"/>
    </sheetView>
  </sheetViews>
  <sheetFormatPr defaultRowHeight="15" x14ac:dyDescent="0.25"/>
  <cols>
    <col min="1" max="1" width="5.5703125" style="4" customWidth="1"/>
    <col min="2" max="2" width="53.5703125" style="4" customWidth="1"/>
    <col min="3" max="3" width="7.85546875" style="9" customWidth="1"/>
    <col min="4" max="4" width="4.42578125" style="9" bestFit="1" customWidth="1"/>
    <col min="5" max="5" width="10.7109375" style="4" customWidth="1"/>
    <col min="6" max="7" width="14" style="4" customWidth="1"/>
    <col min="8" max="16384" width="9.140625" style="4"/>
  </cols>
  <sheetData>
    <row r="1" spans="1:11" ht="15.75" x14ac:dyDescent="0.25">
      <c r="A1" s="38" t="s">
        <v>75</v>
      </c>
      <c r="B1" s="39"/>
      <c r="C1" s="39"/>
      <c r="D1" s="39"/>
      <c r="E1" s="39"/>
      <c r="F1" s="40"/>
      <c r="K1" s="5"/>
    </row>
    <row r="2" spans="1:11" ht="26.25" x14ac:dyDescent="0.25">
      <c r="A2" s="17" t="s">
        <v>0</v>
      </c>
      <c r="B2" s="18" t="s">
        <v>73</v>
      </c>
      <c r="C2" s="17" t="s">
        <v>2</v>
      </c>
      <c r="D2" s="17" t="s">
        <v>1</v>
      </c>
      <c r="E2" s="19" t="s">
        <v>58</v>
      </c>
      <c r="F2" s="17" t="s">
        <v>57</v>
      </c>
      <c r="G2" s="3"/>
    </row>
    <row r="3" spans="1:11" ht="45.75" x14ac:dyDescent="0.25">
      <c r="A3" s="2">
        <v>101</v>
      </c>
      <c r="B3" s="23" t="s">
        <v>79</v>
      </c>
      <c r="C3" s="2">
        <v>50</v>
      </c>
      <c r="D3" s="2" t="s">
        <v>42</v>
      </c>
      <c r="E3" s="1"/>
      <c r="F3" s="1">
        <f t="shared" ref="F3:F63" si="0">+C3*E3</f>
        <v>0</v>
      </c>
      <c r="I3" s="14"/>
    </row>
    <row r="4" spans="1:11" ht="45.75" x14ac:dyDescent="0.25">
      <c r="A4" s="2">
        <v>102</v>
      </c>
      <c r="B4" s="23" t="s">
        <v>80</v>
      </c>
      <c r="C4" s="2">
        <v>50</v>
      </c>
      <c r="D4" s="2" t="s">
        <v>42</v>
      </c>
      <c r="E4" s="1"/>
      <c r="F4" s="1">
        <f t="shared" si="0"/>
        <v>0</v>
      </c>
      <c r="I4" s="14"/>
    </row>
    <row r="5" spans="1:11" ht="64.5" customHeight="1" x14ac:dyDescent="0.25">
      <c r="A5" s="2">
        <v>103</v>
      </c>
      <c r="B5" s="23" t="s">
        <v>50</v>
      </c>
      <c r="C5" s="2">
        <v>100</v>
      </c>
      <c r="D5" s="2" t="s">
        <v>42</v>
      </c>
      <c r="E5" s="1"/>
      <c r="F5" s="1">
        <f t="shared" si="0"/>
        <v>0</v>
      </c>
      <c r="I5" s="14"/>
    </row>
    <row r="6" spans="1:11" ht="45.75" x14ac:dyDescent="0.25">
      <c r="A6" s="2">
        <v>104</v>
      </c>
      <c r="B6" s="23" t="s">
        <v>3</v>
      </c>
      <c r="C6" s="2">
        <v>1500</v>
      </c>
      <c r="D6" s="2" t="s">
        <v>42</v>
      </c>
      <c r="E6" s="1"/>
      <c r="F6" s="1">
        <f t="shared" si="0"/>
        <v>0</v>
      </c>
      <c r="I6" s="14"/>
    </row>
    <row r="7" spans="1:11" ht="23.25" x14ac:dyDescent="0.25">
      <c r="A7" s="2">
        <v>105</v>
      </c>
      <c r="B7" s="23" t="s">
        <v>4</v>
      </c>
      <c r="C7" s="2">
        <v>100</v>
      </c>
      <c r="D7" s="2" t="s">
        <v>43</v>
      </c>
      <c r="E7" s="1"/>
      <c r="F7" s="1">
        <f t="shared" si="0"/>
        <v>0</v>
      </c>
      <c r="I7" s="14"/>
    </row>
    <row r="8" spans="1:11" ht="23.25" x14ac:dyDescent="0.25">
      <c r="A8" s="2">
        <v>106</v>
      </c>
      <c r="B8" s="23" t="s">
        <v>5</v>
      </c>
      <c r="C8" s="2">
        <v>300</v>
      </c>
      <c r="D8" s="2" t="s">
        <v>43</v>
      </c>
      <c r="E8" s="1"/>
      <c r="F8" s="1">
        <f t="shared" si="0"/>
        <v>0</v>
      </c>
      <c r="I8" s="14"/>
    </row>
    <row r="9" spans="1:11" ht="23.25" x14ac:dyDescent="0.25">
      <c r="A9" s="2">
        <v>107</v>
      </c>
      <c r="B9" s="23" t="s">
        <v>6</v>
      </c>
      <c r="C9" s="2">
        <v>10</v>
      </c>
      <c r="D9" s="2" t="s">
        <v>44</v>
      </c>
      <c r="E9" s="1"/>
      <c r="F9" s="1">
        <f t="shared" si="0"/>
        <v>0</v>
      </c>
      <c r="I9" s="14"/>
    </row>
    <row r="10" spans="1:11" ht="23.25" x14ac:dyDescent="0.25">
      <c r="A10" s="2">
        <v>108</v>
      </c>
      <c r="B10" s="23" t="s">
        <v>7</v>
      </c>
      <c r="C10" s="2">
        <v>25</v>
      </c>
      <c r="D10" s="2" t="s">
        <v>44</v>
      </c>
      <c r="E10" s="1"/>
      <c r="F10" s="1">
        <f t="shared" si="0"/>
        <v>0</v>
      </c>
      <c r="I10" s="14"/>
    </row>
    <row r="11" spans="1:11" ht="34.5" x14ac:dyDescent="0.25">
      <c r="A11" s="2">
        <v>109</v>
      </c>
      <c r="B11" s="23" t="s">
        <v>8</v>
      </c>
      <c r="C11" s="2">
        <v>90</v>
      </c>
      <c r="D11" s="2" t="s">
        <v>42</v>
      </c>
      <c r="E11" s="1"/>
      <c r="F11" s="1">
        <f t="shared" si="0"/>
        <v>0</v>
      </c>
      <c r="I11" s="14"/>
    </row>
    <row r="12" spans="1:11" ht="23.25" x14ac:dyDescent="0.25">
      <c r="A12" s="2">
        <v>110</v>
      </c>
      <c r="B12" s="23" t="s">
        <v>9</v>
      </c>
      <c r="C12" s="2">
        <v>100</v>
      </c>
      <c r="D12" s="2" t="s">
        <v>42</v>
      </c>
      <c r="E12" s="1"/>
      <c r="F12" s="1">
        <f t="shared" si="0"/>
        <v>0</v>
      </c>
      <c r="I12" s="14"/>
    </row>
    <row r="13" spans="1:11" ht="45.75" x14ac:dyDescent="0.25">
      <c r="A13" s="2">
        <v>111</v>
      </c>
      <c r="B13" s="23" t="s">
        <v>10</v>
      </c>
      <c r="C13" s="2">
        <v>50</v>
      </c>
      <c r="D13" s="2" t="s">
        <v>42</v>
      </c>
      <c r="E13" s="1"/>
      <c r="F13" s="1">
        <f t="shared" si="0"/>
        <v>0</v>
      </c>
      <c r="I13" s="14"/>
    </row>
    <row r="14" spans="1:11" ht="45.75" x14ac:dyDescent="0.25">
      <c r="A14" s="2">
        <v>112</v>
      </c>
      <c r="B14" s="23" t="s">
        <v>11</v>
      </c>
      <c r="C14" s="2">
        <v>200</v>
      </c>
      <c r="D14" s="2" t="s">
        <v>42</v>
      </c>
      <c r="E14" s="1"/>
      <c r="F14" s="1">
        <f t="shared" si="0"/>
        <v>0</v>
      </c>
      <c r="I14" s="14"/>
    </row>
    <row r="15" spans="1:11" ht="23.25" x14ac:dyDescent="0.25">
      <c r="A15" s="2">
        <v>113</v>
      </c>
      <c r="B15" s="23" t="s">
        <v>12</v>
      </c>
      <c r="C15" s="2">
        <v>600</v>
      </c>
      <c r="D15" s="2" t="s">
        <v>43</v>
      </c>
      <c r="E15" s="1"/>
      <c r="F15" s="1">
        <f t="shared" si="0"/>
        <v>0</v>
      </c>
      <c r="I15" s="14"/>
    </row>
    <row r="16" spans="1:11" ht="24" customHeight="1" x14ac:dyDescent="0.25">
      <c r="A16" s="2">
        <v>114</v>
      </c>
      <c r="B16" s="23" t="s">
        <v>13</v>
      </c>
      <c r="C16" s="2">
        <v>2000</v>
      </c>
      <c r="D16" s="2" t="s">
        <v>43</v>
      </c>
      <c r="E16" s="1"/>
      <c r="F16" s="1">
        <f t="shared" si="0"/>
        <v>0</v>
      </c>
      <c r="I16" s="14"/>
    </row>
    <row r="17" spans="1:9" ht="23.25" x14ac:dyDescent="0.25">
      <c r="A17" s="2">
        <v>115</v>
      </c>
      <c r="B17" s="23" t="s">
        <v>14</v>
      </c>
      <c r="C17" s="2">
        <v>3</v>
      </c>
      <c r="D17" s="2" t="s">
        <v>45</v>
      </c>
      <c r="E17" s="1"/>
      <c r="F17" s="1">
        <f t="shared" si="0"/>
        <v>0</v>
      </c>
      <c r="I17" s="14"/>
    </row>
    <row r="18" spans="1:9" ht="23.25" x14ac:dyDescent="0.25">
      <c r="A18" s="2">
        <v>116</v>
      </c>
      <c r="B18" s="23" t="s">
        <v>15</v>
      </c>
      <c r="C18" s="2">
        <v>3</v>
      </c>
      <c r="D18" s="2" t="s">
        <v>45</v>
      </c>
      <c r="E18" s="1"/>
      <c r="F18" s="1">
        <f t="shared" si="0"/>
        <v>0</v>
      </c>
      <c r="I18" s="14"/>
    </row>
    <row r="19" spans="1:9" ht="23.25" x14ac:dyDescent="0.25">
      <c r="A19" s="2">
        <v>117</v>
      </c>
      <c r="B19" s="23" t="s">
        <v>16</v>
      </c>
      <c r="C19" s="2">
        <v>10</v>
      </c>
      <c r="D19" s="2" t="s">
        <v>44</v>
      </c>
      <c r="E19" s="1"/>
      <c r="F19" s="1">
        <f t="shared" si="0"/>
        <v>0</v>
      </c>
      <c r="I19" s="14"/>
    </row>
    <row r="20" spans="1:9" ht="23.25" x14ac:dyDescent="0.25">
      <c r="A20" s="2">
        <v>118</v>
      </c>
      <c r="B20" s="23" t="s">
        <v>17</v>
      </c>
      <c r="C20" s="2">
        <v>100</v>
      </c>
      <c r="D20" s="2" t="s">
        <v>44</v>
      </c>
      <c r="E20" s="1"/>
      <c r="F20" s="1">
        <f t="shared" si="0"/>
        <v>0</v>
      </c>
      <c r="I20" s="14"/>
    </row>
    <row r="21" spans="1:9" x14ac:dyDescent="0.25">
      <c r="A21" s="2">
        <v>119</v>
      </c>
      <c r="B21" s="24" t="s">
        <v>18</v>
      </c>
      <c r="C21" s="2">
        <v>1500</v>
      </c>
      <c r="D21" s="2" t="s">
        <v>44</v>
      </c>
      <c r="E21" s="1"/>
      <c r="F21" s="1">
        <f t="shared" si="0"/>
        <v>0</v>
      </c>
      <c r="I21" s="14"/>
    </row>
    <row r="22" spans="1:9" ht="34.5" x14ac:dyDescent="0.25">
      <c r="A22" s="2">
        <v>120</v>
      </c>
      <c r="B22" s="23" t="s">
        <v>52</v>
      </c>
      <c r="C22" s="2">
        <v>2000</v>
      </c>
      <c r="D22" s="2" t="s">
        <v>44</v>
      </c>
      <c r="E22" s="1"/>
      <c r="F22" s="1">
        <f t="shared" si="0"/>
        <v>0</v>
      </c>
      <c r="I22" s="14"/>
    </row>
    <row r="23" spans="1:9" ht="34.5" x14ac:dyDescent="0.25">
      <c r="A23" s="2">
        <v>121</v>
      </c>
      <c r="B23" s="23" t="s">
        <v>19</v>
      </c>
      <c r="C23" s="2">
        <v>100</v>
      </c>
      <c r="D23" s="2" t="s">
        <v>45</v>
      </c>
      <c r="E23" s="1"/>
      <c r="F23" s="1">
        <f t="shared" si="0"/>
        <v>0</v>
      </c>
      <c r="I23" s="14"/>
    </row>
    <row r="24" spans="1:9" ht="57" x14ac:dyDescent="0.25">
      <c r="A24" s="2">
        <v>122</v>
      </c>
      <c r="B24" s="23" t="s">
        <v>20</v>
      </c>
      <c r="C24" s="2">
        <v>50</v>
      </c>
      <c r="D24" s="2" t="s">
        <v>43</v>
      </c>
      <c r="E24" s="1"/>
      <c r="F24" s="1">
        <f t="shared" si="0"/>
        <v>0</v>
      </c>
      <c r="I24" s="14"/>
    </row>
    <row r="25" spans="1:9" ht="45.75" x14ac:dyDescent="0.25">
      <c r="A25" s="2">
        <v>123</v>
      </c>
      <c r="B25" s="23" t="s">
        <v>21</v>
      </c>
      <c r="C25" s="2">
        <v>20</v>
      </c>
      <c r="D25" s="2" t="s">
        <v>44</v>
      </c>
      <c r="E25" s="1"/>
      <c r="F25" s="1">
        <f t="shared" si="0"/>
        <v>0</v>
      </c>
      <c r="I25" s="14"/>
    </row>
    <row r="26" spans="1:9" ht="57" x14ac:dyDescent="0.25">
      <c r="A26" s="2">
        <v>124</v>
      </c>
      <c r="B26" s="23" t="s">
        <v>22</v>
      </c>
      <c r="C26" s="2">
        <v>50</v>
      </c>
      <c r="D26" s="2" t="s">
        <v>43</v>
      </c>
      <c r="E26" s="1"/>
      <c r="F26" s="1">
        <f t="shared" si="0"/>
        <v>0</v>
      </c>
      <c r="I26" s="14"/>
    </row>
    <row r="27" spans="1:9" ht="23.25" x14ac:dyDescent="0.25">
      <c r="A27" s="2">
        <v>125</v>
      </c>
      <c r="B27" s="23" t="s">
        <v>23</v>
      </c>
      <c r="C27" s="2">
        <v>700</v>
      </c>
      <c r="D27" s="2" t="s">
        <v>44</v>
      </c>
      <c r="E27" s="1"/>
      <c r="F27" s="1">
        <f t="shared" si="0"/>
        <v>0</v>
      </c>
      <c r="I27" s="14"/>
    </row>
    <row r="28" spans="1:9" ht="23.25" x14ac:dyDescent="0.25">
      <c r="A28" s="2">
        <v>126</v>
      </c>
      <c r="B28" s="23" t="s">
        <v>24</v>
      </c>
      <c r="C28" s="2">
        <v>1500</v>
      </c>
      <c r="D28" s="2" t="s">
        <v>42</v>
      </c>
      <c r="E28" s="1"/>
      <c r="F28" s="1">
        <f t="shared" si="0"/>
        <v>0</v>
      </c>
      <c r="I28" s="14"/>
    </row>
    <row r="29" spans="1:9" ht="23.25" x14ac:dyDescent="0.25">
      <c r="A29" s="2">
        <v>127</v>
      </c>
      <c r="B29" s="23" t="s">
        <v>25</v>
      </c>
      <c r="C29" s="2">
        <v>50</v>
      </c>
      <c r="D29" s="2" t="s">
        <v>42</v>
      </c>
      <c r="E29" s="1"/>
      <c r="F29" s="1">
        <f t="shared" si="0"/>
        <v>0</v>
      </c>
      <c r="I29" s="14"/>
    </row>
    <row r="30" spans="1:9" ht="45.75" x14ac:dyDescent="0.25">
      <c r="A30" s="2">
        <v>128</v>
      </c>
      <c r="B30" s="23" t="s">
        <v>54</v>
      </c>
      <c r="C30" s="2">
        <v>2000</v>
      </c>
      <c r="D30" s="2" t="s">
        <v>46</v>
      </c>
      <c r="E30" s="1"/>
      <c r="F30" s="1">
        <f t="shared" si="0"/>
        <v>0</v>
      </c>
      <c r="I30" s="14"/>
    </row>
    <row r="31" spans="1:9" ht="34.5" x14ac:dyDescent="0.25">
      <c r="A31" s="2">
        <v>129</v>
      </c>
      <c r="B31" s="23" t="s">
        <v>26</v>
      </c>
      <c r="C31" s="2">
        <v>30</v>
      </c>
      <c r="D31" s="2" t="s">
        <v>46</v>
      </c>
      <c r="E31" s="1"/>
      <c r="F31" s="1">
        <f t="shared" si="0"/>
        <v>0</v>
      </c>
      <c r="I31" s="14"/>
    </row>
    <row r="32" spans="1:9" ht="23.25" x14ac:dyDescent="0.25">
      <c r="A32" s="2">
        <v>130</v>
      </c>
      <c r="B32" s="23" t="s">
        <v>27</v>
      </c>
      <c r="C32" s="2">
        <v>2500</v>
      </c>
      <c r="D32" s="2" t="s">
        <v>44</v>
      </c>
      <c r="E32" s="1"/>
      <c r="F32" s="1">
        <f t="shared" si="0"/>
        <v>0</v>
      </c>
      <c r="I32" s="14"/>
    </row>
    <row r="33" spans="1:9" ht="102" x14ac:dyDescent="0.25">
      <c r="A33" s="2">
        <v>131</v>
      </c>
      <c r="B33" s="23" t="s">
        <v>38</v>
      </c>
      <c r="C33" s="2">
        <v>200</v>
      </c>
      <c r="D33" s="2" t="s">
        <v>42</v>
      </c>
      <c r="E33" s="1"/>
      <c r="F33" s="1">
        <f t="shared" si="0"/>
        <v>0</v>
      </c>
      <c r="I33" s="14"/>
    </row>
    <row r="34" spans="1:9" ht="102" x14ac:dyDescent="0.25">
      <c r="A34" s="2">
        <v>132</v>
      </c>
      <c r="B34" s="23" t="s">
        <v>39</v>
      </c>
      <c r="C34" s="2">
        <v>200</v>
      </c>
      <c r="D34" s="2" t="s">
        <v>42</v>
      </c>
      <c r="E34" s="1"/>
      <c r="F34" s="1">
        <f t="shared" si="0"/>
        <v>0</v>
      </c>
      <c r="I34" s="14"/>
    </row>
    <row r="35" spans="1:9" ht="102" x14ac:dyDescent="0.25">
      <c r="A35" s="2">
        <v>133</v>
      </c>
      <c r="B35" s="23" t="s">
        <v>40</v>
      </c>
      <c r="C35" s="2">
        <v>200</v>
      </c>
      <c r="D35" s="2" t="s">
        <v>42</v>
      </c>
      <c r="E35" s="1"/>
      <c r="F35" s="1">
        <f t="shared" si="0"/>
        <v>0</v>
      </c>
      <c r="I35" s="14"/>
    </row>
    <row r="36" spans="1:9" ht="102" x14ac:dyDescent="0.25">
      <c r="A36" s="2">
        <v>134</v>
      </c>
      <c r="B36" s="23" t="s">
        <v>41</v>
      </c>
      <c r="C36" s="2">
        <v>250</v>
      </c>
      <c r="D36" s="2" t="s">
        <v>42</v>
      </c>
      <c r="E36" s="1"/>
      <c r="F36" s="1">
        <f t="shared" si="0"/>
        <v>0</v>
      </c>
      <c r="I36" s="14"/>
    </row>
    <row r="37" spans="1:9" ht="102" x14ac:dyDescent="0.25">
      <c r="A37" s="2">
        <v>135</v>
      </c>
      <c r="B37" s="23" t="s">
        <v>28</v>
      </c>
      <c r="C37" s="2">
        <v>160</v>
      </c>
      <c r="D37" s="2" t="s">
        <v>42</v>
      </c>
      <c r="E37" s="1"/>
      <c r="F37" s="1">
        <f t="shared" si="0"/>
        <v>0</v>
      </c>
      <c r="I37" s="14"/>
    </row>
    <row r="38" spans="1:9" ht="102" x14ac:dyDescent="0.25">
      <c r="A38" s="2">
        <v>136</v>
      </c>
      <c r="B38" s="23" t="s">
        <v>29</v>
      </c>
      <c r="C38" s="2">
        <v>160</v>
      </c>
      <c r="D38" s="2" t="s">
        <v>42</v>
      </c>
      <c r="E38" s="1"/>
      <c r="F38" s="1">
        <f t="shared" si="0"/>
        <v>0</v>
      </c>
      <c r="I38" s="14"/>
    </row>
    <row r="39" spans="1:9" ht="34.5" x14ac:dyDescent="0.25">
      <c r="A39" s="2">
        <v>137</v>
      </c>
      <c r="B39" s="23" t="s">
        <v>30</v>
      </c>
      <c r="C39" s="2">
        <v>100</v>
      </c>
      <c r="D39" s="2" t="s">
        <v>42</v>
      </c>
      <c r="E39" s="1"/>
      <c r="F39" s="1">
        <f t="shared" si="0"/>
        <v>0</v>
      </c>
      <c r="I39" s="14"/>
    </row>
    <row r="40" spans="1:9" ht="45.75" x14ac:dyDescent="0.25">
      <c r="A40" s="2">
        <v>138</v>
      </c>
      <c r="B40" s="23" t="s">
        <v>53</v>
      </c>
      <c r="C40" s="2">
        <v>2000</v>
      </c>
      <c r="D40" s="2" t="s">
        <v>44</v>
      </c>
      <c r="E40" s="1"/>
      <c r="F40" s="1">
        <f t="shared" si="0"/>
        <v>0</v>
      </c>
      <c r="I40" s="14"/>
    </row>
    <row r="41" spans="1:9" ht="79.5" x14ac:dyDescent="0.25">
      <c r="A41" s="2">
        <v>139</v>
      </c>
      <c r="B41" s="23" t="s">
        <v>31</v>
      </c>
      <c r="C41" s="2">
        <v>300</v>
      </c>
      <c r="D41" s="2" t="s">
        <v>47</v>
      </c>
      <c r="E41" s="1"/>
      <c r="F41" s="1">
        <f t="shared" si="0"/>
        <v>0</v>
      </c>
      <c r="I41" s="14"/>
    </row>
    <row r="42" spans="1:9" ht="23.25" x14ac:dyDescent="0.25">
      <c r="A42" s="2">
        <v>140</v>
      </c>
      <c r="B42" s="23" t="s">
        <v>32</v>
      </c>
      <c r="C42" s="2">
        <v>250</v>
      </c>
      <c r="D42" s="2" t="s">
        <v>44</v>
      </c>
      <c r="E42" s="1"/>
      <c r="F42" s="1">
        <f t="shared" si="0"/>
        <v>0</v>
      </c>
      <c r="I42" s="14"/>
    </row>
    <row r="43" spans="1:9" ht="23.25" x14ac:dyDescent="0.25">
      <c r="A43" s="2">
        <v>141</v>
      </c>
      <c r="B43" s="23" t="s">
        <v>33</v>
      </c>
      <c r="C43" s="2">
        <v>10</v>
      </c>
      <c r="D43" s="2" t="s">
        <v>48</v>
      </c>
      <c r="E43" s="1"/>
      <c r="F43" s="1">
        <f t="shared" si="0"/>
        <v>0</v>
      </c>
      <c r="I43" s="14"/>
    </row>
    <row r="44" spans="1:9" ht="68.25" x14ac:dyDescent="0.25">
      <c r="A44" s="2">
        <v>142</v>
      </c>
      <c r="B44" s="23" t="s">
        <v>34</v>
      </c>
      <c r="C44" s="2">
        <v>10</v>
      </c>
      <c r="D44" s="2" t="s">
        <v>45</v>
      </c>
      <c r="E44" s="1"/>
      <c r="F44" s="1">
        <f t="shared" si="0"/>
        <v>0</v>
      </c>
      <c r="I44" s="14"/>
    </row>
    <row r="45" spans="1:9" ht="23.25" x14ac:dyDescent="0.25">
      <c r="A45" s="2">
        <v>143</v>
      </c>
      <c r="B45" s="23" t="s">
        <v>51</v>
      </c>
      <c r="C45" s="2">
        <v>600</v>
      </c>
      <c r="D45" s="2" t="s">
        <v>45</v>
      </c>
      <c r="E45" s="1"/>
      <c r="F45" s="1">
        <f t="shared" si="0"/>
        <v>0</v>
      </c>
      <c r="I45" s="14"/>
    </row>
    <row r="46" spans="1:9" x14ac:dyDescent="0.25">
      <c r="A46" s="2">
        <v>144</v>
      </c>
      <c r="B46" s="23" t="s">
        <v>35</v>
      </c>
      <c r="C46" s="2">
        <v>10</v>
      </c>
      <c r="D46" s="2" t="s">
        <v>45</v>
      </c>
      <c r="E46" s="1"/>
      <c r="F46" s="1">
        <f t="shared" si="0"/>
        <v>0</v>
      </c>
      <c r="I46" s="14"/>
    </row>
    <row r="47" spans="1:9" ht="23.25" x14ac:dyDescent="0.25">
      <c r="A47" s="2">
        <v>145</v>
      </c>
      <c r="B47" s="23" t="s">
        <v>36</v>
      </c>
      <c r="C47" s="2">
        <v>20</v>
      </c>
      <c r="D47" s="2" t="s">
        <v>45</v>
      </c>
      <c r="E47" s="1"/>
      <c r="F47" s="1">
        <f t="shared" si="0"/>
        <v>0</v>
      </c>
      <c r="I47" s="14"/>
    </row>
    <row r="48" spans="1:9" ht="51.75" customHeight="1" x14ac:dyDescent="0.25">
      <c r="A48" s="2">
        <v>146</v>
      </c>
      <c r="B48" s="23" t="s">
        <v>37</v>
      </c>
      <c r="C48" s="2">
        <v>1200</v>
      </c>
      <c r="D48" s="2" t="s">
        <v>42</v>
      </c>
      <c r="E48" s="1"/>
      <c r="F48" s="1">
        <f t="shared" si="0"/>
        <v>0</v>
      </c>
      <c r="I48" s="14"/>
    </row>
    <row r="49" spans="1:9" ht="18.75" customHeight="1" x14ac:dyDescent="0.25">
      <c r="A49" s="2">
        <v>147</v>
      </c>
      <c r="B49" s="23" t="s">
        <v>49</v>
      </c>
      <c r="C49" s="2">
        <v>1000</v>
      </c>
      <c r="D49" s="2" t="s">
        <v>45</v>
      </c>
      <c r="E49" s="1"/>
      <c r="F49" s="1">
        <f t="shared" si="0"/>
        <v>0</v>
      </c>
      <c r="I49" s="14"/>
    </row>
    <row r="50" spans="1:9" x14ac:dyDescent="0.25">
      <c r="A50" s="2">
        <v>148</v>
      </c>
      <c r="B50" s="23" t="s">
        <v>55</v>
      </c>
      <c r="C50" s="2">
        <v>500</v>
      </c>
      <c r="D50" s="2" t="s">
        <v>46</v>
      </c>
      <c r="E50" s="1"/>
      <c r="F50" s="1">
        <f t="shared" si="0"/>
        <v>0</v>
      </c>
      <c r="I50" s="14"/>
    </row>
    <row r="51" spans="1:9" x14ac:dyDescent="0.25">
      <c r="A51" s="2">
        <v>149</v>
      </c>
      <c r="B51" s="23" t="s">
        <v>56</v>
      </c>
      <c r="C51" s="2">
        <v>500</v>
      </c>
      <c r="D51" s="2" t="s">
        <v>46</v>
      </c>
      <c r="E51" s="1"/>
      <c r="F51" s="1">
        <f t="shared" si="0"/>
        <v>0</v>
      </c>
      <c r="I51" s="14"/>
    </row>
    <row r="52" spans="1:9" x14ac:dyDescent="0.25">
      <c r="A52" s="2">
        <v>150</v>
      </c>
      <c r="B52" s="23" t="s">
        <v>62</v>
      </c>
      <c r="C52" s="2">
        <v>100</v>
      </c>
      <c r="D52" s="2" t="s">
        <v>42</v>
      </c>
      <c r="E52" s="1"/>
      <c r="F52" s="1">
        <f t="shared" si="0"/>
        <v>0</v>
      </c>
      <c r="G52" s="3"/>
      <c r="I52" s="14"/>
    </row>
    <row r="53" spans="1:9" x14ac:dyDescent="0.25">
      <c r="A53" s="2">
        <v>151</v>
      </c>
      <c r="B53" s="23" t="s">
        <v>63</v>
      </c>
      <c r="C53" s="2">
        <v>100</v>
      </c>
      <c r="D53" s="2" t="s">
        <v>42</v>
      </c>
      <c r="E53" s="1"/>
      <c r="F53" s="1">
        <f t="shared" si="0"/>
        <v>0</v>
      </c>
      <c r="G53" s="3"/>
      <c r="I53" s="14"/>
    </row>
    <row r="54" spans="1:9" x14ac:dyDescent="0.25">
      <c r="A54" s="2">
        <v>152</v>
      </c>
      <c r="B54" s="23" t="s">
        <v>64</v>
      </c>
      <c r="C54" s="2">
        <v>100</v>
      </c>
      <c r="D54" s="2" t="s">
        <v>42</v>
      </c>
      <c r="E54" s="1"/>
      <c r="F54" s="1">
        <f t="shared" si="0"/>
        <v>0</v>
      </c>
      <c r="G54" s="3"/>
      <c r="I54" s="14"/>
    </row>
    <row r="55" spans="1:9" x14ac:dyDescent="0.25">
      <c r="A55" s="2">
        <v>153</v>
      </c>
      <c r="B55" s="23" t="s">
        <v>59</v>
      </c>
      <c r="C55" s="6">
        <v>1000</v>
      </c>
      <c r="D55" s="2" t="s">
        <v>47</v>
      </c>
      <c r="E55" s="1"/>
      <c r="F55" s="1">
        <f t="shared" si="0"/>
        <v>0</v>
      </c>
      <c r="I55" s="14"/>
    </row>
    <row r="56" spans="1:9" ht="23.25" x14ac:dyDescent="0.25">
      <c r="A56" s="2">
        <v>154</v>
      </c>
      <c r="B56" s="23" t="s">
        <v>60</v>
      </c>
      <c r="C56" s="6">
        <v>300</v>
      </c>
      <c r="D56" s="2" t="s">
        <v>44</v>
      </c>
      <c r="E56" s="1"/>
      <c r="F56" s="1">
        <f t="shared" si="0"/>
        <v>0</v>
      </c>
      <c r="I56" s="14"/>
    </row>
    <row r="57" spans="1:9" x14ac:dyDescent="0.25">
      <c r="A57" s="2">
        <v>155</v>
      </c>
      <c r="B57" s="23" t="s">
        <v>61</v>
      </c>
      <c r="C57" s="6">
        <v>30000</v>
      </c>
      <c r="D57" s="2" t="s">
        <v>47</v>
      </c>
      <c r="E57" s="1"/>
      <c r="F57" s="1">
        <f t="shared" si="0"/>
        <v>0</v>
      </c>
      <c r="I57" s="14"/>
    </row>
    <row r="58" spans="1:9" ht="23.25" x14ac:dyDescent="0.25">
      <c r="A58" s="2">
        <v>156</v>
      </c>
      <c r="B58" s="23" t="s">
        <v>70</v>
      </c>
      <c r="C58" s="6">
        <v>30000</v>
      </c>
      <c r="D58" s="2" t="s">
        <v>47</v>
      </c>
      <c r="E58" s="1"/>
      <c r="F58" s="1">
        <f t="shared" si="0"/>
        <v>0</v>
      </c>
      <c r="I58" s="14"/>
    </row>
    <row r="59" spans="1:9" s="8" customFormat="1" ht="23.25" x14ac:dyDescent="0.25">
      <c r="A59" s="2">
        <v>157</v>
      </c>
      <c r="B59" s="23" t="s">
        <v>69</v>
      </c>
      <c r="C59" s="6">
        <v>10</v>
      </c>
      <c r="D59" s="2" t="s">
        <v>45</v>
      </c>
      <c r="E59" s="1"/>
      <c r="F59" s="1">
        <f t="shared" si="0"/>
        <v>0</v>
      </c>
      <c r="G59" s="7"/>
      <c r="I59" s="14"/>
    </row>
    <row r="60" spans="1:9" s="8" customFormat="1" ht="23.25" x14ac:dyDescent="0.25">
      <c r="A60" s="2">
        <v>158</v>
      </c>
      <c r="B60" s="23" t="s">
        <v>65</v>
      </c>
      <c r="C60" s="6">
        <v>200</v>
      </c>
      <c r="D60" s="2" t="s">
        <v>42</v>
      </c>
      <c r="E60" s="1"/>
      <c r="F60" s="1">
        <f t="shared" si="0"/>
        <v>0</v>
      </c>
      <c r="G60" s="7"/>
      <c r="I60" s="14"/>
    </row>
    <row r="61" spans="1:9" s="8" customFormat="1" ht="23.25" x14ac:dyDescent="0.25">
      <c r="A61" s="2">
        <v>159</v>
      </c>
      <c r="B61" s="23" t="s">
        <v>66</v>
      </c>
      <c r="C61" s="6">
        <v>200</v>
      </c>
      <c r="D61" s="2" t="s">
        <v>42</v>
      </c>
      <c r="E61" s="1"/>
      <c r="F61" s="1">
        <f t="shared" si="0"/>
        <v>0</v>
      </c>
      <c r="G61" s="7"/>
      <c r="I61" s="14"/>
    </row>
    <row r="62" spans="1:9" ht="23.25" x14ac:dyDescent="0.25">
      <c r="A62" s="2">
        <v>160</v>
      </c>
      <c r="B62" s="23" t="s">
        <v>67</v>
      </c>
      <c r="C62" s="6">
        <v>500</v>
      </c>
      <c r="D62" s="2" t="s">
        <v>46</v>
      </c>
      <c r="E62" s="1"/>
      <c r="F62" s="1">
        <f t="shared" si="0"/>
        <v>0</v>
      </c>
    </row>
    <row r="63" spans="1:9" ht="23.25" x14ac:dyDescent="0.25">
      <c r="A63" s="2">
        <v>161</v>
      </c>
      <c r="B63" s="23" t="s">
        <v>68</v>
      </c>
      <c r="C63" s="6">
        <v>5</v>
      </c>
      <c r="D63" s="2" t="s">
        <v>45</v>
      </c>
      <c r="E63" s="1"/>
      <c r="F63" s="1">
        <f t="shared" si="0"/>
        <v>0</v>
      </c>
    </row>
    <row r="64" spans="1:9" x14ac:dyDescent="0.25">
      <c r="A64" s="20"/>
      <c r="B64" s="25"/>
      <c r="C64" s="21" t="s">
        <v>71</v>
      </c>
      <c r="D64" s="15"/>
      <c r="E64" s="25"/>
      <c r="F64" s="16">
        <f>+SUM(F3:F63)</f>
        <v>0</v>
      </c>
    </row>
    <row r="65" spans="1:6" x14ac:dyDescent="0.25">
      <c r="A65" s="11"/>
      <c r="B65" s="22"/>
      <c r="C65" s="11"/>
      <c r="D65" s="11"/>
      <c r="E65" s="10"/>
      <c r="F65" s="10"/>
    </row>
    <row r="66" spans="1:6" x14ac:dyDescent="0.25">
      <c r="A66" s="11"/>
      <c r="B66" s="12"/>
      <c r="C66" s="11"/>
      <c r="D66" s="11"/>
      <c r="E66" s="10"/>
      <c r="F66" s="10"/>
    </row>
    <row r="67" spans="1:6" x14ac:dyDescent="0.25">
      <c r="A67" s="11"/>
      <c r="B67" s="12"/>
      <c r="C67" s="11"/>
      <c r="D67" s="11"/>
      <c r="E67" s="10"/>
      <c r="F67" s="13"/>
    </row>
    <row r="68" spans="1:6" x14ac:dyDescent="0.25">
      <c r="A68" s="11"/>
      <c r="B68" s="12"/>
      <c r="C68" s="11"/>
      <c r="D68" s="11"/>
      <c r="E68" s="10"/>
      <c r="F68" s="13"/>
    </row>
    <row r="69" spans="1:6" x14ac:dyDescent="0.25">
      <c r="A69" s="11"/>
      <c r="B69" s="12"/>
      <c r="C69" s="11"/>
      <c r="D69" s="11"/>
      <c r="E69" s="10"/>
      <c r="F69" s="13"/>
    </row>
    <row r="70" spans="1:6" x14ac:dyDescent="0.25">
      <c r="A70" s="11"/>
      <c r="B70" s="12"/>
      <c r="C70" s="11"/>
      <c r="D70" s="11"/>
      <c r="E70" s="10"/>
      <c r="F70" s="13"/>
    </row>
    <row r="71" spans="1:6" x14ac:dyDescent="0.25">
      <c r="A71" s="11"/>
      <c r="B71" s="12"/>
      <c r="C71" s="11"/>
      <c r="D71" s="11"/>
      <c r="E71" s="10"/>
      <c r="F71" s="13"/>
    </row>
    <row r="72" spans="1:6" x14ac:dyDescent="0.25">
      <c r="A72" s="11"/>
      <c r="B72" s="12"/>
      <c r="C72" s="11"/>
      <c r="D72" s="11"/>
      <c r="E72" s="10"/>
      <c r="F72" s="13"/>
    </row>
    <row r="73" spans="1:6" x14ac:dyDescent="0.25">
      <c r="A73" s="11"/>
      <c r="B73" s="12"/>
      <c r="C73" s="11"/>
      <c r="D73" s="11"/>
      <c r="E73" s="10"/>
      <c r="F73" s="13"/>
    </row>
    <row r="74" spans="1:6" x14ac:dyDescent="0.25">
      <c r="A74" s="11"/>
      <c r="B74" s="12"/>
      <c r="C74" s="11"/>
      <c r="D74" s="11"/>
      <c r="E74" s="10"/>
      <c r="F74" s="10"/>
    </row>
  </sheetData>
  <mergeCells count="1">
    <mergeCell ref="A1:F1"/>
  </mergeCells>
  <pageMargins left="0.7" right="0.7" top="0.75" bottom="0.75" header="0.3" footer="0.3"/>
  <pageSetup scale="94"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EFDE-4256-48A9-9742-F203B6C86006}">
  <sheetPr>
    <pageSetUpPr fitToPage="1"/>
  </sheetPr>
  <dimension ref="A1:K74"/>
  <sheetViews>
    <sheetView topLeftCell="A57" zoomScaleNormal="100" workbookViewId="0">
      <selection activeCell="B5" sqref="B5"/>
    </sheetView>
  </sheetViews>
  <sheetFormatPr defaultRowHeight="15" x14ac:dyDescent="0.25"/>
  <cols>
    <col min="1" max="1" width="5.5703125" style="4" customWidth="1"/>
    <col min="2" max="2" width="53.5703125" style="4" customWidth="1"/>
    <col min="3" max="3" width="7.85546875" style="9" customWidth="1"/>
    <col min="4" max="4" width="4.42578125" style="9" bestFit="1" customWidth="1"/>
    <col min="5" max="5" width="10.7109375" style="4" customWidth="1"/>
    <col min="6" max="7" width="14" style="4" customWidth="1"/>
    <col min="8" max="16384" width="9.140625" style="4"/>
  </cols>
  <sheetData>
    <row r="1" spans="1:11" ht="15.75" x14ac:dyDescent="0.25">
      <c r="A1" s="38" t="s">
        <v>76</v>
      </c>
      <c r="B1" s="39"/>
      <c r="C1" s="39"/>
      <c r="D1" s="39"/>
      <c r="E1" s="39"/>
      <c r="F1" s="40"/>
      <c r="K1" s="5"/>
    </row>
    <row r="2" spans="1:11" ht="26.25" x14ac:dyDescent="0.25">
      <c r="A2" s="17" t="s">
        <v>0</v>
      </c>
      <c r="B2" s="18" t="s">
        <v>73</v>
      </c>
      <c r="C2" s="17" t="s">
        <v>2</v>
      </c>
      <c r="D2" s="17" t="s">
        <v>1</v>
      </c>
      <c r="E2" s="19" t="s">
        <v>58</v>
      </c>
      <c r="F2" s="17" t="s">
        <v>57</v>
      </c>
      <c r="G2" s="3"/>
    </row>
    <row r="3" spans="1:11" ht="45.75" x14ac:dyDescent="0.25">
      <c r="A3" s="2">
        <v>201</v>
      </c>
      <c r="B3" s="23" t="s">
        <v>79</v>
      </c>
      <c r="C3" s="2">
        <v>50</v>
      </c>
      <c r="D3" s="2" t="s">
        <v>42</v>
      </c>
      <c r="E3" s="1"/>
      <c r="F3" s="1">
        <f t="shared" ref="F3:F63" si="0">+C3*E3</f>
        <v>0</v>
      </c>
      <c r="I3" s="14"/>
    </row>
    <row r="4" spans="1:11" ht="45.75" x14ac:dyDescent="0.25">
      <c r="A4" s="2">
        <v>202</v>
      </c>
      <c r="B4" s="23" t="s">
        <v>80</v>
      </c>
      <c r="C4" s="2">
        <v>50</v>
      </c>
      <c r="D4" s="2" t="s">
        <v>42</v>
      </c>
      <c r="E4" s="1"/>
      <c r="F4" s="1">
        <f t="shared" si="0"/>
        <v>0</v>
      </c>
      <c r="I4" s="14"/>
    </row>
    <row r="5" spans="1:11" ht="64.5" customHeight="1" x14ac:dyDescent="0.25">
      <c r="A5" s="2">
        <v>203</v>
      </c>
      <c r="B5" s="23" t="s">
        <v>50</v>
      </c>
      <c r="C5" s="2">
        <v>100</v>
      </c>
      <c r="D5" s="2" t="s">
        <v>42</v>
      </c>
      <c r="E5" s="1"/>
      <c r="F5" s="1">
        <f t="shared" si="0"/>
        <v>0</v>
      </c>
      <c r="I5" s="14"/>
    </row>
    <row r="6" spans="1:11" ht="45.75" x14ac:dyDescent="0.25">
      <c r="A6" s="2">
        <v>204</v>
      </c>
      <c r="B6" s="23" t="s">
        <v>3</v>
      </c>
      <c r="C6" s="2">
        <v>1500</v>
      </c>
      <c r="D6" s="2" t="s">
        <v>42</v>
      </c>
      <c r="E6" s="1"/>
      <c r="F6" s="1">
        <f t="shared" si="0"/>
        <v>0</v>
      </c>
      <c r="I6" s="14"/>
    </row>
    <row r="7" spans="1:11" ht="23.25" x14ac:dyDescent="0.25">
      <c r="A7" s="2">
        <v>205</v>
      </c>
      <c r="B7" s="23" t="s">
        <v>4</v>
      </c>
      <c r="C7" s="2">
        <v>100</v>
      </c>
      <c r="D7" s="2" t="s">
        <v>43</v>
      </c>
      <c r="E7" s="1"/>
      <c r="F7" s="1">
        <f t="shared" si="0"/>
        <v>0</v>
      </c>
      <c r="I7" s="14"/>
    </row>
    <row r="8" spans="1:11" ht="23.25" x14ac:dyDescent="0.25">
      <c r="A8" s="2">
        <v>206</v>
      </c>
      <c r="B8" s="23" t="s">
        <v>5</v>
      </c>
      <c r="C8" s="2">
        <v>300</v>
      </c>
      <c r="D8" s="2" t="s">
        <v>43</v>
      </c>
      <c r="E8" s="1"/>
      <c r="F8" s="1">
        <f t="shared" si="0"/>
        <v>0</v>
      </c>
      <c r="I8" s="14"/>
    </row>
    <row r="9" spans="1:11" ht="23.25" x14ac:dyDescent="0.25">
      <c r="A9" s="2">
        <v>207</v>
      </c>
      <c r="B9" s="23" t="s">
        <v>6</v>
      </c>
      <c r="C9" s="2">
        <v>10</v>
      </c>
      <c r="D9" s="2" t="s">
        <v>44</v>
      </c>
      <c r="E9" s="1"/>
      <c r="F9" s="1">
        <f t="shared" si="0"/>
        <v>0</v>
      </c>
      <c r="I9" s="14"/>
    </row>
    <row r="10" spans="1:11" ht="23.25" x14ac:dyDescent="0.25">
      <c r="A10" s="2">
        <v>208</v>
      </c>
      <c r="B10" s="23" t="s">
        <v>7</v>
      </c>
      <c r="C10" s="2">
        <v>25</v>
      </c>
      <c r="D10" s="2" t="s">
        <v>44</v>
      </c>
      <c r="E10" s="1"/>
      <c r="F10" s="1">
        <f t="shared" si="0"/>
        <v>0</v>
      </c>
      <c r="I10" s="14"/>
    </row>
    <row r="11" spans="1:11" ht="34.5" x14ac:dyDescent="0.25">
      <c r="A11" s="2">
        <v>209</v>
      </c>
      <c r="B11" s="23" t="s">
        <v>8</v>
      </c>
      <c r="C11" s="2">
        <v>90</v>
      </c>
      <c r="D11" s="2" t="s">
        <v>42</v>
      </c>
      <c r="E11" s="1"/>
      <c r="F11" s="1">
        <f t="shared" si="0"/>
        <v>0</v>
      </c>
      <c r="I11" s="14"/>
    </row>
    <row r="12" spans="1:11" ht="23.25" x14ac:dyDescent="0.25">
      <c r="A12" s="2">
        <v>210</v>
      </c>
      <c r="B12" s="23" t="s">
        <v>9</v>
      </c>
      <c r="C12" s="2">
        <v>100</v>
      </c>
      <c r="D12" s="2" t="s">
        <v>42</v>
      </c>
      <c r="E12" s="1"/>
      <c r="F12" s="1">
        <f t="shared" si="0"/>
        <v>0</v>
      </c>
      <c r="I12" s="14"/>
    </row>
    <row r="13" spans="1:11" ht="45.75" x14ac:dyDescent="0.25">
      <c r="A13" s="2">
        <v>211</v>
      </c>
      <c r="B13" s="23" t="s">
        <v>10</v>
      </c>
      <c r="C13" s="2">
        <v>50</v>
      </c>
      <c r="D13" s="2" t="s">
        <v>42</v>
      </c>
      <c r="E13" s="1"/>
      <c r="F13" s="1">
        <f t="shared" si="0"/>
        <v>0</v>
      </c>
      <c r="I13" s="14"/>
    </row>
    <row r="14" spans="1:11" ht="45.75" x14ac:dyDescent="0.25">
      <c r="A14" s="2">
        <v>212</v>
      </c>
      <c r="B14" s="23" t="s">
        <v>11</v>
      </c>
      <c r="C14" s="2">
        <v>200</v>
      </c>
      <c r="D14" s="2" t="s">
        <v>42</v>
      </c>
      <c r="E14" s="1"/>
      <c r="F14" s="1">
        <f t="shared" si="0"/>
        <v>0</v>
      </c>
      <c r="I14" s="14"/>
    </row>
    <row r="15" spans="1:11" ht="23.25" x14ac:dyDescent="0.25">
      <c r="A15" s="2">
        <v>213</v>
      </c>
      <c r="B15" s="23" t="s">
        <v>12</v>
      </c>
      <c r="C15" s="2">
        <v>600</v>
      </c>
      <c r="D15" s="2" t="s">
        <v>43</v>
      </c>
      <c r="E15" s="1"/>
      <c r="F15" s="1">
        <f t="shared" si="0"/>
        <v>0</v>
      </c>
      <c r="I15" s="14"/>
    </row>
    <row r="16" spans="1:11" ht="24" customHeight="1" x14ac:dyDescent="0.25">
      <c r="A16" s="2">
        <v>214</v>
      </c>
      <c r="B16" s="23" t="s">
        <v>13</v>
      </c>
      <c r="C16" s="2">
        <v>2000</v>
      </c>
      <c r="D16" s="2" t="s">
        <v>43</v>
      </c>
      <c r="E16" s="1"/>
      <c r="F16" s="1">
        <f t="shared" si="0"/>
        <v>0</v>
      </c>
      <c r="I16" s="14"/>
    </row>
    <row r="17" spans="1:9" ht="23.25" x14ac:dyDescent="0.25">
      <c r="A17" s="2">
        <v>215</v>
      </c>
      <c r="B17" s="23" t="s">
        <v>14</v>
      </c>
      <c r="C17" s="2">
        <v>3</v>
      </c>
      <c r="D17" s="2" t="s">
        <v>45</v>
      </c>
      <c r="E17" s="1"/>
      <c r="F17" s="1">
        <f t="shared" si="0"/>
        <v>0</v>
      </c>
      <c r="I17" s="14"/>
    </row>
    <row r="18" spans="1:9" ht="23.25" x14ac:dyDescent="0.25">
      <c r="A18" s="2">
        <v>216</v>
      </c>
      <c r="B18" s="23" t="s">
        <v>15</v>
      </c>
      <c r="C18" s="2">
        <v>3</v>
      </c>
      <c r="D18" s="2" t="s">
        <v>45</v>
      </c>
      <c r="E18" s="1"/>
      <c r="F18" s="1">
        <f t="shared" si="0"/>
        <v>0</v>
      </c>
      <c r="I18" s="14"/>
    </row>
    <row r="19" spans="1:9" ht="23.25" x14ac:dyDescent="0.25">
      <c r="A19" s="2">
        <v>217</v>
      </c>
      <c r="B19" s="23" t="s">
        <v>16</v>
      </c>
      <c r="C19" s="2">
        <v>10</v>
      </c>
      <c r="D19" s="2" t="s">
        <v>44</v>
      </c>
      <c r="E19" s="1"/>
      <c r="F19" s="1">
        <f t="shared" si="0"/>
        <v>0</v>
      </c>
      <c r="I19" s="14"/>
    </row>
    <row r="20" spans="1:9" ht="23.25" x14ac:dyDescent="0.25">
      <c r="A20" s="2">
        <v>218</v>
      </c>
      <c r="B20" s="23" t="s">
        <v>17</v>
      </c>
      <c r="C20" s="2">
        <v>100</v>
      </c>
      <c r="D20" s="2" t="s">
        <v>44</v>
      </c>
      <c r="E20" s="1"/>
      <c r="F20" s="1">
        <f t="shared" si="0"/>
        <v>0</v>
      </c>
      <c r="I20" s="14"/>
    </row>
    <row r="21" spans="1:9" x14ac:dyDescent="0.25">
      <c r="A21" s="2">
        <v>219</v>
      </c>
      <c r="B21" s="24" t="s">
        <v>18</v>
      </c>
      <c r="C21" s="2">
        <v>1500</v>
      </c>
      <c r="D21" s="2" t="s">
        <v>44</v>
      </c>
      <c r="E21" s="1"/>
      <c r="F21" s="1">
        <f t="shared" si="0"/>
        <v>0</v>
      </c>
      <c r="I21" s="14"/>
    </row>
    <row r="22" spans="1:9" ht="34.5" x14ac:dyDescent="0.25">
      <c r="A22" s="2">
        <v>220</v>
      </c>
      <c r="B22" s="23" t="s">
        <v>52</v>
      </c>
      <c r="C22" s="2">
        <v>2000</v>
      </c>
      <c r="D22" s="2" t="s">
        <v>44</v>
      </c>
      <c r="E22" s="1"/>
      <c r="F22" s="1">
        <f t="shared" si="0"/>
        <v>0</v>
      </c>
      <c r="I22" s="14"/>
    </row>
    <row r="23" spans="1:9" ht="34.5" x14ac:dyDescent="0.25">
      <c r="A23" s="2">
        <v>221</v>
      </c>
      <c r="B23" s="23" t="s">
        <v>19</v>
      </c>
      <c r="C23" s="2">
        <v>100</v>
      </c>
      <c r="D23" s="2" t="s">
        <v>45</v>
      </c>
      <c r="E23" s="1"/>
      <c r="F23" s="1">
        <f t="shared" si="0"/>
        <v>0</v>
      </c>
      <c r="I23" s="14"/>
    </row>
    <row r="24" spans="1:9" ht="57" x14ac:dyDescent="0.25">
      <c r="A24" s="2">
        <v>222</v>
      </c>
      <c r="B24" s="23" t="s">
        <v>20</v>
      </c>
      <c r="C24" s="2">
        <v>50</v>
      </c>
      <c r="D24" s="2" t="s">
        <v>43</v>
      </c>
      <c r="E24" s="1"/>
      <c r="F24" s="1">
        <f t="shared" si="0"/>
        <v>0</v>
      </c>
      <c r="I24" s="14"/>
    </row>
    <row r="25" spans="1:9" ht="45.75" x14ac:dyDescent="0.25">
      <c r="A25" s="2">
        <v>223</v>
      </c>
      <c r="B25" s="23" t="s">
        <v>21</v>
      </c>
      <c r="C25" s="2">
        <v>20</v>
      </c>
      <c r="D25" s="2" t="s">
        <v>44</v>
      </c>
      <c r="E25" s="1"/>
      <c r="F25" s="1">
        <f t="shared" si="0"/>
        <v>0</v>
      </c>
      <c r="I25" s="14"/>
    </row>
    <row r="26" spans="1:9" ht="57" x14ac:dyDescent="0.25">
      <c r="A26" s="2">
        <v>224</v>
      </c>
      <c r="B26" s="23" t="s">
        <v>22</v>
      </c>
      <c r="C26" s="2">
        <v>50</v>
      </c>
      <c r="D26" s="2" t="s">
        <v>43</v>
      </c>
      <c r="E26" s="1"/>
      <c r="F26" s="1">
        <f t="shared" si="0"/>
        <v>0</v>
      </c>
      <c r="I26" s="14"/>
    </row>
    <row r="27" spans="1:9" ht="23.25" x14ac:dyDescent="0.25">
      <c r="A27" s="2">
        <v>225</v>
      </c>
      <c r="B27" s="23" t="s">
        <v>23</v>
      </c>
      <c r="C27" s="2">
        <v>700</v>
      </c>
      <c r="D27" s="2" t="s">
        <v>44</v>
      </c>
      <c r="E27" s="1"/>
      <c r="F27" s="1">
        <f t="shared" si="0"/>
        <v>0</v>
      </c>
      <c r="I27" s="14"/>
    </row>
    <row r="28" spans="1:9" ht="23.25" x14ac:dyDescent="0.25">
      <c r="A28" s="2">
        <v>226</v>
      </c>
      <c r="B28" s="23" t="s">
        <v>24</v>
      </c>
      <c r="C28" s="2">
        <v>1500</v>
      </c>
      <c r="D28" s="2" t="s">
        <v>42</v>
      </c>
      <c r="E28" s="1"/>
      <c r="F28" s="1">
        <f t="shared" si="0"/>
        <v>0</v>
      </c>
      <c r="I28" s="14"/>
    </row>
    <row r="29" spans="1:9" ht="23.25" x14ac:dyDescent="0.25">
      <c r="A29" s="2">
        <v>227</v>
      </c>
      <c r="B29" s="23" t="s">
        <v>25</v>
      </c>
      <c r="C29" s="2">
        <v>50</v>
      </c>
      <c r="D29" s="2" t="s">
        <v>42</v>
      </c>
      <c r="E29" s="1"/>
      <c r="F29" s="1">
        <f t="shared" si="0"/>
        <v>0</v>
      </c>
      <c r="I29" s="14"/>
    </row>
    <row r="30" spans="1:9" ht="45.75" x14ac:dyDescent="0.25">
      <c r="A30" s="2">
        <v>228</v>
      </c>
      <c r="B30" s="23" t="s">
        <v>54</v>
      </c>
      <c r="C30" s="2">
        <v>2000</v>
      </c>
      <c r="D30" s="2" t="s">
        <v>46</v>
      </c>
      <c r="E30" s="1"/>
      <c r="F30" s="1">
        <f t="shared" si="0"/>
        <v>0</v>
      </c>
      <c r="I30" s="14"/>
    </row>
    <row r="31" spans="1:9" ht="34.5" x14ac:dyDescent="0.25">
      <c r="A31" s="2">
        <v>229</v>
      </c>
      <c r="B31" s="23" t="s">
        <v>26</v>
      </c>
      <c r="C31" s="2">
        <v>30</v>
      </c>
      <c r="D31" s="2" t="s">
        <v>46</v>
      </c>
      <c r="E31" s="1"/>
      <c r="F31" s="1">
        <f t="shared" si="0"/>
        <v>0</v>
      </c>
      <c r="I31" s="14"/>
    </row>
    <row r="32" spans="1:9" ht="23.25" x14ac:dyDescent="0.25">
      <c r="A32" s="2">
        <v>230</v>
      </c>
      <c r="B32" s="23" t="s">
        <v>27</v>
      </c>
      <c r="C32" s="2">
        <v>2500</v>
      </c>
      <c r="D32" s="2" t="s">
        <v>44</v>
      </c>
      <c r="E32" s="1"/>
      <c r="F32" s="1">
        <f t="shared" si="0"/>
        <v>0</v>
      </c>
      <c r="I32" s="14"/>
    </row>
    <row r="33" spans="1:9" ht="102" x14ac:dyDescent="0.25">
      <c r="A33" s="2">
        <v>231</v>
      </c>
      <c r="B33" s="23" t="s">
        <v>38</v>
      </c>
      <c r="C33" s="2">
        <v>200</v>
      </c>
      <c r="D33" s="2" t="s">
        <v>42</v>
      </c>
      <c r="E33" s="1"/>
      <c r="F33" s="1">
        <f t="shared" si="0"/>
        <v>0</v>
      </c>
      <c r="I33" s="14"/>
    </row>
    <row r="34" spans="1:9" ht="102" x14ac:dyDescent="0.25">
      <c r="A34" s="2">
        <v>232</v>
      </c>
      <c r="B34" s="23" t="s">
        <v>39</v>
      </c>
      <c r="C34" s="2">
        <v>200</v>
      </c>
      <c r="D34" s="2" t="s">
        <v>42</v>
      </c>
      <c r="E34" s="1"/>
      <c r="F34" s="1">
        <f t="shared" si="0"/>
        <v>0</v>
      </c>
      <c r="I34" s="14"/>
    </row>
    <row r="35" spans="1:9" ht="102" x14ac:dyDescent="0.25">
      <c r="A35" s="2">
        <v>233</v>
      </c>
      <c r="B35" s="23" t="s">
        <v>40</v>
      </c>
      <c r="C35" s="2">
        <v>200</v>
      </c>
      <c r="D35" s="2" t="s">
        <v>42</v>
      </c>
      <c r="E35" s="1"/>
      <c r="F35" s="1">
        <f t="shared" si="0"/>
        <v>0</v>
      </c>
      <c r="I35" s="14"/>
    </row>
    <row r="36" spans="1:9" ht="102" x14ac:dyDescent="0.25">
      <c r="A36" s="2">
        <v>234</v>
      </c>
      <c r="B36" s="23" t="s">
        <v>41</v>
      </c>
      <c r="C36" s="2">
        <v>250</v>
      </c>
      <c r="D36" s="2" t="s">
        <v>42</v>
      </c>
      <c r="E36" s="1"/>
      <c r="F36" s="1">
        <f t="shared" si="0"/>
        <v>0</v>
      </c>
      <c r="I36" s="14"/>
    </row>
    <row r="37" spans="1:9" ht="102" x14ac:dyDescent="0.25">
      <c r="A37" s="2">
        <v>235</v>
      </c>
      <c r="B37" s="23" t="s">
        <v>28</v>
      </c>
      <c r="C37" s="2">
        <v>160</v>
      </c>
      <c r="D37" s="2" t="s">
        <v>42</v>
      </c>
      <c r="E37" s="1"/>
      <c r="F37" s="1">
        <f t="shared" si="0"/>
        <v>0</v>
      </c>
      <c r="I37" s="14"/>
    </row>
    <row r="38" spans="1:9" ht="102" x14ac:dyDescent="0.25">
      <c r="A38" s="2">
        <v>236</v>
      </c>
      <c r="B38" s="23" t="s">
        <v>29</v>
      </c>
      <c r="C38" s="2">
        <v>160</v>
      </c>
      <c r="D38" s="2" t="s">
        <v>42</v>
      </c>
      <c r="E38" s="1"/>
      <c r="F38" s="1">
        <f t="shared" si="0"/>
        <v>0</v>
      </c>
      <c r="I38" s="14"/>
    </row>
    <row r="39" spans="1:9" ht="34.5" x14ac:dyDescent="0.25">
      <c r="A39" s="2">
        <v>237</v>
      </c>
      <c r="B39" s="23" t="s">
        <v>30</v>
      </c>
      <c r="C39" s="2">
        <v>100</v>
      </c>
      <c r="D39" s="2" t="s">
        <v>42</v>
      </c>
      <c r="E39" s="1"/>
      <c r="F39" s="1">
        <f t="shared" si="0"/>
        <v>0</v>
      </c>
      <c r="I39" s="14"/>
    </row>
    <row r="40" spans="1:9" ht="45.75" x14ac:dyDescent="0.25">
      <c r="A40" s="2">
        <v>238</v>
      </c>
      <c r="B40" s="23" t="s">
        <v>53</v>
      </c>
      <c r="C40" s="2">
        <v>2000</v>
      </c>
      <c r="D40" s="2" t="s">
        <v>44</v>
      </c>
      <c r="E40" s="1"/>
      <c r="F40" s="1">
        <f t="shared" si="0"/>
        <v>0</v>
      </c>
      <c r="I40" s="14"/>
    </row>
    <row r="41" spans="1:9" ht="79.5" x14ac:dyDescent="0.25">
      <c r="A41" s="2">
        <v>239</v>
      </c>
      <c r="B41" s="23" t="s">
        <v>31</v>
      </c>
      <c r="C41" s="2">
        <v>300</v>
      </c>
      <c r="D41" s="2" t="s">
        <v>47</v>
      </c>
      <c r="E41" s="1"/>
      <c r="F41" s="1">
        <f t="shared" si="0"/>
        <v>0</v>
      </c>
      <c r="I41" s="14"/>
    </row>
    <row r="42" spans="1:9" ht="23.25" x14ac:dyDescent="0.25">
      <c r="A42" s="2">
        <v>240</v>
      </c>
      <c r="B42" s="23" t="s">
        <v>32</v>
      </c>
      <c r="C42" s="2">
        <v>250</v>
      </c>
      <c r="D42" s="2" t="s">
        <v>44</v>
      </c>
      <c r="E42" s="1"/>
      <c r="F42" s="1">
        <f t="shared" si="0"/>
        <v>0</v>
      </c>
      <c r="I42" s="14"/>
    </row>
    <row r="43" spans="1:9" ht="23.25" x14ac:dyDescent="0.25">
      <c r="A43" s="2">
        <v>241</v>
      </c>
      <c r="B43" s="23" t="s">
        <v>33</v>
      </c>
      <c r="C43" s="2">
        <v>10</v>
      </c>
      <c r="D43" s="2" t="s">
        <v>48</v>
      </c>
      <c r="E43" s="1"/>
      <c r="F43" s="1">
        <f t="shared" si="0"/>
        <v>0</v>
      </c>
      <c r="I43" s="14"/>
    </row>
    <row r="44" spans="1:9" ht="68.25" x14ac:dyDescent="0.25">
      <c r="A44" s="2">
        <v>242</v>
      </c>
      <c r="B44" s="23" t="s">
        <v>34</v>
      </c>
      <c r="C44" s="2">
        <v>10</v>
      </c>
      <c r="D44" s="2" t="s">
        <v>45</v>
      </c>
      <c r="E44" s="1"/>
      <c r="F44" s="1">
        <f t="shared" si="0"/>
        <v>0</v>
      </c>
      <c r="I44" s="14"/>
    </row>
    <row r="45" spans="1:9" ht="23.25" x14ac:dyDescent="0.25">
      <c r="A45" s="2">
        <v>243</v>
      </c>
      <c r="B45" s="23" t="s">
        <v>51</v>
      </c>
      <c r="C45" s="2">
        <v>600</v>
      </c>
      <c r="D45" s="2" t="s">
        <v>45</v>
      </c>
      <c r="E45" s="1"/>
      <c r="F45" s="1">
        <f t="shared" si="0"/>
        <v>0</v>
      </c>
      <c r="I45" s="14"/>
    </row>
    <row r="46" spans="1:9" x14ac:dyDescent="0.25">
      <c r="A46" s="2">
        <v>244</v>
      </c>
      <c r="B46" s="23" t="s">
        <v>35</v>
      </c>
      <c r="C46" s="2">
        <v>10</v>
      </c>
      <c r="D46" s="2" t="s">
        <v>45</v>
      </c>
      <c r="E46" s="1"/>
      <c r="F46" s="1">
        <f t="shared" si="0"/>
        <v>0</v>
      </c>
      <c r="I46" s="14"/>
    </row>
    <row r="47" spans="1:9" ht="23.25" x14ac:dyDescent="0.25">
      <c r="A47" s="2">
        <v>245</v>
      </c>
      <c r="B47" s="23" t="s">
        <v>36</v>
      </c>
      <c r="C47" s="2">
        <v>20</v>
      </c>
      <c r="D47" s="2" t="s">
        <v>45</v>
      </c>
      <c r="E47" s="1"/>
      <c r="F47" s="1">
        <f t="shared" si="0"/>
        <v>0</v>
      </c>
      <c r="I47" s="14"/>
    </row>
    <row r="48" spans="1:9" ht="34.5" x14ac:dyDescent="0.25">
      <c r="A48" s="2">
        <v>246</v>
      </c>
      <c r="B48" s="23" t="s">
        <v>37</v>
      </c>
      <c r="C48" s="2">
        <v>1200</v>
      </c>
      <c r="D48" s="2" t="s">
        <v>42</v>
      </c>
      <c r="E48" s="1"/>
      <c r="F48" s="1">
        <f t="shared" si="0"/>
        <v>0</v>
      </c>
      <c r="I48" s="14"/>
    </row>
    <row r="49" spans="1:9" ht="18.75" customHeight="1" x14ac:dyDescent="0.25">
      <c r="A49" s="2">
        <v>247</v>
      </c>
      <c r="B49" s="23" t="s">
        <v>49</v>
      </c>
      <c r="C49" s="2">
        <v>1000</v>
      </c>
      <c r="D49" s="2" t="s">
        <v>45</v>
      </c>
      <c r="E49" s="1"/>
      <c r="F49" s="1">
        <f t="shared" si="0"/>
        <v>0</v>
      </c>
      <c r="I49" s="14"/>
    </row>
    <row r="50" spans="1:9" x14ac:dyDescent="0.25">
      <c r="A50" s="2">
        <v>248</v>
      </c>
      <c r="B50" s="23" t="s">
        <v>55</v>
      </c>
      <c r="C50" s="2">
        <v>500</v>
      </c>
      <c r="D50" s="2" t="s">
        <v>46</v>
      </c>
      <c r="E50" s="1"/>
      <c r="F50" s="1">
        <f t="shared" si="0"/>
        <v>0</v>
      </c>
      <c r="I50" s="14"/>
    </row>
    <row r="51" spans="1:9" x14ac:dyDescent="0.25">
      <c r="A51" s="2">
        <v>249</v>
      </c>
      <c r="B51" s="23" t="s">
        <v>56</v>
      </c>
      <c r="C51" s="2">
        <v>500</v>
      </c>
      <c r="D51" s="2" t="s">
        <v>46</v>
      </c>
      <c r="E51" s="1"/>
      <c r="F51" s="1">
        <f t="shared" si="0"/>
        <v>0</v>
      </c>
      <c r="I51" s="14"/>
    </row>
    <row r="52" spans="1:9" x14ac:dyDescent="0.25">
      <c r="A52" s="2">
        <v>250</v>
      </c>
      <c r="B52" s="23" t="s">
        <v>62</v>
      </c>
      <c r="C52" s="2">
        <v>100</v>
      </c>
      <c r="D52" s="2" t="s">
        <v>42</v>
      </c>
      <c r="E52" s="1"/>
      <c r="F52" s="1">
        <f t="shared" si="0"/>
        <v>0</v>
      </c>
      <c r="G52" s="3"/>
      <c r="I52" s="14"/>
    </row>
    <row r="53" spans="1:9" x14ac:dyDescent="0.25">
      <c r="A53" s="2">
        <v>251</v>
      </c>
      <c r="B53" s="23" t="s">
        <v>63</v>
      </c>
      <c r="C53" s="2">
        <v>100</v>
      </c>
      <c r="D53" s="2" t="s">
        <v>42</v>
      </c>
      <c r="E53" s="1"/>
      <c r="F53" s="1">
        <f t="shared" si="0"/>
        <v>0</v>
      </c>
      <c r="G53" s="3"/>
      <c r="I53" s="14"/>
    </row>
    <row r="54" spans="1:9" x14ac:dyDescent="0.25">
      <c r="A54" s="2">
        <v>252</v>
      </c>
      <c r="B54" s="23" t="s">
        <v>64</v>
      </c>
      <c r="C54" s="2">
        <v>100</v>
      </c>
      <c r="D54" s="2" t="s">
        <v>42</v>
      </c>
      <c r="E54" s="1"/>
      <c r="F54" s="1">
        <f t="shared" si="0"/>
        <v>0</v>
      </c>
      <c r="G54" s="3"/>
      <c r="I54" s="14"/>
    </row>
    <row r="55" spans="1:9" x14ac:dyDescent="0.25">
      <c r="A55" s="2">
        <v>253</v>
      </c>
      <c r="B55" s="23" t="s">
        <v>59</v>
      </c>
      <c r="C55" s="6">
        <v>1000</v>
      </c>
      <c r="D55" s="2" t="s">
        <v>47</v>
      </c>
      <c r="E55" s="1"/>
      <c r="F55" s="1">
        <f t="shared" si="0"/>
        <v>0</v>
      </c>
      <c r="I55" s="14"/>
    </row>
    <row r="56" spans="1:9" ht="23.25" x14ac:dyDescent="0.25">
      <c r="A56" s="2">
        <v>254</v>
      </c>
      <c r="B56" s="23" t="s">
        <v>60</v>
      </c>
      <c r="C56" s="6">
        <v>300</v>
      </c>
      <c r="D56" s="2" t="s">
        <v>44</v>
      </c>
      <c r="E56" s="1"/>
      <c r="F56" s="1">
        <f t="shared" si="0"/>
        <v>0</v>
      </c>
      <c r="I56" s="14"/>
    </row>
    <row r="57" spans="1:9" x14ac:dyDescent="0.25">
      <c r="A57" s="2">
        <v>255</v>
      </c>
      <c r="B57" s="23" t="s">
        <v>61</v>
      </c>
      <c r="C57" s="6">
        <v>30000</v>
      </c>
      <c r="D57" s="2" t="s">
        <v>47</v>
      </c>
      <c r="E57" s="1"/>
      <c r="F57" s="1">
        <f t="shared" si="0"/>
        <v>0</v>
      </c>
      <c r="I57" s="14"/>
    </row>
    <row r="58" spans="1:9" ht="23.25" x14ac:dyDescent="0.25">
      <c r="A58" s="2">
        <v>256</v>
      </c>
      <c r="B58" s="23" t="s">
        <v>70</v>
      </c>
      <c r="C58" s="6">
        <v>30000</v>
      </c>
      <c r="D58" s="2" t="s">
        <v>47</v>
      </c>
      <c r="E58" s="1"/>
      <c r="F58" s="1">
        <f t="shared" si="0"/>
        <v>0</v>
      </c>
      <c r="I58" s="14"/>
    </row>
    <row r="59" spans="1:9" s="8" customFormat="1" ht="23.25" x14ac:dyDescent="0.25">
      <c r="A59" s="2">
        <v>257</v>
      </c>
      <c r="B59" s="23" t="s">
        <v>69</v>
      </c>
      <c r="C59" s="6">
        <v>10</v>
      </c>
      <c r="D59" s="2" t="s">
        <v>45</v>
      </c>
      <c r="E59" s="1"/>
      <c r="F59" s="1">
        <f t="shared" si="0"/>
        <v>0</v>
      </c>
      <c r="G59" s="7"/>
      <c r="I59" s="14"/>
    </row>
    <row r="60" spans="1:9" s="8" customFormat="1" ht="23.25" x14ac:dyDescent="0.25">
      <c r="A60" s="2">
        <v>258</v>
      </c>
      <c r="B60" s="23" t="s">
        <v>65</v>
      </c>
      <c r="C60" s="6">
        <v>200</v>
      </c>
      <c r="D60" s="2" t="s">
        <v>42</v>
      </c>
      <c r="E60" s="1"/>
      <c r="F60" s="1">
        <f t="shared" si="0"/>
        <v>0</v>
      </c>
      <c r="G60" s="7"/>
      <c r="I60" s="14"/>
    </row>
    <row r="61" spans="1:9" s="8" customFormat="1" ht="23.25" x14ac:dyDescent="0.25">
      <c r="A61" s="2">
        <v>259</v>
      </c>
      <c r="B61" s="23" t="s">
        <v>66</v>
      </c>
      <c r="C61" s="6">
        <v>200</v>
      </c>
      <c r="D61" s="2" t="s">
        <v>42</v>
      </c>
      <c r="E61" s="1"/>
      <c r="F61" s="1">
        <f t="shared" si="0"/>
        <v>0</v>
      </c>
      <c r="G61" s="7"/>
      <c r="I61" s="14"/>
    </row>
    <row r="62" spans="1:9" ht="23.25" x14ac:dyDescent="0.25">
      <c r="A62" s="2">
        <v>260</v>
      </c>
      <c r="B62" s="23" t="s">
        <v>67</v>
      </c>
      <c r="C62" s="6">
        <v>500</v>
      </c>
      <c r="D62" s="2" t="s">
        <v>46</v>
      </c>
      <c r="E62" s="1"/>
      <c r="F62" s="1">
        <f t="shared" si="0"/>
        <v>0</v>
      </c>
    </row>
    <row r="63" spans="1:9" ht="23.25" x14ac:dyDescent="0.25">
      <c r="A63" s="2">
        <v>261</v>
      </c>
      <c r="B63" s="23" t="s">
        <v>68</v>
      </c>
      <c r="C63" s="6">
        <v>5</v>
      </c>
      <c r="D63" s="2" t="s">
        <v>45</v>
      </c>
      <c r="E63" s="1"/>
      <c r="F63" s="1">
        <f t="shared" si="0"/>
        <v>0</v>
      </c>
    </row>
    <row r="64" spans="1:9" x14ac:dyDescent="0.25">
      <c r="A64" s="20"/>
      <c r="B64" s="25"/>
      <c r="C64" s="21" t="s">
        <v>71</v>
      </c>
      <c r="D64" s="15"/>
      <c r="E64" s="25"/>
      <c r="F64" s="16">
        <f>+SUM(F3:F63)</f>
        <v>0</v>
      </c>
    </row>
    <row r="65" spans="1:6" x14ac:dyDescent="0.25">
      <c r="A65" s="11"/>
      <c r="B65" s="22"/>
      <c r="C65" s="11"/>
      <c r="D65" s="11"/>
      <c r="E65" s="10"/>
      <c r="F65" s="10"/>
    </row>
    <row r="66" spans="1:6" x14ac:dyDescent="0.25">
      <c r="A66" s="11"/>
      <c r="B66" s="12"/>
      <c r="C66" s="11"/>
      <c r="D66" s="11"/>
      <c r="E66" s="10"/>
      <c r="F66" s="10"/>
    </row>
    <row r="67" spans="1:6" x14ac:dyDescent="0.25">
      <c r="A67" s="11"/>
      <c r="B67" s="12"/>
      <c r="C67" s="11"/>
      <c r="D67" s="11"/>
      <c r="E67" s="10"/>
      <c r="F67" s="13"/>
    </row>
    <row r="68" spans="1:6" x14ac:dyDescent="0.25">
      <c r="A68" s="11"/>
      <c r="B68" s="12"/>
      <c r="C68" s="11"/>
      <c r="D68" s="11"/>
      <c r="E68" s="10"/>
      <c r="F68" s="13"/>
    </row>
    <row r="69" spans="1:6" x14ac:dyDescent="0.25">
      <c r="A69" s="11"/>
      <c r="B69" s="12"/>
      <c r="C69" s="11"/>
      <c r="D69" s="11"/>
      <c r="E69" s="10"/>
      <c r="F69" s="13"/>
    </row>
    <row r="70" spans="1:6" x14ac:dyDescent="0.25">
      <c r="A70" s="11"/>
      <c r="B70" s="12"/>
      <c r="C70" s="11"/>
      <c r="D70" s="11"/>
      <c r="E70" s="10"/>
      <c r="F70" s="13"/>
    </row>
    <row r="71" spans="1:6" x14ac:dyDescent="0.25">
      <c r="A71" s="11"/>
      <c r="B71" s="12"/>
      <c r="C71" s="11"/>
      <c r="D71" s="11"/>
      <c r="E71" s="10"/>
      <c r="F71" s="13"/>
    </row>
    <row r="72" spans="1:6" x14ac:dyDescent="0.25">
      <c r="A72" s="11"/>
      <c r="B72" s="12"/>
      <c r="C72" s="11"/>
      <c r="D72" s="11"/>
      <c r="E72" s="10"/>
      <c r="F72" s="13"/>
    </row>
    <row r="73" spans="1:6" x14ac:dyDescent="0.25">
      <c r="A73" s="11"/>
      <c r="B73" s="12"/>
      <c r="C73" s="11"/>
      <c r="D73" s="11"/>
      <c r="E73" s="10"/>
      <c r="F73" s="13"/>
    </row>
    <row r="74" spans="1:6" x14ac:dyDescent="0.25">
      <c r="A74" s="11"/>
      <c r="B74" s="12"/>
      <c r="C74" s="11"/>
      <c r="D74" s="11"/>
      <c r="E74" s="10"/>
      <c r="F74" s="10"/>
    </row>
  </sheetData>
  <mergeCells count="1">
    <mergeCell ref="A1:F1"/>
  </mergeCells>
  <pageMargins left="0.7" right="0.7" top="0.75" bottom="0.75" header="0.3" footer="0.3"/>
  <pageSetup scale="94"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A145-D047-4FF8-A10D-C5AC9D79780A}">
  <sheetPr>
    <pageSetUpPr fitToPage="1"/>
  </sheetPr>
  <dimension ref="A1:K74"/>
  <sheetViews>
    <sheetView topLeftCell="A41" zoomScaleNormal="100" workbookViewId="0">
      <selection activeCell="B5" sqref="B5"/>
    </sheetView>
  </sheetViews>
  <sheetFormatPr defaultRowHeight="15" x14ac:dyDescent="0.25"/>
  <cols>
    <col min="1" max="1" width="5.5703125" style="4" customWidth="1"/>
    <col min="2" max="2" width="53.5703125" style="4" customWidth="1"/>
    <col min="3" max="3" width="7.85546875" style="9" customWidth="1"/>
    <col min="4" max="4" width="4.42578125" style="9" bestFit="1" customWidth="1"/>
    <col min="5" max="5" width="10.7109375" style="4" customWidth="1"/>
    <col min="6" max="7" width="14" style="4" customWidth="1"/>
    <col min="8" max="16384" width="9.140625" style="4"/>
  </cols>
  <sheetData>
    <row r="1" spans="1:11" ht="15.75" x14ac:dyDescent="0.25">
      <c r="A1" s="38" t="s">
        <v>77</v>
      </c>
      <c r="B1" s="39"/>
      <c r="C1" s="39"/>
      <c r="D1" s="39"/>
      <c r="E1" s="39"/>
      <c r="F1" s="40"/>
      <c r="K1" s="5"/>
    </row>
    <row r="2" spans="1:11" ht="26.25" x14ac:dyDescent="0.25">
      <c r="A2" s="17" t="s">
        <v>0</v>
      </c>
      <c r="B2" s="18" t="s">
        <v>73</v>
      </c>
      <c r="C2" s="17" t="s">
        <v>2</v>
      </c>
      <c r="D2" s="17" t="s">
        <v>1</v>
      </c>
      <c r="E2" s="19" t="s">
        <v>58</v>
      </c>
      <c r="F2" s="17" t="s">
        <v>57</v>
      </c>
      <c r="G2" s="3"/>
    </row>
    <row r="3" spans="1:11" ht="45.75" x14ac:dyDescent="0.25">
      <c r="A3" s="2">
        <v>301</v>
      </c>
      <c r="B3" s="23" t="s">
        <v>79</v>
      </c>
      <c r="C3" s="2">
        <v>50</v>
      </c>
      <c r="D3" s="2" t="s">
        <v>42</v>
      </c>
      <c r="E3" s="1"/>
      <c r="F3" s="1">
        <f t="shared" ref="F3:F63" si="0">+C3*E3</f>
        <v>0</v>
      </c>
      <c r="I3" s="14"/>
    </row>
    <row r="4" spans="1:11" ht="45.75" x14ac:dyDescent="0.25">
      <c r="A4" s="2">
        <v>302</v>
      </c>
      <c r="B4" s="23" t="s">
        <v>80</v>
      </c>
      <c r="C4" s="2">
        <v>50</v>
      </c>
      <c r="D4" s="2" t="s">
        <v>42</v>
      </c>
      <c r="E4" s="1"/>
      <c r="F4" s="1">
        <f t="shared" si="0"/>
        <v>0</v>
      </c>
      <c r="I4" s="14"/>
    </row>
    <row r="5" spans="1:11" ht="64.5" customHeight="1" x14ac:dyDescent="0.25">
      <c r="A5" s="2">
        <v>303</v>
      </c>
      <c r="B5" s="23" t="s">
        <v>50</v>
      </c>
      <c r="C5" s="2">
        <v>100</v>
      </c>
      <c r="D5" s="2" t="s">
        <v>42</v>
      </c>
      <c r="E5" s="1"/>
      <c r="F5" s="1">
        <f t="shared" si="0"/>
        <v>0</v>
      </c>
      <c r="I5" s="14"/>
    </row>
    <row r="6" spans="1:11" ht="45.75" x14ac:dyDescent="0.25">
      <c r="A6" s="2">
        <v>304</v>
      </c>
      <c r="B6" s="23" t="s">
        <v>3</v>
      </c>
      <c r="C6" s="2">
        <v>1500</v>
      </c>
      <c r="D6" s="2" t="s">
        <v>42</v>
      </c>
      <c r="E6" s="1"/>
      <c r="F6" s="1">
        <f t="shared" si="0"/>
        <v>0</v>
      </c>
      <c r="I6" s="14"/>
    </row>
    <row r="7" spans="1:11" ht="23.25" x14ac:dyDescent="0.25">
      <c r="A7" s="2">
        <v>305</v>
      </c>
      <c r="B7" s="23" t="s">
        <v>4</v>
      </c>
      <c r="C7" s="2">
        <v>100</v>
      </c>
      <c r="D7" s="2" t="s">
        <v>43</v>
      </c>
      <c r="E7" s="1"/>
      <c r="F7" s="1">
        <f t="shared" si="0"/>
        <v>0</v>
      </c>
      <c r="I7" s="14"/>
    </row>
    <row r="8" spans="1:11" ht="23.25" x14ac:dyDescent="0.25">
      <c r="A8" s="2">
        <v>306</v>
      </c>
      <c r="B8" s="23" t="s">
        <v>5</v>
      </c>
      <c r="C8" s="2">
        <v>300</v>
      </c>
      <c r="D8" s="2" t="s">
        <v>43</v>
      </c>
      <c r="E8" s="1"/>
      <c r="F8" s="1">
        <f t="shared" si="0"/>
        <v>0</v>
      </c>
      <c r="I8" s="14"/>
    </row>
    <row r="9" spans="1:11" ht="23.25" x14ac:dyDescent="0.25">
      <c r="A9" s="2">
        <v>307</v>
      </c>
      <c r="B9" s="23" t="s">
        <v>6</v>
      </c>
      <c r="C9" s="2">
        <v>10</v>
      </c>
      <c r="D9" s="2" t="s">
        <v>44</v>
      </c>
      <c r="E9" s="1"/>
      <c r="F9" s="1">
        <f t="shared" si="0"/>
        <v>0</v>
      </c>
      <c r="I9" s="14"/>
    </row>
    <row r="10" spans="1:11" ht="23.25" x14ac:dyDescent="0.25">
      <c r="A10" s="2">
        <v>308</v>
      </c>
      <c r="B10" s="23" t="s">
        <v>7</v>
      </c>
      <c r="C10" s="2">
        <v>25</v>
      </c>
      <c r="D10" s="2" t="s">
        <v>44</v>
      </c>
      <c r="E10" s="1"/>
      <c r="F10" s="1">
        <f t="shared" si="0"/>
        <v>0</v>
      </c>
      <c r="I10" s="14"/>
    </row>
    <row r="11" spans="1:11" ht="34.5" x14ac:dyDescent="0.25">
      <c r="A11" s="2">
        <v>309</v>
      </c>
      <c r="B11" s="23" t="s">
        <v>8</v>
      </c>
      <c r="C11" s="2">
        <v>90</v>
      </c>
      <c r="D11" s="2" t="s">
        <v>42</v>
      </c>
      <c r="E11" s="1"/>
      <c r="F11" s="1">
        <f t="shared" si="0"/>
        <v>0</v>
      </c>
      <c r="I11" s="14"/>
    </row>
    <row r="12" spans="1:11" ht="23.25" x14ac:dyDescent="0.25">
      <c r="A12" s="2">
        <v>310</v>
      </c>
      <c r="B12" s="23" t="s">
        <v>9</v>
      </c>
      <c r="C12" s="2">
        <v>100</v>
      </c>
      <c r="D12" s="2" t="s">
        <v>42</v>
      </c>
      <c r="E12" s="1"/>
      <c r="F12" s="1">
        <f t="shared" si="0"/>
        <v>0</v>
      </c>
      <c r="I12" s="14"/>
    </row>
    <row r="13" spans="1:11" ht="45.75" x14ac:dyDescent="0.25">
      <c r="A13" s="2">
        <v>311</v>
      </c>
      <c r="B13" s="23" t="s">
        <v>10</v>
      </c>
      <c r="C13" s="2">
        <v>50</v>
      </c>
      <c r="D13" s="2" t="s">
        <v>42</v>
      </c>
      <c r="E13" s="1"/>
      <c r="F13" s="1">
        <f t="shared" si="0"/>
        <v>0</v>
      </c>
      <c r="I13" s="14"/>
    </row>
    <row r="14" spans="1:11" ht="45.75" x14ac:dyDescent="0.25">
      <c r="A14" s="2">
        <v>312</v>
      </c>
      <c r="B14" s="23" t="s">
        <v>11</v>
      </c>
      <c r="C14" s="2">
        <v>200</v>
      </c>
      <c r="D14" s="2" t="s">
        <v>42</v>
      </c>
      <c r="E14" s="1"/>
      <c r="F14" s="1">
        <f t="shared" si="0"/>
        <v>0</v>
      </c>
      <c r="I14" s="14"/>
    </row>
    <row r="15" spans="1:11" ht="23.25" x14ac:dyDescent="0.25">
      <c r="A15" s="2">
        <v>313</v>
      </c>
      <c r="B15" s="23" t="s">
        <v>12</v>
      </c>
      <c r="C15" s="2">
        <v>600</v>
      </c>
      <c r="D15" s="2" t="s">
        <v>43</v>
      </c>
      <c r="E15" s="1"/>
      <c r="F15" s="1">
        <f t="shared" si="0"/>
        <v>0</v>
      </c>
      <c r="I15" s="14"/>
    </row>
    <row r="16" spans="1:11" ht="24" customHeight="1" x14ac:dyDescent="0.25">
      <c r="A16" s="2">
        <v>314</v>
      </c>
      <c r="B16" s="23" t="s">
        <v>13</v>
      </c>
      <c r="C16" s="2">
        <v>2000</v>
      </c>
      <c r="D16" s="2" t="s">
        <v>43</v>
      </c>
      <c r="E16" s="1"/>
      <c r="F16" s="1">
        <f t="shared" si="0"/>
        <v>0</v>
      </c>
      <c r="I16" s="14"/>
    </row>
    <row r="17" spans="1:9" ht="23.25" x14ac:dyDescent="0.25">
      <c r="A17" s="2">
        <v>315</v>
      </c>
      <c r="B17" s="23" t="s">
        <v>14</v>
      </c>
      <c r="C17" s="2">
        <v>3</v>
      </c>
      <c r="D17" s="2" t="s">
        <v>45</v>
      </c>
      <c r="E17" s="1"/>
      <c r="F17" s="1">
        <f t="shared" si="0"/>
        <v>0</v>
      </c>
      <c r="I17" s="14"/>
    </row>
    <row r="18" spans="1:9" ht="23.25" x14ac:dyDescent="0.25">
      <c r="A18" s="2">
        <v>316</v>
      </c>
      <c r="B18" s="23" t="s">
        <v>15</v>
      </c>
      <c r="C18" s="2">
        <v>3</v>
      </c>
      <c r="D18" s="2" t="s">
        <v>45</v>
      </c>
      <c r="E18" s="1"/>
      <c r="F18" s="1">
        <f t="shared" si="0"/>
        <v>0</v>
      </c>
      <c r="I18" s="14"/>
    </row>
    <row r="19" spans="1:9" ht="23.25" x14ac:dyDescent="0.25">
      <c r="A19" s="2">
        <v>317</v>
      </c>
      <c r="B19" s="23" t="s">
        <v>16</v>
      </c>
      <c r="C19" s="2">
        <v>10</v>
      </c>
      <c r="D19" s="2" t="s">
        <v>44</v>
      </c>
      <c r="E19" s="1"/>
      <c r="F19" s="1">
        <f t="shared" si="0"/>
        <v>0</v>
      </c>
      <c r="I19" s="14"/>
    </row>
    <row r="20" spans="1:9" ht="23.25" x14ac:dyDescent="0.25">
      <c r="A20" s="2">
        <v>318</v>
      </c>
      <c r="B20" s="23" t="s">
        <v>17</v>
      </c>
      <c r="C20" s="2">
        <v>100</v>
      </c>
      <c r="D20" s="2" t="s">
        <v>44</v>
      </c>
      <c r="E20" s="1"/>
      <c r="F20" s="1">
        <f t="shared" si="0"/>
        <v>0</v>
      </c>
      <c r="I20" s="14"/>
    </row>
    <row r="21" spans="1:9" x14ac:dyDescent="0.25">
      <c r="A21" s="2">
        <v>319</v>
      </c>
      <c r="B21" s="24" t="s">
        <v>18</v>
      </c>
      <c r="C21" s="2">
        <v>1500</v>
      </c>
      <c r="D21" s="2" t="s">
        <v>44</v>
      </c>
      <c r="E21" s="1"/>
      <c r="F21" s="1">
        <f t="shared" si="0"/>
        <v>0</v>
      </c>
      <c r="I21" s="14"/>
    </row>
    <row r="22" spans="1:9" ht="34.5" x14ac:dyDescent="0.25">
      <c r="A22" s="2">
        <v>320</v>
      </c>
      <c r="B22" s="23" t="s">
        <v>52</v>
      </c>
      <c r="C22" s="2">
        <v>2000</v>
      </c>
      <c r="D22" s="2" t="s">
        <v>44</v>
      </c>
      <c r="E22" s="1"/>
      <c r="F22" s="1">
        <f t="shared" si="0"/>
        <v>0</v>
      </c>
      <c r="I22" s="14"/>
    </row>
    <row r="23" spans="1:9" ht="34.5" x14ac:dyDescent="0.25">
      <c r="A23" s="2">
        <v>321</v>
      </c>
      <c r="B23" s="23" t="s">
        <v>19</v>
      </c>
      <c r="C23" s="2">
        <v>100</v>
      </c>
      <c r="D23" s="2" t="s">
        <v>45</v>
      </c>
      <c r="E23" s="1"/>
      <c r="F23" s="1">
        <f t="shared" si="0"/>
        <v>0</v>
      </c>
      <c r="I23" s="14"/>
    </row>
    <row r="24" spans="1:9" ht="57" x14ac:dyDescent="0.25">
      <c r="A24" s="2">
        <v>322</v>
      </c>
      <c r="B24" s="23" t="s">
        <v>20</v>
      </c>
      <c r="C24" s="2">
        <v>50</v>
      </c>
      <c r="D24" s="2" t="s">
        <v>43</v>
      </c>
      <c r="E24" s="1"/>
      <c r="F24" s="1">
        <f t="shared" si="0"/>
        <v>0</v>
      </c>
      <c r="I24" s="14"/>
    </row>
    <row r="25" spans="1:9" ht="45.75" x14ac:dyDescent="0.25">
      <c r="A25" s="2">
        <v>323</v>
      </c>
      <c r="B25" s="23" t="s">
        <v>21</v>
      </c>
      <c r="C25" s="2">
        <v>20</v>
      </c>
      <c r="D25" s="2" t="s">
        <v>44</v>
      </c>
      <c r="E25" s="1"/>
      <c r="F25" s="1">
        <f t="shared" si="0"/>
        <v>0</v>
      </c>
      <c r="I25" s="14"/>
    </row>
    <row r="26" spans="1:9" ht="57" x14ac:dyDescent="0.25">
      <c r="A26" s="2">
        <v>324</v>
      </c>
      <c r="B26" s="23" t="s">
        <v>22</v>
      </c>
      <c r="C26" s="2">
        <v>50</v>
      </c>
      <c r="D26" s="2" t="s">
        <v>43</v>
      </c>
      <c r="E26" s="1"/>
      <c r="F26" s="1">
        <f t="shared" si="0"/>
        <v>0</v>
      </c>
      <c r="I26" s="14"/>
    </row>
    <row r="27" spans="1:9" ht="23.25" x14ac:dyDescent="0.25">
      <c r="A27" s="2">
        <v>325</v>
      </c>
      <c r="B27" s="23" t="s">
        <v>23</v>
      </c>
      <c r="C27" s="2">
        <v>700</v>
      </c>
      <c r="D27" s="2" t="s">
        <v>44</v>
      </c>
      <c r="E27" s="1"/>
      <c r="F27" s="1">
        <f t="shared" si="0"/>
        <v>0</v>
      </c>
      <c r="I27" s="14"/>
    </row>
    <row r="28" spans="1:9" ht="23.25" x14ac:dyDescent="0.25">
      <c r="A28" s="2">
        <v>326</v>
      </c>
      <c r="B28" s="23" t="s">
        <v>24</v>
      </c>
      <c r="C28" s="2">
        <v>1500</v>
      </c>
      <c r="D28" s="2" t="s">
        <v>42</v>
      </c>
      <c r="E28" s="1"/>
      <c r="F28" s="1">
        <f t="shared" si="0"/>
        <v>0</v>
      </c>
      <c r="I28" s="14"/>
    </row>
    <row r="29" spans="1:9" ht="23.25" x14ac:dyDescent="0.25">
      <c r="A29" s="2">
        <v>327</v>
      </c>
      <c r="B29" s="23" t="s">
        <v>25</v>
      </c>
      <c r="C29" s="2">
        <v>50</v>
      </c>
      <c r="D29" s="2" t="s">
        <v>42</v>
      </c>
      <c r="E29" s="1"/>
      <c r="F29" s="1">
        <f t="shared" si="0"/>
        <v>0</v>
      </c>
      <c r="I29" s="14"/>
    </row>
    <row r="30" spans="1:9" ht="45.75" x14ac:dyDescent="0.25">
      <c r="A30" s="2">
        <v>328</v>
      </c>
      <c r="B30" s="23" t="s">
        <v>54</v>
      </c>
      <c r="C30" s="2">
        <v>2000</v>
      </c>
      <c r="D30" s="2" t="s">
        <v>46</v>
      </c>
      <c r="E30" s="1"/>
      <c r="F30" s="1">
        <f t="shared" si="0"/>
        <v>0</v>
      </c>
      <c r="I30" s="14"/>
    </row>
    <row r="31" spans="1:9" ht="34.5" x14ac:dyDescent="0.25">
      <c r="A31" s="2">
        <v>329</v>
      </c>
      <c r="B31" s="23" t="s">
        <v>26</v>
      </c>
      <c r="C31" s="2">
        <v>30</v>
      </c>
      <c r="D31" s="2" t="s">
        <v>46</v>
      </c>
      <c r="E31" s="1"/>
      <c r="F31" s="1">
        <f t="shared" si="0"/>
        <v>0</v>
      </c>
      <c r="I31" s="14"/>
    </row>
    <row r="32" spans="1:9" ht="23.25" x14ac:dyDescent="0.25">
      <c r="A32" s="2">
        <v>330</v>
      </c>
      <c r="B32" s="23" t="s">
        <v>27</v>
      </c>
      <c r="C32" s="2">
        <v>2500</v>
      </c>
      <c r="D32" s="2" t="s">
        <v>44</v>
      </c>
      <c r="E32" s="1"/>
      <c r="F32" s="1">
        <f t="shared" si="0"/>
        <v>0</v>
      </c>
      <c r="I32" s="14"/>
    </row>
    <row r="33" spans="1:9" ht="102" x14ac:dyDescent="0.25">
      <c r="A33" s="2">
        <v>331</v>
      </c>
      <c r="B33" s="23" t="s">
        <v>38</v>
      </c>
      <c r="C33" s="2">
        <v>200</v>
      </c>
      <c r="D33" s="2" t="s">
        <v>42</v>
      </c>
      <c r="E33" s="1"/>
      <c r="F33" s="1">
        <f t="shared" si="0"/>
        <v>0</v>
      </c>
      <c r="I33" s="14"/>
    </row>
    <row r="34" spans="1:9" ht="102" x14ac:dyDescent="0.25">
      <c r="A34" s="2">
        <v>332</v>
      </c>
      <c r="B34" s="23" t="s">
        <v>39</v>
      </c>
      <c r="C34" s="2">
        <v>200</v>
      </c>
      <c r="D34" s="2" t="s">
        <v>42</v>
      </c>
      <c r="E34" s="1"/>
      <c r="F34" s="1">
        <f t="shared" si="0"/>
        <v>0</v>
      </c>
      <c r="I34" s="14"/>
    </row>
    <row r="35" spans="1:9" ht="102" x14ac:dyDescent="0.25">
      <c r="A35" s="2">
        <v>333</v>
      </c>
      <c r="B35" s="23" t="s">
        <v>40</v>
      </c>
      <c r="C35" s="2">
        <v>200</v>
      </c>
      <c r="D35" s="2" t="s">
        <v>42</v>
      </c>
      <c r="E35" s="1"/>
      <c r="F35" s="1">
        <f t="shared" si="0"/>
        <v>0</v>
      </c>
      <c r="I35" s="14"/>
    </row>
    <row r="36" spans="1:9" ht="102" x14ac:dyDescent="0.25">
      <c r="A36" s="2">
        <v>334</v>
      </c>
      <c r="B36" s="23" t="s">
        <v>41</v>
      </c>
      <c r="C36" s="2">
        <v>250</v>
      </c>
      <c r="D36" s="2" t="s">
        <v>42</v>
      </c>
      <c r="E36" s="1"/>
      <c r="F36" s="1">
        <f t="shared" si="0"/>
        <v>0</v>
      </c>
      <c r="I36" s="14"/>
    </row>
    <row r="37" spans="1:9" ht="102" x14ac:dyDescent="0.25">
      <c r="A37" s="2">
        <v>335</v>
      </c>
      <c r="B37" s="23" t="s">
        <v>28</v>
      </c>
      <c r="C37" s="2">
        <v>160</v>
      </c>
      <c r="D37" s="2" t="s">
        <v>42</v>
      </c>
      <c r="E37" s="1"/>
      <c r="F37" s="1">
        <f t="shared" si="0"/>
        <v>0</v>
      </c>
      <c r="I37" s="14"/>
    </row>
    <row r="38" spans="1:9" ht="102" x14ac:dyDescent="0.25">
      <c r="A38" s="2">
        <v>336</v>
      </c>
      <c r="B38" s="23" t="s">
        <v>29</v>
      </c>
      <c r="C38" s="2">
        <v>160</v>
      </c>
      <c r="D38" s="2" t="s">
        <v>42</v>
      </c>
      <c r="E38" s="1"/>
      <c r="F38" s="1">
        <f t="shared" si="0"/>
        <v>0</v>
      </c>
      <c r="I38" s="14"/>
    </row>
    <row r="39" spans="1:9" ht="34.5" x14ac:dyDescent="0.25">
      <c r="A39" s="2">
        <v>337</v>
      </c>
      <c r="B39" s="23" t="s">
        <v>30</v>
      </c>
      <c r="C39" s="2">
        <v>100</v>
      </c>
      <c r="D39" s="2" t="s">
        <v>42</v>
      </c>
      <c r="E39" s="1"/>
      <c r="F39" s="1">
        <f t="shared" si="0"/>
        <v>0</v>
      </c>
      <c r="I39" s="14"/>
    </row>
    <row r="40" spans="1:9" ht="45.75" x14ac:dyDescent="0.25">
      <c r="A40" s="2">
        <v>338</v>
      </c>
      <c r="B40" s="23" t="s">
        <v>53</v>
      </c>
      <c r="C40" s="2">
        <v>2000</v>
      </c>
      <c r="D40" s="2" t="s">
        <v>44</v>
      </c>
      <c r="E40" s="1"/>
      <c r="F40" s="1">
        <f t="shared" si="0"/>
        <v>0</v>
      </c>
      <c r="I40" s="14"/>
    </row>
    <row r="41" spans="1:9" ht="79.5" x14ac:dyDescent="0.25">
      <c r="A41" s="2">
        <v>339</v>
      </c>
      <c r="B41" s="23" t="s">
        <v>31</v>
      </c>
      <c r="C41" s="2">
        <v>300</v>
      </c>
      <c r="D41" s="2" t="s">
        <v>47</v>
      </c>
      <c r="E41" s="1"/>
      <c r="F41" s="1">
        <f t="shared" si="0"/>
        <v>0</v>
      </c>
      <c r="I41" s="14"/>
    </row>
    <row r="42" spans="1:9" ht="23.25" x14ac:dyDescent="0.25">
      <c r="A42" s="2">
        <v>340</v>
      </c>
      <c r="B42" s="23" t="s">
        <v>32</v>
      </c>
      <c r="C42" s="2">
        <v>250</v>
      </c>
      <c r="D42" s="2" t="s">
        <v>44</v>
      </c>
      <c r="E42" s="1"/>
      <c r="F42" s="1">
        <f t="shared" si="0"/>
        <v>0</v>
      </c>
      <c r="I42" s="14"/>
    </row>
    <row r="43" spans="1:9" ht="23.25" x14ac:dyDescent="0.25">
      <c r="A43" s="2">
        <v>341</v>
      </c>
      <c r="B43" s="23" t="s">
        <v>33</v>
      </c>
      <c r="C43" s="2">
        <v>10</v>
      </c>
      <c r="D43" s="2" t="s">
        <v>48</v>
      </c>
      <c r="E43" s="1"/>
      <c r="F43" s="1">
        <f t="shared" si="0"/>
        <v>0</v>
      </c>
      <c r="I43" s="14"/>
    </row>
    <row r="44" spans="1:9" ht="68.25" x14ac:dyDescent="0.25">
      <c r="A44" s="2">
        <v>342</v>
      </c>
      <c r="B44" s="23" t="s">
        <v>34</v>
      </c>
      <c r="C44" s="2">
        <v>10</v>
      </c>
      <c r="D44" s="2" t="s">
        <v>45</v>
      </c>
      <c r="E44" s="1"/>
      <c r="F44" s="1">
        <f t="shared" si="0"/>
        <v>0</v>
      </c>
      <c r="I44" s="14"/>
    </row>
    <row r="45" spans="1:9" ht="23.25" x14ac:dyDescent="0.25">
      <c r="A45" s="2">
        <v>343</v>
      </c>
      <c r="B45" s="23" t="s">
        <v>51</v>
      </c>
      <c r="C45" s="2">
        <v>600</v>
      </c>
      <c r="D45" s="2" t="s">
        <v>45</v>
      </c>
      <c r="E45" s="1"/>
      <c r="F45" s="1">
        <f t="shared" si="0"/>
        <v>0</v>
      </c>
      <c r="I45" s="14"/>
    </row>
    <row r="46" spans="1:9" x14ac:dyDescent="0.25">
      <c r="A46" s="2">
        <v>344</v>
      </c>
      <c r="B46" s="23" t="s">
        <v>35</v>
      </c>
      <c r="C46" s="2">
        <v>10</v>
      </c>
      <c r="D46" s="2" t="s">
        <v>45</v>
      </c>
      <c r="E46" s="1"/>
      <c r="F46" s="1">
        <f t="shared" si="0"/>
        <v>0</v>
      </c>
      <c r="I46" s="14"/>
    </row>
    <row r="47" spans="1:9" ht="23.25" x14ac:dyDescent="0.25">
      <c r="A47" s="2">
        <v>345</v>
      </c>
      <c r="B47" s="23" t="s">
        <v>36</v>
      </c>
      <c r="C47" s="2">
        <v>20</v>
      </c>
      <c r="D47" s="2" t="s">
        <v>45</v>
      </c>
      <c r="E47" s="1"/>
      <c r="F47" s="1">
        <f t="shared" si="0"/>
        <v>0</v>
      </c>
      <c r="I47" s="14"/>
    </row>
    <row r="48" spans="1:9" ht="34.5" x14ac:dyDescent="0.25">
      <c r="A48" s="2">
        <v>346</v>
      </c>
      <c r="B48" s="23" t="s">
        <v>37</v>
      </c>
      <c r="C48" s="2">
        <v>1200</v>
      </c>
      <c r="D48" s="2" t="s">
        <v>42</v>
      </c>
      <c r="E48" s="1"/>
      <c r="F48" s="1">
        <f t="shared" si="0"/>
        <v>0</v>
      </c>
      <c r="I48" s="14"/>
    </row>
    <row r="49" spans="1:9" ht="18.75" customHeight="1" x14ac:dyDescent="0.25">
      <c r="A49" s="2">
        <v>347</v>
      </c>
      <c r="B49" s="23" t="s">
        <v>49</v>
      </c>
      <c r="C49" s="2">
        <v>1000</v>
      </c>
      <c r="D49" s="2" t="s">
        <v>45</v>
      </c>
      <c r="E49" s="1"/>
      <c r="F49" s="1">
        <f t="shared" si="0"/>
        <v>0</v>
      </c>
      <c r="I49" s="14"/>
    </row>
    <row r="50" spans="1:9" x14ac:dyDescent="0.25">
      <c r="A50" s="2">
        <v>348</v>
      </c>
      <c r="B50" s="23" t="s">
        <v>55</v>
      </c>
      <c r="C50" s="2">
        <v>500</v>
      </c>
      <c r="D50" s="2" t="s">
        <v>46</v>
      </c>
      <c r="E50" s="1"/>
      <c r="F50" s="1">
        <f t="shared" si="0"/>
        <v>0</v>
      </c>
      <c r="I50" s="14"/>
    </row>
    <row r="51" spans="1:9" x14ac:dyDescent="0.25">
      <c r="A51" s="2">
        <v>349</v>
      </c>
      <c r="B51" s="23" t="s">
        <v>56</v>
      </c>
      <c r="C51" s="2">
        <v>500</v>
      </c>
      <c r="D51" s="2" t="s">
        <v>46</v>
      </c>
      <c r="E51" s="1"/>
      <c r="F51" s="1">
        <f t="shared" si="0"/>
        <v>0</v>
      </c>
      <c r="I51" s="14"/>
    </row>
    <row r="52" spans="1:9" x14ac:dyDescent="0.25">
      <c r="A52" s="2">
        <v>350</v>
      </c>
      <c r="B52" s="23" t="s">
        <v>62</v>
      </c>
      <c r="C52" s="2">
        <v>100</v>
      </c>
      <c r="D52" s="2" t="s">
        <v>42</v>
      </c>
      <c r="E52" s="1"/>
      <c r="F52" s="1">
        <f t="shared" si="0"/>
        <v>0</v>
      </c>
      <c r="G52" s="3"/>
      <c r="I52" s="14"/>
    </row>
    <row r="53" spans="1:9" x14ac:dyDescent="0.25">
      <c r="A53" s="2">
        <v>351</v>
      </c>
      <c r="B53" s="23" t="s">
        <v>63</v>
      </c>
      <c r="C53" s="2">
        <v>100</v>
      </c>
      <c r="D53" s="2" t="s">
        <v>42</v>
      </c>
      <c r="E53" s="1"/>
      <c r="F53" s="1">
        <f t="shared" si="0"/>
        <v>0</v>
      </c>
      <c r="G53" s="3"/>
      <c r="I53" s="14"/>
    </row>
    <row r="54" spans="1:9" x14ac:dyDescent="0.25">
      <c r="A54" s="2">
        <v>352</v>
      </c>
      <c r="B54" s="23" t="s">
        <v>64</v>
      </c>
      <c r="C54" s="2">
        <v>100</v>
      </c>
      <c r="D54" s="2" t="s">
        <v>42</v>
      </c>
      <c r="E54" s="1"/>
      <c r="F54" s="1">
        <f t="shared" si="0"/>
        <v>0</v>
      </c>
      <c r="G54" s="3"/>
      <c r="I54" s="14"/>
    </row>
    <row r="55" spans="1:9" x14ac:dyDescent="0.25">
      <c r="A55" s="2">
        <v>353</v>
      </c>
      <c r="B55" s="23" t="s">
        <v>59</v>
      </c>
      <c r="C55" s="6">
        <v>1000</v>
      </c>
      <c r="D55" s="2" t="s">
        <v>47</v>
      </c>
      <c r="E55" s="1"/>
      <c r="F55" s="1">
        <f t="shared" si="0"/>
        <v>0</v>
      </c>
      <c r="I55" s="14"/>
    </row>
    <row r="56" spans="1:9" ht="23.25" x14ac:dyDescent="0.25">
      <c r="A56" s="2">
        <v>354</v>
      </c>
      <c r="B56" s="23" t="s">
        <v>60</v>
      </c>
      <c r="C56" s="6">
        <v>300</v>
      </c>
      <c r="D56" s="2" t="s">
        <v>44</v>
      </c>
      <c r="E56" s="1"/>
      <c r="F56" s="1">
        <f t="shared" si="0"/>
        <v>0</v>
      </c>
      <c r="I56" s="14"/>
    </row>
    <row r="57" spans="1:9" x14ac:dyDescent="0.25">
      <c r="A57" s="2">
        <v>355</v>
      </c>
      <c r="B57" s="23" t="s">
        <v>61</v>
      </c>
      <c r="C57" s="6">
        <v>30000</v>
      </c>
      <c r="D57" s="2" t="s">
        <v>47</v>
      </c>
      <c r="E57" s="1"/>
      <c r="F57" s="1">
        <f t="shared" si="0"/>
        <v>0</v>
      </c>
      <c r="I57" s="14"/>
    </row>
    <row r="58" spans="1:9" ht="23.25" x14ac:dyDescent="0.25">
      <c r="A58" s="2">
        <v>356</v>
      </c>
      <c r="B58" s="23" t="s">
        <v>70</v>
      </c>
      <c r="C58" s="6">
        <v>30000</v>
      </c>
      <c r="D58" s="2" t="s">
        <v>47</v>
      </c>
      <c r="E58" s="1"/>
      <c r="F58" s="1">
        <f t="shared" si="0"/>
        <v>0</v>
      </c>
      <c r="I58" s="14"/>
    </row>
    <row r="59" spans="1:9" s="8" customFormat="1" ht="23.25" x14ac:dyDescent="0.25">
      <c r="A59" s="2">
        <v>357</v>
      </c>
      <c r="B59" s="23" t="s">
        <v>69</v>
      </c>
      <c r="C59" s="6">
        <v>10</v>
      </c>
      <c r="D59" s="2" t="s">
        <v>45</v>
      </c>
      <c r="E59" s="1"/>
      <c r="F59" s="1">
        <f t="shared" si="0"/>
        <v>0</v>
      </c>
      <c r="G59" s="7"/>
      <c r="I59" s="14"/>
    </row>
    <row r="60" spans="1:9" s="8" customFormat="1" ht="23.25" x14ac:dyDescent="0.25">
      <c r="A60" s="2">
        <v>358</v>
      </c>
      <c r="B60" s="23" t="s">
        <v>65</v>
      </c>
      <c r="C60" s="6">
        <v>200</v>
      </c>
      <c r="D60" s="2" t="s">
        <v>42</v>
      </c>
      <c r="E60" s="1"/>
      <c r="F60" s="1">
        <f t="shared" si="0"/>
        <v>0</v>
      </c>
      <c r="G60" s="7"/>
      <c r="I60" s="14"/>
    </row>
    <row r="61" spans="1:9" s="8" customFormat="1" ht="23.25" x14ac:dyDescent="0.25">
      <c r="A61" s="2">
        <v>359</v>
      </c>
      <c r="B61" s="23" t="s">
        <v>66</v>
      </c>
      <c r="C61" s="6">
        <v>200</v>
      </c>
      <c r="D61" s="2" t="s">
        <v>42</v>
      </c>
      <c r="E61" s="1"/>
      <c r="F61" s="1">
        <f t="shared" si="0"/>
        <v>0</v>
      </c>
      <c r="G61" s="7"/>
      <c r="I61" s="14"/>
    </row>
    <row r="62" spans="1:9" ht="23.25" x14ac:dyDescent="0.25">
      <c r="A62" s="2">
        <v>360</v>
      </c>
      <c r="B62" s="23" t="s">
        <v>67</v>
      </c>
      <c r="C62" s="6">
        <v>500</v>
      </c>
      <c r="D62" s="2" t="s">
        <v>46</v>
      </c>
      <c r="E62" s="1"/>
      <c r="F62" s="1">
        <f t="shared" si="0"/>
        <v>0</v>
      </c>
    </row>
    <row r="63" spans="1:9" ht="23.25" x14ac:dyDescent="0.25">
      <c r="A63" s="2">
        <v>361</v>
      </c>
      <c r="B63" s="23" t="s">
        <v>68</v>
      </c>
      <c r="C63" s="6">
        <v>5</v>
      </c>
      <c r="D63" s="2" t="s">
        <v>45</v>
      </c>
      <c r="E63" s="1"/>
      <c r="F63" s="1">
        <f t="shared" si="0"/>
        <v>0</v>
      </c>
    </row>
    <row r="64" spans="1:9" x14ac:dyDescent="0.25">
      <c r="A64" s="20"/>
      <c r="B64" s="25"/>
      <c r="C64" s="21" t="s">
        <v>71</v>
      </c>
      <c r="D64" s="15"/>
      <c r="E64" s="25"/>
      <c r="F64" s="16">
        <f>+SUM(F3:F63)</f>
        <v>0</v>
      </c>
    </row>
    <row r="65" spans="1:6" x14ac:dyDescent="0.25">
      <c r="A65" s="11"/>
      <c r="B65" s="22"/>
      <c r="C65" s="11"/>
      <c r="D65" s="11"/>
      <c r="E65" s="10"/>
      <c r="F65" s="10"/>
    </row>
    <row r="66" spans="1:6" x14ac:dyDescent="0.25">
      <c r="A66" s="11"/>
      <c r="B66" s="12"/>
      <c r="C66" s="11"/>
      <c r="D66" s="11"/>
      <c r="E66" s="10"/>
      <c r="F66" s="10"/>
    </row>
    <row r="67" spans="1:6" x14ac:dyDescent="0.25">
      <c r="A67" s="11"/>
      <c r="B67" s="12"/>
      <c r="C67" s="11"/>
      <c r="D67" s="11"/>
      <c r="E67" s="10"/>
      <c r="F67" s="13"/>
    </row>
    <row r="68" spans="1:6" x14ac:dyDescent="0.25">
      <c r="A68" s="11"/>
      <c r="B68" s="12"/>
      <c r="C68" s="11"/>
      <c r="D68" s="11"/>
      <c r="E68" s="10"/>
      <c r="F68" s="13"/>
    </row>
    <row r="69" spans="1:6" x14ac:dyDescent="0.25">
      <c r="A69" s="11"/>
      <c r="B69" s="12"/>
      <c r="C69" s="11"/>
      <c r="D69" s="11"/>
      <c r="E69" s="10"/>
      <c r="F69" s="13"/>
    </row>
    <row r="70" spans="1:6" x14ac:dyDescent="0.25">
      <c r="A70" s="11"/>
      <c r="B70" s="12"/>
      <c r="C70" s="11"/>
      <c r="D70" s="11"/>
      <c r="E70" s="10"/>
      <c r="F70" s="13"/>
    </row>
    <row r="71" spans="1:6" x14ac:dyDescent="0.25">
      <c r="A71" s="11"/>
      <c r="B71" s="12"/>
      <c r="C71" s="11"/>
      <c r="D71" s="11"/>
      <c r="E71" s="10"/>
      <c r="F71" s="13"/>
    </row>
    <row r="72" spans="1:6" x14ac:dyDescent="0.25">
      <c r="A72" s="11"/>
      <c r="B72" s="12"/>
      <c r="C72" s="11"/>
      <c r="D72" s="11"/>
      <c r="E72" s="10"/>
      <c r="F72" s="13"/>
    </row>
    <row r="73" spans="1:6" x14ac:dyDescent="0.25">
      <c r="A73" s="11"/>
      <c r="B73" s="12"/>
      <c r="C73" s="11"/>
      <c r="D73" s="11"/>
      <c r="E73" s="10"/>
      <c r="F73" s="13"/>
    </row>
    <row r="74" spans="1:6" x14ac:dyDescent="0.25">
      <c r="A74" s="11"/>
      <c r="B74" s="12"/>
      <c r="C74" s="11"/>
      <c r="D74" s="11"/>
      <c r="E74" s="10"/>
      <c r="F74" s="10"/>
    </row>
  </sheetData>
  <mergeCells count="1">
    <mergeCell ref="A1:F1"/>
  </mergeCells>
  <pageMargins left="0.7" right="0.7" top="0.75" bottom="0.75" header="0.3" footer="0.3"/>
  <pageSetup scale="9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D7F0-65FD-4855-98CB-8416565522AB}">
  <sheetPr>
    <pageSetUpPr fitToPage="1"/>
  </sheetPr>
  <dimension ref="A1:O74"/>
  <sheetViews>
    <sheetView topLeftCell="A39" zoomScaleNormal="100" workbookViewId="0">
      <selection activeCell="G66" sqref="A66:XFD67"/>
    </sheetView>
  </sheetViews>
  <sheetFormatPr defaultRowHeight="15" x14ac:dyDescent="0.25"/>
  <cols>
    <col min="1" max="1" width="5.5703125" style="4" customWidth="1"/>
    <col min="2" max="2" width="53.5703125" style="4" customWidth="1"/>
    <col min="3" max="3" width="7.85546875" style="9" customWidth="1"/>
    <col min="4" max="4" width="4.42578125" style="9" bestFit="1" customWidth="1"/>
    <col min="5" max="5" width="10.7109375" style="4" customWidth="1"/>
    <col min="6" max="7" width="14" style="4" customWidth="1"/>
    <col min="8" max="9" width="9.140625" style="4"/>
    <col min="10" max="10" width="14.85546875" style="4" bestFit="1" customWidth="1"/>
    <col min="11" max="14" width="9.140625" style="4"/>
    <col min="15" max="15" width="13.85546875" style="4" bestFit="1" customWidth="1"/>
    <col min="16" max="16384" width="9.140625" style="4"/>
  </cols>
  <sheetData>
    <row r="1" spans="1:11" ht="15.75" x14ac:dyDescent="0.25">
      <c r="A1" s="38" t="s">
        <v>78</v>
      </c>
      <c r="B1" s="39"/>
      <c r="C1" s="39"/>
      <c r="D1" s="39"/>
      <c r="E1" s="39"/>
      <c r="F1" s="40"/>
      <c r="K1" s="5"/>
    </row>
    <row r="2" spans="1:11" ht="26.25" x14ac:dyDescent="0.25">
      <c r="A2" s="17" t="s">
        <v>0</v>
      </c>
      <c r="B2" s="18" t="s">
        <v>73</v>
      </c>
      <c r="C2" s="17" t="s">
        <v>2</v>
      </c>
      <c r="D2" s="17" t="s">
        <v>1</v>
      </c>
      <c r="E2" s="19" t="s">
        <v>58</v>
      </c>
      <c r="F2" s="17" t="s">
        <v>57</v>
      </c>
      <c r="G2" s="3"/>
    </row>
    <row r="3" spans="1:11" ht="45.75" x14ac:dyDescent="0.25">
      <c r="A3" s="2">
        <v>401</v>
      </c>
      <c r="B3" s="23" t="s">
        <v>79</v>
      </c>
      <c r="C3" s="2">
        <v>50</v>
      </c>
      <c r="D3" s="2" t="s">
        <v>42</v>
      </c>
      <c r="E3" s="1"/>
      <c r="F3" s="1">
        <f t="shared" ref="F3:F63" si="0">+C3*E3</f>
        <v>0</v>
      </c>
      <c r="I3" s="14"/>
    </row>
    <row r="4" spans="1:11" ht="45.75" x14ac:dyDescent="0.25">
      <c r="A4" s="2">
        <v>402</v>
      </c>
      <c r="B4" s="23" t="s">
        <v>80</v>
      </c>
      <c r="C4" s="2">
        <v>50</v>
      </c>
      <c r="D4" s="2" t="s">
        <v>42</v>
      </c>
      <c r="E4" s="1"/>
      <c r="F4" s="1">
        <f t="shared" si="0"/>
        <v>0</v>
      </c>
      <c r="I4" s="14"/>
    </row>
    <row r="5" spans="1:11" ht="64.5" customHeight="1" x14ac:dyDescent="0.25">
      <c r="A5" s="2">
        <v>403</v>
      </c>
      <c r="B5" s="23" t="s">
        <v>50</v>
      </c>
      <c r="C5" s="2">
        <v>100</v>
      </c>
      <c r="D5" s="2" t="s">
        <v>42</v>
      </c>
      <c r="E5" s="1"/>
      <c r="F5" s="1">
        <f t="shared" si="0"/>
        <v>0</v>
      </c>
      <c r="I5" s="14"/>
    </row>
    <row r="6" spans="1:11" ht="45.75" x14ac:dyDescent="0.25">
      <c r="A6" s="2">
        <v>404</v>
      </c>
      <c r="B6" s="23" t="s">
        <v>3</v>
      </c>
      <c r="C6" s="2">
        <v>1500</v>
      </c>
      <c r="D6" s="2" t="s">
        <v>42</v>
      </c>
      <c r="E6" s="1"/>
      <c r="F6" s="1">
        <f t="shared" si="0"/>
        <v>0</v>
      </c>
      <c r="I6" s="14"/>
    </row>
    <row r="7" spans="1:11" ht="23.25" x14ac:dyDescent="0.25">
      <c r="A7" s="2">
        <v>405</v>
      </c>
      <c r="B7" s="23" t="s">
        <v>4</v>
      </c>
      <c r="C7" s="2">
        <v>100</v>
      </c>
      <c r="D7" s="2" t="s">
        <v>43</v>
      </c>
      <c r="E7" s="1"/>
      <c r="F7" s="1">
        <f t="shared" si="0"/>
        <v>0</v>
      </c>
      <c r="I7" s="14"/>
    </row>
    <row r="8" spans="1:11" ht="23.25" x14ac:dyDescent="0.25">
      <c r="A8" s="2">
        <v>406</v>
      </c>
      <c r="B8" s="23" t="s">
        <v>5</v>
      </c>
      <c r="C8" s="2">
        <v>300</v>
      </c>
      <c r="D8" s="2" t="s">
        <v>43</v>
      </c>
      <c r="E8" s="1"/>
      <c r="F8" s="1">
        <f t="shared" si="0"/>
        <v>0</v>
      </c>
      <c r="I8" s="14"/>
    </row>
    <row r="9" spans="1:11" ht="23.25" x14ac:dyDescent="0.25">
      <c r="A9" s="2">
        <v>407</v>
      </c>
      <c r="B9" s="23" t="s">
        <v>6</v>
      </c>
      <c r="C9" s="2">
        <v>10</v>
      </c>
      <c r="D9" s="2" t="s">
        <v>44</v>
      </c>
      <c r="E9" s="1"/>
      <c r="F9" s="1">
        <f t="shared" si="0"/>
        <v>0</v>
      </c>
      <c r="I9" s="14"/>
    </row>
    <row r="10" spans="1:11" ht="23.25" x14ac:dyDescent="0.25">
      <c r="A10" s="2">
        <v>408</v>
      </c>
      <c r="B10" s="23" t="s">
        <v>7</v>
      </c>
      <c r="C10" s="2">
        <v>25</v>
      </c>
      <c r="D10" s="2" t="s">
        <v>44</v>
      </c>
      <c r="E10" s="1"/>
      <c r="F10" s="1">
        <f t="shared" si="0"/>
        <v>0</v>
      </c>
      <c r="I10" s="14"/>
    </row>
    <row r="11" spans="1:11" ht="34.5" x14ac:dyDescent="0.25">
      <c r="A11" s="2">
        <v>409</v>
      </c>
      <c r="B11" s="23" t="s">
        <v>8</v>
      </c>
      <c r="C11" s="2">
        <v>90</v>
      </c>
      <c r="D11" s="2" t="s">
        <v>42</v>
      </c>
      <c r="E11" s="1"/>
      <c r="F11" s="1">
        <f t="shared" si="0"/>
        <v>0</v>
      </c>
      <c r="I11" s="14"/>
    </row>
    <row r="12" spans="1:11" ht="23.25" x14ac:dyDescent="0.25">
      <c r="A12" s="2">
        <v>410</v>
      </c>
      <c r="B12" s="23" t="s">
        <v>9</v>
      </c>
      <c r="C12" s="2">
        <v>100</v>
      </c>
      <c r="D12" s="2" t="s">
        <v>42</v>
      </c>
      <c r="E12" s="1"/>
      <c r="F12" s="1">
        <f t="shared" si="0"/>
        <v>0</v>
      </c>
      <c r="I12" s="14"/>
    </row>
    <row r="13" spans="1:11" ht="45.75" x14ac:dyDescent="0.25">
      <c r="A13" s="2">
        <v>411</v>
      </c>
      <c r="B13" s="23" t="s">
        <v>10</v>
      </c>
      <c r="C13" s="2">
        <v>50</v>
      </c>
      <c r="D13" s="2" t="s">
        <v>42</v>
      </c>
      <c r="E13" s="1"/>
      <c r="F13" s="1">
        <f t="shared" si="0"/>
        <v>0</v>
      </c>
      <c r="I13" s="14"/>
    </row>
    <row r="14" spans="1:11" ht="45.75" x14ac:dyDescent="0.25">
      <c r="A14" s="2">
        <v>412</v>
      </c>
      <c r="B14" s="23" t="s">
        <v>11</v>
      </c>
      <c r="C14" s="2">
        <v>200</v>
      </c>
      <c r="D14" s="2" t="s">
        <v>42</v>
      </c>
      <c r="E14" s="1"/>
      <c r="F14" s="1">
        <f t="shared" si="0"/>
        <v>0</v>
      </c>
      <c r="I14" s="14"/>
    </row>
    <row r="15" spans="1:11" ht="23.25" x14ac:dyDescent="0.25">
      <c r="A15" s="2">
        <v>413</v>
      </c>
      <c r="B15" s="23" t="s">
        <v>12</v>
      </c>
      <c r="C15" s="2">
        <v>600</v>
      </c>
      <c r="D15" s="2" t="s">
        <v>43</v>
      </c>
      <c r="E15" s="1"/>
      <c r="F15" s="1">
        <f t="shared" si="0"/>
        <v>0</v>
      </c>
      <c r="I15" s="14"/>
    </row>
    <row r="16" spans="1:11" ht="24" customHeight="1" x14ac:dyDescent="0.25">
      <c r="A16" s="2">
        <v>414</v>
      </c>
      <c r="B16" s="23" t="s">
        <v>13</v>
      </c>
      <c r="C16" s="2">
        <v>2000</v>
      </c>
      <c r="D16" s="2" t="s">
        <v>43</v>
      </c>
      <c r="E16" s="1"/>
      <c r="F16" s="1">
        <f t="shared" si="0"/>
        <v>0</v>
      </c>
      <c r="I16" s="14"/>
    </row>
    <row r="17" spans="1:9" ht="23.25" x14ac:dyDescent="0.25">
      <c r="A17" s="2">
        <v>415</v>
      </c>
      <c r="B17" s="23" t="s">
        <v>14</v>
      </c>
      <c r="C17" s="2">
        <v>3</v>
      </c>
      <c r="D17" s="2" t="s">
        <v>45</v>
      </c>
      <c r="E17" s="1"/>
      <c r="F17" s="1">
        <f t="shared" si="0"/>
        <v>0</v>
      </c>
      <c r="I17" s="14"/>
    </row>
    <row r="18" spans="1:9" ht="23.25" x14ac:dyDescent="0.25">
      <c r="A18" s="2">
        <v>416</v>
      </c>
      <c r="B18" s="23" t="s">
        <v>15</v>
      </c>
      <c r="C18" s="2">
        <v>3</v>
      </c>
      <c r="D18" s="2" t="s">
        <v>45</v>
      </c>
      <c r="E18" s="1"/>
      <c r="F18" s="1">
        <f t="shared" si="0"/>
        <v>0</v>
      </c>
      <c r="I18" s="14"/>
    </row>
    <row r="19" spans="1:9" ht="23.25" x14ac:dyDescent="0.25">
      <c r="A19" s="2">
        <v>417</v>
      </c>
      <c r="B19" s="23" t="s">
        <v>16</v>
      </c>
      <c r="C19" s="2">
        <v>10</v>
      </c>
      <c r="D19" s="2" t="s">
        <v>44</v>
      </c>
      <c r="E19" s="1"/>
      <c r="F19" s="1">
        <f t="shared" si="0"/>
        <v>0</v>
      </c>
      <c r="I19" s="14"/>
    </row>
    <row r="20" spans="1:9" ht="23.25" x14ac:dyDescent="0.25">
      <c r="A20" s="2">
        <v>418</v>
      </c>
      <c r="B20" s="23" t="s">
        <v>17</v>
      </c>
      <c r="C20" s="2">
        <v>100</v>
      </c>
      <c r="D20" s="2" t="s">
        <v>44</v>
      </c>
      <c r="E20" s="1"/>
      <c r="F20" s="1">
        <f t="shared" si="0"/>
        <v>0</v>
      </c>
      <c r="I20" s="14"/>
    </row>
    <row r="21" spans="1:9" x14ac:dyDescent="0.25">
      <c r="A21" s="2">
        <v>419</v>
      </c>
      <c r="B21" s="24" t="s">
        <v>18</v>
      </c>
      <c r="C21" s="2">
        <v>1500</v>
      </c>
      <c r="D21" s="2" t="s">
        <v>44</v>
      </c>
      <c r="E21" s="1"/>
      <c r="F21" s="1">
        <f t="shared" si="0"/>
        <v>0</v>
      </c>
      <c r="I21" s="14"/>
    </row>
    <row r="22" spans="1:9" ht="34.5" x14ac:dyDescent="0.25">
      <c r="A22" s="2">
        <v>420</v>
      </c>
      <c r="B22" s="23" t="s">
        <v>52</v>
      </c>
      <c r="C22" s="2">
        <v>2000</v>
      </c>
      <c r="D22" s="2" t="s">
        <v>44</v>
      </c>
      <c r="E22" s="1"/>
      <c r="F22" s="1">
        <f t="shared" si="0"/>
        <v>0</v>
      </c>
      <c r="I22" s="14"/>
    </row>
    <row r="23" spans="1:9" ht="34.5" x14ac:dyDescent="0.25">
      <c r="A23" s="2">
        <v>421</v>
      </c>
      <c r="B23" s="23" t="s">
        <v>19</v>
      </c>
      <c r="C23" s="2">
        <v>100</v>
      </c>
      <c r="D23" s="2" t="s">
        <v>45</v>
      </c>
      <c r="E23" s="1"/>
      <c r="F23" s="1">
        <f t="shared" si="0"/>
        <v>0</v>
      </c>
      <c r="I23" s="14"/>
    </row>
    <row r="24" spans="1:9" ht="57" x14ac:dyDescent="0.25">
      <c r="A24" s="2">
        <v>422</v>
      </c>
      <c r="B24" s="23" t="s">
        <v>20</v>
      </c>
      <c r="C24" s="2">
        <v>50</v>
      </c>
      <c r="D24" s="2" t="s">
        <v>43</v>
      </c>
      <c r="E24" s="1"/>
      <c r="F24" s="1">
        <f t="shared" si="0"/>
        <v>0</v>
      </c>
      <c r="I24" s="14"/>
    </row>
    <row r="25" spans="1:9" ht="45.75" x14ac:dyDescent="0.25">
      <c r="A25" s="2">
        <v>423</v>
      </c>
      <c r="B25" s="23" t="s">
        <v>21</v>
      </c>
      <c r="C25" s="2">
        <v>20</v>
      </c>
      <c r="D25" s="2" t="s">
        <v>44</v>
      </c>
      <c r="E25" s="1"/>
      <c r="F25" s="1">
        <f t="shared" si="0"/>
        <v>0</v>
      </c>
      <c r="I25" s="14"/>
    </row>
    <row r="26" spans="1:9" ht="57" x14ac:dyDescent="0.25">
      <c r="A26" s="2">
        <v>424</v>
      </c>
      <c r="B26" s="23" t="s">
        <v>22</v>
      </c>
      <c r="C26" s="2">
        <v>50</v>
      </c>
      <c r="D26" s="2" t="s">
        <v>43</v>
      </c>
      <c r="E26" s="1"/>
      <c r="F26" s="1">
        <f t="shared" si="0"/>
        <v>0</v>
      </c>
      <c r="I26" s="14"/>
    </row>
    <row r="27" spans="1:9" ht="23.25" x14ac:dyDescent="0.25">
      <c r="A27" s="2">
        <v>425</v>
      </c>
      <c r="B27" s="23" t="s">
        <v>23</v>
      </c>
      <c r="C27" s="2">
        <v>700</v>
      </c>
      <c r="D27" s="2" t="s">
        <v>44</v>
      </c>
      <c r="E27" s="1"/>
      <c r="F27" s="1">
        <f t="shared" si="0"/>
        <v>0</v>
      </c>
      <c r="I27" s="14"/>
    </row>
    <row r="28" spans="1:9" ht="23.25" x14ac:dyDescent="0.25">
      <c r="A28" s="2">
        <v>426</v>
      </c>
      <c r="B28" s="23" t="s">
        <v>24</v>
      </c>
      <c r="C28" s="2">
        <v>1500</v>
      </c>
      <c r="D28" s="2" t="s">
        <v>42</v>
      </c>
      <c r="E28" s="1"/>
      <c r="F28" s="1">
        <f t="shared" si="0"/>
        <v>0</v>
      </c>
      <c r="I28" s="14"/>
    </row>
    <row r="29" spans="1:9" ht="23.25" x14ac:dyDescent="0.25">
      <c r="A29" s="2">
        <v>427</v>
      </c>
      <c r="B29" s="23" t="s">
        <v>25</v>
      </c>
      <c r="C29" s="2">
        <v>50</v>
      </c>
      <c r="D29" s="2" t="s">
        <v>42</v>
      </c>
      <c r="E29" s="1"/>
      <c r="F29" s="1">
        <f t="shared" si="0"/>
        <v>0</v>
      </c>
      <c r="I29" s="14"/>
    </row>
    <row r="30" spans="1:9" ht="45.75" x14ac:dyDescent="0.25">
      <c r="A30" s="2">
        <v>428</v>
      </c>
      <c r="B30" s="23" t="s">
        <v>54</v>
      </c>
      <c r="C30" s="2">
        <v>2000</v>
      </c>
      <c r="D30" s="2" t="s">
        <v>46</v>
      </c>
      <c r="E30" s="1"/>
      <c r="F30" s="1">
        <f t="shared" si="0"/>
        <v>0</v>
      </c>
      <c r="I30" s="14"/>
    </row>
    <row r="31" spans="1:9" ht="34.5" x14ac:dyDescent="0.25">
      <c r="A31" s="2">
        <v>429</v>
      </c>
      <c r="B31" s="23" t="s">
        <v>26</v>
      </c>
      <c r="C31" s="2">
        <v>30</v>
      </c>
      <c r="D31" s="2" t="s">
        <v>46</v>
      </c>
      <c r="E31" s="1"/>
      <c r="F31" s="1">
        <f t="shared" si="0"/>
        <v>0</v>
      </c>
      <c r="I31" s="14"/>
    </row>
    <row r="32" spans="1:9" ht="23.25" x14ac:dyDescent="0.25">
      <c r="A32" s="2">
        <v>430</v>
      </c>
      <c r="B32" s="23" t="s">
        <v>27</v>
      </c>
      <c r="C32" s="2">
        <v>2500</v>
      </c>
      <c r="D32" s="2" t="s">
        <v>44</v>
      </c>
      <c r="E32" s="1"/>
      <c r="F32" s="1">
        <f t="shared" si="0"/>
        <v>0</v>
      </c>
      <c r="I32" s="14"/>
    </row>
    <row r="33" spans="1:9" ht="102" x14ac:dyDescent="0.25">
      <c r="A33" s="2">
        <v>431</v>
      </c>
      <c r="B33" s="23" t="s">
        <v>38</v>
      </c>
      <c r="C33" s="2">
        <v>200</v>
      </c>
      <c r="D33" s="2" t="s">
        <v>42</v>
      </c>
      <c r="E33" s="1"/>
      <c r="F33" s="1">
        <f t="shared" si="0"/>
        <v>0</v>
      </c>
      <c r="I33" s="14"/>
    </row>
    <row r="34" spans="1:9" ht="102" x14ac:dyDescent="0.25">
      <c r="A34" s="2">
        <v>432</v>
      </c>
      <c r="B34" s="23" t="s">
        <v>39</v>
      </c>
      <c r="C34" s="2">
        <v>200</v>
      </c>
      <c r="D34" s="2" t="s">
        <v>42</v>
      </c>
      <c r="E34" s="1"/>
      <c r="F34" s="1">
        <f t="shared" si="0"/>
        <v>0</v>
      </c>
      <c r="I34" s="14"/>
    </row>
    <row r="35" spans="1:9" ht="102" x14ac:dyDescent="0.25">
      <c r="A35" s="2">
        <v>433</v>
      </c>
      <c r="B35" s="23" t="s">
        <v>40</v>
      </c>
      <c r="C35" s="2">
        <v>200</v>
      </c>
      <c r="D35" s="2" t="s">
        <v>42</v>
      </c>
      <c r="E35" s="1"/>
      <c r="F35" s="1">
        <f t="shared" si="0"/>
        <v>0</v>
      </c>
      <c r="I35" s="14"/>
    </row>
    <row r="36" spans="1:9" ht="102" x14ac:dyDescent="0.25">
      <c r="A36" s="2">
        <v>434</v>
      </c>
      <c r="B36" s="23" t="s">
        <v>41</v>
      </c>
      <c r="C36" s="2">
        <v>250</v>
      </c>
      <c r="D36" s="2" t="s">
        <v>42</v>
      </c>
      <c r="E36" s="1"/>
      <c r="F36" s="1">
        <f t="shared" si="0"/>
        <v>0</v>
      </c>
      <c r="I36" s="14"/>
    </row>
    <row r="37" spans="1:9" ht="102" x14ac:dyDescent="0.25">
      <c r="A37" s="2">
        <v>435</v>
      </c>
      <c r="B37" s="23" t="s">
        <v>28</v>
      </c>
      <c r="C37" s="2">
        <v>160</v>
      </c>
      <c r="D37" s="2" t="s">
        <v>42</v>
      </c>
      <c r="E37" s="1"/>
      <c r="F37" s="1">
        <f t="shared" si="0"/>
        <v>0</v>
      </c>
      <c r="I37" s="14"/>
    </row>
    <row r="38" spans="1:9" ht="102" x14ac:dyDescent="0.25">
      <c r="A38" s="2">
        <v>436</v>
      </c>
      <c r="B38" s="23" t="s">
        <v>29</v>
      </c>
      <c r="C38" s="2">
        <v>160</v>
      </c>
      <c r="D38" s="2" t="s">
        <v>42</v>
      </c>
      <c r="E38" s="1"/>
      <c r="F38" s="1">
        <f t="shared" si="0"/>
        <v>0</v>
      </c>
      <c r="I38" s="14"/>
    </row>
    <row r="39" spans="1:9" ht="34.5" x14ac:dyDescent="0.25">
      <c r="A39" s="2">
        <v>437</v>
      </c>
      <c r="B39" s="23" t="s">
        <v>30</v>
      </c>
      <c r="C39" s="2">
        <v>100</v>
      </c>
      <c r="D39" s="2" t="s">
        <v>42</v>
      </c>
      <c r="E39" s="1"/>
      <c r="F39" s="1">
        <f t="shared" si="0"/>
        <v>0</v>
      </c>
      <c r="I39" s="14"/>
    </row>
    <row r="40" spans="1:9" ht="45.75" x14ac:dyDescent="0.25">
      <c r="A40" s="2">
        <v>438</v>
      </c>
      <c r="B40" s="23" t="s">
        <v>53</v>
      </c>
      <c r="C40" s="2">
        <v>2000</v>
      </c>
      <c r="D40" s="2" t="s">
        <v>44</v>
      </c>
      <c r="E40" s="1"/>
      <c r="F40" s="1">
        <f t="shared" si="0"/>
        <v>0</v>
      </c>
      <c r="I40" s="14"/>
    </row>
    <row r="41" spans="1:9" ht="79.5" x14ac:dyDescent="0.25">
      <c r="A41" s="2">
        <v>439</v>
      </c>
      <c r="B41" s="23" t="s">
        <v>31</v>
      </c>
      <c r="C41" s="2">
        <v>300</v>
      </c>
      <c r="D41" s="2" t="s">
        <v>47</v>
      </c>
      <c r="E41" s="1"/>
      <c r="F41" s="1">
        <f t="shared" si="0"/>
        <v>0</v>
      </c>
      <c r="I41" s="14"/>
    </row>
    <row r="42" spans="1:9" ht="23.25" x14ac:dyDescent="0.25">
      <c r="A42" s="2">
        <v>440</v>
      </c>
      <c r="B42" s="23" t="s">
        <v>32</v>
      </c>
      <c r="C42" s="2">
        <v>250</v>
      </c>
      <c r="D42" s="2" t="s">
        <v>44</v>
      </c>
      <c r="E42" s="1"/>
      <c r="F42" s="1">
        <f t="shared" si="0"/>
        <v>0</v>
      </c>
      <c r="I42" s="14"/>
    </row>
    <row r="43" spans="1:9" ht="23.25" x14ac:dyDescent="0.25">
      <c r="A43" s="2">
        <v>441</v>
      </c>
      <c r="B43" s="23" t="s">
        <v>33</v>
      </c>
      <c r="C43" s="2">
        <v>10</v>
      </c>
      <c r="D43" s="2" t="s">
        <v>48</v>
      </c>
      <c r="E43" s="1"/>
      <c r="F43" s="1">
        <f t="shared" si="0"/>
        <v>0</v>
      </c>
      <c r="I43" s="14"/>
    </row>
    <row r="44" spans="1:9" ht="68.25" x14ac:dyDescent="0.25">
      <c r="A44" s="2">
        <v>442</v>
      </c>
      <c r="B44" s="23" t="s">
        <v>34</v>
      </c>
      <c r="C44" s="2">
        <v>10</v>
      </c>
      <c r="D44" s="2" t="s">
        <v>45</v>
      </c>
      <c r="E44" s="1"/>
      <c r="F44" s="1">
        <f t="shared" si="0"/>
        <v>0</v>
      </c>
      <c r="I44" s="14"/>
    </row>
    <row r="45" spans="1:9" ht="23.25" x14ac:dyDescent="0.25">
      <c r="A45" s="2">
        <v>443</v>
      </c>
      <c r="B45" s="23" t="s">
        <v>51</v>
      </c>
      <c r="C45" s="2">
        <v>600</v>
      </c>
      <c r="D45" s="2" t="s">
        <v>45</v>
      </c>
      <c r="E45" s="1"/>
      <c r="F45" s="1">
        <f t="shared" si="0"/>
        <v>0</v>
      </c>
      <c r="I45" s="14"/>
    </row>
    <row r="46" spans="1:9" x14ac:dyDescent="0.25">
      <c r="A46" s="2">
        <v>444</v>
      </c>
      <c r="B46" s="23" t="s">
        <v>35</v>
      </c>
      <c r="C46" s="2">
        <v>10</v>
      </c>
      <c r="D46" s="2" t="s">
        <v>45</v>
      </c>
      <c r="E46" s="1"/>
      <c r="F46" s="1">
        <f t="shared" si="0"/>
        <v>0</v>
      </c>
      <c r="I46" s="14"/>
    </row>
    <row r="47" spans="1:9" ht="23.25" x14ac:dyDescent="0.25">
      <c r="A47" s="2">
        <v>445</v>
      </c>
      <c r="B47" s="23" t="s">
        <v>36</v>
      </c>
      <c r="C47" s="2">
        <v>20</v>
      </c>
      <c r="D47" s="2" t="s">
        <v>45</v>
      </c>
      <c r="E47" s="1"/>
      <c r="F47" s="1">
        <f t="shared" si="0"/>
        <v>0</v>
      </c>
      <c r="I47" s="14"/>
    </row>
    <row r="48" spans="1:9" ht="34.5" x14ac:dyDescent="0.25">
      <c r="A48" s="2">
        <v>446</v>
      </c>
      <c r="B48" s="23" t="s">
        <v>37</v>
      </c>
      <c r="C48" s="2">
        <v>1200</v>
      </c>
      <c r="D48" s="2" t="s">
        <v>42</v>
      </c>
      <c r="E48" s="1"/>
      <c r="F48" s="1">
        <f t="shared" si="0"/>
        <v>0</v>
      </c>
      <c r="I48" s="14"/>
    </row>
    <row r="49" spans="1:9" ht="18.75" customHeight="1" x14ac:dyDescent="0.25">
      <c r="A49" s="2">
        <v>447</v>
      </c>
      <c r="B49" s="23" t="s">
        <v>49</v>
      </c>
      <c r="C49" s="2">
        <v>1000</v>
      </c>
      <c r="D49" s="2" t="s">
        <v>45</v>
      </c>
      <c r="E49" s="1"/>
      <c r="F49" s="1">
        <f t="shared" si="0"/>
        <v>0</v>
      </c>
      <c r="I49" s="14"/>
    </row>
    <row r="50" spans="1:9" x14ac:dyDescent="0.25">
      <c r="A50" s="2">
        <v>448</v>
      </c>
      <c r="B50" s="23" t="s">
        <v>55</v>
      </c>
      <c r="C50" s="2">
        <v>500</v>
      </c>
      <c r="D50" s="2" t="s">
        <v>46</v>
      </c>
      <c r="E50" s="1"/>
      <c r="F50" s="1">
        <f t="shared" si="0"/>
        <v>0</v>
      </c>
      <c r="I50" s="14"/>
    </row>
    <row r="51" spans="1:9" x14ac:dyDescent="0.25">
      <c r="A51" s="2">
        <v>449</v>
      </c>
      <c r="B51" s="23" t="s">
        <v>56</v>
      </c>
      <c r="C51" s="2">
        <v>500</v>
      </c>
      <c r="D51" s="2" t="s">
        <v>46</v>
      </c>
      <c r="E51" s="1"/>
      <c r="F51" s="1">
        <f t="shared" si="0"/>
        <v>0</v>
      </c>
      <c r="I51" s="14"/>
    </row>
    <row r="52" spans="1:9" x14ac:dyDescent="0.25">
      <c r="A52" s="2">
        <v>450</v>
      </c>
      <c r="B52" s="23" t="s">
        <v>62</v>
      </c>
      <c r="C52" s="2">
        <v>100</v>
      </c>
      <c r="D52" s="2" t="s">
        <v>42</v>
      </c>
      <c r="E52" s="1"/>
      <c r="F52" s="1">
        <f t="shared" si="0"/>
        <v>0</v>
      </c>
      <c r="G52" s="3"/>
      <c r="I52" s="14"/>
    </row>
    <row r="53" spans="1:9" x14ac:dyDescent="0.25">
      <c r="A53" s="2">
        <v>451</v>
      </c>
      <c r="B53" s="23" t="s">
        <v>63</v>
      </c>
      <c r="C53" s="2">
        <v>100</v>
      </c>
      <c r="D53" s="2" t="s">
        <v>42</v>
      </c>
      <c r="E53" s="1"/>
      <c r="F53" s="1">
        <f t="shared" si="0"/>
        <v>0</v>
      </c>
      <c r="G53" s="3"/>
      <c r="I53" s="14"/>
    </row>
    <row r="54" spans="1:9" x14ac:dyDescent="0.25">
      <c r="A54" s="2">
        <v>452</v>
      </c>
      <c r="B54" s="23" t="s">
        <v>64</v>
      </c>
      <c r="C54" s="2">
        <v>100</v>
      </c>
      <c r="D54" s="2" t="s">
        <v>42</v>
      </c>
      <c r="E54" s="1"/>
      <c r="F54" s="1">
        <f t="shared" si="0"/>
        <v>0</v>
      </c>
      <c r="G54" s="3"/>
      <c r="I54" s="14"/>
    </row>
    <row r="55" spans="1:9" x14ac:dyDescent="0.25">
      <c r="A55" s="2">
        <v>453</v>
      </c>
      <c r="B55" s="23" t="s">
        <v>59</v>
      </c>
      <c r="C55" s="6">
        <v>1000</v>
      </c>
      <c r="D55" s="2" t="s">
        <v>47</v>
      </c>
      <c r="E55" s="1"/>
      <c r="F55" s="1">
        <f t="shared" si="0"/>
        <v>0</v>
      </c>
      <c r="I55" s="14"/>
    </row>
    <row r="56" spans="1:9" ht="23.25" x14ac:dyDescent="0.25">
      <c r="A56" s="2">
        <v>454</v>
      </c>
      <c r="B56" s="23" t="s">
        <v>60</v>
      </c>
      <c r="C56" s="6">
        <v>300</v>
      </c>
      <c r="D56" s="2" t="s">
        <v>44</v>
      </c>
      <c r="E56" s="1"/>
      <c r="F56" s="1">
        <f t="shared" si="0"/>
        <v>0</v>
      </c>
      <c r="I56" s="14"/>
    </row>
    <row r="57" spans="1:9" x14ac:dyDescent="0.25">
      <c r="A57" s="2">
        <v>455</v>
      </c>
      <c r="B57" s="23" t="s">
        <v>61</v>
      </c>
      <c r="C57" s="6">
        <v>30000</v>
      </c>
      <c r="D57" s="2" t="s">
        <v>47</v>
      </c>
      <c r="E57" s="1"/>
      <c r="F57" s="1">
        <f t="shared" si="0"/>
        <v>0</v>
      </c>
      <c r="I57" s="14"/>
    </row>
    <row r="58" spans="1:9" ht="23.25" x14ac:dyDescent="0.25">
      <c r="A58" s="2">
        <v>456</v>
      </c>
      <c r="B58" s="23" t="s">
        <v>70</v>
      </c>
      <c r="C58" s="6">
        <v>30000</v>
      </c>
      <c r="D58" s="2" t="s">
        <v>47</v>
      </c>
      <c r="E58" s="1"/>
      <c r="F58" s="1">
        <f t="shared" si="0"/>
        <v>0</v>
      </c>
      <c r="I58" s="14"/>
    </row>
    <row r="59" spans="1:9" s="8" customFormat="1" ht="23.25" x14ac:dyDescent="0.25">
      <c r="A59" s="2">
        <v>457</v>
      </c>
      <c r="B59" s="23" t="s">
        <v>69</v>
      </c>
      <c r="C59" s="6">
        <v>10</v>
      </c>
      <c r="D59" s="2" t="s">
        <v>45</v>
      </c>
      <c r="E59" s="1"/>
      <c r="F59" s="1">
        <f t="shared" si="0"/>
        <v>0</v>
      </c>
      <c r="G59" s="7"/>
      <c r="I59" s="14"/>
    </row>
    <row r="60" spans="1:9" s="8" customFormat="1" ht="23.25" x14ac:dyDescent="0.25">
      <c r="A60" s="2">
        <v>458</v>
      </c>
      <c r="B60" s="23" t="s">
        <v>65</v>
      </c>
      <c r="C60" s="6">
        <v>200</v>
      </c>
      <c r="D60" s="2" t="s">
        <v>42</v>
      </c>
      <c r="E60" s="1"/>
      <c r="F60" s="1">
        <f t="shared" si="0"/>
        <v>0</v>
      </c>
      <c r="G60" s="7"/>
      <c r="I60" s="14"/>
    </row>
    <row r="61" spans="1:9" s="8" customFormat="1" ht="23.25" x14ac:dyDescent="0.25">
      <c r="A61" s="2">
        <v>459</v>
      </c>
      <c r="B61" s="23" t="s">
        <v>66</v>
      </c>
      <c r="C61" s="6">
        <v>200</v>
      </c>
      <c r="D61" s="2" t="s">
        <v>42</v>
      </c>
      <c r="E61" s="1"/>
      <c r="F61" s="1">
        <f t="shared" si="0"/>
        <v>0</v>
      </c>
      <c r="G61" s="7"/>
      <c r="I61" s="14"/>
    </row>
    <row r="62" spans="1:9" ht="23.25" x14ac:dyDescent="0.25">
      <c r="A62" s="2">
        <v>460</v>
      </c>
      <c r="B62" s="23" t="s">
        <v>67</v>
      </c>
      <c r="C62" s="6">
        <v>500</v>
      </c>
      <c r="D62" s="2" t="s">
        <v>46</v>
      </c>
      <c r="E62" s="1"/>
      <c r="F62" s="1">
        <f t="shared" si="0"/>
        <v>0</v>
      </c>
    </row>
    <row r="63" spans="1:9" ht="23.25" x14ac:dyDescent="0.25">
      <c r="A63" s="2">
        <v>461</v>
      </c>
      <c r="B63" s="23" t="s">
        <v>68</v>
      </c>
      <c r="C63" s="6">
        <v>5</v>
      </c>
      <c r="D63" s="2" t="s">
        <v>45</v>
      </c>
      <c r="E63" s="1"/>
      <c r="F63" s="1">
        <f t="shared" si="0"/>
        <v>0</v>
      </c>
    </row>
    <row r="64" spans="1:9" x14ac:dyDescent="0.25">
      <c r="A64" s="33"/>
      <c r="B64" s="34"/>
      <c r="C64" s="35" t="s">
        <v>71</v>
      </c>
      <c r="D64" s="36"/>
      <c r="E64" s="34"/>
      <c r="F64" s="37">
        <f>+SUM(F3:F63)</f>
        <v>0</v>
      </c>
    </row>
    <row r="65" spans="1:15" s="30" customFormat="1" x14ac:dyDescent="0.25">
      <c r="A65" s="41" t="s">
        <v>72</v>
      </c>
      <c r="B65" s="42"/>
      <c r="C65" s="42"/>
      <c r="D65" s="42"/>
      <c r="E65" s="42"/>
      <c r="F65" s="37">
        <f>SUM('2025 Base'!F64,'Option 1'!F64,'Option 2'!F64,'Option 3'!F64,'Option 4'!F64)</f>
        <v>0</v>
      </c>
      <c r="J65" s="31"/>
      <c r="O65" s="31"/>
    </row>
    <row r="66" spans="1:15" s="30" customFormat="1" x14ac:dyDescent="0.25">
      <c r="A66" s="26"/>
      <c r="B66" s="27"/>
      <c r="C66" s="26"/>
      <c r="D66" s="26"/>
      <c r="E66" s="28"/>
      <c r="F66" s="29"/>
    </row>
    <row r="67" spans="1:15" s="30" customFormat="1" x14ac:dyDescent="0.25">
      <c r="A67" s="26"/>
      <c r="B67" s="27"/>
      <c r="C67" s="26"/>
      <c r="D67" s="26"/>
      <c r="E67" s="28"/>
      <c r="F67" s="29"/>
    </row>
    <row r="68" spans="1:15" s="30" customFormat="1" x14ac:dyDescent="0.25">
      <c r="A68" s="26"/>
      <c r="B68" s="27"/>
      <c r="C68" s="26"/>
      <c r="D68" s="26"/>
      <c r="E68" s="28"/>
      <c r="F68" s="29"/>
    </row>
    <row r="69" spans="1:15" s="30" customFormat="1" x14ac:dyDescent="0.25">
      <c r="A69" s="26"/>
      <c r="B69" s="27"/>
      <c r="C69" s="26"/>
      <c r="D69" s="26"/>
      <c r="E69" s="28"/>
      <c r="F69" s="29"/>
    </row>
    <row r="70" spans="1:15" s="30" customFormat="1" x14ac:dyDescent="0.25">
      <c r="A70" s="26"/>
      <c r="B70" s="27"/>
      <c r="C70" s="26"/>
      <c r="D70" s="26"/>
      <c r="E70" s="28"/>
      <c r="F70" s="29"/>
    </row>
    <row r="71" spans="1:15" s="30" customFormat="1" x14ac:dyDescent="0.25">
      <c r="A71" s="26"/>
      <c r="B71" s="27"/>
      <c r="C71" s="26"/>
      <c r="D71" s="26"/>
      <c r="E71" s="28"/>
      <c r="F71" s="29"/>
    </row>
    <row r="72" spans="1:15" s="30" customFormat="1" x14ac:dyDescent="0.25">
      <c r="A72" s="26"/>
      <c r="B72" s="27"/>
      <c r="C72" s="26"/>
      <c r="D72" s="26"/>
      <c r="E72" s="28"/>
      <c r="F72" s="28"/>
    </row>
    <row r="73" spans="1:15" s="30" customFormat="1" x14ac:dyDescent="0.25">
      <c r="C73" s="32"/>
      <c r="D73" s="32"/>
    </row>
    <row r="74" spans="1:15" s="30" customFormat="1" x14ac:dyDescent="0.25">
      <c r="C74" s="32"/>
      <c r="D74" s="32"/>
    </row>
  </sheetData>
  <mergeCells count="2">
    <mergeCell ref="A65:E65"/>
    <mergeCell ref="A1:F1"/>
  </mergeCells>
  <pageMargins left="0.7" right="0.7" top="0.75" bottom="0.75" header="0.3" footer="0.3"/>
  <pageSetup scale="94" fitToHeight="0" orientation="portrait" r:id="rId1"/>
</worksheet>
</file>

<file path=docMetadata/LabelInfo.xml><?xml version="1.0" encoding="utf-8"?>
<clbl:labelList xmlns:clbl="http://schemas.microsoft.com/office/2020/mipLabelMetadata">
  <clbl:label id="{fae6d70f-954b-4811-92b6-0530d6f84c43}" enabled="0" method="" siteId="{fae6d70f-954b-4811-92b6-0530d6f84c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2025 Base</vt:lpstr>
      <vt:lpstr>Option 1</vt:lpstr>
      <vt:lpstr>Option 2</vt:lpstr>
      <vt:lpstr>Option 3</vt:lpstr>
      <vt:lpstr>Option 4</vt:lpstr>
      <vt:lpstr>'2025 Base'!Print_Area</vt:lpstr>
      <vt:lpstr>'Option 1'!Print_Area</vt:lpstr>
      <vt:lpstr>'Option 2'!Print_Area</vt:lpstr>
      <vt:lpstr>'Option 3'!Print_Area</vt:lpstr>
      <vt:lpstr>'Option 4'!Print_Area</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andrew.m.hutchison</dc:creator>
  <cp:lastModifiedBy>Barks, Dillon S CIV USARMY ID-TRAINING (USA)</cp:lastModifiedBy>
  <cp:lastPrinted>2025-02-27T21:37:44Z</cp:lastPrinted>
  <dcterms:created xsi:type="dcterms:W3CDTF">2013-04-10T18:15:21Z</dcterms:created>
  <dcterms:modified xsi:type="dcterms:W3CDTF">2025-03-03T14:25:33Z</dcterms:modified>
</cp:coreProperties>
</file>