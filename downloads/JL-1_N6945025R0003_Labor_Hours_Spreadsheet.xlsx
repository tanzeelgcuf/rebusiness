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xr:revisionPtr revIDLastSave="0" documentId="13_ncr:1_{79727D13-00A2-4D51-8D7D-EB6C2667FC34}" xr6:coauthVersionLast="47" xr6:coauthVersionMax="47" xr10:uidLastSave="{00000000-0000-0000-0000-000000000000}"/>
  <bookViews>
    <workbookView xWindow="28680" yWindow="90" windowWidth="29040" windowHeight="15630" firstSheet="1" activeTab="1" xr2:uid="{00000000-000D-0000-FFFF-FFFF00000000}"/>
  </bookViews>
  <sheets>
    <sheet name="Basis of Estimate (2)" sheetId="247" state="hidden" r:id="rId1"/>
    <sheet name="JL-1 CLIN 0001 RW" sheetId="295" r:id="rId2"/>
    <sheet name="JL-1 CLIN 0003 Base Water RW" sheetId="241" r:id="rId3"/>
    <sheet name="CLIN 0003 1st Option RW" sheetId="189" state="hidden" r:id="rId4"/>
    <sheet name="CLIN 0004 1st Option N-RW" sheetId="190" state="hidden" r:id="rId5"/>
    <sheet name="CLIN 0005 1st Option Water RW" sheetId="188" state="hidden" r:id="rId6"/>
    <sheet name="CLIN 0006 2nd Option RW" sheetId="191" state="hidden" r:id="rId7"/>
    <sheet name="CLIN 0007 2nd Option N-RW" sheetId="192" state="hidden" r:id="rId8"/>
    <sheet name="CLIN 0008 2nd Option Water RW" sheetId="193" state="hidden" r:id="rId9"/>
    <sheet name="CLIN 0009 3rd Option RW" sheetId="194" state="hidden" r:id="rId10"/>
    <sheet name="CLIN 0010 3rd Option N-RW" sheetId="195" state="hidden" r:id="rId11"/>
    <sheet name="CLIN 0011 3rd Option Water RW" sheetId="196" state="hidden" r:id="rId12"/>
    <sheet name="CLIN 0012 4th Option RW" sheetId="197" state="hidden" r:id="rId13"/>
    <sheet name="CLIN 0013 4th Option N-RW" sheetId="198" state="hidden" r:id="rId14"/>
    <sheet name="CLIN 0014 4th Option Water RW" sheetId="199" state="hidden" r:id="rId15"/>
    <sheet name="CLIN 0015 5th Option RW" sheetId="200" state="hidden" r:id="rId16"/>
    <sheet name="CLIN 0016 5th Option N-RW" sheetId="201" state="hidden" r:id="rId17"/>
    <sheet name="CLIN 0017 5th Option Water RW" sheetId="202" state="hidden" r:id="rId18"/>
    <sheet name="CLIN 0018 6th Option RW" sheetId="203" state="hidden" r:id="rId19"/>
    <sheet name="CLIN 0019 6th Option N-RW" sheetId="204" state="hidden" r:id="rId20"/>
    <sheet name="CLIN 0020 6th Option Water RW" sheetId="205" state="hidden" r:id="rId21"/>
    <sheet name="CLIN 0021 7th Option RW" sheetId="206" state="hidden" r:id="rId22"/>
    <sheet name="CLIN 0022 7th Option N-RW" sheetId="207" state="hidden" r:id="rId23"/>
    <sheet name="CLIN 0023 7th Option Water RW" sheetId="208" state="hidden" r:id="rId24"/>
    <sheet name="CLIN 0024 52.217-8 RW" sheetId="209" state="hidden" r:id="rId25"/>
    <sheet name="CLIN 0025 52.217-8 N-RW" sheetId="210" state="hidden" r:id="rId26"/>
    <sheet name="CLIN 0026 52.217-8 Water RW" sheetId="211" state="hidden" r:id="rId27"/>
    <sheet name="Mayport 3.4.2 Boilers &amp; UPVs" sheetId="147" state="hidden" r:id="rId28"/>
    <sheet name="Mayport 3.2.5 UPV" sheetId="99" state="hidden" r:id="rId29"/>
    <sheet name="Mayport 3.4.5 VTE" sheetId="148" state="hidden" r:id="rId30"/>
    <sheet name="Mayport 3.5.11 Oil Water Sep" sheetId="115" state="hidden" r:id="rId31"/>
    <sheet name="Mayport 3.5.12 Traffic Lights" sheetId="112" state="hidden" r:id="rId32"/>
    <sheet name="Mayport 1604000 (Wastewater)" sheetId="125" state="hidden" r:id="rId33"/>
    <sheet name="Mayport 1605000 (Steam)" sheetId="126" state="hidden" r:id="rId34"/>
    <sheet name="Wage Determination - IPUAT" sheetId="8"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_____________FY09"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mp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wrn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mp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wrn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mp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wrn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mp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wrn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xlfn.BAHTTEXT" hidden="1">#NAME?</definedName>
    <definedName name="___eac123"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mp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n14"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wrn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xlfn.BAHTTEXT" hidden="1">#NAME?</definedName>
    <definedName name="__123Graph_A" hidden="1">'[1]J-SEC'!#REF!</definedName>
    <definedName name="__123Graph_ACurrent" hidden="1">'[1]J-SEC'!#REF!</definedName>
    <definedName name="__123Graph_B" hidden="1">'[1]J-SEC'!#REF!</definedName>
    <definedName name="__123Graph_BCurrent" hidden="1">'[1]J-SEC'!#REF!</definedName>
    <definedName name="__123Graph_X" hidden="1">'[1]J-SEC'!#REF!</definedName>
    <definedName name="__123Graph_XCurrent" hidden="1">'[1]J-SEC'!#REF!</definedName>
    <definedName name="__B1"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ookmark_1">'[2]1502000 FX'!#REF!</definedName>
    <definedName name="__BP6484" localSheetId="0" hidden="1">{"laborr",#N/A,FALSE,"Sheet1";"sumr",#N/A,FALSE,"Sheet1";"odcr",#N/A,FALSE,"Sheet1";"trip1r",#N/A,FALSE,"Sheet1";"trip2r",#N/A,FALSE,"Sheet1";"trip3r",#N/A,FALSE,"Sheet1";"trip4r",#N/A,FALSE,"Sheet1"}</definedName>
    <definedName name="__BP6484" hidden="1">{"laborr",#N/A,FALSE,"Sheet1";"sumr",#N/A,FALSE,"Sheet1";"odcr",#N/A,FALSE,"Sheet1";"trip1r",#N/A,FALSE,"Sheet1";"trip2r",#N/A,FALSE,"Sheet1";"trip3r",#N/A,FALSE,"Sheet1";"trip4r",#N/A,FALSE,"Sheet1"}</definedName>
    <definedName name="__BP6484_1" localSheetId="0" hidden="1">{"laborr",#N/A,FALSE,"Sheet1";"sumr",#N/A,FALSE,"Sheet1";"odcr",#N/A,FALSE,"Sheet1";"trip1r",#N/A,FALSE,"Sheet1";"trip2r",#N/A,FALSE,"Sheet1";"trip3r",#N/A,FALSE,"Sheet1";"trip4r",#N/A,FALSE,"Sheet1"}</definedName>
    <definedName name="__BP6484_1" hidden="1">{"laborr",#N/A,FALSE,"Sheet1";"sumr",#N/A,FALSE,"Sheet1";"odcr",#N/A,FALSE,"Sheet1";"trip1r",#N/A,FALSE,"Sheet1";"trip2r",#N/A,FALSE,"Sheet1";"trip3r",#N/A,FALSE,"Sheet1";"trip4r",#N/A,FALSE,"Sheet1"}</definedName>
    <definedName name="__eac123"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DS_HYPERLINK_TOGGLE_STATE__" hidden="1">"ON"</definedName>
    <definedName name="__FY09"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IntlFixup" hidden="1">TRUE</definedName>
    <definedName name="__mp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n14"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te1" localSheetId="0" hidden="1">{"'1098trans'!$A$10:$F$64","'1098trans'!$A$65:$A$66","'1098trans'!$A$67:$D$69","'1098trans'!$A$64:$F$69"}</definedName>
    <definedName name="__te1" hidden="1">{"'1098trans'!$A$10:$F$64","'1098trans'!$A$65:$A$66","'1098trans'!$A$67:$D$69","'1098trans'!$A$64:$F$69"}</definedName>
    <definedName name="__tim1" localSheetId="0" hidden="1">{"PAGE1",#N/A,FALSE,"allocation base";"PAGE2",#N/A,FALSE,"burden";"PAGE3",#N/A,FALSE,"burden";"PAGE4",#N/A,FALSE,"labor rates";"PAGE5",#N/A,FALSE,"labor rates";"PAGE6",#N/A,FALSE,"labor rates"}</definedName>
    <definedName name="__tim1" hidden="1">{"PAGE1",#N/A,FALSE,"allocation base";"PAGE2",#N/A,FALSE,"burden";"PAGE3",#N/A,FALSE,"burden";"PAGE4",#N/A,FALSE,"labor rates";"PAGE5",#N/A,FALSE,"labor rates";"PAGE6",#N/A,FALSE,"labor rates"}</definedName>
    <definedName name="__wrn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xlfn.BAHTTEXT" hidden="1">#NAME?</definedName>
    <definedName name="_1__123Graph_ACHART_1" hidden="1">[3]CASHFLOW!$F$192:$F$197</definedName>
    <definedName name="_2__123Graph_ACHART_1" hidden="1">[3]CASHFLOW!$F$192:$F$197</definedName>
    <definedName name="_2__123Graph_ACHART_2" hidden="1">[3]CASHFLOW!$F$192:$F$197</definedName>
    <definedName name="_3__123Graph_ACHART_2" hidden="1">[3]CASHFLOW!$F$192:$F$197</definedName>
    <definedName name="_3__123Graph_XCHART_2" hidden="1">[3]CASHFLOW!$E$192:$E$197</definedName>
    <definedName name="_4__123Graph_XCHART_2" hidden="1">[3]CASHFLOW!$E$192:$E$197</definedName>
    <definedName name="_a1" localSheetId="0" hidden="1">{"PAGE1",#N/A,FALSE,"CPFFMSTR";"PAGE2",#N/A,FALSE,"CPFFMSTR"}</definedName>
    <definedName name="_a1" hidden="1">{"PAGE1",#N/A,FALSE,"CPFFMSTR";"PAGE2",#N/A,FALSE,"CPFFMSTR"}</definedName>
    <definedName name="_a1_1" localSheetId="0" hidden="1">{"PAGE1",#N/A,FALSE,"CPFFMSTR";"PAGE2",#N/A,FALSE,"CPFFMSTR"}</definedName>
    <definedName name="_a1_1" hidden="1">{"PAGE1",#N/A,FALSE,"CPFFMSTR";"PAGE2",#N/A,FALSE,"CPFFMSTR"}</definedName>
    <definedName name="_alt2" localSheetId="0" hidden="1">{#N/A,#N/A,FALSE,"Sheet1"}</definedName>
    <definedName name="_alt2" hidden="1">{#N/A,#N/A,FALSE,"Sheet1"}</definedName>
    <definedName name="_B1"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P6484" localSheetId="0" hidden="1">{"laborr",#N/A,FALSE,"Sheet1";"sumr",#N/A,FALSE,"Sheet1";"odcr",#N/A,FALSE,"Sheet1";"trip1r",#N/A,FALSE,"Sheet1";"trip2r",#N/A,FALSE,"Sheet1";"trip3r",#N/A,FALSE,"Sheet1";"trip4r",#N/A,FALSE,"Sheet1"}</definedName>
    <definedName name="_BP6484" hidden="1">{"laborr",#N/A,FALSE,"Sheet1";"sumr",#N/A,FALSE,"Sheet1";"odcr",#N/A,FALSE,"Sheet1";"trip1r",#N/A,FALSE,"Sheet1";"trip2r",#N/A,FALSE,"Sheet1";"trip3r",#N/A,FALSE,"Sheet1";"trip4r",#N/A,FALSE,"Sheet1"}</definedName>
    <definedName name="_BP6484_1" localSheetId="0" hidden="1">{"laborr",#N/A,FALSE,"Sheet1";"sumr",#N/A,FALSE,"Sheet1";"odcr",#N/A,FALSE,"Sheet1";"trip1r",#N/A,FALSE,"Sheet1";"trip2r",#N/A,FALSE,"Sheet1";"trip3r",#N/A,FALSE,"Sheet1";"trip4r",#N/A,FALSE,"Sheet1"}</definedName>
    <definedName name="_BP6484_1" hidden="1">{"laborr",#N/A,FALSE,"Sheet1";"sumr",#N/A,FALSE,"Sheet1";"odcr",#N/A,FALSE,"Sheet1";"trip1r",#N/A,FALSE,"Sheet1";"trip2r",#N/A,FALSE,"Sheet1";"trip3r",#N/A,FALSE,"Sheet1";"trip4r",#N/A,FALSE,"Sheet1"}</definedName>
    <definedName name="_CCC031126" localSheetId="0" hidden="1">{#N/A,#N/A,FALSE,"Sheet1"}</definedName>
    <definedName name="_CCC031126" hidden="1">{#N/A,#N/A,FALSE,"Sheet1"}</definedName>
    <definedName name="_eac123"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xlnm._FilterDatabase" localSheetId="5" hidden="1">'CLIN 0005 1st Option Water RW'!$E$8:$L$8</definedName>
    <definedName name="_xlnm._FilterDatabase" localSheetId="2" hidden="1">'JL-1 CLIN 0003 Base Water RW'!$E$9:$H$9</definedName>
    <definedName name="_FTE1" localSheetId="0">#REF!</definedName>
    <definedName name="_FTE1">#REF!</definedName>
    <definedName name="_FY09"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g1"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gt67" localSheetId="0" hidden="1">{"'Vietnam'!$E$21:$W$45","'Vietnam'!$E$21:$W$45"}</definedName>
    <definedName name="_ggt67" hidden="1">{"'Vietnam'!$E$21:$W$45","'Vietnam'!$E$21:$W$45"}</definedName>
    <definedName name="_M1"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n14"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odc1" localSheetId="0" hidden="1">{#N/A,#N/A,FALSE,"ManLoading"}</definedName>
    <definedName name="_odc1" hidden="1">{#N/A,#N/A,FALSE,"ManLoading"}</definedName>
    <definedName name="_odc1_1" localSheetId="0" hidden="1">{#N/A,#N/A,FALSE,"ManLoading"}</definedName>
    <definedName name="_odc1_1" hidden="1">{#N/A,#N/A,FALSE,"ManLoading"}</definedName>
    <definedName name="_odc2" localSheetId="0" hidden="1">{#N/A,#N/A,FALSE,"ManLoading"}</definedName>
    <definedName name="_odc2" hidden="1">{#N/A,#N/A,FALSE,"ManLoading"}</definedName>
    <definedName name="_odc2_1" localSheetId="0" hidden="1">{#N/A,#N/A,FALSE,"ManLoading"}</definedName>
    <definedName name="_odc2_1" hidden="1">{#N/A,#N/A,FALSE,"ManLoading"}</definedName>
    <definedName name="_Order1" hidden="1">255</definedName>
    <definedName name="_Order2" hidden="1">255</definedName>
    <definedName name="_Order2_1" hidden="1">255</definedName>
    <definedName name="_ORG1" localSheetId="0">#REF!</definedName>
    <definedName name="_ORG1">#REF!</definedName>
    <definedName name="_Q1"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Regression_Int" hidden="1">1</definedName>
    <definedName name="_SMn14"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t1"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able1_in2" hidden="1">[4]Overview!$F$19</definedName>
    <definedName name="_te1" localSheetId="0" hidden="1">{"'1098trans'!$A$10:$F$64","'1098trans'!$A$65:$A$66","'1098trans'!$A$67:$D$69","'1098trans'!$A$64:$F$69"}</definedName>
    <definedName name="_te1" hidden="1">{"'1098trans'!$A$10:$F$64","'1098trans'!$A$65:$A$66","'1098trans'!$A$67:$D$69","'1098trans'!$A$64:$F$69"}</definedName>
    <definedName name="_tim1" localSheetId="0" hidden="1">{"PAGE1",#N/A,FALSE,"allocation base";"PAGE2",#N/A,FALSE,"burden";"PAGE3",#N/A,FALSE,"burden";"PAGE4",#N/A,FALSE,"labor rates";"PAGE5",#N/A,FALSE,"labor rates";"PAGE6",#N/A,FALSE,"labor rates"}</definedName>
    <definedName name="_tim1" hidden="1">{"PAGE1",#N/A,FALSE,"allocation base";"PAGE2",#N/A,FALSE,"burden";"PAGE3",#N/A,FALSE,"burden";"PAGE4",#N/A,FALSE,"labor rates";"PAGE5",#N/A,FALSE,"labor rates";"PAGE6",#N/A,FALSE,"labor rates"}</definedName>
    <definedName name="_wrn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x1" localSheetId="0" hidden="1">{TRUE,TRUE,-0.8,-17,483.6,277.2,FALSE,TRUE,TRUE,TRUE,0,1,#N/A,1,#N/A,52.4666666666667,24.0625,1,FALSE,FALSE,3,TRUE,1,FALSE,75,"Swvu.PRESENTATION.","ACwvu.PRESENTATION.",#N/A,FALSE,FALSE,0,0,0.5,0,2,"","",TRUE,FALSE,FALSE,FALSE,1,#N/A,1,1,FALSE,FALSE,"Rwvu.PRESENTATION.",#N/A,FALSE,FALSE,FALSE,1,#N/A,#N/A,FALSE,FALSE,TRUE,TRUE,TRUE}</definedName>
    <definedName name="_x1"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0" hidden="1">{TRUE,TRUE,-0.8,-17,483.6,277.2,FALSE,TRUE,TRUE,TRUE,0,1,#N/A,1,#N/A,52.4666666666667,24.0625,1,FALSE,FALSE,3,TRUE,1,FALSE,75,"Swvu.PRESENTATION.","ACwvu.PRESENTATION.",#N/A,FALSE,FALSE,0,0,0.5,0,2,"","",TRUE,FALSE,FALSE,FALSE,1,#N/A,1,1,FALSE,FALSE,"Rwvu.PRESENTATION.",#N/A,FALSE,FALSE,FALSE,1,#N/A,#N/A,FALSE,FALSE,TRUE,TRUE,TRUE}</definedName>
    <definedName name="_x12"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0" hidden="1">{TRUE,TRUE,-0.8,-17,483.6,277.2,FALSE,TRUE,TRUE,TRUE,0,1,#N/A,1,#N/A,52.4666666666667,24.0625,1,FALSE,FALSE,3,TRUE,1,FALSE,75,"Swvu.PRESENTATION.","ACwvu.PRESENTATION.",#N/A,FALSE,FALSE,0,0,0.5,0,2,"","",TRUE,FALSE,FALSE,FALSE,1,#N/A,1,1,FALSE,FALSE,"Rwvu.PRESENTATION.",#N/A,FALSE,FALSE,FALSE,1,#N/A,#N/A,FALSE,FALSE,TRUE,TRUE,TRUE}</definedName>
    <definedName name="_x123"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0" hidden="1">{TRUE,TRUE,-0.8,-17,483.6,277.2,FALSE,TRUE,TRUE,TRUE,0,1,#N/A,1,#N/A,52.4666666666667,24.0625,1,FALSE,FALSE,3,TRUE,1,FALSE,75,"Swvu.PRESENTATION.","ACwvu.PRESENTATION.",#N/A,FALSE,FALSE,0,0,0.5,0,2,"","",TRUE,FALSE,FALSE,FALSE,1,#N/A,1,1,FALSE,FALSE,"Rwvu.PRESENTATION.",#N/A,FALSE,FALSE,FALSE,1,#N/A,#N/A,FALSE,FALSE,TRUE,TRUE,TRUE}</definedName>
    <definedName name="_x4"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0" hidden="1">{TRUE,TRUE,-0.8,-17,483.6,277.2,FALSE,TRUE,TRUE,TRUE,0,1,#N/A,1,#N/A,52.4666666666667,24.0625,1,FALSE,FALSE,3,TRUE,1,FALSE,75,"Swvu.PRESENTATION.","ACwvu.PRESENTATION.",#N/A,FALSE,FALSE,0,0,0.5,0,2,"","",TRUE,FALSE,FALSE,FALSE,1,#N/A,1,1,FALSE,FALSE,"Rwvu.PRESENTATION.",#N/A,FALSE,FALSE,FALSE,1,#N/A,#N/A,FALSE,FALSE,TRUE,TRUE,TRUE}</definedName>
    <definedName name="_x412"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0" hidden="1">{TRUE,TRUE,-0.8,-17,483.6,277.2,FALSE,TRUE,TRUE,TRUE,0,1,#N/A,1,#N/A,52.4666666666667,24.0625,1,FALSE,FALSE,3,TRUE,1,FALSE,75,"Swvu.PRESENTATION.","ACwvu.PRESENTATION.",#N/A,FALSE,FALSE,0,0,0.5,0,2,"","",TRUE,FALSE,FALSE,FALSE,1,#N/A,1,1,FALSE,FALSE,"Rwvu.PRESENTATION.",#N/A,FALSE,FALSE,FALSE,1,#N/A,#N/A,FALSE,FALSE,TRUE,TRUE,TRUE}</definedName>
    <definedName name="_x4123" hidden="1">{TRUE,TRUE,-0.8,-17,483.6,277.2,FALSE,TRUE,TRUE,TRUE,0,1,#N/A,1,#N/A,52.4666666666667,24.0625,1,FALSE,FALSE,3,TRUE,1,FALSE,75,"Swvu.PRESENTATION.","ACwvu.PRESENTATION.",#N/A,FALSE,FALSE,0,0,0.5,0,2,"","",TRUE,FALSE,FALSE,FALSE,1,#N/A,1,1,FALSE,FALSE,"Rwvu.PRESENTATION.",#N/A,FALSE,FALSE,FALSE,1,#N/A,#N/A,FALSE,FALSE,TRUE,TRUE,TRUE}</definedName>
    <definedName name="a" localSheetId="0" hidden="1">{#N/A,#N/A,FALSE,"Sheet1"}</definedName>
    <definedName name="a" hidden="1">{#N/A,#N/A,FALSE,"Sheet1"}</definedName>
    <definedName name="a.1" localSheetId="0" hidden="1">{#N/A,#N/A,FALSE,"Sheet1"}</definedName>
    <definedName name="a.1" hidden="1">{#N/A,#N/A,FALSE,"Sheet1"}</definedName>
    <definedName name="aa" localSheetId="0" hidden="1">{"'1098trans'!$A$10:$F$64","'1098trans'!$A$65:$A$66","'1098trans'!$A$67:$D$69","'1098trans'!$A$64:$F$69"}</definedName>
    <definedName name="aa" hidden="1">{"'1098trans'!$A$10:$F$64","'1098trans'!$A$65:$A$66","'1098trans'!$A$67:$D$69","'1098trans'!$A$64:$F$69"}</definedName>
    <definedName name="aaa" localSheetId="0" hidden="1">{#N/A,#N/A,FALSE,"Sheet1"}</definedName>
    <definedName name="aaa" hidden="1">{#N/A,#N/A,FALSE,"Sheet1"}</definedName>
    <definedName name="aaaa"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 localSheetId="0" hidden="1">{"1999 Revenue",#N/A,FALSE,"Voice ";"1999 Traffic",#N/A,FALSE,"Voice "}</definedName>
    <definedName name="aaaaaa" hidden="1">{"1999 Revenue",#N/A,FALSE,"Voice ";"1999 Traffic",#N/A,FALSE,"Voice "}</definedName>
    <definedName name="aaaaaaa" localSheetId="0" hidden="1">{"1999 Revenue",#N/A,FALSE,"IBS";"1999 Traffic",#N/A,FALSE,"IBS"}</definedName>
    <definedName name="aaaaaaa" hidden="1">{"1999 Revenue",#N/A,FALSE,"IBS";"1999 Traffic",#N/A,FALSE,"IBS"}</definedName>
    <definedName name="aaaaaaaa"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 localSheetId="0" hidden="1">{"Start",#N/A,FALSE,"Menu";"P&amp;L",#N/A,FALSE,"Monthly P&amp;L";"Rev",#N/A,FALSE,"Revenue Summary";"budbar",#N/A,FALSE,"Budget-Variance";"priorvar",#N/A,FALSE,"Prior Month Var";"DetailRev",#N/A,FALSE,"Detail  Budget Var (Revenue)";"Detailom",#N/A,FALSE,"Detail Budget Var (O&amp;M)"}</definedName>
    <definedName name="aaaaaaaaa" hidden="1">{"Start",#N/A,FALSE,"Menu";"P&amp;L",#N/A,FALSE,"Monthly P&amp;L";"Rev",#N/A,FALSE,"Revenue Summary";"budbar",#N/A,FALSE,"Budget-Variance";"priorvar",#N/A,FALSE,"Prior Month Var";"DetailRev",#N/A,FALSE,"Detail  Budget Var (Revenue)";"Detailom",#N/A,FALSE,"Detail Budget Var (O&amp;M)"}</definedName>
    <definedName name="aaaaaaaaaa" localSheetId="0" hidden="1">{#N/A,#N/A,FALSE,"Monthly"}</definedName>
    <definedName name="aaaaaaaaaa" hidden="1">{#N/A,#N/A,FALSE,"Monthly"}</definedName>
    <definedName name="aaaaaaaaaaa"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xls"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0" hidden="1">{"1999 Revenue",#N/A,FALSE,"Voice ";"1999 Traffic",#N/A,FALSE,"Voice "}</definedName>
    <definedName name="abbbbbbbb" hidden="1">{"1999 Revenue",#N/A,FALSE,"Voice ";"1999 Traffic",#N/A,FALSE,"Voice "}</definedName>
    <definedName name="abbbbbbbbb" localSheetId="0" hidden="1">{"1999 Revenue",#N/A,FALSE,"IBS";"1999 Traffic",#N/A,FALSE,"IBS"}</definedName>
    <definedName name="abbbbbbbbb" hidden="1">{"1999 Revenue",#N/A,FALSE,"IBS";"1999 Traffic",#N/A,FALSE,"IBS"}</definedName>
    <definedName name="abbbbbbbbbb" localSheetId="0" hidden="1">{"Start",#N/A,FALSE,"Menu";"P&amp;L",#N/A,FALSE,"Monthly P&amp;L";"Rev",#N/A,FALSE,"Revenue Summary";"budbar",#N/A,FALSE,"Budget-Variance";"priorvar",#N/A,FALSE,"Prior Month Var";"DetailRev",#N/A,FALSE,"Detail  Budget Var (Revenue)";"Detailom",#N/A,FALSE,"Detail Budget Var (O&amp;M)"}</definedName>
    <definedName name="abbbbbbbbbb" hidden="1">{"Start",#N/A,FALSE,"Menu";"P&amp;L",#N/A,FALSE,"Monthly P&amp;L";"Rev",#N/A,FALSE,"Revenue Summary";"budbar",#N/A,FALSE,"Budget-Variance";"priorvar",#N/A,FALSE,"Prior Month Var";"DetailRev",#N/A,FALSE,"Detail  Budget Var (Revenue)";"Detailom",#N/A,FALSE,"Detail Budget Var (O&amp;M)"}</definedName>
    <definedName name="abbbbbbbbbbb" localSheetId="0" hidden="1">{#N/A,#N/A,FALSE,"Monthly"}</definedName>
    <definedName name="abbbbbbbbbbb" hidden="1">{#N/A,#N/A,FALSE,"Monthly"}</definedName>
    <definedName name="abbbbbbbbbbb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hidden="1">'[1]J-SEC'!#REF!</definedName>
    <definedName name="abcde"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ess_Button" hidden="1">"FIGBUS_FIGBUS_List"</definedName>
    <definedName name="AccessDatabase" hidden="1">"C:\Documents and Settings\Bardid\My Documents\Program Performance Spreadsheet (VBSS) V2.mdb"</definedName>
    <definedName name="Additional_Costs_1_Cost">#REF!</definedName>
    <definedName name="Additional_Costs_2_Cost">#REF!</definedName>
    <definedName name="Additional_Costs_3_Cost">#REF!</definedName>
    <definedName name="Additional_Costs_4_Cost">#REF!</definedName>
    <definedName name="Additional_Costs_5_Cost">#REF!</definedName>
    <definedName name="Additional_Costs_6_Cost">#REF!</definedName>
    <definedName name="adf" localSheetId="0" hidden="1">{"PAGE1",#N/A,FALSE,"CPFFMSTR";"PAGE2",#N/A,FALSE,"CPFFMSTR"}</definedName>
    <definedName name="adf" hidden="1">{"PAGE1",#N/A,FALSE,"CPFFMSTR";"PAGE2",#N/A,FALSE,"CPFFMSTR"}</definedName>
    <definedName name="adf_1" localSheetId="0" hidden="1">{"PAGE1",#N/A,FALSE,"CPFFMSTR";"PAGE2",#N/A,FALSE,"CPFFMSTR"}</definedName>
    <definedName name="adf_1" hidden="1">{"PAGE1",#N/A,FALSE,"CPFFMSTR";"PAGE2",#N/A,FALSE,"CPFFMSTR"}</definedName>
    <definedName name="adv"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eh"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FWTG" localSheetId="0" hidden="1">{#N/A,#N/A,FALSE,"WBS 1.06";#N/A,#N/A,FALSE,"WBS 1.14";#N/A,#N/A,FALSE,"WBS 1.17";#N/A,#N/A,FALSE,"WBS 1.18"}</definedName>
    <definedName name="AFWTG" hidden="1">{#N/A,#N/A,FALSE,"WBS 1.06";#N/A,#N/A,FALSE,"WBS 1.14";#N/A,#N/A,FALSE,"WBS 1.17";#N/A,#N/A,FALSE,"WBS 1.18"}</definedName>
    <definedName name="Allocated_Labor_Cost_per_Production_Man_Hour">#REF!</definedName>
    <definedName name="allocations2" localSheetId="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nnex">#REF!</definedName>
    <definedName name="ANNEX1" localSheetId="0">#REF!</definedName>
    <definedName name="ANNEX1">#REF!</definedName>
    <definedName name="anscount" hidden="1">1</definedName>
    <definedName name="AP.Exist.SLS.KF" localSheetId="0" hidden="1">{"'1098trans'!$A$10:$F$64","'1098trans'!$A$65:$A$66","'1098trans'!$A$67:$D$69","'1098trans'!$A$64:$F$69"}</definedName>
    <definedName name="AP.Exist.SLS.KF" hidden="1">{"'1098trans'!$A$10:$F$64","'1098trans'!$A$65:$A$66","'1098trans'!$A$67:$D$69","'1098trans'!$A$64:$F$69"}</definedName>
    <definedName name="Area_of_Country_List">#REF!</definedName>
    <definedName name="AREA1" localSheetId="0">#REF!</definedName>
    <definedName name="AREA1">#REF!</definedName>
    <definedName name="ARRA_Compliant">#REF!</definedName>
    <definedName name="AS2DocOpenMode" hidden="1">"AS2DocumentEdit"</definedName>
    <definedName name="AS2ReportLS" hidden="1">1</definedName>
    <definedName name="AS2SyncStepLS" hidden="1">0</definedName>
    <definedName name="AS2VersionLS" hidden="1">300</definedName>
    <definedName name="asas" localSheetId="0" hidden="1">{#N/A,#N/A,TRUE,"DCF Summary (2)";#N/A,#N/A,TRUE,"DCF Summary";#N/A,"Middle Case Drivers",TRUE,"DCF"}</definedName>
    <definedName name="asas" hidden="1">{#N/A,#N/A,TRUE,"DCF Summary (2)";#N/A,#N/A,TRUE,"DCF Summary";#N/A,"Middle Case Drivers",TRUE,"DCF"}</definedName>
    <definedName name="asas1" localSheetId="0" hidden="1">{#N/A,#N/A,TRUE,"DCF Summary (2)";#N/A,#N/A,TRUE,"DCF Summary";#N/A,"Middle Case Drivers",TRUE,"DCF"}</definedName>
    <definedName name="asas1" hidden="1">{#N/A,#N/A,TRUE,"DCF Summary (2)";#N/A,#N/A,TRUE,"DCF Summary";#N/A,"Middle Case Drivers",TRUE,"DCF"}</definedName>
    <definedName name="asd" localSheetId="0" hidden="1">{#N/A,#N/A,FALSE,"WBS 1.06";#N/A,#N/A,FALSE,"WBS 1.14";#N/A,#N/A,FALSE,"WBS 1.17";#N/A,#N/A,FALSE,"WBS 1.18"}</definedName>
    <definedName name="asd" hidden="1">{#N/A,#N/A,FALSE,"WBS 1.06";#N/A,#N/A,FALSE,"WBS 1.14";#N/A,#N/A,FALSE,"WBS 1.17";#N/A,#N/A,FALSE,"WBS 1.18"}</definedName>
    <definedName name="asdf" localSheetId="0" hidden="1">{#N/A,#N/A,TRUE,"DCF Summary (2)";#N/A,#N/A,TRUE,"DCF Summary";#N/A,"Middle Case Drivers",TRUE,"DCF"}</definedName>
    <definedName name="asdf" hidden="1">{#N/A,#N/A,TRUE,"DCF Summary (2)";#N/A,#N/A,TRUE,"DCF Summary";#N/A,"Middle Case Drivers",TRUE,"DCF"}</definedName>
    <definedName name="asdfasf"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sdfsd" localSheetId="0" hidden="1">{#N/A,#N/A,FALSE,"Monthly"}</definedName>
    <definedName name="asdfsdfsd" hidden="1">{#N/A,#N/A,FALSE,"Monthly"}</definedName>
    <definedName name="aser" localSheetId="0" hidden="1">{#N/A,#N/A,FALSE,"Monthly"}</definedName>
    <definedName name="aser" hidden="1">{#N/A,#N/A,FALSE,"Monthly"}</definedName>
    <definedName name="ASF" localSheetId="0" hidden="1">{#N/A,#N/A,FALSE,"WBS 1.06";#N/A,#N/A,FALSE,"WBS 1.14";#N/A,#N/A,FALSE,"WBS 1.17";#N/A,#N/A,FALSE,"WBS 1.18"}</definedName>
    <definedName name="ASF" hidden="1">{#N/A,#N/A,FALSE,"WBS 1.06";#N/A,#N/A,FALSE,"WBS 1.14";#N/A,#N/A,FALSE,"WBS 1.17";#N/A,#N/A,FALSE,"WBS 1.18"}</definedName>
    <definedName name="asr" localSheetId="0" hidden="1">{#N/A,#N/A,FALSE,"WBS 1.06";#N/A,#N/A,FALSE,"WBS 1.14";#N/A,#N/A,FALSE,"WBS 1.17";#N/A,#N/A,FALSE,"WBS 1.18"}</definedName>
    <definedName name="asr" hidden="1">{#N/A,#N/A,FALSE,"WBS 1.06";#N/A,#N/A,FALSE,"WBS 1.14";#N/A,#N/A,FALSE,"WBS 1.17";#N/A,#N/A,FALSE,"WBS 1.18"}</definedName>
    <definedName name="assdf" localSheetId="0" hidden="1">{#N/A,#N/A,FALSE,"WBS 1.06";#N/A,#N/A,FALSE,"WBS 1.14";#N/A,#N/A,FALSE,"WBS 1.17";#N/A,#N/A,FALSE,"WBS 1.18"}</definedName>
    <definedName name="assdf" hidden="1">{#N/A,#N/A,FALSE,"WBS 1.06";#N/A,#N/A,FALSE,"WBS 1.14";#N/A,#N/A,FALSE,"WBS 1.17";#N/A,#N/A,FALSE,"WBS 1.18"}</definedName>
    <definedName name="asshole" localSheetId="0" hidden="1">{"(QTR&amp;YR F&amp;O) TOTAL YR",#N/A,FALSE,"QTR&amp;YR F&amp;O";"(QTR&amp;YR F&amp;O) Q1",#N/A,FALSE,"QTR&amp;YR F&amp;O";"(QTR&amp;YR F&amp;O) Q2",#N/A,FALSE,"QTR&amp;YR F&amp;O";"(QTR&amp;YR F&amp;O) Q3",#N/A,FALSE,"QTR&amp;YR F&amp;O";"(QTR&amp;YR F&amp;O) Q4",#N/A,FALSE,"QTR&amp;YR F&amp;O"}</definedName>
    <definedName name="asshole" hidden="1">{"(QTR&amp;YR F&amp;O) TOTAL YR",#N/A,FALSE,"QTR&amp;YR F&amp;O";"(QTR&amp;YR F&amp;O) Q1",#N/A,FALSE,"QTR&amp;YR F&amp;O";"(QTR&amp;YR F&amp;O) Q2",#N/A,FALSE,"QTR&amp;YR F&amp;O";"(QTR&amp;YR F&amp;O) Q3",#N/A,FALSE,"QTR&amp;YR F&amp;O";"(QTR&amp;YR F&amp;O) Q4",#N/A,FALSE,"QTR&amp;YR F&amp;O"}</definedName>
    <definedName name="assw"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UDIT" localSheetId="0" hidden="1">{#N/A,#N/A,FALSE,"T2JE";#N/A,#N/A,FALSE,"T3JE";#N/A,#N/A,FALSE,"T4JE";#N/A,#N/A,FALSE,"T5JE";#N/A,#N/A,FALSE,"T6JE";#N/A,#N/A,FALSE,"MSAE";#N/A,#N/A,FALSE,"JWAE";#N/A,#N/A,FALSE,"T2INV";#N/A,#N/A,FALSE,"T3INV";#N/A,#N/A,FALSE,"T4INV";#N/A,#N/A,FALSE,"T5INV";#N/A,#N/A,FALSE,"T6INV"}</definedName>
    <definedName name="AUDIT" hidden="1">{#N/A,#N/A,FALSE,"T2JE";#N/A,#N/A,FALSE,"T3JE";#N/A,#N/A,FALSE,"T4JE";#N/A,#N/A,FALSE,"T5JE";#N/A,#N/A,FALSE,"T6JE";#N/A,#N/A,FALSE,"MSAE";#N/A,#N/A,FALSE,"JWAE";#N/A,#N/A,FALSE,"T2INV";#N/A,#N/A,FALSE,"T3INV";#N/A,#N/A,FALSE,"T4INV";#N/A,#N/A,FALSE,"T5INV";#N/A,#N/A,FALSE,"T6INV"}</definedName>
    <definedName name="audit2" localSheetId="0" hidden="1">{#N/A,#N/A,FALSE,"T2JE";#N/A,#N/A,FALSE,"T3JE";#N/A,#N/A,FALSE,"T4JE";#N/A,#N/A,FALSE,"T5JE";#N/A,#N/A,FALSE,"T6JE";#N/A,#N/A,FALSE,"MSAE";#N/A,#N/A,FALSE,"JWAE";#N/A,#N/A,FALSE,"T2INV";#N/A,#N/A,FALSE,"T3INV";#N/A,#N/A,FALSE,"T4INV";#N/A,#N/A,FALSE,"T5INV";#N/A,#N/A,FALSE,"T6INV"}</definedName>
    <definedName name="audit2" hidden="1">{#N/A,#N/A,FALSE,"T2JE";#N/A,#N/A,FALSE,"T3JE";#N/A,#N/A,FALSE,"T4JE";#N/A,#N/A,FALSE,"T5JE";#N/A,#N/A,FALSE,"T6JE";#N/A,#N/A,FALSE,"MSAE";#N/A,#N/A,FALSE,"JWAE";#N/A,#N/A,FALSE,"T2INV";#N/A,#N/A,FALSE,"T3INV";#N/A,#N/A,FALSE,"T4INV";#N/A,#N/A,FALSE,"T5INV";#N/A,#N/A,FALSE,"T6INV"}</definedName>
    <definedName name="audit3" localSheetId="0" hidden="1">{#N/A,#N/A,FALSE,"T2JE";#N/A,#N/A,FALSE,"T3JE";#N/A,#N/A,FALSE,"T4JE";#N/A,#N/A,FALSE,"T5JE";#N/A,#N/A,FALSE,"T6JE";#N/A,#N/A,FALSE,"MSAE";#N/A,#N/A,FALSE,"JWAE";#N/A,#N/A,FALSE,"T2INV";#N/A,#N/A,FALSE,"T3INV";#N/A,#N/A,FALSE,"T4INV";#N/A,#N/A,FALSE,"T5INV";#N/A,#N/A,FALSE,"T6INV"}</definedName>
    <definedName name="audit3" hidden="1">{#N/A,#N/A,FALSE,"T2JE";#N/A,#N/A,FALSE,"T3JE";#N/A,#N/A,FALSE,"T4JE";#N/A,#N/A,FALSE,"T5JE";#N/A,#N/A,FALSE,"T6JE";#N/A,#N/A,FALSE,"MSAE";#N/A,#N/A,FALSE,"JWAE";#N/A,#N/A,FALSE,"T2INV";#N/A,#N/A,FALSE,"T3INV";#N/A,#N/A,FALSE,"T4INV";#N/A,#N/A,FALSE,"T5INV";#N/A,#N/A,FALSE,"T6INV"}</definedName>
    <definedName name="awe"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r"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 localSheetId="0" hidden="1">{"DolanCo1_PA",#N/A,FALSE,"Tina Dolan";"DolanCo1_Prop",#N/A,FALSE,"Tina Dolan"}</definedName>
    <definedName name="b" hidden="1">{"DolanCo1_PA",#N/A,FALSE,"Tina Dolan";"DolanCo1_Prop",#N/A,FALSE,"Tina Dolan"}</definedName>
    <definedName name="b_1" localSheetId="0" hidden="1">{"DolanCo1_PA",#N/A,FALSE,"Tina Dolan";"DolanCo1_Prop",#N/A,FALSE,"Tina Dolan"}</definedName>
    <definedName name="b_1" hidden="1">{"DolanCo1_PA",#N/A,FALSE,"Tina Dolan";"DolanCo1_Prop",#N/A,FALSE,"Tina Dolan"}</definedName>
    <definedName name="Ballast_Codes">#REF!</definedName>
    <definedName name="Ballast_Specs">#REF!</definedName>
    <definedName name="BASE_ST_MP" comment="Wage rates for M/P employees in base year." localSheetId="0">'[5]BASE WAGES &amp; BENEFITS - ST'!$A$4:$AM$33</definedName>
    <definedName name="BASE_ST_MP">'[5]BASE WAGES &amp; BENEFITS - ST'!$A$4:$AM$33</definedName>
    <definedName name="BASE_ST_TCNJ" comment="Wage rates for TCN-J employees in base year." localSheetId="0">'[5]BASE WAGES &amp; BENEFITS - ST'!$A$258:$AN$295</definedName>
    <definedName name="BASE_ST_TCNJ">'[5]BASE WAGES &amp; BENEFITS - ST'!$A$258:$AN$295</definedName>
    <definedName name="BASE_ST_TCNP" comment="Wage rates for TCN-P employees in base year." localSheetId="0">'[5]BASE WAGES &amp; BENEFITS - ST'!$A$38:$AM$253</definedName>
    <definedName name="BASE_ST_TCNP">'[5]BASE WAGES &amp; BENEFITS - ST'!$A$38:$AM$253</definedName>
    <definedName name="b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 localSheetId="0" hidden="1">{#N/A,#N/A,FALSE,"Sheet1"}</definedName>
    <definedName name="BBB" hidden="1">{#N/A,#N/A,FALSE,"Sheet1"}</definedName>
    <definedName name="BBB_Charge">#REF!</definedName>
    <definedName name="BBB_Labor_Charge">#REF!</definedName>
    <definedName name="BBB_Material_Charge">#REF!</definedName>
    <definedName name="bbbb" localSheetId="0" hidden="1">{#N/A,#N/A,FALSE,"Sheet1"}</definedName>
    <definedName name="bbbb" hidden="1">{#N/A,#N/A,FALSE,"Sheet1"}</definedName>
    <definedName name="bbbbbbb" localSheetId="0" hidden="1">{#N/A,#N/A,FALSE,"Monthly"}</definedName>
    <definedName name="bbbbbbb" hidden="1">{#N/A,#N/A,FALSE,"Monthly"}</definedName>
    <definedName name="bbbbbbbb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0" hidden="1">{"1999 Revenue",#N/A,FALSE,"Voice ";"1999 Traffic",#N/A,FALSE,"Voice "}</definedName>
    <definedName name="bbbbbbbbbbb" hidden="1">{"1999 Revenue",#N/A,FALSE,"Voice ";"1999 Traffic",#N/A,FALSE,"Voice "}</definedName>
    <definedName name="BFI" localSheetId="0" hidden="1">{#N/A,#N/A,TRUE,"Revenue";#N/A,#N/A,TRUE,"Profit";#N/A,#N/A,TRUE,"ODCs";#N/A,#N/A,TRUE,"DirLabor";#N/A,#N/A,TRUE,"SysGrp People"}</definedName>
    <definedName name="BFI" hidden="1">{#N/A,#N/A,TRUE,"Revenue";#N/A,#N/A,TRUE,"Profit";#N/A,#N/A,TRUE,"ODCs";#N/A,#N/A,TRUE,"DirLabor";#N/A,#N/A,TRUE,"SysGrp People"}</definedName>
    <definedName name="BG_Del" hidden="1">15</definedName>
    <definedName name="BG_Ins" hidden="1">4</definedName>
    <definedName name="BG_Mod" hidden="1">6</definedName>
    <definedName name="bgb"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tdh" hidden="1">'[1]J-SEC'!#REF!</definedName>
    <definedName name="BI"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D_TURNKEY">#REF!</definedName>
    <definedName name="bill" localSheetId="0" hidden="1">{#N/A,#N/A,FALSE,"Sheet1"}</definedName>
    <definedName name="bill" hidden="1">{#N/A,#N/A,FALSE,"Sheet1"}</definedName>
    <definedName name="BILLHOURS" comment="Table to compute billable hours" localSheetId="0">'[5]RATES &amp; TABLES'!$AW$3:$CK$8</definedName>
    <definedName name="BILLHOURS">'[5]RATES &amp; TABLES'!$AW$3:$CK$8</definedName>
    <definedName name="bnk"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 localSheetId="0" hidden="1">{#N/A,#N/A,FALSE,"WBS 1.06";#N/A,#N/A,FALSE,"WBS 1.14";#N/A,#N/A,FALSE,"WBS 1.17";#N/A,#N/A,FALSE,"WBS 1.18"}</definedName>
    <definedName name="BNM" hidden="1">{#N/A,#N/A,FALSE,"WBS 1.06";#N/A,#N/A,FALSE,"WBS 1.14";#N/A,#N/A,FALSE,"WBS 1.17";#N/A,#N/A,FALSE,"WBS 1.18"}</definedName>
    <definedName name="bnml"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yt" localSheetId="0" hidden="1">{"division hud",#N/A,FALSE,"Sheet1";"total hud",#N/A,FALSE,"Sheet1"}</definedName>
    <definedName name="bnyt" hidden="1">{"division hud",#N/A,FALSE,"Sheet1";"total hud",#N/A,FALSE,"Sheet1"}</definedName>
    <definedName name="Bond_Cost">#REF!</definedName>
    <definedName name="br" localSheetId="0" hidden="1">{"'1098trans'!$A$10:$F$64","'1098trans'!$A$65:$A$66","'1098trans'!$A$67:$D$69","'1098trans'!$A$64:$F$69"}</definedName>
    <definedName name="br" hidden="1">{"'1098trans'!$A$10:$F$64","'1098trans'!$A$65:$A$66","'1098trans'!$A$67:$D$69","'1098trans'!$A$64:$F$69"}</definedName>
    <definedName name="brookhaven" localSheetId="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URD" localSheetId="0" hidden="1">{"PAGE1",#N/A,FALSE,"allocation base";"PAGE2",#N/A,FALSE,"burden";"PAGE3",#N/A,FALSE,"burden";"PAGE4",#N/A,FALSE,"labor rates";"PAGE5",#N/A,FALSE,"labor rates";"PAGE6",#N/A,FALSE,"labor rates"}</definedName>
    <definedName name="BURD" hidden="1">{"PAGE1",#N/A,FALSE,"allocation base";"PAGE2",#N/A,FALSE,"burden";"PAGE3",#N/A,FALSE,"burden";"PAGE4",#N/A,FALSE,"labor rates";"PAGE5",#N/A,FALSE,"labor rates";"PAGE6",#N/A,FALSE,"labor rates"}</definedName>
    <definedName name="BURDEN1" localSheetId="0">#REF!</definedName>
    <definedName name="BURDEN1">#REF!</definedName>
    <definedName name="burdend" localSheetId="0" hidden="1">{"PAGE1",#N/A,FALSE,"allocation base";"PAGE2",#N/A,FALSE,"burden";"PAGE3",#N/A,FALSE,"burden";"PAGE4",#N/A,FALSE,"labor rates";"PAGE5",#N/A,FALSE,"labor rates";"PAGE6",#N/A,FALSE,"labor rates"}</definedName>
    <definedName name="burdend" hidden="1">{"PAGE1",#N/A,FALSE,"allocation base";"PAGE2",#N/A,FALSE,"burden";"PAGE3",#N/A,FALSE,"burden";"PAGE4",#N/A,FALSE,"labor rates";"PAGE5",#N/A,FALSE,"labor rates";"PAGE6",#N/A,FALSE,"labor rates"}</definedName>
    <definedName name="bver" localSheetId="0" hidden="1">{"PAGE1",#N/A,FALSE,"CPFFMSTR";"PAGE2",#N/A,FALSE,"CPFFMSTR"}</definedName>
    <definedName name="bver" hidden="1">{"PAGE1",#N/A,FALSE,"CPFFMSTR";"PAGE2",#N/A,FALSE,"CPFFMSTR"}</definedName>
    <definedName name="CAS"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BWorkbookPriority" hidden="1">-194334984</definedName>
    <definedName name="ccc" localSheetId="0" hidden="1">{#N/A,#N/A,FALSE,"Sheet1"}</definedName>
    <definedName name="ccc" hidden="1">{#N/A,#N/A,FALSE,"Sheet1"}</definedName>
    <definedName name="cccc" localSheetId="0" hidden="1">{#N/A,#N/A,FALSE,"Sheet1"}</definedName>
    <definedName name="cccc" hidden="1">{#N/A,#N/A,FALSE,"Sheet1"}</definedName>
    <definedName name="cccc2" localSheetId="0" hidden="1">{"'Vietnam'!$E$21:$W$45","'Vietnam'!$E$21:$W$45"}</definedName>
    <definedName name="cccc2" hidden="1">{"'Vietnam'!$E$21:$W$45","'Vietnam'!$E$21:$W$45"}</definedName>
    <definedName name="cccccc" localSheetId="0" hidden="1">{#N/A,#N/A,FALSE,"WBS 1.06";#N/A,#N/A,FALSE,"WBS 1.14";#N/A,#N/A,FALSE,"WBS 1.17";#N/A,#N/A,FALSE,"WBS 1.18"}</definedName>
    <definedName name="cccccc" hidden="1">{#N/A,#N/A,FALSE,"WBS 1.06";#N/A,#N/A,FALSE,"WBS 1.14";#N/A,#N/A,FALSE,"WBS 1.17";#N/A,#N/A,FALSE,"WBS 1.18"}</definedName>
    <definedName name="cccccccccccc" localSheetId="0" hidden="1">{"1999 Revenue",#N/A,FALSE,"IBS";"1999 Traffic",#N/A,FALSE,"IBS"}</definedName>
    <definedName name="cccccccccccc" hidden="1">{"1999 Revenue",#N/A,FALSE,"IBS";"1999 Traffic",#N/A,FALSE,"IBS"}</definedName>
    <definedName name="cccccccccccccc" localSheetId="0" hidden="1">{"Start",#N/A,FALSE,"Menu";"P&amp;L",#N/A,FALSE,"Monthly P&amp;L";"Rev",#N/A,FALSE,"Revenue Summary";"budbar",#N/A,FALSE,"Budget-Variance";"priorvar",#N/A,FALSE,"Prior Month Var";"DetailRev",#N/A,FALSE,"Detail  Budget Var (Revenue)";"Detailom",#N/A,FALSE,"Detail Budget Var (O&amp;M)"}</definedName>
    <definedName name="cccccccccccccc" hidden="1">{"Start",#N/A,FALSE,"Menu";"P&amp;L",#N/A,FALSE,"Monthly P&amp;L";"Rev",#N/A,FALSE,"Revenue Summary";"budbar",#N/A,FALSE,"Budget-Variance";"priorvar",#N/A,FALSE,"Prior Month Var";"DetailRev",#N/A,FALSE,"Detail  Budget Var (Revenue)";"Detailom",#N/A,FALSE,"Detail Budget Var (O&amp;M)"}</definedName>
    <definedName name="cccccccccccccccc"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est1" localSheetId="0" hidden="1">{#N/A,#N/A,FALSE,"204";#N/A,#N/A,FALSE,"226";#N/A,#N/A,FALSE,"233";#N/A,#N/A,FALSE,"632";#N/A,#N/A,FALSE,"671";#N/A,#N/A,FALSE,"905";#N/A,#N/A,FALSE,"906";#N/A,#N/A,FALSE,"913";#N/A,#N/A,FALSE,"914";#N/A,#N/A,FALSE,"916";#N/A,#N/A,FALSE,"AAT";#N/A,#N/A,FALSE,"ATAS";#N/A,#N/A,FALSE,"ITL3";#N/A,#N/A,FALSE,"917";#N/A,#N/A,FALSE,"918"}</definedName>
    <definedName name="cest1" hidden="1">{#N/A,#N/A,FALSE,"204";#N/A,#N/A,FALSE,"226";#N/A,#N/A,FALSE,"233";#N/A,#N/A,FALSE,"632";#N/A,#N/A,FALSE,"671";#N/A,#N/A,FALSE,"905";#N/A,#N/A,FALSE,"906";#N/A,#N/A,FALSE,"913";#N/A,#N/A,FALSE,"914";#N/A,#N/A,FALSE,"916";#N/A,#N/A,FALSE,"AAT";#N/A,#N/A,FALSE,"ATAS";#N/A,#N/A,FALSE,"ITL3";#N/A,#N/A,FALSE,"917";#N/A,#N/A,FALSE,"918"}</definedName>
    <definedName name="cest1_1" localSheetId="0" hidden="1">{#N/A,#N/A,FALSE,"204";#N/A,#N/A,FALSE,"226";#N/A,#N/A,FALSE,"233";#N/A,#N/A,FALSE,"632";#N/A,#N/A,FALSE,"671";#N/A,#N/A,FALSE,"905";#N/A,#N/A,FALSE,"906";#N/A,#N/A,FALSE,"913";#N/A,#N/A,FALSE,"914";#N/A,#N/A,FALSE,"916";#N/A,#N/A,FALSE,"AAT";#N/A,#N/A,FALSE,"ATAS";#N/A,#N/A,FALSE,"ITL3";#N/A,#N/A,FALSE,"917";#N/A,#N/A,FALSE,"918"}</definedName>
    <definedName name="cest1_1" hidden="1">{#N/A,#N/A,FALSE,"204";#N/A,#N/A,FALSE,"226";#N/A,#N/A,FALSE,"233";#N/A,#N/A,FALSE,"632";#N/A,#N/A,FALSE,"671";#N/A,#N/A,FALSE,"905";#N/A,#N/A,FALSE,"906";#N/A,#N/A,FALSE,"913";#N/A,#N/A,FALSE,"914";#N/A,#N/A,FALSE,"916";#N/A,#N/A,FALSE,"AAT";#N/A,#N/A,FALSE,"ATAS";#N/A,#N/A,FALSE,"ITL3";#N/A,#N/A,FALSE,"917";#N/A,#N/A,FALSE,"918"}</definedName>
    <definedName name="cest2" localSheetId="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3" localSheetId="0" hidden="1">{#N/A,#N/A,FALSE,"204";#N/A,#N/A,FALSE,"226";#N/A,#N/A,FALSE,"233";#N/A,#N/A,FALSE,"632";#N/A,#N/A,FALSE,"671";#N/A,#N/A,FALSE,"905";#N/A,#N/A,FALSE,"906";#N/A,#N/A,FALSE,"913";#N/A,#N/A,FALSE,"914";#N/A,#N/A,FALSE,"916";#N/A,#N/A,FALSE,"AAT";#N/A,#N/A,FALSE,"ATAS";#N/A,#N/A,FALSE,"ITL3";#N/A,#N/A,FALSE,"917";#N/A,#N/A,FALSE,"918"}</definedName>
    <definedName name="cest3" hidden="1">{#N/A,#N/A,FALSE,"204";#N/A,#N/A,FALSE,"226";#N/A,#N/A,FALSE,"233";#N/A,#N/A,FALSE,"632";#N/A,#N/A,FALSE,"671";#N/A,#N/A,FALSE,"905";#N/A,#N/A,FALSE,"906";#N/A,#N/A,FALSE,"913";#N/A,#N/A,FALSE,"914";#N/A,#N/A,FALSE,"916";#N/A,#N/A,FALSE,"AAT";#N/A,#N/A,FALSE,"ATAS";#N/A,#N/A,FALSE,"ITL3";#N/A,#N/A,FALSE,"917";#N/A,#N/A,FALSE,"918"}</definedName>
    <definedName name="cest3_1" localSheetId="0" hidden="1">{#N/A,#N/A,FALSE,"204";#N/A,#N/A,FALSE,"226";#N/A,#N/A,FALSE,"233";#N/A,#N/A,FALSE,"632";#N/A,#N/A,FALSE,"671";#N/A,#N/A,FALSE,"905";#N/A,#N/A,FALSE,"906";#N/A,#N/A,FALSE,"913";#N/A,#N/A,FALSE,"914";#N/A,#N/A,FALSE,"916";#N/A,#N/A,FALSE,"AAT";#N/A,#N/A,FALSE,"ATAS";#N/A,#N/A,FALSE,"ITL3";#N/A,#N/A,FALSE,"917";#N/A,#N/A,FALSE,"918"}</definedName>
    <definedName name="cest3_1" hidden="1">{#N/A,#N/A,FALSE,"204";#N/A,#N/A,FALSE,"226";#N/A,#N/A,FALSE,"233";#N/A,#N/A,FALSE,"632";#N/A,#N/A,FALSE,"671";#N/A,#N/A,FALSE,"905";#N/A,#N/A,FALSE,"906";#N/A,#N/A,FALSE,"913";#N/A,#N/A,FALSE,"914";#N/A,#N/A,FALSE,"916";#N/A,#N/A,FALSE,"AAT";#N/A,#N/A,FALSE,"ATAS";#N/A,#N/A,FALSE,"ITL3";#N/A,#N/A,FALSE,"917";#N/A,#N/A,FALSE,"918"}</definedName>
    <definedName name="cest4" localSheetId="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ghj" localSheetId="0" hidden="1">{"Start",#N/A,FALSE,"Menu";"P&amp;L",#N/A,FALSE,"Monthly P&amp;L";"Rev",#N/A,FALSE,"Revenue Summary";"budbar",#N/A,FALSE,"Budget-Variance";"priorvar",#N/A,FALSE,"Prior Month Var";"DetailRev",#N/A,FALSE,"Detail  Budget Var (Revenue)";"Detailom",#N/A,FALSE,"Detail Budget Var (O&amp;M)"}</definedName>
    <definedName name="cghj" hidden="1">{"Start",#N/A,FALSE,"Menu";"P&amp;L",#N/A,FALSE,"Monthly P&amp;L";"Rev",#N/A,FALSE,"Revenue Summary";"budbar",#N/A,FALSE,"Budget-Variance";"priorvar",#N/A,FALSE,"Prior Month Var";"DetailRev",#N/A,FALSE,"Detail  Budget Var (Revenue)";"Detailom",#N/A,FALSE,"Detail Budget Var (O&amp;M)"}</definedName>
    <definedName name="CGHY" localSheetId="0" hidden="1">{"PAGE1",#N/A,FALSE,"CPFFMSTR";"PAGE2",#N/A,FALSE,"CPFFMSTR"}</definedName>
    <definedName name="CGHY" hidden="1">{"PAGE1",#N/A,FALSE,"CPFFMSTR";"PAGE2",#N/A,FALSE,"CPFFMSTR"}</definedName>
    <definedName name="CGM_PROFIT" localSheetId="0" hidden="1">{#N/A,#N/A,FALSE,"Sheet1"}</definedName>
    <definedName name="CGM_PROFIT" hidden="1">{#N/A,#N/A,FALSE,"Sheet1"}</definedName>
    <definedName name="Change_Order">'[6]J-1502000-31-04 ECM 5 by Room'!#REF!</definedName>
    <definedName name="Chart1">"Chart 1"</definedName>
    <definedName name="Chart2">"Chart 2"</definedName>
    <definedName name="cip"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QWBGuid" hidden="1">"7fee006d-4278-4580-ad1f-d9347d34e415"</definedName>
    <definedName name="CLIN1" localSheetId="0" hidden="1">{#N/A,#N/A,FALSE,"Sheet1"}</definedName>
    <definedName name="CLIN1" hidden="1">{#N/A,#N/A,FALSE,"Sheet1"}</definedName>
    <definedName name="CLIN9" hidden="1">'[1]J-SEC'!#REF!</definedName>
    <definedName name="CLINNO" hidden="1">'[7]General Inputs'!$B$35:$B$84</definedName>
    <definedName name="COCO" localSheetId="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DE1" localSheetId="0">#REF!</definedName>
    <definedName name="CODE1">#REF!</definedName>
    <definedName name="Combo_Price">'[8]Combined Price List'!$A$1:$F$709</definedName>
    <definedName name="COMSO" localSheetId="0" hidden="1">{#N/A,#N/A,FALSE,"Proposal"}</definedName>
    <definedName name="COMSO" hidden="1">{#N/A,#N/A,FALSE,"Proposal"}</definedName>
    <definedName name="COMSO_1" localSheetId="0" hidden="1">{#N/A,#N/A,FALSE,"Proposal"}</definedName>
    <definedName name="COMSO_1" hidden="1">{#N/A,#N/A,FALSE,"Proposal"}</definedName>
    <definedName name="control" localSheetId="0" hidden="1">{"'1098trans'!$A$10:$F$64","'1098trans'!$A$65:$A$66","'1098trans'!$A$67:$D$69","'1098trans'!$A$64:$F$69"}</definedName>
    <definedName name="control" hidden="1">{"'1098trans'!$A$10:$F$64","'1098trans'!$A$65:$A$66","'1098trans'!$A$67:$D$69","'1098trans'!$A$64:$F$69"}</definedName>
    <definedName name="COST_ELEMENT" localSheetId="0" hidden="1">{"BASE",#N/A,FALSE,"CE BY WBS";"OPTION",#N/A,FALSE,"CE BY WBS"}</definedName>
    <definedName name="COST_ELEMENT" hidden="1">{"BASE",#N/A,FALSE,"CE BY WBS";"OPTION",#N/A,FALSE,"CE BY WBS"}</definedName>
    <definedName name="costelement" localSheetId="0" hidden="1">{"BASE",#N/A,FALSE,"CE BY WBS";"OPTION",#N/A,FALSE,"CE BY WBS"}</definedName>
    <definedName name="costelement" hidden="1">{"BASE",#N/A,FALSE,"CE BY WBS";"OPTION",#N/A,FALSE,"CE BY WBS"}</definedName>
    <definedName name="Culture3" localSheetId="0" hidden="1">{"'1098trans'!$A$10:$F$64","'1098trans'!$A$65:$A$66","'1098trans'!$A$67:$D$69","'1098trans'!$A$64:$F$69"}</definedName>
    <definedName name="Culture3" hidden="1">{"'1098trans'!$A$10:$F$64","'1098trans'!$A$65:$A$66","'1098trans'!$A$67:$D$69","'1098trans'!$A$64:$F$69"}</definedName>
    <definedName name="Customer_Param">"Dialog1"</definedName>
    <definedName name="d" localSheetId="0">#REF!</definedName>
    <definedName name="d">#REF!</definedName>
    <definedName name="dafd">#REF!</definedName>
    <definedName name="dat"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ea" localSheetId="0" hidden="1">{#N/A,#N/A,FALSE,"Sheet1"}</definedName>
    <definedName name="datea" hidden="1">{#N/A,#N/A,FALSE,"Sheet1"}</definedName>
    <definedName name="ddd" localSheetId="0" hidden="1">{#N/A,#N/A,TRUE,"Cover";#N/A,#N/A,TRUE,"Labor";#N/A,#N/A,TRUE,"Summary";#N/A,#N/A,TRUE,"Graphs"}</definedName>
    <definedName name="ddd" hidden="1">{#N/A,#N/A,TRUE,"Cover";#N/A,#N/A,TRUE,"Labor";#N/A,#N/A,TRUE,"Summary";#N/A,#N/A,TRUE,"Graphs"}</definedName>
    <definedName name="ddd_1" localSheetId="0" hidden="1">{#N/A,#N/A,TRUE,"Cover";#N/A,#N/A,TRUE,"Labor";#N/A,#N/A,TRUE,"Summary";#N/A,#N/A,TRUE,"Graphs"}</definedName>
    <definedName name="ddd_1" hidden="1">{#N/A,#N/A,TRUE,"Cover";#N/A,#N/A,TRUE,"Labor";#N/A,#N/A,TRUE,"Summary";#N/A,#N/A,TRUE,"Graphs"}</definedName>
    <definedName name="dddd" localSheetId="0" hidden="1">{"'1098trans'!$A$10:$F$64","'1098trans'!$A$65:$A$66","'1098trans'!$A$67:$D$69","'1098trans'!$A$64:$F$69"}</definedName>
    <definedName name="dddd" hidden="1">{"'1098trans'!$A$10:$F$64","'1098trans'!$A$65:$A$66","'1098trans'!$A$67:$D$69","'1098trans'!$A$64:$F$69"}</definedName>
    <definedName name="ddddddd" localSheetId="0" hidden="1">{"'1098trans'!$A$10:$F$64","'1098trans'!$A$65:$A$66","'1098trans'!$A$67:$D$69","'1098trans'!$A$64:$F$69"}</definedName>
    <definedName name="ddddddd" hidden="1">{"'1098trans'!$A$10:$F$64","'1098trans'!$A$65:$A$66","'1098trans'!$A$67:$D$69","'1098trans'!$A$64:$F$69"}</definedName>
    <definedName name="dddddddddd"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ddddd"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k" localSheetId="0" hidden="1">{"'Vietnam'!$E$21:$W$45","'Vietnam'!$E$21:$W$45"}</definedName>
    <definedName name="dddk" hidden="1">{"'Vietnam'!$E$21:$W$45","'Vietnam'!$E$21:$W$45"}</definedName>
    <definedName name="def"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asf"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TY" localSheetId="0" hidden="1">{"PAGE1",#N/A,FALSE,"CPFFMSTR";"PAGE2",#N/A,FALSE,"CPFFMSTR"}</definedName>
    <definedName name="DFTY" hidden="1">{"PAGE1",#N/A,FALSE,"CPFFMSTR";"PAGE2",#N/A,FALSE,"CPFFMSTR"}</definedName>
    <definedName name="dfyu" localSheetId="0" hidden="1">{"Start",#N/A,FALSE,"Menu";"P&amp;L",#N/A,FALSE,"Monthly P&amp;L";"Rev",#N/A,FALSE,"Revenue Summary";"budbar",#N/A,FALSE,"Budget-Variance";"priorvar",#N/A,FALSE,"Prior Month Var";"DetailRev",#N/A,FALSE,"Detail  Budget Var (Revenue)";"Detailom",#N/A,FALSE,"Detail Budget Var (O&amp;M)"}</definedName>
    <definedName name="dfyu" hidden="1">{"Start",#N/A,FALSE,"Menu";"P&amp;L",#N/A,FALSE,"Monthly P&amp;L";"Rev",#N/A,FALSE,"Revenue Summary";"budbar",#N/A,FALSE,"Budget-Variance";"priorvar",#N/A,FALSE,"Prior Month Var";"DetailRev",#N/A,FALSE,"Detail  Budget Var (Revenue)";"Detailom",#N/A,FALSE,"Detail Budget Var (O&amp;M)"}</definedName>
    <definedName name="dghj"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jhagh" localSheetId="0" hidden="1">{#VALUE!,#N/A,TRUE,0;#N/A,#N/A,TRUE,0;#N/A,#N/A,TRUE,0;#N/A,#N/A,TRUE,0;#N/A,#N/A,TRUE,0;#N/A,#N/A,TRUE,0;#N/A,#N/A,TRUE,0;#N/A,#N/A,TRUE,0;#N/A,#N/A,TRUE,0;#N/A,#N/A,TRUE,0;#N/A,#N/A,TRUE,0;#N/A,#N/A,TRUE,0;#N/A,#N/A,TRUE,0;#N/A,#N/A,TRUE,0;#N/A,#N/A,TRUE,0}</definedName>
    <definedName name="dgjhagh" hidden="1">{#VALUE!,#N/A,TRUE,0;#N/A,#N/A,TRUE,0;#N/A,#N/A,TRUE,0;#N/A,#N/A,TRUE,0;#N/A,#N/A,TRUE,0;#N/A,#N/A,TRUE,0;#N/A,#N/A,TRUE,0;#N/A,#N/A,TRUE,0;#N/A,#N/A,TRUE,0;#N/A,#N/A,TRUE,0;#N/A,#N/A,TRUE,0;#N/A,#N/A,TRUE,0;#N/A,#N/A,TRUE,0;#N/A,#N/A,TRUE,0;#N/A,#N/A,TRUE,0}</definedName>
    <definedName name="DGwfwe" localSheetId="0" hidden="1">{#N/A,#N/A,FALSE,"WBS 1.06";#N/A,#N/A,FALSE,"WBS 1.14";#N/A,#N/A,FALSE,"WBS 1.17";#N/A,#N/A,FALSE,"WBS 1.18"}</definedName>
    <definedName name="DGwfwe" hidden="1">{#N/A,#N/A,FALSE,"WBS 1.06";#N/A,#N/A,FALSE,"WBS 1.14";#N/A,#N/A,FALSE,"WBS 1.17";#N/A,#N/A,FALSE,"WBS 1.18"}</definedName>
    <definedName name="DIRECT1" localSheetId="0">#REF!</definedName>
    <definedName name="DIRECT1">#REF!</definedName>
    <definedName name="DIRECT2">#REF!</definedName>
    <definedName name="Discount_and_Inflation_Rate">#REF!</definedName>
    <definedName name="DME_Dirty" hidden="1">"False"</definedName>
    <definedName name="DME_LocalFile" hidden="1">"True"</definedName>
    <definedName name="DOLLARS" localSheetId="0" hidden="1">{"'Staffing'!$A$6:$F$43"}</definedName>
    <definedName name="DOLLARS" hidden="1">{"'Staffing'!$A$6:$F$43"}</definedName>
    <definedName name="DPD" localSheetId="0" hidden="1">{"'1098trans'!$A$10:$F$64","'1098trans'!$A$65:$A$66","'1098trans'!$A$67:$D$69","'1098trans'!$A$64:$F$69"}</definedName>
    <definedName name="DPD" hidden="1">{"'1098trans'!$A$10:$F$64","'1098trans'!$A$65:$A$66","'1098trans'!$A$67:$D$69","'1098trans'!$A$64:$F$69"}</definedName>
    <definedName name="draft" localSheetId="0" hidden="1">{"'Vietnam'!$E$21:$W$45","'Vietnam'!$E$21:$W$45"}</definedName>
    <definedName name="draft" hidden="1">{"'Vietnam'!$E$21:$W$45","'Vietnam'!$E$21:$W$45"}</definedName>
    <definedName name="draft2" localSheetId="0" hidden="1">{"'Vietnam'!$E$21:$W$45","'Vietnam'!$E$21:$W$45"}</definedName>
    <definedName name="draft2" hidden="1">{"'Vietnam'!$E$21:$W$45","'Vietnam'!$E$21:$W$45"}</definedName>
    <definedName name="drst" localSheetId="0" hidden="1">{"1999 Revenue",#N/A,FALSE,"Voice ";"1999 Traffic",#N/A,FALSE,"Voice "}</definedName>
    <definedName name="drst" hidden="1">{"1999 Revenue",#N/A,FALSE,"Voice ";"1999 Traffic",#N/A,FALSE,"Voice "}</definedName>
    <definedName name="dsfa" localSheetId="0" hidden="1">{"PAGE1",#N/A,FALSE,"CPFFMSTR";"PAGE2",#N/A,FALSE,"CPFFMSTR"}</definedName>
    <definedName name="dsfa" hidden="1">{"PAGE1",#N/A,FALSE,"CPFFMSTR";"PAGE2",#N/A,FALSE,"CPFFMSTR"}</definedName>
    <definedName name="dsfa_1" localSheetId="0" hidden="1">{"PAGE1",#N/A,FALSE,"CPFFMSTR";"PAGE2",#N/A,FALSE,"CPFFMSTR"}</definedName>
    <definedName name="dsfa_1" hidden="1">{"PAGE1",#N/A,FALSE,"CPFFMSTR";"PAGE2",#N/A,FALSE,"CPFFMSTR"}</definedName>
    <definedName name="dt"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u" localSheetId="0" hidden="1">{"1999 Revenue",#N/A,FALSE,"IBS";"1999 Traffic",#N/A,FALSE,"IBS"}</definedName>
    <definedName name="dtu" hidden="1">{"1999 Revenue",#N/A,FALSE,"IBS";"1999 Traffic",#N/A,FALSE,"IBS"}</definedName>
    <definedName name="dty"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s" localSheetId="0" hidden="1">{"PAGE1",#N/A,FALSE,"CPFFMSTR";"PAGE2",#N/A,FALSE,"CPFFMSTR"}</definedName>
    <definedName name="dtys" hidden="1">{"PAGE1",#N/A,FALSE,"CPFFMSTR";"PAGE2",#N/A,FALSE,"CPFFMSTR"}</definedName>
    <definedName name="Dumpster_Cost">#REF!</definedName>
    <definedName name="e" localSheetId="0">#REF!</definedName>
    <definedName name="e">#REF!</definedName>
    <definedName name="e_1" localSheetId="0" hidden="1">{#N/A,#N/A,TRUE,"Report";#N/A,#N/A,TRUE,"DETAIL";#N/A,#N/A,TRUE,"PGRM MGMT &amp; CONTRACT SPT";#N/A,#N/A,TRUE,"New Charts";#N/A,#N/A,TRUE,"Open Commit Revised ";#N/A,#N/A,TRUE,"TRAVEL"}</definedName>
    <definedName name="e_1" hidden="1">{#N/A,#N/A,TRUE,"Report";#N/A,#N/A,TRUE,"DETAIL";#N/A,#N/A,TRUE,"PGRM MGMT &amp; CONTRACT SPT";#N/A,#N/A,TRUE,"New Charts";#N/A,#N/A,TRUE,"Open Commit Revised ";#N/A,#N/A,TRUE,"TRAVEL"}</definedName>
    <definedName name="eafe" localSheetId="0" hidden="1">{"EbronCo5_PA",#N/A,FALSE,"Ebrons Task Co5";"EbronCo5_Prop",#N/A,FALSE,"Ebrons Task Co5"}</definedName>
    <definedName name="eafe" hidden="1">{"EbronCo5_PA",#N/A,FALSE,"Ebrons Task Co5";"EbronCo5_Prop",#N/A,FALSE,"Ebrons Task Co5"}</definedName>
    <definedName name="eafe_1" localSheetId="0" hidden="1">{"EbronCo5_PA",#N/A,FALSE,"Ebrons Task Co5";"EbronCo5_Prop",#N/A,FALSE,"Ebrons Task Co5"}</definedName>
    <definedName name="eafe_1" hidden="1">{"EbronCo5_PA",#N/A,FALSE,"Ebrons Task Co5";"EbronCo5_Prop",#N/A,FALSE,"Ebrons Task Co5"}</definedName>
    <definedName name="eafo" localSheetId="0" hidden="1">{"ACC_Cars_125K_PA",#N/A,FALSE,"ACC Cars Co1 125K ";"ACC_Cars_125K_Prop",#N/A,FALSE,"ACC Cars Co1 125K "}</definedName>
    <definedName name="eafo" hidden="1">{"ACC_Cars_125K_PA",#N/A,FALSE,"ACC Cars Co1 125K ";"ACC_Cars_125K_Prop",#N/A,FALSE,"ACC Cars Co1 125K "}</definedName>
    <definedName name="eafo_1" localSheetId="0" hidden="1">{"ACC_Cars_125K_PA",#N/A,FALSE,"ACC Cars Co1 125K ";"ACC_Cars_125K_Prop",#N/A,FALSE,"ACC Cars Co1 125K "}</definedName>
    <definedName name="eafo_1" hidden="1">{"ACC_Cars_125K_PA",#N/A,FALSE,"ACC Cars Co1 125K ";"ACC_Cars_125K_Prop",#N/A,FALSE,"ACC Cars Co1 125K "}</definedName>
    <definedName name="eafo1" localSheetId="0" hidden="1">{"ACC_Cars_400K_PA",#N/A,FALSE,"ACC Cars Co1 400K";"ACC_Cars_400K_Prop",#N/A,FALSE,"ACC Cars Co1 400K"}</definedName>
    <definedName name="eafo1" hidden="1">{"ACC_Cars_400K_PA",#N/A,FALSE,"ACC Cars Co1 400K";"ACC_Cars_400K_Prop",#N/A,FALSE,"ACC Cars Co1 400K"}</definedName>
    <definedName name="eafo1_1" localSheetId="0" hidden="1">{"ACC_Cars_400K_PA",#N/A,FALSE,"ACC Cars Co1 400K";"ACC_Cars_400K_Prop",#N/A,FALSE,"ACC Cars Co1 400K"}</definedName>
    <definedName name="eafo1_1" hidden="1">{"ACC_Cars_400K_PA",#N/A,FALSE,"ACC Cars Co1 400K";"ACC_Cars_400K_Prop",#N/A,FALSE,"ACC Cars Co1 400K"}</definedName>
    <definedName name="eafo10" localSheetId="0" hidden="1">{"PearsonCo1_Prop",#N/A,FALSE,"Pearsons Task Co1";"PearsonCo1_PA",#N/A,FALSE,"Pearsons Task Co1"}</definedName>
    <definedName name="eafo10" hidden="1">{"PearsonCo1_Prop",#N/A,FALSE,"Pearsons Task Co1";"PearsonCo1_PA",#N/A,FALSE,"Pearsons Task Co1"}</definedName>
    <definedName name="eafo10_1" localSheetId="0" hidden="1">{"PearsonCo1_Prop",#N/A,FALSE,"Pearsons Task Co1";"PearsonCo1_PA",#N/A,FALSE,"Pearsons Task Co1"}</definedName>
    <definedName name="eafo10_1" hidden="1">{"PearsonCo1_Prop",#N/A,FALSE,"Pearsons Task Co1";"PearsonCo1_PA",#N/A,FALSE,"Pearsons Task Co1"}</definedName>
    <definedName name="eafo11" localSheetId="0" hidden="1">{"PearsonCo5_Prop",#N/A,FALSE,"Pearsons Task Co5";"PearsonCo5_PA",#N/A,FALSE,"Pearsons Task Co5"}</definedName>
    <definedName name="eafo11" hidden="1">{"PearsonCo5_Prop",#N/A,FALSE,"Pearsons Task Co5";"PearsonCo5_PA",#N/A,FALSE,"Pearsons Task Co5"}</definedName>
    <definedName name="eafo11_1" localSheetId="0" hidden="1">{"PearsonCo5_Prop",#N/A,FALSE,"Pearsons Task Co5";"PearsonCo5_PA",#N/A,FALSE,"Pearsons Task Co5"}</definedName>
    <definedName name="eafo11_1" hidden="1">{"PearsonCo5_Prop",#N/A,FALSE,"Pearsons Task Co5";"PearsonCo5_PA",#N/A,FALSE,"Pearsons Task Co5"}</definedName>
    <definedName name="eafo12" localSheetId="0" hidden="1">{"Seal Team J6 Sum",#N/A,FALSE,"Seal Team Summary";"Seal Team J6",#N/A,FALSE,"Seal Team ";"Seal Team ODC J6",#N/A,FALSE,"Seal Team ODCs";"Seal Team Trvl J6",#N/A,FALSE," Seal Team Trvl"}</definedName>
    <definedName name="eafo12" hidden="1">{"Seal Team J6 Sum",#N/A,FALSE,"Seal Team Summary";"Seal Team J6",#N/A,FALSE,"Seal Team ";"Seal Team ODC J6",#N/A,FALSE,"Seal Team ODCs";"Seal Team Trvl J6",#N/A,FALSE," Seal Team Trvl"}</definedName>
    <definedName name="eafo12_1" localSheetId="0" hidden="1">{"Seal Team J6 Sum",#N/A,FALSE,"Seal Team Summary";"Seal Team J6",#N/A,FALSE,"Seal Team ";"Seal Team ODC J6",#N/A,FALSE,"Seal Team ODCs";"Seal Team Trvl J6",#N/A,FALSE," Seal Team Trvl"}</definedName>
    <definedName name="eafo12_1" hidden="1">{"Seal Team J6 Sum",#N/A,FALSE,"Seal Team Summary";"Seal Team J6",#N/A,FALSE,"Seal Team ";"Seal Team ODC J6",#N/A,FALSE,"Seal Team ODCs";"Seal Team Trvl J6",#N/A,FALSE," Seal Team Trvl"}</definedName>
    <definedName name="eafo15" localSheetId="0" hidden="1">{"ACC_Cars_125K_PA",#N/A,FALSE,"ACC Cars Co1 125K ";"ACC_Cars_125K_Prop",#N/A,FALSE,"ACC Cars Co1 125K "}</definedName>
    <definedName name="eafo15" hidden="1">{"ACC_Cars_125K_PA",#N/A,FALSE,"ACC Cars Co1 125K ";"ACC_Cars_125K_Prop",#N/A,FALSE,"ACC Cars Co1 125K "}</definedName>
    <definedName name="eafo15_1" localSheetId="0" hidden="1">{"ACC_Cars_125K_PA",#N/A,FALSE,"ACC Cars Co1 125K ";"ACC_Cars_125K_Prop",#N/A,FALSE,"ACC Cars Co1 125K "}</definedName>
    <definedName name="eafo15_1" hidden="1">{"ACC_Cars_125K_PA",#N/A,FALSE,"ACC Cars Co1 125K ";"ACC_Cars_125K_Prop",#N/A,FALSE,"ACC Cars Co1 125K "}</definedName>
    <definedName name="eafo16" localSheetId="0" hidden="1">{"ACC_Cars_400K_PA",#N/A,FALSE,"ACC Cars Co1 400K";"ACC_Cars_400K_Prop",#N/A,FALSE,"ACC Cars Co1 400K"}</definedName>
    <definedName name="eafo16" hidden="1">{"ACC_Cars_400K_PA",#N/A,FALSE,"ACC Cars Co1 400K";"ACC_Cars_400K_Prop",#N/A,FALSE,"ACC Cars Co1 400K"}</definedName>
    <definedName name="eafo16_1" localSheetId="0" hidden="1">{"ACC_Cars_400K_PA",#N/A,FALSE,"ACC Cars Co1 400K";"ACC_Cars_400K_Prop",#N/A,FALSE,"ACC Cars Co1 400K"}</definedName>
    <definedName name="eafo16_1" hidden="1">{"ACC_Cars_400K_PA",#N/A,FALSE,"ACC Cars Co1 400K";"ACC_Cars_400K_Prop",#N/A,FALSE,"ACC Cars Co1 400K"}</definedName>
    <definedName name="eafo17" localSheetId="0" hidden="1">{"PAGE1",#N/A,FALSE,"ACC_CARS Travel 125K";"PAGE2",#N/A,FALSE,"ACC_CARS Travel 125K"}</definedName>
    <definedName name="eafo17" hidden="1">{"PAGE1",#N/A,FALSE,"ACC_CARS Travel 125K";"PAGE2",#N/A,FALSE,"ACC_CARS Travel 125K"}</definedName>
    <definedName name="eafo17_1" localSheetId="0" hidden="1">{"PAGE1",#N/A,FALSE,"ACC_CARS Travel 125K";"PAGE2",#N/A,FALSE,"ACC_CARS Travel 125K"}</definedName>
    <definedName name="eafo17_1" hidden="1">{"PAGE1",#N/A,FALSE,"ACC_CARS Travel 125K";"PAGE2",#N/A,FALSE,"ACC_CARS Travel 125K"}</definedName>
    <definedName name="eafo18" localSheetId="0" hidden="1">{"Page1",#N/A,FALSE,"ACC_CARS Travel 400K";"Page2",#N/A,FALSE,"ACC_CARS Travel 400K"}</definedName>
    <definedName name="eafo18" hidden="1">{"Page1",#N/A,FALSE,"ACC_CARS Travel 400K";"Page2",#N/A,FALSE,"ACC_CARS Travel 400K"}</definedName>
    <definedName name="eafo18_1" localSheetId="0" hidden="1">{"Page1",#N/A,FALSE,"ACC_CARS Travel 400K";"Page2",#N/A,FALSE,"ACC_CARS Travel 400K"}</definedName>
    <definedName name="eafo18_1" hidden="1">{"Page1",#N/A,FALSE,"ACC_CARS Travel 400K";"Page2",#N/A,FALSE,"ACC_CARS Travel 400K"}</definedName>
    <definedName name="eafo19" localSheetId="0" hidden="1">{"Pre_CCB",#N/A,FALSE,"Pre CCB Pkg ";"CCB_Memb_Notbk",#N/A,FALSE,"CCB_Memb_Notebk";"CCB_Handouts",#N/A,FALSE,"Handouts";"JDISS_Brochure",#N/A,FALSE,"JDISS_Brochure";"JDISS_Minutes",#N/A,FALSE,"JDISS_Minutes";"Total_JDISS",#N/A,FALSE,"Total JDISS"}</definedName>
    <definedName name="eafo19" hidden="1">{"Pre_CCB",#N/A,FALSE,"Pre CCB Pkg ";"CCB_Memb_Notbk",#N/A,FALSE,"CCB_Memb_Notebk";"CCB_Handouts",#N/A,FALSE,"Handouts";"JDISS_Brochure",#N/A,FALSE,"JDISS_Brochure";"JDISS_Minutes",#N/A,FALSE,"JDISS_Minutes";"Total_JDISS",#N/A,FALSE,"Total JDISS"}</definedName>
    <definedName name="eafo19_1" localSheetId="0" hidden="1">{"Pre_CCB",#N/A,FALSE,"Pre CCB Pkg ";"CCB_Memb_Notbk",#N/A,FALSE,"CCB_Memb_Notebk";"CCB_Handouts",#N/A,FALSE,"Handouts";"JDISS_Brochure",#N/A,FALSE,"JDISS_Brochure";"JDISS_Minutes",#N/A,FALSE,"JDISS_Minutes";"Total_JDISS",#N/A,FALSE,"Total JDISS"}</definedName>
    <definedName name="eafo19_1" hidden="1">{"Pre_CCB",#N/A,FALSE,"Pre CCB Pkg ";"CCB_Memb_Notbk",#N/A,FALSE,"CCB_Memb_Notebk";"CCB_Handouts",#N/A,FALSE,"Handouts";"JDISS_Brochure",#N/A,FALSE,"JDISS_Brochure";"JDISS_Minutes",#N/A,FALSE,"JDISS_Minutes";"Total_JDISS",#N/A,FALSE,"Total JDISS"}</definedName>
    <definedName name="eafo2" localSheetId="0" hidden="1">{"PAGE1",#N/A,FALSE,"ACC_CARS Travel 125K";"PAGE2",#N/A,FALSE,"ACC_CARS Travel 125K"}</definedName>
    <definedName name="eafo2" hidden="1">{"PAGE1",#N/A,FALSE,"ACC_CARS Travel 125K";"PAGE2",#N/A,FALSE,"ACC_CARS Travel 125K"}</definedName>
    <definedName name="eafo2_1" localSheetId="0" hidden="1">{"PAGE1",#N/A,FALSE,"ACC_CARS Travel 125K";"PAGE2",#N/A,FALSE,"ACC_CARS Travel 125K"}</definedName>
    <definedName name="eafo2_1" hidden="1">{"PAGE1",#N/A,FALSE,"ACC_CARS Travel 125K";"PAGE2",#N/A,FALSE,"ACC_CARS Travel 125K"}</definedName>
    <definedName name="eafo20" localSheetId="0" hidden="1">{"DolanCo1_PA",#N/A,FALSE,"Tina Dolan";"DolanCo1_Prop",#N/A,FALSE,"Tina Dolan"}</definedName>
    <definedName name="eafo20" hidden="1">{"DolanCo1_PA",#N/A,FALSE,"Tina Dolan";"DolanCo1_Prop",#N/A,FALSE,"Tina Dolan"}</definedName>
    <definedName name="eafo20_1" localSheetId="0" hidden="1">{"DolanCo1_PA",#N/A,FALSE,"Tina Dolan";"DolanCo1_Prop",#N/A,FALSE,"Tina Dolan"}</definedName>
    <definedName name="eafo20_1" hidden="1">{"DolanCo1_PA",#N/A,FALSE,"Tina Dolan";"DolanCo1_Prop",#N/A,FALSE,"Tina Dolan"}</definedName>
    <definedName name="eafo21" localSheetId="0" hidden="1">{"Prop_350K",#N/A,FALSE,"Ebron-350K";"PA_350K",#N/A,FALSE,"Ebron-350K";"Ebron350KTrvl",#N/A,FALSE,"Ebrons Travel 350k"}</definedName>
    <definedName name="eafo21" hidden="1">{"Prop_350K",#N/A,FALSE,"Ebron-350K";"PA_350K",#N/A,FALSE,"Ebron-350K";"Ebron350KTrvl",#N/A,FALSE,"Ebrons Travel 350k"}</definedName>
    <definedName name="eafo21_1" localSheetId="0" hidden="1">{"Prop_350K",#N/A,FALSE,"Ebron-350K";"PA_350K",#N/A,FALSE,"Ebron-350K";"Ebron350KTrvl",#N/A,FALSE,"Ebrons Travel 350k"}</definedName>
    <definedName name="eafo21_1" hidden="1">{"Prop_350K",#N/A,FALSE,"Ebron-350K";"PA_350K",#N/A,FALSE,"Ebron-350K";"Ebron350KTrvl",#N/A,FALSE,"Ebrons Travel 350k"}</definedName>
    <definedName name="eafo22" localSheetId="0" hidden="1">{"EbronCo1_PA",#N/A,FALSE,"Ebrons Task Co1";"EbronCo1_Prop",#N/A,FALSE,"Ebrons Task Co1";"Ebron316KTrvl",#N/A,FALSE,"Ebrons Travel 316k"}</definedName>
    <definedName name="eafo22" hidden="1">{"EbronCo1_PA",#N/A,FALSE,"Ebrons Task Co1";"EbronCo1_Prop",#N/A,FALSE,"Ebrons Task Co1";"Ebron316KTrvl",#N/A,FALSE,"Ebrons Travel 316k"}</definedName>
    <definedName name="eafo22_1" localSheetId="0" hidden="1">{"EbronCo1_PA",#N/A,FALSE,"Ebrons Task Co1";"EbronCo1_Prop",#N/A,FALSE,"Ebrons Task Co1";"Ebron316KTrvl",#N/A,FALSE,"Ebrons Travel 316k"}</definedName>
    <definedName name="eafo22_1" hidden="1">{"EbronCo1_PA",#N/A,FALSE,"Ebrons Task Co1";"EbronCo1_Prop",#N/A,FALSE,"Ebrons Task Co1";"Ebron316KTrvl",#N/A,FALSE,"Ebrons Travel 316k"}</definedName>
    <definedName name="eafo23" localSheetId="0" hidden="1">{"EbronCo5_PA",#N/A,FALSE,"Ebrons Task Co5";"EbronCo5_Prop",#N/A,FALSE,"Ebrons Task Co5"}</definedName>
    <definedName name="eafo23" hidden="1">{"EbronCo5_PA",#N/A,FALSE,"Ebrons Task Co5";"EbronCo5_Prop",#N/A,FALSE,"Ebrons Task Co5"}</definedName>
    <definedName name="eafo23_1" localSheetId="0" hidden="1">{"EbronCo5_PA",#N/A,FALSE,"Ebrons Task Co5";"EbronCo5_Prop",#N/A,FALSE,"Ebrons Task Co5"}</definedName>
    <definedName name="eafo23_1" hidden="1">{"EbronCo5_PA",#N/A,FALSE,"Ebrons Task Co5";"EbronCo5_Prop",#N/A,FALSE,"Ebrons Task Co5"}</definedName>
    <definedName name="eafo24" localSheetId="0" hidden="1">{"JDISS_Co1",#N/A,FALSE,"JDISS_Co1";"JDISSCo1_PA",#N/A,FALSE,"JDISS_Co1"}</definedName>
    <definedName name="eafo24" hidden="1">{"JDISS_Co1",#N/A,FALSE,"JDISS_Co1";"JDISSCo1_PA",#N/A,FALSE,"JDISS_Co1"}</definedName>
    <definedName name="eafo24_1" localSheetId="0" hidden="1">{"JDISS_Co1",#N/A,FALSE,"JDISS_Co1";"JDISSCo1_PA",#N/A,FALSE,"JDISS_Co1"}</definedName>
    <definedName name="eafo24_1" hidden="1">{"JDISS_Co1",#N/A,FALSE,"JDISS_Co1";"JDISSCo1_PA",#N/A,FALSE,"JDISS_Co1"}</definedName>
    <definedName name="eafo26" localSheetId="0" hidden="1">{"PearsonCo5_Prop",#N/A,FALSE,"Pearsons Task Co5";"PearsonCo5_PA",#N/A,FALSE,"Pearsons Task Co5"}</definedName>
    <definedName name="eafo26" hidden="1">{"PearsonCo5_Prop",#N/A,FALSE,"Pearsons Task Co5";"PearsonCo5_PA",#N/A,FALSE,"Pearsons Task Co5"}</definedName>
    <definedName name="eafo26_1" localSheetId="0" hidden="1">{"PearsonCo5_Prop",#N/A,FALSE,"Pearsons Task Co5";"PearsonCo5_PA",#N/A,FALSE,"Pearsons Task Co5"}</definedName>
    <definedName name="eafo26_1" hidden="1">{"PearsonCo5_Prop",#N/A,FALSE,"Pearsons Task Co5";"PearsonCo5_PA",#N/A,FALSE,"Pearsons Task Co5"}</definedName>
    <definedName name="eafo27" localSheetId="0" hidden="1">{"Seal Team J6 Sum",#N/A,FALSE,"Seal Team Summary";"Seal Team J6",#N/A,FALSE,"Seal Team ";"Seal Team ODC J6",#N/A,FALSE,"Seal Team ODCs";"Seal Team Trvl J6",#N/A,FALSE," Seal Team Trvl"}</definedName>
    <definedName name="eafo27" hidden="1">{"Seal Team J6 Sum",#N/A,FALSE,"Seal Team Summary";"Seal Team J6",#N/A,FALSE,"Seal Team ";"Seal Team ODC J6",#N/A,FALSE,"Seal Team ODCs";"Seal Team Trvl J6",#N/A,FALSE," Seal Team Trvl"}</definedName>
    <definedName name="eafo27_1" localSheetId="0" hidden="1">{"Seal Team J6 Sum",#N/A,FALSE,"Seal Team Summary";"Seal Team J6",#N/A,FALSE,"Seal Team ";"Seal Team ODC J6",#N/A,FALSE,"Seal Team ODCs";"Seal Team Trvl J6",#N/A,FALSE," Seal Team Trvl"}</definedName>
    <definedName name="eafo27_1" hidden="1">{"Seal Team J6 Sum",#N/A,FALSE,"Seal Team Summary";"Seal Team J6",#N/A,FALSE,"Seal Team ";"Seal Team ODC J6",#N/A,FALSE,"Seal Team ODCs";"Seal Team Trvl J6",#N/A,FALSE," Seal Team Trvl"}</definedName>
    <definedName name="eafo3" localSheetId="0" hidden="1">{"Page1",#N/A,FALSE,"ACC_CARS Travel 400K";"Page2",#N/A,FALSE,"ACC_CARS Travel 400K"}</definedName>
    <definedName name="eafo3" hidden="1">{"Page1",#N/A,FALSE,"ACC_CARS Travel 400K";"Page2",#N/A,FALSE,"ACC_CARS Travel 400K"}</definedName>
    <definedName name="eafo3_1" localSheetId="0" hidden="1">{"Page1",#N/A,FALSE,"ACC_CARS Travel 400K";"Page2",#N/A,FALSE,"ACC_CARS Travel 400K"}</definedName>
    <definedName name="eafo3_1" hidden="1">{"Page1",#N/A,FALSE,"ACC_CARS Travel 400K";"Page2",#N/A,FALSE,"ACC_CARS Travel 400K"}</definedName>
    <definedName name="eafo4" localSheetId="0" hidden="1">{"Pre_CCB",#N/A,FALSE,"Pre CCB Pkg ";"CCB_Memb_Notbk",#N/A,FALSE,"CCB_Memb_Notebk";"CCB_Handouts",#N/A,FALSE,"Handouts";"JDISS_Brochure",#N/A,FALSE,"JDISS_Brochure";"JDISS_Minutes",#N/A,FALSE,"JDISS_Minutes";"Total_JDISS",#N/A,FALSE,"Total JDISS"}</definedName>
    <definedName name="eafo4" hidden="1">{"Pre_CCB",#N/A,FALSE,"Pre CCB Pkg ";"CCB_Memb_Notbk",#N/A,FALSE,"CCB_Memb_Notebk";"CCB_Handouts",#N/A,FALSE,"Handouts";"JDISS_Brochure",#N/A,FALSE,"JDISS_Brochure";"JDISS_Minutes",#N/A,FALSE,"JDISS_Minutes";"Total_JDISS",#N/A,FALSE,"Total JDISS"}</definedName>
    <definedName name="eafo4_1" localSheetId="0" hidden="1">{"Pre_CCB",#N/A,FALSE,"Pre CCB Pkg ";"CCB_Memb_Notbk",#N/A,FALSE,"CCB_Memb_Notebk";"CCB_Handouts",#N/A,FALSE,"Handouts";"JDISS_Brochure",#N/A,FALSE,"JDISS_Brochure";"JDISS_Minutes",#N/A,FALSE,"JDISS_Minutes";"Total_JDISS",#N/A,FALSE,"Total JDISS"}</definedName>
    <definedName name="eafo4_1" hidden="1">{"Pre_CCB",#N/A,FALSE,"Pre CCB Pkg ";"CCB_Memb_Notbk",#N/A,FALSE,"CCB_Memb_Notebk";"CCB_Handouts",#N/A,FALSE,"Handouts";"JDISS_Brochure",#N/A,FALSE,"JDISS_Brochure";"JDISS_Minutes",#N/A,FALSE,"JDISS_Minutes";"Total_JDISS",#N/A,FALSE,"Total JDISS"}</definedName>
    <definedName name="eafo5" localSheetId="0" hidden="1">{"DolanCo1_PA",#N/A,FALSE,"Tina Dolan";"DolanCo1_Prop",#N/A,FALSE,"Tina Dolan"}</definedName>
    <definedName name="eafo5" hidden="1">{"DolanCo1_PA",#N/A,FALSE,"Tina Dolan";"DolanCo1_Prop",#N/A,FALSE,"Tina Dolan"}</definedName>
    <definedName name="eafo5_1" localSheetId="0" hidden="1">{"DolanCo1_PA",#N/A,FALSE,"Tina Dolan";"DolanCo1_Prop",#N/A,FALSE,"Tina Dolan"}</definedName>
    <definedName name="eafo5_1" hidden="1">{"DolanCo1_PA",#N/A,FALSE,"Tina Dolan";"DolanCo1_Prop",#N/A,FALSE,"Tina Dolan"}</definedName>
    <definedName name="eafo6" localSheetId="0" hidden="1">{"Prop_350K",#N/A,FALSE,"Ebron-350K";"PA_350K",#N/A,FALSE,"Ebron-350K";"Ebron350KTrvl",#N/A,FALSE,"Ebrons Travel 350k"}</definedName>
    <definedName name="eafo6" hidden="1">{"Prop_350K",#N/A,FALSE,"Ebron-350K";"PA_350K",#N/A,FALSE,"Ebron-350K";"Ebron350KTrvl",#N/A,FALSE,"Ebrons Travel 350k"}</definedName>
    <definedName name="eafo6_1" localSheetId="0" hidden="1">{"Prop_350K",#N/A,FALSE,"Ebron-350K";"PA_350K",#N/A,FALSE,"Ebron-350K";"Ebron350KTrvl",#N/A,FALSE,"Ebrons Travel 350k"}</definedName>
    <definedName name="eafo6_1" hidden="1">{"Prop_350K",#N/A,FALSE,"Ebron-350K";"PA_350K",#N/A,FALSE,"Ebron-350K";"Ebron350KTrvl",#N/A,FALSE,"Ebrons Travel 350k"}</definedName>
    <definedName name="eafo7" localSheetId="0" hidden="1">{"EbronCo1_PA",#N/A,FALSE,"Ebrons Task Co1";"EbronCo1_Prop",#N/A,FALSE,"Ebrons Task Co1";"Ebron316KTrvl",#N/A,FALSE,"Ebrons Travel 316k"}</definedName>
    <definedName name="eafo7" hidden="1">{"EbronCo1_PA",#N/A,FALSE,"Ebrons Task Co1";"EbronCo1_Prop",#N/A,FALSE,"Ebrons Task Co1";"Ebron316KTrvl",#N/A,FALSE,"Ebrons Travel 316k"}</definedName>
    <definedName name="eafo7_1" localSheetId="0" hidden="1">{"EbronCo1_PA",#N/A,FALSE,"Ebrons Task Co1";"EbronCo1_Prop",#N/A,FALSE,"Ebrons Task Co1";"Ebron316KTrvl",#N/A,FALSE,"Ebrons Travel 316k"}</definedName>
    <definedName name="eafo7_1" hidden="1">{"EbronCo1_PA",#N/A,FALSE,"Ebrons Task Co1";"EbronCo1_Prop",#N/A,FALSE,"Ebrons Task Co1";"Ebron316KTrvl",#N/A,FALSE,"Ebrons Travel 316k"}</definedName>
    <definedName name="eafo8" localSheetId="0" hidden="1">{"EbronCo5_PA",#N/A,FALSE,"Ebrons Task Co5";"EbronCo5_Prop",#N/A,FALSE,"Ebrons Task Co5"}</definedName>
    <definedName name="eafo8" hidden="1">{"EbronCo5_PA",#N/A,FALSE,"Ebrons Task Co5";"EbronCo5_Prop",#N/A,FALSE,"Ebrons Task Co5"}</definedName>
    <definedName name="eafo8_1" localSheetId="0" hidden="1">{"EbronCo5_PA",#N/A,FALSE,"Ebrons Task Co5";"EbronCo5_Prop",#N/A,FALSE,"Ebrons Task Co5"}</definedName>
    <definedName name="eafo8_1" hidden="1">{"EbronCo5_PA",#N/A,FALSE,"Ebrons Task Co5";"EbronCo5_Prop",#N/A,FALSE,"Ebrons Task Co5"}</definedName>
    <definedName name="eafo9" localSheetId="0" hidden="1">{"JDISS_Co1",#N/A,FALSE,"JDISS_Co1";"JDISSCo1_PA",#N/A,FALSE,"JDISS_Co1"}</definedName>
    <definedName name="eafo9" hidden="1">{"JDISS_Co1",#N/A,FALSE,"JDISS_Co1";"JDISSCo1_PA",#N/A,FALSE,"JDISS_Co1"}</definedName>
    <definedName name="eafo9_1" localSheetId="0" hidden="1">{"JDISS_Co1",#N/A,FALSE,"JDISS_Co1";"JDISSCo1_PA",#N/A,FALSE,"JDISS_Co1"}</definedName>
    <definedName name="eafo9_1" hidden="1">{"JDISS_Co1",#N/A,FALSE,"JDISS_Co1";"JDISSCo1_PA",#N/A,FALSE,"JDISS_Co1"}</definedName>
    <definedName name="eafo99" localSheetId="0" hidden="1">{"Pre_CCB",#N/A,FALSE,"Pre CCB Pkg ";"CCB_Memb_Notbk",#N/A,FALSE,"CCB_Memb_Notebk";"CCB_Handouts",#N/A,FALSE,"Handouts";"JDISS_Brochure",#N/A,FALSE,"JDISS_Brochure";"JDISS_Minutes",#N/A,FALSE,"JDISS_Minutes";"Total_JDISS",#N/A,FALSE,"Total JDISS"}</definedName>
    <definedName name="eafo99" hidden="1">{"Pre_CCB",#N/A,FALSE,"Pre CCB Pkg ";"CCB_Memb_Notbk",#N/A,FALSE,"CCB_Memb_Notebk";"CCB_Handouts",#N/A,FALSE,"Handouts";"JDISS_Brochure",#N/A,FALSE,"JDISS_Brochure";"JDISS_Minutes",#N/A,FALSE,"JDISS_Minutes";"Total_JDISS",#N/A,FALSE,"Total JDISS"}</definedName>
    <definedName name="earo25" localSheetId="0" hidden="1">{"PearsonCo1_Prop",#N/A,FALSE,"Pearsons Task Co1";"PearsonCo1_PA",#N/A,FALSE,"Pearsons Task Co1"}</definedName>
    <definedName name="earo25" hidden="1">{"PearsonCo1_Prop",#N/A,FALSE,"Pearsons Task Co1";"PearsonCo1_PA",#N/A,FALSE,"Pearsons Task Co1"}</definedName>
    <definedName name="earo25_1" localSheetId="0" hidden="1">{"PearsonCo1_Prop",#N/A,FALSE,"Pearsons Task Co1";"PearsonCo1_PA",#N/A,FALSE,"Pearsons Task Co1"}</definedName>
    <definedName name="earo25_1" hidden="1">{"PearsonCo1_Prop",#N/A,FALSE,"Pearsons Task Co1";"PearsonCo1_PA",#N/A,FALSE,"Pearsons Task Co1"}</definedName>
    <definedName name="East" localSheetId="0" hidden="1">{#N/A,#N/A,TRUE,"DCF Summary (2)";#N/A,#N/A,TRUE,"DCF Summary";#N/A,"Middle Case Drivers",TRUE,"DCF"}</definedName>
    <definedName name="East" hidden="1">{#N/A,#N/A,TRUE,"DCF Summary (2)";#N/A,#N/A,TRUE,"DCF Summary";#N/A,"Middle Case Drivers",TRUE,"DCF"}</definedName>
    <definedName name="ECM_Code_List">#REF!</definedName>
    <definedName name="ECMs_Existing">#REF!</definedName>
    <definedName name="ECMs_Existing_Old">#REF!</definedName>
    <definedName name="edcba"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e_No." comment="Number of employees; max = 1.0." localSheetId="0">'[5]RATES &amp; TABLES'!$P$2:$P$110</definedName>
    <definedName name="Ee_No.">'[5]RATES &amp; TABLES'!$P$2:$P$110</definedName>
    <definedName name="eee" localSheetId="0" hidden="1">{"'1098trans'!$A$10:$F$64","'1098trans'!$A$65:$A$66","'1098trans'!$A$67:$D$69","'1098trans'!$A$64:$F$69"}</definedName>
    <definedName name="eee" hidden="1">{"'1098trans'!$A$10:$F$64","'1098trans'!$A$65:$A$66","'1098trans'!$A$67:$D$69","'1098trans'!$A$64:$F$69"}</definedName>
    <definedName name="eeee" localSheetId="0" hidden="1">{"'1098trans'!$A$10:$F$64","'1098trans'!$A$65:$A$66","'1098trans'!$A$67:$D$69","'1098trans'!$A$64:$F$69"}</definedName>
    <definedName name="eeee" hidden="1">{"'1098trans'!$A$10:$F$64","'1098trans'!$A$65:$A$66","'1098trans'!$A$67:$D$69","'1098trans'!$A$64:$F$69"}</definedName>
    <definedName name="eeeeeeee" localSheetId="0" hidden="1">{"PAGE1",#N/A,FALSE,"allocation base";"PAGE2",#N/A,FALSE,"burden";"PAGE3",#N/A,FALSE,"burden";"PAGE4",#N/A,FALSE,"labor rates";"PAGE5",#N/A,FALSE,"labor rates";"PAGE6",#N/A,FALSE,"labor rates"}</definedName>
    <definedName name="eeeeeeee" hidden="1">{"PAGE1",#N/A,FALSE,"allocation base";"PAGE2",#N/A,FALSE,"burden";"PAGE3",#N/A,FALSE,"burden";"PAGE4",#N/A,FALSE,"labor rates";"PAGE5",#N/A,FALSE,"labor rates";"PAGE6",#N/A,FALSE,"labor rates"}</definedName>
    <definedName name="eeeeeeeee" localSheetId="0" hidden="1">{"PAGE1",#N/A,FALSE,"allocation base";"PAGE2",#N/A,FALSE,"burden";"PAGE3",#N/A,FALSE,"burden";"PAGE4",#N/A,FALSE,"labor rates";"PAGE5",#N/A,FALSE,"labor rates";"PAGE6",#N/A,FALSE,"labor rates"}</definedName>
    <definedName name="eeeeeeeee" hidden="1">{"PAGE1",#N/A,FALSE,"allocation base";"PAGE2",#N/A,FALSE,"burden";"PAGE3",#N/A,FALSE,"burden";"PAGE4",#N/A,FALSE,"labor rates";"PAGE5",#N/A,FALSE,"labor rates";"PAGE6",#N/A,FALSE,"labor rates"}</definedName>
    <definedName name="EG" localSheetId="0" hidden="1">{#N/A,#N/A,FALSE,"WBS 1.06";#N/A,#N/A,FALSE,"WBS 1.14";#N/A,#N/A,FALSE,"WBS 1.17";#N/A,#N/A,FALSE,"WBS 1.18"}</definedName>
    <definedName name="EG" hidden="1">{#N/A,#N/A,FALSE,"WBS 1.06";#N/A,#N/A,FALSE,"WBS 1.14";#N/A,#N/A,FALSE,"WBS 1.17";#N/A,#N/A,FALSE,"WBS 1.18"}</definedName>
    <definedName name="EGWWTG" localSheetId="0" hidden="1">{#N/A,#N/A,FALSE,"WBS 1.06";#N/A,#N/A,FALSE,"WBS 1.14";#N/A,#N/A,FALSE,"WBS 1.17";#N/A,#N/A,FALSE,"WBS 1.18"}</definedName>
    <definedName name="EGWWTG" hidden="1">{#N/A,#N/A,FALSE,"WBS 1.06";#N/A,#N/A,FALSE,"WBS 1.14";#N/A,#N/A,FALSE,"WBS 1.17";#N/A,#N/A,FALSE,"WBS 1.18"}</definedName>
    <definedName name="Energy_Rate_Codes">#REF!</definedName>
    <definedName name="Energy_Rates">#REF!</definedName>
    <definedName name="Energy_Tax">[9]Dashboard!$G$19</definedName>
    <definedName name="Engineering_Cost">#REF!</definedName>
    <definedName name="er" localSheetId="0" hidden="1">{"1999 Revenue",#N/A,FALSE,"IBS";"1999 Traffic",#N/A,FALSE,"IBS"}</definedName>
    <definedName name="er" hidden="1">{"1999 Revenue",#N/A,FALSE,"IBS";"1999 Traffic",#N/A,FALSE,"IBS"}</definedName>
    <definedName name="ERAHY" localSheetId="0" hidden="1">{#N/A,#N/A,FALSE,"WBS 1.06";#N/A,#N/A,FALSE,"WBS 1.14";#N/A,#N/A,FALSE,"WBS 1.17";#N/A,#N/A,FALSE,"WBS 1.18"}</definedName>
    <definedName name="ERAHY" hidden="1">{#N/A,#N/A,FALSE,"WBS 1.06";#N/A,#N/A,FALSE,"WBS 1.14";#N/A,#N/A,FALSE,"WBS 1.17";#N/A,#N/A,FALSE,"WBS 1.18"}</definedName>
    <definedName name="eras" localSheetId="0" hidden="1">{"PAGE1",#N/A,FALSE,"CPFFMSTR";"PAGE2",#N/A,FALSE,"CPFFMSTR"}</definedName>
    <definedName name="eras" hidden="1">{"PAGE1",#N/A,FALSE,"CPFFMSTR";"PAGE2",#N/A,FALSE,"CPFFMSTR"}</definedName>
    <definedName name="eraseme" localSheetId="0" hidden="1">{"laborr",#N/A,FALSE,"Sheet1";"sumr",#N/A,FALSE,"Sheet1";"odcr",#N/A,FALSE,"Sheet1";"trip1r",#N/A,FALSE,"Sheet1";"trip2r",#N/A,FALSE,"Sheet1";"trip3r",#N/A,FALSE,"Sheet1";"trip4r",#N/A,FALSE,"Sheet1"}</definedName>
    <definedName name="eraseme" hidden="1">{"laborr",#N/A,FALSE,"Sheet1";"sumr",#N/A,FALSE,"Sheet1";"odcr",#N/A,FALSE,"Sheet1";"trip1r",#N/A,FALSE,"Sheet1";"trip2r",#N/A,FALSE,"Sheet1";"trip3r",#N/A,FALSE,"Sheet1";"trip4r",#N/A,FALSE,"Sheet1"}</definedName>
    <definedName name="eraseme_1" localSheetId="0" hidden="1">{"laborr",#N/A,FALSE,"Sheet1";"sumr",#N/A,FALSE,"Sheet1";"odcr",#N/A,FALSE,"Sheet1";"trip1r",#N/A,FALSE,"Sheet1";"trip2r",#N/A,FALSE,"Sheet1";"trip3r",#N/A,FALSE,"Sheet1";"trip4r",#N/A,FALSE,"Sheet1"}</definedName>
    <definedName name="eraseme_1" hidden="1">{"laborr",#N/A,FALSE,"Sheet1";"sumr",#N/A,FALSE,"Sheet1";"odcr",#N/A,FALSE,"Sheet1";"trip1r",#N/A,FALSE,"Sheet1";"trip2r",#N/A,FALSE,"Sheet1";"trip3r",#N/A,FALSE,"Sheet1";"trip4r",#N/A,FALSE,"Sheet1"}</definedName>
    <definedName name="eraseme1" localSheetId="0" hidden="1">{"laborr",#N/A,FALSE,"Sheet1";"sumr",#N/A,FALSE,"Sheet1";"odcr",#N/A,FALSE,"Sheet1";"trip1r",#N/A,FALSE,"Sheet1";"trip2r",#N/A,FALSE,"Sheet1";"trip3r",#N/A,FALSE,"Sheet1";"trip4r",#N/A,FALSE,"Sheet1"}</definedName>
    <definedName name="eraseme1" hidden="1">{"laborr",#N/A,FALSE,"Sheet1";"sumr",#N/A,FALSE,"Sheet1";"odcr",#N/A,FALSE,"Sheet1";"trip1r",#N/A,FALSE,"Sheet1";"trip2r",#N/A,FALSE,"Sheet1";"trip3r",#N/A,FALSE,"Sheet1";"trip4r",#N/A,FALSE,"Sheet1"}</definedName>
    <definedName name="eraseme1_1" localSheetId="0" hidden="1">{"laborr",#N/A,FALSE,"Sheet1";"sumr",#N/A,FALSE,"Sheet1";"odcr",#N/A,FALSE,"Sheet1";"trip1r",#N/A,FALSE,"Sheet1";"trip2r",#N/A,FALSE,"Sheet1";"trip3r",#N/A,FALSE,"Sheet1";"trip4r",#N/A,FALSE,"Sheet1"}</definedName>
    <definedName name="eraseme1_1" hidden="1">{"laborr",#N/A,FALSE,"Sheet1";"sumr",#N/A,FALSE,"Sheet1";"odcr",#N/A,FALSE,"Sheet1";"trip1r",#N/A,FALSE,"Sheet1";"trip2r",#N/A,FALSE,"Sheet1";"trip3r",#N/A,FALSE,"Sheet1";"trip4r",#N/A,FALSE,"Sheet1"}</definedName>
    <definedName name="eraseme2" localSheetId="0" hidden="1">{"cptwor",#N/A,FALSE,"CP";"cpthreer",#N/A,FALSE,"CP";"sumr",#N/A,FALSE,"CP";"odcr",#N/A,FALSE,"CP"}</definedName>
    <definedName name="eraseme2" hidden="1">{"cptwor",#N/A,FALSE,"CP";"cpthreer",#N/A,FALSE,"CP";"sumr",#N/A,FALSE,"CP";"odcr",#N/A,FALSE,"CP"}</definedName>
    <definedName name="eraseme2_1" localSheetId="0" hidden="1">{"cptwor",#N/A,FALSE,"CP";"cpthreer",#N/A,FALSE,"CP";"sumr",#N/A,FALSE,"CP";"odcr",#N/A,FALSE,"CP"}</definedName>
    <definedName name="eraseme2_1" hidden="1">{"cptwor",#N/A,FALSE,"CP";"cpthreer",#N/A,FALSE,"CP";"sumr",#N/A,FALSE,"CP";"odcr",#N/A,FALSE,"CP"}</definedName>
    <definedName name="eraseme3" localSheetId="0" hidden="1">{"laborr",#N/A,FALSE,"Sheet1";"sumr",#N/A,FALSE,"Sheet1";"odcr",#N/A,FALSE,"Sheet1";"trip1r",#N/A,FALSE,"Sheet1"}</definedName>
    <definedName name="eraseme3" hidden="1">{"laborr",#N/A,FALSE,"Sheet1";"sumr",#N/A,FALSE,"Sheet1";"odcr",#N/A,FALSE,"Sheet1";"trip1r",#N/A,FALSE,"Sheet1"}</definedName>
    <definedName name="eraseme3_1" localSheetId="0" hidden="1">{"laborr",#N/A,FALSE,"Sheet1";"sumr",#N/A,FALSE,"Sheet1";"odcr",#N/A,FALSE,"Sheet1";"trip1r",#N/A,FALSE,"Sheet1"}</definedName>
    <definedName name="eraseme3_1" hidden="1">{"laborr",#N/A,FALSE,"Sheet1";"sumr",#N/A,FALSE,"Sheet1";"odcr",#N/A,FALSE,"Sheet1";"trip1r",#N/A,FALSE,"Sheet1"}</definedName>
    <definedName name="eraseme4" localSheetId="0" hidden="1">{"laborr",#N/A,FALSE,"costprop";"sumr",#N/A,FALSE,"costprop";"odcr",#N/A,FALSE,"costprop";"trip1r",#N/A,FALSE,"costprop";"trip2r",#N/A,FALSE,"costprop"}</definedName>
    <definedName name="eraseme4" hidden="1">{"laborr",#N/A,FALSE,"costprop";"sumr",#N/A,FALSE,"costprop";"odcr",#N/A,FALSE,"costprop";"trip1r",#N/A,FALSE,"costprop";"trip2r",#N/A,FALSE,"costprop"}</definedName>
    <definedName name="eraseme4_1" localSheetId="0" hidden="1">{"laborr",#N/A,FALSE,"costprop";"sumr",#N/A,FALSE,"costprop";"odcr",#N/A,FALSE,"costprop";"trip1r",#N/A,FALSE,"costprop";"trip2r",#N/A,FALSE,"costprop"}</definedName>
    <definedName name="eraseme4_1" hidden="1">{"laborr",#N/A,FALSE,"costprop";"sumr",#N/A,FALSE,"costprop";"odcr",#N/A,FALSE,"costprop";"trip1r",#N/A,FALSE,"costprop";"trip2r",#N/A,FALSE,"costprop"}</definedName>
    <definedName name="eraseme5" localSheetId="0" hidden="1">{"laborr",#N/A,FALSE,"costprop";"sumr",#N/A,FALSE,"costprop";"odcr",#N/A,FALSE,"costprop";"trip1r",#N/A,FALSE,"costprop";"trip2r",#N/A,FALSE,"costprop";"trip3r",#N/A,FALSE,"costprop"}</definedName>
    <definedName name="eraseme5" hidden="1">{"laborr",#N/A,FALSE,"costprop";"sumr",#N/A,FALSE,"costprop";"odcr",#N/A,FALSE,"costprop";"trip1r",#N/A,FALSE,"costprop";"trip2r",#N/A,FALSE,"costprop";"trip3r",#N/A,FALSE,"costprop"}</definedName>
    <definedName name="eraseme5_1" localSheetId="0" hidden="1">{"laborr",#N/A,FALSE,"costprop";"sumr",#N/A,FALSE,"costprop";"odcr",#N/A,FALSE,"costprop";"trip1r",#N/A,FALSE,"costprop";"trip2r",#N/A,FALSE,"costprop";"trip3r",#N/A,FALSE,"costprop"}</definedName>
    <definedName name="eraseme5_1" hidden="1">{"laborr",#N/A,FALSE,"costprop";"sumr",#N/A,FALSE,"costprop";"odcr",#N/A,FALSE,"costprop";"trip1r",#N/A,FALSE,"costprop";"trip2r",#N/A,FALSE,"costprop";"trip3r",#N/A,FALSE,"costprop"}</definedName>
    <definedName name="eraseme6" localSheetId="0" hidden="1">{"par",#N/A,FALSE,"PA";"odcr",#N/A,FALSE,"PA";"paxr",#N/A,FALSE,"PA"}</definedName>
    <definedName name="eraseme6" hidden="1">{"par",#N/A,FALSE,"PA";"odcr",#N/A,FALSE,"PA";"paxr",#N/A,FALSE,"PA"}</definedName>
    <definedName name="eraseme6_1" localSheetId="0" hidden="1">{"par",#N/A,FALSE,"PA";"odcr",#N/A,FALSE,"PA";"paxr",#N/A,FALSE,"PA"}</definedName>
    <definedName name="eraseme6_1" hidden="1">{"par",#N/A,FALSE,"PA";"odcr",#N/A,FALSE,"PA";"paxr",#N/A,FALSE,"PA"}</definedName>
    <definedName name="eraseme7" localSheetId="0" hidden="1">{"PAGE1",#N/A,FALSE,"CPFFMSTR";"PAGE2",#N/A,FALSE,"CPFFMSTR"}</definedName>
    <definedName name="eraseme7" hidden="1">{"PAGE1",#N/A,FALSE,"CPFFMSTR";"PAGE2",#N/A,FALSE,"CPFFMSTR"}</definedName>
    <definedName name="eraseme7_1" localSheetId="0" hidden="1">{"PAGE1",#N/A,FALSE,"CPFFMSTR";"PAGE2",#N/A,FALSE,"CPFFMSTR"}</definedName>
    <definedName name="eraseme7_1" hidden="1">{"PAGE1",#N/A,FALSE,"CPFFMSTR";"PAGE2",#N/A,FALSE,"CPFFMSTR"}</definedName>
    <definedName name="eric" localSheetId="0" hidden="1">{#N/A,#N/A,FALSE,"Annual Rpt"}</definedName>
    <definedName name="eric" hidden="1">{#N/A,#N/A,FALSE,"Annual Rpt"}</definedName>
    <definedName name="err"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y" localSheetId="0" hidden="1">{"'Vietnam'!$E$21:$W$45","'Vietnam'!$E$21:$W$45"}</definedName>
    <definedName name="erty" hidden="1">{"'Vietnam'!$E$21:$W$45","'Vietnam'!$E$21:$W$45"}</definedName>
    <definedName name="erwe" localSheetId="0" hidden="1">{"PAGE1",#N/A,FALSE,"CPFFMSTR";"PAGE2",#N/A,FALSE,"CPFFMSTR"}</definedName>
    <definedName name="erwe" hidden="1">{"PAGE1",#N/A,FALSE,"CPFFMSTR";"PAGE2",#N/A,FALSE,"CPFFMSTR"}</definedName>
    <definedName name="Estimate">#REF!</definedName>
    <definedName name="Estimate_Codes">#REF!</definedName>
    <definedName name="Estimate_Tab">#REF!</definedName>
    <definedName name="Estimated_Working_Days">#REF!</definedName>
    <definedName name="EV__ALLOWSTOPEXPAND__" hidden="1">1</definedName>
    <definedName name="EV__CVPARAMS__" hidden="1">"GrossToNet!$B$17:$C$32;"</definedName>
    <definedName name="EV__DECIMALSYMBOL__" hidden="1">"."</definedName>
    <definedName name="EV__EXPOPTIONS__" hidden="1">0</definedName>
    <definedName name="EV__LASTREFTIME__" hidden="1">39688.5584143518</definedName>
    <definedName name="EV__LOCKEDCVW__BUDGET" hidden="1">"CURRRT,WGD,ACTUAL,ALLC,ORA_HR,LEG01L,AllEmployees,AllOrigins,LC,2009.MAY,PERIODIC,"</definedName>
    <definedName name="EV__LOCKEDCVW__FINANCE" hidden="1">"924251,WGD,BUDGET,ALLC,TotalAdj,09980,AllOrigins,USD,2011.TOTAL,PERIODIC,"</definedName>
    <definedName name="EV__LOCKEDCVW__HR" hidden="1">"WASHSVCS,ACTUAL,TotalAdj,LEG01L,TOTAL_EMPCATEGORY,AllEmployees,CURRRT,2009.TOTAL,AllOrigins,TOTAL_PERSONTYPE,USD,PERIODIC,"</definedName>
    <definedName name="EV__LOCKEDCVW__RATE" hidden="1">"ALLCAT,AED,AVG,RateInput,2004.TOTAL,PERIODIC,"</definedName>
    <definedName name="EV__LOCKSTATUS__" hidden="1">4</definedName>
    <definedName name="EV__MAXEXPCOLS__" hidden="1">100</definedName>
    <definedName name="EV__MAXEXPROWS__" hidden="1">1000</definedName>
    <definedName name="EV__MEMORYCVW__" hidden="1">0</definedName>
    <definedName name="EV__MEMORYCVW__BUDGET_TEMPLATE_MASTER_20081" hidden="1">"BUDGET"</definedName>
    <definedName name="EV__WBEVMODE__" hidden="1">1</definedName>
    <definedName name="EV__WBREFOPTIONS__" hidden="1">134217728</definedName>
    <definedName name="EV__WBVERSION__" hidden="1">0</definedName>
    <definedName name="EV__WSINFO__" hidden="1">"partyanimal"</definedName>
    <definedName name="eva"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wfgwegfwe" localSheetId="0" hidden="1">{#N/A,#N/A,FALSE,"WBS 1.06";#N/A,#N/A,FALSE,"WBS 1.14";#N/A,#N/A,FALSE,"WBS 1.17";#N/A,#N/A,FALSE,"WBS 1.18"}</definedName>
    <definedName name="ewfgwegfwe" hidden="1">{#N/A,#N/A,FALSE,"WBS 1.06";#N/A,#N/A,FALSE,"WBS 1.14";#N/A,#N/A,FALSE,"WBS 1.17";#N/A,#N/A,FALSE,"WBS 1.18"}</definedName>
    <definedName name="EWgaretgr" localSheetId="0" hidden="1">{#N/A,#N/A,FALSE,"WBS 1.06";#N/A,#N/A,FALSE,"WBS 1.14";#N/A,#N/A,FALSE,"WBS 1.17";#N/A,#N/A,FALSE,"WBS 1.18"}</definedName>
    <definedName name="EWgaretgr" hidden="1">{#N/A,#N/A,FALSE,"WBS 1.06";#N/A,#N/A,FALSE,"WBS 1.14";#N/A,#N/A,FALSE,"WBS 1.17";#N/A,#N/A,FALSE,"WBS 1.18"}</definedName>
    <definedName name="EWGEWGFWE" localSheetId="0" hidden="1">{#N/A,#N/A,FALSE,"WBS 1.06";#N/A,#N/A,FALSE,"WBS 1.14";#N/A,#N/A,FALSE,"WBS 1.17";#N/A,#N/A,FALSE,"WBS 1.18"}</definedName>
    <definedName name="EWGEWGFWE" hidden="1">{#N/A,#N/A,FALSE,"WBS 1.06";#N/A,#N/A,FALSE,"WBS 1.14";#N/A,#N/A,FALSE,"WBS 1.17";#N/A,#N/A,FALSE,"WBS 1.18"}</definedName>
    <definedName name="ewrw"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isting_Burn_Hours">#REF!</definedName>
    <definedName name="Existing_Code_Lookup">#REF!</definedName>
    <definedName name="Existing_ECM_Codes">#REF!</definedName>
    <definedName name="Existing_ECM_Codes_Old">#REF!</definedName>
    <definedName name="fasdf" localSheetId="0" hidden="1">{"PAGE1",#N/A,FALSE,"CPFFMSTR";"PAGE2",#N/A,FALSE,"CPFFMSTR"}</definedName>
    <definedName name="fasdf" hidden="1">{"PAGE1",#N/A,FALSE,"CPFFMSTR";"PAGE2",#N/A,FALSE,"CPFFMSTR"}</definedName>
    <definedName name="fcjh"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f" localSheetId="0" hidden="1">{#N/A,#N/A,TRUE,"DCF Summary (2)";#N/A,#N/A,TRUE,"DCF Summary";#N/A,"Middle Case Drivers",TRUE,"DCF"}</definedName>
    <definedName name="fdf" hidden="1">{#N/A,#N/A,TRUE,"DCF Summary (2)";#N/A,#N/A,TRUE,"DCF Summary";#N/A,"Middle Case Drivers",TRUE,"DCF"}</definedName>
    <definedName name="fdfd" hidden="1">[10]Lists!$A$3:$A$62</definedName>
    <definedName name="fdsa"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ef" localSheetId="0" hidden="1">{#N/A,#N/A,FALSE,"WBS 1.06";#N/A,#N/A,FALSE,"WBS 1.14";#N/A,#N/A,FALSE,"WBS 1.17";#N/A,#N/A,FALSE,"WBS 1.18"}</definedName>
    <definedName name="fef" hidden="1">{#N/A,#N/A,FALSE,"WBS 1.06";#N/A,#N/A,FALSE,"WBS 1.14";#N/A,#N/A,FALSE,"WBS 1.17";#N/A,#N/A,FALSE,"WBS 1.18"}</definedName>
    <definedName name="FF" localSheetId="0" hidden="1">{#N/A,#N/A,FALSE,"Sheet1"}</definedName>
    <definedName name="FF" hidden="1">{#N/A,#N/A,FALSE,"Sheet1"}</definedName>
    <definedName name="fff" localSheetId="0" hidden="1">{#N/A,#N/A,FALSE,"Sheet1"}</definedName>
    <definedName name="fff" hidden="1">{#N/A,#N/A,FALSE,"Sheet1"}</definedName>
    <definedName name="ffff" localSheetId="0" hidden="1">{"'1098trans'!$A$10:$F$64","'1098trans'!$A$65:$A$66","'1098trans'!$A$67:$D$69","'1098trans'!$A$64:$F$69"}</definedName>
    <definedName name="ffff" hidden="1">{"'1098trans'!$A$10:$F$64","'1098trans'!$A$65:$A$66","'1098trans'!$A$67:$D$69","'1098trans'!$A$64:$F$69"}</definedName>
    <definedName name="ffffff" localSheetId="0" hidden="1">{"'1098trans'!$A$10:$F$64","'1098trans'!$A$65:$A$66","'1098trans'!$A$67:$D$69","'1098trans'!$A$64:$F$69"}</definedName>
    <definedName name="ffffff" hidden="1">{"'1098trans'!$A$10:$F$64","'1098trans'!$A$65:$A$66","'1098trans'!$A$67:$D$69","'1098trans'!$A$64:$F$69"}</definedName>
    <definedName name="fffffff" localSheetId="0" hidden="1">{#N/A,#N/A,FALSE,"WBS 1.06";#N/A,#N/A,FALSE,"WBS 1.14";#N/A,#N/A,FALSE,"WBS 1.17";#N/A,#N/A,FALSE,"WBS 1.18"}</definedName>
    <definedName name="fffffff" hidden="1">{#N/A,#N/A,FALSE,"WBS 1.06";#N/A,#N/A,FALSE,"WBS 1.14";#N/A,#N/A,FALSE,"WBS 1.17";#N/A,#N/A,FALSE,"WBS 1.18"}</definedName>
    <definedName name="ffffffff" localSheetId="0" hidden="1">{#N/A,#N/A,FALSE,"WBS 1.06";#N/A,#N/A,FALSE,"WBS 1.14";#N/A,#N/A,FALSE,"WBS 1.17";#N/A,#N/A,FALSE,"WBS 1.18"}</definedName>
    <definedName name="ffffffff" hidden="1">{#N/A,#N/A,FALSE,"WBS 1.06";#N/A,#N/A,FALSE,"WBS 1.14";#N/A,#N/A,FALSE,"WBS 1.17";#N/A,#N/A,FALSE,"WBS 1.18"}</definedName>
    <definedName name="fffffffff" localSheetId="0" hidden="1">{"'1098trans'!$A$10:$F$64","'1098trans'!$A$65:$A$66","'1098trans'!$A$67:$D$69","'1098trans'!$A$64:$F$69"}</definedName>
    <definedName name="fffffffff" hidden="1">{"'1098trans'!$A$10:$F$64","'1098trans'!$A$65:$A$66","'1098trans'!$A$67:$D$69","'1098trans'!$A$64:$F$69"}</definedName>
    <definedName name="FFWT" localSheetId="0" hidden="1">{#N/A,#N/A,FALSE,"WBS 1.06";#N/A,#N/A,FALSE,"WBS 1.14";#N/A,#N/A,FALSE,"WBS 1.17";#N/A,#N/A,FALSE,"WBS 1.18"}</definedName>
    <definedName name="FFWT" hidden="1">{#N/A,#N/A,FALSE,"WBS 1.06";#N/A,#N/A,FALSE,"WBS 1.14";#N/A,#N/A,FALSE,"WBS 1.17";#N/A,#N/A,FALSE,"WBS 1.18"}</definedName>
    <definedName name="FGH" localSheetId="0" hidden="1">{#N/A,#N/A,FALSE,"WBS 1.06";#N/A,#N/A,FALSE,"WBS 1.14";#N/A,#N/A,FALSE,"WBS 1.17";#N/A,#N/A,FALSE,"WBS 1.18"}</definedName>
    <definedName name="FGH" hidden="1">{#N/A,#N/A,FALSE,"WBS 1.06";#N/A,#N/A,FALSE,"WBS 1.14";#N/A,#N/A,FALSE,"WBS 1.17";#N/A,#N/A,FALSE,"WBS 1.18"}</definedName>
    <definedName name="fghk"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vadsgfa">#REF!</definedName>
    <definedName name="fill2" hidden="1">'[11]PPV APRIL'!$C$4:$C$1701</definedName>
    <definedName name="Fixture_Wattage">#REF!</definedName>
    <definedName name="FOLBOSCRTAB"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tyi" localSheetId="0" hidden="1">{"1999 Revenue",#N/A,FALSE,"IBS";"1999 Traffic",#N/A,FALSE,"IBS"}</definedName>
    <definedName name="ftyi" hidden="1">{"1999 Revenue",#N/A,FALSE,"IBS";"1999 Traffic",#N/A,FALSE,"IBS"}</definedName>
    <definedName name="ftyu"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tu"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'[1]J-SEC'!#REF!</definedName>
    <definedName name="GET" localSheetId="0" hidden="1">{#N/A,#N/A,FALSE,"WBS 1.06";#N/A,#N/A,FALSE,"WBS 1.14";#N/A,#N/A,FALSE,"WBS 1.17";#N/A,#N/A,FALSE,"WBS 1.18"}</definedName>
    <definedName name="GET" hidden="1">{#N/A,#N/A,FALSE,"WBS 1.06";#N/A,#N/A,FALSE,"WBS 1.14";#N/A,#N/A,FALSE,"WBS 1.17";#N/A,#N/A,FALSE,"WBS 1.18"}</definedName>
    <definedName name="GEWAGRG" localSheetId="0" hidden="1">{#N/A,#N/A,FALSE,"WBS 1.06";#N/A,#N/A,FALSE,"WBS 1.14";#N/A,#N/A,FALSE,"WBS 1.17";#N/A,#N/A,FALSE,"WBS 1.18"}</definedName>
    <definedName name="GEWAGRG" hidden="1">{#N/A,#N/A,FALSE,"WBS 1.06";#N/A,#N/A,FALSE,"WBS 1.14";#N/A,#N/A,FALSE,"WBS 1.17";#N/A,#N/A,FALSE,"WBS 1.18"}</definedName>
    <definedName name="gggg" localSheetId="0" hidden="1">{"'Vietnam'!$E$21:$W$45","'Vietnam'!$E$21:$W$45"}</definedName>
    <definedName name="gggg" hidden="1">{"'Vietnam'!$E$21:$W$45","'Vietnam'!$E$21:$W$45"}</definedName>
    <definedName name="gggggg" localSheetId="0" hidden="1">{#N/A,#N/A,FALSE,"WBS 1.06";#N/A,#N/A,FALSE,"WBS 1.14";#N/A,#N/A,FALSE,"WBS 1.17";#N/A,#N/A,FALSE,"WBS 1.18"}</definedName>
    <definedName name="gggggg" hidden="1">{#N/A,#N/A,FALSE,"WBS 1.06";#N/A,#N/A,FALSE,"WBS 1.14";#N/A,#N/A,FALSE,"WBS 1.17";#N/A,#N/A,FALSE,"WBS 1.18"}</definedName>
    <definedName name="gh"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hg.xls"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i"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y.xls"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jkl"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nnh"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ovt_1_2_3" localSheetId="0" hidden="1">{#N/A,#N/A,FALSE,"Base Info";#N/A,#N/A,FALSE,"Base Info"}</definedName>
    <definedName name="Govt_1_2_3" hidden="1">{#N/A,#N/A,FALSE,"Base Info";#N/A,#N/A,FALSE,"Base Info"}</definedName>
    <definedName name="Govt_1_2_3_1" localSheetId="0" hidden="1">{#N/A,#N/A,FALSE,"Base Info";#N/A,#N/A,FALSE,"Base Info"}</definedName>
    <definedName name="Govt_1_2_3_1" hidden="1">{#N/A,#N/A,FALSE,"Base Info";#N/A,#N/A,FALSE,"Base Info"}</definedName>
    <definedName name="govt_copy" localSheetId="0" hidden="1">{#N/A,#N/A,FALSE,"Cover";#N/A,#N/A,FALSE,"Data";#N/A,#N/A,FALSE,"MDS Sup";#N/A,#N/A,FALSE,"Sub Sup";#N/A,#N/A,FALSE,"Ad Hoc";#N/A,#N/A,FALSE,"Dave's Summary";#N/A,#N/A,FALSE,"Graphs"}</definedName>
    <definedName name="govt_copy" hidden="1">{#N/A,#N/A,FALSE,"Cover";#N/A,#N/A,FALSE,"Data";#N/A,#N/A,FALSE,"MDS Sup";#N/A,#N/A,FALSE,"Sub Sup";#N/A,#N/A,FALSE,"Ad Hoc";#N/A,#N/A,FALSE,"Dave's Summary";#N/A,#N/A,FALSE,"Graphs"}</definedName>
    <definedName name="govt_copy_1" localSheetId="0" hidden="1">{#N/A,#N/A,FALSE,"Cover";#N/A,#N/A,FALSE,"Data";#N/A,#N/A,FALSE,"MDS Sup";#N/A,#N/A,FALSE,"Sub Sup";#N/A,#N/A,FALSE,"Ad Hoc";#N/A,#N/A,FALSE,"Dave's Summary";#N/A,#N/A,FALSE,"Graphs"}</definedName>
    <definedName name="govt_copy_1" hidden="1">{#N/A,#N/A,FALSE,"Cover";#N/A,#N/A,FALSE,"Data";#N/A,#N/A,FALSE,"MDS Sup";#N/A,#N/A,FALSE,"Sub Sup";#N/A,#N/A,FALSE,"Ad Hoc";#N/A,#N/A,FALSE,"Dave's Summary";#N/A,#N/A,FALSE,"Graphs"}</definedName>
    <definedName name="GPA" localSheetId="0" hidden="1">{"FTC PUMPS B",#N/A,FALSE,"FTC PUMPS";"FLYGT B",#N/A,FALSE,"Flygt";"IPGWW B",#N/A,FALSE,"IPGWW";"FHD B",#N/A,FALSE,"FHD";"WTDWW B",#N/A,FALSE,"WTDWW";"CHECK B",#N/A,FALSE," REPORT check";"LOWARA B",#N/A,FALSE,"LOWGROUP";"HQ",#N/A,FALSE,"PUMPSHQ Adj for rounding"}</definedName>
    <definedName name="GPA" hidden="1">{"FTC PUMPS B",#N/A,FALSE,"FTC PUMPS";"FLYGT B",#N/A,FALSE,"Flygt";"IPGWW B",#N/A,FALSE,"IPGWW";"FHD B",#N/A,FALSE,"FHD";"WTDWW B",#N/A,FALSE,"WTDWW";"CHECK B",#N/A,FALSE," REPORT check";"LOWARA B",#N/A,FALSE,"LOWGROUP";"HQ",#N/A,FALSE,"PUMPSHQ Adj for rounding"}</definedName>
    <definedName name="GSDFG" localSheetId="0" hidden="1">{"PAGE1",#N/A,FALSE,"CPFFMSTR";"PAGE2",#N/A,FALSE,"CPFFMSTR"}</definedName>
    <definedName name="GSDFG" hidden="1">{"PAGE1",#N/A,FALSE,"CPFFMSTR";"PAGE2",#N/A,FALSE,"CPFFMSTR"}</definedName>
    <definedName name="GT" localSheetId="0" hidden="1">{#N/A,#N/A,FALSE,"WBS 1.06";#N/A,#N/A,FALSE,"WBS 1.14";#N/A,#N/A,FALSE,"WBS 1.17";#N/A,#N/A,FALSE,"WBS 1.18"}</definedName>
    <definedName name="GT" hidden="1">{#N/A,#N/A,FALSE,"WBS 1.06";#N/A,#N/A,FALSE,"WBS 1.14";#N/A,#N/A,FALSE,"WBS 1.17";#N/A,#N/A,FALSE,"WBS 1.18"}</definedName>
    <definedName name="gu"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yu"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elpit" localSheetId="0" hidden="1">{#N/A,#N/A,FALSE,"Sheet1"}</definedName>
    <definedName name="helpit" hidden="1">{#N/A,#N/A,FALSE,"Sheet1"}</definedName>
    <definedName name="helpme" localSheetId="0" hidden="1">{#N/A,#N/A,FALSE,"Sheet1"}</definedName>
    <definedName name="helpme" hidden="1">{#N/A,#N/A,FALSE,"Sheet1"}</definedName>
    <definedName name="HGJ" localSheetId="0" hidden="1">{"PAGE1",#N/A,FALSE,"CPFFMSTR";"PAGE2",#N/A,FALSE,"CPFFMSTR"}</definedName>
    <definedName name="HGJ" hidden="1">{"PAGE1",#N/A,FALSE,"CPFFMSTR";"PAGE2",#N/A,FALSE,"CPFFMSTR"}</definedName>
    <definedName name="hhh" localSheetId="0" hidden="1">{#N/A,#N/A,FALSE,"Sheet1"}</definedName>
    <definedName name="hhh" hidden="1">{#N/A,#N/A,FALSE,"Sheet1"}</definedName>
    <definedName name="hhhh" localSheetId="0" hidden="1">{"'Vietnam'!$E$21:$W$45","'Vietnam'!$E$21:$W$45"}</definedName>
    <definedName name="hhhh" hidden="1">{"'Vietnam'!$E$21:$W$45","'Vietnam'!$E$21:$W$45"}</definedName>
    <definedName name="hhhhhhhhhhhhh"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j"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jjkk" localSheetId="0" hidden="1">{#N/A,#N/A,FALSE,"WBS 1.06";#N/A,#N/A,FALSE,"WBS 1.14";#N/A,#N/A,FALSE,"WBS 1.17";#N/A,#N/A,FALSE,"WBS 1.18"}</definedName>
    <definedName name="hjjjkk" hidden="1">{#N/A,#N/A,FALSE,"WBS 1.06";#N/A,#N/A,FALSE,"WBS 1.14";#N/A,#N/A,FALSE,"WBS 1.17";#N/A,#N/A,FALSE,"WBS 1.18"}</definedName>
    <definedName name="hjk"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our_Codes">#REF!</definedName>
    <definedName name="Hours">#REF!</definedName>
    <definedName name="HOURS1" localSheetId="0">#REF!</definedName>
    <definedName name="HOURS1">#REF!</definedName>
    <definedName name="HPPPP" localSheetId="0" hidden="1">{#N/A,#N/A,FALSE,"Sheet1"}</definedName>
    <definedName name="HPPPP" hidden="1">{#N/A,#N/A,FALSE,"Sheet1"}</definedName>
    <definedName name="HRIS.ecp" localSheetId="0" hidden="1">{"Page 2",#N/A,FALSE,"2000";"Page 1",#N/A,FALSE,"2000"}</definedName>
    <definedName name="HRIS.ecp" hidden="1">{"Page 2",#N/A,FALSE,"2000";"Page 1",#N/A,FALSE,"2000"}</definedName>
    <definedName name="HRIS.ecp_1" localSheetId="0" hidden="1">{"Page 2",#N/A,FALSE,"2000";"Page 1",#N/A,FALSE,"2000"}</definedName>
    <definedName name="HRIS.ecp_1" hidden="1">{"Page 2",#N/A,FALSE,"2000";"Page 1",#N/A,FALSE,"2000"}</definedName>
    <definedName name="HTML_CodePage" hidden="1">1252</definedName>
    <definedName name="HTML_Control" localSheetId="0" hidden="1">{"'1098trans'!$A$10:$F$64","'1098trans'!$A$65:$A$66","'1098trans'!$A$67:$D$69","'1098trans'!$A$64:$F$69"}</definedName>
    <definedName name="HTML_Control" hidden="1">{"'1098trans'!$A$10:$F$64","'1098trans'!$A$65:$A$66","'1098trans'!$A$67:$D$69","'1098trans'!$A$64:$F$69"}</definedName>
    <definedName name="HTML_Control_1" localSheetId="0" hidden="1">{"'Year 8'!$A$1:$L$22"}</definedName>
    <definedName name="HTML_Control_1" hidden="1">{"'Year 8'!$A$1:$L$22"}</definedName>
    <definedName name="HTML_Control1" localSheetId="0" hidden="1">{"'1098trans'!$A$10:$F$64","'1098trans'!$A$65:$A$66","'1098trans'!$A$67:$D$69","'1098trans'!$A$64:$F$69"}</definedName>
    <definedName name="HTML_Control1" hidden="1">{"'1098trans'!$A$10:$F$64","'1098trans'!$A$65:$A$66","'1098trans'!$A$67:$D$69","'1098trans'!$A$64:$F$69"}</definedName>
    <definedName name="HTML_Control2" localSheetId="0" hidden="1">{"'Year 8'!$A$1:$L$22"}</definedName>
    <definedName name="HTML_Control2" hidden="1">{"'Year 8'!$A$1:$L$22"}</definedName>
    <definedName name="HTML_Control2_1" localSheetId="0" hidden="1">{"'Year 8'!$A$1:$L$22"}</definedName>
    <definedName name="HTML_Control2_1" hidden="1">{"'Year 8'!$A$1:$L$22"}</definedName>
    <definedName name="html_control3" localSheetId="0" hidden="1">{"'1098trans'!$A$10:$F$64","'1098trans'!$A$65:$A$66","'1098trans'!$A$67:$D$69","'1098trans'!$A$64:$F$69"}</definedName>
    <definedName name="html_control3" hidden="1">{"'1098trans'!$A$10:$F$64","'1098trans'!$A$65:$A$66","'1098trans'!$A$67:$D$69","'1098trans'!$A$64:$F$69"}</definedName>
    <definedName name="HTML_COntrol4" localSheetId="0" hidden="1">{"'Vietnam'!$E$21:$W$45","'Vietnam'!$E$21:$W$45"}</definedName>
    <definedName name="HTML_COntrol4" hidden="1">{"'Vietnam'!$E$21:$W$45","'Vietnam'!$E$21:$W$45"}</definedName>
    <definedName name="HTML_Control5" localSheetId="0" hidden="1">{"'Vietnam'!$E$21:$W$45","'Vietnam'!$E$21:$W$45"}</definedName>
    <definedName name="HTML_Control5" hidden="1">{"'Vietnam'!$E$21:$W$45","'Vietnam'!$E$21:$W$45"}</definedName>
    <definedName name="HTML_Description" hidden="1">""</definedName>
    <definedName name="HTML_Email" hidden="1">""</definedName>
    <definedName name="HTML_Header" hidden="1">"0798Table"</definedName>
    <definedName name="HTML_LastUpdate" hidden="1">"1/6/99"</definedName>
    <definedName name="HTML_LineAfter" hidden="1">FALSE</definedName>
    <definedName name="HTML_LineBefore" hidden="1">FALSE</definedName>
    <definedName name="HTML_Name" hidden="1">"ITT Industries"</definedName>
    <definedName name="HTML_OBDlg2" hidden="1">TRUE</definedName>
    <definedName name="HTML_OBDlg3" hidden="1">TRUE</definedName>
    <definedName name="HTML_OBDlg4" hidden="1">TRUE</definedName>
    <definedName name="HTML_OS" hidden="1">0</definedName>
    <definedName name="HTML_PathFile" hidden="1">"W:\1298table.htm"</definedName>
    <definedName name="HTML_PathTemplate" hidden="1">"W:\Webtop03.htm"</definedName>
    <definedName name="HTML_Title" hidden="1">"0798 Table"</definedName>
    <definedName name="HTML1" localSheetId="0" hidden="1">{"'Vietnam'!$E$21:$W$45","'Vietnam'!$E$21:$W$45"}</definedName>
    <definedName name="HTML1" hidden="1">{"'Vietnam'!$E$21:$W$45","'Vietnam'!$E$21:$W$45"}</definedName>
    <definedName name="HTML1_1" hidden="1">"'[AN$.XLS]LAN Inst'!$A$1:$L$97"</definedName>
    <definedName name="HTML1_10" hidden="1">""</definedName>
    <definedName name="HTML1_11" hidden="1">1</definedName>
    <definedName name="HTML1_12" hidden="1">"O:\ANDERSON\SHARE\TECHTEAM\LAN_OSRC\FINAL\AN$.htm"</definedName>
    <definedName name="HTML1_2" hidden="1">1</definedName>
    <definedName name="HTML1_3" hidden="1">"AN$"</definedName>
    <definedName name="HTML1_4" hidden="1">"LAN Inst"</definedName>
    <definedName name="HTML1_5" hidden="1">""</definedName>
    <definedName name="HTML1_6" hidden="1">-4146</definedName>
    <definedName name="HTML1_7" hidden="1">-4146</definedName>
    <definedName name="HTML1_8" hidden="1">"7/31/96"</definedName>
    <definedName name="HTML1_9" hidden="1">"Jonathan Schembor/Andersen Con."</definedName>
    <definedName name="HTML1a" localSheetId="0" hidden="1">{"'Vietnam'!$E$21:$W$45","'Vietnam'!$E$21:$W$45"}</definedName>
    <definedName name="HTML1a" hidden="1">{"'Vietnam'!$E$21:$W$45","'Vietnam'!$E$21:$W$45"}</definedName>
    <definedName name="HTML2_1" hidden="1">"'[AN$.XLS]50 Node'!$A$1:$T$26"</definedName>
    <definedName name="HTML2_10" hidden="1">""</definedName>
    <definedName name="HTML2_11" hidden="1">1</definedName>
    <definedName name="HTML2_12" hidden="1">"O:\ANDERSON\SHARE\TECHTEAM\LAN_OSRC\FINAL\an1.htm"</definedName>
    <definedName name="HTML2_2" hidden="1">1</definedName>
    <definedName name="HTML2_3" hidden="1">"AN$"</definedName>
    <definedName name="HTML2_4" hidden="1">"50 Node"</definedName>
    <definedName name="HTML2_5" hidden="1">""</definedName>
    <definedName name="HTML2_6" hidden="1">-4146</definedName>
    <definedName name="HTML2_7" hidden="1">-4146</definedName>
    <definedName name="HTML2_8" hidden="1">"7/31/96"</definedName>
    <definedName name="HTML2_9" hidden="1">"Jonathan Schembor/Andersen Con."</definedName>
    <definedName name="HTML3_1" hidden="1">"'[AN$.XLS]Maint'!$A$1:$Q$25"</definedName>
    <definedName name="HTML3_10" hidden="1">""</definedName>
    <definedName name="HTML3_11" hidden="1">1</definedName>
    <definedName name="HTML3_12" hidden="1">"O:\ANDERSON\SHARE\TECHTEAM\LAN_OSRC\FINAL\an2.htm"</definedName>
    <definedName name="HTML3_2" hidden="1">1</definedName>
    <definedName name="HTML3_3" hidden="1">"AN$"</definedName>
    <definedName name="HTML3_4" hidden="1">"Maint"</definedName>
    <definedName name="HTML3_5" hidden="1">""</definedName>
    <definedName name="HTML3_6" hidden="1">-4146</definedName>
    <definedName name="HTML3_7" hidden="1">-4146</definedName>
    <definedName name="HTML3_8" hidden="1">"7/31/96"</definedName>
    <definedName name="HTML3_9" hidden="1">"Jonathan Schembor/Andersen Con."</definedName>
    <definedName name="HTML4_1" hidden="1">"'[AN$.XLS]Support'!$A$1:$M$31"</definedName>
    <definedName name="HTML4_10" hidden="1">""</definedName>
    <definedName name="HTML4_11" hidden="1">1</definedName>
    <definedName name="HTML4_12" hidden="1">"O:\ANDERSON\SHARE\TECHTEAM\LAN_OSRC\FINAL\an3.htm"</definedName>
    <definedName name="HTML4_2" hidden="1">1</definedName>
    <definedName name="HTML4_3" hidden="1">"AN$"</definedName>
    <definedName name="HTML4_4" hidden="1">"Support"</definedName>
    <definedName name="HTML4_5" hidden="1">""</definedName>
    <definedName name="HTML4_6" hidden="1">-4146</definedName>
    <definedName name="HTML4_7" hidden="1">-4146</definedName>
    <definedName name="HTML4_8" hidden="1">"7/31/96"</definedName>
    <definedName name="HTML4_9" hidden="1">"Jonathan Schembor/Andersen Con."</definedName>
    <definedName name="HTML5_1" hidden="1">"'[AN$.XLS]1st Pass'!$A$1:$J$17"</definedName>
    <definedName name="HTML5_10" hidden="1">""</definedName>
    <definedName name="HTML5_11" hidden="1">1</definedName>
    <definedName name="HTML5_12" hidden="1">"O:\ANDERSON\SHARE\TECHTEAM\LAN_OSRC\FINAL\an4.htm"</definedName>
    <definedName name="HTML5_2" hidden="1">1</definedName>
    <definedName name="HTML5_3" hidden="1">"AN$"</definedName>
    <definedName name="HTML5_4" hidden="1">"1st Pass"</definedName>
    <definedName name="HTML5_5" hidden="1">""</definedName>
    <definedName name="HTML5_6" hidden="1">-4146</definedName>
    <definedName name="HTML5_7" hidden="1">-4146</definedName>
    <definedName name="HTML5_8" hidden="1">"7/31/96"</definedName>
    <definedName name="HTML5_9" hidden="1">"Jonathan Schembor/Andersen Con."</definedName>
    <definedName name="HTMLCount" hidden="1">5</definedName>
    <definedName name="hug" localSheetId="0" hidden="1">{#N/A,#N/A,FALSE,"Summary Report"}</definedName>
    <definedName name="hug" hidden="1">{#N/A,#N/A,FALSE,"Summary Report"}</definedName>
    <definedName name="huio" localSheetId="0" hidden="1">{"Start",#N/A,FALSE,"Menu";"P&amp;L",#N/A,FALSE,"Monthly P&amp;L";"Rev",#N/A,FALSE,"Revenue Summary";"budbar",#N/A,FALSE,"Budget-Variance";"priorvar",#N/A,FALSE,"Prior Month Var";"DetailRev",#N/A,FALSE,"Detail  Budget Var (Revenue)";"Detailom",#N/A,FALSE,"Detail Budget Var (O&amp;M)"}</definedName>
    <definedName name="huio" hidden="1">{"Start",#N/A,FALSE,"Menu";"P&amp;L",#N/A,FALSE,"Monthly P&amp;L";"Rev",#N/A,FALSE,"Revenue Summary";"budbar",#N/A,FALSE,"Budget-Variance";"priorvar",#N/A,FALSE,"Prior Month Var";"DetailRev",#N/A,FALSE,"Detail  Budget Var (Revenue)";"Detailom",#N/A,FALSE,"Detail Budget Var (O&amp;M)"}</definedName>
    <definedName name="hwh" localSheetId="0" hidden="1">{#N/A,#N/A,FALSE,"WBS 1.06";#N/A,#N/A,FALSE,"WBS 1.14";#N/A,#N/A,FALSE,"WBS 1.17";#N/A,#N/A,FALSE,"WBS 1.18"}</definedName>
    <definedName name="hwh" hidden="1">{#N/A,#N/A,FALSE,"WBS 1.06";#N/A,#N/A,FALSE,"WBS 1.14";#N/A,#N/A,FALSE,"WBS 1.17";#N/A,#N/A,FALSE,"WBS 1.18"}</definedName>
    <definedName name="i" localSheetId="0" hidden="1">{"'1098trans'!$A$10:$F$64","'1098trans'!$A$65:$A$66","'1098trans'!$A$67:$D$69","'1098trans'!$A$64:$F$69"}</definedName>
    <definedName name="i" hidden="1">{"'1098trans'!$A$10:$F$64","'1098trans'!$A$65:$A$66","'1098trans'!$A$67:$D$69","'1098trans'!$A$64:$F$69"}</definedName>
    <definedName name="IDIQRates" localSheetId="0">'[5]IDIQ RATES'!$A:$C</definedName>
    <definedName name="IDIQRates">'[5]IDIQ RATES'!$A$1:$C$65536</definedName>
    <definedName name="ii"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 localSheetId="0" hidden="1">{"'Vietnam'!$E$21:$W$45","'Vietnam'!$E$21:$W$45"}</definedName>
    <definedName name="iiii" hidden="1">{"'Vietnam'!$E$21:$W$45","'Vietnam'!$E$21:$W$45"}</definedName>
    <definedName name="iiiiiiiiii"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0" hidden="1">{"Start",#N/A,FALSE,"Menu";"P&amp;L",#N/A,FALSE,"Monthly P&amp;L";"Rev",#N/A,FALSE,"Revenue Summary";"budbar",#N/A,FALSE,"Budget-Variance";"priorvar",#N/A,FALSE,"Prior Month Var";"DetailRev",#N/A,FALSE,"Detail  Budget Var (Revenue)";"Detailom",#N/A,FALSE,"Detail Budget Var (O&amp;M)"}</definedName>
    <definedName name="iiiiiiiiiiiiiiiiiiiii" hidden="1">{"Start",#N/A,FALSE,"Menu";"P&amp;L",#N/A,FALSE,"Monthly P&amp;L";"Rev",#N/A,FALSE,"Revenue Summary";"budbar",#N/A,FALSE,"Budget-Variance";"priorvar",#N/A,FALSE,"Prior Month Var";"DetailRev",#N/A,FALSE,"Detail  Budget Var (Revenue)";"Detailom",#N/A,FALSE,"Detail Budget Var (O&amp;M)"}</definedName>
    <definedName name="indirectrates">'[12]3. FPRP Indirect Rates'!$C$11:$N$54</definedName>
    <definedName name="Installer_List">#REF!</definedName>
    <definedName name="iop" localSheetId="0" hidden="1">{#N/A,#N/A,FALSE,"Monthly"}</definedName>
    <definedName name="iop" hidden="1">{#N/A,#N/A,FALSE,"Monthly"}</definedName>
    <definedName name="ip"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HIGH_EST" hidden="1">"c4166"</definedName>
    <definedName name="IQ_CASH_OPER_LOW_EST" hidden="1">"c4244"</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EYED_TO_OTHERS_FDIC" hidden="1">"c6534"</definedName>
    <definedName name="IQ_CORE_CAPITAL_RATIO_FDIC" hidden="1">"c6745"</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 hidden="1">"c1648"</definedName>
    <definedName name="IQ_EST_ACT_FFO_REUT" hidden="1">"c3843"</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FFO_DIFF_REUT" hidden="1">"c3890"</definedName>
    <definedName name="IQ_EST_FFO_SURPRISE_PERCENT_REUT" hidden="1">"c3891"</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REUT" hidden="1">"c3837"</definedName>
    <definedName name="IQ_FFO_HIGH_EST_CIQ" hidden="1">"c4977"</definedName>
    <definedName name="IQ_FFO_HIGH_EST_REUT" hidden="1">"c3839"</definedName>
    <definedName name="IQ_FFO_LOW_EST_CIQ" hidden="1">"c4978"</definedName>
    <definedName name="IQ_FFO_LOW_EST_REUT" hidden="1">"c3840"</definedName>
    <definedName name="IQ_FFO_MEDIAN_EST_CIQ" hidden="1">"c4979"</definedName>
    <definedName name="IQ_FFO_MEDIAN_EST_REUT" hidden="1">"c3838"</definedName>
    <definedName name="IQ_FFO_NUM_EST_CIQ" hidden="1">"c4980"</definedName>
    <definedName name="IQ_FFO_NUM_EST_REUT" hidden="1">"c3841"</definedName>
    <definedName name="IQ_FFO_STDDEV_EST_CIQ" hidden="1">"c4981"</definedName>
    <definedName name="IQ_FFO_STDDEV_EST_REUT" hidden="1">"c3842"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D_GUARANTEED_US_FDIC" hidden="1">"c6404"</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_ACT_OR_EST" hidden="1">"c4458"</definedName>
    <definedName name="IQ_MAINT_CAPEX_EST" hidden="1">"c4457"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RKET_CAP_LFCF" hidden="1">"c2209"</definedName>
    <definedName name="IQ_MARKETCAP" hidden="1">"c712"</definedName>
    <definedName name="IQ_MARKETING" hidden="1">"c2239"</definedName>
    <definedName name="IQ_MATURITY_ONE_YEAR_LESS_FDIC" hidden="1">"c6425"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40357.3801157406</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ALUATION_GAINS_FDIC" hidden="1">"c6428"</definedName>
    <definedName name="IQ_REVALUATION_LOSSES_FDIC" hidden="1">"c6429"</definedName>
    <definedName name="IQ_REVENUE" hidden="1">"c1422"</definedName>
    <definedName name="IQ_REVISION_DATE_" hidden="1">38740.580787037</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IRS" localSheetId="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OV" localSheetId="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ts"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a" localSheetId="0" hidden="1">{#N/A,#N/A,FALSE,"204";#N/A,#N/A,FALSE,"226";#N/A,#N/A,FALSE,"233";#N/A,#N/A,FALSE,"632";#N/A,#N/A,FALSE,"671";#N/A,#N/A,FALSE,"905";#N/A,#N/A,FALSE,"906";#N/A,#N/A,FALSE,"913";#N/A,#N/A,FALSE,"914";#N/A,#N/A,FALSE,"916";#N/A,#N/A,FALSE,"AAT";#N/A,#N/A,FALSE,"ATAS";#N/A,#N/A,FALSE,"ITL3";#N/A,#N/A,FALSE,"917";#N/A,#N/A,FALSE,"918"}</definedName>
    <definedName name="ja" hidden="1">{#N/A,#N/A,FALSE,"204";#N/A,#N/A,FALSE,"226";#N/A,#N/A,FALSE,"233";#N/A,#N/A,FALSE,"632";#N/A,#N/A,FALSE,"671";#N/A,#N/A,FALSE,"905";#N/A,#N/A,FALSE,"906";#N/A,#N/A,FALSE,"913";#N/A,#N/A,FALSE,"914";#N/A,#N/A,FALSE,"916";#N/A,#N/A,FALSE,"AAT";#N/A,#N/A,FALSE,"ATAS";#N/A,#N/A,FALSE,"ITL3";#N/A,#N/A,FALSE,"917";#N/A,#N/A,FALSE,"918"}</definedName>
    <definedName name="ja_1" localSheetId="0" hidden="1">{#N/A,#N/A,FALSE,"204";#N/A,#N/A,FALSE,"226";#N/A,#N/A,FALSE,"233";#N/A,#N/A,FALSE,"632";#N/A,#N/A,FALSE,"671";#N/A,#N/A,FALSE,"905";#N/A,#N/A,FALSE,"906";#N/A,#N/A,FALSE,"913";#N/A,#N/A,FALSE,"914";#N/A,#N/A,FALSE,"916";#N/A,#N/A,FALSE,"AAT";#N/A,#N/A,FALSE,"ATAS";#N/A,#N/A,FALSE,"ITL3";#N/A,#N/A,FALSE,"917";#N/A,#N/A,FALSE,"918"}</definedName>
    <definedName name="ja_1" hidden="1">{#N/A,#N/A,FALSE,"204";#N/A,#N/A,FALSE,"226";#N/A,#N/A,FALSE,"233";#N/A,#N/A,FALSE,"632";#N/A,#N/A,FALSE,"671";#N/A,#N/A,FALSE,"905";#N/A,#N/A,FALSE,"906";#N/A,#N/A,FALSE,"913";#N/A,#N/A,FALSE,"914";#N/A,#N/A,FALSE,"916";#N/A,#N/A,FALSE,"AAT";#N/A,#N/A,FALSE,"ATAS";#N/A,#N/A,FALSE,"ITL3";#N/A,#N/A,FALSE,"917";#N/A,#N/A,FALSE,"918"}</definedName>
    <definedName name="JANNA" localSheetId="0" hidden="1">{"PAGE1",#N/A,FALSE,"allocation base";"PAGE2",#N/A,FALSE,"burden";"PAGE3",#N/A,FALSE,"burden";"PAGE4",#N/A,FALSE,"labor rates";"PAGE5",#N/A,FALSE,"labor rates";"PAGE6",#N/A,FALSE,"labor rates"}</definedName>
    <definedName name="JANNA" hidden="1">{"PAGE1",#N/A,FALSE,"allocation base";"PAGE2",#N/A,FALSE,"burden";"PAGE3",#N/A,FALSE,"burden";"PAGE4",#N/A,FALSE,"labor rates";"PAGE5",#N/A,FALSE,"labor rates";"PAGE6",#N/A,FALSE,"labor rates"}</definedName>
    <definedName name="JANNA1" localSheetId="0" hidden="1">{"PAGE1",#N/A,FALSE,"allocation base";"PAGE2",#N/A,FALSE,"burden";"PAGE3",#N/A,FALSE,"burden";"PAGE4",#N/A,FALSE,"labor rates";"PAGE5",#N/A,FALSE,"labor rates";"PAGE6",#N/A,FALSE,"labor rates"}</definedName>
    <definedName name="JANNA1" hidden="1">{"PAGE1",#N/A,FALSE,"allocation base";"PAGE2",#N/A,FALSE,"burden";"PAGE3",#N/A,FALSE,"burden";"PAGE4",#N/A,FALSE,"labor rates";"PAGE5",#N/A,FALSE,"labor rates";"PAGE6",#N/A,FALSE,"labor rates"}</definedName>
    <definedName name="janna2" localSheetId="0" hidden="1">{"PAGE1",#N/A,FALSE,"allocation base";"PAGE2",#N/A,FALSE,"burden";"PAGE3",#N/A,FALSE,"burden";"PAGE4",#N/A,FALSE,"labor rates";"PAGE5",#N/A,FALSE,"labor rates";"PAGE6",#N/A,FALSE,"labor rates"}</definedName>
    <definedName name="janna2" hidden="1">{"PAGE1",#N/A,FALSE,"allocation base";"PAGE2",#N/A,FALSE,"burden";"PAGE3",#N/A,FALSE,"burden";"PAGE4",#N/A,FALSE,"labor rates";"PAGE5",#N/A,FALSE,"labor rates";"PAGE6",#N/A,FALSE,"labor rates"}</definedName>
    <definedName name="janna3" localSheetId="0" hidden="1">{"PAGE1",#N/A,FALSE,"allocation base";"PAGE2",#N/A,FALSE,"burden";"PAGE3",#N/A,FALSE,"burden";"PAGE4",#N/A,FALSE,"labor rates";"PAGE5",#N/A,FALSE,"labor rates";"PAGE6",#N/A,FALSE,"labor rates"}</definedName>
    <definedName name="janna3" hidden="1">{"PAGE1",#N/A,FALSE,"allocation base";"PAGE2",#N/A,FALSE,"burden";"PAGE3",#N/A,FALSE,"burden";"PAGE4",#N/A,FALSE,"labor rates";"PAGE5",#N/A,FALSE,"labor rates";"PAGE6",#N/A,FALSE,"labor rates"}</definedName>
    <definedName name="jasa"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CI_Existing_Code">#REF!</definedName>
    <definedName name="JCI_Upgraded_Code">#REF!</definedName>
    <definedName name="JH" localSheetId="0" hidden="1">{"PAGE1",#N/A,FALSE,"CPFFMSTR";"PAGE2",#N/A,FALSE,"CPFFMSTR"}</definedName>
    <definedName name="JH" hidden="1">{"PAGE1",#N/A,FALSE,"CPFFMSTR";"PAGE2",#N/A,FALSE,"CPFFMSTR"}</definedName>
    <definedName name="jjj" localSheetId="0" hidden="1">{#N/A,#N/A,FALSE,"Sheet1"}</definedName>
    <definedName name="jjj" hidden="1">{#N/A,#N/A,FALSE,"Sheet1"}</definedName>
    <definedName name="jjjjj" localSheetId="0" hidden="1">{"'1098trans'!$A$10:$F$64","'1098trans'!$A$65:$A$66","'1098trans'!$A$67:$D$69","'1098trans'!$A$64:$F$69"}</definedName>
    <definedName name="jjjjj" hidden="1">{"'1098trans'!$A$10:$F$64","'1098trans'!$A$65:$A$66","'1098trans'!$A$67:$D$69","'1098trans'!$A$64:$F$69"}</definedName>
    <definedName name="jjjjjjjj"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KKEEEE" localSheetId="0" hidden="1">{"'Vietnam'!$E$21:$W$45","'Vietnam'!$E$21:$W$45"}</definedName>
    <definedName name="JJKKEEEE" hidden="1">{"'Vietnam'!$E$21:$W$45","'Vietnam'!$E$21:$W$45"}</definedName>
    <definedName name="JJKKEEEE2" localSheetId="0" hidden="1">{"'Vietnam'!$E$21:$W$45","'Vietnam'!$E$21:$W$45"}</definedName>
    <definedName name="JJKKEEEE2" hidden="1">{"'Vietnam'!$E$21:$W$45","'Vietnam'!$E$21:$W$45"}</definedName>
    <definedName name="jjuuy" localSheetId="0" hidden="1">{"'Vietnam'!$E$21:$W$45","'Vietnam'!$E$21:$W$45"}</definedName>
    <definedName name="jjuuy" hidden="1">{"'Vietnam'!$E$21:$W$45","'Vietnam'!$E$21:$W$45"}</definedName>
    <definedName name="jk" localSheetId="0" hidden="1">{#N/A,#N/A,FALSE,"Cover";#N/A,#N/A,FALSE,"Data";#N/A,#N/A,FALSE,"MDS Sup";#N/A,#N/A,FALSE,"Sub Sup";#N/A,#N/A,FALSE,"Ad Hoc";#N/A,#N/A,FALSE,"Dave's Summary";#N/A,#N/A,FALSE,"Graphs"}</definedName>
    <definedName name="jk" hidden="1">{#N/A,#N/A,FALSE,"Cover";#N/A,#N/A,FALSE,"Data";#N/A,#N/A,FALSE,"MDS Sup";#N/A,#N/A,FALSE,"Sub Sup";#N/A,#N/A,FALSE,"Ad Hoc";#N/A,#N/A,FALSE,"Dave's Summary";#N/A,#N/A,FALSE,"Graphs"}</definedName>
    <definedName name="jk_1" localSheetId="0" hidden="1">{#N/A,#N/A,FALSE,"Cover";#N/A,#N/A,FALSE,"Data";#N/A,#N/A,FALSE,"MDS Sup";#N/A,#N/A,FALSE,"Sub Sup";#N/A,#N/A,FALSE,"Ad Hoc";#N/A,#N/A,FALSE,"Dave's Summary";#N/A,#N/A,FALSE,"Graphs"}</definedName>
    <definedName name="jk_1" hidden="1">{#N/A,#N/A,FALSE,"Cover";#N/A,#N/A,FALSE,"Data";#N/A,#N/A,FALSE,"MDS Sup";#N/A,#N/A,FALSE,"Sub Sup";#N/A,#N/A,FALSE,"Ad Hoc";#N/A,#N/A,FALSE,"Dave's Summary";#N/A,#N/A,FALSE,"Graphs"}</definedName>
    <definedName name="JKHJ" localSheetId="0" hidden="1">{"PAGE1",#N/A,FALSE,"CPFFMSTR";"PAGE2",#N/A,FALSE,"CPFFMSTR"}</definedName>
    <definedName name="JKHJ" hidden="1">{"PAGE1",#N/A,FALSE,"CPFFMSTR";"PAGE2",#N/A,FALSE,"CPFFMSTR"}</definedName>
    <definedName name="Job_Tax_Labor">#REF!</definedName>
    <definedName name="Job_Tax_Material">#REF!</definedName>
    <definedName name="Job_Tax_Sub">#REF!</definedName>
    <definedName name="K"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2_WBEVMODE" hidden="1">0</definedName>
    <definedName name="keesler" localSheetId="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kk"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opie" localSheetId="0" hidden="1">{"'1098trans'!$A$10:$F$64","'1098trans'!$A$65:$A$66","'1098trans'!$A$67:$D$69","'1098trans'!$A$64:$F$69"}</definedName>
    <definedName name="kopie" hidden="1">{"'1098trans'!$A$10:$F$64","'1098trans'!$A$65:$A$66","'1098trans'!$A$67:$D$69","'1098trans'!$A$64:$F$69"}</definedName>
    <definedName name="KYEAR" comment="Contract year by number (0 = base year)" localSheetId="0">'[5]RATES &amp; TABLES'!$AW$4:$AW$8</definedName>
    <definedName name="KYEAR">'[5]RATES &amp; TABLES'!$AW$4:$AW$8</definedName>
    <definedName name="LAB" localSheetId="0" hidden="1">{"GFY 97",#N/A,FALSE,"SCRA LABOR";"GFY 98",#N/A,FALSE,"SCRA LABOR";"GFY 99",#N/A,FALSE,"SCRA LABOR";"GFY 00",#N/A,FALSE,"SCRA LABOR"}</definedName>
    <definedName name="LAB" hidden="1">{"GFY 97",#N/A,FALSE,"SCRA LABOR";"GFY 98",#N/A,FALSE,"SCRA LABOR";"GFY 99",#N/A,FALSE,"SCRA LABOR";"GFY 00",#N/A,FALSE,"SCRA LABOR"}</definedName>
    <definedName name="Labor" localSheetId="0" hidden="1">{#N/A,#N/A,FALSE,"050_150";#N/A,#N/A,FALSE,"050_151";#N/A,#N/A,FALSE,"050_152";#N/A,#N/A,FALSE,"050_153";#N/A,#N/A,FALSE,"050_154";#N/A,#N/A,FALSE,"050_155";#N/A,#N/A,FALSE,"050_156";#N/A,#N/A,FALSE,"050_157";#N/A,#N/A,FALSE,"050_158";#N/A,#N/A,FALSE,"050_159";#N/A,#N/A,FALSE,"050_255"}</definedName>
    <definedName name="Labor" hidden="1">{#N/A,#N/A,FALSE,"050_150";#N/A,#N/A,FALSE,"050_151";#N/A,#N/A,FALSE,"050_152";#N/A,#N/A,FALSE,"050_153";#N/A,#N/A,FALSE,"050_154";#N/A,#N/A,FALSE,"050_155";#N/A,#N/A,FALSE,"050_156";#N/A,#N/A,FALSE,"050_157";#N/A,#N/A,FALSE,"050_158";#N/A,#N/A,FALSE,"050_159";#N/A,#N/A,FALSE,"050_255"}</definedName>
    <definedName name="Labor_and_Equipment_Margin">#REF!</definedName>
    <definedName name="LaborSpread_1198" localSheetId="0" hidden="1">{#N/A,#N/A,FALSE,"Sheet1"}</definedName>
    <definedName name="LaborSpread_1198" hidden="1">{#N/A,#N/A,FALSE,"Sheet1"}</definedName>
    <definedName name="LaborStuff"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table">'[13]Exhibit 1.0-Labor Table'!$C$17:$DJ$179</definedName>
    <definedName name="LAJ" localSheetId="0" hidden="1">{#N/A,#N/A,FALSE,"WBS 1.06";#N/A,#N/A,FALSE,"WBS 1.14";#N/A,#N/A,FALSE,"WBS 1.17";#N/A,#N/A,FALSE,"WBS 1.18"}</definedName>
    <definedName name="LAJ" hidden="1">{#N/A,#N/A,FALSE,"WBS 1.06";#N/A,#N/A,FALSE,"WBS 1.14";#N/A,#N/A,FALSE,"WBS 1.17";#N/A,#N/A,FALSE,"WBS 1.18"}</definedName>
    <definedName name="Lamp_Codes">#REF!</definedName>
    <definedName name="Lamp_Specs">#REF!</definedName>
    <definedName name="Lamp_Wattage_Selection">#REF!</definedName>
    <definedName name="LCCA_Period">#REF!</definedName>
    <definedName name="LDF" localSheetId="0" hidden="1">{#N/A,#N/A,FALSE,"WBS 1.06";#N/A,#N/A,FALSE,"WBS 1.14";#N/A,#N/A,FALSE,"WBS 1.17";#N/A,#N/A,FALSE,"WBS 1.18"}</definedName>
    <definedName name="LDF" hidden="1">{#N/A,#N/A,FALSE,"WBS 1.06";#N/A,#N/A,FALSE,"WBS 1.14";#N/A,#N/A,FALSE,"WBS 1.17";#N/A,#N/A,FALSE,"WBS 1.18"}</definedName>
    <definedName name="ldp" localSheetId="0" hidden="1">{#N/A,#N/A,FALSE,"WBS 1.06";#N/A,#N/A,FALSE,"WBS 1.14";#N/A,#N/A,FALSE,"WBS 1.17";#N/A,#N/A,FALSE,"WBS 1.18"}</definedName>
    <definedName name="ldp" hidden="1">{#N/A,#N/A,FALSE,"WBS 1.06";#N/A,#N/A,FALSE,"WBS 1.14";#N/A,#N/A,FALSE,"WBS 1.17";#N/A,#N/A,FALSE,"WBS 1.18"}</definedName>
    <definedName name="letty"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vels" hidden="1">[14]Lists!$C$3:$C$9</definedName>
    <definedName name="Lifts_Needed">#REF!</definedName>
    <definedName name="limcount" hidden="1">7</definedName>
    <definedName name="llll" localSheetId="0" hidden="1">{"'1098trans'!$A$10:$F$64","'1098trans'!$A$65:$A$66","'1098trans'!$A$67:$D$69","'1098trans'!$A$64:$F$69"}</definedName>
    <definedName name="llll" hidden="1">{"'1098trans'!$A$10:$F$64","'1098trans'!$A$65:$A$66","'1098trans'!$A$67:$D$69","'1098trans'!$A$64:$F$69"}</definedName>
    <definedName name="lllll" localSheetId="0" hidden="1">{"'1098trans'!$A$10:$F$64","'1098trans'!$A$65:$A$66","'1098trans'!$A$67:$D$69","'1098trans'!$A$64:$F$69"}</definedName>
    <definedName name="lllll" hidden="1">{"'1098trans'!$A$10:$F$64","'1098trans'!$A$65:$A$66","'1098trans'!$A$67:$D$69","'1098trans'!$A$64:$F$69"}</definedName>
    <definedName name="llllllllllll"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M_EAC" localSheetId="0" hidden="1">{#N/A,#N/A,FALSE,"Sheet1"}</definedName>
    <definedName name="LM_EAC" hidden="1">{#N/A,#N/A,FALSE,"Sheet1"}</definedName>
    <definedName name="Logger_Data">#REF!</definedName>
    <definedName name="M" localSheetId="0" hidden="1">{"Start",#N/A,FALSE,"Menu";"P&amp;L",#N/A,FALSE,"Monthly P&amp;L";"Rev",#N/A,FALSE,"Revenue Summary";"budbar",#N/A,FALSE,"Budget-Variance";"priorvar",#N/A,FALSE,"Prior Month Var";"DetailRev",#N/A,FALSE,"Detail  Budget Var (Revenue)";"Detailom",#N/A,FALSE,"Detail Budget Var (O&amp;M)"}</definedName>
    <definedName name="M" hidden="1">{"Start",#N/A,FALSE,"Menu";"P&amp;L",#N/A,FALSE,"Monthly P&amp;L";"Rev",#N/A,FALSE,"Revenue Summary";"budbar",#N/A,FALSE,"Budget-Variance";"priorvar",#N/A,FALSE,"Prior Month Var";"DetailRev",#N/A,FALSE,"Detail  Budget Var (Revenue)";"Detailom",#N/A,FALSE,"Detail Budget Var (O&amp;M)"}</definedName>
    <definedName name="Major" localSheetId="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_Accomp"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nufacturer">[15]Picklists!$G$2:$G$331</definedName>
    <definedName name="margin" localSheetId="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TERIAL" localSheetId="0" hidden="1">{"BASE",#N/A,FALSE,"CE BY WBS";"OPTION",#N/A,FALSE,"CE BY WBS"}</definedName>
    <definedName name="MATERIAL" hidden="1">{"BASE",#N/A,FALSE,"CE BY WBS";"OPTION",#N/A,FALSE,"CE BY WBS"}</definedName>
    <definedName name="maybe" localSheetId="0" hidden="1">{#N/A,#N/A,FALSE,"ManLoading"}</definedName>
    <definedName name="maybe" hidden="1">{#N/A,#N/A,FALSE,"ManLoading"}</definedName>
    <definedName name="maybe_1" localSheetId="0" hidden="1">{#N/A,#N/A,FALSE,"ManLoading"}</definedName>
    <definedName name="maybe_1" hidden="1">{#N/A,#N/A,FALSE,"ManLoading"}</definedName>
    <definedName name="MBE_Labor_Percentage">#REF!</definedName>
    <definedName name="MBE_Material_Percentage">#REF!</definedName>
    <definedName name="MBE_WBE_Participation_Cost">#REF!</definedName>
    <definedName name="meo"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I" localSheetId="0" hidden="1">{"PAGE1",#N/A,FALSE,"allocation base";"PAGE2",#N/A,FALSE,"burden";"PAGE3",#N/A,FALSE,"burden";"PAGE4",#N/A,FALSE,"labor rates";"PAGE5",#N/A,FALSE,"labor rates";"PAGE6",#N/A,FALSE,"labor rates"}</definedName>
    <definedName name="MI" hidden="1">{"PAGE1",#N/A,FALSE,"allocation base";"PAGE2",#N/A,FALSE,"burden";"PAGE3",#N/A,FALSE,"burden";"PAGE4",#N/A,FALSE,"labor rates";"PAGE5",#N/A,FALSE,"labor rates";"PAGE6",#N/A,FALSE,"labor rates"}</definedName>
    <definedName name="mmm"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nbv"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THOPT" localSheetId="0" hidden="1">{"GFY 97",#N/A,FALSE,"MONTHLY FLOW (OPTION)";"GFY 98",#N/A,FALSE,"MONTHLY FLOW (OPTION)";"GFY 99",#N/A,FALSE,"MONTHLY FLOW (OPTION)";"GFY 00",#N/A,FALSE,"MONTHLY FLOW (OPTION)";"TTL PROGRAM",#N/A,FALSE,"MONTHLY FLOW (OPTION)"}</definedName>
    <definedName name="MNTHOPT" hidden="1">{"GFY 97",#N/A,FALSE,"MONTHLY FLOW (OPTION)";"GFY 98",#N/A,FALSE,"MONTHLY FLOW (OPTION)";"GFY 99",#N/A,FALSE,"MONTHLY FLOW (OPTION)";"GFY 00",#N/A,FALSE,"MONTHLY FLOW (OPTION)";"TTL PROGRAM",#N/A,FALSE,"MONTHLY FLOW (OPTION)"}</definedName>
    <definedName name="mr" localSheetId="0" hidden="1">{"'1098trans'!$A$10:$F$64","'1098trans'!$A$65:$A$66","'1098trans'!$A$67:$D$69","'1098trans'!$A$64:$F$69"}</definedName>
    <definedName name="mr" hidden="1">{"'1098trans'!$A$10:$F$64","'1098trans'!$A$65:$A$66","'1098trans'!$A$67:$D$69","'1098trans'!$A$64:$F$69"}</definedName>
    <definedName name="MTHLY" localSheetId="0" hidden="1">{"GFY 97",#N/A,FALSE,"MONTHLY FLOW";"GFY 98",#N/A,FALSE,"MONTHLY FLOW";"GFY 99",#N/A,FALSE,"MONTHLY FLOW";"TOTAL PROGRAM",#N/A,FALSE,"MONTHLY FLOW"}</definedName>
    <definedName name="MTHLY" hidden="1">{"GFY 97",#N/A,FALSE,"MONTHLY FLOW";"GFY 98",#N/A,FALSE,"MONTHLY FLOW";"GFY 99",#N/A,FALSE,"MONTHLY FLOW";"TOTAL PROGRAM",#N/A,FALSE,"MONTHLY FLOW"}</definedName>
    <definedName name="Mtrls_Cost">'[8]Annual Vehicle Maint-Fuel Cost'!$A$62:$G$72</definedName>
    <definedName name="N"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 hidden="1">'[1]J-SEC'!#REF!</definedName>
    <definedName name="newname10"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pdt" localSheetId="0" hidden="1">{#N/A,#N/A,TRUE,"DCF Summary (2)";#N/A,#N/A,TRUE,"DCF Summary";#N/A,"Middle Case Drivers",TRUE,"DCF"}</definedName>
    <definedName name="newpdt" hidden="1">{#N/A,#N/A,TRUE,"DCF Summary (2)";#N/A,#N/A,TRUE,"DCF Summary";#N/A,"Middle Case Drivers",TRUE,"DCF"}</definedName>
    <definedName name="neww" hidden="1">'[1]J-SEC'!#REF!</definedName>
    <definedName name="NMK" localSheetId="0" hidden="1">{#N/A,#N/A,FALSE,"WBS 1.06";#N/A,#N/A,FALSE,"WBS 1.14";#N/A,#N/A,FALSE,"WBS 1.17";#N/A,#N/A,FALSE,"WBS 1.18"}</definedName>
    <definedName name="NMK" hidden="1">{#N/A,#N/A,FALSE,"WBS 1.06";#N/A,#N/A,FALSE,"WBS 1.14";#N/A,#N/A,FALSE,"WBS 1.17";#N/A,#N/A,FALSE,"WBS 1.18"}</definedName>
    <definedName name="nmkl"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n"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 localSheetId="0" hidden="1">{#N/A,#N/A,FALSE,"050_150";#N/A,#N/A,FALSE,"050_151";#N/A,#N/A,FALSE,"050_152";#N/A,#N/A,FALSE,"050_153";#N/A,#N/A,FALSE,"050_154";#N/A,#N/A,FALSE,"050_155";#N/A,#N/A,FALSE,"050_156";#N/A,#N/A,FALSE,"050_157";#N/A,#N/A,FALSE,"050_158";#N/A,#N/A,FALSE,"050_159";#N/A,#N/A,FALSE,"050_255"}</definedName>
    <definedName name="nnnnn" hidden="1">{#N/A,#N/A,FALSE,"050_150";#N/A,#N/A,FALSE,"050_151";#N/A,#N/A,FALSE,"050_152";#N/A,#N/A,FALSE,"050_153";#N/A,#N/A,FALSE,"050_154";#N/A,#N/A,FALSE,"050_155";#N/A,#N/A,FALSE,"050_156";#N/A,#N/A,FALSE,"050_157";#N/A,#N/A,FALSE,"050_158";#N/A,#N/A,FALSE,"050_159";#N/A,#N/A,FALSE,"050_255"}</definedName>
    <definedName name="nnnnnnnn"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o" localSheetId="0" hidden="1">{#N/A,#N/A,FALSE,"ManLoading"}</definedName>
    <definedName name="no" hidden="1">{#N/A,#N/A,FALSE,"ManLoading"}</definedName>
    <definedName name="no.presentation" localSheetId="0"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hidden="1">{TRUE,TRUE,-0.8,-17,483.6,277.2,FALSE,TRUE,TRUE,TRUE,0,1,#N/A,1,#N/A,52.4666666666667,24.0625,1,FALSE,FALSE,3,TRUE,1,FALSE,75,"Swvu.PRESENTATION.","ACwvu.PRESENTATION.",#N/A,FALSE,FALSE,0,0,0.5,0,2,"","",TRUE,FALSE,FALSE,FALSE,1,#N/A,1,1,FALSE,FALSE,"Rwvu.PRESENTATION.",#N/A,FALSE,FALSE,FALSE,1,#N/A,#N/A,FALSE,FALSE,TRUE,TRUE,TRUE}</definedName>
    <definedName name="no_1" localSheetId="0" hidden="1">{#N/A,#N/A,FALSE,"ManLoading"}</definedName>
    <definedName name="no_1" hidden="1">{#N/A,#N/A,FALSE,"ManLoading"}</definedName>
    <definedName name="none" localSheetId="0" hidden="1">{#N/A,#N/A,FALSE,"ManLoading"}</definedName>
    <definedName name="none" hidden="1">{#N/A,#N/A,FALSE,"ManLoading"}</definedName>
    <definedName name="none_1" localSheetId="0" hidden="1">{#N/A,#N/A,FALSE,"ManLoading"}</definedName>
    <definedName name="none_1" hidden="1">{#N/A,#N/A,FALSE,"ManLoading"}</definedName>
    <definedName name="Number_of_Fixtures_per_Battery">#REF!</definedName>
    <definedName name="o"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i" localSheetId="0" hidden="1">{"Start",#N/A,FALSE,"Menu";"P&amp;L",#N/A,FALSE,"Monthly P&amp;L";"Rev",#N/A,FALSE,"Revenue Summary";"budbar",#N/A,FALSE,"Budget-Variance";"priorvar",#N/A,FALSE,"Prior Month Var";"DetailRev",#N/A,FALSE,"Detail  Budget Var (Revenue)";"Detailom",#N/A,FALSE,"Detail Budget Var (O&amp;M)"}</definedName>
    <definedName name="oi" hidden="1">{"Start",#N/A,FALSE,"Menu";"P&amp;L",#N/A,FALSE,"Monthly P&amp;L";"Rev",#N/A,FALSE,"Revenue Summary";"budbar",#N/A,FALSE,"Budget-Variance";"priorvar",#N/A,FALSE,"Prior Month Var";"DetailRev",#N/A,FALSE,"Detail  Budget Var (Revenue)";"Detailom",#N/A,FALSE,"Detail Budget Var (O&amp;M)"}</definedName>
    <definedName name="old" localSheetId="0" hidden="1">{"PAGE1",#N/A,FALSE,"CPFFMSTR";"PAGE2",#N/A,FALSE,"CPFFMSTR"}</definedName>
    <definedName name="old" hidden="1">{"PAGE1",#N/A,FALSE,"CPFFMSTR";"PAGE2",#N/A,FALSE,"CPFFMSTR"}</definedName>
    <definedName name="old_1" localSheetId="0" hidden="1">{"PAGE1",#N/A,FALSE,"CPFFMSTR";"PAGE2",#N/A,FALSE,"CPFFMSTR"}</definedName>
    <definedName name="old_1" hidden="1">{"PAGE1",#N/A,FALSE,"CPFFMSTR";"PAGE2",#N/A,FALSE,"CPFFMSTR"}</definedName>
    <definedName name="oo"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 localSheetId="0" hidden="1">{"'1098trans'!$A$10:$F$64","'1098trans'!$A$65:$A$66","'1098trans'!$A$67:$D$69","'1098trans'!$A$64:$F$69"}</definedName>
    <definedName name="oooo" hidden="1">{"'1098trans'!$A$10:$F$64","'1098trans'!$A$65:$A$66","'1098trans'!$A$67:$D$69","'1098trans'!$A$64:$F$69"}</definedName>
    <definedName name="oooooo"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0" hidden="1">{#N/A,#N/A,FALSE,"Monthly"}</definedName>
    <definedName name="ooooooo" hidden="1">{#N/A,#N/A,FALSE,"Monthly"}</definedName>
    <definedName name="oooooooooo"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0" hidden="1">{"Start",#N/A,FALSE,"Menu";"P&amp;L",#N/A,FALSE,"Monthly P&amp;L";"Rev",#N/A,FALSE,"Revenue Summary";"budbar",#N/A,FALSE,"Budget-Variance";"priorvar",#N/A,FALSE,"Prior Month Var";"DetailRev",#N/A,FALSE,"Detail  Budget Var (Revenue)";"Detailom",#N/A,FALSE,"Detail Budget Var (O&amp;M)"}</definedName>
    <definedName name="ooooooooooo" hidden="1">{"Start",#N/A,FALSE,"Menu";"P&amp;L",#N/A,FALSE,"Monthly P&amp;L";"Rev",#N/A,FALSE,"Revenue Summary";"budbar",#N/A,FALSE,"Budget-Variance";"priorvar",#N/A,FALSE,"Prior Month Var";"DetailRev",#N/A,FALSE,"Detail  Budget Var (Revenue)";"Detailom",#N/A,FALSE,"Detail Budget Var (O&amp;M)"}</definedName>
    <definedName name="oooooooooooo"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portunities"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T1_ST_MP" comment="Wage rates for M/P employees in option year 1." localSheetId="0">'[5]OPT1 WAGES &amp; BENEFITS - ST'!$A$4:$AM$33</definedName>
    <definedName name="OPT1_ST_MP">'[5]OPT1 WAGES &amp; BENEFITS - ST'!$A$4:$AM$33</definedName>
    <definedName name="OPT1_ST_TCNJ" comment="Wage rates for TCNJ employees in option year 1." localSheetId="0">'[5]OPT1 WAGES &amp; BENEFITS - ST'!$A$258:$AN$295</definedName>
    <definedName name="OPT1_ST_TCNJ">'[5]OPT1 WAGES &amp; BENEFITS - ST'!$A$258:$AN$295</definedName>
    <definedName name="OPT1_ST_TCNP" comment="Wage rates for TCNP employees in option year 1." localSheetId="0">'[5]OPT1 WAGES &amp; BENEFITS - ST'!$A$38:$AM$253</definedName>
    <definedName name="OPT1_ST_TCNP">'[5]OPT1 WAGES &amp; BENEFITS - ST'!$A$38:$AM$253</definedName>
    <definedName name="OPT2_ST_MP" comment="Wage rates for M/P employees in option year 2." localSheetId="0">'[5]OPT2 WAGES &amp; BENEFITS - ST'!$A$4:$AM$33</definedName>
    <definedName name="OPT2_ST_MP">'[5]OPT2 WAGES &amp; BENEFITS - ST'!$A$4:$AM$33</definedName>
    <definedName name="OPT2_ST_TCNJ" comment="Wage rates for TCNJ employees in option year 2." localSheetId="0">'[5]OPT2 WAGES &amp; BENEFITS - ST'!$A$258:$AN$295</definedName>
    <definedName name="OPT2_ST_TCNJ">'[5]OPT2 WAGES &amp; BENEFITS - ST'!$A$258:$AN$295</definedName>
    <definedName name="OPT2_ST_TCNP" comment="Wage rates for TCNP employees in option year 2." localSheetId="0">'[5]OPT2 WAGES &amp; BENEFITS - ST'!$A$38:$AM$253</definedName>
    <definedName name="OPT2_ST_TCNP">'[5]OPT2 WAGES &amp; BENEFITS - ST'!$A$38:$AM$253</definedName>
    <definedName name="OPT3_ST_MP" comment="Wage rates for MP employees in option year 3." localSheetId="0">'[5]OPT3 WAGES &amp; BENEFITS - ST'!$A$4:$AM$33</definedName>
    <definedName name="OPT3_ST_MP">'[5]OPT3 WAGES &amp; BENEFITS - ST'!$A$4:$AM$33</definedName>
    <definedName name="OPT3_ST_TCNJ" comment="Wage rates for TCNJ employees in option year 3." localSheetId="0">'[5]OPT3 WAGES &amp; BENEFITS - ST'!$A$258:$AN$295</definedName>
    <definedName name="OPT3_ST_TCNJ">'[5]OPT3 WAGES &amp; BENEFITS - ST'!$A$258:$AN$295</definedName>
    <definedName name="OPT3_ST_TCNP" comment="Wage rates for TCNP employees in option year 3." localSheetId="0">'[5]OPT3 WAGES &amp; BENEFITS - ST'!$A$38:$AM$253</definedName>
    <definedName name="OPT3_ST_TCNP">'[5]OPT3 WAGES &amp; BENEFITS - ST'!$A$38:$AM$253</definedName>
    <definedName name="OPT4_ST_MP" comment="Wage rates for MP employees in option year 4." localSheetId="0">'[5]OPT4 WAGES &amp; BENEFITS - ST'!$A$4:$AM$33</definedName>
    <definedName name="OPT4_ST_MP">'[5]OPT4 WAGES &amp; BENEFITS - ST'!$A$4:$AM$33</definedName>
    <definedName name="OPT4_ST_TCNJ" comment="Wage rates for TCNJ employees in option year 4." localSheetId="0">'[5]OPT4 WAGES &amp; BENEFITS - ST'!$A$258:$AN$295</definedName>
    <definedName name="OPT4_ST_TCNJ">'[5]OPT4 WAGES &amp; BENEFITS - ST'!$A$258:$AN$295</definedName>
    <definedName name="OPT4_ST_TCNP" comment="Wage rates for TCNP employees in option year 4." localSheetId="0">'[5]OPT4 WAGES &amp; BENEFITS - ST'!$A$38:$AM$253</definedName>
    <definedName name="OPT4_ST_TCNP">'[5]OPT4 WAGES &amp; BENEFITS - ST'!$A$38:$AM$253</definedName>
    <definedName name="Order2" hidden="1">255</definedName>
    <definedName name="OSDCostBuidup2" localSheetId="0" hidden="1">{#N/A,#N/A,FALSE,"Sheet1"}</definedName>
    <definedName name="OSDCostBuidup2" hidden="1">{#N/A,#N/A,FALSE,"Sheet1"}</definedName>
    <definedName name="p" localSheetId="0" hidden="1">{#N/A,#N/A,TRUE,"Report";#N/A,#N/A,TRUE,"DETAIL";#N/A,#N/A,TRUE,"PGRM MGMT &amp; CONTRACT SPT";#N/A,#N/A,TRUE,"New Charts";#N/A,#N/A,TRUE,"Open Commit Revised ";#N/A,#N/A,TRUE,"TRAVEL"}</definedName>
    <definedName name="p" hidden="1">{#N/A,#N/A,TRUE,"Report";#N/A,#N/A,TRUE,"DETAIL";#N/A,#N/A,TRUE,"PGRM MGMT &amp; CONTRACT SPT";#N/A,#N/A,TRUE,"New Charts";#N/A,#N/A,TRUE,"Open Commit Revised ";#N/A,#N/A,TRUE,"TRAVEL"}</definedName>
    <definedName name="p_1" localSheetId="0" hidden="1">{#N/A,#N/A,TRUE,"Report";#N/A,#N/A,TRUE,"DETAIL";#N/A,#N/A,TRUE,"PGRM MGMT &amp; CONTRACT SPT";#N/A,#N/A,TRUE,"New Charts";#N/A,#N/A,TRUE,"Open Commit Revised ";#N/A,#N/A,TRUE,"TRAVEL"}</definedName>
    <definedName name="p_1" hidden="1">{#N/A,#N/A,TRUE,"Report";#N/A,#N/A,TRUE,"DETAIL";#N/A,#N/A,TRUE,"PGRM MGMT &amp; CONTRACT SPT";#N/A,#N/A,TRUE,"New Charts";#N/A,#N/A,TRUE,"Open Commit Revised ";#N/A,#N/A,TRUE,"TRAVEL"}</definedName>
    <definedName name="pa" localSheetId="0" hidden="1">{#N/A,#N/A,TRUE,"Report";#N/A,#N/A,TRUE,"DETAIL";#N/A,#N/A,TRUE,"PGRM MGMT &amp; CONTRACT SPT";#N/A,#N/A,TRUE,"New Charts";#N/A,#N/A,TRUE,"Open Commit Revised ";#N/A,#N/A,TRUE,"TRAVEL"}</definedName>
    <definedName name="pa" hidden="1">{#N/A,#N/A,TRUE,"Report";#N/A,#N/A,TRUE,"DETAIL";#N/A,#N/A,TRUE,"PGRM MGMT &amp; CONTRACT SPT";#N/A,#N/A,TRUE,"New Charts";#N/A,#N/A,TRUE,"Open Commit Revised ";#N/A,#N/A,TRUE,"TRAVEL"}</definedName>
    <definedName name="pa_1" localSheetId="0" hidden="1">{#N/A,#N/A,TRUE,"Report";#N/A,#N/A,TRUE,"DETAIL";#N/A,#N/A,TRUE,"PGRM MGMT &amp; CONTRACT SPT";#N/A,#N/A,TRUE,"New Charts";#N/A,#N/A,TRUE,"Open Commit Revised ";#N/A,#N/A,TRUE,"TRAVEL"}</definedName>
    <definedName name="pa_1" hidden="1">{#N/A,#N/A,TRUE,"Report";#N/A,#N/A,TRUE,"DETAIL";#N/A,#N/A,TRUE,"PGRM MGMT &amp; CONTRACT SPT";#N/A,#N/A,TRUE,"New Charts";#N/A,#N/A,TRUE,"Open Commit Revised ";#N/A,#N/A,TRUE,"TRAVEL"}</definedName>
    <definedName name="PAGE4" localSheetId="0" hidden="1">{"actuals_1",#N/A,FALSE,"CO 1 YRS";"burden_1",#N/A,FALSE,"CO 1 YRS";"input",#N/A,FALSE,"INPUT"}</definedName>
    <definedName name="PAGE4" hidden="1">{"actuals_1",#N/A,FALSE,"CO 1 YRS";"burden_1",#N/A,FALSE,"CO 1 YRS";"input",#N/A,FALSE,"INPUT"}</definedName>
    <definedName name="pamela" localSheetId="0" hidden="1">{#N/A,#N/A,TRUE,"Report";#N/A,#N/A,TRUE,"DETAIL";#N/A,#N/A,TRUE,"PGRM MGMT &amp; CONTRACT SPT";#N/A,#N/A,TRUE,"New Charts";#N/A,#N/A,TRUE,"Open Commit Revised ";#N/A,#N/A,TRUE,"TRAVEL"}</definedName>
    <definedName name="pamela" hidden="1">{#N/A,#N/A,TRUE,"Report";#N/A,#N/A,TRUE,"DETAIL";#N/A,#N/A,TRUE,"PGRM MGMT &amp; CONTRACT SPT";#N/A,#N/A,TRUE,"New Charts";#N/A,#N/A,TRUE,"Open Commit Revised ";#N/A,#N/A,TRUE,"TRAVEL"}</definedName>
    <definedName name="pamela_1" localSheetId="0" hidden="1">{#N/A,#N/A,TRUE,"Report";#N/A,#N/A,TRUE,"DETAIL";#N/A,#N/A,TRUE,"PGRM MGMT &amp; CONTRACT SPT";#N/A,#N/A,TRUE,"New Charts";#N/A,#N/A,TRUE,"Open Commit Revised ";#N/A,#N/A,TRUE,"TRAVEL"}</definedName>
    <definedName name="pamela_1" hidden="1">{#N/A,#N/A,TRUE,"Report";#N/A,#N/A,TRUE,"DETAIL";#N/A,#N/A,TRUE,"PGRM MGMT &amp; CONTRACT SPT";#N/A,#N/A,TRUE,"New Charts";#N/A,#N/A,TRUE,"Open Commit Revised ";#N/A,#N/A,TRUE,"TRAVEL"}</definedName>
    <definedName name="PART_MASTER">#REF!</definedName>
    <definedName name="past" localSheetId="0" hidden="1">{#N/A,#N/A,FALSE,"Sheet1"}</definedName>
    <definedName name="past" hidden="1">{#N/A,#N/A,FALSE,"Sheet1"}</definedName>
    <definedName name="pe" localSheetId="0" hidden="1">{#N/A,#N/A,FALSE,"204";#N/A,#N/A,FALSE,"226";#N/A,#N/A,FALSE,"233";#N/A,#N/A,FALSE,"632";#N/A,#N/A,FALSE,"671";#N/A,#N/A,FALSE,"905";#N/A,#N/A,FALSE,"906";#N/A,#N/A,FALSE,"913";#N/A,#N/A,FALSE,"914";#N/A,#N/A,FALSE,"916";#N/A,#N/A,FALSE,"AAT";#N/A,#N/A,FALSE,"ATAS";#N/A,#N/A,FALSE,"ITL3";#N/A,#N/A,FALSE,"917";#N/A,#N/A,FALSE,"918"}</definedName>
    <definedName name="pe" hidden="1">{#N/A,#N/A,FALSE,"204";#N/A,#N/A,FALSE,"226";#N/A,#N/A,FALSE,"233";#N/A,#N/A,FALSE,"632";#N/A,#N/A,FALSE,"671";#N/A,#N/A,FALSE,"905";#N/A,#N/A,FALSE,"906";#N/A,#N/A,FALSE,"913";#N/A,#N/A,FALSE,"914";#N/A,#N/A,FALSE,"916";#N/A,#N/A,FALSE,"AAT";#N/A,#N/A,FALSE,"ATAS";#N/A,#N/A,FALSE,"ITL3";#N/A,#N/A,FALSE,"917";#N/A,#N/A,FALSE,"918"}</definedName>
    <definedName name="pe_1" localSheetId="0" hidden="1">{#N/A,#N/A,FALSE,"204";#N/A,#N/A,FALSE,"226";#N/A,#N/A,FALSE,"233";#N/A,#N/A,FALSE,"632";#N/A,#N/A,FALSE,"671";#N/A,#N/A,FALSE,"905";#N/A,#N/A,FALSE,"906";#N/A,#N/A,FALSE,"913";#N/A,#N/A,FALSE,"914";#N/A,#N/A,FALSE,"916";#N/A,#N/A,FALSE,"AAT";#N/A,#N/A,FALSE,"ATAS";#N/A,#N/A,FALSE,"ITL3";#N/A,#N/A,FALSE,"917";#N/A,#N/A,FALSE,"918"}</definedName>
    <definedName name="pe_1" hidden="1">{#N/A,#N/A,FALSE,"204";#N/A,#N/A,FALSE,"226";#N/A,#N/A,FALSE,"233";#N/A,#N/A,FALSE,"632";#N/A,#N/A,FALSE,"671";#N/A,#N/A,FALSE,"905";#N/A,#N/A,FALSE,"906";#N/A,#N/A,FALSE,"913";#N/A,#N/A,FALSE,"914";#N/A,#N/A,FALSE,"916";#N/A,#N/A,FALSE,"AAT";#N/A,#N/A,FALSE,"ATAS";#N/A,#N/A,FALSE,"ITL3";#N/A,#N/A,FALSE,"917";#N/A,#N/A,FALSE,"918"}</definedName>
    <definedName name="Permits_and_Fees_Cost">#REF!</definedName>
    <definedName name="Phours">'[12]4. Productive Hours'!$C:$V</definedName>
    <definedName name="POSITION" localSheetId="0">'[5]RATES &amp; TABLES'!$A$5:$A$259</definedName>
    <definedName name="POSITION">'[5]RATES &amp; TABLES'!$A$5:$A$259</definedName>
    <definedName name="Post_kW_MV_Report">#REF!</definedName>
    <definedName name="Post_Measured_W">#REF!</definedName>
    <definedName name="PoweredBy">[15]Picklists!$B$2:$B$7</definedName>
    <definedName name="POY" localSheetId="0" hidden="1">{#N/A,#N/A,FALSE,"WBS 1.06";#N/A,#N/A,FALSE,"WBS 1.14";#N/A,#N/A,FALSE,"WBS 1.17";#N/A,#N/A,FALSE,"WBS 1.18"}</definedName>
    <definedName name="POY" hidden="1">{#N/A,#N/A,FALSE,"WBS 1.06";#N/A,#N/A,FALSE,"WBS 1.14";#N/A,#N/A,FALSE,"WBS 1.17";#N/A,#N/A,FALSE,"WBS 1.18"}</definedName>
    <definedName name="pp"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 localSheetId="0" hidden="1">{#N/A,#N/A,FALSE,"Sheet1"}</definedName>
    <definedName name="ppp" hidden="1">{#N/A,#N/A,FALSE,"Sheet1"}</definedName>
    <definedName name="pppp" localSheetId="0" hidden="1">{#N/A,#N/A,FALSE,"Sheet1"}</definedName>
    <definedName name="pppp" hidden="1">{#N/A,#N/A,FALSE,"Sheet1"}</definedName>
    <definedName name="ppppp" localSheetId="0" hidden="1">{"'1098trans'!$A$10:$F$64","'1098trans'!$A$65:$A$66","'1098trans'!$A$67:$D$69","'1098trans'!$A$64:$F$69"}</definedName>
    <definedName name="ppppp" hidden="1">{"'1098trans'!$A$10:$F$64","'1098trans'!$A$65:$A$66","'1098trans'!$A$67:$D$69","'1098trans'!$A$64:$F$69"}</definedName>
    <definedName name="ppppppppp"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ss" localSheetId="0" hidden="1">{#N/A,#N/A,FALSE,"Sheet1"}</definedName>
    <definedName name="Ppss" hidden="1">{#N/A,#N/A,FALSE,"Sheet1"}</definedName>
    <definedName name="Pre_kW_MV_Report">#REF!</definedName>
    <definedName name="Pre_Measured_W">#REF!</definedName>
    <definedName name="Price_Codes">#REF!</definedName>
    <definedName name="_xlnm.Print_Area" localSheetId="5">'CLIN 0005 1st Option Water RW'!$E$1:$L$8</definedName>
    <definedName name="_xlnm.Print_Area" localSheetId="2">'JL-1 CLIN 0003 Base Water RW'!$E$1:$H$9</definedName>
    <definedName name="_xlnm.Print_Titles" localSheetId="5">'CLIN 0005 1st Option Water RW'!$1:$8</definedName>
    <definedName name="_xlnm.Print_Titles" localSheetId="2">'JL-1 CLIN 0003 Base Water RW'!$1:$9</definedName>
    <definedName name="PRODHOURS" comment="Table to compute productive hours" localSheetId="0">'[5]RATES &amp; TABLES'!$AW$4:$BZ$8</definedName>
    <definedName name="PRODHOURS">'[5]RATES &amp; TABLES'!$AW$4:$BZ$8</definedName>
    <definedName name="PROFIT_0399" localSheetId="0" hidden="1">{#N/A,#N/A,FALSE,"Sheet1"}</definedName>
    <definedName name="PROFIT_0399" hidden="1">{#N/A,#N/A,FALSE,"Sheet1"}</definedName>
    <definedName name="Project_Gross_Margin">#REF!</definedName>
    <definedName name="Project_Name">[9]Dashboard!$C$5</definedName>
    <definedName name="proposed" localSheetId="0" hidden="1">{#N/A,#N/A,FALSE,"ManLoading"}</definedName>
    <definedName name="proposed" hidden="1">{#N/A,#N/A,FALSE,"ManLoading"}</definedName>
    <definedName name="qewr"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 localSheetId="0" hidden="1">{#N/A,#N/A,FALSE,"WBS 1.06";#N/A,#N/A,FALSE,"WBS 1.14";#N/A,#N/A,FALSE,"WBS 1.17";#N/A,#N/A,FALSE,"WBS 1.18"}</definedName>
    <definedName name="qq" hidden="1">{#N/A,#N/A,FALSE,"WBS 1.06";#N/A,#N/A,FALSE,"WBS 1.14";#N/A,#N/A,FALSE,"WBS 1.17";#N/A,#N/A,FALSE,"WBS 1.18"}</definedName>
    <definedName name="qqqqqqqqq" localSheetId="0" hidden="1">{"Start",#N/A,FALSE,"Menu";"P&amp;L",#N/A,FALSE,"Monthly P&amp;L";"Rev",#N/A,FALSE,"Revenue Summary";"budbar",#N/A,FALSE,"Budget-Variance";"priorvar",#N/A,FALSE,"Prior Month Var";"DetailRev",#N/A,FALSE,"Detail  Budget Var (Revenue)";"Detailom",#N/A,FALSE,"Detail Budget Var (O&amp;M)"}</definedName>
    <definedName name="qqqqqqqqq" hidden="1">{"Start",#N/A,FALSE,"Menu";"P&amp;L",#N/A,FALSE,"Monthly P&amp;L";"Rev",#N/A,FALSE,"Revenue Summary";"budbar",#N/A,FALSE,"Budget-Variance";"priorvar",#N/A,FALSE,"Prior Month Var";"DetailRev",#N/A,FALSE,"Detail  Budget Var (Revenue)";"Detailom",#N/A,FALSE,"Detail Budget Var (O&amp;M)"}</definedName>
    <definedName name="qqqqqqqqqq"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sw" localSheetId="0" hidden="1">{#N/A,#N/A,FALSE,"Monthly"}</definedName>
    <definedName name="qsw" hidden="1">{#N/A,#N/A,FALSE,"Monthly"}</definedName>
    <definedName name="qwed"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RTFQ">#REF!</definedName>
    <definedName name="qww" localSheetId="0" hidden="1">{"Start",#N/A,FALSE,"Menu";"P&amp;L",#N/A,FALSE,"Monthly P&amp;L";"Rev",#N/A,FALSE,"Revenue Summary";"budbar",#N/A,FALSE,"Budget-Variance";"priorvar",#N/A,FALSE,"Prior Month Var";"DetailRev",#N/A,FALSE,"Detail  Budget Var (Revenue)";"Detailom",#N/A,FALSE,"Detail Budget Var (O&amp;M)"}</definedName>
    <definedName name="qww" hidden="1">{"Start",#N/A,FALSE,"Menu";"P&amp;L",#N/A,FALSE,"Monthly P&amp;L";"Rev",#N/A,FALSE,"Revenue Summary";"budbar",#N/A,FALSE,"Budget-Variance";"priorvar",#N/A,FALSE,"Prior Month Var";"DetailRev",#N/A,FALSE,"Detail  Budget Var (Revenue)";"Detailom",#N/A,FALSE,"Detail Budget Var (O&amp;M)"}</definedName>
    <definedName name="randolphoptionyr" localSheetId="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e6t"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ee" localSheetId="0" hidden="1">{"'Vietnam'!$E$21:$W$45","'Vietnam'!$E$21:$W$45"}</definedName>
    <definedName name="reee" hidden="1">{"'Vietnam'!$E$21:$W$45","'Vietnam'!$E$21:$W$45"}</definedName>
    <definedName name="reee2" localSheetId="0" hidden="1">{"'Vietnam'!$E$21:$W$45","'Vietnam'!$E$21:$W$45"}</definedName>
    <definedName name="reee2" hidden="1">{"'Vietnam'!$E$21:$W$45","'Vietnam'!$E$21:$W$45"}</definedName>
    <definedName name="reshs" localSheetId="0" hidden="1">{#N/A,#N/A,FALSE,"WBS 1.06";#N/A,#N/A,FALSE,"WBS 1.14";#N/A,#N/A,FALSE,"WBS 1.17";#N/A,#N/A,FALSE,"WBS 1.18"}</definedName>
    <definedName name="reshs" hidden="1">{#N/A,#N/A,FALSE,"WBS 1.06";#N/A,#N/A,FALSE,"WBS 1.14";#N/A,#N/A,FALSE,"WBS 1.17";#N/A,#N/A,FALSE,"WBS 1.18"}</definedName>
    <definedName name="residue" localSheetId="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PREAD_1298V2" localSheetId="0" hidden="1">{#N/A,#N/A,FALSE,"Sheet1"}</definedName>
    <definedName name="RESPREAD_1298V2" hidden="1">{#N/A,#N/A,FALSE,"Sheet1"}</definedName>
    <definedName name="restar" localSheetId="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WORK" localSheetId="0" hidden="1">{#N/A,#N/A,FALSE,"TITLE";#N/A,#N/A,FALSE,"SUMMARY";#N/A,#N/A,FALSE,"TOTAL";#N/A,#N/A,FALSE,"WEEKLY";#N/A,#N/A,FALSE,"PHASES";#N/A,#N/A,FALSE,"SUPPORT";#N/A,#N/A,FALSE,"DETAIL";#N/A,#N/A,FALSE,"P.I. HOL"}</definedName>
    <definedName name="REWORK" hidden="1">{#N/A,#N/A,FALSE,"TITLE";#N/A,#N/A,FALSE,"SUMMARY";#N/A,#N/A,FALSE,"TOTAL";#N/A,#N/A,FALSE,"WEEKLY";#N/A,#N/A,FALSE,"PHASES";#N/A,#N/A,FALSE,"SUPPORT";#N/A,#N/A,FALSE,"DETAIL";#N/A,#N/A,FALSE,"P.I. HOL"}</definedName>
    <definedName name="RFP.018" localSheetId="0" hidden="1">{"Page 2",#N/A,FALSE,"2000";"Page 1",#N/A,FALSE,"2000"}</definedName>
    <definedName name="RFP.018" hidden="1">{"Page 2",#N/A,FALSE,"2000";"Page 1",#N/A,FALSE,"2000"}</definedName>
    <definedName name="RFP.018_1" localSheetId="0" hidden="1">{"Page 2",#N/A,FALSE,"2000";"Page 1",#N/A,FALSE,"2000"}</definedName>
    <definedName name="RFP.018_1" hidden="1">{"Page 2",#N/A,FALSE,"2000";"Page 1",#N/A,FALSE,"2000"}</definedName>
    <definedName name="RFP.Y018" localSheetId="0" hidden="1">{"Page 2",#N/A,FALSE,"2000";"Page 1",#N/A,FALSE,"2000"}</definedName>
    <definedName name="RFP.Y018" hidden="1">{"Page 2",#N/A,FALSE,"2000";"Page 1",#N/A,FALSE,"2000"}</definedName>
    <definedName name="RFP.Y018_1" localSheetId="0" hidden="1">{"Page 2",#N/A,FALSE,"2000";"Page 1",#N/A,FALSE,"2000"}</definedName>
    <definedName name="RFP.Y018_1" hidden="1">{"Page 2",#N/A,FALSE,"2000";"Page 1",#N/A,FALSE,"2000"}</definedName>
    <definedName name="RICKY" localSheetId="0" hidden="1">{#N/A,#N/A,FALSE,"TITLE";#N/A,#N/A,FALSE,"SUMMARY";#N/A,#N/A,FALSE,"TOTAL";#N/A,#N/A,FALSE,"WEEKLY";#N/A,#N/A,FALSE,"PHASES";#N/A,#N/A,FALSE,"SUPPORT";#N/A,#N/A,FALSE,"DETAIL";#N/A,#N/A,FALSE,"P.I. HOL"}</definedName>
    <definedName name="RICKY" hidden="1">{#N/A,#N/A,FALSE,"TITLE";#N/A,#N/A,FALSE,"SUMMARY";#N/A,#N/A,FALSE,"TOTAL";#N/A,#N/A,FALSE,"WEEKLY";#N/A,#N/A,FALSE,"PHASES";#N/A,#N/A,FALSE,"SUPPORT";#N/A,#N/A,FALSE,"DETAIL";#N/A,#N/A,FALSE,"P.I. HOL"}</definedName>
    <definedName name="right"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r" localSheetId="0" hidden="1">{"1999 Revenue",#N/A,FALSE,"Voice ";"1999 Traffic",#N/A,FALSE,"Voice "}</definedName>
    <definedName name="rr" hidden="1">{"1999 Revenue",#N/A,FALSE,"Voice ";"1999 Traffic",#N/A,FALSE,"Voice "}</definedName>
    <definedName name="rrr" localSheetId="0" hidden="1">{"'1098trans'!$A$10:$F$64","'1098trans'!$A$65:$A$66","'1098trans'!$A$67:$D$69","'1098trans'!$A$64:$F$69"}</definedName>
    <definedName name="rrr" hidden="1">{"'1098trans'!$A$10:$F$64","'1098trans'!$A$65:$A$66","'1098trans'!$A$67:$D$69","'1098trans'!$A$64:$F$69"}</definedName>
    <definedName name="rrrr"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 localSheetId="0" hidden="1">{#N/A,#N/A,FALSE,"050_150";#N/A,#N/A,FALSE,"050_151";#N/A,#N/A,FALSE,"050_152";#N/A,#N/A,FALSE,"050_153";#N/A,#N/A,FALSE,"050_154";#N/A,#N/A,FALSE,"050_155";#N/A,#N/A,FALSE,"050_156";#N/A,#N/A,FALSE,"050_157";#N/A,#N/A,FALSE,"050_158";#N/A,#N/A,FALSE,"050_159";#N/A,#N/A,FALSE,"050_255"}</definedName>
    <definedName name="RRRRR" hidden="1">{#N/A,#N/A,FALSE,"050_150";#N/A,#N/A,FALSE,"050_151";#N/A,#N/A,FALSE,"050_152";#N/A,#N/A,FALSE,"050_153";#N/A,#N/A,FALSE,"050_154";#N/A,#N/A,FALSE,"050_155";#N/A,#N/A,FALSE,"050_156";#N/A,#N/A,FALSE,"050_157";#N/A,#N/A,FALSE,"050_158";#N/A,#N/A,FALSE,"050_159";#N/A,#N/A,FALSE,"050_255"}</definedName>
    <definedName name="RRRRRR" localSheetId="0" hidden="1">{#N/A,#N/A,FALSE,"050_150";#N/A,#N/A,FALSE,"050_151";#N/A,#N/A,FALSE,"050_152";#N/A,#N/A,FALSE,"050_153";#N/A,#N/A,FALSE,"050_154";#N/A,#N/A,FALSE,"050_155";#N/A,#N/A,FALSE,"050_156";#N/A,#N/A,FALSE,"050_157";#N/A,#N/A,FALSE,"050_158";#N/A,#N/A,FALSE,"050_159";#N/A,#N/A,FALSE,"050_255"}</definedName>
    <definedName name="RRRRRR" hidden="1">{#N/A,#N/A,FALSE,"050_150";#N/A,#N/A,FALSE,"050_151";#N/A,#N/A,FALSE,"050_152";#N/A,#N/A,FALSE,"050_153";#N/A,#N/A,FALSE,"050_154";#N/A,#N/A,FALSE,"050_155";#N/A,#N/A,FALSE,"050_156";#N/A,#N/A,FALSE,"050_157";#N/A,#N/A,FALSE,"050_158";#N/A,#N/A,FALSE,"050_159";#N/A,#N/A,FALSE,"050_255"}</definedName>
    <definedName name="RRRRRRR" localSheetId="0" hidden="1">{#N/A,#N/A,FALSE,"050_150";#N/A,#N/A,FALSE,"050_151";#N/A,#N/A,FALSE,"050_152";#N/A,#N/A,FALSE,"050_153";#N/A,#N/A,FALSE,"050_154";#N/A,#N/A,FALSE,"050_155";#N/A,#N/A,FALSE,"050_156";#N/A,#N/A,FALSE,"050_157";#N/A,#N/A,FALSE,"050_158";#N/A,#N/A,FALSE,"050_159";#N/A,#N/A,FALSE,"050_255"}</definedName>
    <definedName name="RRRRRRR" hidden="1">{#N/A,#N/A,FALSE,"050_150";#N/A,#N/A,FALSE,"050_151";#N/A,#N/A,FALSE,"050_152";#N/A,#N/A,FALSE,"050_153";#N/A,#N/A,FALSE,"050_154";#N/A,#N/A,FALSE,"050_155";#N/A,#N/A,FALSE,"050_156";#N/A,#N/A,FALSE,"050_157";#N/A,#N/A,FALSE,"050_158";#N/A,#N/A,FALSE,"050_159";#N/A,#N/A,FALSE,"050_255"}</definedName>
    <definedName name="rrrrrrrr"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TY" localSheetId="0" hidden="1">{#N/A,#N/A,FALSE,"WBS 1.06";#N/A,#N/A,FALSE,"WBS 1.14";#N/A,#N/A,FALSE,"WBS 1.17";#N/A,#N/A,FALSE,"WBS 1.18"}</definedName>
    <definedName name="RTY" hidden="1">{#N/A,#N/A,FALSE,"WBS 1.06";#N/A,#N/A,FALSE,"WBS 1.14";#N/A,#N/A,FALSE,"WBS 1.17";#N/A,#N/A,FALSE,"WBS 1.18"}</definedName>
    <definedName name="RxMax" hidden="1">[16]Functional!$C$2</definedName>
    <definedName name="RxMin" hidden="1">[16]Functional!$B$2</definedName>
    <definedName name="RYUK" localSheetId="0" hidden="1">{"PAGE1",#N/A,FALSE,"CPFFMSTR";"PAGE2",#N/A,FALSE,"CPFFMSTR"}</definedName>
    <definedName name="RYUK" hidden="1">{"PAGE1",#N/A,FALSE,"CPFFMSTR";"PAGE2",#N/A,FALSE,"CPFFMSTR"}</definedName>
    <definedName name="S"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adry"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les_Tax_Labor">#REF!</definedName>
    <definedName name="Sales_Tax_Material">#REF!</definedName>
    <definedName name="Sales_Tax_Sub">#REF!</definedName>
    <definedName name="Salvage_Value">#REF!</definedName>
    <definedName name="SAPBEXhrIndnt" hidden="1">1</definedName>
    <definedName name="SAPBEXrevision" hidden="1">76</definedName>
    <definedName name="SAPBEXsysID" hidden="1">"PCD"</definedName>
    <definedName name="SAPBEXwbID" hidden="1">"3VDSOH0FTVPXC2OU1PEWUG95J"</definedName>
    <definedName name="sasdaklsdjl" localSheetId="0" hidden="1">{"OOCDOLS",#N/A,FALSE,"G&amp;A_CRPSV";"OOCDOL",#N/A,FALSE,"G&amp;A_FAC"}</definedName>
    <definedName name="sasdaklsdjl" hidden="1">{"OOCDOLS",#N/A,FALSE,"G&amp;A_CRPSV";"OOCDOL",#N/A,FALSE,"G&amp;A_FAC"}</definedName>
    <definedName name="Scale" hidden="1">[17]Functional!$A$2</definedName>
    <definedName name="SchedName" hidden="1">'[18]Executive Price Summary'!$F$9</definedName>
    <definedName name="Scope_Selection_List">#REF!</definedName>
    <definedName name="sd2s"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a" localSheetId="0" hidden="1">{#N/A,#N/A,FALSE,"ManLoading"}</definedName>
    <definedName name="sda" hidden="1">{#N/A,#N/A,FALSE,"ManLoading"}</definedName>
    <definedName name="sda_1" localSheetId="0" hidden="1">{#N/A,#N/A,FALSE,"ManLoading"}</definedName>
    <definedName name="sda_1" hidden="1">{#N/A,#N/A,FALSE,"ManLoading"}</definedName>
    <definedName name="sdas" localSheetId="0" hidden="1">{#N/A,#N/A,TRUE,"Cover";#N/A,#N/A,TRUE,"Labor";#N/A,#N/A,TRUE,"Summary";#N/A,#N/A,TRUE,"Graphs"}</definedName>
    <definedName name="sdas" hidden="1">{#N/A,#N/A,TRUE,"Cover";#N/A,#N/A,TRUE,"Labor";#N/A,#N/A,TRUE,"Summary";#N/A,#N/A,TRUE,"Graphs"}</definedName>
    <definedName name="sdas_1" localSheetId="0" hidden="1">{#N/A,#N/A,TRUE,"Cover";#N/A,#N/A,TRUE,"Labor";#N/A,#N/A,TRUE,"Summary";#N/A,#N/A,TRUE,"Graphs"}</definedName>
    <definedName name="sdas_1" hidden="1">{#N/A,#N/A,TRUE,"Cover";#N/A,#N/A,TRUE,"Labor";#N/A,#N/A,TRUE,"Summary";#N/A,#N/A,TRUE,"Graphs"}</definedName>
    <definedName name="sddddd" localSheetId="0" hidden="1">{#N/A,#N/A,FALSE,"IB Totgeo Q1-Q4 ";#N/A,#N/A,FALSE,"IB AEME";#N/A,#N/A,FALSE,"IB West";#N/A,#N/A,FALSE,"IB Central";#N/A,#N/A,FALSE,"IB South ";#N/A,#N/A,FALSE,"IB North";#N/A,#N/A,FALSE,"IB Reg Tot ";#N/A,#N/A,FALSE,"IB Reg Tot graph"}</definedName>
    <definedName name="sddddd" hidden="1">{#N/A,#N/A,FALSE,"IB Totgeo Q1-Q4 ";#N/A,#N/A,FALSE,"IB AEME";#N/A,#N/A,FALSE,"IB West";#N/A,#N/A,FALSE,"IB Central";#N/A,#N/A,FALSE,"IB South ";#N/A,#N/A,FALSE,"IB North";#N/A,#N/A,FALSE,"IB Reg Tot ";#N/A,#N/A,FALSE,"IB Reg Tot graph"}</definedName>
    <definedName name="SDF"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d" localSheetId="0" hidden="1">{#N/A,#N/A,FALSE,"AR Summ.";#N/A,#N/A,FALSE,"Dec top 5 collects";#N/A,#N/A,FALSE,"Top 5 AR";#N/A,#N/A,FALSE,"Top 5&gt;90";#N/A,#N/A,FALSE,"AR Flow by Region";#N/A,#N/A,FALSE,"PrePays";#N/A,#N/A,FALSE,"Op&amp;Risk"}</definedName>
    <definedName name="sdfd" hidden="1">{#N/A,#N/A,FALSE,"AR Summ.";#N/A,#N/A,FALSE,"Dec top 5 collects";#N/A,#N/A,FALSE,"Top 5 AR";#N/A,#N/A,FALSE,"Top 5&gt;90";#N/A,#N/A,FALSE,"AR Flow by Region";#N/A,#N/A,FALSE,"PrePays";#N/A,#N/A,FALSE,"Op&amp;Risk"}</definedName>
    <definedName name="sdfg" localSheetId="0" hidden="1">{"PAGE1",#N/A,FALSE,"CPFFMSTR";"PAGE2",#N/A,FALSE,"CPFFMSTR"}</definedName>
    <definedName name="sdfg" hidden="1">{"PAGE1",#N/A,FALSE,"CPFFMSTR";"PAGE2",#N/A,FALSE,"CPFFMSTR"}</definedName>
    <definedName name="sdg" localSheetId="0" hidden="1">{#N/A,#N/A,FALSE,"WBS 1.06";#N/A,#N/A,FALSE,"WBS 1.14";#N/A,#N/A,FALSE,"WBS 1.17";#N/A,#N/A,FALSE,"WBS 1.18"}</definedName>
    <definedName name="sdg" hidden="1">{#N/A,#N/A,FALSE,"WBS 1.06";#N/A,#N/A,FALSE,"WBS 1.14";#N/A,#N/A,FALSE,"WBS 1.17";#N/A,#N/A,FALSE,"WBS 1.18"}</definedName>
    <definedName name="sdrfy"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enait" localSheetId="0" hidden="1">{#N/A,#N/A,TRUE,"DCF Summary (2)";#N/A,#N/A,TRUE,"DCF Summary";#N/A,"Middle Case Drivers",TRUE,"DCF"}</definedName>
    <definedName name="senait" hidden="1">{#N/A,#N/A,TRUE,"DCF Summary (2)";#N/A,#N/A,TRUE,"DCF Summary";#N/A,"Middle Case Drivers",TRUE,"DCF"}</definedName>
    <definedName name="sencount" hidden="1">7</definedName>
    <definedName name="sept" localSheetId="0" hidden="1">{"laborr",#N/A,FALSE,"Sheet1";"sumr",#N/A,FALSE,"Sheet1";"odcr",#N/A,FALSE,"Sheet1";"trip1r",#N/A,FALSE,"Sheet1"}</definedName>
    <definedName name="sept" hidden="1">{"laborr",#N/A,FALSE,"Sheet1";"sumr",#N/A,FALSE,"Sheet1";"odcr",#N/A,FALSE,"Sheet1";"trip1r",#N/A,FALSE,"Sheet1"}</definedName>
    <definedName name="sept_1" localSheetId="0" hidden="1">{"laborr",#N/A,FALSE,"Sheet1";"sumr",#N/A,FALSE,"Sheet1";"odcr",#N/A,FALSE,"Sheet1";"trip1r",#N/A,FALSE,"Sheet1"}</definedName>
    <definedName name="sept_1" hidden="1">{"laborr",#N/A,FALSE,"Sheet1";"sumr",#N/A,FALSE,"Sheet1";"odcr",#N/A,FALSE,"Sheet1";"trip1r",#N/A,FALSE,"Sheet1"}</definedName>
    <definedName name="sfdg" localSheetId="0" hidden="1">{"1999 Revenue",#N/A,FALSE,"Voice ";"1999 Traffic",#N/A,FALSE,"Voice "}</definedName>
    <definedName name="sfdg" hidden="1">{"1999 Revenue",#N/A,FALSE,"Voice ";"1999 Traffic",#N/A,FALSE,"Voice "}</definedName>
    <definedName name="SFG" localSheetId="0" hidden="1">{"PAGE1",#N/A,FALSE,"CPFFMSTR";"PAGE2",#N/A,FALSE,"CPFFMSTR"}</definedName>
    <definedName name="SFG" hidden="1">{"PAGE1",#N/A,FALSE,"CPFFMSTR";"PAGE2",#N/A,FALSE,"CPFFMSTR"}</definedName>
    <definedName name="shit"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iebel" localSheetId="0" hidden="1">{#N/A,#N/A,FALSE,"IB Totgeo Q1-Q4 ";#N/A,#N/A,FALSE,"IB AEME";#N/A,#N/A,FALSE,"IB West";#N/A,#N/A,FALSE,"IB Central";#N/A,#N/A,FALSE,"IB South ";#N/A,#N/A,FALSE,"IB North";#N/A,#N/A,FALSE,"IB Reg Tot ";#N/A,#N/A,FALSE,"IB Reg Tot graph"}</definedName>
    <definedName name="siebel" hidden="1">{#N/A,#N/A,FALSE,"IB Totgeo Q1-Q4 ";#N/A,#N/A,FALSE,"IB AEME";#N/A,#N/A,FALSE,"IB West";#N/A,#N/A,FALSE,"IB Central";#N/A,#N/A,FALSE,"IB South ";#N/A,#N/A,FALSE,"IB North";#N/A,#N/A,FALSE,"IB Reg Tot ";#N/A,#N/A,FALSE,"IB Reg Tot graph"}</definedName>
    <definedName name="sill"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malltools">'[13]Exhibit 5.0-Hand Tools'!$M$5:$O$13</definedName>
    <definedName name="sret"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s" localSheetId="0" hidden="1">{#N/A,#N/A,FALSE,"WBS 1.06";#N/A,#N/A,FALSE,"WBS 1.14";#N/A,#N/A,FALSE,"WBS 1.17";#N/A,#N/A,FALSE,"WBS 1.18"}</definedName>
    <definedName name="ss" hidden="1">{#N/A,#N/A,FALSE,"WBS 1.06";#N/A,#N/A,FALSE,"WBS 1.14";#N/A,#N/A,FALSE,"WBS 1.17";#N/A,#N/A,FALSE,"WBS 1.18"}</definedName>
    <definedName name="ssssa" localSheetId="0" hidden="1">{"'1098trans'!$A$10:$F$64","'1098trans'!$A$65:$A$66","'1098trans'!$A$67:$D$69","'1098trans'!$A$64:$F$69"}</definedName>
    <definedName name="ssssa" hidden="1">{"'1098trans'!$A$10:$F$64","'1098trans'!$A$65:$A$66","'1098trans'!$A$67:$D$69","'1098trans'!$A$64:$F$69"}</definedName>
    <definedName name="sssss" localSheetId="0" hidden="1">{"'1098trans'!$A$10:$F$64","'1098trans'!$A$65:$A$66","'1098trans'!$A$67:$D$69","'1098trans'!$A$64:$F$69"}</definedName>
    <definedName name="sssss" hidden="1">{"'1098trans'!$A$10:$F$64","'1098trans'!$A$65:$A$66","'1098trans'!$A$67:$D$69","'1098trans'!$A$64:$F$69"}</definedName>
    <definedName name="ssssss" localSheetId="0" hidden="1">{"'1098trans'!$A$10:$F$64","'1098trans'!$A$65:$A$66","'1098trans'!$A$67:$D$69","'1098trans'!$A$64:$F$69"}</definedName>
    <definedName name="ssssss" hidden="1">{"'1098trans'!$A$10:$F$64","'1098trans'!$A$65:$A$66","'1098trans'!$A$67:$D$69","'1098trans'!$A$64:$F$69"}</definedName>
    <definedName name="ssssssss" localSheetId="0" hidden="1">{#N/A,#N/A,FALSE,"Sheet1"}</definedName>
    <definedName name="ssssssss" hidden="1">{#N/A,#N/A,FALSE,"Sheet1"}</definedName>
    <definedName name="sssssssss" localSheetId="0" hidden="1">{"'1098trans'!$A$10:$F$64","'1098trans'!$A$65:$A$66","'1098trans'!$A$67:$D$69","'1098trans'!$A$64:$F$69"}</definedName>
    <definedName name="sssssssss" hidden="1">{"'1098trans'!$A$10:$F$64","'1098trans'!$A$65:$A$66","'1098trans'!$A$67:$D$69","'1098trans'!$A$64:$F$69"}</definedName>
    <definedName name="staff2" localSheetId="0" hidden="1">{#N/A,#N/A,FALSE,"Assessment";#N/A,#N/A,FALSE,"Staffing";#N/A,#N/A,FALSE,"Hires";#N/A,#N/A,FALSE,"Assumptions"}</definedName>
    <definedName name="staff2" hidden="1">{#N/A,#N/A,FALSE,"Assessment";#N/A,#N/A,FALSE,"Staffing";#N/A,#N/A,FALSE,"Hires";#N/A,#N/A,FALSE,"Assumptions"}</definedName>
    <definedName name="staff2_1" localSheetId="0" hidden="1">{#N/A,#N/A,FALSE,"Assessment";#N/A,#N/A,FALSE,"Staffing";#N/A,#N/A,FALSE,"Hires";#N/A,#N/A,FALSE,"Assumptions"}</definedName>
    <definedName name="staff2_1" hidden="1">{#N/A,#N/A,FALSE,"Assessment";#N/A,#N/A,FALSE,"Staffing";#N/A,#N/A,FALSE,"Hires";#N/A,#N/A,FALSE,"Assumptions"}</definedName>
    <definedName name="staff3" localSheetId="0" hidden="1">{#N/A,#N/A,FALSE,"Assessment";#N/A,#N/A,FALSE,"Staffing";#N/A,#N/A,FALSE,"Hires";#N/A,#N/A,FALSE,"Assumptions"}</definedName>
    <definedName name="staff3" hidden="1">{#N/A,#N/A,FALSE,"Assessment";#N/A,#N/A,FALSE,"Staffing";#N/A,#N/A,FALSE,"Hires";#N/A,#N/A,FALSE,"Assumptions"}</definedName>
    <definedName name="staff3_1" localSheetId="0" hidden="1">{#N/A,#N/A,FALSE,"Assessment";#N/A,#N/A,FALSE,"Staffing";#N/A,#N/A,FALSE,"Hires";#N/A,#N/A,FALSE,"Assumptions"}</definedName>
    <definedName name="staff3_1" hidden="1">{#N/A,#N/A,FALSE,"Assessment";#N/A,#N/A,FALSE,"Staffing";#N/A,#N/A,FALSE,"Hires";#N/A,#N/A,FALSE,"Assumptions"}</definedName>
    <definedName name="staffing2" localSheetId="0" hidden="1">{#N/A,#N/A,FALSE,"Assessment";#N/A,#N/A,FALSE,"Staffing";#N/A,#N/A,FALSE,"Hires";#N/A,#N/A,FALSE,"Assumptions"}</definedName>
    <definedName name="staffing2" hidden="1">{#N/A,#N/A,FALSE,"Assessment";#N/A,#N/A,FALSE,"Staffing";#N/A,#N/A,FALSE,"Hires";#N/A,#N/A,FALSE,"Assumptions"}</definedName>
    <definedName name="staffing2_1" localSheetId="0" hidden="1">{#N/A,#N/A,FALSE,"Assessment";#N/A,#N/A,FALSE,"Staffing";#N/A,#N/A,FALSE,"Hires";#N/A,#N/A,FALSE,"Assumptions"}</definedName>
    <definedName name="staffing2_1" hidden="1">{#N/A,#N/A,FALSE,"Assessment";#N/A,#N/A,FALSE,"Staffing";#N/A,#N/A,FALSE,"Hires";#N/A,#N/A,FALSE,"Assumptions"}</definedName>
    <definedName name="Staffing3" localSheetId="0" hidden="1">{#N/A,#N/A,FALSE,"Assessment";#N/A,#N/A,FALSE,"Staffing";#N/A,#N/A,FALSE,"Hires";#N/A,#N/A,FALSE,"Assumptions"}</definedName>
    <definedName name="Staffing3" hidden="1">{#N/A,#N/A,FALSE,"Assessment";#N/A,#N/A,FALSE,"Staffing";#N/A,#N/A,FALSE,"Hires";#N/A,#N/A,FALSE,"Assumptions"}</definedName>
    <definedName name="Staffing3_1" localSheetId="0" hidden="1">{#N/A,#N/A,FALSE,"Assessment";#N/A,#N/A,FALSE,"Staffing";#N/A,#N/A,FALSE,"Hires";#N/A,#N/A,FALSE,"Assumptions"}</definedName>
    <definedName name="Staffing3_1" hidden="1">{#N/A,#N/A,FALSE,"Assessment";#N/A,#N/A,FALSE,"Staffing";#N/A,#N/A,FALSE,"Hires";#N/A,#N/A,FALSE,"Assumptions"}</definedName>
    <definedName name="State_or_Federal">#REF!</definedName>
    <definedName name="STATES" comment="States in USA by two-letter code." localSheetId="0">'[5]RATES &amp; TABLES'!$FS$4:$FS$54</definedName>
    <definedName name="STATES">'[5]RATES &amp; TABLES'!$FS$4:$FS$54</definedName>
    <definedName name="Status">[15]Picklists!$E$2:$E$5</definedName>
    <definedName name="Storage_Container_Cost">#REF!</definedName>
    <definedName name="Subcontractor_Margin">#REF!</definedName>
    <definedName name="Subcontractors" localSheetId="0" hidden="1">{"Cover Page",#N/A,FALSE,"NIST-1263 Cover Page";"Cover Page Back",#N/A,FALSE,"NIST-1263 Cover Page";#N/A,#N/A,FALSE,"NIST-1263 Page 3";#N/A,#N/A,FALSE,"NIST-1263 Page 4"}</definedName>
    <definedName name="Subcontractors" hidden="1">{"Cover Page",#N/A,FALSE,"NIST-1263 Cover Page";"Cover Page Back",#N/A,FALSE,"NIST-1263 Cover Page";#N/A,#N/A,FALSE,"NIST-1263 Page 3";#N/A,#N/A,FALSE,"NIST-1263 Page 4"}</definedName>
    <definedName name="SUMORG" localSheetId="0">#REF!</definedName>
    <definedName name="SUMORG">#REF!</definedName>
    <definedName name="SUPPLIER_MASTER">#REF!</definedName>
    <definedName name="SUSU" localSheetId="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table"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1" localSheetId="0">#REF!</definedName>
    <definedName name="TABLE1">#REF!</definedName>
    <definedName name="TABLE2" localSheetId="0">#REF!</definedName>
    <definedName name="TABLE2">#REF!</definedName>
    <definedName name="TABLE3" localSheetId="0">#REF!</definedName>
    <definedName name="TABLE3">#REF!</definedName>
    <definedName name="TABLE4" localSheetId="0">#REF!</definedName>
    <definedName name="TABLE4">#REF!</definedName>
    <definedName name="tbl"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e" localSheetId="0" hidden="1">{"'1098trans'!$A$10:$F$64","'1098trans'!$A$65:$A$66","'1098trans'!$A$67:$D$69","'1098trans'!$A$64:$F$69"}</definedName>
    <definedName name="te" hidden="1">{"'1098trans'!$A$10:$F$64","'1098trans'!$A$65:$A$66","'1098trans'!$A$67:$D$69","'1098trans'!$A$64:$F$69"}</definedName>
    <definedName name="Temp_2" localSheetId="0" hidden="1">{#N/A,#N/A,FALSE,"Assessment";#N/A,#N/A,FALSE,"Staffing";#N/A,#N/A,FALSE,"Hires";#N/A,#N/A,FALSE,"Assumptions"}</definedName>
    <definedName name="Temp_2" hidden="1">{#N/A,#N/A,FALSE,"Assessment";#N/A,#N/A,FALSE,"Staffing";#N/A,#N/A,FALSE,"Hires";#N/A,#N/A,FALSE,"Assumptions"}</definedName>
    <definedName name="Temp_2_1" localSheetId="0" hidden="1">{#N/A,#N/A,FALSE,"Assessment";#N/A,#N/A,FALSE,"Staffing";#N/A,#N/A,FALSE,"Hires";#N/A,#N/A,FALSE,"Assumptions"}</definedName>
    <definedName name="Temp_2_1" hidden="1">{#N/A,#N/A,FALSE,"Assessment";#N/A,#N/A,FALSE,"Staffing";#N/A,#N/A,FALSE,"Hires";#N/A,#N/A,FALSE,"Assumptions"}</definedName>
    <definedName name="Temp_3" localSheetId="0" hidden="1">{#N/A,#N/A,FALSE,"Assessment";#N/A,#N/A,FALSE,"Staffing";#N/A,#N/A,FALSE,"Hires";#N/A,#N/A,FALSE,"Assumptions"}</definedName>
    <definedName name="Temp_3" hidden="1">{#N/A,#N/A,FALSE,"Assessment";#N/A,#N/A,FALSE,"Staffing";#N/A,#N/A,FALSE,"Hires";#N/A,#N/A,FALSE,"Assumptions"}</definedName>
    <definedName name="Temp_3_1" localSheetId="0" hidden="1">{#N/A,#N/A,FALSE,"Assessment";#N/A,#N/A,FALSE,"Staffing";#N/A,#N/A,FALSE,"Hires";#N/A,#N/A,FALSE,"Assumptions"}</definedName>
    <definedName name="Temp_3_1" hidden="1">{#N/A,#N/A,FALSE,"Assessment";#N/A,#N/A,FALSE,"Staffing";#N/A,#N/A,FALSE,"Hires";#N/A,#N/A,FALSE,"Assumptions"}</definedName>
    <definedName name="temp2" localSheetId="0" hidden="1">{#N/A,#N/A,FALSE,"Assessment";#N/A,#N/A,FALSE,"Staffing";#N/A,#N/A,FALSE,"Hires";#N/A,#N/A,FALSE,"Assumptions"}</definedName>
    <definedName name="temp2" hidden="1">{#N/A,#N/A,FALSE,"Assessment";#N/A,#N/A,FALSE,"Staffing";#N/A,#N/A,FALSE,"Hires";#N/A,#N/A,FALSE,"Assumptions"}</definedName>
    <definedName name="temp2_1" localSheetId="0" hidden="1">{#N/A,#N/A,FALSE,"Assessment";#N/A,#N/A,FALSE,"Staffing";#N/A,#N/A,FALSE,"Hires";#N/A,#N/A,FALSE,"Assumptions"}</definedName>
    <definedName name="temp2_1" hidden="1">{#N/A,#N/A,FALSE,"Assessment";#N/A,#N/A,FALSE,"Staffing";#N/A,#N/A,FALSE,"Hires";#N/A,#N/A,FALSE,"Assumptions"}</definedName>
    <definedName name="temp3" localSheetId="0" hidden="1">{#N/A,#N/A,FALSE,"Assessment";#N/A,#N/A,FALSE,"Staffing";#N/A,#N/A,FALSE,"Hires";#N/A,#N/A,FALSE,"Assumptions"}</definedName>
    <definedName name="temp3" hidden="1">{#N/A,#N/A,FALSE,"Assessment";#N/A,#N/A,FALSE,"Staffing";#N/A,#N/A,FALSE,"Hires";#N/A,#N/A,FALSE,"Assumptions"}</definedName>
    <definedName name="temp3_1" localSheetId="0" hidden="1">{#N/A,#N/A,FALSE,"Assessment";#N/A,#N/A,FALSE,"Staffing";#N/A,#N/A,FALSE,"Hires";#N/A,#N/A,FALSE,"Assumptions"}</definedName>
    <definedName name="temp3_1" hidden="1">{#N/A,#N/A,FALSE,"Assessment";#N/A,#N/A,FALSE,"Staffing";#N/A,#N/A,FALSE,"Hires";#N/A,#N/A,FALSE,"Assumptions"}</definedName>
    <definedName name="test" localSheetId="0" hidden="1">{"Cover Page",#N/A,FALSE,"NIST-1263 Cover Page";"Cover Page Back",#N/A,FALSE,"NIST-1263 Cover Page";#N/A,#N/A,FALSE,"NIST-1263 Page 3";#N/A,#N/A,FALSE,"NIST-1263 Page 4"}</definedName>
    <definedName name="test" hidden="1">{"Cover Page",#N/A,FALSE,"NIST-1263 Cover Page";"Cover Page Back",#N/A,FALSE,"NIST-1263 Cover Page";#N/A,#N/A,FALSE,"NIST-1263 Page 3";#N/A,#N/A,FALSE,"NIST-1263 Page 4"}</definedName>
    <definedName name="Test1" localSheetId="0" hidden="1">{"'1098trans'!$A$10:$F$64","'1098trans'!$A$65:$A$66","'1098trans'!$A$67:$D$69","'1098trans'!$A$64:$F$69"}</definedName>
    <definedName name="Test1" hidden="1">{"'1098trans'!$A$10:$F$64","'1098trans'!$A$65:$A$66","'1098trans'!$A$67:$D$69","'1098trans'!$A$64:$F$69"}</definedName>
    <definedName name="test2" localSheetId="0" hidden="1">{"'1098trans'!$A$10:$F$64","'1098trans'!$A$65:$A$66","'1098trans'!$A$67:$D$69","'1098trans'!$A$64:$F$69"}</definedName>
    <definedName name="test2" hidden="1">{"'1098trans'!$A$10:$F$64","'1098trans'!$A$65:$A$66","'1098trans'!$A$67:$D$69","'1098trans'!$A$64:$F$69"}</definedName>
    <definedName name="test3" localSheetId="0" hidden="1">{"'1098trans'!$A$10:$F$64","'1098trans'!$A$65:$A$66","'1098trans'!$A$67:$D$69","'1098trans'!$A$64:$F$69"}</definedName>
    <definedName name="test3" hidden="1">{"'1098trans'!$A$10:$F$64","'1098trans'!$A$65:$A$66","'1098trans'!$A$67:$D$69","'1098trans'!$A$64:$F$69"}</definedName>
    <definedName name="test4" localSheetId="0" hidden="1">{"G A expense entry",#N/A,FALSE,"GA97"}</definedName>
    <definedName name="test4" hidden="1">{"G A expense entry",#N/A,FALSE,"GA97"}</definedName>
    <definedName name="test5" localSheetId="0" hidden="1">{"government rate calculation",#N/A,FALSE,"GA97"}</definedName>
    <definedName name="test5" hidden="1">{"government rate calculation",#N/A,FALSE,"GA97"}</definedName>
    <definedName name="test6" localSheetId="0" hidden="1">{"projected revenue",#N/A,FALSE,"GA97"}</definedName>
    <definedName name="test6" hidden="1">{"projected revenue",#N/A,FALSE,"GA97"}</definedName>
    <definedName name="testa" localSheetId="0" hidden="1">{"'1098trans'!$A$10:$F$64","'1098trans'!$A$65:$A$66","'1098trans'!$A$67:$D$69","'1098trans'!$A$64:$F$69"}</definedName>
    <definedName name="testa" hidden="1">{"'1098trans'!$A$10:$F$64","'1098trans'!$A$65:$A$66","'1098trans'!$A$67:$D$69","'1098trans'!$A$64:$F$69"}</definedName>
    <definedName name="TIM" localSheetId="0" hidden="1">{"PAGE1",#N/A,FALSE,"allocation base";"PAGE2",#N/A,FALSE,"burden";"PAGE3",#N/A,FALSE,"burden";"PAGE4",#N/A,FALSE,"labor rates";"PAGE5",#N/A,FALSE,"labor rates";"PAGE6",#N/A,FALSE,"labor rates"}</definedName>
    <definedName name="TIM" hidden="1">{"PAGE1",#N/A,FALSE,"allocation base";"PAGE2",#N/A,FALSE,"burden";"PAGE3",#N/A,FALSE,"burden";"PAGE4",#N/A,FALSE,"labor rates";"PAGE5",#N/A,FALSE,"labor rates";"PAGE6",#N/A,FALSE,"labor rates"}</definedName>
    <definedName name="Time_Material" localSheetId="0" hidden="1">{#N/A,#N/A,FALSE,"Sheet1"}</definedName>
    <definedName name="Time_Material" hidden="1">{#N/A,#N/A,FALSE,"Sheet1"}</definedName>
    <definedName name="Title" localSheetId="0"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x_rev_ebita" localSheetId="0" hidden="1">{#N/A,#N/A,TRUE,"DCF Summary (2)";#N/A,#N/A,TRUE,"DCF Summary";#N/A,"Middle Case Drivers",TRUE,"DCF"}</definedName>
    <definedName name="tix_rev_ebita" hidden="1">{#N/A,#N/A,TRUE,"DCF Summary (2)";#N/A,#N/A,TRUE,"DCF Summary";#N/A,"Middle Case Drivers",TRUE,"DCF"}</definedName>
    <definedName name="tom" localSheetId="0" hidden="1">{#N/A,#N/A,FALSE,"TITLE";#N/A,#N/A,FALSE,"SUMMARY";#N/A,#N/A,FALSE,"TOTAL";#N/A,#N/A,FALSE,"WEEKLY";#N/A,#N/A,FALSE,"PHASES";#N/A,#N/A,FALSE,"SUPPORT";#N/A,#N/A,FALSE,"DETAIL";#N/A,#N/A,FALSE,"P.I. HOL"}</definedName>
    <definedName name="tom" hidden="1">{#N/A,#N/A,FALSE,"TITLE";#N/A,#N/A,FALSE,"SUMMARY";#N/A,#N/A,FALSE,"TOTAL";#N/A,#N/A,FALSE,"WEEKLY";#N/A,#N/A,FALSE,"PHASES";#N/A,#N/A,FALSE,"SUPPORT";#N/A,#N/A,FALSE,"DETAIL";#N/A,#N/A,FALSE,"P.I. HOL"}</definedName>
    <definedName name="TOOL_MASTER">#REF!</definedName>
    <definedName name="Total_Additional_Charges">#REF!</definedName>
    <definedName name="Total_Additional_Costs">#REF!</definedName>
    <definedName name="Total_Labor_Charge">#REF!</definedName>
    <definedName name="Total_Labor_Cost">#REF!</definedName>
    <definedName name="Total_Labor_Margin">#REF!</definedName>
    <definedName name="Total_Labor_Production_Hours">#REF!</definedName>
    <definedName name="Total_Material_Charge">#REF!</definedName>
    <definedName name="Total_Material_Cost">#REF!</definedName>
    <definedName name="Total_Material_Margin">#REF!</definedName>
    <definedName name="Total_Misc_Material_Charge">#REF!</definedName>
    <definedName name="Total_Misc_Material_Cost">#REF!</definedName>
    <definedName name="Total_Warranty_Stock_Charge">#REF!</definedName>
    <definedName name="Total_Warranty_Stock_Cost">#REF!</definedName>
    <definedName name="Travis" localSheetId="0" hidden="1">{#N/A,#N/A,FALSE,"Sheet1"}</definedName>
    <definedName name="Travis" hidden="1">{#N/A,#N/A,FALSE,"Sheet1"}</definedName>
    <definedName name="trsty" localSheetId="0" hidden="1">{"PAGE1",#N/A,FALSE,"CPFFMSTR";"PAGE2",#N/A,FALSE,"CPFFMSTR"}</definedName>
    <definedName name="trsty" hidden="1">{"PAGE1",#N/A,FALSE,"CPFFMSTR";"PAGE2",#N/A,FALSE,"CPFFMSTR"}</definedName>
    <definedName name="try"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0" hidden="1">{#N/A,#N/A,FALSE,"Sheet1"}</definedName>
    <definedName name="ttt" hidden="1">{#N/A,#N/A,FALSE,"Sheet1"}</definedName>
    <definedName name="tttrre" localSheetId="0" hidden="1">{"'Vietnam'!$E$21:$W$45","'Vietnam'!$E$21:$W$45"}</definedName>
    <definedName name="tttrre" hidden="1">{"'Vietnam'!$E$21:$W$45","'Vietnam'!$E$21:$W$45"}</definedName>
    <definedName name="tttt"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 localSheetId="0" hidden="1">{"'1098trans'!$A$10:$F$64","'1098trans'!$A$65:$A$66","'1098trans'!$A$67:$D$69","'1098trans'!$A$64:$F$69"}</definedName>
    <definedName name="ttttttt" hidden="1">{"'1098trans'!$A$10:$F$64","'1098trans'!$A$65:$A$66","'1098trans'!$A$67:$D$69","'1098trans'!$A$64:$F$69"}</definedName>
    <definedName name="tttttttt"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t" localSheetId="0" hidden="1">{"'1098trans'!$A$10:$F$64","'1098trans'!$A$65:$A$66","'1098trans'!$A$67:$D$69","'1098trans'!$A$64:$F$69"}</definedName>
    <definedName name="ttttttttttttt" hidden="1">{"'1098trans'!$A$10:$F$64","'1098trans'!$A$65:$A$66","'1098trans'!$A$67:$D$69","'1098trans'!$A$64:$F$69"}</definedName>
    <definedName name="TW" localSheetId="0" hidden="1">{#N/A,#N/A,TRUE,"DCF Summary (2)";#N/A,#N/A,TRUE,"DCF Summary";#N/A,"Middle Case Drivers",TRUE,"DCF"}</definedName>
    <definedName name="TW" hidden="1">{#N/A,#N/A,TRUE,"DCF Summary (2)";#N/A,#N/A,TRUE,"DCF Summary";#N/A,"Middle Case Drivers",TRUE,"DCF"}</definedName>
    <definedName name="TYPE1" localSheetId="0">#REF!</definedName>
    <definedName name="TYPE1">#REF!</definedName>
    <definedName name="tyu"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 localSheetId="0" hidden="1">{#N/A,#N/A,FALSE,"Monthly"}</definedName>
    <definedName name="u" hidden="1">{#N/A,#N/A,FALSE,"Monthly"}</definedName>
    <definedName name="UII" localSheetId="0" hidden="1">{#N/A,#N/A,FALSE,"WBS 1.06";#N/A,#N/A,FALSE,"WBS 1.14";#N/A,#N/A,FALSE,"WBS 1.17";#N/A,#N/A,FALSE,"WBS 1.18"}</definedName>
    <definedName name="UII" hidden="1">{#N/A,#N/A,FALSE,"WBS 1.06";#N/A,#N/A,FALSE,"WBS 1.14";#N/A,#N/A,FALSE,"WBS 1.17";#N/A,#N/A,FALSE,"WBS 1.18"}</definedName>
    <definedName name="uio"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po"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nsure" localSheetId="0" hidden="1">{#N/A,#N/A,FALSE,"ManLoading"}</definedName>
    <definedName name="Unsure" hidden="1">{#N/A,#N/A,FALSE,"ManLoading"}</definedName>
    <definedName name="Unsure_1" localSheetId="0" hidden="1">{#N/A,#N/A,FALSE,"ManLoading"}</definedName>
    <definedName name="Unsure_1" hidden="1">{#N/A,#N/A,FALSE,"ManLoading"}</definedName>
    <definedName name="Upgrade_Types">#REF!</definedName>
    <definedName name="Upgraded_Burn_Hours">#REF!</definedName>
    <definedName name="Upgraded_Code_Lookup">#REF!</definedName>
    <definedName name="Upgraded_Price_Codes">#REF!</definedName>
    <definedName name="UPV">#REF!</definedName>
    <definedName name="usafa2" localSheetId="0" hidden="1">{#N/A,#N/A,FALSE,"TAB 4 total  contract rollup";#N/A,#N/A,FALSE,"TAB 9 Price Support Data";#N/A,#N/A,FALSE,"TAB 9 Direct Rate Table";#N/A,#N/A,FALSE,"TAB 9 indirect rate table";#N/A,#N/A,FALSE,"TAB 9 SCA_Project Fringe";#N/A,#N/A,FALSE,"TAB 9 davis bacon Fringe"}</definedName>
    <definedName name="usafa2" hidden="1">{#N/A,#N/A,FALSE,"TAB 4 total  contract rollup";#N/A,#N/A,FALSE,"TAB 9 Price Support Data";#N/A,#N/A,FALSE,"TAB 9 Direct Rate Table";#N/A,#N/A,FALSE,"TAB 9 indirect rate table";#N/A,#N/A,FALSE,"TAB 9 SCA_Project Fringe";#N/A,#N/A,FALSE,"TAB 9 davis bacon Fringe"}</definedName>
    <definedName name="usd" localSheetId="0" hidden="1">{#N/A,#N/A,FALSE,"Sheet1"}</definedName>
    <definedName name="usd" hidden="1">{#N/A,#N/A,FALSE,"Sheet1"}</definedName>
    <definedName name="Use_Tax_Labor">#REF!</definedName>
    <definedName name="Use_Tax_Material">#REF!</definedName>
    <definedName name="utilo.Version" hidden="1">1</definedName>
    <definedName name="uu" localSheetId="0" hidden="1">{#N/A,#N/A,FALSE,"Monthly"}</definedName>
    <definedName name="uu" hidden="1">{#N/A,#N/A,FALSE,"Monthly"}</definedName>
    <definedName name="uuuuuuuu" localSheetId="0" hidden="1">{"1999 Revenue",#N/A,FALSE,"IBS";"1999 Traffic",#N/A,FALSE,"IBS"}</definedName>
    <definedName name="uuuuuuuu" hidden="1">{"1999 Revenue",#N/A,FALSE,"IBS";"1999 Traffic",#N/A,FALSE,"IBS"}</definedName>
    <definedName name="uuuuuuuuuuu"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0" hidden="1">{"1999 Revenue",#N/A,FALSE,"Voice ";"1999 Traffic",#N/A,FALSE,"Voice "}</definedName>
    <definedName name="uuuuuuuuuuuu" hidden="1">{"1999 Revenue",#N/A,FALSE,"Voice ";"1999 Traffic",#N/A,FALSE,"Voice "}</definedName>
    <definedName name="uuuuuuuuuuuuuu"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0" hidden="1">{"1999 Revenue",#N/A,FALSE,"IBS";"1999 Traffic",#N/A,FALSE,"IBS"}</definedName>
    <definedName name="uuuuuuuuuuuuuuuuuuuuuuuu" hidden="1">{"1999 Revenue",#N/A,FALSE,"IBS";"1999 Traffic",#N/A,FALSE,"IBS"}</definedName>
    <definedName name="V"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ic" localSheetId="0" hidden="1">{#N/A,#N/A,FALSE,"TITLE";#N/A,#N/A,FALSE,"SUMMARY";#N/A,#N/A,FALSE,"TOTAL";#N/A,#N/A,FALSE,"WEEKLY";#N/A,#N/A,FALSE,"PHASES";#N/A,#N/A,FALSE,"SUPPORT";#N/A,#N/A,FALSE,"DETAIL";#N/A,#N/A,FALSE,"P.I. HOL"}</definedName>
    <definedName name="vic" hidden="1">{#N/A,#N/A,FALSE,"TITLE";#N/A,#N/A,FALSE,"SUMMARY";#N/A,#N/A,FALSE,"TOTAL";#N/A,#N/A,FALSE,"WEEKLY";#N/A,#N/A,FALSE,"PHASES";#N/A,#N/A,FALSE,"SUPPORT";#N/A,#N/A,FALSE,"DETAIL";#N/A,#N/A,FALSE,"P.I. HOL"}</definedName>
    <definedName name="w" localSheetId="0">#REF!</definedName>
    <definedName name="w">#REF!</definedName>
    <definedName name="wacks"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ges" localSheetId="0">'[5]RATES &amp; TABLES'!$A$5:$I$259</definedName>
    <definedName name="Wages">'[5]RATES &amp; TABLES'!$A$5:$I$259</definedName>
    <definedName name="wally" localSheetId="0" hidden="1">{#N/A,#N/A,FALSE,"com1994";#N/A,#N/A,FALSE,"com1995";#N/A,#N/A,FALSE,"com1996"}</definedName>
    <definedName name="wally" hidden="1">{#N/A,#N/A,FALSE,"com1994";#N/A,#N/A,FALSE,"com1995";#N/A,#N/A,FALSE,"com1996"}</definedName>
    <definedName name="washops" localSheetId="0" hidden="1">{"'1098trans'!$A$10:$F$64","'1098trans'!$A$65:$A$66","'1098trans'!$A$67:$D$69","'1098trans'!$A$64:$F$69"}</definedName>
    <definedName name="washops" hidden="1">{"'1098trans'!$A$10:$F$64","'1098trans'!$A$65:$A$66","'1098trans'!$A$67:$D$69","'1098trans'!$A$64:$F$69"}</definedName>
    <definedName name="WBS_" hidden="1">'[7]General Inputs'!$M$35:$M$71</definedName>
    <definedName name="WBS_Description" hidden="1">[19]Lists!$F$3:$F$22</definedName>
    <definedName name="WBS_Nos" hidden="1">[19]Lists!$E$3:$E$22</definedName>
    <definedName name="WBSSUMM" localSheetId="0" hidden="1">{"BASE",#N/A,FALSE,"WBS SUMMARY";"OPTION",#N/A,FALSE,"WBS SUMMARY"}</definedName>
    <definedName name="WBSSUMM" hidden="1">{"BASE",#N/A,FALSE,"WBS SUMMARY";"OPTION",#N/A,FALSE,"WBS SUMMARY"}</definedName>
    <definedName name="wee" localSheetId="0" hidden="1">{"1999 Revenue",#N/A,FALSE,"IBS";"1999 Traffic",#N/A,FALSE,"IBS"}</definedName>
    <definedName name="wee" hidden="1">{"1999 Revenue",#N/A,FALSE,"IBS";"1999 Traffic",#N/A,FALSE,"IBS"}</definedName>
    <definedName name="weG" localSheetId="0" hidden="1">{#N/A,#N/A,FALSE,"WBS 1.06";#N/A,#N/A,FALSE,"WBS 1.14";#N/A,#N/A,FALSE,"WBS 1.17";#N/A,#N/A,FALSE,"WBS 1.18"}</definedName>
    <definedName name="weG" hidden="1">{#N/A,#N/A,FALSE,"WBS 1.06";#N/A,#N/A,FALSE,"WBS 1.14";#N/A,#N/A,FALSE,"WBS 1.17";#N/A,#N/A,FALSE,"WBS 1.18"}</definedName>
    <definedName name="WEGTG" localSheetId="0" hidden="1">{#N/A,#N/A,FALSE,"WBS 1.06";#N/A,#N/A,FALSE,"WBS 1.14";#N/A,#N/A,FALSE,"WBS 1.17";#N/A,#N/A,FALSE,"WBS 1.18"}</definedName>
    <definedName name="WEGTG" hidden="1">{#N/A,#N/A,FALSE,"WBS 1.06";#N/A,#N/A,FALSE,"WBS 1.14";#N/A,#N/A,FALSE,"WBS 1.17";#N/A,#N/A,FALSE,"WBS 1.18"}</definedName>
    <definedName name="wer"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0" hidden="1">{#N/A,#N/A,FALSE,"WBS 1.06";#N/A,#N/A,FALSE,"WBS 1.14";#N/A,#N/A,FALSE,"WBS 1.17";#N/A,#N/A,FALSE,"WBS 1.18"}</definedName>
    <definedName name="wer." hidden="1">{#N/A,#N/A,FALSE,"WBS 1.06";#N/A,#N/A,FALSE,"WBS 1.14";#N/A,#N/A,FALSE,"WBS 1.17";#N/A,#N/A,FALSE,"WBS 1.18"}</definedName>
    <definedName name="wert" localSheetId="0" hidden="1">{#N/A,#N/A,FALSE,"WBS 1.06";#N/A,#N/A,FALSE,"WBS 1.14";#N/A,#N/A,FALSE,"WBS 1.17";#N/A,#N/A,FALSE,"WBS 1.18"}</definedName>
    <definedName name="wert" hidden="1">{#N/A,#N/A,FALSE,"WBS 1.06";#N/A,#N/A,FALSE,"WBS 1.14";#N/A,#N/A,FALSE,"WBS 1.17";#N/A,#N/A,FALSE,"WBS 1.18"}</definedName>
    <definedName name="werty" localSheetId="0"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0"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w" localSheetId="0" hidden="1">{"1999 Revenue",#N/A,FALSE,"Voice ";"1999 Traffic",#N/A,FALSE,"Voice "}</definedName>
    <definedName name="wew" hidden="1">{"1999 Revenue",#N/A,FALSE,"Voice ";"1999 Traffic",#N/A,FALSE,"Voice "}</definedName>
    <definedName name="WGWEGT" localSheetId="0" hidden="1">{#N/A,#N/A,FALSE,"WBS 1.06";#N/A,#N/A,FALSE,"WBS 1.14";#N/A,#N/A,FALSE,"WBS 1.17";#N/A,#N/A,FALSE,"WBS 1.18"}</definedName>
    <definedName name="WGWEGT" hidden="1">{#N/A,#N/A,FALSE,"WBS 1.06";#N/A,#N/A,FALSE,"WBS 1.14";#N/A,#N/A,FALSE,"WBS 1.17";#N/A,#N/A,FALSE,"WBS 1.18"}</definedName>
    <definedName name="what" localSheetId="0" hidden="1">{#N/A,#N/A,FALSE,"Base Info";#N/A,#N/A,FALSE,"Base Info"}</definedName>
    <definedName name="what" hidden="1">{#N/A,#N/A,FALSE,"Base Info";#N/A,#N/A,FALSE,"Base Info"}</definedName>
    <definedName name="what_1" localSheetId="0" hidden="1">{#N/A,#N/A,FALSE,"Base Info";#N/A,#N/A,FALSE,"Base Info"}</definedName>
    <definedName name="what_1" hidden="1">{#N/A,#N/A,FALSE,"Base Info";#N/A,#N/A,FALSE,"Base Info"}</definedName>
    <definedName name="WORKCOMP" comment="List of states by employee class." localSheetId="0">'[5]RATES &amp; TABLES'!$DL$4:$DM$84</definedName>
    <definedName name="WORKCOMP">'[5]RATES &amp; TABLES'!$DL$4:$DM$84</definedName>
    <definedName name="WORKCOMPSTATE" localSheetId="0">'[5]RATES &amp; TABLES'!$DL$4:$DL$84</definedName>
    <definedName name="WORKCOMPSTATE">'[5]RATES &amp; TABLES'!$DL$4:$DL$84</definedName>
    <definedName name="Working_Hours_per_Day">#REF!</definedName>
    <definedName name="wqrg" localSheetId="0" hidden="1">{#N/A,#N/A,FALSE,"WBS 1.06";#N/A,#N/A,FALSE,"WBS 1.14";#N/A,#N/A,FALSE,"WBS 1.17";#N/A,#N/A,FALSE,"WBS 1.18"}</definedName>
    <definedName name="wqrg" hidden="1">{#N/A,#N/A,FALSE,"WBS 1.06";#N/A,#N/A,FALSE,"WBS 1.14";#N/A,#N/A,FALSE,"WBS 1.17";#N/A,#N/A,FALSE,"WBS 1.18"}</definedName>
    <definedName name="wrn.04fringe" localSheetId="0" hidden="1">{"OTHFRINGE",#N/A,FALSE,"TOTAL";"SVCFRINGE",#N/A,FALSE,"TOTAL";"TOTFRINGE",#N/A,FALSE,"TOTAL"}</definedName>
    <definedName name="wrn.04fringe" hidden="1">{"OTHFRINGE",#N/A,FALSE,"TOTAL";"SVCFRINGE",#N/A,FALSE,"TOTAL";"TOTFRINGE",#N/A,FALSE,"TOTAL"}</definedName>
    <definedName name="wrn.1999._.Ops._.Review." localSheetId="0" hidden="1">{"1999 Revenue",#N/A,FALSE,"Voice ";"1999 Traffic",#N/A,FALSE,"Voice "}</definedName>
    <definedName name="wrn.1999._.Ops._.Review." hidden="1">{"1999 Revenue",#N/A,FALSE,"Voice ";"1999 Traffic",#N/A,FALSE,"Voice "}</definedName>
    <definedName name="wrn.1999._.Ops._.Reviews." localSheetId="0" hidden="1">{"1999 Revenue",#N/A,FALSE,"IBS";"1999 Traffic",#N/A,FALSE,"IBS"}</definedName>
    <definedName name="wrn.1999._.Ops._.Reviews." hidden="1">{"1999 Revenue",#N/A,FALSE,"IBS";"1999 Traffic",#N/A,FALSE,"IBS"}</definedName>
    <definedName name="wrn.95FRINGE." localSheetId="0" hidden="1">{"OTHFRINGE",#N/A,FALSE,"TOTAL";"SVCFRINGE",#N/A,FALSE,"TOTAL";"TOTFRINGE",#N/A,FALSE,"TOTAL"}</definedName>
    <definedName name="wrn.95FRINGE." hidden="1">{"OTHFRINGE",#N/A,FALSE,"TOTAL";"SVCFRINGE",#N/A,FALSE,"TOTAL";"TOTFRINGE",#N/A,FALSE,"TOTAL"}</definedName>
    <definedName name="wrn.A002." localSheetId="0" hidden="1">{"A002",#N/A,FALSE,"CDRLA002 Expenditures";#N/A,#N/A,FALSE,"Projection"}</definedName>
    <definedName name="wrn.A002." hidden="1">{"A002",#N/A,FALSE,"CDRLA002 Expenditures";#N/A,#N/A,FALSE,"Projection"}</definedName>
    <definedName name="wrn.ACC_Cars_125K_Co1." localSheetId="0" hidden="1">{"ACC_Cars_125K_PA",#N/A,FALSE,"ACC Cars Co1 125K ";"ACC_Cars_125K_Prop",#N/A,FALSE,"ACC Cars Co1 125K "}</definedName>
    <definedName name="wrn.ACC_Cars_125K_Co1." hidden="1">{"ACC_Cars_125K_PA",#N/A,FALSE,"ACC Cars Co1 125K ";"ACC_Cars_125K_Prop",#N/A,FALSE,"ACC Cars Co1 125K "}</definedName>
    <definedName name="wrn.ACC_Cars_125K_Co1._1" localSheetId="0" hidden="1">{"ACC_Cars_125K_PA",#N/A,FALSE,"ACC Cars Co1 125K ";"ACC_Cars_125K_Prop",#N/A,FALSE,"ACC Cars Co1 125K "}</definedName>
    <definedName name="wrn.ACC_Cars_125K_Co1._1" hidden="1">{"ACC_Cars_125K_PA",#N/A,FALSE,"ACC Cars Co1 125K ";"ACC_Cars_125K_Prop",#N/A,FALSE,"ACC Cars Co1 125K "}</definedName>
    <definedName name="wrn.ACC_Cars_400K_Co1." localSheetId="0" hidden="1">{"ACC_Cars_400K_PA",#N/A,FALSE,"ACC Cars Co1 400K";"ACC_Cars_400K_Prop",#N/A,FALSE,"ACC Cars Co1 400K"}</definedName>
    <definedName name="wrn.ACC_Cars_400K_Co1." hidden="1">{"ACC_Cars_400K_PA",#N/A,FALSE,"ACC Cars Co1 400K";"ACC_Cars_400K_Prop",#N/A,FALSE,"ACC Cars Co1 400K"}</definedName>
    <definedName name="wrn.ACC_Cars_400K_Co1._1" localSheetId="0" hidden="1">{"ACC_Cars_400K_PA",#N/A,FALSE,"ACC Cars Co1 400K";"ACC_Cars_400K_Prop",#N/A,FALSE,"ACC Cars Co1 400K"}</definedName>
    <definedName name="wrn.ACC_Cars_400K_Co1._1" hidden="1">{"ACC_Cars_400K_PA",#N/A,FALSE,"ACC Cars Co1 400K";"ACC_Cars_400K_Prop",#N/A,FALSE,"ACC Cars Co1 400K"}</definedName>
    <definedName name="wrn.ACC_Cars_Travel_125K." localSheetId="0" hidden="1">{"PAGE1",#N/A,FALSE,"ACC_CARS Travel 125K";"PAGE2",#N/A,FALSE,"ACC_CARS Travel 125K"}</definedName>
    <definedName name="wrn.ACC_Cars_Travel_125K." hidden="1">{"PAGE1",#N/A,FALSE,"ACC_CARS Travel 125K";"PAGE2",#N/A,FALSE,"ACC_CARS Travel 125K"}</definedName>
    <definedName name="wrn.ACC_Cars_Travel_125K._1" localSheetId="0" hidden="1">{"PAGE1",#N/A,FALSE,"ACC_CARS Travel 125K";"PAGE2",#N/A,FALSE,"ACC_CARS Travel 125K"}</definedName>
    <definedName name="wrn.ACC_Cars_Travel_125K._1" hidden="1">{"PAGE1",#N/A,FALSE,"ACC_CARS Travel 125K";"PAGE2",#N/A,FALSE,"ACC_CARS Travel 125K"}</definedName>
    <definedName name="wrn.ACC_CARS_Travel_400K." localSheetId="0" hidden="1">{"Page1",#N/A,FALSE,"ACC_CARS Travel 400K";"Page2",#N/A,FALSE,"ACC_CARS Travel 400K"}</definedName>
    <definedName name="wrn.ACC_CARS_Travel_400K." hidden="1">{"Page1",#N/A,FALSE,"ACC_CARS Travel 400K";"Page2",#N/A,FALSE,"ACC_CARS Travel 400K"}</definedName>
    <definedName name="wrn.ACC_CARS_Travel_400K._1" localSheetId="0" hidden="1">{"Page1",#N/A,FALSE,"ACC_CARS Travel 400K";"Page2",#N/A,FALSE,"ACC_CARS Travel 400K"}</definedName>
    <definedName name="wrn.ACC_CARS_Travel_400K._1" hidden="1">{"Page1",#N/A,FALSE,"ACC_CARS Travel 400K";"Page2",#N/A,FALSE,"ACC_CARS Travel 400K"}</definedName>
    <definedName name="wrn.AER._.Report." localSheetId="0" hidden="1">{#N/A,#N/A,FALSE,"Report";#N/A,#N/A,FALSE,"EAC";#N/A,#N/A,FALSE,"ETC";#N/A,#N/A,FALSE,"Dollar_chart";#N/A,#N/A,FALSE,"Hours_chart";#N/A,#N/A,FALSE,"Plan vs Actuals Dollars";#N/A,#N/A,FALSE,"Plan vs Actuals Hours"}</definedName>
    <definedName name="wrn.AER._.Report." hidden="1">{#N/A,#N/A,FALSE,"Report";#N/A,#N/A,FALSE,"EAC";#N/A,#N/A,FALSE,"ETC";#N/A,#N/A,FALSE,"Dollar_chart";#N/A,#N/A,FALSE,"Hours_chart";#N/A,#N/A,FALSE,"Plan vs Actuals Dollars";#N/A,#N/A,FALSE,"Plan vs Actuals Hours"}</definedName>
    <definedName name="wrn.AFPONLY." localSheetId="0"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LL." localSheetId="0"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_.Forms." localSheetId="0" hidden="1">{"Cover Page",#N/A,FALSE,"NIST-1263 Cover Page";"Cover Page Back",#N/A,FALSE,"NIST-1263 Cover Page";#N/A,#N/A,FALSE,"NIST-1263 Page 3";#N/A,#N/A,FALSE,"NIST-1263 Page 4"}</definedName>
    <definedName name="wrn.All._.Forms." hidden="1">{"Cover Page",#N/A,FALSE,"NIST-1263 Cover Page";"Cover Page Back",#N/A,FALSE,"NIST-1263 Cover Page";#N/A,#N/A,FALSE,"NIST-1263 Page 3";#N/A,#N/A,FALSE,"NIST-1263 Page 4"}</definedName>
    <definedName name="wrn.ALL._.OSP." localSheetId="0" hidden="1">{#N/A,#N/A,FALSE,"ORDERS A$";#N/A,#N/A,FALSE,"ORDERS US$";#N/A,#N/A,FALSE,"SALES A$";#N/A,#N/A,FALSE,"SALES US$";#N/A,#N/A,FALSE,"PROFIT A$";#N/A,#N/A,FALSE,"PROFIT US$"}</definedName>
    <definedName name="wrn.ALL._.OSP." hidden="1">{#N/A,#N/A,FALSE,"ORDERS A$";#N/A,#N/A,FALSE,"ORDERS US$";#N/A,#N/A,FALSE,"SALES A$";#N/A,#N/A,FALSE,"SALES US$";#N/A,#N/A,FALSE,"PROFIT A$";#N/A,#N/A,FALSE,"PROFIT US$"}</definedName>
    <definedName name="wrn.All._.Reports." localSheetId="0" hidden="1">{"Monthly",#N/A,FALSE,"99 AOP Mthly";"Quarterly",#N/A,FALSE,"99 AOP Mthly";#N/A,#N/A,FALSE,"99 AOP VS. 97_98"}</definedName>
    <definedName name="wrn.All._.Reports." hidden="1">{"Monthly",#N/A,FALSE,"99 AOP Mthly";"Quarterly",#N/A,FALSE,"99 AOP Mthly";#N/A,#N/A,FALSE,"99 AOP VS. 97_98"}</definedName>
    <definedName name="wrn.ALL._.Rpts" localSheetId="0" hidden="1">{#N/A,#N/A,FALSE,"Annual Rpt";#N/A,#N/A,FALSE,"Summary Report";#N/A,#N/A,FALSE,"Detail Report";#N/A,#N/A,FALSE,"Indirect Labor";#N/A,#N/A,FALSE,"DL Base";#N/A,#N/A,FALSE,"Functional Inputs"}</definedName>
    <definedName name="wrn.ALL._.Rpts" hidden="1">{#N/A,#N/A,FALSE,"Annual Rpt";#N/A,#N/A,FALSE,"Summary Report";#N/A,#N/A,FALSE,"Detail Report";#N/A,#N/A,FALSE,"Indirect Labor";#N/A,#N/A,FALSE,"DL Base";#N/A,#N/A,FALSE,"Functional Inputs"}</definedName>
    <definedName name="wrn.ALL._.US." localSheetId="0" hidden="1">{#N/A,#N/A,FALSE,"ORDERS US$";#N/A,#N/A,FALSE,"SALES US$";#N/A,#N/A,FALSE,"PROFIT US$";#N/A,#N/A,FALSE,"IS US$";#N/A,#N/A,FALSE,"BAL NAE US$";#N/A,#N/A,FALSE,"FDS 555 NAE US$";#N/A,#N/A,FALSE,"FDS 569 NAE US$";#N/A,#N/A,FALSE,"MISC US$"}</definedName>
    <definedName name="wrn.ALL._.US." hidden="1">{#N/A,#N/A,FALSE,"ORDERS US$";#N/A,#N/A,FALSE,"SALES US$";#N/A,#N/A,FALSE,"PROFIT US$";#N/A,#N/A,FALSE,"IS US$";#N/A,#N/A,FALSE,"BAL NAE US$";#N/A,#N/A,FALSE,"FDS 555 NAE US$";#N/A,#N/A,FALSE,"FDS 569 NAE US$";#N/A,#N/A,FALSE,"MISC US$"}</definedName>
    <definedName name="wrn.ANGIE." localSheetId="0" hidden="1">{#N/A,#N/A,FALSE,"TOTAL"}</definedName>
    <definedName name="wrn.ANGIE." hidden="1">{#N/A,#N/A,FALSE,"TOTAL"}</definedName>
    <definedName name="wrn.Annual._.AOP." localSheetId="0" hidden="1">{#N/A,#N/A,FALSE,"99 AOP VS. 97_98"}</definedName>
    <definedName name="wrn.Annual._.AOP." hidden="1">{#N/A,#N/A,FALSE,"99 AOP VS. 97_98"}</definedName>
    <definedName name="wrn.ANNUAL._.REPORT." localSheetId="0" hidden="1">{#N/A,#N/A,FALSE,"Annual Rpt"}</definedName>
    <definedName name="wrn.ANNUAL._.REPORT." hidden="1">{#N/A,#N/A,FALSE,"Annual Rpt"}</definedName>
    <definedName name="wrn.ASTD._.SPO." localSheetId="0" hidden="1">{#N/A,#N/A,FALSE,"ASTDSPO_Profit Report";#N/A,#N/A,FALSE,"ETC";#N/A,#N/A,FALSE,"ASTDSPO_Report"}</definedName>
    <definedName name="wrn.ASTD._.SPO." hidden="1">{#N/A,#N/A,FALSE,"ASTDSPO_Profit Report";#N/A,#N/A,FALSE,"ETC";#N/A,#N/A,FALSE,"ASTDSPO_Report"}</definedName>
    <definedName name="wrn.Backup." localSheetId="0" hidden="1">{#N/A,#N/A,FALSE,"Labor Dump";#N/A,#N/A,FALSE,"CO 1 Yrs";#N/A,#N/A,FALSE,"INPUT"}</definedName>
    <definedName name="wrn.Backup." hidden="1">{#N/A,#N/A,FALSE,"Labor Dump";#N/A,#N/A,FALSE,"CO 1 Yrs";#N/A,#N/A,FALSE,"INPUT"}</definedName>
    <definedName name="wrn.Backup._1" localSheetId="0" hidden="1">{#N/A,#N/A,FALSE,"Labor Dump";#N/A,#N/A,FALSE,"CO 1 Yrs";#N/A,#N/A,FALSE,"INPUT"}</definedName>
    <definedName name="wrn.Backup._1" hidden="1">{#N/A,#N/A,FALSE,"Labor Dump";#N/A,#N/A,FALSE,"CO 1 Yrs";#N/A,#N/A,FALSE,"INPUT"}</definedName>
    <definedName name="wrn.Base_Middle_Drivers." localSheetId="0" hidden="1">{#N/A,#N/A,TRUE,"DCF Summary (2)";#N/A,#N/A,TRUE,"DCF Summary";#N/A,"Middle Case Drivers",TRUE,"DCF"}</definedName>
    <definedName name="wrn.Base_Middle_Drivers." hidden="1">{#N/A,#N/A,TRUE,"DCF Summary (2)";#N/A,#N/A,TRUE,"DCF Summary";#N/A,"Middle Case Drivers",TRUE,"DCF"}</definedName>
    <definedName name="wrn.Board."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_.Summary."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TH." localSheetId="0" hidden="1">{"DOLS",#N/A,FALSE,"G&amp;A_TOT";"PDS",#N/A,FALSE,"G&amp;A_TOT"}</definedName>
    <definedName name="wrn.BOTH." hidden="1">{"DOLS",#N/A,FALSE,"G&amp;A_TOT";"PDS",#N/A,FALSE,"G&amp;A_TOT"}</definedName>
    <definedName name="wrn.BSheet." localSheetId="0" hidden="1">{"BSheet",#N/A,FALSE,"95ACT"}</definedName>
    <definedName name="wrn.BSheet." hidden="1">{"BSheet",#N/A,FALSE,"95ACT"}</definedName>
    <definedName name="wrn.BSVariance." localSheetId="0" hidden="1">{"BSVariance",#N/A,FALSE,"95ACT"}</definedName>
    <definedName name="wrn.BSVariance." hidden="1">{"BSVariance",#N/A,FALSE,"95ACT"}</definedName>
    <definedName name="wrn.BTables." localSheetId="0" hidden="1">{#N/A,#N/A,FALSE,"Proposal"}</definedName>
    <definedName name="wrn.BTables." hidden="1">{#N/A,#N/A,FALSE,"Proposal"}</definedName>
    <definedName name="wrn.BTables._1" localSheetId="0" hidden="1">{#N/A,#N/A,FALSE,"Proposal"}</definedName>
    <definedName name="wrn.BTables._1" hidden="1">{#N/A,#N/A,FALSE,"Proposal"}</definedName>
    <definedName name="wrn.BURDEN_ALLOCATION." localSheetId="0" hidden="1">{"PAGE1",#N/A,FALSE,"allocation base";"PAGE2",#N/A,FALSE,"burden";"PAGE3",#N/A,FALSE,"burden";"PAGE4",#N/A,FALSE,"labor rates";"PAGE5",#N/A,FALSE,"labor rates";"PAGE6",#N/A,FALSE,"labor rates"}</definedName>
    <definedName name="wrn.BURDEN_ALLOCATION." hidden="1">{"PAGE1",#N/A,FALSE,"allocation base";"PAGE2",#N/A,FALSE,"burden";"PAGE3",#N/A,FALSE,"burden";"PAGE4",#N/A,FALSE,"labor rates";"PAGE5",#N/A,FALSE,"labor rates";"PAGE6",#N/A,FALSE,"labor rates"}</definedName>
    <definedName name="wrn.burden_allocation1" localSheetId="0" hidden="1">{"PAGE1",#N/A,FALSE,"allocation base";"PAGE2",#N/A,FALSE,"burden";"PAGE3",#N/A,FALSE,"burden";"PAGE4",#N/A,FALSE,"labor rates";"PAGE5",#N/A,FALSE,"labor rates";"PAGE6",#N/A,FALSE,"labor rates"}</definedName>
    <definedName name="wrn.burden_allocation1" hidden="1">{"PAGE1",#N/A,FALSE,"allocation base";"PAGE2",#N/A,FALSE,"burden";"PAGE3",#N/A,FALSE,"burden";"PAGE4",#N/A,FALSE,"labor rates";"PAGE5",#N/A,FALSE,"labor rates";"PAGE6",#N/A,FALSE,"labor rates"}</definedName>
    <definedName name="wrn.BY._.QTR." localSheetId="0" hidden="1">{"BY QTR",#N/A,FALSE,"ORDERS";"BY QTR",#N/A,FALSE,"SALES";"BY QTR",#N/A,FALSE,"PROFIT"}</definedName>
    <definedName name="wrn.BY._.QTR." hidden="1">{"BY QTR",#N/A,FALSE,"ORDERS";"BY QTR",#N/A,FALSE,"SALES";"BY QTR",#N/A,FALSE,"PROFIT"}</definedName>
    <definedName name="wrn.CAL._.YR." localSheetId="0" hidden="1">{"CAL YR",#N/A,FALSE,"ORDERS";"CAL YR",#N/A,FALSE,"SALES";"CAL YR",#N/A,FALSE,"PROFIT"}</definedName>
    <definedName name="wrn.CAL._.YR." hidden="1">{"CAL YR",#N/A,FALSE,"ORDERS";"CAL YR",#N/A,FALSE,"SALES";"CAL YR",#N/A,FALSE,"PROFIT"}</definedName>
    <definedName name="wrn.CCB_JDISS." localSheetId="0" hidden="1">{"Pre_CCB",#N/A,FALSE,"Pre CCB Pkg ";"CCB_Memb_Notbk",#N/A,FALSE,"CCB_Memb_Notebk";"CCB_Handouts",#N/A,FALSE,"Handouts";"JDISS_Brochure",#N/A,FALSE,"JDISS_Brochure";"JDISS_Minutes",#N/A,FALSE,"JDISS_Minutes";"Total_JDISS",#N/A,FALSE,"Total JDISS"}</definedName>
    <definedName name="wrn.CCB_JDISS." hidden="1">{"Pre_CCB",#N/A,FALSE,"Pre CCB Pkg ";"CCB_Memb_Notbk",#N/A,FALSE,"CCB_Memb_Notebk";"CCB_Handouts",#N/A,FALSE,"Handouts";"JDISS_Brochure",#N/A,FALSE,"JDISS_Brochure";"JDISS_Minutes",#N/A,FALSE,"JDISS_Minutes";"Total_JDISS",#N/A,FALSE,"Total JDISS"}</definedName>
    <definedName name="wrn.CCB_JDISS._1" localSheetId="0" hidden="1">{"Pre_CCB",#N/A,FALSE,"Pre CCB Pkg ";"CCB_Memb_Notbk",#N/A,FALSE,"CCB_Memb_Notebk";"CCB_Handouts",#N/A,FALSE,"Handouts";"JDISS_Brochure",#N/A,FALSE,"JDISS_Brochure";"JDISS_Minutes",#N/A,FALSE,"JDISS_Minutes";"Total_JDISS",#N/A,FALSE,"Total JDISS"}</definedName>
    <definedName name="wrn.CCB_JDISS._1" hidden="1">{"Pre_CCB",#N/A,FALSE,"Pre CCB Pkg ";"CCB_Memb_Notbk",#N/A,FALSE,"CCB_Memb_Notebk";"CCB_Handouts",#N/A,FALSE,"Handouts";"JDISS_Brochure",#N/A,FALSE,"JDISS_Brochure";"JDISS_Minutes",#N/A,FALSE,"JDISS_Minutes";"Total_JDISS",#N/A,FALSE,"Total JDISS"}</definedName>
    <definedName name="wrn.ccss._.cost._.detail." localSheetId="0"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volume." localSheetId="0"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hidden="1">{#N/A,#N/A,TRUE,"Table 15-2";#N/A,#N/A,TRUE,"Sched B Data";#N/A,#N/A,TRUE,"DATA Direct Rates";#N/A,#N/A,TRUE,"DATA hours buildup";#N/A,#N/A,TRUE,"DATA Indirect Rates FPRA";#N/A,#N/A,TRUE,"SCA_PROJ fringe";#N/A,#N/A,TRUE,"ODC allocation";#N/A,#N/A,TRUE,"SUPPORTING DATA Travel";#N/A,#N/A,TRUE,"SUPPORTING DATA Calibration"}</definedName>
    <definedName name="wrn.CE._.BY._.WBS." localSheetId="0" hidden="1">{"BASE",#N/A,FALSE,"CE BY WBS";"OPTION",#N/A,FALSE,"CE BY WBS"}</definedName>
    <definedName name="wrn.CE._.BY._.WBS." hidden="1">{"BASE",#N/A,FALSE,"CE BY WBS";"OPTION",#N/A,FALSE,"CE BY WBS"}</definedName>
    <definedName name="wrn.Commercial._.Invoice." localSheetId="0" hidden="1">{"Commercial Invoice",#N/A,FALSE,"CDRLA002 Expenditures"}</definedName>
    <definedName name="wrn.Commercial._.Invoice." hidden="1">{"Commercial Invoice",#N/A,FALSE,"CDRLA002 Expenditures"}</definedName>
    <definedName name="wrn.commercial._.profit." localSheetId="0" hidden="1">{"commercial profit",#N/A,FALSE,"GA97"}</definedName>
    <definedName name="wrn.commercial._.profit." hidden="1">{"commercial profit",#N/A,FALSE,"GA97"}</definedName>
    <definedName name="wrn.commercial._.profit._1" localSheetId="0" hidden="1">{"commercial profit",#N/A,FALSE,"GA97"}</definedName>
    <definedName name="wrn.commercial._.profit._1" hidden="1">{"commercial profit",#N/A,FALSE,"GA97"}</definedName>
    <definedName name="wrn.commercial._.rate._.calculation." localSheetId="0" hidden="1">{"commercial rate calculation",#N/A,FALSE,"GA97"}</definedName>
    <definedName name="wrn.commercial._.rate._.calculation." hidden="1">{"commercial rate calculation",#N/A,FALSE,"GA97"}</definedName>
    <definedName name="wrn.commercial._.rate._.calculation._1" localSheetId="0" hidden="1">{"commercial rate calculation",#N/A,FALSE,"GA97"}</definedName>
    <definedName name="wrn.commercial._.rate._.calculation._1" hidden="1">{"commercial rate calculation",#N/A,FALSE,"GA97"}</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et._.Stmts." localSheetId="0"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NTRACTS." localSheetId="0" hidden="1">{"CONTRACTS",#N/A,FALSE,"8401detail"}</definedName>
    <definedName name="wrn.CONTRACTS." hidden="1">{"CONTRACTS",#N/A,FALSE,"8401detail"}</definedName>
    <definedName name="wrn.CONTRACTS._1" localSheetId="0" hidden="1">{"CONTRACTS",#N/A,FALSE,"8401detail"}</definedName>
    <definedName name="wrn.CONTRACTS._1" hidden="1">{"CONTRACTS",#N/A,FALSE,"8401detail"}</definedName>
    <definedName name="wrn.cost._.of._.money." localSheetId="0" hidden="1">{#N/A,#N/A,FALSE,"com1994";#N/A,#N/A,FALSE,"com1995";#N/A,#N/A,FALSE,"com1996"}</definedName>
    <definedName name="wrn.cost._.of._.money." hidden="1">{#N/A,#N/A,FALSE,"com1994";#N/A,#N/A,FALSE,"com1995";#N/A,#N/A,FALSE,"com1996"}</definedName>
    <definedName name="wrn.Cost._.Summary." localSheetId="0" hidden="1">{"Cost Summary",#N/A,FALSE,"B";"Cost Detail 1",#N/A,FALSE,"C";"Cost Detail 2",#N/A,FALSE,"C"}</definedName>
    <definedName name="wrn.Cost._.Summary." hidden="1">{"Cost Summary",#N/A,FALSE,"B";"Cost Detail 1",#N/A,FALSE,"C";"Cost Detail 2",#N/A,FALSE,"C"}</definedName>
    <definedName name="wrn.COST_SHEETS." localSheetId="0" hidden="1">{#N/A,#N/A,FALSE,"WBS 1.06";#N/A,#N/A,FALSE,"WBS 1.14";#N/A,#N/A,FALSE,"WBS 1.17";#N/A,#N/A,FALSE,"WBS 1.18"}</definedName>
    <definedName name="wrn.COST_SHEETS." hidden="1">{#N/A,#N/A,FALSE,"WBS 1.06";#N/A,#N/A,FALSE,"WBS 1.14";#N/A,#N/A,FALSE,"WBS 1.17";#N/A,#N/A,FALSE,"WBS 1.18"}</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ostprop." localSheetId="0" hidden="1">{"laborr",#N/A,FALSE,"Sheet1";"sumr",#N/A,FALSE,"Sheet1";"odcr",#N/A,FALSE,"Sheet1";"trip1r",#N/A,FALSE,"Sheet1";"trip2r",#N/A,FALSE,"Sheet1";"trip3r",#N/A,FALSE,"Sheet1";"trip4r",#N/A,FALSE,"Sheet1"}</definedName>
    <definedName name="wrn.costprop." hidden="1">{"laborr",#N/A,FALSE,"Sheet1";"sumr",#N/A,FALSE,"Sheet1";"odcr",#N/A,FALSE,"Sheet1";"trip1r",#N/A,FALSE,"Sheet1";"trip2r",#N/A,FALSE,"Sheet1";"trip3r",#N/A,FALSE,"Sheet1";"trip4r",#N/A,FALSE,"Sheet1"}</definedName>
    <definedName name="wrn.costprop._1" localSheetId="0" hidden="1">{"laborr",#N/A,FALSE,"Sheet1";"sumr",#N/A,FALSE,"Sheet1";"odcr",#N/A,FALSE,"Sheet1";"trip1r",#N/A,FALSE,"Sheet1";"trip2r",#N/A,FALSE,"Sheet1";"trip3r",#N/A,FALSE,"Sheet1";"trip4r",#N/A,FALSE,"Sheet1"}</definedName>
    <definedName name="wrn.costprop._1" hidden="1">{"laborr",#N/A,FALSE,"Sheet1";"sumr",#N/A,FALSE,"Sheet1";"odcr",#N/A,FALSE,"Sheet1";"trip1r",#N/A,FALSE,"Sheet1";"trip2r",#N/A,FALSE,"Sheet1";"trip3r",#N/A,FALSE,"Sheet1";"trip4r",#N/A,FALSE,"Sheet1"}</definedName>
    <definedName name="wrn.costprt0." localSheetId="0" hidden="1">{"cptwor",#N/A,FALSE,"CP";"cpthreer",#N/A,FALSE,"CP";"sumr",#N/A,FALSE,"CP";"odcr",#N/A,FALSE,"CP"}</definedName>
    <definedName name="wrn.costprt0." hidden="1">{"cptwor",#N/A,FALSE,"CP";"cpthreer",#N/A,FALSE,"CP";"sumr",#N/A,FALSE,"CP";"odcr",#N/A,FALSE,"CP"}</definedName>
    <definedName name="wrn.costprt0._1" localSheetId="0" hidden="1">{"cptwor",#N/A,FALSE,"CP";"cpthreer",#N/A,FALSE,"CP";"sumr",#N/A,FALSE,"CP";"odcr",#N/A,FALSE,"CP"}</definedName>
    <definedName name="wrn.costprt0._1" hidden="1">{"cptwor",#N/A,FALSE,"CP";"cpthreer",#N/A,FALSE,"CP";"sumr",#N/A,FALSE,"CP";"odcr",#N/A,FALSE,"CP"}</definedName>
    <definedName name="wrn.costprt1." localSheetId="0" hidden="1">{"laborr",#N/A,FALSE,"Sheet1";"sumr",#N/A,FALSE,"Sheet1";"odcr",#N/A,FALSE,"Sheet1";"trip1r",#N/A,FALSE,"Sheet1"}</definedName>
    <definedName name="wrn.costprt1." hidden="1">{"laborr",#N/A,FALSE,"Sheet1";"sumr",#N/A,FALSE,"Sheet1";"odcr",#N/A,FALSE,"Sheet1";"trip1r",#N/A,FALSE,"Sheet1"}</definedName>
    <definedName name="wrn.costprt1._1" localSheetId="0" hidden="1">{"laborr",#N/A,FALSE,"Sheet1";"sumr",#N/A,FALSE,"Sheet1";"odcr",#N/A,FALSE,"Sheet1";"trip1r",#N/A,FALSE,"Sheet1"}</definedName>
    <definedName name="wrn.costprt1._1" hidden="1">{"laborr",#N/A,FALSE,"Sheet1";"sumr",#N/A,FALSE,"Sheet1";"odcr",#N/A,FALSE,"Sheet1";"trip1r",#N/A,FALSE,"Sheet1"}</definedName>
    <definedName name="wrn.costprt2." localSheetId="0" hidden="1">{"laborr",#N/A,FALSE,"costprop";"sumr",#N/A,FALSE,"costprop";"odcr",#N/A,FALSE,"costprop";"trip1r",#N/A,FALSE,"costprop";"trip2r",#N/A,FALSE,"costprop"}</definedName>
    <definedName name="wrn.costprt2." hidden="1">{"laborr",#N/A,FALSE,"costprop";"sumr",#N/A,FALSE,"costprop";"odcr",#N/A,FALSE,"costprop";"trip1r",#N/A,FALSE,"costprop";"trip2r",#N/A,FALSE,"costprop"}</definedName>
    <definedName name="wrn.costprt2._1" localSheetId="0" hidden="1">{"laborr",#N/A,FALSE,"costprop";"sumr",#N/A,FALSE,"costprop";"odcr",#N/A,FALSE,"costprop";"trip1r",#N/A,FALSE,"costprop";"trip2r",#N/A,FALSE,"costprop"}</definedName>
    <definedName name="wrn.costprt2._1" hidden="1">{"laborr",#N/A,FALSE,"costprop";"sumr",#N/A,FALSE,"costprop";"odcr",#N/A,FALSE,"costprop";"trip1r",#N/A,FALSE,"costprop";"trip2r",#N/A,FALSE,"costprop"}</definedName>
    <definedName name="wrn.costprt3." localSheetId="0" hidden="1">{"laborr",#N/A,FALSE,"costprop";"sumr",#N/A,FALSE,"costprop";"odcr",#N/A,FALSE,"costprop";"trip1r",#N/A,FALSE,"costprop";"trip2r",#N/A,FALSE,"costprop";"trip3r",#N/A,FALSE,"costprop"}</definedName>
    <definedName name="wrn.costprt3." hidden="1">{"laborr",#N/A,FALSE,"costprop";"sumr",#N/A,FALSE,"costprop";"odcr",#N/A,FALSE,"costprop";"trip1r",#N/A,FALSE,"costprop";"trip2r",#N/A,FALSE,"costprop";"trip3r",#N/A,FALSE,"costprop"}</definedName>
    <definedName name="wrn.costprt3._1" localSheetId="0" hidden="1">{"laborr",#N/A,FALSE,"costprop";"sumr",#N/A,FALSE,"costprop";"odcr",#N/A,FALSE,"costprop";"trip1r",#N/A,FALSE,"costprop";"trip2r",#N/A,FALSE,"costprop";"trip3r",#N/A,FALSE,"costprop"}</definedName>
    <definedName name="wrn.costprt3._1" hidden="1">{"laborr",#N/A,FALSE,"costprop";"sumr",#N/A,FALSE,"costprop";"odcr",#N/A,FALSE,"costprop";"trip1r",#N/A,FALSE,"costprop";"trip2r",#N/A,FALSE,"costprop";"trip3r",#N/A,FALSE,"costprop"}</definedName>
    <definedName name="wrn.cp" localSheetId="0"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CWS._.Operating._.Results." localSheetId="0" hidden="1">{"Start",#N/A,FALSE,"Menu";"P&amp;L",#N/A,FALSE,"Monthly P&amp;L";"Rev",#N/A,FALSE,"Revenue Summary";"budbar",#N/A,FALSE,"Budget-Variance";"priorvar",#N/A,FALSE,"Prior Month Var";"DetailRev",#N/A,FALSE,"Detail  Budget Var (Revenue)";"Detailom",#N/A,FALSE,"Detail Budget Var (O&amp;M)"}</definedName>
    <definedName name="wrn.CWS._.Operating._.Results." hidden="1">{"Start",#N/A,FALSE,"Menu";"P&amp;L",#N/A,FALSE,"Monthly P&amp;L";"Rev",#N/A,FALSE,"Revenue Summary";"budbar",#N/A,FALSE,"Budget-Variance";"priorvar",#N/A,FALSE,"Prior Month Var";"DetailRev",#N/A,FALSE,"Detail  Budget Var (Revenue)";"Detailom",#N/A,FALSE,"Detail Budget Var (O&amp;M)"}</definedName>
    <definedName name="wrn.DETAIL._.REPORT." localSheetId="0" hidden="1">{#N/A,#N/A,FALSE,"Detail Report"}</definedName>
    <definedName name="wrn.DETAIL._.REPORT." hidden="1">{#N/A,#N/A,FALSE,"Detail Report"}</definedName>
    <definedName name="wrn.divisional._.overhead._.entry." localSheetId="0" hidden="1">{#N/A,#N/A,FALSE,"GA97"}</definedName>
    <definedName name="wrn.divisional._.overhead._.entry." hidden="1">{#N/A,#N/A,FALSE,"GA97"}</definedName>
    <definedName name="wrn.divisional._.overhead._.entry._1" localSheetId="0" hidden="1">{#N/A,#N/A,FALSE,"GA97"}</definedName>
    <definedName name="wrn.divisional._.overhead._.entry._1" hidden="1">{#N/A,#N/A,FALSE,"GA97"}</definedName>
    <definedName name="wrn.DL._.BASE." localSheetId="0" hidden="1">{#N/A,#N/A,FALSE,"DL Base"}</definedName>
    <definedName name="wrn.DL._.BASE." hidden="1">{#N/A,#N/A,FALSE,"DL Base"}</definedName>
    <definedName name="wrn.DO1." localSheetId="0" hidden="1">{#N/A,#N/A,TRUE,"dd 1861";#N/A,#N/A,TRUE,"1411SPJ FP";#N/A,#N/A,TRUE,"Weighted Guidelines";#N/A,#N/A,TRUE,"DO 1 FFP Price";#N/A,#N/A,TRUE,"Travel";#N/A,#N/A,TRUE,"Profit Analysis 100%";#N/A,#N/A,TRUE,"Profit Analysis 95%"}</definedName>
    <definedName name="wrn.DO1." hidden="1">{#N/A,#N/A,TRUE,"dd 1861";#N/A,#N/A,TRUE,"1411SPJ FP";#N/A,#N/A,TRUE,"Weighted Guidelines";#N/A,#N/A,TRUE,"DO 1 FFP Price";#N/A,#N/A,TRUE,"Travel";#N/A,#N/A,TRUE,"Profit Analysis 100%";#N/A,#N/A,TRUE,"Profit Analysis 95%"}</definedName>
    <definedName name="wrn.Dolan_Co1." localSheetId="0" hidden="1">{"DolanCo1_PA",#N/A,FALSE,"Tina Dolan";"DolanCo1_Prop",#N/A,FALSE,"Tina Dolan"}</definedName>
    <definedName name="wrn.Dolan_Co1." hidden="1">{"DolanCo1_PA",#N/A,FALSE,"Tina Dolan";"DolanCo1_Prop",#N/A,FALSE,"Tina Dolan"}</definedName>
    <definedName name="wrn.Dolan_Co1._1" localSheetId="0" hidden="1">{"DolanCo1_PA",#N/A,FALSE,"Tina Dolan";"DolanCo1_Prop",#N/A,FALSE,"Tina Dolan"}</definedName>
    <definedName name="wrn.Dolan_Co1._1" hidden="1">{"DolanCo1_PA",#N/A,FALSE,"Tina Dolan";"DolanCo1_Prop",#N/A,FALSE,"Tina Dolan"}</definedName>
    <definedName name="wrn.DOLS." localSheetId="0" hidden="1">{"PDS",#N/A,FALSE,"G&amp;A_TOT"}</definedName>
    <definedName name="wrn.DOLS." hidden="1">{"PDS",#N/A,FALSE,"G&amp;A_TOT"}</definedName>
    <definedName name="wrn.DRUM._.COST._.VOLUME." localSheetId="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EAC._.Reports." localSheetId="0" hidden="1">{#N/A,#N/A,FALSE,"SUMMARY";#N/A,#N/A,FALSE,"EAC96PLA";#N/A,#N/A,FALSE,"EAC96EXT";#N/A,#N/A,FALSE,"FINSUM";#N/A,#N/A,FALSE,"1996PL";#N/A,#N/A,FALSE,"RISKOP3rd";#N/A,#N/A,FALSE,"RISKTOTAL";#N/A,#N/A,FALSE,"STAFFING";#N/A,#N/A,FALSE,"Balsht"}</definedName>
    <definedName name="wrn.EAC._.Reports." hidden="1">{#N/A,#N/A,FALSE,"SUMMARY";#N/A,#N/A,FALSE,"EAC96PLA";#N/A,#N/A,FALSE,"EAC96EXT";#N/A,#N/A,FALSE,"FINSUM";#N/A,#N/A,FALSE,"1996PL";#N/A,#N/A,FALSE,"RISKOP3rd";#N/A,#N/A,FALSE,"RISKTOTAL";#N/A,#N/A,FALSE,"STAFFING";#N/A,#N/A,FALSE,"Balsht"}</definedName>
    <definedName name="wrn.Ebron_350K." localSheetId="0" hidden="1">{"Prop_350K",#N/A,FALSE,"Ebron-350K";"PA_350K",#N/A,FALSE,"Ebron-350K";"Ebron350KTrvl",#N/A,FALSE,"Ebrons Travel 350k"}</definedName>
    <definedName name="wrn.Ebron_350K." hidden="1">{"Prop_350K",#N/A,FALSE,"Ebron-350K";"PA_350K",#N/A,FALSE,"Ebron-350K";"Ebron350KTrvl",#N/A,FALSE,"Ebrons Travel 350k"}</definedName>
    <definedName name="wrn.Ebron_350K._1" localSheetId="0" hidden="1">{"Prop_350K",#N/A,FALSE,"Ebron-350K";"PA_350K",#N/A,FALSE,"Ebron-350K";"Ebron350KTrvl",#N/A,FALSE,"Ebrons Travel 350k"}</definedName>
    <definedName name="wrn.Ebron_350K._1" hidden="1">{"Prop_350K",#N/A,FALSE,"Ebron-350K";"PA_350K",#N/A,FALSE,"Ebron-350K";"Ebron350KTrvl",#N/A,FALSE,"Ebrons Travel 350k"}</definedName>
    <definedName name="wrn.Ebron_Co1." localSheetId="0" hidden="1">{"EbronCo1_PA",#N/A,FALSE,"Ebrons Task Co1";"EbronCo1_Prop",#N/A,FALSE,"Ebrons Task Co1";"Ebron316KTrvl",#N/A,FALSE,"Ebrons Travel 316k"}</definedName>
    <definedName name="wrn.Ebron_Co1." hidden="1">{"EbronCo1_PA",#N/A,FALSE,"Ebrons Task Co1";"EbronCo1_Prop",#N/A,FALSE,"Ebrons Task Co1";"Ebron316KTrvl",#N/A,FALSE,"Ebrons Travel 316k"}</definedName>
    <definedName name="wrn.Ebron_Co1._1" localSheetId="0" hidden="1">{"EbronCo1_PA",#N/A,FALSE,"Ebrons Task Co1";"EbronCo1_Prop",#N/A,FALSE,"Ebrons Task Co1";"Ebron316KTrvl",#N/A,FALSE,"Ebrons Travel 316k"}</definedName>
    <definedName name="wrn.Ebron_Co1._1" hidden="1">{"EbronCo1_PA",#N/A,FALSE,"Ebrons Task Co1";"EbronCo1_Prop",#N/A,FALSE,"Ebrons Task Co1";"Ebron316KTrvl",#N/A,FALSE,"Ebrons Travel 316k"}</definedName>
    <definedName name="wrn.Ebron_Co5." localSheetId="0" hidden="1">{"EbronCo5_PA",#N/A,FALSE,"Ebrons Task Co5";"EbronCo5_Prop",#N/A,FALSE,"Ebrons Task Co5"}</definedName>
    <definedName name="wrn.Ebron_Co5." hidden="1">{"EbronCo5_PA",#N/A,FALSE,"Ebrons Task Co5";"EbronCo5_Prop",#N/A,FALSE,"Ebrons Task Co5"}</definedName>
    <definedName name="wrn.Ebron_Co5._1" localSheetId="0" hidden="1">{"EbronCo5_PA",#N/A,FALSE,"Ebrons Task Co5";"EbronCo5_Prop",#N/A,FALSE,"Ebrons Task Co5"}</definedName>
    <definedName name="wrn.Ebron_Co5._1" hidden="1">{"EbronCo5_PA",#N/A,FALSE,"Ebrons Task Co5";"EbronCo5_Prop",#N/A,FALSE,"Ebrons Task Co5"}</definedName>
    <definedName name="wrn.emea." localSheetId="0" hidden="1">{#N/A,#N/A,FALSE,"AR Summ.";#N/A,#N/A,FALSE,"Dec top 5 collects";#N/A,#N/A,FALSE,"Top 5 AR";#N/A,#N/A,FALSE,"Top 5&gt;90";#N/A,#N/A,FALSE,"AR Flow by Region";#N/A,#N/A,FALSE,"PrePays";#N/A,#N/A,FALSE,"Op&amp;Risk"}</definedName>
    <definedName name="wrn.emea." hidden="1">{#N/A,#N/A,FALSE,"AR Summ.";#N/A,#N/A,FALSE,"Dec top 5 collects";#N/A,#N/A,FALSE,"Top 5 AR";#N/A,#N/A,FALSE,"Top 5&gt;90";#N/A,#N/A,FALSE,"AR Flow by Region";#N/A,#N/A,FALSE,"PrePays";#N/A,#N/A,FALSE,"Op&amp;Risk"}</definedName>
    <definedName name="wrn.ENTIRE._.PROPOSAL." localSheetId="0"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xecutive._.Reports." localSheetId="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ditures._.Graph." localSheetId="0" hidden="1">{"Graphics View",#N/A,FALSE,"Task Order Status"}</definedName>
    <definedName name="wrn.Expenditures._.Graph." hidden="1">{"Graphics View",#N/A,FALSE,"Task Order Status"}</definedName>
    <definedName name="wrn.Expenditures._.Graph._1" localSheetId="0" hidden="1">{"Graphics View",#N/A,FALSE,"Task Order Status"}</definedName>
    <definedName name="wrn.Expenditures._.Graph._1" hidden="1">{"Graphics View",#N/A,FALSE,"Task Order Status"}</definedName>
    <definedName name="wrn.FAS._.BASIS." localSheetId="0" hidden="1">{#N/A,#N/A,FALSE,"ICOFAS";#N/A,#N/A,FALSE,"TFSFAS"}</definedName>
    <definedName name="wrn.FAS._.BASIS." hidden="1">{#N/A,#N/A,FALSE,"ICOFAS";#N/A,#N/A,FALSE,"TFSFAS"}</definedName>
    <definedName name="wrn.FIELD._.OVERHEAD._.1." localSheetId="0" hidden="1">{#N/A,#N/A,FALSE,"0502,0503 Field"}</definedName>
    <definedName name="wrn.FIELD._.OVERHEAD._.1." hidden="1">{#N/A,#N/A,FALSE,"0502,0503 Field"}</definedName>
    <definedName name="wrn.Financials." localSheetId="0"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inancials._1" localSheetId="0" hidden="1">{#N/A,#N/A,FALSE,"Year";#N/A,#N/A,FALSE,"AC Fiscal Year";#N/A,#N/A,FALSE,"Financials By Line of Business";#N/A,#N/A,FALSE,"Line of Business Review";#N/A,#N/A,FALSE,"Activity Review";#N/A,#N/A,FALSE,"Financials By Custom Resource";#N/A,#N/A,FALSE,"Custom Resource Review"}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FORM._.189F." localSheetId="0" hidden="1">{#N/A,#N/A,FALSE,"189F"}</definedName>
    <definedName name="wrn.FORM._.189F." hidden="1">{#N/A,#N/A,FALSE,"189F"}</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Print." localSheetId="0" hidden="1">{#N/A,#N/A,FALSE,"Titles";#N/A,#N/A,FALSE,"Ts&amp;Cs";#N/A,#N/A,FALSE,"Variables";#N/A,#N/A,FALSE,"Labour"}</definedName>
    <definedName name="wrn.Full._.Print." hidden="1">{#N/A,#N/A,FALSE,"Titles";#N/A,#N/A,FALSE,"Ts&amp;Cs";#N/A,#N/A,FALSE,"Variables";#N/A,#N/A,FALSE,"Labour"}</definedName>
    <definedName name="wrn.Full_Analysis_Analyst." localSheetId="0" hidden="1">{#N/A,#N/A,TRUE,"DCF Summary (2)";#N/A,#N/A,TRUE,"DCF Summary";#N/A,"Analyst Value Drivers",TRUE,"DCF"}</definedName>
    <definedName name="wrn.Full_Analysis_Analyst." hidden="1">{#N/A,#N/A,TRUE,"DCF Summary (2)";#N/A,#N/A,TRUE,"DCF Summary";#N/A,"Analyst Value Drivers",TRUE,"DCF"}</definedName>
    <definedName name="wrn.Full_Analysis_Base." localSheetId="0" hidden="1">{#N/A,#N/A,TRUE,"DCF Summary (2)";#N/A,#N/A,TRUE,"DCF Summary";#N/A,"Base Case Value Drivers",TRUE,"DCF"}</definedName>
    <definedName name="wrn.Full_Analysis_Base." hidden="1">{#N/A,#N/A,TRUE,"DCF Summary (2)";#N/A,#N/A,TRUE,"DCF Summary";#N/A,"Base Case Value Drivers",TRUE,"DCF"}</definedName>
    <definedName name="wrn.Full_Analysis_Middle." localSheetId="0" hidden="1">{#N/A,#N/A,TRUE,"DCF Summary (2)";#N/A,#N/A,TRUE,"DCF Summary";#N/A,"Middle Case Drivers",TRUE,"DCF"}</definedName>
    <definedName name="wrn.Full_Analysis_Middle." hidden="1">{#N/A,#N/A,TRUE,"DCF Summary (2)";#N/A,#N/A,TRUE,"DCF Summary";#N/A,"Middle Case Drivers",TRUE,"DCF"}</definedName>
    <definedName name="wrn.FUNC.._.INPUTS." localSheetId="0" hidden="1">{#N/A,#N/A,FALSE,"Functional Inputs"}</definedName>
    <definedName name="wrn.FUNC.._.INPUTS." hidden="1">{#N/A,#N/A,FALSE,"Functional Inputs"}</definedName>
    <definedName name="wrn.FYP._.Package." localSheetId="0" hidden="1">{#N/A,#N/A,FALSE,"Manuf. Co.";#N/A,#N/A,FALSE,"Consolidated";#N/A,#N/A,FALSE,"1998 BDGT";#N/A,#N/A,FALSE,"1999";#N/A,#N/A,FALSE,"2000";#N/A,#N/A,FALSE,"2001";#N/A,#N/A,FALSE,"2002";#N/A,#N/A,FALSE,"2003";#N/A,#N/A,FALSE,"IRBINT"}</definedName>
    <definedName name="wrn.FYP._.Package." hidden="1">{#N/A,#N/A,FALSE,"Manuf. Co.";#N/A,#N/A,FALSE,"Consolidated";#N/A,#N/A,FALSE,"1998 BDGT";#N/A,#N/A,FALSE,"1999";#N/A,#N/A,FALSE,"2000";#N/A,#N/A,FALSE,"2001";#N/A,#N/A,FALSE,"2002";#N/A,#N/A,FALSE,"2003";#N/A,#N/A,FALSE,"IRBINT"}</definedName>
    <definedName name="wrn.G._.A._.expense._.entry." localSheetId="0" hidden="1">{"G A expense entry",#N/A,FALSE,"GA97"}</definedName>
    <definedName name="wrn.G._.A._.expense._.entry." hidden="1">{"G A expense entry",#N/A,FALSE,"GA97"}</definedName>
    <definedName name="wrn.G._.A._.expense._.entry._1" localSheetId="0" hidden="1">{"G A expense entry",#N/A,FALSE,"GA97"}</definedName>
    <definedName name="wrn.G._.A._.expense._.entry._1" hidden="1">{"G A expense entry",#N/A,FALSE,"GA97"}</definedName>
    <definedName name="wrn.government._.rate._.calculation." localSheetId="0" hidden="1">{"government rate calculation",#N/A,FALSE,"GA97"}</definedName>
    <definedName name="wrn.government._.rate._.calculation." hidden="1">{"government rate calculation",#N/A,FALSE,"GA97"}</definedName>
    <definedName name="wrn.government._.rate._.calculation._1" localSheetId="0" hidden="1">{"government rate calculation",#N/A,FALSE,"GA97"}</definedName>
    <definedName name="wrn.government._.rate._.calculation._1" hidden="1">{"government rate calculation",#N/A,FALSE,"GA97"}</definedName>
    <definedName name="wrn.Govt._.Copy." localSheetId="0" hidden="1">{#N/A,#N/A,FALSE,"Cover";#N/A,#N/A,FALSE,"Data";#N/A,#N/A,FALSE,"MDS Sup";#N/A,#N/A,FALSE,"Sub Sup";#N/A,#N/A,FALSE,"Ad Hoc";#N/A,#N/A,FALSE,"Dave's Summary";#N/A,#N/A,FALSE,"Graphs"}</definedName>
    <definedName name="wrn.Govt._.Copy." hidden="1">{#N/A,#N/A,FALSE,"Cover";#N/A,#N/A,FALSE,"Data";#N/A,#N/A,FALSE,"MDS Sup";#N/A,#N/A,FALSE,"Sub Sup";#N/A,#N/A,FALSE,"Ad Hoc";#N/A,#N/A,FALSE,"Dave's Summary";#N/A,#N/A,FALSE,"Graphs"}</definedName>
    <definedName name="wrn.Govt._.Copy._1" localSheetId="0" hidden="1">{#N/A,#N/A,FALSE,"Cover";#N/A,#N/A,FALSE,"Data";#N/A,#N/A,FALSE,"MDS Sup";#N/A,#N/A,FALSE,"Sub Sup";#N/A,#N/A,FALSE,"Ad Hoc";#N/A,#N/A,FALSE,"Dave's Summary";#N/A,#N/A,FALSE,"Graphs"}</definedName>
    <definedName name="wrn.Govt._.Copy._1" hidden="1">{#N/A,#N/A,FALSE,"Cover";#N/A,#N/A,FALSE,"Data";#N/A,#N/A,FALSE,"MDS Sup";#N/A,#N/A,FALSE,"Sub Sup";#N/A,#N/A,FALSE,"Ad Hoc";#N/A,#N/A,FALSE,"Dave's Summary";#N/A,#N/A,FALSE,"Graphs"}</definedName>
    <definedName name="wrn.hud._.3." localSheetId="0" hidden="1">{"division hud",#N/A,FALSE,"Sheet1";"total hud",#N/A,FALSE,"Sheet1"}</definedName>
    <definedName name="wrn.hud._.3." hidden="1">{"division hud",#N/A,FALSE,"Sheet1";"total hud",#N/A,FALSE,"Sheet1"}</definedName>
    <definedName name="wrn.IB." localSheetId="0" hidden="1">{#N/A,#N/A,FALSE,"IB Totgeo Q1-Q4 ";#N/A,#N/A,FALSE,"IB AEME";#N/A,#N/A,FALSE,"IB West";#N/A,#N/A,FALSE,"IB Central";#N/A,#N/A,FALSE,"IB South ";#N/A,#N/A,FALSE,"IB North";#N/A,#N/A,FALSE,"IB Reg Tot ";#N/A,#N/A,FALSE,"IB Reg Tot graph"}</definedName>
    <definedName name="wrn.IB." hidden="1">{#N/A,#N/A,FALSE,"IB Totgeo Q1-Q4 ";#N/A,#N/A,FALSE,"IB AEME";#N/A,#N/A,FALSE,"IB West";#N/A,#N/A,FALSE,"IB Central";#N/A,#N/A,FALSE,"IB South ";#N/A,#N/A,FALSE,"IB North";#N/A,#N/A,FALSE,"IB Reg Tot ";#N/A,#N/A,FALSE,"IB Reg Tot graph"}</definedName>
    <definedName name="wrn.IC._.FORMS." localSheetId="0" hidden="1">{#N/A,#N/A,FALSE,"ICOFAS";#N/A,#N/A,FALSE,"ICOLCE"}</definedName>
    <definedName name="wrn.IC._.FORMS." hidden="1">{#N/A,#N/A,FALSE,"ICOFAS";#N/A,#N/A,FALSE,"ICOLCE"}</definedName>
    <definedName name="wrn.ICFAS." localSheetId="0" hidden="1">{#N/A,#N/A,FALSE,"ICFAS"}</definedName>
    <definedName name="wrn.ICFAS." hidden="1">{#N/A,#N/A,FALSE,"ICFAS"}</definedName>
    <definedName name="wrn.ICLCE." localSheetId="0" hidden="1">{#N/A,#N/A,FALSE,"ICLCE"}</definedName>
    <definedName name="wrn.ICLCE." hidden="1">{#N/A,#N/A,FALSE,"ICLCE"}</definedName>
    <definedName name="wrn.ICOFAS." localSheetId="0" hidden="1">{#N/A,#N/A,FALSE,"ICOFAS"}</definedName>
    <definedName name="wrn.ICOFAS." hidden="1">{#N/A,#N/A,FALSE,"ICOFAS"}</definedName>
    <definedName name="wrn.ICOLCE." localSheetId="0" hidden="1">{#N/A,#N/A,FALSE,"ICOLCE"}</definedName>
    <definedName name="wrn.ICOLCE." hidden="1">{#N/A,#N/A,FALSE,"ICOLCE"}</definedName>
    <definedName name="wrn.IFAS." localSheetId="0" hidden="1">{#N/A,#N/A,FALSE,"Highlights";#N/A,#N/A,FALSE,"BS";#N/A,#N/A,FALSE,"P&amp;L";#N/A,#N/A,FALSE,"Flash";#N/A,#N/A,FALSE,"IR&amp;D";#N/A,#N/A,FALSE,"Sales-Cash Flow";#N/A,#N/A,FALSE,"GOR"}</definedName>
    <definedName name="wrn.IFAS." hidden="1">{#N/A,#N/A,FALSE,"Highlights";#N/A,#N/A,FALSE,"BS";#N/A,#N/A,FALSE,"P&amp;L";#N/A,#N/A,FALSE,"Flash";#N/A,#N/A,FALSE,"IR&amp;D";#N/A,#N/A,FALSE,"Sales-Cash Flow";#N/A,#N/A,FALSE,"GOR"}</definedName>
    <definedName name="wrn.IncMonth." localSheetId="0" hidden="1">{"IncStMonth",#N/A,FALSE,"95ACT"}</definedName>
    <definedName name="wrn.IncMonth." hidden="1">{"IncStMonth",#N/A,FALSE,"95ACT"}</definedName>
    <definedName name="wrn.IncStCum." localSheetId="0" hidden="1">{"IncStCum",#N/A,FALSE,"95ACT"}</definedName>
    <definedName name="wrn.IncStCum." hidden="1">{"IncStCum",#N/A,FALSE,"95ACT"}</definedName>
    <definedName name="wrn.IncVariance." localSheetId="0" hidden="1">{"IncVariance",#N/A,FALSE,"95ACT"}</definedName>
    <definedName name="wrn.IncVariance." hidden="1">{"IncVariance",#N/A,FALSE,"95ACT"}</definedName>
    <definedName name="wrn.INDIRECT._.LABOR." localSheetId="0" hidden="1">{#N/A,#N/A,FALSE,"Indirect Labor"}</definedName>
    <definedName name="wrn.INDIRECT._.LABOR." hidden="1">{#N/A,#N/A,FALSE,"Indirect Labor"}</definedName>
    <definedName name="wrn.Interest._.Package." localSheetId="0" hidden="1">{#N/A,#N/A,FALSE,"CLOSERPT";#N/A,#N/A,FALSE,"MTD";#N/A,#N/A,FALSE,"RAYEXP";#N/A,#N/A,FALSE,"Cap Interest";#N/A,#N/A,FALSE,"JAN";#N/A,#N/A,FALSE,"FEB";#N/A,#N/A,FALSE,"MAR";#N/A,#N/A,FALSE,"APR";#N/A,#N/A,FALSE,"MAY";#N/A,#N/A,FALSE,"JUN";#N/A,#N/A,FALSE,"JUL";#N/A,#N/A,FALSE,"AUG";#N/A,#N/A,FALSE,"SEP";#N/A,#N/A,FALSE,"OCT";#N/A,#N/A,FALSE,"NOV"}</definedName>
    <definedName name="wrn.Interest._.Package." hidden="1">{#N/A,#N/A,FALSE,"CLOSERPT";#N/A,#N/A,FALSE,"MTD";#N/A,#N/A,FALSE,"RAYEXP";#N/A,#N/A,FALSE,"Cap Interest";#N/A,#N/A,FALSE,"JAN";#N/A,#N/A,FALSE,"FEB";#N/A,#N/A,FALSE,"MAR";#N/A,#N/A,FALSE,"APR";#N/A,#N/A,FALSE,"MAY";#N/A,#N/A,FALSE,"JUN";#N/A,#N/A,FALSE,"JUL";#N/A,#N/A,FALSE,"AUG";#N/A,#N/A,FALSE,"SEP";#N/A,#N/A,FALSE,"OCT";#N/A,#N/A,FALSE,"NOV"}</definedName>
    <definedName name="wrn.Invoice." localSheetId="0" hidden="1">{#N/A,#N/A,FALSE,"1034";#N/A,#N/A,FALSE,"Invoice"}</definedName>
    <definedName name="wrn.Invoice." hidden="1">{#N/A,#N/A,FALSE,"1034";#N/A,#N/A,FALSE,"Invoice"}</definedName>
    <definedName name="wrn.Invoice._1" localSheetId="0" hidden="1">{#N/A,#N/A,FALSE,"1034";#N/A,#N/A,FALSE,"Invoice"}</definedName>
    <definedName name="wrn.Invoice._1" hidden="1">{#N/A,#N/A,FALSE,"1034";#N/A,#N/A,FALSE,"Invoice"}</definedName>
    <definedName name="wrn.JCTCS." localSheetId="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DISS_Co1." localSheetId="0" hidden="1">{"JDISS_Co1",#N/A,FALSE,"JDISS_Co1";"JDISSCo1_PA",#N/A,FALSE,"JDISS_Co1"}</definedName>
    <definedName name="wrn.JDISS_Co1." hidden="1">{"JDISS_Co1",#N/A,FALSE,"JDISS_Co1";"JDISSCo1_PA",#N/A,FALSE,"JDISS_Co1"}</definedName>
    <definedName name="wrn.JDISS_Co1._1" localSheetId="0" hidden="1">{"JDISS_Co1",#N/A,FALSE,"JDISS_Co1";"JDISSCo1_PA",#N/A,FALSE,"JDISS_Co1"}</definedName>
    <definedName name="wrn.JDISS_Co1._1" hidden="1">{"JDISS_Co1",#N/A,FALSE,"JDISS_Co1";"JDISSCo1_PA",#N/A,FALSE,"JDISS_Co1"}</definedName>
    <definedName name="wrn.JIM." localSheetId="0" hidden="1">{"JIM",#N/A,FALSE,"8401detail"}</definedName>
    <definedName name="wrn.JIM." hidden="1">{"JIM",#N/A,FALSE,"8401detail"}</definedName>
    <definedName name="wrn.JIM._1" localSheetId="0" hidden="1">{"JIM",#N/A,FALSE,"8401detail"}</definedName>
    <definedName name="wrn.JIM._1" hidden="1">{"JIM",#N/A,FALSE,"8401detail"}</definedName>
    <definedName name="wrn.Journal._.Entries." localSheetId="0" hidden="1">{#N/A,#N/A,FALSE,"T2JE";#N/A,#N/A,FALSE,"T3JE";#N/A,#N/A,FALSE,"T4JE";#N/A,#N/A,FALSE,"T5JE";#N/A,#N/A,FALSE,"T6JE";#N/A,#N/A,FALSE,"MSAE";#N/A,#N/A,FALSE,"JWAE";#N/A,#N/A,FALSE,"T2INV";#N/A,#N/A,FALSE,"T3INV";#N/A,#N/A,FALSE,"T4INV";#N/A,#N/A,FALSE,"T5INV";#N/A,#N/A,FALSE,"T6INV"}</definedName>
    <definedName name="wrn.Journal._.Entries." hidden="1">{#N/A,#N/A,FALSE,"T2JE";#N/A,#N/A,FALSE,"T3JE";#N/A,#N/A,FALSE,"T4JE";#N/A,#N/A,FALSE,"T5JE";#N/A,#N/A,FALSE,"T6JE";#N/A,#N/A,FALSE,"MSAE";#N/A,#N/A,FALSE,"JWAE";#N/A,#N/A,FALSE,"T2INV";#N/A,#N/A,FALSE,"T3INV";#N/A,#N/A,FALSE,"T4INV";#N/A,#N/A,FALSE,"T5INV";#N/A,#N/A,FALSE,"T6INV"}</definedName>
    <definedName name="wrn.Jury." localSheetId="0"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Jury._1" localSheetId="0"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LABOR." localSheetId="0" hidden="1">{"GFY 97",#N/A,FALSE,"SCRA LABOR";"GFY 98",#N/A,FALSE,"SCRA LABOR";"GFY 99",#N/A,FALSE,"SCRA LABOR";"GFY 00",#N/A,FALSE,"SCRA LABOR"}</definedName>
    <definedName name="wrn.LABOR." hidden="1">{"GFY 97",#N/A,FALSE,"SCRA LABOR";"GFY 98",#N/A,FALSE,"SCRA LABOR";"GFY 99",#N/A,FALSE,"SCRA LABOR";"GFY 00",#N/A,FALSE,"SCRA LABOR"}</definedName>
    <definedName name="wrn.LaborWorkSheets." localSheetId="0" hidden="1">{#N/A,#N/A,FALSE,"050_150";#N/A,#N/A,FALSE,"050_151";#N/A,#N/A,FALSE,"050_152";#N/A,#N/A,FALSE,"050_153";#N/A,#N/A,FALSE,"050_154";#N/A,#N/A,FALSE,"050_155";#N/A,#N/A,FALSE,"050_156";#N/A,#N/A,FALSE,"050_157";#N/A,#N/A,FALSE,"050_158";#N/A,#N/A,FALSE,"050_159";#N/A,#N/A,FALSE,"050_255"}</definedName>
    <definedName name="wrn.LaborWorkSheets." hidden="1">{#N/A,#N/A,FALSE,"050_150";#N/A,#N/A,FALSE,"050_151";#N/A,#N/A,FALSE,"050_152";#N/A,#N/A,FALSE,"050_153";#N/A,#N/A,FALSE,"050_154";#N/A,#N/A,FALSE,"050_155";#N/A,#N/A,FALSE,"050_156";#N/A,#N/A,FALSE,"050_157";#N/A,#N/A,FALSE,"050_158";#N/A,#N/A,FALSE,"050_159";#N/A,#N/A,FALSE,"050_255"}</definedName>
    <definedName name="wrn.LaborWorkSheets.." localSheetId="0" hidden="1">{#N/A,#N/A,FALSE,"050_150";#N/A,#N/A,FALSE,"050_151";#N/A,#N/A,FALSE,"050_152";#N/A,#N/A,FALSE,"050_153";#N/A,#N/A,FALSE,"050_154";#N/A,#N/A,FALSE,"050_155";#N/A,#N/A,FALSE,"050_156";#N/A,#N/A,FALSE,"050_157";#N/A,#N/A,FALSE,"050_158";#N/A,#N/A,FALSE,"050_159";#N/A,#N/A,FALSE,"050_255"}</definedName>
    <definedName name="wrn.LaborWorkSheets.." hidden="1">{#N/A,#N/A,FALSE,"050_150";#N/A,#N/A,FALSE,"050_151";#N/A,#N/A,FALSE,"050_152";#N/A,#N/A,FALSE,"050_153";#N/A,#N/A,FALSE,"050_154";#N/A,#N/A,FALSE,"050_155";#N/A,#N/A,FALSE,"050_156";#N/A,#N/A,FALSE,"050_157";#N/A,#N/A,FALSE,"050_158";#N/A,#N/A,FALSE,"050_159";#N/A,#N/A,FALSE,"050_255"}</definedName>
    <definedName name="wrn.LCE._.BASIS." localSheetId="0" hidden="1">{#N/A,#N/A,FALSE,"ICOLCE";#N/A,#N/A,FALSE,"TFSLCE"}</definedName>
    <definedName name="wrn.LCE._.BASIS." hidden="1">{#N/A,#N/A,FALSE,"ICOLCE";#N/A,#N/A,FALSE,"TFSLCE"}</definedName>
    <definedName name="wrn.Long._.Report." localSheetId="0"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ong._.Report.a" localSheetId="0" hidden="1">{#N/A,#N/A,TRUE,"Cover";#N/A,#N/A,TRUE,"Header (ld)";#N/A,#N/A,TRUE,"T&amp;O By Region";#N/A,#N/A,TRUE,"Region Charts ";#N/A,#N/A,TRUE,"T&amp;O London";#N/A,#N/A,TRUE,"AD Report";#N/A,#N/A,TRUE,"Var by OU"}</definedName>
    <definedName name="wrn.Long._.Report.a" hidden="1">{#N/A,#N/A,TRUE,"Cover";#N/A,#N/A,TRUE,"Header (ld)";#N/A,#N/A,TRUE,"T&amp;O By Region";#N/A,#N/A,TRUE,"Region Charts ";#N/A,#N/A,TRUE,"T&amp;O London";#N/A,#N/A,TRUE,"AD Report";#N/A,#N/A,TRUE,"Var by OU"}</definedName>
    <definedName name="wrn.Man._.hour._.summary._.by._.CLIN." localSheetId="0" hidden="1">{#N/A,#N/A,FALSE,"A6 CLIN 0001";#N/A,#N/A,FALSE,"A6 CLIN 0002";#N/A,#N/A,FALSE,"A6 CLIN 0003";#N/A,#N/A,FALSE,"A6 CLIN 0004";#N/A,#N/A,FALSE,"A6 CLIN 0005";#N/A,#N/A,FALSE,"A6 CLIN 0006"}</definedName>
    <definedName name="wrn.Man._.hour._.summary._.by._.CLIN." hidden="1">{#N/A,#N/A,FALSE,"A6 CLIN 0001";#N/A,#N/A,FALSE,"A6 CLIN 0002";#N/A,#N/A,FALSE,"A6 CLIN 0003";#N/A,#N/A,FALSE,"A6 CLIN 0004";#N/A,#N/A,FALSE,"A6 CLIN 0005";#N/A,#N/A,FALSE,"A6 CLIN 0006"}</definedName>
    <definedName name="wrn.Man._.Loading._.Sheet." localSheetId="0" hidden="1">{#N/A,#N/A,FALSE,"ManLoading"}</definedName>
    <definedName name="wrn.Man._.Loading._.Sheet." hidden="1">{#N/A,#N/A,FALSE,"ManLoading"}</definedName>
    <definedName name="wrn.Man._.Loading._.Sheet._1" localSheetId="0" hidden="1">{#N/A,#N/A,FALSE,"ManLoading"}</definedName>
    <definedName name="wrn.Man._.Loading._.Sheet._1" hidden="1">{#N/A,#N/A,FALSE,"ManLoading"}</definedName>
    <definedName name="wrn.man2" localSheetId="0" hidden="1">{#N/A,#N/A,FALSE,"A6 CLIN 0001";#N/A,#N/A,FALSE,"A6 CLIN 0002";#N/A,#N/A,FALSE,"A6 CLIN 0003";#N/A,#N/A,FALSE,"A6 CLIN 0004";#N/A,#N/A,FALSE,"A6 CLIN 0005";#N/A,#N/A,FALSE,"A6 CLIN 0006"}</definedName>
    <definedName name="wrn.man2" hidden="1">{#N/A,#N/A,FALSE,"A6 CLIN 0001";#N/A,#N/A,FALSE,"A6 CLIN 0002";#N/A,#N/A,FALSE,"A6 CLIN 0003";#N/A,#N/A,FALSE,"A6 CLIN 0004";#N/A,#N/A,FALSE,"A6 CLIN 0005";#N/A,#N/A,FALSE,"A6 CLIN 0006"}</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gmt._.Package." localSheetId="0" hidden="1">{#N/A,#N/A,FALSE,"Perf. Summ.";#N/A,#N/A,FALSE,"MONTHLY P&amp;L TRACE";#N/A,#N/A,FALSE,"ANNUAL P&amp;L TRACE ";#N/A,#N/A,FALSE,"P&amp;L CLOSING";#N/A,#N/A,FALSE,"P&amp;L FORECAST";#N/A,#N/A,FALSE,"ConsByMo"}</definedName>
    <definedName name="wrn.Mgmt._.Package." hidden="1">{#N/A,#N/A,FALSE,"Perf. Summ.";#N/A,#N/A,FALSE,"MONTHLY P&amp;L TRACE";#N/A,#N/A,FALSE,"ANNUAL P&amp;L TRACE ";#N/A,#N/A,FALSE,"P&amp;L CLOSING";#N/A,#N/A,FALSE,"P&amp;L FORECAST";#N/A,#N/A,FALSE,"ConsByMo"}</definedName>
    <definedName name="wrn.MGMTRPT." localSheetId="0" hidden="1">{"COVER",#N/A,FALSE,"MGMTRPT";"HIGHLIGHTS",#N/A,FALSE,"MGMTRPT";"ORDERS",#N/A,FALSE,"MGMTRPT";"REVENUE",#N/A,FALSE,"MGMTRPT"}</definedName>
    <definedName name="wrn.MGMTRPT." hidden="1">{"COVER",#N/A,FALSE,"MGMTRPT";"HIGHLIGHTS",#N/A,FALSE,"MGMTRPT";"ORDERS",#N/A,FALSE,"MGMTRPT";"REVENUE",#N/A,FALSE,"MGMTRPT"}</definedName>
    <definedName name="wrn.MIFAS." localSheetId="0" hidden="1">{#N/A,#N/A,FALSE,"Highlights";#N/A,#N/A,FALSE,"BS";#N/A,#N/A,FALSE,"P&amp;L";#N/A,#N/A,FALSE,"Flash";#N/A,#N/A,FALSE,"IR&amp;D";#N/A,#N/A,FALSE,"Sales-Cash Flow";#N/A,#N/A,FALSE,"GOR"}</definedName>
    <definedName name="wrn.MIFAS." hidden="1">{#N/A,#N/A,FALSE,"Highlights";#N/A,#N/A,FALSE,"BS";#N/A,#N/A,FALSE,"P&amp;L";#N/A,#N/A,FALSE,"Flash";#N/A,#N/A,FALSE,"IR&amp;D";#N/A,#N/A,FALSE,"Sales-Cash Flow";#N/A,#N/A,FALSE,"GOR"}</definedName>
    <definedName name="wrn.MMOC._.Accounts._.Receivable." localSheetId="0" hidden="1">{#N/A,#N/A,FALSE,"Summary";#N/A,#N/A,FALSE,"3108";#N/A,#N/A,FALSE,"338W";#N/A,#N/A,FALSE,"358N";#N/A,#N/A,FALSE,"361H";#N/A,#N/A,FALSE,"366H";#N/A,#N/A,FALSE,"377G";#N/A,#N/A,FALSE,"392F";#N/A,#N/A,FALSE,"392U";#N/A,#N/A,FALSE,"4W67"}</definedName>
    <definedName name="wrn.MMOC._.Accounts._.Receivable." hidden="1">{#N/A,#N/A,FALSE,"Summary";#N/A,#N/A,FALSE,"3108";#N/A,#N/A,FALSE,"338W";#N/A,#N/A,FALSE,"358N";#N/A,#N/A,FALSE,"361H";#N/A,#N/A,FALSE,"366H";#N/A,#N/A,FALSE,"377G";#N/A,#N/A,FALSE,"392F";#N/A,#N/A,FALSE,"392U";#N/A,#N/A,FALSE,"4W67"}</definedName>
    <definedName name="wrn.Model." localSheetId="0" hidden="1">{"Model",#N/A,FALSE,"95ACT"}</definedName>
    <definedName name="wrn.Model." hidden="1">{"Model",#N/A,FALSE,"95ACT"}</definedName>
    <definedName name="wrn.Monthly." localSheetId="0" hidden="1">{"GFY 95","GFY 95",FALSE,"TOTALS";"GFY 96","GFY 96",FALSE,"TOTALS";"GFY 97","GFY 97",FALSE,"TOTALS"}</definedName>
    <definedName name="wrn.Monthly." hidden="1">{"GFY 95","GFY 95",FALSE,"TOTALS";"GFY 96","GFY 96",FALSE,"TOTALS";"GFY 97","GFY 97",FALSE,"TOTALS"}</definedName>
    <definedName name="wrn.Monthly._.F._.and._.O." localSheetId="0" hidden="1">{#N/A,#N/A,FALSE,"RAYSUM";#N/A,#N/A,FALSE,"GORSUM";#N/A,#N/A,FALSE,"GORSUM (2)";#N/A,#N/A,FALSE,"U-GORAnaly";#N/A,#N/A,FALSE,"$-GORAnaly";#N/A,#N/A,FALSE,"$-GORAnaly (2)";#N/A,#N/A,FALSE,"GORResp";#N/A,#N/A,FALSE,"BACKLOG";#N/A,#N/A,FALSE,"U-BklgAnaly";#N/A,#N/A,FALSE,"$-BklgAnaly"}</definedName>
    <definedName name="wrn.Monthly._.F._.and._.O." hidden="1">{#N/A,#N/A,FALSE,"RAYSUM";#N/A,#N/A,FALSE,"GORSUM";#N/A,#N/A,FALSE,"GORSUM (2)";#N/A,#N/A,FALSE,"U-GORAnaly";#N/A,#N/A,FALSE,"$-GORAnaly";#N/A,#N/A,FALSE,"$-GORAnaly (2)";#N/A,#N/A,FALSE,"GORResp";#N/A,#N/A,FALSE,"BACKLOG";#N/A,#N/A,FALSE,"U-BklgAnaly";#N/A,#N/A,FALSE,"$-BklgAnaly"}</definedName>
    <definedName name="wrn.Monthly._.MIFA._.Sheets."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1" localSheetId="0" hidden="1">{"statr",#N/A,FALSE,"STAT";"cssrr",#N/A,FALSE,"CSSR";"cap1r",#N/A,FALSE,"CAP";"cap2r",#N/A,FALSE,"CAP"}</definedName>
    <definedName name="wrn.MONTHLY._1" hidden="1">{"statr",#N/A,FALSE,"STAT";"cssrr",#N/A,FALSE,"CSSR";"cap1r",#N/A,FALSE,"CAP";"cap2r",#N/A,FALSE,"CAP"}</definedName>
    <definedName name="wrn.monthlyoption." localSheetId="0" hidden="1">{"GFY 97",#N/A,FALSE,"MONTHLY FLOW (OPTION)";"GFY 98",#N/A,FALSE,"MONTHLY FLOW (OPTION)";"GFY 99",#N/A,FALSE,"MONTHLY FLOW (OPTION)";"GFY 00",#N/A,FALSE,"MONTHLY FLOW (OPTION)";"TTL PROGRAM",#N/A,FALSE,"MONTHLY FLOW (OPTION)"}</definedName>
    <definedName name="wrn.monthlyoption." hidden="1">{"GFY 97",#N/A,FALSE,"MONTHLY FLOW (OPTION)";"GFY 98",#N/A,FALSE,"MONTHLY FLOW (OPTION)";"GFY 99",#N/A,FALSE,"MONTHLY FLOW (OPTION)";"GFY 00",#N/A,FALSE,"MONTHLY FLOW (OPTION)";"TTL PROGRAM",#N/A,FALSE,"MONTHLY FLOW (OPTION)"}</definedName>
    <definedName name="wrn.mrs"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thl._.AOP.T" localSheetId="0" hidden="1">{"MONTHLY (99 AOP Mthly)",#N/A,FALSE,"99 AOP Mthly"}</definedName>
    <definedName name="wrn.mthl._.AOP.T" hidden="1">{"MONTHLY (99 AOP Mthly)",#N/A,FALSE,"99 AOP Mthly"}</definedName>
    <definedName name="wrn.Mthly._.AOP." localSheetId="0" hidden="1">{"MONTHLY (99 AOP Mthly)",#N/A,FALSE,"99 AOP Mthly"}</definedName>
    <definedName name="wrn.Mthly._.AOP." hidden="1">{"MONTHLY (99 AOP Mthly)",#N/A,FALSE,"99 AOP Mthly"}</definedName>
    <definedName name="wrn.OFF." localSheetId="0" hidden="1">{"OFF",#N/A,FALSE,"95ACT"}</definedName>
    <definedName name="wrn.OFF." hidden="1">{"OFF",#N/A,FALSE,"95ACT"}</definedName>
    <definedName name="wrn.OOCONLY." localSheetId="0" hidden="1">{"OOCDOLS",#N/A,FALSE,"G&amp;A_CRPSV";"OOCDOL",#N/A,FALSE,"G&amp;A_FAC"}</definedName>
    <definedName name="wrn.OOCONLY." hidden="1">{"OOCDOLS",#N/A,FALSE,"G&amp;A_CRPSV";"OOCDOL",#N/A,FALSE,"G&amp;A_FAC"}</definedName>
    <definedName name="wrn.Operating._.Results._.Book." localSheetId="0" hidden="1">{"FTC PUMPS B",#N/A,FALSE,"FTC PUMPS";"FLYGT B",#N/A,FALSE,"Flygt";"IPGWW B",#N/A,FALSE,"IPGWW";"FHD B",#N/A,FALSE,"FHD";"WTDWW B",#N/A,FALSE,"WTDWW";"LOWARA B",#N/A,FALSE,"LOWGROUP"}</definedName>
    <definedName name="wrn.Operating._.Results._.Book." hidden="1">{"FTC PUMPS B",#N/A,FALSE,"FTC PUMPS";"FLYGT B",#N/A,FALSE,"Flygt";"IPGWW B",#N/A,FALSE,"IPGWW";"FHD B",#N/A,FALSE,"FHD";"WTDWW B",#N/A,FALSE,"WTDWW";"LOWARA B",#N/A,FALSE,"LOWGROUP"}</definedName>
    <definedName name="wrn.Operating._.Results._.detail." localSheetId="0" hidden="1">{"FTC PUMPS B",#N/A,FALSE,"FTC PUMPS";"FLYGT B",#N/A,FALSE,"Flygt";"IPGWW B",#N/A,FALSE,"IPGWW";"FHD B",#N/A,FALSE,"FHD";"WTDWW B",#N/A,FALSE,"WTDWW";"CHECK B",#N/A,FALSE," REPORT check";"LOWARA B",#N/A,FALSE,"LOWGROUP";"HQ",#N/A,FALSE,"PUMPSHQ Adj for rounding"}</definedName>
    <definedName name="wrn.Operating._.Results._.detail." hidden="1">{"FTC PUMPS B",#N/A,FALSE,"FTC PUMPS";"FLYGT B",#N/A,FALSE,"Flygt";"IPGWW B",#N/A,FALSE,"IPGWW";"FHD B",#N/A,FALSE,"FHD";"WTDWW B",#N/A,FALSE,"WTDWW";"CHECK B",#N/A,FALSE," REPORT check";"LOWARA B",#N/A,FALSE,"LOWGROUP";"HQ",#N/A,FALSE,"PUMPSHQ Adj for rounding"}</definedName>
    <definedName name="wrn.P._.and._.L._.by._.Sub." localSheetId="0" hidden="1">{#N/A,#N/A,FALSE,"99P&amp;L BY SUB";#N/A,#N/A,FALSE,"2000P&amp;L BY SUB";#N/A,#N/A,FALSE,"2001P&amp;L BY SUB";#N/A,#N/A,FALSE,"2002P&amp;L BY SUB";#N/A,#N/A,FALSE,"2003P&amp;L BY SUB"}</definedName>
    <definedName name="wrn.P._.and._.L._.by._.Sub." hidden="1">{#N/A,#N/A,FALSE,"99P&amp;L BY SUB";#N/A,#N/A,FALSE,"2000P&amp;L BY SUB";#N/A,#N/A,FALSE,"2001P&amp;L BY SUB";#N/A,#N/A,FALSE,"2002P&amp;L BY SUB";#N/A,#N/A,FALSE,"2003P&amp;L BY SUB"}</definedName>
    <definedName name="wrn.PAODC." localSheetId="0" hidden="1">{"par",#N/A,FALSE,"PA";"odcr",#N/A,FALSE,"PA";"paxr",#N/A,FALSE,"PA"}</definedName>
    <definedName name="wrn.PAODC." hidden="1">{"par",#N/A,FALSE,"PA";"odcr",#N/A,FALSE,"PA";"paxr",#N/A,FALSE,"PA"}</definedName>
    <definedName name="wrn.PAODC._1" localSheetId="0" hidden="1">{"par",#N/A,FALSE,"PA";"odcr",#N/A,FALSE,"PA";"paxr",#N/A,FALSE,"PA"}</definedName>
    <definedName name="wrn.PAODC._1" hidden="1">{"par",#N/A,FALSE,"PA";"odcr",#N/A,FALSE,"PA";"paxr",#N/A,FALSE,"PA"}</definedName>
    <definedName name="wrn.Paper._.File." localSheetId="0"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rt._.1." localSheetId="0"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2." localSheetId="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DS." localSheetId="0" hidden="1">{"PDS",#N/A,FALSE,"G&amp;A_TOT"}</definedName>
    <definedName name="wrn.PDS." hidden="1">{"PDS",#N/A,FALSE,"G&amp;A_TOT"}</definedName>
    <definedName name="wrn.Pearson_Co1." localSheetId="0" hidden="1">{"PearsonCo1_Prop",#N/A,FALSE,"Pearsons Task Co1";"PearsonCo1_PA",#N/A,FALSE,"Pearsons Task Co1"}</definedName>
    <definedName name="wrn.Pearson_Co1." hidden="1">{"PearsonCo1_Prop",#N/A,FALSE,"Pearsons Task Co1";"PearsonCo1_PA",#N/A,FALSE,"Pearsons Task Co1"}</definedName>
    <definedName name="wrn.Pearson_Co1._1" localSheetId="0" hidden="1">{"PearsonCo1_Prop",#N/A,FALSE,"Pearsons Task Co1";"PearsonCo1_PA",#N/A,FALSE,"Pearsons Task Co1"}</definedName>
    <definedName name="wrn.Pearson_Co1._1" hidden="1">{"PearsonCo1_Prop",#N/A,FALSE,"Pearsons Task Co1";"PearsonCo1_PA",#N/A,FALSE,"Pearsons Task Co1"}</definedName>
    <definedName name="wrn.Pearson_Co5." localSheetId="0" hidden="1">{"PearsonCo5_Prop",#N/A,FALSE,"Pearsons Task Co5";"PearsonCo5_PA",#N/A,FALSE,"Pearsons Task Co5"}</definedName>
    <definedName name="wrn.Pearson_Co5." hidden="1">{"PearsonCo5_Prop",#N/A,FALSE,"Pearsons Task Co5";"PearsonCo5_PA",#N/A,FALSE,"Pearsons Task Co5"}</definedName>
    <definedName name="wrn.Pearson_Co5._1" localSheetId="0" hidden="1">{"PearsonCo5_Prop",#N/A,FALSE,"Pearsons Task Co5";"PearsonCo5_PA",#N/A,FALSE,"Pearsons Task Co5"}</definedName>
    <definedName name="wrn.Pearson_Co5._1" hidden="1">{"PearsonCo5_Prop",#N/A,FALSE,"Pearsons Task Co5";"PearsonCo5_PA",#N/A,FALSE,"Pearsons Task Co5"}</definedName>
    <definedName name="wrn.price." localSheetId="0" hidden="1">{"PAGE1",#N/A,FALSE,"CPFFMSTR";"PAGE2",#N/A,FALSE,"CPFFMSTR"}</definedName>
    <definedName name="wrn.price." hidden="1">{"PAGE1",#N/A,FALSE,"CPFFMSTR";"PAGE2",#N/A,FALSE,"CPFFMSTR"}</definedName>
    <definedName name="wrn.price._1" localSheetId="0" hidden="1">{"PAGE1",#N/A,FALSE,"CPFFMSTR";"PAGE2",#N/A,FALSE,"CPFFMSTR"}</definedName>
    <definedName name="wrn.price._1" hidden="1">{"PAGE1",#N/A,FALSE,"CPFFMSTR";"PAGE2",#N/A,FALSE,"CPFFMSTR"}</definedName>
    <definedName name="wrn.PriceSheetNoMargins." localSheetId="0" hidden="1">{"PriceSheetNoMargins",#N/A,FALSE,"PriceSheet"}</definedName>
    <definedName name="wrn.PriceSheetNoMargins." hidden="1">{"PriceSheetNoMargins",#N/A,FALSE,"PriceSheet"}</definedName>
    <definedName name="wrn.pricesheetNoMarkgin1" localSheetId="0" hidden="1">{"PriceSheetNoMargins",#N/A,FALSE,"PriceSheet"}</definedName>
    <definedName name="wrn.pricesheetNoMarkgin1" hidden="1">{"PriceSheetNoMargins",#N/A,FALSE,"PriceSheet"}</definedName>
    <definedName name="wrn.Print." localSheetId="0"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ALL." localSheetId="0" hidden="1">{"ORIG",#N/A,FALSE,"Sheet1";"GOVT LABOR",#N/A,FALSE,"Sheet1";"INT LABOR",#N/A,FALSE,"Sheet1"}</definedName>
    <definedName name="wrn.PRINT._.ALL." hidden="1">{"ORIG",#N/A,FALSE,"Sheet1";"GOVT LABOR",#N/A,FALSE,"Sheet1";"INT LABOR",#N/A,FALSE,"Sheet1"}</definedName>
    <definedName name="wrn.PRINT._.ALL._1" localSheetId="0" hidden="1">{"ORIG",#N/A,FALSE,"Sheet1";"GOVT LABOR",#N/A,FALSE,"Sheet1";"INT LABOR",#N/A,FALSE,"Sheet1"}</definedName>
    <definedName name="wrn.PRINT._.ALL._1" hidden="1">{"ORIG",#N/A,FALSE,"Sheet1";"GOVT LABOR",#N/A,FALSE,"Sheet1";"INT LABOR",#N/A,FALSE,"Sheet1"}</definedName>
    <definedName name="wrn.print._.form." localSheetId="0" hidden="1">{"Form 1263 Total",#N/A,FALSE,"NIST-1263 Total"}</definedName>
    <definedName name="wrn.print._.form." hidden="1">{"Form 1263 Total",#N/A,FALSE,"NIST-1263 Total"}</definedName>
    <definedName name="wrn.Print._1" localSheetId="0"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1._.ALL." localSheetId="0" hidden="1">{"ORIG",#N/A,FALSE,"Sheet1";"GOVT LABOR",#N/A,FALSE,"Sheet1";"INT LABOR",#N/A,FALSE,"Sheet1"}</definedName>
    <definedName name="wrn.PRINT1._.ALL." hidden="1">{"ORIG",#N/A,FALSE,"Sheet1";"GOVT LABOR",#N/A,FALSE,"Sheet1";"INT LABOR",#N/A,FALSE,"Sheet1"}</definedName>
    <definedName name="wrn.printbc1." localSheetId="0"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ograms." localSheetId="0" hidden="1">{#N/A,#N/A,FALSE,"204";#N/A,#N/A,FALSE,"226";#N/A,#N/A,FALSE,"233";#N/A,#N/A,FALSE,"632";#N/A,#N/A,FALSE,"671";#N/A,#N/A,FALSE,"905";#N/A,#N/A,FALSE,"906";#N/A,#N/A,FALSE,"913";#N/A,#N/A,FALSE,"914";#N/A,#N/A,FALSE,"916";#N/A,#N/A,FALSE,"AAT";#N/A,#N/A,FALSE,"ATAS";#N/A,#N/A,FALSE,"ITL3";#N/A,#N/A,FALSE,"917";#N/A,#N/A,FALSE,"918"}</definedName>
    <definedName name="wrn.Programs." hidden="1">{#N/A,#N/A,FALSE,"204";#N/A,#N/A,FALSE,"226";#N/A,#N/A,FALSE,"233";#N/A,#N/A,FALSE,"632";#N/A,#N/A,FALSE,"671";#N/A,#N/A,FALSE,"905";#N/A,#N/A,FALSE,"906";#N/A,#N/A,FALSE,"913";#N/A,#N/A,FALSE,"914";#N/A,#N/A,FALSE,"916";#N/A,#N/A,FALSE,"AAT";#N/A,#N/A,FALSE,"ATAS";#N/A,#N/A,FALSE,"ITL3";#N/A,#N/A,FALSE,"917";#N/A,#N/A,FALSE,"918"}</definedName>
    <definedName name="wrn.Programs._1" localSheetId="0" hidden="1">{#N/A,#N/A,FALSE,"204";#N/A,#N/A,FALSE,"226";#N/A,#N/A,FALSE,"233";#N/A,#N/A,FALSE,"632";#N/A,#N/A,FALSE,"671";#N/A,#N/A,FALSE,"905";#N/A,#N/A,FALSE,"906";#N/A,#N/A,FALSE,"913";#N/A,#N/A,FALSE,"914";#N/A,#N/A,FALSE,"916";#N/A,#N/A,FALSE,"AAT";#N/A,#N/A,FALSE,"ATAS";#N/A,#N/A,FALSE,"ITL3";#N/A,#N/A,FALSE,"917";#N/A,#N/A,FALSE,"918"}</definedName>
    <definedName name="wrn.Programs._1" hidden="1">{#N/A,#N/A,FALSE,"204";#N/A,#N/A,FALSE,"226";#N/A,#N/A,FALSE,"233";#N/A,#N/A,FALSE,"632";#N/A,#N/A,FALSE,"671";#N/A,#N/A,FALSE,"905";#N/A,#N/A,FALSE,"906";#N/A,#N/A,FALSE,"913";#N/A,#N/A,FALSE,"914";#N/A,#N/A,FALSE,"916";#N/A,#N/A,FALSE,"AAT";#N/A,#N/A,FALSE,"ATAS";#N/A,#N/A,FALSE,"ITL3";#N/A,#N/A,FALSE,"917";#N/A,#N/A,FALSE,"918"}</definedName>
    <definedName name="wrn.projected._.1995._.balance._.sheet." localSheetId="0" hidden="1">{#N/A,#N/A,FALSE,"Base Info"}</definedName>
    <definedName name="wrn.projected._.1995._.balance._.sheet." hidden="1">{#N/A,#N/A,FALSE,"Base Info"}</definedName>
    <definedName name="wrn.projected._.1995._.balance._.sheet._1" localSheetId="0" hidden="1">{#N/A,#N/A,FALSE,"Base Info"}</definedName>
    <definedName name="wrn.projected._.1995._.balance._.sheet._1" hidden="1">{#N/A,#N/A,FALSE,"Base Info"}</definedName>
    <definedName name="wrn.projected._.1995._.cash._.receipts." localSheetId="0" hidden="1">{#N/A,#N/A,FALSE,"Base Info"}</definedName>
    <definedName name="wrn.projected._.1995._.cash._.receipts." hidden="1">{#N/A,#N/A,FALSE,"Base Info"}</definedName>
    <definedName name="wrn.projected._.1995._.cash._.receipts._1" localSheetId="0" hidden="1">{#N/A,#N/A,FALSE,"Base Info"}</definedName>
    <definedName name="wrn.projected._.1995._.cash._.receipts._1" hidden="1">{#N/A,#N/A,FALSE,"Base Info"}</definedName>
    <definedName name="wrn.projected._.1995._.revenues." localSheetId="0" hidden="1">{#N/A,#N/A,FALSE,"Base Info";#N/A,#N/A,FALSE,"Base Info"}</definedName>
    <definedName name="wrn.projected._.1995._.revenues." hidden="1">{#N/A,#N/A,FALSE,"Base Info";#N/A,#N/A,FALSE,"Base Info"}</definedName>
    <definedName name="wrn.projected._.1995._.revenues._1" localSheetId="0" hidden="1">{#N/A,#N/A,FALSE,"Base Info";#N/A,#N/A,FALSE,"Base Info"}</definedName>
    <definedName name="wrn.projected._.1995._.revenues._1" hidden="1">{#N/A,#N/A,FALSE,"Base Info";#N/A,#N/A,FALSE,"Base Info"}</definedName>
    <definedName name="wrn.projected._.revenue." localSheetId="0" hidden="1">{"projected revenue",#N/A,FALSE,"GA97"}</definedName>
    <definedName name="wrn.projected._.revenue." hidden="1">{"projected revenue",#N/A,FALSE,"GA97"}</definedName>
    <definedName name="wrn.projected._.revenue._1" localSheetId="0" hidden="1">{"projected revenue",#N/A,FALSE,"GA97"}</definedName>
    <definedName name="wrn.projected._.revenue._1" hidden="1">{"projected revenue",#N/A,FALSE,"GA97"}</definedName>
    <definedName name="wrn.proposal." localSheetId="0" hidden="1">{"summary",#N/A,TRUE,"SUMMARY";"travel_1",#N/A,TRUE,"TRAVEL";"travel_2",#N/A,TRUE,"TRAVEL";"travel_3",#N/A,TRUE,"TRAVEL";"material",#N/A,TRUE,"MATERIALS &amp; EQUIP"}</definedName>
    <definedName name="wrn.proposal." hidden="1">{"summary",#N/A,TRUE,"SUMMARY";"travel_1",#N/A,TRUE,"TRAVEL";"travel_2",#N/A,TRUE,"TRAVEL";"travel_3",#N/A,TRUE,"TRAVEL";"material",#N/A,TRUE,"MATERIALS &amp; EQUIP"}</definedName>
    <definedName name="wrn.proposal._1" localSheetId="0" hidden="1">{"summary",#N/A,TRUE,"SUMMARY";"travel_1",#N/A,TRUE,"TRAVEL";"travel_2",#N/A,TRUE,"TRAVEL";"travel_3",#N/A,TRUE,"TRAVEL";"material",#N/A,TRUE,"MATERIALS &amp; EQUIP"}</definedName>
    <definedName name="wrn.proposal._1" hidden="1">{"summary",#N/A,TRUE,"SUMMARY";"travel_1",#N/A,TRUE,"TRAVEL";"travel_2",#N/A,TRUE,"TRAVEL";"travel_3",#N/A,TRUE,"TRAVEL";"material",#N/A,TRUE,"MATERIALS &amp; EQUIP"}</definedName>
    <definedName name="wrn.proposala" localSheetId="0" hidden="1">{"summary",#N/A,TRUE,"SUMMARY";"travel_1",#N/A,TRUE,"TRAVEL";"travel_2",#N/A,TRUE,"TRAVEL";"travel_3",#N/A,TRUE,"TRAVEL";"material",#N/A,TRUE,"MATERIALS &amp; EQUIP"}</definedName>
    <definedName name="wrn.proposala" hidden="1">{"summary",#N/A,TRUE,"SUMMARY";"travel_1",#N/A,TRUE,"TRAVEL";"travel_2",#N/A,TRUE,"TRAVEL";"travel_3",#N/A,TRUE,"TRAVEL";"material",#N/A,TRUE,"MATERIALS &amp; EQUIP"}</definedName>
    <definedName name="wrn.proposala_1" localSheetId="0" hidden="1">{"summary",#N/A,TRUE,"SUMMARY";"travel_1",#N/A,TRUE,"TRAVEL";"travel_2",#N/A,TRUE,"TRAVEL";"travel_3",#N/A,TRUE,"TRAVEL";"material",#N/A,TRUE,"MATERIALS &amp; EQUIP"}</definedName>
    <definedName name="wrn.proposala_1" hidden="1">{"summary",#N/A,TRUE,"SUMMARY";"travel_1",#N/A,TRUE,"TRAVEL";"travel_2",#N/A,TRUE,"TRAVEL";"travel_3",#N/A,TRUE,"TRAVEL";"material",#N/A,TRUE,"MATERIALS &amp; EQUIP"}</definedName>
    <definedName name="wrn.QTR_FnO." localSheetId="0" hidden="1">{"(QTR&amp;YR F&amp;O) TOTAL YR",#N/A,FALSE,"QTR&amp;YR F&amp;O";"(QTR&amp;YR F&amp;O) Q1",#N/A,FALSE,"QTR&amp;YR F&amp;O";"(QTR&amp;YR F&amp;O) Q2",#N/A,FALSE,"QTR&amp;YR F&amp;O";"(QTR&amp;YR F&amp;O) Q3",#N/A,FALSE,"QTR&amp;YR F&amp;O";"(QTR&amp;YR F&amp;O) Q4",#N/A,FALSE,"QTR&amp;YR F&amp;O"}</definedName>
    <definedName name="wrn.QTR_FnO." hidden="1">{"(QTR&amp;YR F&amp;O) TOTAL YR",#N/A,FALSE,"QTR&amp;YR F&amp;O";"(QTR&amp;YR F&amp;O) Q1",#N/A,FALSE,"QTR&amp;YR F&amp;O";"(QTR&amp;YR F&amp;O) Q2",#N/A,FALSE,"QTR&amp;YR F&amp;O";"(QTR&amp;YR F&amp;O) Q3",#N/A,FALSE,"QTR&amp;YR F&amp;O";"(QTR&amp;YR F&amp;O) Q4",#N/A,FALSE,"QTR&amp;YR F&amp;O"}</definedName>
    <definedName name="wrn.Qtrly._.AOP." localSheetId="0" hidden="1">{"Quarterly",#N/A,FALSE,"99 AOP Mthly"}</definedName>
    <definedName name="wrn.Qtrly._.AOP." hidden="1">{"Quarterly",#N/A,FALSE,"99 AOP Mthly"}</definedName>
    <definedName name="wrn.Quarterly._.MIFA._.Sheets."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Rate._.Reports." localSheetId="0"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ate._.Reports._1" localSheetId="0" hidden="1">{#N/A,#N/A,FALSE,"Monthly Rate By Activity";#N/A,#N/A,FALSE,"Hourly Rate By Activity";#N/A,#N/A,FALSE,"Monthly Rate By Custom Resource";#N/A,#N/A,FALSE,"Hourly Rate By Custom Resource"}</definedName>
    <definedName name="wrn.Rate._.Reports._1" hidden="1">{#N/A,#N/A,FALSE,"Monthly Rate By Activity";#N/A,#N/A,FALSE,"Hourly Rate By Activity";#N/A,#N/A,FALSE,"Monthly Rate By Custom Resource";#N/A,#N/A,FALSE,"Hourly Rate By Custom Resource"}</definedName>
    <definedName name="wrn.RayInterest._.Fcst." localSheetId="0" hidden="1">{#N/A,#N/A,FALSE,"New DebtFcst"}</definedName>
    <definedName name="wrn.RayInterest._.Fcst." hidden="1">{#N/A,#N/A,FALSE,"New DebtFcst"}</definedName>
    <definedName name="wrn.retro." localSheetId="0" hidden="1">{#N/A,#N/A,FALSE,"Total";#N/A,#N/A,FALSE,"NRE";#N/A,#N/A,FALSE,"20 Lot";#N/A,#N/A,FALSE,"32 Lot";#N/A,#N/A,FALSE,"labor";#N/A,#N/A,FALSE,"trvl";#N/A,#N/A,FALSE,"MES NRE";#N/A,#N/A,FALSE,"MES 20";#N/A,#N/A,FALSE,"MES 32"}</definedName>
    <definedName name="wrn.retro." hidden="1">{#N/A,#N/A,FALSE,"Total";#N/A,#N/A,FALSE,"NRE";#N/A,#N/A,FALSE,"20 Lot";#N/A,#N/A,FALSE,"32 Lot";#N/A,#N/A,FALSE,"labor";#N/A,#N/A,FALSE,"trvl";#N/A,#N/A,FALSE,"MES NRE";#N/A,#N/A,FALSE,"MES 20";#N/A,#N/A,FALSE,"MES 32"}</definedName>
    <definedName name="wrn.retro._1" localSheetId="0" hidden="1">{#N/A,#N/A,FALSE,"Total";#N/A,#N/A,FALSE,"NRE";#N/A,#N/A,FALSE,"20 Lot";#N/A,#N/A,FALSE,"32 Lot";#N/A,#N/A,FALSE,"labor";#N/A,#N/A,FALSE,"trvl";#N/A,#N/A,FALSE,"MES NRE";#N/A,#N/A,FALSE,"MES 20";#N/A,#N/A,FALSE,"MES 32"}</definedName>
    <definedName name="wrn.retro._1" hidden="1">{#N/A,#N/A,FALSE,"Total";#N/A,#N/A,FALSE,"NRE";#N/A,#N/A,FALSE,"20 Lot";#N/A,#N/A,FALSE,"32 Lot";#N/A,#N/A,FALSE,"labor";#N/A,#N/A,FALSE,"trvl";#N/A,#N/A,FALSE,"MES NRE";#N/A,#N/A,FALSE,"MES 20";#N/A,#N/A,FALSE,"MES 32"}</definedName>
    <definedName name="wrn.Rippert." localSheetId="0"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0"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ROSE." localSheetId="0" hidden="1">{"Page 2",#N/A,FALSE,"2000";"Page 1",#N/A,FALSE,"2000"}</definedName>
    <definedName name="wrn.ROSE." hidden="1">{"Page 2",#N/A,FALSE,"2000";"Page 1",#N/A,FALSE,"2000"}</definedName>
    <definedName name="wrn.ROSE._1" localSheetId="0" hidden="1">{"Page 2",#N/A,FALSE,"2000";"Page 1",#N/A,FALSE,"2000"}</definedName>
    <definedName name="wrn.ROSE._1" hidden="1">{"Page 2",#N/A,FALSE,"2000";"Page 1",#N/A,FALSE,"2000"}</definedName>
    <definedName name="wrn.Sales._.and._.Profit." localSheetId="0" hidden="1">{"SalesProfFYP",#N/A,FALSE,"Sales-Profit Summ";"SALPROF99",#N/A,FALSE,"Sales-Profit Summ";"SalesProfFYP",#N/A,FALSE,"Sales-Profit Summ-Cons";"SALPROF99",#N/A,FALSE,"Sales-Profit Summ-Cons"}</definedName>
    <definedName name="wrn.Sales._.and._.Profit." hidden="1">{"SalesProfFYP",#N/A,FALSE,"Sales-Profit Summ";"SALPROF99",#N/A,FALSE,"Sales-Profit Summ";"SalesProfFYP",#N/A,FALSE,"Sales-Profit Summ-Cons";"SALPROF99",#N/A,FALSE,"Sales-Profit Summ-Cons"}</definedName>
    <definedName name="wrn.SalesMarginPages." localSheetId="0"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eal._.Team._.J6." localSheetId="0" hidden="1">{"Seal Team J6 Sum",#N/A,FALSE,"Seal Team Summary";"Seal Team J6",#N/A,FALSE,"Seal Team ";"Seal Team ODC J6",#N/A,FALSE,"Seal Team ODCs";"Seal Team Trvl J6",#N/A,FALSE," Seal Team Trvl"}</definedName>
    <definedName name="wrn.Seal._.Team._.J6." hidden="1">{"Seal Team J6 Sum",#N/A,FALSE,"Seal Team Summary";"Seal Team J6",#N/A,FALSE,"Seal Team ";"Seal Team ODC J6",#N/A,FALSE,"Seal Team ODCs";"Seal Team Trvl J6",#N/A,FALSE," Seal Team Trvl"}</definedName>
    <definedName name="wrn.Seal._.Team._.J6._1" localSheetId="0" hidden="1">{"Seal Team J6 Sum",#N/A,FALSE,"Seal Team Summary";"Seal Team J6",#N/A,FALSE,"Seal Team ";"Seal Team ODC J6",#N/A,FALSE,"Seal Team ODCs";"Seal Team Trvl J6",#N/A,FALSE," Seal Team Trvl"}</definedName>
    <definedName name="wrn.Seal._.Team._.J6._1" hidden="1">{"Seal Team J6 Sum",#N/A,FALSE,"Seal Team Summary";"Seal Team J6",#N/A,FALSE,"Seal Team ";"Seal Team ODC J6",#N/A,FALSE,"Seal Team ODCs";"Seal Team Trvl J6",#N/A,FALSE," Seal Team Trvl"}</definedName>
    <definedName name="wrn.Sheet1.Shhet8." localSheetId="0" hidden="1">{#N/A,#N/A,FALSE,"Sheet1"}</definedName>
    <definedName name="wrn.Sheet1.Shhet8." hidden="1">{#N/A,#N/A,FALSE,"Sheet1"}</definedName>
    <definedName name="wrn.Sheet1.Shhet8._1" localSheetId="0" hidden="1">{#N/A,#N/A,FALSE,"Sheet1"}</definedName>
    <definedName name="wrn.Sheet1.Shhet8._1" hidden="1">{#N/A,#N/A,FALSE,"Sheet1"}</definedName>
    <definedName name="wrn.Short._.Report." localSheetId="0" hidden="1">{#N/A,#N/A,TRUE,"Cover";#N/A,#N/A,TRUE,"Header (eu)";#N/A,#N/A,TRUE,"Region Charts";#N/A,#N/A,TRUE,"T&amp;O By Region";#N/A,#N/A,TRUE,"AD Report"}</definedName>
    <definedName name="wrn.Short._.Report." hidden="1">{#N/A,#N/A,TRUE,"Cover";#N/A,#N/A,TRUE,"Header (eu)";#N/A,#N/A,TRUE,"Region Charts";#N/A,#N/A,TRUE,"T&amp;O By Region";#N/A,#N/A,TRUE,"AD Report"}</definedName>
    <definedName name="wrn.SOZA_SPA._.Task." localSheetId="0" hidden="1">{#N/A,#N/A,FALSE,"99-SPA_Profit Report";#N/A,#N/A,FALSE,"99-SPA_Report"}</definedName>
    <definedName name="wrn.SOZA_SPA._.Task." hidden="1">{#N/A,#N/A,FALSE,"99-SPA_Profit Report";#N/A,#N/A,FALSE,"99-SPA_Report"}</definedName>
    <definedName name="wrn.Staffing." localSheetId="0" hidden="1">{#N/A,#N/A,FALSE,"Assessment";#N/A,#N/A,FALSE,"Staffing";#N/A,#N/A,FALSE,"Hires";#N/A,#N/A,FALSE,"Assumptions"}</definedName>
    <definedName name="wrn.Staffing." hidden="1">{#N/A,#N/A,FALSE,"Assessment";#N/A,#N/A,FALSE,"Staffing";#N/A,#N/A,FALSE,"Hires";#N/A,#N/A,FALSE,"Assumptions"}</definedName>
    <definedName name="wrn.Staffing._.Inputs." localSheetId="0"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_.Inputs._1" localSheetId="0" hidden="1">{#N/A,#N/A,FALSE,"Overall Staffing Review";#N/A,#N/A,FALSE,"Detailed Resource Mix Review";#N/A,#N/A,FALSE,"Detailed Pyramid Review";#N/A,#N/A,FALSE,"Hours By Activity";#N/A,#N/A,FALSE,"Hours By Custom Resource"}</definedName>
    <definedName name="wrn.Staffing._.Inputs._1" hidden="1">{#N/A,#N/A,FALSE,"Overall Staffing Review";#N/A,#N/A,FALSE,"Detailed Resource Mix Review";#N/A,#N/A,FALSE,"Detailed Pyramid Review";#N/A,#N/A,FALSE,"Hours By Activity";#N/A,#N/A,FALSE,"Hours By Custom Resource"}</definedName>
    <definedName name="wrn.Staffing._1" localSheetId="0" hidden="1">{#N/A,#N/A,FALSE,"Assessment";#N/A,#N/A,FALSE,"Staffing";#N/A,#N/A,FALSE,"Hires";#N/A,#N/A,FALSE,"Assumptions"}</definedName>
    <definedName name="wrn.Staffing._1" hidden="1">{#N/A,#N/A,FALSE,"Assessment";#N/A,#N/A,FALSE,"Staffing";#N/A,#N/A,FALSE,"Hires";#N/A,#N/A,FALSE,"Assumptions"}</definedName>
    <definedName name="wrn.Staffing1" localSheetId="0" hidden="1">{#N/A,#N/A,FALSE,"Assessment";#N/A,#N/A,FALSE,"Staffing";#N/A,#N/A,FALSE,"Hires";#N/A,#N/A,FALSE,"Assumptions"}</definedName>
    <definedName name="wrn.Staffing1" hidden="1">{#N/A,#N/A,FALSE,"Assessment";#N/A,#N/A,FALSE,"Staffing";#N/A,#N/A,FALSE,"Hires";#N/A,#N/A,FALSE,"Assumptions"}</definedName>
    <definedName name="wrn.Staffing1_1" localSheetId="0" hidden="1">{#N/A,#N/A,FALSE,"Assessment";#N/A,#N/A,FALSE,"Staffing";#N/A,#N/A,FALSE,"Hires";#N/A,#N/A,FALSE,"Assumptions"}</definedName>
    <definedName name="wrn.Staffing1_1" hidden="1">{#N/A,#N/A,FALSE,"Assessment";#N/A,#N/A,FALSE,"Staffing";#N/A,#N/A,FALSE,"Hires";#N/A,#N/A,FALSE,"Assumptions"}</definedName>
    <definedName name="wrn.Statement._.Review."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UB._.BY._.QTR." localSheetId="0" hidden="1">{"ANNUAL SUBS",#N/A,FALSE,"SUB BY QTR";"QTR 1 SUBS",#N/A,FALSE,"SUB BY QTR";"QTR 2 SUBS",#N/A,FALSE,"SUB BY QTR";"QTR 3 SUBS",#N/A,FALSE,"SUB BY QTR";"QTR 4 SUBS",#N/A,FALSE,"SUB BY QTR"}</definedName>
    <definedName name="wrn.SUB._.BY._.QTR." hidden="1">{"ANNUAL SUBS",#N/A,FALSE,"SUB BY QTR";"QTR 1 SUBS",#N/A,FALSE,"SUB BY QTR";"QTR 2 SUBS",#N/A,FALSE,"SUB BY QTR";"QTR 3 SUBS",#N/A,FALSE,"SUB BY QTR";"QTR 4 SUBS",#N/A,FALSE,"SUB BY QTR"}</definedName>
    <definedName name="wrn.Subs._.Stand._.Alone." localSheetId="0" hidden="1">{#N/A,#N/A,FALSE,"Factory";#N/A,#N/A,FALSE,"TSD";#N/A,#N/A,FALSE,"Manufacturing Co";#N/A,#N/A,FALSE,"RACC";#N/A,#N/A,FALSE,"RAS";#N/A,#N/A,FALSE,"RA";#N/A,#N/A,FALSE,"TAI";#N/A,#N/A,FALSE,"RAPID";#N/A,#N/A,FALSE,"AAI";#N/A,#N/A,FALSE,"RTA";#N/A,#N/A,FALSE,"MONTEK";#N/A,#N/A,FALSE,"elim"}</definedName>
    <definedName name="wrn.Subs._.Stand._.Alone." hidden="1">{#N/A,#N/A,FALSE,"Factory";#N/A,#N/A,FALSE,"TSD";#N/A,#N/A,FALSE,"Manufacturing Co";#N/A,#N/A,FALSE,"RACC";#N/A,#N/A,FALSE,"RAS";#N/A,#N/A,FALSE,"RA";#N/A,#N/A,FALSE,"TAI";#N/A,#N/A,FALSE,"RAPID";#N/A,#N/A,FALSE,"AAI";#N/A,#N/A,FALSE,"RTA";#N/A,#N/A,FALSE,"MONTEK";#N/A,#N/A,FALSE,"elim"}</definedName>
    <definedName name="wrn.Subs._.Stand._.Alone._.PL." localSheetId="0" hidden="1">{#N/A,#N/A,FALSE,"ConsByMo";#N/A,#N/A,FALSE,"RAHI";#N/A,#N/A,FALSE,"Elim";#N/A,#N/A,FALSE,"Factory";#N/A,#N/A,FALSE,"TSD";#N/A,#N/A,FALSE,"AMC";#N/A,#N/A,FALSE,"RAPID";#N/A,#N/A,FALSE,"RTA";#N/A,#N/A,FALSE,"RA";#N/A,#N/A,FALSE,"RAS";#N/A,#N/A,FALSE,"RACC";#N/A,#N/A,FALSE,"TAI";#N/A,#N/A,FALSE,"AAI";#N/A,#N/A,FALSE,"CHARTER"}</definedName>
    <definedName name="wrn.Subs._.Stand._.Alone._.PL." hidden="1">{#N/A,#N/A,FALSE,"ConsByMo";#N/A,#N/A,FALSE,"RAHI";#N/A,#N/A,FALSE,"Elim";#N/A,#N/A,FALSE,"Factory";#N/A,#N/A,FALSE,"TSD";#N/A,#N/A,FALSE,"AMC";#N/A,#N/A,FALSE,"RAPID";#N/A,#N/A,FALSE,"RTA";#N/A,#N/A,FALSE,"RA";#N/A,#N/A,FALSE,"RAS";#N/A,#N/A,FALSE,"RACC";#N/A,#N/A,FALSE,"TAI";#N/A,#N/A,FALSE,"AAI";#N/A,#N/A,FALSE,"CHARTER"}</definedName>
    <definedName name="wrn.SUBS_STAND._.ALONE." localSheetId="0" hidden="1">{#N/A,#N/A,FALSE,"ELIM";#N/A,#N/A,FALSE,"Factory";#N/A,#N/A,FALSE,"TSD";#N/A,#N/A,FALSE,"RACC";#N/A,#N/A,FALSE,"RAS";#N/A,#N/A,FALSE,"RA";#N/A,#N/A,FALSE,"TAI";#N/A,#N/A,FALSE,"RAPID";#N/A,#N/A,FALSE,"RTA";#N/A,#N/A,FALSE,"MONTEK";#N/A,#N/A,FALSE,"AAI"}</definedName>
    <definedName name="wrn.SUBS_STAND._.ALONE." hidden="1">{#N/A,#N/A,FALSE,"ELIM";#N/A,#N/A,FALSE,"Factory";#N/A,#N/A,FALSE,"TSD";#N/A,#N/A,FALSE,"RACC";#N/A,#N/A,FALSE,"RAS";#N/A,#N/A,FALSE,"RA";#N/A,#N/A,FALSE,"TAI";#N/A,#N/A,FALSE,"RAPID";#N/A,#N/A,FALSE,"RTA";#N/A,#N/A,FALSE,"MONTEK";#N/A,#N/A,FALSE,"AAI"}</definedName>
    <definedName name="wrn.SUMMARY._.REPORT." localSheetId="0" hidden="1">{#N/A,#N/A,FALSE,"Summary Report"}</definedName>
    <definedName name="wrn.SUMMARY._.REPORT." hidden="1">{#N/A,#N/A,FALSE,"Summary Report"}</definedName>
    <definedName name="wrn.SummaryBudget." localSheetId="0" hidden="1">{"Normal",#N/A,FALSE,"SummaryBudget";"Baseandoy",#N/A,FALSE,"SummaryBudget"}</definedName>
    <definedName name="wrn.SummaryBudget." hidden="1">{"Normal",#N/A,FALSE,"SummaryBudget";"Baseandoy",#N/A,FALSE,"SummaryBudget"}</definedName>
    <definedName name="wrn.SummaryBudget._1" localSheetId="0" hidden="1">{"Normal",#N/A,FALSE,"SummaryBudget";"Baseandoy",#N/A,FALSE,"SummaryBudget"}</definedName>
    <definedName name="wrn.SummaryBudget._1" hidden="1">{"Normal",#N/A,FALSE,"SummaryBudget";"Baseandoy",#N/A,FALSE,"SummaryBudget"}</definedName>
    <definedName name="wrn.Supplemental._.Information." localSheetId="0" hidden="1">{#N/A,#N/A,FALSE,"Assumptions";#N/A,#N/A,FALSE,"DNP Expense Summary";#N/A,#N/A,FALSE,"Sensitivity Analysis"}</definedName>
    <definedName name="wrn.Supplemental._.Information." hidden="1">{#N/A,#N/A,FALSE,"Assumptions";#N/A,#N/A,FALSE,"DNP Expense Summary";#N/A,#N/A,FALSE,"Sensitivity Analysis"}</definedName>
    <definedName name="wrn.Supplemental._.Information._1" localSheetId="0" hidden="1">{#N/A,#N/A,FALSE,"Assumptions";#N/A,#N/A,FALSE,"DNP Expense Summary";#N/A,#N/A,FALSE,"Sensitivity Analysis"}</definedName>
    <definedName name="wrn.Supplemental._.Information._1" hidden="1">{#N/A,#N/A,FALSE,"Assumptions";#N/A,#N/A,FALSE,"DNP Expense Summary";#N/A,#N/A,FALSE,"Sensitivity Analysis"}</definedName>
    <definedName name="wrn.SYSGRP._.Summary." localSheetId="0" hidden="1">{#N/A,#N/A,TRUE,"Revenue";#N/A,#N/A,TRUE,"Profit";#N/A,#N/A,TRUE,"ODCs";#N/A,#N/A,TRUE,"DirLabor";#N/A,#N/A,TRUE,"SysGrp People"}</definedName>
    <definedName name="wrn.SYSGRP._.Summary." hidden="1">{#N/A,#N/A,TRUE,"Revenue";#N/A,#N/A,TRUE,"Profit";#N/A,#N/A,TRUE,"ODCs";#N/A,#N/A,TRUE,"DirLabor";#N/A,#N/A,TRUE,"SysGrp People"}</definedName>
    <definedName name="wrn.SYSGRP._.Summary._1" localSheetId="0" hidden="1">{#N/A,#N/A,TRUE,"Revenue";#N/A,#N/A,TRUE,"Profit";#N/A,#N/A,TRUE,"ODCs";#N/A,#N/A,TRUE,"DirLabor";#N/A,#N/A,TRUE,"SysGrp People"}</definedName>
    <definedName name="wrn.SYSGRP._.Summary._1" hidden="1">{#N/A,#N/A,TRUE,"Revenue";#N/A,#N/A,TRUE,"Profit";#N/A,#N/A,TRUE,"ODCs";#N/A,#N/A,TRUE,"DirLabor";#N/A,#N/A,TRUE,"SysGrp People"}</definedName>
    <definedName name="wrn.Task._.Order._.Status." localSheetId="0" hidden="1">{"Text View",#N/A,FALSE,"Task Order Status"}</definedName>
    <definedName name="wrn.Task._.Order._.Status." hidden="1">{"Text View",#N/A,FALSE,"Task Order Status"}</definedName>
    <definedName name="wrn.Task._.Order._.Status._1" localSheetId="0" hidden="1">{"Text View",#N/A,FALSE,"Task Order Status"}</definedName>
    <definedName name="wrn.Task._.Order._.Status._1" hidden="1">{"Text View",#N/A,FALSE,"Task Order Status"}</definedName>
    <definedName name="wrn.TAX._.FORMS." localSheetId="0" hidden="1">{#N/A,#N/A,FALSE,"TOS"}</definedName>
    <definedName name="wrn.TAX._.FORMS." hidden="1">{#N/A,#N/A,FALSE,"TOS"}</definedName>
    <definedName name="wrn.template" localSheetId="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0" hidden="1">{#N/A,#N/A,FALSE,"GORSUM";#N/A,#N/A,FALSE,"U-GORAnaly"}</definedName>
    <definedName name="wrn.test." hidden="1">{#N/A,#N/A,FALSE,"GORSUM";#N/A,#N/A,FALSE,"U-GORAnaly"}</definedName>
    <definedName name="wrn.test._1" localSheetId="0" hidden="1">{"page1",#N/A,TRUE,"Sheet1";"page2",#N/A,TRUE,"Sheet1"}</definedName>
    <definedName name="wrn.test._1" hidden="1">{"page1",#N/A,TRUE,"Sheet1";"page2",#N/A,TRUE,"Sheet1"}</definedName>
    <definedName name="wrn.TF._.FORMS." localSheetId="0" hidden="1">{#N/A,#N/A,FALSE,"TFSFAS";#N/A,#N/A,FALSE,"TFSLCE"}</definedName>
    <definedName name="wrn.TF._.FORMS." hidden="1">{#N/A,#N/A,FALSE,"TFSFAS";#N/A,#N/A,FALSE,"TFSLCE"}</definedName>
    <definedName name="wrn.TFSFAS." localSheetId="0" hidden="1">{#N/A,#N/A,FALSE,"TFSFAS"}</definedName>
    <definedName name="wrn.TFSFAS." hidden="1">{#N/A,#N/A,FALSE,"TFSFAS"}</definedName>
    <definedName name="wrn.TFSLCE." localSheetId="0" hidden="1">{#N/A,#N/A,FALSE,"TFSLCE"}</definedName>
    <definedName name="wrn.TFSLCE." hidden="1">{#N/A,#N/A,FALSE,"TFSLCE"}</definedName>
    <definedName name="wrn.TOP._.LEVEL." localSheetId="0" hidden="1">{"GFY SUMMARY","ATT. A",FALSE,"TOTALS";"GFY 95","GFY 95",FALSE,"TOTALS";"GFY 96","GFY 96",FALSE,"TOTALS";"GFY 97","GFY 97",FALSE,"TOTALS"}</definedName>
    <definedName name="wrn.TOP._.LEVEL." hidden="1">{"GFY SUMMARY","ATT. A",FALSE,"TOTALS";"GFY 95","GFY 95",FALSE,"TOTALS";"GFY 96","GFY 96",FALSE,"TOTALS";"GFY 97","GFY 97",FALSE,"TOTALS"}</definedName>
    <definedName name="wrn.total." localSheetId="0" hidden="1">{#N/A,#N/A,FALSE,"Summary";#N/A,#N/A,FALSE,"Berkeley";#N/A,#N/A,FALSE,"HS";#N/A,#N/A,FALSE,"Brookside";#N/A,#N/A,FALSE,"George";#N/A,#N/A,FALSE,"Ketler";#N/A,#N/A,FALSE,"Washington"}</definedName>
    <definedName name="wrn.Total."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RAVEL._.DETAIL." localSheetId="0" hidden="1">{#N/A,#N/A,FALSE,"Sheet1"}</definedName>
    <definedName name="wrn.TRAVEL._.DETAIL." hidden="1">{#N/A,#N/A,FALSE,"Sheet1"}</definedName>
    <definedName name="wrn.Trust._.Entries._.for._.JWH." localSheetId="0" hidden="1">{"Trust Entries for JWH",#N/A,FALSE,"JWAE"}</definedName>
    <definedName name="wrn.Trust._.Entries._.for._.JWH." hidden="1">{"Trust Entries for JWH",#N/A,FALSE,"JWAE"}</definedName>
    <definedName name="wrn.USAFA._.FPR." localSheetId="0" hidden="1">{#N/A,#N/A,FALSE,"TAB 4 total  contract rollup";#N/A,#N/A,FALSE,"TAB 9 Price Support Data";#N/A,#N/A,FALSE,"TAB 9 Direct Rate Table";#N/A,#N/A,FALSE,"TAB 9 indirect rate table";#N/A,#N/A,FALSE,"TAB 9 SCA_Project Fringe";#N/A,#N/A,FALSE,"TAB 9 davis bacon Fringe"}</definedName>
    <definedName name="wrn.USAFA._.FPR." hidden="1">{#N/A,#N/A,FALSE,"TAB 4 total  contract rollup";#N/A,#N/A,FALSE,"TAB 9 Price Support Data";#N/A,#N/A,FALSE,"TAB 9 Direct Rate Table";#N/A,#N/A,FALSE,"TAB 9 indirect rate table";#N/A,#N/A,FALSE,"TAB 9 SCA_Project Fringe";#N/A,#N/A,FALSE,"TAB 9 davis bacon Fringe"}</definedName>
    <definedName name="wrn.USDA_DM." localSheetId="0" hidden="1">{#N/A,#N/A,FALSE,"Profit Report";#N/A,#N/A,FALSE,"Customer_Report";#N/A,#N/A,FALSE,"Chart";#N/A,#N/A,FALSE,"Plan vs Actuals Hours"}</definedName>
    <definedName name="wrn.USDA_DM." hidden="1">{#N/A,#N/A,FALSE,"Profit Report";#N/A,#N/A,FALSE,"Customer_Report";#N/A,#N/A,FALSE,"Chart";#N/A,#N/A,FALSE,"Plan vs Actuals Hours"}</definedName>
    <definedName name="wrn.VARIANCE._.FORMS." localSheetId="0" hidden="1">{#N/A,#N/A,FALSE,"V04";#N/A,#N/A,FALSE,"V06";#N/A,#N/A,FALSE,"V07";#N/A,#N/A,FALSE,"V08";#N/A,#N/A,FALSE,"V09"}</definedName>
    <definedName name="wrn.VARIANCE._.FORMS." hidden="1">{#N/A,#N/A,FALSE,"V04";#N/A,#N/A,FALSE,"V06";#N/A,#N/A,FALSE,"V07";#N/A,#N/A,FALSE,"V08";#N/A,#N/A,FALSE,"V09"}</definedName>
    <definedName name="wrn.wbs._.summary." localSheetId="0" hidden="1">{"BASE",#N/A,FALSE,"WBS SUMMARY";"OPTION",#N/A,FALSE,"WBS SUMMARY"}</definedName>
    <definedName name="wrn.wbs._.summary." hidden="1">{"BASE",#N/A,FALSE,"WBS SUMMARY";"OPTION",#N/A,FALSE,"WBS SUMMARY"}</definedName>
    <definedName name="wrn.weekly._.report." localSheetId="0" hidden="1">{#N/A,#N/A,FALSE,"TITLE";#N/A,#N/A,FALSE,"SUMMARY";#N/A,#N/A,FALSE,"TOTAL";#N/A,#N/A,FALSE,"WEEKLY";#N/A,#N/A,FALSE,"PHASES";#N/A,#N/A,FALSE,"SUPPORT";#N/A,#N/A,FALSE,"DETAIL";#N/A,#N/A,FALSE,"P.I. HOL"}</definedName>
    <definedName name="wrn.weekly._.report." hidden="1">{#N/A,#N/A,FALSE,"TITLE";#N/A,#N/A,FALSE,"SUMMARY";#N/A,#N/A,FALSE,"TOTAL";#N/A,#N/A,FALSE,"WEEKLY";#N/A,#N/A,FALSE,"PHASES";#N/A,#N/A,FALSE,"SUPPORT";#N/A,#N/A,FALSE,"DETAIL";#N/A,#N/A,FALSE,"P.I. HOL"}</definedName>
    <definedName name="wrn.workpapers." localSheetId="0" hidden="1">{"dl",#N/A,FALSE,"Core";"indirects",#N/A,FALSE,"Core";"profit",#N/A,FALSE,"Core"}</definedName>
    <definedName name="wrn.workpapers." hidden="1">{"dl",#N/A,FALSE,"Core";"indirects",#N/A,FALSE,"Core";"profit",#N/A,FALSE,"Core"}</definedName>
    <definedName name="wrn.workpapers._1" localSheetId="0" hidden="1">{"dl",#N/A,FALSE,"Core";"indirects",#N/A,FALSE,"Core";"profit",#N/A,FALSE,"Core"}</definedName>
    <definedName name="wrn.workpapers._1" hidden="1">{"dl",#N/A,FALSE,"Core";"indirects",#N/A,FALSE,"Core";"profit",#N/A,FALSE,"Core"}</definedName>
    <definedName name="wrn.Yr1." localSheetId="0" hidden="1">{"Expat1",#N/A,TRUE,"Detailed Budget Year One";"Home1",#N/A,TRUE,"Detailed Budget Year One";"Egypt1",#N/A,TRUE,"Detailed Budget Year One"}</definedName>
    <definedName name="wrn.Yr1." hidden="1">{"Expat1",#N/A,TRUE,"Detailed Budget Year One";"Home1",#N/A,TRUE,"Detailed Budget Year One";"Egypt1",#N/A,TRUE,"Detailed Budget Year One"}</definedName>
    <definedName name="wrn.Yr1._1" localSheetId="0" hidden="1">{"Expat1",#N/A,TRUE,"Detailed Budget Year One";"Home1",#N/A,TRUE,"Detailed Budget Year One";"Egypt1",#N/A,TRUE,"Detailed Budget Year One"}</definedName>
    <definedName name="wrn.Yr1._1" hidden="1">{"Expat1",#N/A,TRUE,"Detailed Budget Year One";"Home1",#N/A,TRUE,"Detailed Budget Year One";"Egypt1",#N/A,TRUE,"Detailed Budget Year One"}</definedName>
    <definedName name="wrn.Yr2." localSheetId="0" hidden="1">{"ExpatandhomeYr2",#N/A,FALSE,"Detailed Budget Year Two";"EgyptandtotYr2",#N/A,FALSE,"Detailed Budget Year Two"}</definedName>
    <definedName name="wrn.Yr2." hidden="1">{"ExpatandhomeYr2",#N/A,FALSE,"Detailed Budget Year Two";"EgyptandtotYr2",#N/A,FALSE,"Detailed Budget Year Two"}</definedName>
    <definedName name="wrn.Yr2._1" localSheetId="0" hidden="1">{"ExpatandhomeYr2",#N/A,FALSE,"Detailed Budget Year Two";"EgyptandtotYr2",#N/A,FALSE,"Detailed Budget Year Two"}</definedName>
    <definedName name="wrn.Yr2._1" hidden="1">{"ExpatandhomeYr2",#N/A,FALSE,"Detailed Budget Year Two";"EgyptandtotYr2",#N/A,FALSE,"Detailed Budget Year Two"}</definedName>
    <definedName name="wrn.ZONI." localSheetId="0" hidden="1">{"ZONI",#N/A,FALSE,"8401detail"}</definedName>
    <definedName name="wrn.ZONI." hidden="1">{"ZONI",#N/A,FALSE,"8401detail"}</definedName>
    <definedName name="wrn.ZONI._1" localSheetId="0" hidden="1">{"ZONI",#N/A,FALSE,"8401detail"}</definedName>
    <definedName name="wrn.ZONI._1" hidden="1">{"ZONI",#N/A,FALSE,"8401detail"}</definedName>
    <definedName name="wrn.zonib" localSheetId="0" hidden="1">{"ZONI",#N/A,FALSE,"8401detail"}</definedName>
    <definedName name="wrn.zonib" hidden="1">{"ZONI",#N/A,FALSE,"8401detail"}</definedName>
    <definedName name="wrn.zonib_1" localSheetId="0" hidden="1">{"ZONI",#N/A,FALSE,"8401detail"}</definedName>
    <definedName name="wrn.zonib_1" hidden="1">{"ZONI",#N/A,FALSE,"8401detail"}</definedName>
    <definedName name="wrn1.price." localSheetId="0" hidden="1">{"PAGE1",#N/A,FALSE,"CPFFMSTR";"PAGE2",#N/A,FALSE,"CPFFMSTR"}</definedName>
    <definedName name="wrn1.price." hidden="1">{"PAGE1",#N/A,FALSE,"CPFFMSTR";"PAGE2",#N/A,FALSE,"CPFFMSTR"}</definedName>
    <definedName name="wrn1.price._1" localSheetId="0" hidden="1">{"PAGE1",#N/A,FALSE,"CPFFMSTR";"PAGE2",#N/A,FALSE,"CPFFMSTR"}</definedName>
    <definedName name="wrn1.price._1" hidden="1">{"PAGE1",#N/A,FALSE,"CPFFMSTR";"PAGE2",#N/A,FALSE,"CPFFMSTR"}</definedName>
    <definedName name="wrnExecReports" localSheetId="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Financials" localSheetId="0"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inancials_1" localSheetId="0" hidden="1">{#N/A,#N/A,FALSE,"Year";#N/A,#N/A,FALSE,"AC Fiscal Year";#N/A,#N/A,FALSE,"Financials By Line of Business";#N/A,#N/A,FALSE,"Line of Business Review";#N/A,#N/A,FALSE,"Activity Review";#N/A,#N/A,FALSE,"Financials By Custom Resource";#N/A,#N/A,FALSE,"Custom Resource Review"}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Jury" localSheetId="0"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Jury_1" localSheetId="0"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RateReports" localSheetId="0" hidden="1">{#N/A,#N/A,FALSE,"Monthly Rate By Activity";#N/A,#N/A,FALSE,"Hourly Rate By Activity";#N/A,#N/A,FALSE,"Monthly Rate By Custom Resource";#N/A,#N/A,FALSE,"Hourly Rate By Custom Resource"}</definedName>
    <definedName name="wrnRateReports" hidden="1">{#N/A,#N/A,FALSE,"Monthly Rate By Activity";#N/A,#N/A,FALSE,"Hourly Rate By Activity";#N/A,#N/A,FALSE,"Monthly Rate By Custom Resource";#N/A,#N/A,FALSE,"Hourly Rate By Custom Resource"}</definedName>
    <definedName name="wrnRateReports_1" localSheetId="0" hidden="1">{#N/A,#N/A,FALSE,"Monthly Rate By Activity";#N/A,#N/A,FALSE,"Hourly Rate By Activity";#N/A,#N/A,FALSE,"Monthly Rate By Custom Resource";#N/A,#N/A,FALSE,"Hourly Rate By Custom Resource"}</definedName>
    <definedName name="wrnRateReports_1" hidden="1">{#N/A,#N/A,FALSE,"Monthly Rate By Activity";#N/A,#N/A,FALSE,"Hourly Rate By Activity";#N/A,#N/A,FALSE,"Monthly Rate By Custom Resource";#N/A,#N/A,FALSE,"Hourly Rate By Custom Resource"}</definedName>
    <definedName name="wrnRippert" localSheetId="0"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0"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Staffing" localSheetId="0" hidden="1">{#N/A,#N/A,FALSE,"Assessment";#N/A,#N/A,FALSE,"Staffing";#N/A,#N/A,FALSE,"Hires";#N/A,#N/A,FALSE,"Assumptions"}</definedName>
    <definedName name="wrnStaffing" hidden="1">{#N/A,#N/A,FALSE,"Assessment";#N/A,#N/A,FALSE,"Staffing";#N/A,#N/A,FALSE,"Hires";#N/A,#N/A,FALSE,"Assumptions"}</definedName>
    <definedName name="wrnStaffing_1" localSheetId="0" hidden="1">{#N/A,#N/A,FALSE,"Assessment";#N/A,#N/A,FALSE,"Staffing";#N/A,#N/A,FALSE,"Hires";#N/A,#N/A,FALSE,"Assumptions"}</definedName>
    <definedName name="wrnStaffing_1" hidden="1">{#N/A,#N/A,FALSE,"Assessment";#N/A,#N/A,FALSE,"Staffing";#N/A,#N/A,FALSE,"Hires";#N/A,#N/A,FALSE,"Assumptions"}</definedName>
    <definedName name="wrnStaffing1" localSheetId="0" hidden="1">{#N/A,#N/A,FALSE,"Assessment";#N/A,#N/A,FALSE,"Staffing";#N/A,#N/A,FALSE,"Hires";#N/A,#N/A,FALSE,"Assumptions"}</definedName>
    <definedName name="wrnStaffing1" hidden="1">{#N/A,#N/A,FALSE,"Assessment";#N/A,#N/A,FALSE,"Staffing";#N/A,#N/A,FALSE,"Hires";#N/A,#N/A,FALSE,"Assumptions"}</definedName>
    <definedName name="wrnStaffing1_1" localSheetId="0" hidden="1">{#N/A,#N/A,FALSE,"Assessment";#N/A,#N/A,FALSE,"Staffing";#N/A,#N/A,FALSE,"Hires";#N/A,#N/A,FALSE,"Assumptions"}</definedName>
    <definedName name="wrnStaffing1_1" hidden="1">{#N/A,#N/A,FALSE,"Assessment";#N/A,#N/A,FALSE,"Staffing";#N/A,#N/A,FALSE,"Hires";#N/A,#N/A,FALSE,"Assumptions"}</definedName>
    <definedName name="wrnStaffingInputs" localSheetId="0" hidden="1">{#N/A,#N/A,FALSE,"Overall Staffing Review";#N/A,#N/A,FALSE,"Detailed Resource Mix Review";#N/A,#N/A,FALSE,"Detailed Pyramid Review";#N/A,#N/A,FALSE,"Hours By Activity";#N/A,#N/A,FALSE,"Hours By Custom Resource"}</definedName>
    <definedName name="wrnStaffingInputs" hidden="1">{#N/A,#N/A,FALSE,"Overall Staffing Review";#N/A,#N/A,FALSE,"Detailed Resource Mix Review";#N/A,#N/A,FALSE,"Detailed Pyramid Review";#N/A,#N/A,FALSE,"Hours By Activity";#N/A,#N/A,FALSE,"Hours By Custom Resource"}</definedName>
    <definedName name="wrnStaffingInputs_1" localSheetId="0" hidden="1">{#N/A,#N/A,FALSE,"Overall Staffing Review";#N/A,#N/A,FALSE,"Detailed Resource Mix Review";#N/A,#N/A,FALSE,"Detailed Pyramid Review";#N/A,#N/A,FALSE,"Hours By Activity";#N/A,#N/A,FALSE,"Hours By Custom Resource"}</definedName>
    <definedName name="wrnStaffingInputs_1" hidden="1">{#N/A,#N/A,FALSE,"Overall Staffing Review";#N/A,#N/A,FALSE,"Detailed Resource Mix Review";#N/A,#N/A,FALSE,"Detailed Pyramid Review";#N/A,#N/A,FALSE,"Hours By Activity";#N/A,#N/A,FALSE,"Hours By Custom Resource"}</definedName>
    <definedName name="wrnSupplementalInformation" localSheetId="0" hidden="1">{#N/A,#N/A,FALSE,"Assumptions";#N/A,#N/A,FALSE,"DNP Expense Summary";#N/A,#N/A,FALSE,"Sensitivity Analysis"}</definedName>
    <definedName name="wrnSupplementalInformation" hidden="1">{#N/A,#N/A,FALSE,"Assumptions";#N/A,#N/A,FALSE,"DNP Expense Summary";#N/A,#N/A,FALSE,"Sensitivity Analysis"}</definedName>
    <definedName name="wrnSupplementalInformation_1" localSheetId="0" hidden="1">{#N/A,#N/A,FALSE,"Assumptions";#N/A,#N/A,FALSE,"DNP Expense Summary";#N/A,#N/A,FALSE,"Sensitivity Analysis"}</definedName>
    <definedName name="wrnSupplementalInformation_1" hidden="1">{#N/A,#N/A,FALSE,"Assumptions";#N/A,#N/A,FALSE,"DNP Expense Summary";#N/A,#N/A,FALSE,"Sensitivity Analysis"}</definedName>
    <definedName name="WRT" localSheetId="0" hidden="1">{#N/A,#N/A,FALSE,"WBS 1.06";#N/A,#N/A,FALSE,"WBS 1.14";#N/A,#N/A,FALSE,"WBS 1.17";#N/A,#N/A,FALSE,"WBS 1.18"}</definedName>
    <definedName name="WRT" hidden="1">{#N/A,#N/A,FALSE,"WBS 1.06";#N/A,#N/A,FALSE,"WBS 1.14";#N/A,#N/A,FALSE,"WBS 1.17";#N/A,#N/A,FALSE,"WBS 1.18"}</definedName>
    <definedName name="wvu.fullpage."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PRESENTATION." localSheetId="0"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hidden="1">{TRUE,TRUE,-0.8,-17,483.6,277.2,FALSE,TRUE,TRUE,TRUE,0,1,#N/A,1,#N/A,52.4666666666667,24.0625,1,FALSE,FALSE,3,TRUE,1,FALSE,75,"Swvu.PRESENTATION.","ACwvu.PRESENTATION.",#N/A,FALSE,FALSE,0,0,0.5,0,2,"","",TRUE,FALSE,FALSE,FALSE,1,#N/A,1,1,FALSE,FALSE,"Rwvu.PRESENTATION.",#N/A,FALSE,FALSE,FALSE,1,#N/A,#N/A,FALSE,FALSE,TRUE,TRUE,TRUE}</definedName>
    <definedName name="wvu.small."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b"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c"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d"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e"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f"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g"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h"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j"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x"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y"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z"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w" localSheetId="0" hidden="1">{#N/A,#N/A,FALSE,"WBS 1.06";#N/A,#N/A,FALSE,"WBS 1.14";#N/A,#N/A,FALSE,"WBS 1.17";#N/A,#N/A,FALSE,"WBS 1.18"}</definedName>
    <definedName name="ww" hidden="1">{#N/A,#N/A,FALSE,"WBS 1.06";#N/A,#N/A,FALSE,"WBS 1.14";#N/A,#N/A,FALSE,"WBS 1.17";#N/A,#N/A,FALSE,"WBS 1.18"}</definedName>
    <definedName name="wwe" localSheetId="0" hidden="1">{#N/A,#N/A,FALSE,"WBS 1.06";#N/A,#N/A,FALSE,"WBS 1.14";#N/A,#N/A,FALSE,"WBS 1.17";#N/A,#N/A,FALSE,"WBS 1.18"}</definedName>
    <definedName name="wwe" hidden="1">{#N/A,#N/A,FALSE,"WBS 1.06";#N/A,#N/A,FALSE,"WBS 1.14";#N/A,#N/A,FALSE,"WBS 1.17";#N/A,#N/A,FALSE,"WBS 1.18"}</definedName>
    <definedName name="wwee" localSheetId="0" hidden="1">{#N/A,#N/A,FALSE,"WBS 1.06";#N/A,#N/A,FALSE,"WBS 1.14";#N/A,#N/A,FALSE,"WBS 1.17";#N/A,#N/A,FALSE,"WBS 1.18"}</definedName>
    <definedName name="wwee" hidden="1">{#N/A,#N/A,FALSE,"WBS 1.06";#N/A,#N/A,FALSE,"WBS 1.14";#N/A,#N/A,FALSE,"WBS 1.17";#N/A,#N/A,FALSE,"WBS 1.18"}</definedName>
    <definedName name="wwer" localSheetId="0" hidden="1">{#N/A,#N/A,FALSE,"WBS 1.06";#N/A,#N/A,FALSE,"WBS 1.14";#N/A,#N/A,FALSE,"WBS 1.17";#N/A,#N/A,FALSE,"WBS 1.18"}</definedName>
    <definedName name="wwer" hidden="1">{#N/A,#N/A,FALSE,"WBS 1.06";#N/A,#N/A,FALSE,"WBS 1.14";#N/A,#N/A,FALSE,"WBS 1.17";#N/A,#N/A,FALSE,"WBS 1.18"}</definedName>
    <definedName name="wwrn" localSheetId="0" hidden="1">{#N/A,#N/A,FALSE,"A6 CLIN 0001";#N/A,#N/A,FALSE,"A6 CLIN 0002";#N/A,#N/A,FALSE,"A6 CLIN 0003";#N/A,#N/A,FALSE,"A6 CLIN 0004";#N/A,#N/A,FALSE,"A6 CLIN 0005";#N/A,#N/A,FALSE,"A6 CLIN 0006"}</definedName>
    <definedName name="wwrn" hidden="1">{#N/A,#N/A,FALSE,"A6 CLIN 0001";#N/A,#N/A,FALSE,"A6 CLIN 0002";#N/A,#N/A,FALSE,"A6 CLIN 0003";#N/A,#N/A,FALSE,"A6 CLIN 0004";#N/A,#N/A,FALSE,"A6 CLIN 0005";#N/A,#N/A,FALSE,"A6 CLIN 0006"}</definedName>
    <definedName name="xcvt" localSheetId="0" hidden="1">{#N/A,#N/A,FALSE,"WBS 1.06";#N/A,#N/A,FALSE,"WBS 1.14";#N/A,#N/A,FALSE,"WBS 1.17";#N/A,#N/A,FALSE,"WBS 1.18"}</definedName>
    <definedName name="xcvt" hidden="1">{#N/A,#N/A,FALSE,"WBS 1.06";#N/A,#N/A,FALSE,"WBS 1.14";#N/A,#N/A,FALSE,"WBS 1.17";#N/A,#N/A,FALSE,"WBS 1.18"}</definedName>
    <definedName name="XFDTGH" localSheetId="0" hidden="1">{"PAGE1",#N/A,FALSE,"CPFFMSTR";"PAGE2",#N/A,FALSE,"CPFFMSTR"}</definedName>
    <definedName name="XFDTGH" hidden="1">{"PAGE1",#N/A,FALSE,"CPFFMSTR";"PAGE2",#N/A,FALSE,"CPFFMSTR"}</definedName>
    <definedName name="XGH" localSheetId="0" hidden="1">{"PAGE1",#N/A,FALSE,"CPFFMSTR";"PAGE2",#N/A,FALSE,"CPFFMSTR"}</definedName>
    <definedName name="XGH" hidden="1">{"PAGE1",#N/A,FALSE,"CPFFMSTR";"PAGE2",#N/A,FALSE,"CPFFMSTR"}</definedName>
    <definedName name="XGHXF" localSheetId="0" hidden="1">{"PAGE1",#N/A,FALSE,"CPFFMSTR";"PAGE2",#N/A,FALSE,"CPFFMSTR"}</definedName>
    <definedName name="XGHXF" hidden="1">{"PAGE1",#N/A,FALSE,"CPFFMSTR";"PAGE2",#N/A,FALSE,"CPFFMSTR"}</definedName>
    <definedName name="XRefColumnsCount" hidden="1">3</definedName>
    <definedName name="XRefCopyRangeCount" hidden="1">2</definedName>
    <definedName name="XRefPasteRangeCount" hidden="1">34</definedName>
    <definedName name="xvcb" localSheetId="0" hidden="1">{"PAGE1",#N/A,FALSE,"CPFFMSTR";"PAGE2",#N/A,FALSE,"CPFFMSTR"}</definedName>
    <definedName name="xvcb" hidden="1">{"PAGE1",#N/A,FALSE,"CPFFMSTR";"PAGE2",#N/A,FALSE,"CPFFMSTR"}</definedName>
    <definedName name="xx" localSheetId="0" hidden="1">{"SummaryBase and Option",#N/A,FALSE,"SummaryBudget";"SummaryAllYears",#N/A,FALSE,"SummaryBudget"}</definedName>
    <definedName name="xx" hidden="1">{"SummaryBase and Option",#N/A,FALSE,"SummaryBudget";"SummaryAllYears",#N/A,FALSE,"SummaryBudget"}</definedName>
    <definedName name="xx_1" localSheetId="0" hidden="1">{"SummaryBase and Option",#N/A,FALSE,"SummaryBudget";"SummaryAllYears",#N/A,FALSE,"SummaryBudget"}</definedName>
    <definedName name="xx_1" hidden="1">{"SummaryBase and Option",#N/A,FALSE,"SummaryBudget";"SummaryAllYears",#N/A,FALSE,"SummaryBudget"}</definedName>
    <definedName name="xxx" localSheetId="0" hidden="1">{#N/A,#N/A,FALSE,"Sheet1"}</definedName>
    <definedName name="xxx" hidden="1">{#N/A,#N/A,FALSE,"Sheet1"}</definedName>
    <definedName name="xxx_1" localSheetId="0" hidden="1">{"CONTRACTS",#N/A,FALSE,"8401detail"}</definedName>
    <definedName name="xxx_1" hidden="1">{"CONTRACTS",#N/A,FALSE,"8401detail"}</definedName>
    <definedName name="xxx1" localSheetId="0" hidden="1">{"ACC_Cars_400K_PA",#N/A,FALSE,"ACC Cars Co1 400K";"ACC_Cars_400K_Prop",#N/A,FALSE,"ACC Cars Co1 400K"}</definedName>
    <definedName name="xxx1" hidden="1">{"ACC_Cars_400K_PA",#N/A,FALSE,"ACC Cars Co1 400K";"ACC_Cars_400K_Prop",#N/A,FALSE,"ACC Cars Co1 400K"}</definedName>
    <definedName name="xxx1_1" localSheetId="0" hidden="1">{"ACC_Cars_400K_PA",#N/A,FALSE,"ACC Cars Co1 400K";"ACC_Cars_400K_Prop",#N/A,FALSE,"ACC Cars Co1 400K"}</definedName>
    <definedName name="xxx1_1" hidden="1">{"ACC_Cars_400K_PA",#N/A,FALSE,"ACC Cars Co1 400K";"ACC_Cars_400K_Prop",#N/A,FALSE,"ACC Cars Co1 400K"}</definedName>
    <definedName name="xxxx" localSheetId="0" hidden="1">{#N/A,#N/A,FALSE,"Sheet1"}</definedName>
    <definedName name="xxxx" hidden="1">{#N/A,#N/A,FALSE,"Sheet1"}</definedName>
    <definedName name="xxxxxxx"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x" localSheetId="0" hidden="1">{0,0,0,0;0,0,0,0;0,0,TRUE,0;0,0,0,0;0,0,"S730","ARWS                          ";0,0,0,0;0,0,0,0;0,0,0,0;0,0,FALSE,0;TRUE,0,0,0;0,0,0,0;"S743","ADATS                         ",0,0;0,0,0,0;#VALUE!,#N/A,TRUE,0;#N/A,#N/A,TRUE,0}</definedName>
    <definedName name="xxxxxxxx" hidden="1">{0,0,0,0;0,0,0,0;0,0,TRUE,0;0,0,0,0;0,0,"S730","ARWS                          ";0,0,0,0;0,0,0,0;0,0,0,0;0,0,FALSE,0;TRUE,0,0,0;0,0,0,0;"S743","ADATS                         ",0,0;0,0,0,0;#VALUE!,#N/A,TRUE,0;#N/A,#N/A,TRUE,0}</definedName>
    <definedName name="xxxxxxxxxxxx"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0" hidden="1">{"1999 Revenue",#N/A,FALSE,"IBS";"1999 Traffic",#N/A,FALSE,"IBS"}</definedName>
    <definedName name="xxxxxxxxxxxxxxxxxx" hidden="1">{"1999 Revenue",#N/A,FALSE,"IBS";"1999 Traffic",#N/A,FALSE,"IBS"}</definedName>
    <definedName name="xyz"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 localSheetId="0" hidden="1">{"Monthly",#N/A,FALSE,"99 AOP Mthly";"Quarterly",#N/A,FALSE,"99 AOP Mthly";#N/A,#N/A,FALSE,"99 AOP VS. 97_98"}</definedName>
    <definedName name="xz" hidden="1">{"Monthly",#N/A,FALSE,"99 AOP Mthly";"Quarterly",#N/A,FALSE,"99 AOP Mthly";#N/A,#N/A,FALSE,"99 AOP VS. 97_98"}</definedName>
    <definedName name="xzy"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 localSheetId="0" hidden="1">{"'1098trans'!$A$10:$F$64","'1098trans'!$A$65:$A$66","'1098trans'!$A$67:$D$69","'1098trans'!$A$64:$F$69"}</definedName>
    <definedName name="y" hidden="1">{"'1098trans'!$A$10:$F$64","'1098trans'!$A$65:$A$66","'1098trans'!$A$67:$D$69","'1098trans'!$A$64:$F$69"}</definedName>
    <definedName name="YEAR" comment="Applies to contract year." localSheetId="0">'[5]RATES &amp; TABLES'!$AW$4:$BA$8</definedName>
    <definedName name="YEAR">'[5]RATES &amp; TABLES'!$AW$4:$BA$8</definedName>
    <definedName name="yes" localSheetId="0" hidden="1">{#N/A,#N/A,FALSE,"ManLoading"}</definedName>
    <definedName name="yes" hidden="1">{#N/A,#N/A,FALSE,"ManLoading"}</definedName>
    <definedName name="yes_1" localSheetId="0" hidden="1">{#N/A,#N/A,FALSE,"ManLoading"}</definedName>
    <definedName name="yes_1" hidden="1">{#N/A,#N/A,FALSE,"ManLoading"}</definedName>
    <definedName name="Yes_or_No_List">#REF!</definedName>
    <definedName name="yiu" localSheetId="0" hidden="1">{"1999 Revenue",#N/A,FALSE,"Voice ";"1999 Traffic",#N/A,FALSE,"Voice "}</definedName>
    <definedName name="yiu" hidden="1">{"1999 Revenue",#N/A,FALSE,"Voice ";"1999 Traffic",#N/A,FALSE,"Voice "}</definedName>
    <definedName name="yiupo"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I" localSheetId="0" hidden="1">{#N/A,#N/A,FALSE,"WBS 1.06";#N/A,#N/A,FALSE,"WBS 1.14";#N/A,#N/A,FALSE,"WBS 1.17";#N/A,#N/A,FALSE,"WBS 1.18"}</definedName>
    <definedName name="YUI" hidden="1">{#N/A,#N/A,FALSE,"WBS 1.06";#N/A,#N/A,FALSE,"WBS 1.14";#N/A,#N/A,FALSE,"WBS 1.17";#N/A,#N/A,FALSE,"WBS 1.18"}</definedName>
    <definedName name="yuio" localSheetId="0" hidden="1">{"'Vietnam'!$E$21:$W$45","'Vietnam'!$E$21:$W$45"}</definedName>
    <definedName name="yuio" hidden="1">{"'Vietnam'!$E$21:$W$45","'Vietnam'!$E$21:$W$45"}</definedName>
    <definedName name="yuo"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yyyyy" localSheetId="0" hidden="1">{"1999 Revenue",#N/A,FALSE,"IBS";"1999 Traffic",#N/A,FALSE,"IBS"}</definedName>
    <definedName name="yyyyyy" hidden="1">{"1999 Revenue",#N/A,FALSE,"IBS";"1999 Traffic",#N/A,FALSE,"IBS"}</definedName>
    <definedName name="yyyyyyyy" localSheetId="0" hidden="1">{"1999 Revenue",#N/A,FALSE,"Voice ";"1999 Traffic",#N/A,FALSE,"Voice "}</definedName>
    <definedName name="yyyyyyyy" hidden="1">{"1999 Revenue",#N/A,FALSE,"Voice ";"1999 Traffic",#N/A,FALSE,"Voice "}</definedName>
    <definedName name="z"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_4451D631_1ADA_425F_9642_D11C51F59987_.wvu.Cols" hidden="1">'[20]NC-15 SEM'!$B$1:$B$65536,'[20]NC-15 SEM'!$F$1:$G$65536</definedName>
    <definedName name="Z_BAFF3DC9_5D8E_4FBA_9EFD_C802008A7ACF_.wvu.Cols" hidden="1">'[20]NC-15 SEM'!$B$1:$B$65536,'[20]NC-15 SEM'!$F$1:$G$65536</definedName>
    <definedName name="Zbg" localSheetId="0" hidden="1">{#N/A,#N/A,FALSE,"WBS 1.06";#N/A,#N/A,FALSE,"WBS 1.14";#N/A,#N/A,FALSE,"WBS 1.17";#N/A,#N/A,FALSE,"WBS 1.18"}</definedName>
    <definedName name="Zbg" hidden="1">{#N/A,#N/A,FALSE,"WBS 1.06";#N/A,#N/A,FALSE,"WBS 1.14";#N/A,#N/A,FALSE,"WBS 1.17";#N/A,#N/A,FALSE,"WBS 1.18"}</definedName>
    <definedName name="ZDFR" localSheetId="0" hidden="1">{"PAGE1",#N/A,FALSE,"CPFFMSTR";"PAGE2",#N/A,FALSE,"CPFFMSTR"}</definedName>
    <definedName name="ZDFR" hidden="1">{"PAGE1",#N/A,FALSE,"CPFFMSTR";"PAGE2",#N/A,FALSE,"CPFFMSTR"}</definedName>
    <definedName name="zx" localSheetId="0" hidden="1">{#N/A,#N/A,FALSE,"WBS 1.06";#N/A,#N/A,FALSE,"WBS 1.14";#N/A,#N/A,FALSE,"WBS 1.17";#N/A,#N/A,FALSE,"WBS 1.18"}</definedName>
    <definedName name="zx" hidden="1">{#N/A,#N/A,FALSE,"WBS 1.06";#N/A,#N/A,FALSE,"WBS 1.14";#N/A,#N/A,FALSE,"WBS 1.17";#N/A,#N/A,FALSE,"WBS 1.18"}</definedName>
    <definedName name="zz"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_EVCOMOPTS" hidden="1">10</definedName>
    <definedName name="zzz"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 localSheetId="0" hidden="1">{"1999 Revenue",#N/A,FALSE,"Voice ";"1999 Traffic",#N/A,FALSE,"Voice "}</definedName>
    <definedName name="zzzz" hidden="1">{"1999 Revenue",#N/A,FALSE,"Voice ";"1999 Traffic",#N/A,FALSE,"Voice "}</definedName>
    <definedName name="zzzzz" localSheetId="0" hidden="1">{"1999 Revenue",#N/A,FALSE,"IBS";"1999 Traffic",#N/A,FALSE,"IBS"}</definedName>
    <definedName name="zzzzz" hidden="1">{"1999 Revenue",#N/A,FALSE,"IBS";"1999 Traffic",#N/A,FALSE,"IBS"}</definedName>
    <definedName name="zzzzzz" localSheetId="0" hidden="1">{"Start",#N/A,FALSE,"Menu";"P&amp;L",#N/A,FALSE,"Monthly P&amp;L";"Rev",#N/A,FALSE,"Revenue Summary";"budbar",#N/A,FALSE,"Budget-Variance";"priorvar",#N/A,FALSE,"Prior Month Var";"DetailRev",#N/A,FALSE,"Detail  Budget Var (Revenue)";"Detailom",#N/A,FALSE,"Detail Budget Var (O&amp;M)"}</definedName>
    <definedName name="zzzzzz" hidden="1">{"Start",#N/A,FALSE,"Menu";"P&amp;L",#N/A,FALSE,"Monthly P&amp;L";"Rev",#N/A,FALSE,"Revenue Summary";"budbar",#N/A,FALSE,"Budget-Variance";"priorvar",#N/A,FALSE,"Prior Month Var";"DetailRev",#N/A,FALSE,"Detail  Budget Var (Revenue)";"Detailom",#N/A,FALSE,"Detail Budget Var (O&amp;M)"}</definedName>
    <definedName name="zzzzzzz" localSheetId="0" hidden="1">{#N/A,#N/A,FALSE,"Monthly"}</definedName>
    <definedName name="zzzzzzz" hidden="1">{#N/A,#N/A,FALSE,"Monthly"}</definedName>
    <definedName name="zzzzzzzz"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0" hidden="1">{"1999 Revenue",#N/A,FALSE,"Voice ";"1999 Traffic",#N/A,FALSE,"Voice "}</definedName>
    <definedName name="zzzzzzzzzzzzzzzzzzzzzz" hidden="1">{"1999 Revenue",#N/A,FALSE,"Voice ";"1999 Traffic",#N/A,FALSE,"Voice "}</definedName>
    <definedName name="zzzzzzzzzzzzzzzzzzzzzzzzzzzzz" localSheetId="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38" i="112" l="1"/>
  <c r="O138" i="112"/>
  <c r="P137" i="112"/>
  <c r="O137" i="112"/>
  <c r="P136" i="112"/>
  <c r="O136" i="112"/>
  <c r="O140" i="112" s="1"/>
  <c r="P135" i="112"/>
  <c r="O135" i="112"/>
  <c r="P134" i="112"/>
  <c r="O134" i="112"/>
  <c r="P133" i="112"/>
  <c r="O133" i="112"/>
  <c r="P132" i="112"/>
  <c r="O132" i="112"/>
  <c r="P131" i="112"/>
  <c r="O131" i="112"/>
  <c r="P130" i="112"/>
  <c r="O130" i="112"/>
  <c r="P129" i="112"/>
  <c r="O129" i="112"/>
  <c r="P128" i="112"/>
  <c r="O128" i="112"/>
  <c r="P127" i="112"/>
  <c r="O127" i="112"/>
  <c r="P126" i="112"/>
  <c r="O126" i="112"/>
  <c r="M138" i="112"/>
  <c r="M137" i="112"/>
  <c r="M136" i="112"/>
  <c r="M135" i="112"/>
  <c r="M134" i="112"/>
  <c r="M133" i="112"/>
  <c r="M132" i="112"/>
  <c r="M131" i="112"/>
  <c r="M130" i="112"/>
  <c r="M129" i="112"/>
  <c r="M128" i="112"/>
  <c r="M127" i="112"/>
  <c r="M126" i="112"/>
  <c r="L126" i="112"/>
  <c r="L138" i="112"/>
  <c r="L137" i="112"/>
  <c r="L136" i="112"/>
  <c r="L135" i="112"/>
  <c r="L134" i="112"/>
  <c r="L133" i="112"/>
  <c r="L132" i="112"/>
  <c r="L131" i="112"/>
  <c r="L130" i="112"/>
  <c r="L129" i="112"/>
  <c r="L128" i="112"/>
  <c r="L127" i="112"/>
  <c r="H11" i="115"/>
  <c r="K10" i="115"/>
  <c r="J10" i="115"/>
  <c r="H10" i="115"/>
  <c r="G10" i="115"/>
  <c r="K9" i="115"/>
  <c r="J9" i="115"/>
  <c r="H9" i="115"/>
  <c r="G9" i="115"/>
  <c r="K8" i="115"/>
  <c r="J8" i="115"/>
  <c r="H8" i="115"/>
  <c r="G8" i="115"/>
  <c r="K7" i="115"/>
  <c r="K11" i="115" s="1"/>
  <c r="J7" i="115"/>
  <c r="J11" i="115" s="1"/>
  <c r="K12" i="115" s="1"/>
  <c r="H7" i="115"/>
  <c r="G7" i="115"/>
  <c r="G11" i="115" s="1"/>
  <c r="J12" i="115" l="1"/>
  <c r="P140" i="112"/>
  <c r="M140" i="112"/>
  <c r="P141" i="112" s="1"/>
  <c r="L140" i="112"/>
  <c r="O141" i="112" s="1"/>
  <c r="J35" i="115" l="1"/>
  <c r="J34" i="115"/>
  <c r="J15" i="115"/>
  <c r="J16" i="115"/>
  <c r="J17" i="115"/>
  <c r="J18" i="115"/>
  <c r="J19" i="115"/>
  <c r="J20" i="115"/>
  <c r="J21" i="115"/>
  <c r="J22" i="115"/>
  <c r="J23" i="115"/>
  <c r="J24" i="115"/>
  <c r="J25" i="115"/>
  <c r="J26" i="115"/>
  <c r="J27" i="115"/>
  <c r="J28" i="115"/>
  <c r="J29" i="115"/>
  <c r="J30" i="115"/>
  <c r="J31" i="115"/>
  <c r="J32" i="115"/>
  <c r="J14" i="115"/>
  <c r="J139" i="112" l="1"/>
  <c r="D139" i="112"/>
  <c r="E139" i="112"/>
  <c r="F139" i="112"/>
  <c r="G139" i="112"/>
  <c r="H139" i="112"/>
  <c r="I139" i="112"/>
  <c r="C139" i="112"/>
  <c r="F116" i="112"/>
  <c r="G116" i="112"/>
  <c r="H116" i="112"/>
  <c r="I116" i="112"/>
  <c r="J116" i="112"/>
  <c r="E116" i="112"/>
  <c r="D116" i="112"/>
  <c r="K116" i="112" l="1"/>
  <c r="H15" i="125"/>
  <c r="G15" i="125"/>
  <c r="D15" i="125"/>
  <c r="C15" i="125"/>
  <c r="G17" i="126" l="1"/>
  <c r="F17" i="126"/>
  <c r="C17" i="126"/>
  <c r="B17" i="126"/>
  <c r="H16" i="125"/>
  <c r="G16" i="125"/>
  <c r="D16" i="125"/>
  <c r="C16" i="125"/>
  <c r="H34" i="115" l="1"/>
  <c r="H35" i="115"/>
  <c r="H36" i="115"/>
  <c r="H38" i="115"/>
  <c r="H40" i="115"/>
  <c r="G34" i="115"/>
  <c r="G35" i="115"/>
  <c r="G36" i="115"/>
  <c r="G38" i="115"/>
  <c r="G40" i="115"/>
  <c r="H15" i="115"/>
  <c r="H16" i="115"/>
  <c r="H17" i="115"/>
  <c r="H18" i="115"/>
  <c r="H19" i="115"/>
  <c r="H20" i="115"/>
  <c r="H21" i="115"/>
  <c r="H22" i="115"/>
  <c r="H23" i="115"/>
  <c r="H24" i="115"/>
  <c r="H25" i="115"/>
  <c r="H26" i="115"/>
  <c r="H27" i="115"/>
  <c r="H28" i="115"/>
  <c r="H29" i="115"/>
  <c r="H30" i="115"/>
  <c r="H31" i="115"/>
  <c r="H32" i="115"/>
  <c r="H14" i="115"/>
  <c r="G15" i="115"/>
  <c r="G16" i="115"/>
  <c r="G17" i="115"/>
  <c r="G18" i="115"/>
  <c r="G19" i="115"/>
  <c r="G20" i="115"/>
  <c r="G21" i="115"/>
  <c r="G22" i="115"/>
  <c r="G23" i="115"/>
  <c r="G24" i="115"/>
  <c r="G25" i="115"/>
  <c r="G26" i="115"/>
  <c r="G27" i="115"/>
  <c r="G28" i="115"/>
  <c r="G29" i="115"/>
  <c r="G30" i="115"/>
  <c r="G31" i="115"/>
  <c r="G32" i="115"/>
  <c r="G14" i="115"/>
  <c r="R127" i="112"/>
  <c r="R128" i="112"/>
  <c r="R129" i="112"/>
  <c r="R130" i="112"/>
  <c r="R131" i="112"/>
  <c r="R132" i="112"/>
  <c r="R133" i="112"/>
  <c r="R134" i="112"/>
  <c r="R135" i="112"/>
  <c r="R136" i="112"/>
  <c r="R137" i="112"/>
  <c r="R138" i="112"/>
  <c r="R126" i="112"/>
  <c r="S127" i="112"/>
  <c r="S128" i="112"/>
  <c r="S129" i="112"/>
  <c r="S130" i="112"/>
  <c r="S131" i="112"/>
  <c r="S132" i="112"/>
  <c r="S133" i="112"/>
  <c r="S134" i="112"/>
  <c r="S135" i="112"/>
  <c r="S136" i="112"/>
  <c r="S137" i="112"/>
  <c r="S138" i="112"/>
  <c r="S126" i="112"/>
  <c r="M115" i="112"/>
  <c r="M113" i="112"/>
  <c r="M94" i="112"/>
  <c r="M95" i="112"/>
  <c r="M96" i="112"/>
  <c r="M97" i="112"/>
  <c r="M98" i="112"/>
  <c r="M99" i="112"/>
  <c r="M100" i="112"/>
  <c r="M101" i="112"/>
  <c r="M102" i="112"/>
  <c r="M103" i="112"/>
  <c r="M104" i="112"/>
  <c r="M105" i="112"/>
  <c r="M106" i="112"/>
  <c r="M107" i="112"/>
  <c r="M108" i="112"/>
  <c r="M109" i="112"/>
  <c r="M110" i="112"/>
  <c r="M111" i="112"/>
  <c r="M93" i="112"/>
  <c r="M8" i="112"/>
  <c r="M9" i="112"/>
  <c r="M10" i="112"/>
  <c r="M11" i="112"/>
  <c r="M12" i="112"/>
  <c r="M13" i="112"/>
  <c r="M14" i="112"/>
  <c r="M15" i="112"/>
  <c r="M16" i="112"/>
  <c r="M17" i="112"/>
  <c r="M18" i="112"/>
  <c r="M19" i="112"/>
  <c r="M20" i="112"/>
  <c r="M21" i="112"/>
  <c r="M22" i="112"/>
  <c r="M23" i="112"/>
  <c r="M24" i="112"/>
  <c r="M25" i="112"/>
  <c r="M26" i="112"/>
  <c r="M27" i="112"/>
  <c r="M28" i="112"/>
  <c r="M29" i="112"/>
  <c r="M30" i="112"/>
  <c r="M31" i="112"/>
  <c r="M32" i="112"/>
  <c r="M33" i="112"/>
  <c r="M34" i="112"/>
  <c r="M35" i="112"/>
  <c r="M36" i="112"/>
  <c r="M37" i="112"/>
  <c r="M38" i="112"/>
  <c r="M39" i="112"/>
  <c r="M40" i="112"/>
  <c r="M41" i="112"/>
  <c r="M42" i="112"/>
  <c r="M43" i="112"/>
  <c r="M44" i="112"/>
  <c r="M45" i="112"/>
  <c r="M46" i="112"/>
  <c r="M47" i="112"/>
  <c r="M48" i="112"/>
  <c r="M49" i="112"/>
  <c r="M50" i="112"/>
  <c r="M51" i="112"/>
  <c r="M52" i="112"/>
  <c r="M53" i="112"/>
  <c r="M54" i="112"/>
  <c r="M55" i="112"/>
  <c r="M56" i="112"/>
  <c r="M57" i="112"/>
  <c r="M58" i="112"/>
  <c r="M59" i="112"/>
  <c r="M60" i="112"/>
  <c r="M61" i="112"/>
  <c r="M62" i="112"/>
  <c r="M63" i="112"/>
  <c r="M64" i="112"/>
  <c r="M65" i="112"/>
  <c r="M66" i="112"/>
  <c r="M67" i="112"/>
  <c r="M68" i="112"/>
  <c r="M69" i="112"/>
  <c r="M70" i="112"/>
  <c r="M71" i="112"/>
  <c r="M72" i="112"/>
  <c r="M73" i="112"/>
  <c r="M74" i="112"/>
  <c r="M75" i="112"/>
  <c r="M76" i="112"/>
  <c r="M77" i="112"/>
  <c r="M78" i="112"/>
  <c r="M79" i="112"/>
  <c r="M80" i="112"/>
  <c r="M81" i="112"/>
  <c r="M82" i="112"/>
  <c r="M83" i="112"/>
  <c r="M84" i="112"/>
  <c r="M85" i="112"/>
  <c r="M86" i="112"/>
  <c r="M87" i="112"/>
  <c r="M88" i="112"/>
  <c r="M89" i="112"/>
  <c r="M90" i="112"/>
  <c r="M91" i="112"/>
  <c r="M7" i="112"/>
  <c r="L7" i="112"/>
  <c r="L115" i="112"/>
  <c r="L113" i="112"/>
  <c r="L94" i="112"/>
  <c r="L95" i="112"/>
  <c r="L96" i="112"/>
  <c r="L97" i="112"/>
  <c r="L98" i="112"/>
  <c r="L99" i="112"/>
  <c r="L100" i="112"/>
  <c r="L101" i="112"/>
  <c r="L102" i="112"/>
  <c r="L103" i="112"/>
  <c r="L104" i="112"/>
  <c r="L105" i="112"/>
  <c r="L106" i="112"/>
  <c r="L107" i="112"/>
  <c r="L108" i="112"/>
  <c r="L109" i="112"/>
  <c r="L110" i="112"/>
  <c r="L111" i="112"/>
  <c r="L93" i="112"/>
  <c r="L8" i="112"/>
  <c r="L9" i="112"/>
  <c r="L10" i="112"/>
  <c r="L11" i="112"/>
  <c r="L12" i="112"/>
  <c r="L13" i="112"/>
  <c r="L14" i="112"/>
  <c r="L15" i="112"/>
  <c r="L16" i="112"/>
  <c r="L17" i="112"/>
  <c r="L18" i="112"/>
  <c r="L19" i="112"/>
  <c r="L20" i="112"/>
  <c r="L21" i="112"/>
  <c r="L22" i="112"/>
  <c r="L23" i="112"/>
  <c r="L24" i="112"/>
  <c r="L25" i="112"/>
  <c r="L26" i="112"/>
  <c r="L27" i="112"/>
  <c r="L28" i="112"/>
  <c r="L29" i="112"/>
  <c r="L30" i="112"/>
  <c r="L31" i="112"/>
  <c r="L32" i="112"/>
  <c r="L33" i="112"/>
  <c r="L34" i="112"/>
  <c r="L35" i="112"/>
  <c r="L36" i="112"/>
  <c r="L37" i="112"/>
  <c r="L38" i="112"/>
  <c r="L39" i="112"/>
  <c r="L40" i="112"/>
  <c r="L41" i="112"/>
  <c r="L42" i="112"/>
  <c r="L43" i="112"/>
  <c r="L44" i="112"/>
  <c r="L45" i="112"/>
  <c r="L46" i="112"/>
  <c r="L47" i="112"/>
  <c r="L48" i="112"/>
  <c r="L49" i="112"/>
  <c r="L50" i="112"/>
  <c r="L51" i="112"/>
  <c r="L52" i="112"/>
  <c r="L53" i="112"/>
  <c r="L54" i="112"/>
  <c r="L55" i="112"/>
  <c r="L56" i="112"/>
  <c r="L57" i="112"/>
  <c r="L58" i="112"/>
  <c r="L59" i="112"/>
  <c r="L60" i="112"/>
  <c r="L61" i="112"/>
  <c r="L62" i="112"/>
  <c r="L63" i="112"/>
  <c r="L64" i="112"/>
  <c r="L65" i="112"/>
  <c r="L66" i="112"/>
  <c r="L67" i="112"/>
  <c r="L68" i="112"/>
  <c r="L69" i="112"/>
  <c r="L70" i="112"/>
  <c r="L71" i="112"/>
  <c r="L72" i="112"/>
  <c r="L73" i="112"/>
  <c r="L74" i="112"/>
  <c r="L75" i="112"/>
  <c r="L76" i="112"/>
  <c r="L77" i="112"/>
  <c r="L78" i="112"/>
  <c r="L79" i="112"/>
  <c r="L80" i="112"/>
  <c r="L81" i="112"/>
  <c r="L82" i="112"/>
  <c r="L83" i="112"/>
  <c r="L84" i="112"/>
  <c r="L85" i="112"/>
  <c r="L86" i="112"/>
  <c r="L87" i="112"/>
  <c r="L88" i="112"/>
  <c r="L89" i="112"/>
  <c r="L90" i="112"/>
  <c r="L91" i="112"/>
  <c r="S140" i="112" l="1"/>
  <c r="R140" i="112"/>
  <c r="J4" i="8"/>
  <c r="J3" i="8"/>
  <c r="E4" i="8" l="1"/>
  <c r="F4" i="8"/>
  <c r="H4" i="8"/>
  <c r="I4" i="8"/>
  <c r="P4" i="8"/>
  <c r="Q4" i="8"/>
  <c r="H3" i="8"/>
  <c r="F3" i="8"/>
  <c r="Q3" i="8"/>
  <c r="P3" i="8"/>
  <c r="I3" i="8"/>
  <c r="E3" i="8"/>
  <c r="K4" i="8" l="1"/>
  <c r="R4" i="8"/>
  <c r="G4" i="8"/>
  <c r="K3" i="8"/>
  <c r="R3" i="8"/>
  <c r="S4" i="8"/>
  <c r="T4" i="8" s="1"/>
  <c r="G3" i="8"/>
  <c r="S3" i="8"/>
  <c r="T3" i="8" l="1"/>
  <c r="T5" i="8" s="1"/>
  <c r="T6"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27" authorId="0" shapeId="0" xr:uid="{00000000-0006-0000-1B00-000001000000}">
      <text>
        <r>
          <rPr>
            <b/>
            <sz val="9"/>
            <color indexed="81"/>
            <rFont val="Tahoma"/>
            <family val="2"/>
          </rPr>
          <t>Author:</t>
        </r>
        <r>
          <rPr>
            <sz val="9"/>
            <color indexed="81"/>
            <rFont val="Tahoma"/>
            <family val="2"/>
          </rPr>
          <t xml:space="preserve">
I added</t>
        </r>
      </text>
    </comment>
    <comment ref="A131" authorId="0" shapeId="0" xr:uid="{00000000-0006-0000-1B00-000002000000}">
      <text>
        <r>
          <rPr>
            <b/>
            <sz val="9"/>
            <color indexed="81"/>
            <rFont val="Tahoma"/>
            <family val="2"/>
          </rPr>
          <t>Author:</t>
        </r>
        <r>
          <rPr>
            <sz val="9"/>
            <color indexed="81"/>
            <rFont val="Tahoma"/>
            <family val="2"/>
          </rPr>
          <t xml:space="preserve">
I added</t>
        </r>
      </text>
    </comment>
    <comment ref="A137" authorId="0" shapeId="0" xr:uid="{00000000-0006-0000-1B00-000003000000}">
      <text>
        <r>
          <rPr>
            <b/>
            <sz val="9"/>
            <color indexed="81"/>
            <rFont val="Tahoma"/>
            <family val="2"/>
          </rPr>
          <t>Author:</t>
        </r>
        <r>
          <rPr>
            <sz val="9"/>
            <color indexed="81"/>
            <rFont val="Tahoma"/>
            <family val="2"/>
          </rPr>
          <t xml:space="preserve">
I added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7" authorId="0" shapeId="0" xr:uid="{00000000-0006-0000-1E00-000001000000}">
      <text>
        <r>
          <rPr>
            <b/>
            <sz val="9"/>
            <color indexed="81"/>
            <rFont val="Tahoma"/>
            <family val="2"/>
          </rPr>
          <t>Author:</t>
        </r>
        <r>
          <rPr>
            <sz val="9"/>
            <color indexed="81"/>
            <rFont val="Tahoma"/>
            <family val="2"/>
          </rPr>
          <t xml:space="preserve">
Based on RS Means Line Item G1023 210 1010 - 500gal/31 hours =16.129 gal/hour.
1.6 Labor Hours to Transfer and dispose of 10% of volume.
Assume 30 minute round trip travel time.
Properly dispose of sludge/water - $26.35/Kgal based on PW5 utility rates for NAVSTA Mayport</t>
        </r>
      </text>
    </comment>
    <comment ref="F8" authorId="0" shapeId="0" xr:uid="{00000000-0006-0000-1E00-000002000000}">
      <text>
        <r>
          <rPr>
            <b/>
            <sz val="9"/>
            <color indexed="81"/>
            <rFont val="Tahoma"/>
            <family val="2"/>
          </rPr>
          <t>Author:</t>
        </r>
        <r>
          <rPr>
            <sz val="9"/>
            <color indexed="81"/>
            <rFont val="Tahoma"/>
            <family val="2"/>
          </rPr>
          <t xml:space="preserve">
Based on RS Means Line Item G1023 210 1010 - 500gal/31 hours =16.129 gal/hour.
1.6 Labor Hours to Transfer and dispose of 10% of volume.
Assume 30 minute round trip travel time.
Properly dispose of sludge/water - $26.35/Kgal based on PW5 utility rates for NAVSTA Mayport</t>
        </r>
      </text>
    </comment>
    <comment ref="F9" authorId="0" shapeId="0" xr:uid="{00000000-0006-0000-1E00-000003000000}">
      <text>
        <r>
          <rPr>
            <b/>
            <sz val="9"/>
            <color indexed="81"/>
            <rFont val="Tahoma"/>
            <family val="2"/>
          </rPr>
          <t>Author:</t>
        </r>
        <r>
          <rPr>
            <sz val="9"/>
            <color indexed="81"/>
            <rFont val="Tahoma"/>
            <family val="2"/>
          </rPr>
          <t xml:space="preserve">
Based on RS Means Line Item G1023 210 1010 - 500gal/31 hours =16.129 gal/hour.
1.6 Labor Hours to Transfer and dispose of 10% of volume.
Assume 30 minute round trip travel time.
Properly dispose of sludge/water - $26.35/Kgal based on PW5 utility rates for NAVSTA Mayport</t>
        </r>
      </text>
    </comment>
    <comment ref="F10" authorId="0" shapeId="0" xr:uid="{00000000-0006-0000-1E00-000004000000}">
      <text>
        <r>
          <rPr>
            <b/>
            <sz val="9"/>
            <color indexed="81"/>
            <rFont val="Tahoma"/>
            <family val="2"/>
          </rPr>
          <t>Author:</t>
        </r>
        <r>
          <rPr>
            <sz val="9"/>
            <color indexed="81"/>
            <rFont val="Tahoma"/>
            <family val="2"/>
          </rPr>
          <t xml:space="preserve">
Based on RS Means Line Item G1023 210 1010 - 500gal/31 hours =16.129 gal/hour.
1.6 Labor Hours to Transfer and dispose of 10% of volume.
Assume 30 minute round trip travel time.
Properly dispose of sludge/water - $26.35/Kgal based on PW5 utility rates for NAVSTA Mayport</t>
        </r>
      </text>
    </comment>
    <comment ref="F14" authorId="0" shapeId="0" xr:uid="{00000000-0006-0000-1E00-000005000000}">
      <text>
        <r>
          <rPr>
            <b/>
            <sz val="9"/>
            <color indexed="81"/>
            <rFont val="Tahoma"/>
            <family val="2"/>
          </rPr>
          <t>Author:</t>
        </r>
        <r>
          <rPr>
            <sz val="9"/>
            <color indexed="81"/>
            <rFont val="Tahoma"/>
            <family val="2"/>
          </rPr>
          <t xml:space="preserve">
Based on RS Means Line Item G1023 210 1010 - 0.250 Labor Hours to Transfer Liquids, 10% of volume.
Volume 500 Gallons.
10% of 500 Gallons = 50 Gallons
0.250 Labor Hours / 50 gallons = 0.005 Labor Hours per Gallon
Properly dispose of sludge/water - $35.00 per 50 Gallons
$35.00 / 50 Gallons = $0.70 per gallon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7" authorId="0" shapeId="0" xr:uid="{00000000-0006-0000-1F00-000001000000}">
      <text>
        <r>
          <rPr>
            <b/>
            <sz val="9"/>
            <color indexed="81"/>
            <rFont val="Tahoma"/>
            <family val="2"/>
          </rPr>
          <t>Author:</t>
        </r>
        <r>
          <rPr>
            <sz val="9"/>
            <color indexed="81"/>
            <rFont val="Tahoma"/>
            <family val="2"/>
          </rPr>
          <t xml:space="preserve">
On average the maintenance time for most lighting corresponds with D5023 270 2010 and 2020 the Metal Halide Fixture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3" authorId="0" shapeId="0" xr:uid="{00000000-0006-0000-2200-000001000000}">
      <text>
        <r>
          <rPr>
            <b/>
            <sz val="8"/>
            <color indexed="81"/>
            <rFont val="Tahoma"/>
            <family val="2"/>
          </rPr>
          <t>Author:</t>
        </r>
        <r>
          <rPr>
            <sz val="8"/>
            <color indexed="81"/>
            <rFont val="Tahoma"/>
            <family val="2"/>
          </rPr>
          <t xml:space="preserve">
Assumption: General Liability averages $0.332096291740698 per labor hour</t>
        </r>
      </text>
    </comment>
    <comment ref="K3" authorId="0" shapeId="0" xr:uid="{00000000-0006-0000-2200-000002000000}">
      <text>
        <r>
          <rPr>
            <b/>
            <sz val="8"/>
            <color indexed="81"/>
            <rFont val="Tahoma"/>
            <family val="2"/>
          </rPr>
          <t>joel.crane:</t>
        </r>
        <r>
          <rPr>
            <sz val="8"/>
            <color indexed="81"/>
            <rFont val="Tahoma"/>
            <family val="2"/>
          </rPr>
          <t xml:space="preserve"> Assumption: Workman's Compensation Insurance = 0.024151% of Direct Labor</t>
        </r>
      </text>
    </comment>
    <comment ref="L3" authorId="0" shapeId="0" xr:uid="{00000000-0006-0000-2200-000003000000}">
      <text>
        <r>
          <rPr>
            <b/>
            <sz val="8"/>
            <color indexed="81"/>
            <rFont val="Tahoma"/>
            <family val="2"/>
          </rPr>
          <t>Author:</t>
        </r>
        <r>
          <rPr>
            <sz val="8"/>
            <color indexed="81"/>
            <rFont val="Tahoma"/>
            <family val="2"/>
          </rPr>
          <t xml:space="preserve">
CBA Article 15.5 Safety Shoes and Boots = $85.00 per year to employees required to wear steel toed safety shoes.</t>
        </r>
      </text>
    </comment>
    <comment ref="M3" authorId="0" shapeId="0" xr:uid="{00000000-0006-0000-2200-000004000000}">
      <text>
        <r>
          <rPr>
            <b/>
            <sz val="9"/>
            <color indexed="81"/>
            <rFont val="Tahoma"/>
            <family val="2"/>
          </rPr>
          <t>Author:</t>
        </r>
        <r>
          <rPr>
            <sz val="9"/>
            <color indexed="81"/>
            <rFont val="Tahoma"/>
            <family val="2"/>
          </rPr>
          <t xml:space="preserve">
CBA 22.8 Safety Glasses:
Employer will timely reimburse a maximum of one hundred and twenty dollars ($120.00) per calendar year towards the purchase of prescription safety glasses with side shields provided the employee provides receipts.
Assumption: 50% of all employees required prescription safety glasses.
$120 per calendar year X 50% of all employees = $60 per calendar year  </t>
        </r>
      </text>
    </comment>
    <comment ref="N3" authorId="0" shapeId="0" xr:uid="{00000000-0006-0000-2200-000005000000}">
      <text>
        <r>
          <rPr>
            <b/>
            <sz val="8"/>
            <color indexed="81"/>
            <rFont val="Tahoma"/>
            <family val="2"/>
          </rPr>
          <t>Author:</t>
        </r>
        <r>
          <rPr>
            <sz val="8"/>
            <color indexed="81"/>
            <rFont val="Tahoma"/>
            <family val="2"/>
          </rPr>
          <t xml:space="preserve">
Assumption: Uniform Cost Averages $100 Annually </t>
        </r>
      </text>
    </comment>
    <comment ref="O3" authorId="0" shapeId="0" xr:uid="{00000000-0006-0000-2200-000006000000}">
      <text>
        <r>
          <rPr>
            <b/>
            <sz val="8"/>
            <color indexed="81"/>
            <rFont val="Tahoma"/>
            <family val="2"/>
          </rPr>
          <t>Author:</t>
        </r>
        <r>
          <rPr>
            <sz val="8"/>
            <color indexed="81"/>
            <rFont val="Tahoma"/>
            <family val="2"/>
          </rPr>
          <t xml:space="preserve">
Rapidgate $159.00 annually</t>
        </r>
      </text>
    </comment>
    <comment ref="P3" authorId="0" shapeId="0" xr:uid="{00000000-0006-0000-2200-000007000000}">
      <text>
        <r>
          <rPr>
            <b/>
            <sz val="8"/>
            <color indexed="81"/>
            <rFont val="Tahoma"/>
            <family val="2"/>
          </rPr>
          <t>Author:</t>
        </r>
        <r>
          <rPr>
            <sz val="8"/>
            <color indexed="81"/>
            <rFont val="Tahoma"/>
            <family val="2"/>
          </rPr>
          <t xml:space="preserve">
2.7% on first $8,000 of gross earnings</t>
        </r>
      </text>
    </comment>
    <comment ref="Q3" authorId="0" shapeId="0" xr:uid="{00000000-0006-0000-2200-000008000000}">
      <text>
        <r>
          <rPr>
            <b/>
            <sz val="8"/>
            <color indexed="81"/>
            <rFont val="Tahoma"/>
            <family val="2"/>
          </rPr>
          <t>Author:</t>
        </r>
        <r>
          <rPr>
            <sz val="8"/>
            <color indexed="81"/>
            <rFont val="Tahoma"/>
            <family val="2"/>
          </rPr>
          <t xml:space="preserve">
.8% of first $7,000 of gross earnings = $56.00</t>
        </r>
      </text>
    </comment>
    <comment ref="R3" authorId="0" shapeId="0" xr:uid="{00000000-0006-0000-2200-000009000000}">
      <text>
        <r>
          <rPr>
            <b/>
            <sz val="8"/>
            <color indexed="81"/>
            <rFont val="Tahoma"/>
            <family val="2"/>
          </rPr>
          <t>Author:</t>
        </r>
        <r>
          <rPr>
            <sz val="8"/>
            <color indexed="81"/>
            <rFont val="Tahoma"/>
            <family val="2"/>
          </rPr>
          <t xml:space="preserve">
Social Security = 6.2% of employees gross compensation</t>
        </r>
      </text>
    </comment>
    <comment ref="S3" authorId="0" shapeId="0" xr:uid="{00000000-0006-0000-2200-00000A000000}">
      <text>
        <r>
          <rPr>
            <b/>
            <sz val="8"/>
            <color indexed="81"/>
            <rFont val="Tahoma"/>
            <family val="2"/>
          </rPr>
          <t>Author:</t>
        </r>
        <r>
          <rPr>
            <sz val="8"/>
            <color indexed="81"/>
            <rFont val="Tahoma"/>
            <family val="2"/>
          </rPr>
          <t xml:space="preserve">
Medicare = 1.45% of employees gross compensation</t>
        </r>
      </text>
    </comment>
    <comment ref="J4" authorId="0" shapeId="0" xr:uid="{00000000-0006-0000-2200-00000B000000}">
      <text>
        <r>
          <rPr>
            <b/>
            <sz val="8"/>
            <color indexed="81"/>
            <rFont val="Tahoma"/>
            <family val="2"/>
          </rPr>
          <t>Author:</t>
        </r>
        <r>
          <rPr>
            <sz val="8"/>
            <color indexed="81"/>
            <rFont val="Tahoma"/>
            <family val="2"/>
          </rPr>
          <t xml:space="preserve">
Assumption: General Liability averages $0.332096291740698 per labor hour</t>
        </r>
      </text>
    </comment>
    <comment ref="K4" authorId="0" shapeId="0" xr:uid="{00000000-0006-0000-2200-00000C000000}">
      <text>
        <r>
          <rPr>
            <b/>
            <sz val="8"/>
            <color indexed="81"/>
            <rFont val="Tahoma"/>
            <family val="2"/>
          </rPr>
          <t>joel.crane:</t>
        </r>
        <r>
          <rPr>
            <sz val="8"/>
            <color indexed="81"/>
            <rFont val="Tahoma"/>
            <family val="2"/>
          </rPr>
          <t xml:space="preserve"> Assumption: Workman's Compensation Insurance = 0.024151% of Direct Labor</t>
        </r>
      </text>
    </comment>
    <comment ref="L4" authorId="0" shapeId="0" xr:uid="{00000000-0006-0000-2200-00000D000000}">
      <text>
        <r>
          <rPr>
            <b/>
            <sz val="8"/>
            <color indexed="81"/>
            <rFont val="Tahoma"/>
            <family val="2"/>
          </rPr>
          <t>Author:</t>
        </r>
        <r>
          <rPr>
            <sz val="8"/>
            <color indexed="81"/>
            <rFont val="Tahoma"/>
            <family val="2"/>
          </rPr>
          <t xml:space="preserve">
CBA Article 15.5 Safety Shoes and Boots = $85.00 per year to employees required to wear steel toed safety shoes.</t>
        </r>
      </text>
    </comment>
    <comment ref="M4" authorId="0" shapeId="0" xr:uid="{00000000-0006-0000-2200-00000E000000}">
      <text>
        <r>
          <rPr>
            <b/>
            <sz val="9"/>
            <color indexed="81"/>
            <rFont val="Tahoma"/>
            <family val="2"/>
          </rPr>
          <t>Author:</t>
        </r>
        <r>
          <rPr>
            <sz val="9"/>
            <color indexed="81"/>
            <rFont val="Tahoma"/>
            <family val="2"/>
          </rPr>
          <t xml:space="preserve">
CBA 22.8 Safety Glasses:
Employer will timely reimburse a maximum of one hundred and twenty dollars ($120.00) per calendar year towards the purchase of prescription safety glasses with side shields provided the employee provides receipts.
Assumption: 50% of all employees required prescription safety glasses.
$120 per calendar year X 50% of all employees = $60 per calendar year  </t>
        </r>
      </text>
    </comment>
    <comment ref="N4" authorId="0" shapeId="0" xr:uid="{00000000-0006-0000-2200-00000F000000}">
      <text>
        <r>
          <rPr>
            <b/>
            <sz val="8"/>
            <color indexed="81"/>
            <rFont val="Tahoma"/>
            <family val="2"/>
          </rPr>
          <t>Author:</t>
        </r>
        <r>
          <rPr>
            <sz val="8"/>
            <color indexed="81"/>
            <rFont val="Tahoma"/>
            <family val="2"/>
          </rPr>
          <t xml:space="preserve">
Assumption: Uniform Cost Averages $100 Annually </t>
        </r>
      </text>
    </comment>
    <comment ref="O4" authorId="0" shapeId="0" xr:uid="{00000000-0006-0000-2200-000010000000}">
      <text>
        <r>
          <rPr>
            <b/>
            <sz val="8"/>
            <color indexed="81"/>
            <rFont val="Tahoma"/>
            <family val="2"/>
          </rPr>
          <t>Author:</t>
        </r>
        <r>
          <rPr>
            <sz val="8"/>
            <color indexed="81"/>
            <rFont val="Tahoma"/>
            <family val="2"/>
          </rPr>
          <t xml:space="preserve">
Rapidgate $159.00 annually</t>
        </r>
      </text>
    </comment>
    <comment ref="P4" authorId="0" shapeId="0" xr:uid="{00000000-0006-0000-2200-000011000000}">
      <text>
        <r>
          <rPr>
            <b/>
            <sz val="8"/>
            <color indexed="81"/>
            <rFont val="Tahoma"/>
            <family val="2"/>
          </rPr>
          <t>Author:</t>
        </r>
        <r>
          <rPr>
            <sz val="8"/>
            <color indexed="81"/>
            <rFont val="Tahoma"/>
            <family val="2"/>
          </rPr>
          <t xml:space="preserve">
2.7% on first $8,000 of gross earnings</t>
        </r>
      </text>
    </comment>
    <comment ref="Q4" authorId="0" shapeId="0" xr:uid="{00000000-0006-0000-2200-000012000000}">
      <text>
        <r>
          <rPr>
            <b/>
            <sz val="8"/>
            <color indexed="81"/>
            <rFont val="Tahoma"/>
            <family val="2"/>
          </rPr>
          <t>Author:</t>
        </r>
        <r>
          <rPr>
            <sz val="8"/>
            <color indexed="81"/>
            <rFont val="Tahoma"/>
            <family val="2"/>
          </rPr>
          <t xml:space="preserve">
.8% of first $7,000 of gross earnings = $56.00</t>
        </r>
      </text>
    </comment>
    <comment ref="R4" authorId="0" shapeId="0" xr:uid="{00000000-0006-0000-2200-000013000000}">
      <text>
        <r>
          <rPr>
            <b/>
            <sz val="8"/>
            <color indexed="81"/>
            <rFont val="Tahoma"/>
            <family val="2"/>
          </rPr>
          <t>Author:</t>
        </r>
        <r>
          <rPr>
            <sz val="8"/>
            <color indexed="81"/>
            <rFont val="Tahoma"/>
            <family val="2"/>
          </rPr>
          <t xml:space="preserve">
Social Security = 6.2% of employees gross compensation</t>
        </r>
      </text>
    </comment>
    <comment ref="S4" authorId="0" shapeId="0" xr:uid="{00000000-0006-0000-2200-000014000000}">
      <text>
        <r>
          <rPr>
            <b/>
            <sz val="8"/>
            <color indexed="81"/>
            <rFont val="Tahoma"/>
            <family val="2"/>
          </rPr>
          <t>Author:</t>
        </r>
        <r>
          <rPr>
            <sz val="8"/>
            <color indexed="81"/>
            <rFont val="Tahoma"/>
            <family val="2"/>
          </rPr>
          <t xml:space="preserve">
Medicare = 1.45% of employees gross compensation</t>
        </r>
      </text>
    </comment>
  </commentList>
</comments>
</file>

<file path=xl/sharedStrings.xml><?xml version="1.0" encoding="utf-8"?>
<sst xmlns="http://schemas.openxmlformats.org/spreadsheetml/2006/main" count="3276" uniqueCount="1171">
  <si>
    <t>General Information:</t>
  </si>
  <si>
    <t>Refererence:</t>
  </si>
  <si>
    <t>0200000 Management and Administration:</t>
  </si>
  <si>
    <t>BMS B-14.11 Cost Estimating for FSC, Process Step 14.11.7 Determine Job Overhead</t>
  </si>
  <si>
    <t>G&amp;A:</t>
  </si>
  <si>
    <t>BMS B-14.11 Cost Estimating for FSC, Process Step 14.11.7 Determine Job Overhead Cost</t>
  </si>
  <si>
    <t>Profit:</t>
  </si>
  <si>
    <t>Assumptions:</t>
  </si>
  <si>
    <t>Pest Management Reporting</t>
  </si>
  <si>
    <t>Recurring Work</t>
  </si>
  <si>
    <t>Pool Operator Maintenance</t>
  </si>
  <si>
    <t>Operations</t>
  </si>
  <si>
    <t>Integrated Maintenance Program (IMP)</t>
  </si>
  <si>
    <t>Improved Grounds</t>
  </si>
  <si>
    <t>Storm Drainage Systems</t>
  </si>
  <si>
    <t>Utility Infrastructure Condition Assessment Program (UICAP) Support</t>
  </si>
  <si>
    <t>Operation</t>
  </si>
  <si>
    <t>Support Services</t>
  </si>
  <si>
    <t>Maintenance (Government Owned)</t>
  </si>
  <si>
    <t>Oil and Regulated Substance Spill Response and Cleanup Ashore</t>
  </si>
  <si>
    <t>Used Oil Management Services</t>
  </si>
  <si>
    <t>Storm Water Monitoring</t>
  </si>
  <si>
    <t>Sampling, Field Testing and Laboratory Services</t>
  </si>
  <si>
    <t>Oil and Hazardous Substance Spill Response and Cleanup Ashore</t>
  </si>
  <si>
    <r>
      <rPr>
        <b/>
        <sz val="10"/>
        <rFont val="Times New Roman"/>
        <family val="1"/>
      </rPr>
      <t>Note:</t>
    </r>
    <r>
      <rPr>
        <sz val="10"/>
        <rFont val="Times New Roman"/>
        <family val="1"/>
      </rPr>
      <t xml:space="preserve"> additional comments inserted throughout as necessary. </t>
    </r>
  </si>
  <si>
    <t xml:space="preserve">Box 30 Naval Air Station </t>
  </si>
  <si>
    <t>Jacksonville, Florida 32212</t>
  </si>
  <si>
    <t xml:space="preserve"> </t>
  </si>
  <si>
    <t>Description</t>
  </si>
  <si>
    <t>Basis of Estimate</t>
  </si>
  <si>
    <t>Unified Facilities Criteria 3-701-01 DoD Facilities Pricing Guide Mar 17, 2022, Change 3, July 26, 2023</t>
  </si>
  <si>
    <t>UFC 3-701-01 Sustainment Area Cost Factor 2.05</t>
  </si>
  <si>
    <t>Travel time is 5% of the direct labor.</t>
  </si>
  <si>
    <t>Direct Material cost was 20% for all areas outside of maintenance and repairs  (unless noted otherwise in this estimate)</t>
  </si>
  <si>
    <t>RS Means 2022 CostWorks Facilities Maintenance &amp; Repair Cost Data was used for maintenance and repairs for equipment.</t>
  </si>
  <si>
    <t>RS Means 2022 CostWorks Building Construction</t>
  </si>
  <si>
    <t>Used 20% for equipment (unless noted otherwise in this estimate).</t>
  </si>
  <si>
    <t xml:space="preserve">Overhead:  </t>
  </si>
  <si>
    <t>Based on Data provided in "0200000 M&amp;A" Tab with total direct labor based on historic contract pricing</t>
  </si>
  <si>
    <r>
      <rPr>
        <sz val="10"/>
        <color theme="1"/>
        <rFont val="Times New Roman"/>
        <family val="1"/>
      </rPr>
      <t>Recurring &amp; Non-Recurring Work Overhead is approximately</t>
    </r>
    <r>
      <rPr>
        <b/>
        <sz val="10"/>
        <color theme="1"/>
        <rFont val="Times New Roman"/>
        <family val="1"/>
      </rPr>
      <t xml:space="preserve"> 12%</t>
    </r>
    <r>
      <rPr>
        <sz val="10"/>
        <color theme="1"/>
        <rFont val="Times New Roman"/>
        <family val="1"/>
      </rPr>
      <t xml:space="preserve"> of direct cost</t>
    </r>
  </si>
  <si>
    <t>Based on an average offered rate of 6% of total direct and overhead cost</t>
  </si>
  <si>
    <t>BMS B-14.11 Cost Estimating for FSC, Process Step 14.11.9 Summarize Cost and Prices</t>
  </si>
  <si>
    <t>Based on an average offered rate of 6% of total direct and overhead costs not including G&amp;A</t>
  </si>
  <si>
    <t>Wage Determination:</t>
  </si>
  <si>
    <t>Recurring and Non-Recurring Work wages based on current SCA and DBA wage determinations</t>
  </si>
  <si>
    <t>1501000 Facility Managment:</t>
  </si>
  <si>
    <t>3.1 Infrastructure Condition Assessment Program (ICAP) Services</t>
  </si>
  <si>
    <t xml:space="preserve">Reference: </t>
  </si>
  <si>
    <t>Section C Performance Objectives, Related Information, and Performance Standards</t>
  </si>
  <si>
    <t>Section J Attachments</t>
  </si>
  <si>
    <t>3.2 Technical Support Services</t>
  </si>
  <si>
    <t>3.3 NAVFAC Maximo Data Entry</t>
  </si>
  <si>
    <t>J-1501000-03 Local Asset Tagging Guidance</t>
  </si>
  <si>
    <t>J-1501000-04 Uniformat Classification</t>
  </si>
  <si>
    <t>J-1501000-05 Uniformat Direct Condition Rating Gidance</t>
  </si>
  <si>
    <t>J-1501000-06 Uniformat Condition Rating Guiance to Each Meter Group</t>
  </si>
  <si>
    <t>1502000 Facility Investment</t>
  </si>
  <si>
    <t xml:space="preserve">3.1 Service Orders  (limit of liability is $2500 in material and up to 32 direct labor hours) </t>
  </si>
  <si>
    <t>3.1.1 Emergency Service Orders</t>
  </si>
  <si>
    <t>Emergency Service Orders average appoximately 2.5 direct labor hours each</t>
  </si>
  <si>
    <t>Due to the efficiency and work culture of the current workforce and types of calls, 4 hours for Emergency Service Orders is appropriate.</t>
  </si>
  <si>
    <t>Direct material cost averages 20% of direct labor cost</t>
  </si>
  <si>
    <t xml:space="preserve">3.1.2 Urgent Service Orders (limit of liability is $2500 in material and up to 32 direct labor hours) </t>
  </si>
  <si>
    <t>Urgent Service Orders average 3 direct labor hours each</t>
  </si>
  <si>
    <t>Due to the efficiency and work culture of the current workforce and types of calls, 4 hours for Urgent Service Orders is appropriate.</t>
  </si>
  <si>
    <t>References:</t>
  </si>
  <si>
    <t xml:space="preserve">3.1.3 Routine Service Orders (limit of liability is $2500 in material and up to 32 direct labor hours) </t>
  </si>
  <si>
    <t>Routine Service Orders average 4 direct labor hours each</t>
  </si>
  <si>
    <t>Due to the efficiency and work culture of the current workforce and types of calls, 4 hours for Routine Service Orders is appropriate.</t>
  </si>
  <si>
    <t>3.2 Preventive Maintenance Program</t>
  </si>
  <si>
    <t>J-1502000-06 Auxiliary Generator Inventory</t>
  </si>
  <si>
    <t>J-1502000-07 Boiler and UPV Inventory and Certification Dates</t>
  </si>
  <si>
    <t>J-1502000-08 Cathodic Protection Systems Inventory</t>
  </si>
  <si>
    <t>J-1502000-09 Compressed Air Systems Inventory</t>
  </si>
  <si>
    <t xml:space="preserve"> J-1502000-10 Elevated Water Tank Inventory</t>
  </si>
  <si>
    <t>J-1502000-11 Emergency Exit and Exterior Lighting Inventory</t>
  </si>
  <si>
    <t>J-1502000-12 Force Protection Inventory and Preventive Maintenance Checklist</t>
  </si>
  <si>
    <t xml:space="preserve">J-1502000-13 HVAC and Refrigeration System Inventory under PM </t>
  </si>
  <si>
    <t>J-1502000-14 HVAC and Refrigeration Systems Temperature Standards</t>
  </si>
  <si>
    <t>J-1502000-15 Lightning Arrestors and Grounding Devices Inventory</t>
  </si>
  <si>
    <t>J-1502000-16 Overhead and Sliding Door Inventory</t>
  </si>
  <si>
    <t>J-1502000-17 PTAC Inventory</t>
  </si>
  <si>
    <t xml:space="preserve"> J-1502000-18 Solar-Powered Equipment Inventory</t>
  </si>
  <si>
    <t xml:space="preserve"> J-1502000-19 Sump Pump Inventory</t>
  </si>
  <si>
    <t>J-1502000-20 Tankless Water Heaters Inventory</t>
  </si>
  <si>
    <t xml:space="preserve">J-1502000-21 Uninterruptible Power Source (UPS) Systems Inventory and PM Program </t>
  </si>
  <si>
    <t>J-1502000-22 Weight Handling Equipment Inventory</t>
  </si>
  <si>
    <t>3.3 Integrated Maintenance Program</t>
  </si>
  <si>
    <t xml:space="preserve"> J-1502000-23 HVAC Equipment Under IMP</t>
  </si>
  <si>
    <t xml:space="preserve"> J-1502000-25 Fire Protection Systems</t>
  </si>
  <si>
    <t xml:space="preserve"> J-1502000-26 Vertical Transportation Equipment Inventory</t>
  </si>
  <si>
    <t>3.4 Inspection, Testing, and Certification</t>
  </si>
  <si>
    <t xml:space="preserve">Assumption: </t>
  </si>
  <si>
    <t>Inspection, Testing, and Certification Direct Labor Hours equal to annual Preventive Maintenance Direct Labor Hours</t>
  </si>
  <si>
    <t xml:space="preserve"> J-1502000-27 Backflow Preventer Inventory </t>
  </si>
  <si>
    <t>3.5 Other Recurring Services</t>
  </si>
  <si>
    <t xml:space="preserve"> J-1502000-28 Exhaust Hoods and Ducts Inventory</t>
  </si>
  <si>
    <t>J-1502000-29 Facility Related Control Systems (FRCS) Inventory</t>
  </si>
  <si>
    <t>J-1502000-30 FRCS Cybersecurity Program</t>
  </si>
  <si>
    <t>J-1502000-31 FRCS Program Roles and Responsibilities</t>
  </si>
  <si>
    <t xml:space="preserve"> J-1502000-32 Oil/Water Separators and Grease Traps Inventory</t>
  </si>
  <si>
    <t xml:space="preserve"> J-1502000-33 Roof Cleaning Building List </t>
  </si>
  <si>
    <t xml:space="preserve"> J-1502000-34 Winterization/De-Winterization Inventory</t>
  </si>
  <si>
    <t xml:space="preserve"> J-1502000-35 Forms</t>
  </si>
  <si>
    <t xml:space="preserve"> J-1502000-36 Asbestos Control</t>
  </si>
  <si>
    <t xml:space="preserve"> J-1502000-37 Lead Program Management</t>
  </si>
  <si>
    <t>J-1502000-38 Mold Remediation and Sampling</t>
  </si>
  <si>
    <t>1503010 Custodial:</t>
  </si>
  <si>
    <t>J-1503010-03 Service Level Standards</t>
  </si>
  <si>
    <t>J-1503010-04 Service Classes</t>
  </si>
  <si>
    <t>J-1503010-05 Mandated Service Classes for Hospitals and Clinics</t>
  </si>
  <si>
    <t xml:space="preserve">J-1503010-06 Mandated Service Classes for Child Youth Program Facilities </t>
  </si>
  <si>
    <t>J-1503010-XX Maps and Locations</t>
  </si>
  <si>
    <t>J-1503010-07 Floor Plans</t>
  </si>
  <si>
    <t>J-1503010-08 Custodial Inventory</t>
  </si>
  <si>
    <t>J-1503010-09 Historical Custodial Service Orders</t>
  </si>
  <si>
    <t>NAVFAC HQ Best Business Practices Empircal Estimating for Custodial Services 18 Dec 2020</t>
  </si>
  <si>
    <t>Recurring Work:</t>
  </si>
  <si>
    <t>Spec Item 3.1 Labor Hours:</t>
  </si>
  <si>
    <t>Based on an average of 0.0380 labor hours per Square Foot (SF) annually for COL3 services</t>
  </si>
  <si>
    <t>Spec Item 3.1 Labor Cost:</t>
  </si>
  <si>
    <t>Based on the labor rate for a Janitor (refer to Wage Determination Worksheet) multiplied by the total Spec Item 3 Labor Hours</t>
  </si>
  <si>
    <t>Spec Item 3.1 Material Cost:</t>
  </si>
  <si>
    <t>Based on 50% of Spec Item 3 Labor Cost</t>
  </si>
  <si>
    <t>Spec Item 3.1 Equipment Cost:</t>
  </si>
  <si>
    <t>Based on 2% of Spec Item 3 Labor Cost</t>
  </si>
  <si>
    <t>Spec Item 3.2 Labor Hours:</t>
  </si>
  <si>
    <t>Based on an average of 3.96 labor hours per Custodial Service Order</t>
  </si>
  <si>
    <t>Spec Item 3.2 Labor Cost:</t>
  </si>
  <si>
    <t>Spec Item 3.2 Material Cost:</t>
  </si>
  <si>
    <t>Spec Item 3.2 Equipment Cost:</t>
  </si>
  <si>
    <t>Spec Items 1 and 2 On-Site Labor Hours:</t>
  </si>
  <si>
    <t>Based on the following assumption:</t>
  </si>
  <si>
    <t>Ratio of Spec Item 3 Labor Hours to Spec Items 1 and 2 On-Site Labor Hours is 8 Spec Item 3 Labor Hours to 1 Spec Items 1 and 2 On-Site Labor Hour</t>
  </si>
  <si>
    <t>Spec Items 1 and 2 On-Site Cost:</t>
  </si>
  <si>
    <t>Based on 12% of Spec Item 3 Labor, Materials, and Equipment Cost</t>
  </si>
  <si>
    <t>Off-Site Cost:</t>
  </si>
  <si>
    <t>Based on an average offered rate of 6% of Spec Item 3 Labor, Materials, and Equipment Cost and Spec Items 1 and 2 On-Site Cost</t>
  </si>
  <si>
    <t>Profit/Fee:</t>
  </si>
  <si>
    <t>Based on an average offered rate of 6% of Spec Item 3 Labor, Materials, and Equipment Cost, Spec Items 1 and 2 On-Site Cost, and Off-Site Cost</t>
  </si>
  <si>
    <t>Non-Recurring Work:</t>
  </si>
  <si>
    <t>Spec Item 4 Labor Hours:</t>
  </si>
  <si>
    <t>ELINs X705 through  X711 based on RS Means (Various Janitorial Tasks)</t>
  </si>
  <si>
    <t>ELIN X712 based on an average of 0.0145 labor hours per Square Foot (SF) per occurrence of Restroom Cleaning</t>
  </si>
  <si>
    <t>Spec Item 4 Material Cost:</t>
  </si>
  <si>
    <t xml:space="preserve">Based on 50% of the Spec Item 4 Labor Cost </t>
  </si>
  <si>
    <t>Spec Item 4 Equipment Cost:</t>
  </si>
  <si>
    <t>Based on 2% of Spec Item 4 Labor Cost</t>
  </si>
  <si>
    <t>1503020 Pest Control:</t>
  </si>
  <si>
    <t>Engineered Performance Standards Handbook, Book Number 11, Roads, Grounds, Pest Control and Refuse Collection</t>
  </si>
  <si>
    <t>J-1503020-04 Service Level Standards</t>
  </si>
  <si>
    <t>J-1503020-05 Guidance for Contractor Work Plan</t>
  </si>
  <si>
    <t>J-1503020-06 Frequencies for Scheduled Work</t>
  </si>
  <si>
    <t>J-1503020-07 Nuisance Pest Requirements</t>
  </si>
  <si>
    <t>J-1503020-08 Public Health Pest Requirements</t>
  </si>
  <si>
    <t>J-1503020-09 Structure Damaging Pest Requirements</t>
  </si>
  <si>
    <t>J-1503020-10 Lawn, Turf and Ornamental Plant Pest Requirements</t>
  </si>
  <si>
    <t>J-1503020-11 Vertebrate Pest Requirements</t>
  </si>
  <si>
    <t>J-1503020-12 Termite Control Specifications</t>
  </si>
  <si>
    <t>J-1503020-13 Historical Pest Control Service Orders</t>
  </si>
  <si>
    <t>J-1503020-14 Sample New Pest Management Record</t>
  </si>
  <si>
    <t>1503030 Integrated Solid Waste Management</t>
  </si>
  <si>
    <t>J-1503030-03 Service Level Standards</t>
  </si>
  <si>
    <t>J-1503030-04 Maps and Locations</t>
  </si>
  <si>
    <t>J-1503030-05 Location and Frequency Historical Data</t>
  </si>
  <si>
    <t>J-1503030-06 Recyclable Waste Collection Points and Historical Data</t>
  </si>
  <si>
    <t>J-1503030-07 Sanitation</t>
  </si>
  <si>
    <t>1503040 Other (Swimming Pools):</t>
  </si>
  <si>
    <t>J-1503040-03 Swimming Pool Facility Inventory</t>
  </si>
  <si>
    <t>J-1503040-04 Splash Park Water Treatment and Operator Maintenance</t>
  </si>
  <si>
    <t>1503050 Grounds Maintenance and Landscaping:</t>
  </si>
  <si>
    <t>J-1503020-02 Pest Group Sheet - Vegetation Management Requirements</t>
  </si>
  <si>
    <t>J-1503050-03 Planned Pest Use Sheets</t>
  </si>
  <si>
    <t>J-1503050-04 Pest Management Operations Report</t>
  </si>
  <si>
    <t>J-1503050-05 Site Maps and Locations</t>
  </si>
  <si>
    <t>J-1503050-07 Recycling Reporting Form</t>
  </si>
  <si>
    <t>J-1503050-08 Service Level Standards</t>
  </si>
  <si>
    <t>J-1503050-09 Irrigation System Inventory</t>
  </si>
  <si>
    <t>J-1503050-10 Historical Grounds Maintenance Service Orders</t>
  </si>
  <si>
    <t>NAVFAC HQ Best Business Practices Empircal Estimating for Grounds Maintenance and Landscaping 12 Jun 2020</t>
  </si>
  <si>
    <t>Improved Grounds - based on an average of 3.53839287811524 labor hours per Acre (AC) annually for COL3 services</t>
  </si>
  <si>
    <t>Improved Grounds - based on the labor rate for a Laborer, Grounds Maintenance multiplied by the estimated labor hours</t>
  </si>
  <si>
    <t>Wage Determination Worksheet</t>
  </si>
  <si>
    <t>Based on 43% of Spec Item 3.1 Labor Cost</t>
  </si>
  <si>
    <t>Based on 34% of Spec Item 3.1 Labor Cost</t>
  </si>
  <si>
    <t>Operational Areas - based on an average of 2.85898400798863 labor hours per Acre (AC) annually</t>
  </si>
  <si>
    <t>Operational Areas - based on the labor rate for a Tractor Operator multiplied by the estimated labor hours</t>
  </si>
  <si>
    <t>Based on 43% of Spec Item 3.2 Labor Cost</t>
  </si>
  <si>
    <t>Based on 34% of Spec Item 3.2 Labor Cost</t>
  </si>
  <si>
    <t>Ratio of Spec Items 3.1 and 3.2 Labor Hours to Spec Items 1 and 2 On-Site Labor Hours is 8 Spec Item 3 Labor Hours to 1 Spec Items 1 and 2 On-Site Labor Hour</t>
  </si>
  <si>
    <t>Based on 20% of Spec Item 3.1 and 3.2 Labor, Materials, and Equipment Cost</t>
  </si>
  <si>
    <t>1601000 Utility Management</t>
  </si>
  <si>
    <t xml:space="preserve">3.1 Service Orders  (limit of liability 32 labor hours and $4500.00 direct material cost) </t>
  </si>
  <si>
    <t>Emergency Service Orders average appoximately 10 direct labor hours each</t>
  </si>
  <si>
    <t>Due to the efficiency and work culture of the current workforce, 10 hours for Emergency Service Orders is appropriate.</t>
  </si>
  <si>
    <t>Direct material cost averages $44.08 of direct labor cost (used this amount due to the type pf service that will be needed.  Material cost is limited)</t>
  </si>
  <si>
    <t>Emergency Service Orders estimated price = $316.25 each (Cost difference due to the overhead positions for electrical)</t>
  </si>
  <si>
    <r>
      <t xml:space="preserve">3.1.2 Urgent Service Orders (limit of liability 32 labor hours and </t>
    </r>
    <r>
      <rPr>
        <sz val="10"/>
        <color rgb="FFFF0000"/>
        <rFont val="Times New Roman"/>
        <family val="1"/>
      </rPr>
      <t>$4500.00</t>
    </r>
    <r>
      <rPr>
        <sz val="10"/>
        <rFont val="Times New Roman"/>
        <family val="1"/>
      </rPr>
      <t xml:space="preserve"> direct material cost) </t>
    </r>
  </si>
  <si>
    <t>Urgent Service Orders average 8 direct labor hours each</t>
  </si>
  <si>
    <t>Due to the efficiency and work culture of the current workforce, 8 hours for Urgent Service Orders is appropriate.</t>
  </si>
  <si>
    <t>Direct material cost averages $35.27 of direct labor cost (used this amount due to the type pf service that will be needed.  Material cost is limited)</t>
  </si>
  <si>
    <r>
      <t xml:space="preserve">Urgent Service Orders estimated price = </t>
    </r>
    <r>
      <rPr>
        <sz val="10"/>
        <color rgb="FFFF0000"/>
        <rFont val="Times New Roman"/>
        <family val="1"/>
      </rPr>
      <t>$253.00</t>
    </r>
    <r>
      <rPr>
        <sz val="10"/>
        <rFont val="Times New Roman"/>
        <family val="1"/>
      </rPr>
      <t xml:space="preserve"> each (Cost difference due to the overhead positions for electrical)</t>
    </r>
  </si>
  <si>
    <t xml:space="preserve">3.1.3 Routine Service Orders (limit of liability 32 labor hours and $4500.00 direct material cost) </t>
  </si>
  <si>
    <t>Routine Service Orders average 7 direct labor hours each</t>
  </si>
  <si>
    <t>Due to the efficiency and work culture of the current workforce, 7 hours for Routine Service Orders is appropriate.</t>
  </si>
  <si>
    <t>Direct material cost averages $30.86 of direct labor cost (used this amount due to the type pf service that will be needed.  Material cost is limited)</t>
  </si>
  <si>
    <t>Routine Service Orders estimated price = $221.37 each (Cost difference due to the overhead positions for electrical)</t>
  </si>
  <si>
    <t>J-1601000-01 Points of Demarcation</t>
  </si>
  <si>
    <t>J-1601000-04 Installation Utility Maps</t>
  </si>
  <si>
    <t>J-1601000-05 Installation Utility Management Reporting and Coordination Requirements</t>
  </si>
  <si>
    <t>J-1601000-06 Service Desk Guide for Reporting Utility System Outages</t>
  </si>
  <si>
    <t>J-1601000-07 Meter Inventory and Schedule</t>
  </si>
  <si>
    <t>J-1601000-08 Electrical Utility Asset Inventory</t>
  </si>
  <si>
    <t>J-1601000-09 Wastewater Utility Asset Inventory</t>
  </si>
  <si>
    <t>J-1601000-10 Water Utility Asset Inventory</t>
  </si>
  <si>
    <t>J-1601000-11 Utility Asset Tagging Guidance</t>
  </si>
  <si>
    <t>J-1601000-12 Specification Attributes</t>
  </si>
  <si>
    <t>J-1601000-13 UEM-Di Meter Group and The Direct Condition Rating Guidance</t>
  </si>
  <si>
    <t>J-1601000-14 Historical Utility Service Orders</t>
  </si>
  <si>
    <t>1602000 Electrical:</t>
  </si>
  <si>
    <t>J-1602000-03 Electrical Power Generation, Transmission and Distribution System Description</t>
  </si>
  <si>
    <t>1604000 Wastewater:</t>
  </si>
  <si>
    <t>J-1604000-03 Wastewater Treatment Plant and Collection and Systems Description</t>
  </si>
  <si>
    <t>J-1604000-04 Laboratory Requirements?</t>
  </si>
  <si>
    <t>NAVFAC HQ Best Business Practices Empircal Estimating for Wastewater Services 1 May 2020</t>
  </si>
  <si>
    <t>Operations based on an average of 0.0000162 labor hours per Gallon of Wastewater Processed</t>
  </si>
  <si>
    <t>Based on the labor rate for a Wastewater Plant Operator (refer to Wage Determination Worksheet) multiplied by the total Spec Item 3 Labor Hours</t>
  </si>
  <si>
    <t>Based on 35% of Spec Item 3 Labor Cost</t>
  </si>
  <si>
    <t>Based on 5% of Spec Item 3 Labor Cost</t>
  </si>
  <si>
    <t>1606000 Water:</t>
  </si>
  <si>
    <t>J-1606000-03 Water Treatment Plant and Distribution Systems Description</t>
  </si>
  <si>
    <t>J-1606000-04 Standard Operating Procedures (SOPs)</t>
  </si>
  <si>
    <t>J-1606000-05 Historical Chemical and Material Usage</t>
  </si>
  <si>
    <t>J-1606000-06 Sample Plant Operating Records, Logs and Reports</t>
  </si>
  <si>
    <t>NAVFAC HQ Best Business Practices Empircal Estimating for Water Services 1 May 2020</t>
  </si>
  <si>
    <r>
      <t>Escalation</t>
    </r>
    <r>
      <rPr>
        <b/>
        <sz val="10"/>
        <rFont val="Times New Roman"/>
        <family val="1"/>
      </rPr>
      <t>:</t>
    </r>
  </si>
  <si>
    <t>Material and Equipment for Option Periods escalated in the amount of 2% per year</t>
  </si>
  <si>
    <t>Unified Facilities Criteria 3-701-01 DoD Facilities Pricing Guide, Change 3, 26 July 2023; Table 4-4: Operation and Maintenance Escalation Rates</t>
  </si>
  <si>
    <t>Operations based on an average of 0.000154 labor hours per Gallon of Potable Water Produced</t>
  </si>
  <si>
    <t>Based on the labor rate for a Water Plant Operator (refer to Wage Determination Worksheet) multiplied by the total Spec Item 3 Labor Hours</t>
  </si>
  <si>
    <t>Maintenance based on an average of 0.0000376 labor hours per Gallon of Potable Water Produced</t>
  </si>
  <si>
    <t>1700000 BSVE:</t>
  </si>
  <si>
    <t>J-1700000-02 GSA Fleet Inventory</t>
  </si>
  <si>
    <t>J-1700000-03 Government Owned CESE Fleet Inventory</t>
  </si>
  <si>
    <t>J-1700000-04 Government Owned MHE Fleet Inventory</t>
  </si>
  <si>
    <t>J-1700000-05 Allowable Individual Downtime by Alpha Code</t>
  </si>
  <si>
    <t>J-1700000-06 Appearance Standards</t>
  </si>
  <si>
    <t>J-1700000-07 References and Technical Documents</t>
  </si>
  <si>
    <t>J-1700000-08 Historical Data</t>
  </si>
  <si>
    <t>J-1700000-09 Shuttle Bus Services and Schedule</t>
  </si>
  <si>
    <t>J-1700000-10 Fuel Operations and Schedule</t>
  </si>
  <si>
    <t>J-1700000-11 Dispatch Process and Procedures</t>
  </si>
  <si>
    <t>J-1700000-12 Motor Equipment Utilization Record (DD Form 1970)</t>
  </si>
  <si>
    <t>J-1700000-13 DoD Property Record (DD Form 1342)</t>
  </si>
  <si>
    <t>Kelley Blue Book Cost of Ownership</t>
  </si>
  <si>
    <t>MAXIMO JOB PLAN TR-SE-WKMPL (Aerial Platform Truck, Electrical Maintenance PM)</t>
  </si>
  <si>
    <t>MAXIMO JOB PLAN TR-SE-RTC80100 (Aerial Platform Truck, Electrical Maintenance Annual Certification)</t>
  </si>
  <si>
    <t>NAVFAC P-307 "  Ref     Annual, Bi-annual, Maintenance, Inspection, Testing and Certification Standards"</t>
  </si>
  <si>
    <t>NAVFAC P-300 "Ref       Annual Load Test, Electric Insulation Test and PM Requirements</t>
  </si>
  <si>
    <t>Market Research: Cost of Ownership for All Terain Vehicles, Utility Vehicles, Low Speed Electric Vehicles</t>
  </si>
  <si>
    <t>Historical Maintenance Data within Maximo for Electric and Gas powered utility vehicles.</t>
  </si>
  <si>
    <t>CNRSE Fire Fighting Equipment Maintanence Costs and Labor Data</t>
  </si>
  <si>
    <t xml:space="preserve">NAVSUP 538 </t>
  </si>
  <si>
    <t>1800000 Environmental:</t>
  </si>
  <si>
    <t>J-1800000-03 Sampling Services Historical Data</t>
  </si>
  <si>
    <t>J-1800000-04 Used Oil Quantities Historical Data</t>
  </si>
  <si>
    <t>J-1800000-05 Used Oil Collection Locations</t>
  </si>
  <si>
    <t>J-1800000-06 Sample Used Oil Disposal and Recycling Summary Report</t>
  </si>
  <si>
    <t xml:space="preserve">J-1800000-07 HM/HW/ORM Disposal Historical Data </t>
  </si>
  <si>
    <t>J-1800000-08 HW Disposal Report</t>
  </si>
  <si>
    <t xml:space="preserve">J-1800000-09 Spill Prevention Inventory </t>
  </si>
  <si>
    <t>J-1800000-10 Storm Water Monitoring Plan</t>
  </si>
  <si>
    <t>J-1800000-11 Forms</t>
  </si>
  <si>
    <t xml:space="preserve">Prepared by: </t>
  </si>
  <si>
    <t>John R. Anderson, PE</t>
  </si>
  <si>
    <t>FSC Senior Project Manager</t>
  </si>
  <si>
    <t>NAVFAC SE, PWBL, PW2</t>
  </si>
  <si>
    <t>Contact vis MS Teams</t>
  </si>
  <si>
    <t>Date: 7 Nov 2023</t>
  </si>
  <si>
    <t>Attachment J-0200000-17</t>
  </si>
  <si>
    <t>Exhibit Line Item Numbers - NAVSTA Mayport</t>
  </si>
  <si>
    <t>Contract No.: N6945025R0000</t>
  </si>
  <si>
    <t>Provide Prices for Recurring Work in accordance with Section C, Spec Item 3</t>
  </si>
  <si>
    <t>Customer/ Program</t>
  </si>
  <si>
    <t>Category</t>
  </si>
  <si>
    <t>Sub-Category</t>
  </si>
  <si>
    <t>ELIN</t>
  </si>
  <si>
    <t>Sub-ELIN</t>
  </si>
  <si>
    <t xml:space="preserve">Annex/Sub-annex
</t>
  </si>
  <si>
    <t>Spec Item</t>
  </si>
  <si>
    <t>Spec Item 3
Labor Hours</t>
  </si>
  <si>
    <t>Quantity</t>
  </si>
  <si>
    <t>Unit of Measure</t>
  </si>
  <si>
    <t>Unit Price</t>
  </si>
  <si>
    <t>Port Ops</t>
  </si>
  <si>
    <t>Port Operations</t>
  </si>
  <si>
    <t>Port Ops Equipment Work Order</t>
  </si>
  <si>
    <t>A001</t>
  </si>
  <si>
    <t>A001AA</t>
  </si>
  <si>
    <t>3.1.1</t>
  </si>
  <si>
    <t>Urgent</t>
  </si>
  <si>
    <t>EA</t>
  </si>
  <si>
    <t>3.1.2</t>
  </si>
  <si>
    <t>Routine</t>
  </si>
  <si>
    <t>Ship Movements - Berthing and Hotel Services</t>
  </si>
  <si>
    <t>MO</t>
  </si>
  <si>
    <t>CNRSE FP</t>
  </si>
  <si>
    <t>Facility Management</t>
  </si>
  <si>
    <t>A002</t>
  </si>
  <si>
    <t>A002AA</t>
  </si>
  <si>
    <t>NAVFAC Maximo Data Entry</t>
  </si>
  <si>
    <t>A002AB</t>
  </si>
  <si>
    <t>Infrastructure Condition Assessment Program (ICAP) Services</t>
  </si>
  <si>
    <t>A002AC</t>
  </si>
  <si>
    <t>Technical Library Operations</t>
  </si>
  <si>
    <t>CNRSE ST</t>
  </si>
  <si>
    <t>Facility Investment</t>
  </si>
  <si>
    <t>E/U/R Work Orders</t>
  </si>
  <si>
    <t>Emergency</t>
  </si>
  <si>
    <t>Preventive Maintenance (PM) Program</t>
  </si>
  <si>
    <t>3.3.1</t>
  </si>
  <si>
    <t>Airfield Lighting Systems</t>
  </si>
  <si>
    <t>3.3.2</t>
  </si>
  <si>
    <t>Auxiliary Generator Systems</t>
  </si>
  <si>
    <t>3.3.3</t>
  </si>
  <si>
    <t>Boiler and Unfired Pressure Vessel (UPV) Systems</t>
  </si>
  <si>
    <t>3.3.4</t>
  </si>
  <si>
    <t>Compressed Air Systems</t>
  </si>
  <si>
    <t>3.3.5</t>
  </si>
  <si>
    <t>Door and Gate Systems</t>
  </si>
  <si>
    <t>3.3.6</t>
  </si>
  <si>
    <t>Fire Protection Systems</t>
  </si>
  <si>
    <t>3.3.7</t>
  </si>
  <si>
    <t>Frequency Converter (400 HZ) Systems</t>
  </si>
  <si>
    <t>3.3.8</t>
  </si>
  <si>
    <t>Galley Equipment and Systems</t>
  </si>
  <si>
    <t>3.3.9</t>
  </si>
  <si>
    <t>HVAC and Refrigeration Systems</t>
  </si>
  <si>
    <t>3.3.10</t>
  </si>
  <si>
    <t>Security Systems and Equipment</t>
  </si>
  <si>
    <t>3.3.11</t>
  </si>
  <si>
    <t>3.3.12</t>
  </si>
  <si>
    <t>Vertical Transportation Equipment (VTE)</t>
  </si>
  <si>
    <t>3.3.13</t>
  </si>
  <si>
    <t>Facility-Mounted Weight Handling Equipment (WHE)</t>
  </si>
  <si>
    <t>Inspection, Testing, and Certification</t>
  </si>
  <si>
    <t>3.4.1</t>
  </si>
  <si>
    <t>Backflow Prevention Devices</t>
  </si>
  <si>
    <t>3.4.2</t>
  </si>
  <si>
    <t>Boilers and UPVs</t>
  </si>
  <si>
    <t>3.4.3</t>
  </si>
  <si>
    <t>Grounding Points</t>
  </si>
  <si>
    <t>3.4.4</t>
  </si>
  <si>
    <t>3.4.5</t>
  </si>
  <si>
    <t>Other Recurring Services Program</t>
  </si>
  <si>
    <t>3.5.1</t>
  </si>
  <si>
    <t>3.5.2</t>
  </si>
  <si>
    <t>Boiler Systems Water Testing and Treatment Services</t>
  </si>
  <si>
    <t>3.5.4</t>
  </si>
  <si>
    <t>FRCS Maintenance and Monitoring</t>
  </si>
  <si>
    <t>3.5.5</t>
  </si>
  <si>
    <t>Fuel Storage Tanks and Berms</t>
  </si>
  <si>
    <t>3.5.6</t>
  </si>
  <si>
    <t>Grease and Grit Traps</t>
  </si>
  <si>
    <t>3.5.8</t>
  </si>
  <si>
    <t>HVAC Water Testing and Treatment Services</t>
  </si>
  <si>
    <t>3.5.9</t>
  </si>
  <si>
    <t>HVAC Condenser Tube Inspections</t>
  </si>
  <si>
    <t>3.5.11</t>
  </si>
  <si>
    <t>Spot Coolers</t>
  </si>
  <si>
    <t>Other (Swimming Pools)</t>
  </si>
  <si>
    <t xml:space="preserve">Preventive Maintenance (PM) Program </t>
  </si>
  <si>
    <t>CNRSE FX</t>
  </si>
  <si>
    <t>CNRSE UT</t>
  </si>
  <si>
    <t>Utilities Management</t>
  </si>
  <si>
    <t>Utility Operations Support</t>
  </si>
  <si>
    <t>Recurring Services</t>
  </si>
  <si>
    <t>Operation and Management of Facility Related Control Systems (FRCS)</t>
  </si>
  <si>
    <t>Electrical</t>
  </si>
  <si>
    <t>Operate Electrical Power Transmission and Distribution Systems</t>
  </si>
  <si>
    <t>3.2.1</t>
  </si>
  <si>
    <t>3.2.2</t>
  </si>
  <si>
    <t>3.2.3</t>
  </si>
  <si>
    <t>Other Recurring Services</t>
  </si>
  <si>
    <t>Utility Right of Way Clearance</t>
  </si>
  <si>
    <t>CNRSE TR</t>
  </si>
  <si>
    <t>Transportation</t>
  </si>
  <si>
    <t>WHE/MHE/NTVE Services</t>
  </si>
  <si>
    <t>Fuel Delivery Services</t>
  </si>
  <si>
    <t>Dispatching Services</t>
  </si>
  <si>
    <t>Maintenance of NTVE</t>
  </si>
  <si>
    <t>3.3.1.1</t>
  </si>
  <si>
    <t>New and Reassigned Vehicles and Equipment Services</t>
  </si>
  <si>
    <t>Maintenance of CESE</t>
  </si>
  <si>
    <t>3.3.1.2</t>
  </si>
  <si>
    <t>Preventive Maintenance, Inspection, Load Test and Certification of WHE, MHE and AWP</t>
  </si>
  <si>
    <t>3.3.1.3</t>
  </si>
  <si>
    <t>Preventive Maintenance Inspection of NTVE</t>
  </si>
  <si>
    <t>1700000</t>
  </si>
  <si>
    <t>3.3.1.4</t>
  </si>
  <si>
    <t>Repair (NTVE, WHE, MHE and AWP)</t>
  </si>
  <si>
    <t>3.3.1.5</t>
  </si>
  <si>
    <t>NTVE Trouble Calls</t>
  </si>
  <si>
    <t>BSVE Accessories Installation and Removal</t>
  </si>
  <si>
    <t>Environmental</t>
  </si>
  <si>
    <t>1800000</t>
  </si>
  <si>
    <t>CNRSE EC</t>
  </si>
  <si>
    <t>A003</t>
  </si>
  <si>
    <t>A003AB</t>
  </si>
  <si>
    <t>A003AE</t>
  </si>
  <si>
    <t>A003AF</t>
  </si>
  <si>
    <t>A003AG</t>
  </si>
  <si>
    <t>A003AH</t>
  </si>
  <si>
    <t>A003AJ</t>
  </si>
  <si>
    <t>A003AK</t>
  </si>
  <si>
    <t>A003AL</t>
  </si>
  <si>
    <t>A003AM</t>
  </si>
  <si>
    <t>A003AN</t>
  </si>
  <si>
    <t>3.5.3</t>
  </si>
  <si>
    <t>Change of Occupancy Maintenance (COM)</t>
  </si>
  <si>
    <t>A003AP</t>
  </si>
  <si>
    <t>3.5.10</t>
  </si>
  <si>
    <t>Lint Traps</t>
  </si>
  <si>
    <t>Facility Invetment</t>
  </si>
  <si>
    <t>A004</t>
  </si>
  <si>
    <t>A004AA</t>
  </si>
  <si>
    <t>FRC VRT</t>
  </si>
  <si>
    <t>A005</t>
  </si>
  <si>
    <t>A005AA</t>
  </si>
  <si>
    <t>A005AB</t>
  </si>
  <si>
    <t>A005AC</t>
  </si>
  <si>
    <t>MCSF-BI</t>
  </si>
  <si>
    <t>A006</t>
  </si>
  <si>
    <t>A006AA</t>
  </si>
  <si>
    <t>1501000(MCSF-BI)</t>
  </si>
  <si>
    <t>3.1,3.2,3.3</t>
  </si>
  <si>
    <t>USMC Maximo, ICAP and Tech Library</t>
  </si>
  <si>
    <t>Facility Investment - MCSF-BI</t>
  </si>
  <si>
    <t>1502000(MCSF-BI)</t>
  </si>
  <si>
    <t>A006AD</t>
  </si>
  <si>
    <t>A006AG</t>
  </si>
  <si>
    <t>A006AH</t>
  </si>
  <si>
    <t>Cathodic Protection</t>
  </si>
  <si>
    <t>A006AJ</t>
  </si>
  <si>
    <t>A006AK</t>
  </si>
  <si>
    <t>Facilities, Systems, and Equipment</t>
  </si>
  <si>
    <t>A006AL</t>
  </si>
  <si>
    <t>Irrigation Equipment and Systems</t>
  </si>
  <si>
    <t>Unfired Pressure Vessels (UPVs)</t>
  </si>
  <si>
    <t>Blast, Paint, and Drying Systems</t>
  </si>
  <si>
    <t>Boiler Systems</t>
  </si>
  <si>
    <t>Railroad Signal and Battery House Systems and Equipment</t>
  </si>
  <si>
    <t>Crane and Railroad Trackage</t>
  </si>
  <si>
    <t>Rolling, Sliding, and Overhead Fire Doors</t>
  </si>
  <si>
    <t>3.6.1</t>
  </si>
  <si>
    <t>Lighting Systems</t>
  </si>
  <si>
    <t>3.6.2</t>
  </si>
  <si>
    <t>Corrosion Control</t>
  </si>
  <si>
    <t>3.6.3</t>
  </si>
  <si>
    <t>Roof Maintenance</t>
  </si>
  <si>
    <t>3.6.4</t>
  </si>
  <si>
    <t>Lift Station Maintenance</t>
  </si>
  <si>
    <t>3.6.5</t>
  </si>
  <si>
    <t>Provide and Service Portable Toilets</t>
  </si>
  <si>
    <t>3.6.6</t>
  </si>
  <si>
    <t>3.6.7</t>
  </si>
  <si>
    <t>Locksmith and Key Control Custodian</t>
  </si>
  <si>
    <t>3.6.8</t>
  </si>
  <si>
    <t>Oil Water Separators and Oily Water Collection Points</t>
  </si>
  <si>
    <t>3.6.9</t>
  </si>
  <si>
    <t>Direct Digital Control (DDC) Systems Maintenance, Repairs and Monitoring</t>
  </si>
  <si>
    <t>3.6.10</t>
  </si>
  <si>
    <t>Custodial - MCSF-BI</t>
  </si>
  <si>
    <t>1503010(MCSF-BI)</t>
  </si>
  <si>
    <t>Scheduled Services</t>
  </si>
  <si>
    <t>Custodial Service Orders</t>
  </si>
  <si>
    <t>Pest Control - MCSF-BI</t>
  </si>
  <si>
    <t>1503020(MCSF-BI)</t>
  </si>
  <si>
    <t>Scheduled Pest Control Services</t>
  </si>
  <si>
    <t>Pest Control Service Orders</t>
  </si>
  <si>
    <t>Integrated Solid Waste Management - MCSF-BI</t>
  </si>
  <si>
    <t>1503030(MCSF-BI)</t>
  </si>
  <si>
    <t>Grounds Maintenance and Landscaping - MCSF-BI</t>
  </si>
  <si>
    <t>1503050(MCSF-BI)</t>
  </si>
  <si>
    <t>Operational Areas</t>
  </si>
  <si>
    <t>Grounds Maintenance Service Orders</t>
  </si>
  <si>
    <t>Environmental - MCSF-BI</t>
  </si>
  <si>
    <t>1800000(MCSF-BI)</t>
  </si>
  <si>
    <t>Hazardous Material and Hazardous Waste, and Other Regulated Waste (HM/HW/ORW) Management</t>
  </si>
  <si>
    <t>NCIS</t>
  </si>
  <si>
    <t>A007</t>
  </si>
  <si>
    <t>A007AA</t>
  </si>
  <si>
    <t>FLCJ</t>
  </si>
  <si>
    <t>A008</t>
  </si>
  <si>
    <t>A008AC</t>
  </si>
  <si>
    <t>A009</t>
  </si>
  <si>
    <t>A009AC</t>
  </si>
  <si>
    <t>Oily Water Separators</t>
  </si>
  <si>
    <t>SERMC</t>
  </si>
  <si>
    <t>A010</t>
  </si>
  <si>
    <t>A011AC</t>
  </si>
  <si>
    <t>A012</t>
  </si>
  <si>
    <t>A012AA</t>
  </si>
  <si>
    <t>A012AB</t>
  </si>
  <si>
    <t>NAVSOUTH</t>
  </si>
  <si>
    <t>A013</t>
  </si>
  <si>
    <t>A013AC</t>
  </si>
  <si>
    <t>A013AD</t>
  </si>
  <si>
    <t>A014</t>
  </si>
  <si>
    <t>A014AC</t>
  </si>
  <si>
    <t>A014AD</t>
  </si>
  <si>
    <t>B2517 NSWC PHD</t>
  </si>
  <si>
    <t>A015</t>
  </si>
  <si>
    <t>A015AC</t>
  </si>
  <si>
    <t>EOD DET Mayport</t>
  </si>
  <si>
    <t>Navy Lodge</t>
  </si>
  <si>
    <t>NEX</t>
  </si>
  <si>
    <t>NGIS</t>
  </si>
  <si>
    <t>B2505 USFFC</t>
  </si>
  <si>
    <t>Total Recurring Work:</t>
  </si>
  <si>
    <t>Line Item 0002 - UT Recurring Work - Base Period</t>
  </si>
  <si>
    <t>ELIN A019</t>
  </si>
  <si>
    <t>Water</t>
  </si>
  <si>
    <t>A019</t>
  </si>
  <si>
    <t>A019AA</t>
  </si>
  <si>
    <t>A019AB</t>
  </si>
  <si>
    <t>A019AC</t>
  </si>
  <si>
    <t>A019AD</t>
  </si>
  <si>
    <t>A019AE</t>
  </si>
  <si>
    <t>Preventive Maintenance (PM)</t>
  </si>
  <si>
    <t>A019AF</t>
  </si>
  <si>
    <t>Inspection, Testing, and Certification of Fire Hydrants</t>
  </si>
  <si>
    <t>Reference</t>
  </si>
  <si>
    <t>Direct Labor Hours</t>
  </si>
  <si>
    <t>Total Direct Labor Hours</t>
  </si>
  <si>
    <t>Total</t>
  </si>
  <si>
    <t>N/A</t>
  </si>
  <si>
    <t>CNRSE</t>
  </si>
  <si>
    <t>Asset Number</t>
  </si>
  <si>
    <t>Asset Location</t>
  </si>
  <si>
    <t>Facility Number</t>
  </si>
  <si>
    <t>Total Direct Materials</t>
  </si>
  <si>
    <t>Commander, Navy Region Southeast (CNRSE)</t>
  </si>
  <si>
    <t>G20156101950, Traffic Signal light, annualized</t>
  </si>
  <si>
    <t>Runway</t>
  </si>
  <si>
    <t>Commander, Naval Region Southeast (CNRSE)</t>
  </si>
  <si>
    <t>Naval Supply (NAVSUP) Fleet Logistics Center Jacksonville (FLCJ) – Fuel Depot</t>
  </si>
  <si>
    <t>Attachment J-1502000-16</t>
  </si>
  <si>
    <t>Boiler Systems commence at and include the utility isolation point of connection and terminate at the steam/hot water point of delivery.  The Contractor shall develop and implement an IMP program for the Boiler Systems and all mechanically and electrically interlocked ancillary parts, equipment, and components of the Boiler Systems, such as: burners, heat exchangers, flash tanks, meters, pressure vessel, pumps, piping, valves, steam regulating valves,  steam traps, distribution lines, insulation, chemical feed system, condensation return lines, condensate meters, monitoring and controls systems, etc.</t>
  </si>
  <si>
    <t>National Board/ Serial Number</t>
  </si>
  <si>
    <t>Date of Last Certification</t>
  </si>
  <si>
    <t>Penthouse</t>
  </si>
  <si>
    <t>MAYPOR-1488</t>
  </si>
  <si>
    <t>MAYPOR-1553</t>
  </si>
  <si>
    <t>West side Equipment Room</t>
  </si>
  <si>
    <t>1988 York Shipley, No.: 2 Oil, Steam, 6.7 MBH, HVAC</t>
  </si>
  <si>
    <t>80-13481-H-8815</t>
  </si>
  <si>
    <t>PMS 525</t>
  </si>
  <si>
    <t>Equipment Room Behind Building</t>
  </si>
  <si>
    <t>1975 Cleaver Brooks, No.: 2 Oil, Hot Water, 1.1 MBH, HVAC</t>
  </si>
  <si>
    <t>D3025 130 1950</t>
  </si>
  <si>
    <t>1999 Smith, Propane, Hot Water, 0.6 MBH, Domestic Hot Water</t>
  </si>
  <si>
    <t>5L99-82146Y3</t>
  </si>
  <si>
    <t>Equipment Room Breezes way</t>
  </si>
  <si>
    <t>191 NEW</t>
  </si>
  <si>
    <t>2015 Kewanee, Oil, Heating Model, L3W-30</t>
  </si>
  <si>
    <t>Equipment Room East side of building</t>
  </si>
  <si>
    <t>191 OLD</t>
  </si>
  <si>
    <t>1988 York Shipley, No.: 2 Oil, Hot Water, 1.7 MBH, HVAC</t>
  </si>
  <si>
    <t>YO1-156W</t>
  </si>
  <si>
    <t>Equipment Room north side of building</t>
  </si>
  <si>
    <t>1999 Federal Boiler Co., No.: 2 Oil, Steam, 0.345 MBH, HVAC</t>
  </si>
  <si>
    <t>V49-15-7</t>
  </si>
  <si>
    <t>Equipment Room west side of building</t>
  </si>
  <si>
    <t>2005 York Shipley, Natural Gas, Hot Water, 0.750 MBH, HVAC</t>
  </si>
  <si>
    <t>2015 York Shipley, No.: 2 Oil, Steam, 2.3 MBH, HVAC</t>
  </si>
  <si>
    <t>1988 York Shipley, Natural Gas, Steam, 2.34 MBH, HVAC</t>
  </si>
  <si>
    <t>89-17487</t>
  </si>
  <si>
    <t>Breezes way</t>
  </si>
  <si>
    <t>425A</t>
  </si>
  <si>
    <t>2005 Precision, No.: 2 Oil, Hot Water, 0.6 MBH, HVAC</t>
  </si>
  <si>
    <t>425B</t>
  </si>
  <si>
    <t>425 C</t>
  </si>
  <si>
    <t>2011 Precision, Natural Gas, Hot Water 1.7 MBH HVAC</t>
  </si>
  <si>
    <t>B981046</t>
  </si>
  <si>
    <t>425D</t>
  </si>
  <si>
    <t>2012 Precision, Natural Gas, Hot Water 1.7 MBH HVAC</t>
  </si>
  <si>
    <t>B981047</t>
  </si>
  <si>
    <t>South West Equipment Room Next to Laundry</t>
  </si>
  <si>
    <t>425E</t>
  </si>
  <si>
    <t>B981048</t>
  </si>
  <si>
    <t>East Equipment Room</t>
  </si>
  <si>
    <t>2013 Lochinvar, Natural Gas, Hot Water, 0.399 MBH, Domestic Hot Water</t>
  </si>
  <si>
    <t>H12C202228826</t>
  </si>
  <si>
    <t>I12C20228791</t>
  </si>
  <si>
    <t>North Equipment Room</t>
  </si>
  <si>
    <t>2013 Raypak X-Therm WHP, Natural Gas, Hot Water, 1.939 MBH, Heat Pool Water</t>
  </si>
  <si>
    <t>2013 Raypak X-Therm Type H, Natural Gas, Hot Water, 0.959 MBH, HVAC</t>
  </si>
  <si>
    <t>2013 Raypak X-Therm Type H, Natural Gas, Hot Water, 1.919 MBH, HVAC</t>
  </si>
  <si>
    <t>2013 Amerec, Electric, Steam Generator for Steam Room</t>
  </si>
  <si>
    <t>1397-1</t>
  </si>
  <si>
    <t>1994 Bock, Propane, Hot Water, 0.370 MBH, Domestic hot Water</t>
  </si>
  <si>
    <t>PD0814575</t>
  </si>
  <si>
    <t>1397-2</t>
  </si>
  <si>
    <t>1993 Bock, Propane, Hot Water, 0.370 MBH, Domestic hot Water</t>
  </si>
  <si>
    <t>PC0813251</t>
  </si>
  <si>
    <t>Front of building Equipment Room HSL 46</t>
  </si>
  <si>
    <t>1999 Burnham, Natural Gas, Hot Water, 0.25 MBH, Domestic Hot Water</t>
  </si>
  <si>
    <t>Front of building Equipment Room HSL 48</t>
  </si>
  <si>
    <t>HVAC Equipment Room</t>
  </si>
  <si>
    <t>1998 Burnham Natural Gas,  Heating, Hot water 1.6 MBH</t>
  </si>
  <si>
    <t>1999 Burnham, Natural Gas, Hot Water, 1.6 MBH, HVAC</t>
  </si>
  <si>
    <t>1999 RECO, No.: 2 Oil, Hot Water, 1.0 MBH, Domestic Hot Water</t>
  </si>
  <si>
    <t>1985 York Shipley, No.: 2 Oil, Hot Water, 0.837 MBH, HVAC</t>
  </si>
  <si>
    <t>85-15976</t>
  </si>
  <si>
    <t>1986 York Shipley, No.: 2 Oil, Hot Water, 0.837 MBH, HVAC</t>
  </si>
  <si>
    <t>85-15977</t>
  </si>
  <si>
    <t>2001 RECO, No.: 2 Oil, Hot Water, 1.0 MBH, Domestic Hot Water</t>
  </si>
  <si>
    <t>T1698</t>
  </si>
  <si>
    <t>2002 York Shipley, No.: 2 Oil, Hot Water, 0.837 MBH, HVAC</t>
  </si>
  <si>
    <t>85-15577</t>
  </si>
  <si>
    <t>Side of Building North East corner Equipment Room</t>
  </si>
  <si>
    <t>2000 Well-McLain, Natural Gas, Hot Water, 0.5 MBH, Domestic Hot Water</t>
  </si>
  <si>
    <t>LB0091149</t>
  </si>
  <si>
    <t>Well-McLain, Natural Gas, Hot Water, 0.346 MBH, Domestic Hot Water</t>
  </si>
  <si>
    <t>WMCL-1842-6</t>
  </si>
  <si>
    <t>Behind Building North East corner Equipment Room</t>
  </si>
  <si>
    <t>1888-1</t>
  </si>
  <si>
    <t>1993 PVI, Propane, Hot Water, 1.0 MBH, Domestic Hot Water</t>
  </si>
  <si>
    <t>1888-2</t>
  </si>
  <si>
    <t>Equipment Room Beside Kitchen</t>
  </si>
  <si>
    <t>1990 State, Propane, Hot Water, 0.260 MBH, Domestic Hot Water</t>
  </si>
  <si>
    <t>A93956254</t>
  </si>
  <si>
    <t>A93956256</t>
  </si>
  <si>
    <t>1990 State, Propane, Hot Water, 0.750 MBH, Domestic Hot Water</t>
  </si>
  <si>
    <t>L92994254</t>
  </si>
  <si>
    <t>North West Equipment Room next to Laundry</t>
  </si>
  <si>
    <t>1995 Lochinvar, Propane, Hot Water, 0.260 MBH, Domestic Hot Water</t>
  </si>
  <si>
    <t>G-02-0540</t>
  </si>
  <si>
    <t>Equipment Room</t>
  </si>
  <si>
    <t>2005 Lochinvar, Natural Gas, Hot Water, 0.180 MBH, Domestic Hot Water</t>
  </si>
  <si>
    <t>RWL 180</t>
  </si>
  <si>
    <t>1994 Lochinvar, Natural Gas, Hot Water, 0.180 MBH, Domestic Hot Water</t>
  </si>
  <si>
    <t>L06H00193578</t>
  </si>
  <si>
    <t>Rear of Building Equipment Room</t>
  </si>
  <si>
    <t>2003 Weil McLain, Natural Gas, Hot Water, 1.5 MBH, Domestic Hot Water</t>
  </si>
  <si>
    <t>CP44358069</t>
  </si>
  <si>
    <t>CP44358070</t>
  </si>
  <si>
    <t>2003 A. O. Smith, Natural Gas, Hot Water, 0.3 MBH, Domestic Hot Water</t>
  </si>
  <si>
    <t>SC03-99594-3</t>
  </si>
  <si>
    <t>2003 A. O. Smith, Natural Gas, Hot Water, 0.14 MBH, Domestic Hot Water</t>
  </si>
  <si>
    <t>1034R000090</t>
  </si>
  <si>
    <t>2003 Hurst, Natural Gas, Hot Water, 1.26 MBH, HVAC</t>
  </si>
  <si>
    <t>FB125-30-12M</t>
  </si>
  <si>
    <t>2008Thermal Solutions, Natural Gas, Hot Water, 1.0 MBH, Domestic Hot Water</t>
  </si>
  <si>
    <t>2007 CAMUS, Natural Gas, Hot Water, 1.2 MBH, Domestic Hot Water</t>
  </si>
  <si>
    <t>Equipment Room East Side of Building</t>
  </si>
  <si>
    <t>2010 A. O. Smith, Natural Gas, Hot Water, 0.5 MBH, Domestic Hot Water</t>
  </si>
  <si>
    <t>2010 Lochinvar, Natural Gas, Hot Water, 0.8 MBH, Domestic Hot Water</t>
  </si>
  <si>
    <t xml:space="preserve">Southeast Corner Equipment Room </t>
  </si>
  <si>
    <t>2016 AQUAPLEX Natural Gas, Hot Water, Gas, Hot Water,</t>
  </si>
  <si>
    <t>Southeast Regional Maintenance Center (SERMC)</t>
  </si>
  <si>
    <t xml:space="preserve"> Reference</t>
  </si>
  <si>
    <t>Total Direct Labor Hours Inspecting, Testing, and Certifying</t>
  </si>
  <si>
    <t>Attachment J-1502000-12</t>
  </si>
  <si>
    <t>The Contractor shall develop and implement a PM program for the Unfired Pressure Vessels and all mechanically and electrically interlocked ancillary parts, equipment, and components of the Unfired Pressure Vessel Systems, such as: pressure vessel, heat exchangers, safety relief valve, tanks, meters, pumps, piping, valves, distribution lines, monitoring and controls systems, etc.</t>
  </si>
  <si>
    <t>Air Receiver, Manchester</t>
  </si>
  <si>
    <t>D3025 210 1900</t>
  </si>
  <si>
    <t>NEX Service Station</t>
  </si>
  <si>
    <t>Air Receiver, Trinity</t>
  </si>
  <si>
    <t>MO247523</t>
  </si>
  <si>
    <t>MWR Auto Parts</t>
  </si>
  <si>
    <t>VD99260</t>
  </si>
  <si>
    <t>Air Receiver, Buckeye</t>
  </si>
  <si>
    <t>FTC Equipment Room East Side</t>
  </si>
  <si>
    <t>Fire Station</t>
  </si>
  <si>
    <t>Boat Camper Rental</t>
  </si>
  <si>
    <t>Air Receiver, Melben</t>
  </si>
  <si>
    <t>Hobby Shop/CSSO</t>
  </si>
  <si>
    <t>Transmitter Building</t>
  </si>
  <si>
    <t>Steam Plant</t>
  </si>
  <si>
    <t>Air Receiver, Kargard</t>
  </si>
  <si>
    <t>Air Receiver, Curtis</t>
  </si>
  <si>
    <t>Hangar/Physical Sec</t>
  </si>
  <si>
    <t>Air Receiver, Jaixing</t>
  </si>
  <si>
    <t>Helicopter Hangar COMCARGRU 6</t>
  </si>
  <si>
    <t>Shore Power Building</t>
  </si>
  <si>
    <t>Air Receiver, Steel Fab</t>
  </si>
  <si>
    <t>Radiac Rep &amp; Calibration Facility</t>
  </si>
  <si>
    <t>Operation Training Building</t>
  </si>
  <si>
    <t>Voyage RPR Team Building</t>
  </si>
  <si>
    <t>Air Receiver, Industrial Marine</t>
  </si>
  <si>
    <t>8-Bay Auto Hobby Shop</t>
  </si>
  <si>
    <t>MWR Hobby  shop East End</t>
  </si>
  <si>
    <t>Hsl42 Equipment Room</t>
  </si>
  <si>
    <t>AIMD Equipment Room</t>
  </si>
  <si>
    <t>Ops Training Facility Hangar</t>
  </si>
  <si>
    <t>Ops Training Facility</t>
  </si>
  <si>
    <t>BEQ East Wing (UEPH)</t>
  </si>
  <si>
    <t>BEQ</t>
  </si>
  <si>
    <t>Air receiver, Manchester</t>
  </si>
  <si>
    <t>IMRL Warehouse</t>
  </si>
  <si>
    <t>CBU Complex</t>
  </si>
  <si>
    <t>Air Receiver, Brunner</t>
  </si>
  <si>
    <t>68028D</t>
  </si>
  <si>
    <t>FTC Central Storage Building</t>
  </si>
  <si>
    <t>CO2 Tank, TOMCO</t>
  </si>
  <si>
    <t>Air Receiver, Morganton</t>
  </si>
  <si>
    <t>Hydro-Pneumatic, Buffalo Tank Company</t>
  </si>
  <si>
    <t>Sandblast Building</t>
  </si>
  <si>
    <t>Air Receiver, Roy Hanson</t>
  </si>
  <si>
    <t>Air Receiver, Unical</t>
  </si>
  <si>
    <t>Air Receiver, Campbell Hausfield</t>
  </si>
  <si>
    <t>Naval Facilities Engineering Command Southeast (NAVFACSE) – PWD Mayport</t>
  </si>
  <si>
    <t>Equipment Maintenance Shop</t>
  </si>
  <si>
    <t>SIMA/RSG/DSRON 12</t>
  </si>
  <si>
    <t>Eastside Overhead</t>
  </si>
  <si>
    <t>Air Receiver, LaGrange</t>
  </si>
  <si>
    <t>Bureau of Medicine and Surgery (BUMED)</t>
  </si>
  <si>
    <t>Dispensary</t>
  </si>
  <si>
    <t>Compressor Air</t>
  </si>
  <si>
    <t>Fuel Depot Heckscher Drive</t>
  </si>
  <si>
    <t>United States Marine Corps Reserve Center (MRC)</t>
  </si>
  <si>
    <t>Reserve Center Somers Road</t>
  </si>
  <si>
    <t>00WEBB</t>
  </si>
  <si>
    <t>Compressor Air 120 psi Saylor-Beal</t>
  </si>
  <si>
    <t>Family Housing</t>
  </si>
  <si>
    <t>D3025 130 4950</t>
  </si>
  <si>
    <t>D3025 130 2950</t>
  </si>
  <si>
    <t>D3025 130 3950</t>
  </si>
  <si>
    <t>Navy Exchange (NEX)</t>
  </si>
  <si>
    <t>SIMA</t>
  </si>
  <si>
    <t>Attachment J-1502000-21</t>
  </si>
  <si>
    <t>Vertical Transportation Equipment (VTE) Systems</t>
  </si>
  <si>
    <t>Vertical Transportation Equipment Systems commence at and include the utility isolation point of connection.  The Contractor shall develop and implement a PM program for the Vertical Transportation Equipment Systems and all mechanically and electrically interlocked ancillary parts, equipment, and components of the Vertical Transportation Equipment Systems, such as: doors, cars, tracks, lighting, rails, guides, governors, motors, cables, pulleys, switches, hydraulic cylinders, piping, pumps, tanks, weights, monitoring and control systems, electrical disconnects, etc.</t>
  </si>
  <si>
    <t>2009 Garaventa Wheelchair Lift, 750 lb. Capacity</t>
  </si>
  <si>
    <t>1995Hardy Air Lift Automotive Lift, 1,000 lb. Capacity</t>
  </si>
  <si>
    <t>1993 Space Saver Automotive Lift, 12,000 lb. Capacity</t>
  </si>
  <si>
    <t>2008 Direct Lift Automotive Lift, 9,000 lb. Capacity</t>
  </si>
  <si>
    <t>2008 Prokar Automotive Lift, 11,000 lb. Capacity</t>
  </si>
  <si>
    <t>1985 Otis Passenger Hydraulic</t>
  </si>
  <si>
    <t>D1015 110 1950</t>
  </si>
  <si>
    <t>Elevator, 3,500 lb. Capacity</t>
  </si>
  <si>
    <t>1980 Dover Passenger Hydraulic</t>
  </si>
  <si>
    <t>Elevator, 2,500 lb. Capacity</t>
  </si>
  <si>
    <t>1985 U. S. Elevator Passenger Hydraulic</t>
  </si>
  <si>
    <t>Elevator, 3,000 lb. Capacity</t>
  </si>
  <si>
    <t>2000 Schindler Passenger Hydraulic</t>
  </si>
  <si>
    <t>2001 Willift Platform Lift, 5,000 lb. Capacity</t>
  </si>
  <si>
    <t>2001 AMMCO Automotive Lift, 12,000 lb. Capacity</t>
  </si>
  <si>
    <t>2005 AMMCO Automotive Lift, 9,000 lb. Capacity</t>
  </si>
  <si>
    <t>2002 Schindler Passenger Hydraulic</t>
  </si>
  <si>
    <t>2004 Schindler Passenger Hydraulic Elevator, 2500 lb.  Capacity</t>
  </si>
  <si>
    <t>2003 Schindler Passenger Hydraulic</t>
  </si>
  <si>
    <t>2006 Mowrey Passenger Hydraulic</t>
  </si>
  <si>
    <t>2008 Schindler Passenger Hydraulic</t>
  </si>
  <si>
    <t>D1015 310 1900</t>
  </si>
  <si>
    <t>E1035 100 1900</t>
  </si>
  <si>
    <t>E1035 310 1900</t>
  </si>
  <si>
    <t>C-1 Pier</t>
  </si>
  <si>
    <t>Monthly Inspection and Maintenance</t>
  </si>
  <si>
    <t>G1023 210 1010, remove 500 gallon UST (non-leaking)</t>
  </si>
  <si>
    <t>G3015 108 2950</t>
  </si>
  <si>
    <t>G1023 210 1010</t>
  </si>
  <si>
    <t>Attachment J-1502000-30</t>
  </si>
  <si>
    <t>The Contractor shall develop and implement an Oily Water Separator Systems maintenance, repair and cleaning program for the Oily Water Separator Systems and all mechanically and electrically interlocked ancillary parts, equipment, and components of the Oily Water Separator Systems, such as: tanks, piping, sumps, dispensers, leak detection systems, sensors, secondary containment systems, etc.</t>
  </si>
  <si>
    <t>Semi Annual Cleaning</t>
  </si>
  <si>
    <t>Description/Source</t>
  </si>
  <si>
    <t>Size (gallons)</t>
  </si>
  <si>
    <t>Discharge</t>
  </si>
  <si>
    <t xml:space="preserve">Reference </t>
  </si>
  <si>
    <t>MYP-1488-PSY-01</t>
  </si>
  <si>
    <t>Oil Water Separator  "A"/SIMA</t>
  </si>
  <si>
    <t>Sanitary</t>
  </si>
  <si>
    <t>G30151082950, Storage tank, ground level, annualized</t>
  </si>
  <si>
    <t>MYP-1488-PSY-02</t>
  </si>
  <si>
    <t>Oil Water Separator  "B"/SIMA</t>
  </si>
  <si>
    <t>MYP-1488-PSY-03</t>
  </si>
  <si>
    <t>Oil Water Separator  "C"/SIMA</t>
  </si>
  <si>
    <t>MYP-1553-EQO-01</t>
  </si>
  <si>
    <t>Oil Water Separator/AIMD</t>
  </si>
  <si>
    <t>Aircraft Hangar</t>
  </si>
  <si>
    <t>Parking Lot &amp; Wash Pad</t>
  </si>
  <si>
    <t>Wash Rack</t>
  </si>
  <si>
    <t>AMID</t>
  </si>
  <si>
    <t>Training Facility</t>
  </si>
  <si>
    <t>Sanitary/Storm</t>
  </si>
  <si>
    <t>Engine Test Facility</t>
  </si>
  <si>
    <t>Wash Pad</t>
  </si>
  <si>
    <t>Fuels Lab</t>
  </si>
  <si>
    <t>East OWS</t>
  </si>
  <si>
    <t>Bulk Tanks</t>
  </si>
  <si>
    <t>Storm</t>
  </si>
  <si>
    <t>West OWS</t>
  </si>
  <si>
    <t>Parking</t>
  </si>
  <si>
    <t>Outfall 2 - Fuel Depot Heckscher Drive</t>
  </si>
  <si>
    <t>DFM Area</t>
  </si>
  <si>
    <t>Outfall 3 - Fuel Depot Heckscher Drive</t>
  </si>
  <si>
    <t>Outfall 4 - Fuel Depot Heckscher Drive</t>
  </si>
  <si>
    <t>DFM/JP-5 Areas</t>
  </si>
  <si>
    <t>(Weir &amp; Dam Structure)</t>
  </si>
  <si>
    <t>Outfall 6 - Fuel Depot Heckscher Drive</t>
  </si>
  <si>
    <t>JP-5 Area</t>
  </si>
  <si>
    <t>(Officer's Pool Structure)</t>
  </si>
  <si>
    <t>Outfall 7 - Fuel Depot Heckscher Drive</t>
  </si>
  <si>
    <t>Attachment J-1502000-27</t>
  </si>
  <si>
    <t>Lighting Systems commence at and include the utility isolation point of connection.  The Contractor shall develop and implement a Lighting Systems maintenance program to clean, re-lamp, and make all necessary repairs to the Lighting Systems and all mechanically and electrically interlocked ancillary parts, equipment, and components of the Lighting Systems, such as: replacement of defective bulbs, batteries, tubes, ballasts, fuses, starters, switches, diffusers, covers, reflectors, photocells, controls, etc.</t>
  </si>
  <si>
    <t>Building/ Structure Lights</t>
  </si>
  <si>
    <t>Pole Mounted Lights</t>
  </si>
  <si>
    <t>Sidewalk Lights</t>
  </si>
  <si>
    <t>Flag Pole</t>
  </si>
  <si>
    <t>Static Display Lights</t>
  </si>
  <si>
    <t>Marque/ Sign Lights</t>
  </si>
  <si>
    <t>D5023 270 2010 &amp; 2020</t>
  </si>
  <si>
    <t>39-1</t>
  </si>
  <si>
    <t>40-2</t>
  </si>
  <si>
    <t>41-3</t>
  </si>
  <si>
    <t>42-4</t>
  </si>
  <si>
    <t>43-5</t>
  </si>
  <si>
    <t>44-6</t>
  </si>
  <si>
    <t>45-7</t>
  </si>
  <si>
    <t>0 </t>
  </si>
  <si>
    <t> 0</t>
  </si>
  <si>
    <t>A Pier</t>
  </si>
  <si>
    <t>B Pier</t>
  </si>
  <si>
    <t>D Pier</t>
  </si>
  <si>
    <t>E Pier</t>
  </si>
  <si>
    <t>F Pier</t>
  </si>
  <si>
    <t>South Wall</t>
  </si>
  <si>
    <t>JP-5 Truck Loading Rack</t>
  </si>
  <si>
    <t>JP-5 Fuel Storage Tank</t>
  </si>
  <si>
    <t>JP-5 Pump Station</t>
  </si>
  <si>
    <t xml:space="preserve">JP-5 Truck Loading Rack </t>
  </si>
  <si>
    <t>Pier</t>
  </si>
  <si>
    <t>Sripping Pump Shed</t>
  </si>
  <si>
    <t>DFM Fuel Storage Tank</t>
  </si>
  <si>
    <t>DFM Truck Loading Rack</t>
  </si>
  <si>
    <t>DFM Pump Station</t>
  </si>
  <si>
    <t>Boat Shed</t>
  </si>
  <si>
    <t>Attachment J-1502000-28</t>
  </si>
  <si>
    <t>Traffic Control Lighting Systems</t>
  </si>
  <si>
    <t>Traffic Control Lighting Systems commence at and include the utility isolation point of connection.  The Contractor shall develop and implement a Traffic Control Lighting Systems maintenance program to inspect, clean, re-lamp, and make all necessary repairs to the Traffic Control Lighting Systems and all mechanically and electrically interlocked ancillary parts, equipment, and components of the Lighting Systems, such as: replacement of defective bulbs, fuses, lens, starters, switches, diffusers, covers, reflectors, photocells, controls, etc.</t>
  </si>
  <si>
    <t>Maintenance Lighting</t>
  </si>
  <si>
    <t>Maintenance Control Systems</t>
  </si>
  <si>
    <t>Repair</t>
  </si>
  <si>
    <t>Crosswalk lights</t>
  </si>
  <si>
    <t>Lane Lights</t>
  </si>
  <si>
    <t>Traffic Signals</t>
  </si>
  <si>
    <t>Directional Sign with Lights</t>
  </si>
  <si>
    <t>Flashing warning signs at gate</t>
  </si>
  <si>
    <t>Stop and Go lights at gates</t>
  </si>
  <si>
    <t>Canopy Lane Lights at gates</t>
  </si>
  <si>
    <t>Controllers</t>
  </si>
  <si>
    <t>Maine St. /Moale Ave.</t>
  </si>
  <si>
    <t>D30651001950, Controls, central system, elecro/pneumatic, annualized</t>
  </si>
  <si>
    <t>G4023 210 1010</t>
  </si>
  <si>
    <t>Maine St./ Massey Ave.</t>
  </si>
  <si>
    <t>Supply Rd/ Massey Ave.</t>
  </si>
  <si>
    <t>Baltimore St/ Massey Ave.</t>
  </si>
  <si>
    <t>Bon Homme Richard/ Massey Ave.</t>
  </si>
  <si>
    <t>Maine St/Bogey’s</t>
  </si>
  <si>
    <t>Manley</t>
  </si>
  <si>
    <t>Maine Gate</t>
  </si>
  <si>
    <t>Back Gate #5</t>
  </si>
  <si>
    <t>Back Gate5A</t>
  </si>
  <si>
    <t>Back Barriers</t>
  </si>
  <si>
    <t>Slide Gates/ Gate 5A</t>
  </si>
  <si>
    <t>Water Treatment</t>
  </si>
  <si>
    <t>Average:</t>
  </si>
  <si>
    <t>Assets:</t>
  </si>
  <si>
    <t>PM:</t>
  </si>
  <si>
    <t>IMP:</t>
  </si>
  <si>
    <t>Wastewater (Including OWWO) PM</t>
  </si>
  <si>
    <t>Wastewater (Including OWWO) IMP</t>
  </si>
  <si>
    <t>G3025 410 1950</t>
  </si>
  <si>
    <t>Ejector Pump  Sewage</t>
  </si>
  <si>
    <t>D2023 150 0020</t>
  </si>
  <si>
    <t>Valve Non-Drain Less than 1-1/2"</t>
  </si>
  <si>
    <t>G3025 412 1950</t>
  </si>
  <si>
    <t>Ejector Pump</t>
  </si>
  <si>
    <t>D2023 152 0020</t>
  </si>
  <si>
    <t>Valve Non-Drain2"</t>
  </si>
  <si>
    <t>G3025 412 2950</t>
  </si>
  <si>
    <t>Ejector Pump Pump Type</t>
  </si>
  <si>
    <t>D2023 154 0020</t>
  </si>
  <si>
    <t>Valve Non-Drain 3"</t>
  </si>
  <si>
    <t>G3025 420 1950</t>
  </si>
  <si>
    <t>Sewage Lift Pump Over 1 HP</t>
  </si>
  <si>
    <t>D2023 156 0020</t>
  </si>
  <si>
    <t xml:space="preserve">Valve Non-Drain 4" </t>
  </si>
  <si>
    <t>G3025 530 1950</t>
  </si>
  <si>
    <t>Aerator Floating</t>
  </si>
  <si>
    <t>D2023 156 0030</t>
  </si>
  <si>
    <t xml:space="preserve">Valve Non-Drain 6" </t>
  </si>
  <si>
    <t>G3025 532 1950</t>
  </si>
  <si>
    <t>Barminutor</t>
  </si>
  <si>
    <t>D2023 156 0040</t>
  </si>
  <si>
    <t xml:space="preserve">Valve Non-Drain 8" </t>
  </si>
  <si>
    <t>G3025 534 1950</t>
  </si>
  <si>
    <t>Aerator Blower</t>
  </si>
  <si>
    <t>D2023 156 0050</t>
  </si>
  <si>
    <t xml:space="preserve">Valve Non-Drain 10" </t>
  </si>
  <si>
    <t>G3025 536 1950</t>
  </si>
  <si>
    <t>Clarifier</t>
  </si>
  <si>
    <t>G3025 538 1950</t>
  </si>
  <si>
    <t>Comminutor</t>
  </si>
  <si>
    <t>G3025 540 1950</t>
  </si>
  <si>
    <t>Trickling Filter</t>
  </si>
  <si>
    <t>G3025 542 1950</t>
  </si>
  <si>
    <t>Grit Drive</t>
  </si>
  <si>
    <t>G3025 544 1950</t>
  </si>
  <si>
    <t>Sewage Mixer</t>
  </si>
  <si>
    <t>Steam PM</t>
  </si>
  <si>
    <t>Steam IMP</t>
  </si>
  <si>
    <t>D3025 110 1950</t>
  </si>
  <si>
    <t>Electric Boiler Hot Water Up to 150 Gallon</t>
  </si>
  <si>
    <t>D3023 186 1010</t>
  </si>
  <si>
    <t>Repair Boiler Gas 2000 MBH</t>
  </si>
  <si>
    <t>Gas Boiler Hot Water up to 120 MBH</t>
  </si>
  <si>
    <t>D3023 186 1050</t>
  </si>
  <si>
    <t>Replace Boiler Gas 2000 MBH</t>
  </si>
  <si>
    <t>Gas Boiler Hot Water 120 to 5000 MBH</t>
  </si>
  <si>
    <t>D3023 186 2010</t>
  </si>
  <si>
    <t>Repair Boiler Gas 20,000 MBH</t>
  </si>
  <si>
    <t>Gas Boiler Hot Water 500 to 1000 MBH</t>
  </si>
  <si>
    <t>D3023 186 2050</t>
  </si>
  <si>
    <t>Replace Boiler Gas 20,000 MBH</t>
  </si>
  <si>
    <t>Gas Boiler Hot Water Over 1000 MBH</t>
  </si>
  <si>
    <t>D3023 198 1010</t>
  </si>
  <si>
    <t>Repair Blowoff System</t>
  </si>
  <si>
    <t>D3025 140 1950</t>
  </si>
  <si>
    <t>Gas Boiler Steam Up to 120 MBH</t>
  </si>
  <si>
    <t>D3023 198 1020</t>
  </si>
  <si>
    <t>Replace Blowoff System</t>
  </si>
  <si>
    <t>D3025 140 2950</t>
  </si>
  <si>
    <t>Gas Boiler Steam 120 to 500 MBH</t>
  </si>
  <si>
    <t>D3023 292 1010</t>
  </si>
  <si>
    <t>Repair Chemical Feed System</t>
  </si>
  <si>
    <t>D3025 140 3950</t>
  </si>
  <si>
    <t>Gas Boiler Steam 500 to 1000 MBH</t>
  </si>
  <si>
    <t>D3023 292 1030</t>
  </si>
  <si>
    <t>Replace Chemical Feed System</t>
  </si>
  <si>
    <t>D3025 140 4950</t>
  </si>
  <si>
    <t>Gas Boiler Steam over 1000 MBH</t>
  </si>
  <si>
    <t>D3023 294 1010</t>
  </si>
  <si>
    <t>Repair Feed Water Pump</t>
  </si>
  <si>
    <t>D3025 210 1950</t>
  </si>
  <si>
    <t>Deaerator Tank</t>
  </si>
  <si>
    <t>D3023 294 1030</t>
  </si>
  <si>
    <t>Replace Feed Water Pump</t>
  </si>
  <si>
    <t>D3025 310 1950</t>
  </si>
  <si>
    <t>Pump Boiler Fuel Oil</t>
  </si>
  <si>
    <t>D3023 296 1010</t>
  </si>
  <si>
    <t>Repair Deaerator</t>
  </si>
  <si>
    <t>D3025 310 2950</t>
  </si>
  <si>
    <t>Pump Condensate Return Over 1 H.P.</t>
  </si>
  <si>
    <t>D3023 296 1030</t>
  </si>
  <si>
    <t>Replace Deaerator</t>
  </si>
  <si>
    <t>D3025 310 3950</t>
  </si>
  <si>
    <t>Pump  Steam Condensate Return Duplex</t>
  </si>
  <si>
    <t xml:space="preserve">  </t>
  </si>
  <si>
    <t>Total Direct Labor Cost</t>
  </si>
  <si>
    <t>Health &amp; Welfare</t>
  </si>
  <si>
    <t>Insurance</t>
  </si>
  <si>
    <t>Taxes</t>
  </si>
  <si>
    <t>Classification</t>
  </si>
  <si>
    <t>Base Rate</t>
  </si>
  <si>
    <t>Health &amp; Welfare Package</t>
  </si>
  <si>
    <t>401k</t>
  </si>
  <si>
    <t>Holiday's</t>
  </si>
  <si>
    <t>General Liability</t>
  </si>
  <si>
    <t>Workman's Compensation</t>
  </si>
  <si>
    <t>Pass and ID</t>
  </si>
  <si>
    <t>State Unemployment (SUTA)</t>
  </si>
  <si>
    <t>Federal Unemployment (FUTA)</t>
  </si>
  <si>
    <t xml:space="preserve">Social Security </t>
  </si>
  <si>
    <t>Medicare</t>
  </si>
  <si>
    <t>Base Direct Labor</t>
  </si>
  <si>
    <t>Other Direct Cost</t>
  </si>
  <si>
    <t>Shift Differential</t>
  </si>
  <si>
    <t>Personal Time Off</t>
  </si>
  <si>
    <t>Shoe Allowance</t>
  </si>
  <si>
    <t>Safety Glasses</t>
  </si>
  <si>
    <t>Uniforms</t>
  </si>
  <si>
    <t xml:space="preserve">Average Annual </t>
  </si>
  <si>
    <t>Average per Hour</t>
  </si>
  <si>
    <t>IPUAT CBA Wage Determination</t>
  </si>
  <si>
    <t>10/01/2017
Wage Rate</t>
  </si>
  <si>
    <t>Carpenter</t>
  </si>
  <si>
    <t>Carpenter Maintenance Worker</t>
  </si>
  <si>
    <t>0600000</t>
  </si>
  <si>
    <t>Emergency, Urgent and Routine (E/U/R) Work</t>
  </si>
  <si>
    <t>Recurring Work ISWM</t>
  </si>
  <si>
    <t>Pump and Clean Sewage Holding Tanks</t>
  </si>
  <si>
    <t>3.3.14</t>
  </si>
  <si>
    <t>Crane Trackage</t>
  </si>
  <si>
    <t>3.4.6</t>
  </si>
  <si>
    <t xml:space="preserve">Street Sweeping </t>
  </si>
  <si>
    <t>A006AE</t>
  </si>
  <si>
    <t>A006AF</t>
  </si>
  <si>
    <t>A001AB</t>
  </si>
  <si>
    <t>Project Work Orders</t>
  </si>
  <si>
    <t>A003AA</t>
  </si>
  <si>
    <t>A003AC</t>
  </si>
  <si>
    <t xml:space="preserve">Customer </t>
  </si>
  <si>
    <t>Funding Source</t>
  </si>
  <si>
    <t>A003AQ</t>
  </si>
  <si>
    <t>A003AR</t>
  </si>
  <si>
    <t>A003AT</t>
  </si>
  <si>
    <t>A011</t>
  </si>
  <si>
    <t>A003AS</t>
  </si>
  <si>
    <t>A001AT</t>
  </si>
  <si>
    <t>A001AH</t>
  </si>
  <si>
    <t>A001AS</t>
  </si>
  <si>
    <t>A001AG</t>
  </si>
  <si>
    <t>A001AC</t>
  </si>
  <si>
    <t>A001AD</t>
  </si>
  <si>
    <t>A001AE</t>
  </si>
  <si>
    <t>A001AF</t>
  </si>
  <si>
    <t>A001AN</t>
  </si>
  <si>
    <t>A001AV</t>
  </si>
  <si>
    <t>A001AU</t>
  </si>
  <si>
    <t>A001AL</t>
  </si>
  <si>
    <t>A001AJ</t>
  </si>
  <si>
    <t>A001AK</t>
  </si>
  <si>
    <t>A001AM</t>
  </si>
  <si>
    <t>A001AP</t>
  </si>
  <si>
    <t>A001AQ</t>
  </si>
  <si>
    <t>A001AY</t>
  </si>
  <si>
    <t>A001AR</t>
  </si>
  <si>
    <t>A001AW</t>
  </si>
  <si>
    <t>A001AX</t>
  </si>
  <si>
    <t>A001AZ</t>
  </si>
  <si>
    <t>A001BA</t>
  </si>
  <si>
    <t>A001BB</t>
  </si>
  <si>
    <t>A001BC</t>
  </si>
  <si>
    <t>A001BD</t>
  </si>
  <si>
    <t>A001BE</t>
  </si>
  <si>
    <t>A001BF</t>
  </si>
  <si>
    <t>A001BG</t>
  </si>
  <si>
    <t>A001BH</t>
  </si>
  <si>
    <t>A001BJ</t>
  </si>
  <si>
    <t>A001BK</t>
  </si>
  <si>
    <t>A001BL</t>
  </si>
  <si>
    <t>A001BM</t>
  </si>
  <si>
    <t>A001BN</t>
  </si>
  <si>
    <t>A001BP</t>
  </si>
  <si>
    <t>A001BQ</t>
  </si>
  <si>
    <t>A001BR</t>
  </si>
  <si>
    <t>A001BS</t>
  </si>
  <si>
    <t>A001BT</t>
  </si>
  <si>
    <t>A001BU</t>
  </si>
  <si>
    <t>A001BV</t>
  </si>
  <si>
    <t>A001BW</t>
  </si>
  <si>
    <t>A001BX</t>
  </si>
  <si>
    <t>A001BY</t>
  </si>
  <si>
    <t>A001BZ</t>
  </si>
  <si>
    <t>A001CA</t>
  </si>
  <si>
    <t>A001CB</t>
  </si>
  <si>
    <t>A001CC</t>
  </si>
  <si>
    <t>A001CD</t>
  </si>
  <si>
    <t>A001CE</t>
  </si>
  <si>
    <t>A001CF</t>
  </si>
  <si>
    <t>A001CG</t>
  </si>
  <si>
    <t>A001CH</t>
  </si>
  <si>
    <t>A001CJ</t>
  </si>
  <si>
    <t>A001CK</t>
  </si>
  <si>
    <t>A001CL</t>
  </si>
  <si>
    <t>A001CM</t>
  </si>
  <si>
    <t>A001CN</t>
  </si>
  <si>
    <t>A001CP</t>
  </si>
  <si>
    <t>A001CQ</t>
  </si>
  <si>
    <t>A001CR</t>
  </si>
  <si>
    <t>A001CS</t>
  </si>
  <si>
    <t>A001CT</t>
  </si>
  <si>
    <t>A001CU</t>
  </si>
  <si>
    <t>A001CV</t>
  </si>
  <si>
    <t>A001CW</t>
  </si>
  <si>
    <t>A001CX</t>
  </si>
  <si>
    <t>A001CY</t>
  </si>
  <si>
    <t>A001CZ</t>
  </si>
  <si>
    <t>A001DA</t>
  </si>
  <si>
    <t>A001DB</t>
  </si>
  <si>
    <t>A001DC</t>
  </si>
  <si>
    <t>A003AU</t>
  </si>
  <si>
    <t>A003AV</t>
  </si>
  <si>
    <t>A003AW</t>
  </si>
  <si>
    <t>A003AX</t>
  </si>
  <si>
    <t>A003AY</t>
  </si>
  <si>
    <t>A003AZ</t>
  </si>
  <si>
    <t>A003BA</t>
  </si>
  <si>
    <t>A003BB</t>
  </si>
  <si>
    <t>A003BC</t>
  </si>
  <si>
    <t>A003BD</t>
  </si>
  <si>
    <t>A003BE</t>
  </si>
  <si>
    <t>A003BF</t>
  </si>
  <si>
    <t>A003BG</t>
  </si>
  <si>
    <t>A003BH</t>
  </si>
  <si>
    <t>A003BJ</t>
  </si>
  <si>
    <t>A003BK</t>
  </si>
  <si>
    <t>A003BL</t>
  </si>
  <si>
    <t>A003BM</t>
  </si>
  <si>
    <t>A003BN</t>
  </si>
  <si>
    <t>A003BP</t>
  </si>
  <si>
    <t>A003BQ</t>
  </si>
  <si>
    <t>A003BR</t>
  </si>
  <si>
    <t>A003BS</t>
  </si>
  <si>
    <t>A003BT</t>
  </si>
  <si>
    <t>A003BU</t>
  </si>
  <si>
    <t>A003BV</t>
  </si>
  <si>
    <t>A003BW</t>
  </si>
  <si>
    <t>A003BX</t>
  </si>
  <si>
    <t>A003BY</t>
  </si>
  <si>
    <t>A003BZ</t>
  </si>
  <si>
    <t>A005AD</t>
  </si>
  <si>
    <t>A006AB</t>
  </si>
  <si>
    <t>A006AC</t>
  </si>
  <si>
    <t>A007AB</t>
  </si>
  <si>
    <t>A008AA</t>
  </si>
  <si>
    <t>A008AB</t>
  </si>
  <si>
    <t>A009AA</t>
  </si>
  <si>
    <t>A009AB</t>
  </si>
  <si>
    <t>A010AA</t>
  </si>
  <si>
    <t>A010AB</t>
  </si>
  <si>
    <t>A011AA</t>
  </si>
  <si>
    <t>A011AB</t>
  </si>
  <si>
    <t>A011AD</t>
  </si>
  <si>
    <t>A013AA</t>
  </si>
  <si>
    <t>A013AB</t>
  </si>
  <si>
    <t>A014AA</t>
  </si>
  <si>
    <t>A014AB</t>
  </si>
  <si>
    <t>A015AA</t>
  </si>
  <si>
    <t>CLIN 0001 - Recurring Work - Base Period</t>
  </si>
  <si>
    <t>CLIN 0003 - UT Recurring Work - Base Period</t>
  </si>
  <si>
    <t>Urgent and Routine Project Work Orders</t>
  </si>
  <si>
    <t>Contract No.: N6945025R0003</t>
  </si>
  <si>
    <t>A001DD</t>
  </si>
  <si>
    <t>Annex 0200000 and Functional Annexes' Spec Items 1 and 2
On-Site
Labor Hours</t>
  </si>
  <si>
    <t>Total Labor Hours Spec Items 1, 2, &amp; 3</t>
  </si>
  <si>
    <t>Uninterruptible Power Supplies (UPS)</t>
  </si>
  <si>
    <t>Non-Government Owned Leased Vehicles</t>
  </si>
  <si>
    <t>Inspection of  POL Tanks and Systems</t>
  </si>
  <si>
    <t>CNRSE ST-UH</t>
  </si>
  <si>
    <t>CNRSE ST-FAC</t>
  </si>
  <si>
    <t>CNRSE ST-UTL</t>
  </si>
  <si>
    <t>A001DE</t>
  </si>
  <si>
    <t>A001DF</t>
  </si>
  <si>
    <t>3.5.1 &amp; 3.5.7</t>
  </si>
  <si>
    <t>Boiler &amp; HVAC Seasonal Startup and Shutdown</t>
  </si>
  <si>
    <t>A003AD</t>
  </si>
  <si>
    <t>A008AD</t>
  </si>
  <si>
    <t>A008AE</t>
  </si>
  <si>
    <t>A008AG</t>
  </si>
  <si>
    <t>A008AH</t>
  </si>
  <si>
    <t>A008AJ</t>
  </si>
  <si>
    <t>A008AK</t>
  </si>
  <si>
    <t>A008AL</t>
  </si>
  <si>
    <t>A008AF</t>
  </si>
  <si>
    <t>A008AM</t>
  </si>
  <si>
    <t>A009AD</t>
  </si>
  <si>
    <t>A011AE</t>
  </si>
  <si>
    <t>A011AF</t>
  </si>
  <si>
    <t>A011AG</t>
  </si>
  <si>
    <t>A012AC</t>
  </si>
  <si>
    <t>A012AD</t>
  </si>
  <si>
    <t>A014AE</t>
  </si>
  <si>
    <t>ELINs A001 through A014</t>
  </si>
  <si>
    <t>ELIN A015</t>
  </si>
  <si>
    <t>A015AE</t>
  </si>
  <si>
    <t>A015AF</t>
  </si>
  <si>
    <t>Base Period JL-1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</si>
</sst>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quot;$&quot;#,##0.00"/>
    <numFmt numFmtId="165" formatCode="#,##0.000"/>
    <numFmt numFmtId="166" formatCode="0.000"/>
    <numFmt numFmtId="167" formatCode="[$-409]mmmm\-yy;@"/>
    <numFmt numFmtId="168" formatCode="0.00_)"/>
    <numFmt numFmtId="169" formatCode="_-* #,##0.00_-;\-* #,##0.00_-;_-* &quot;-&quot;??_-;_-@_-"/>
    <numFmt numFmtId="170" formatCode="_-&quot;$&quot;* #,##0.00_-;\-&quot;$&quot;* #,##0.00_-;_-&quot;$&quot;* &quot;-&quot;??_-;_-@_-"/>
    <numFmt numFmtId="171" formatCode="&quot;$&quot;#,##0\ ;\(&quot;$&quot;#,##0\)"/>
  </numFmts>
  <fonts count="85">
    <font>
      <sz val="11"/>
      <color theme="1"/>
      <name val="Times New Roman"/>
      <family val="2"/>
      <scheme val="minor"/>
    </font>
    <font>
      <sz val="10"/>
      <color theme="1"/>
      <name val="Times New Roman"/>
      <family val="2"/>
    </font>
    <font>
      <sz val="10"/>
      <color theme="1"/>
      <name val="Times New Roman"/>
      <family val="2"/>
    </font>
    <font>
      <sz val="11"/>
      <color theme="1"/>
      <name val="Times New Roman"/>
      <family val="2"/>
      <scheme val="minor"/>
    </font>
    <font>
      <sz val="10"/>
      <color theme="1"/>
      <name val="Times New Roman"/>
      <family val="1"/>
    </font>
    <font>
      <b/>
      <sz val="10"/>
      <color theme="1"/>
      <name val="Times New Roman"/>
      <family val="1"/>
    </font>
    <font>
      <b/>
      <sz val="10"/>
      <name val="Times New Roman"/>
      <family val="1"/>
    </font>
    <font>
      <sz val="10"/>
      <name val="Arial"/>
      <family val="2"/>
    </font>
    <font>
      <sz val="10"/>
      <name val="Times New Roman"/>
      <family val="1"/>
    </font>
    <font>
      <sz val="12"/>
      <name val="Times New Roman"/>
      <family val="1"/>
    </font>
    <font>
      <b/>
      <sz val="8"/>
      <color indexed="81"/>
      <name val="Tahoma"/>
      <family val="2"/>
    </font>
    <font>
      <sz val="8"/>
      <color indexed="81"/>
      <name val="Tahoma"/>
      <family val="2"/>
    </font>
    <font>
      <sz val="10"/>
      <color rgb="FF000000"/>
      <name val="Times New Roman"/>
      <family val="1"/>
    </font>
    <font>
      <sz val="9"/>
      <color indexed="81"/>
      <name val="Tahoma"/>
      <family val="2"/>
    </font>
    <font>
      <b/>
      <sz val="9"/>
      <color indexed="81"/>
      <name val="Tahoma"/>
      <family val="2"/>
    </font>
    <font>
      <b/>
      <sz val="11"/>
      <color theme="1"/>
      <name val="Times New Roman"/>
      <family val="2"/>
      <scheme val="minor"/>
    </font>
    <font>
      <sz val="10"/>
      <color theme="1"/>
      <name val="Times New Roman"/>
      <family val="1"/>
      <scheme val="minor"/>
    </font>
    <font>
      <b/>
      <sz val="10"/>
      <color theme="1"/>
      <name val="Times New Roman"/>
      <family val="1"/>
      <scheme val="minor"/>
    </font>
    <font>
      <sz val="10"/>
      <color rgb="FF000000"/>
      <name val="Times New Roman"/>
      <family val="1"/>
      <scheme val="minor"/>
    </font>
    <font>
      <sz val="10"/>
      <color theme="1"/>
      <name val="Times New Roman"/>
      <family val="2"/>
      <scheme val="minor"/>
    </font>
    <font>
      <b/>
      <sz val="10"/>
      <color theme="1"/>
      <name val="Times New Roman"/>
      <family val="2"/>
      <scheme val="minor"/>
    </font>
    <font>
      <sz val="10"/>
      <color indexed="8"/>
      <name val="Times New Roman"/>
      <family val="1"/>
    </font>
    <font>
      <b/>
      <sz val="10"/>
      <name val="Times New Roman"/>
      <family val="2"/>
    </font>
    <font>
      <sz val="10"/>
      <name val="Times New Roman"/>
      <family val="2"/>
    </font>
    <font>
      <b/>
      <sz val="18"/>
      <color theme="3"/>
      <name val="Times New Roman"/>
      <family val="2"/>
      <scheme val="major"/>
    </font>
    <font>
      <sz val="10"/>
      <name val="Arial"/>
      <family val="2"/>
    </font>
    <font>
      <u/>
      <sz val="10"/>
      <color indexed="12"/>
      <name val="Arial"/>
      <family val="2"/>
    </font>
    <font>
      <sz val="11"/>
      <color indexed="8"/>
      <name val="Calibri"/>
      <family val="2"/>
    </font>
    <font>
      <sz val="10"/>
      <name val="CG Times"/>
      <family val="1"/>
      <charset val="238"/>
    </font>
    <font>
      <sz val="10"/>
      <color indexed="8"/>
      <name val="Calibri"/>
      <family val="2"/>
    </font>
    <font>
      <sz val="10"/>
      <color indexed="8"/>
      <name val="Times New Roman"/>
      <family val="2"/>
    </font>
    <font>
      <sz val="8"/>
      <name val="MS Sans Serif"/>
      <family val="2"/>
    </font>
    <font>
      <sz val="11"/>
      <color indexed="8"/>
      <name val="Arial"/>
      <family val="2"/>
    </font>
    <font>
      <b/>
      <sz val="11"/>
      <name val="Times New Roman"/>
      <family val="1"/>
    </font>
    <font>
      <b/>
      <sz val="9"/>
      <color indexed="21"/>
      <name val="Times New Roman"/>
      <family val="1"/>
    </font>
    <font>
      <sz val="10"/>
      <name val="Verdana"/>
      <family val="2"/>
    </font>
    <font>
      <sz val="10"/>
      <name val="Univers (W1)"/>
    </font>
    <font>
      <sz val="9"/>
      <color indexed="8"/>
      <name val="Arial Narrow"/>
      <family val="2"/>
    </font>
    <font>
      <sz val="10"/>
      <color indexed="64"/>
      <name val="Arial"/>
      <family val="2"/>
    </font>
    <font>
      <sz val="8"/>
      <name val="Arial"/>
      <family val="2"/>
    </font>
    <font>
      <b/>
      <sz val="18"/>
      <name val="Arial"/>
      <family val="2"/>
    </font>
    <font>
      <b/>
      <sz val="12"/>
      <name val="Arial"/>
      <family val="2"/>
    </font>
    <font>
      <b/>
      <i/>
      <sz val="16"/>
      <name val="Helv"/>
    </font>
    <font>
      <b/>
      <sz val="8"/>
      <name val="Arial"/>
      <family val="2"/>
    </font>
    <font>
      <sz val="9"/>
      <color indexed="13"/>
      <name val="Times New Roman"/>
      <family val="1"/>
    </font>
    <font>
      <sz val="9"/>
      <name val="Times New Roman"/>
      <family val="1"/>
    </font>
    <font>
      <sz val="11"/>
      <color theme="0"/>
      <name val="Times New Roman"/>
      <family val="2"/>
      <scheme val="minor"/>
    </font>
    <font>
      <sz val="11"/>
      <color rgb="FF9C0006"/>
      <name val="Times New Roman"/>
      <family val="2"/>
      <scheme val="minor"/>
    </font>
    <font>
      <b/>
      <sz val="11"/>
      <color rgb="FFFA7D00"/>
      <name val="Times New Roman"/>
      <family val="2"/>
      <scheme val="minor"/>
    </font>
    <font>
      <b/>
      <sz val="11"/>
      <color theme="0"/>
      <name val="Times New Roman"/>
      <family val="2"/>
      <scheme val="minor"/>
    </font>
    <font>
      <i/>
      <sz val="11"/>
      <color rgb="FF7F7F7F"/>
      <name val="Times New Roman"/>
      <family val="2"/>
      <scheme val="minor"/>
    </font>
    <font>
      <sz val="11"/>
      <color rgb="FF006100"/>
      <name val="Times New Roman"/>
      <family val="2"/>
      <scheme val="minor"/>
    </font>
    <font>
      <b/>
      <sz val="15"/>
      <color theme="3"/>
      <name val="Times New Roman"/>
      <family val="2"/>
      <scheme val="minor"/>
    </font>
    <font>
      <b/>
      <sz val="13"/>
      <color theme="3"/>
      <name val="Times New Roman"/>
      <family val="2"/>
      <scheme val="minor"/>
    </font>
    <font>
      <b/>
      <sz val="11"/>
      <color theme="3"/>
      <name val="Times New Roman"/>
      <family val="2"/>
      <scheme val="minor"/>
    </font>
    <font>
      <u/>
      <sz val="11"/>
      <color theme="10"/>
      <name val="Times New Roman"/>
      <family val="2"/>
      <scheme val="minor"/>
    </font>
    <font>
      <u/>
      <sz val="10"/>
      <color theme="10"/>
      <name val="Arial"/>
      <family val="2"/>
    </font>
    <font>
      <u/>
      <sz val="9"/>
      <color theme="10"/>
      <name val="Arial"/>
      <family val="2"/>
    </font>
    <font>
      <sz val="11"/>
      <color rgb="FF3F3F76"/>
      <name val="Times New Roman"/>
      <family val="2"/>
      <scheme val="minor"/>
    </font>
    <font>
      <sz val="11"/>
      <color rgb="FFFA7D00"/>
      <name val="Times New Roman"/>
      <family val="2"/>
      <scheme val="minor"/>
    </font>
    <font>
      <sz val="11"/>
      <color rgb="FF9C6500"/>
      <name val="Times New Roman"/>
      <family val="2"/>
      <scheme val="minor"/>
    </font>
    <font>
      <sz val="11"/>
      <color theme="1"/>
      <name val="Times New Roman"/>
      <family val="2"/>
    </font>
    <font>
      <sz val="11"/>
      <color theme="1"/>
      <name val="Calibri"/>
      <family val="2"/>
      <charset val="134"/>
    </font>
    <font>
      <sz val="11"/>
      <color theme="1"/>
      <name val="Calibri"/>
      <family val="2"/>
    </font>
    <font>
      <sz val="11"/>
      <color theme="1"/>
      <name val="Arial"/>
      <family val="2"/>
    </font>
    <font>
      <sz val="9"/>
      <color theme="1"/>
      <name val="Arial Narrow"/>
      <family val="2"/>
    </font>
    <font>
      <b/>
      <sz val="11"/>
      <color rgb="FF3F3F3F"/>
      <name val="Times New Roman"/>
      <family val="2"/>
      <scheme val="minor"/>
    </font>
    <font>
      <sz val="11"/>
      <color rgb="FFFF0000"/>
      <name val="Times New Roman"/>
      <family val="2"/>
      <scheme val="minor"/>
    </font>
    <font>
      <sz val="10"/>
      <color indexed="8"/>
      <name val="Arial"/>
      <family val="2"/>
    </font>
    <font>
      <sz val="10"/>
      <name val="Arial"/>
      <family val="2"/>
    </font>
    <font>
      <strike/>
      <sz val="10"/>
      <color rgb="FFFF0000"/>
      <name val="Times New Roman"/>
      <family val="1"/>
    </font>
    <font>
      <sz val="10"/>
      <color rgb="FFFF0000"/>
      <name val="Times New Roman"/>
      <family val="1"/>
    </font>
    <font>
      <strike/>
      <sz val="10"/>
      <name val="Times New Roman"/>
      <family val="1"/>
    </font>
    <font>
      <sz val="11"/>
      <name val="Times New Roman"/>
      <family val="2"/>
      <scheme val="minor"/>
    </font>
    <font>
      <strike/>
      <sz val="10"/>
      <color rgb="FFFF0000"/>
      <name val="Times New Roman"/>
      <family val="1"/>
      <scheme val="minor"/>
    </font>
    <font>
      <strike/>
      <sz val="11"/>
      <color rgb="FFFF0000"/>
      <name val="Times New Roman"/>
      <family val="1"/>
      <scheme val="minor"/>
    </font>
    <font>
      <sz val="8"/>
      <color rgb="FF454545"/>
      <name val="Arial"/>
      <family val="2"/>
    </font>
    <font>
      <strike/>
      <sz val="10"/>
      <color rgb="FFFF0000"/>
      <name val="Times New Roman"/>
      <family val="1"/>
      <scheme val="major"/>
    </font>
    <font>
      <b/>
      <strike/>
      <sz val="10"/>
      <color rgb="FFFF0000"/>
      <name val="Times New Roman"/>
      <family val="1"/>
      <scheme val="major"/>
    </font>
    <font>
      <b/>
      <strike/>
      <sz val="10"/>
      <color rgb="FFFF0000"/>
      <name val="Times New Roman"/>
      <family val="1"/>
      <scheme val="minor"/>
    </font>
    <font>
      <b/>
      <strike/>
      <sz val="10"/>
      <color rgb="FFFF0000"/>
      <name val="Times New Roman"/>
      <family val="1"/>
    </font>
    <font>
      <sz val="10"/>
      <name val="Arial"/>
      <family val="2"/>
    </font>
    <font>
      <sz val="10"/>
      <color rgb="FFFF0000"/>
      <name val="Arial"/>
      <family val="2"/>
    </font>
    <font>
      <sz val="12"/>
      <color theme="1"/>
      <name val="Times New Roman"/>
      <family val="2"/>
      <scheme val="minor"/>
    </font>
    <font>
      <sz val="10"/>
      <color theme="1"/>
      <name val="Tahoma"/>
      <family val="2"/>
    </font>
  </fonts>
  <fills count="43">
    <fill>
      <patternFill patternType="none"/>
    </fill>
    <fill>
      <patternFill patternType="gray125"/>
    </fill>
    <fill>
      <patternFill patternType="solid">
        <fgColor theme="0" tint="-0.249977111117893"/>
        <bgColor indexed="64"/>
      </patternFill>
    </fill>
    <fill>
      <patternFill patternType="solid">
        <fgColor theme="0" tint="-0.24994659260841701"/>
        <bgColor indexed="64"/>
      </patternFill>
    </fill>
    <fill>
      <patternFill patternType="solid">
        <fgColor indexed="22"/>
        <bgColor indexed="64"/>
      </patternFill>
    </fill>
    <fill>
      <patternFill patternType="solid">
        <fgColor rgb="FFBFBFBF"/>
        <bgColor indexed="6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7"/>
        <bgColor indexed="64"/>
      </patternFill>
    </fill>
    <fill>
      <patternFill patternType="solid">
        <fgColor indexed="26"/>
        <bgColor indexed="64"/>
      </patternFill>
    </fill>
    <fill>
      <patternFill patternType="solid">
        <fgColor indexed="30"/>
        <bgColor indexed="64"/>
      </patternFill>
    </fill>
    <fill>
      <patternFill patternType="solid">
        <fgColor indexed="47"/>
        <bgColor indexed="64"/>
      </patternFill>
    </fill>
    <fill>
      <patternFill patternType="solid">
        <fgColor rgb="FFFFFF00"/>
        <bgColor indexed="64"/>
      </patternFill>
    </fill>
  </fills>
  <borders count="8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1"/>
      </left>
      <right/>
      <top/>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right/>
      <top style="double">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indexed="64"/>
      </left>
      <right style="thin">
        <color indexed="64"/>
      </right>
      <top style="thin">
        <color indexed="64"/>
      </top>
      <bottom style="thin">
        <color indexed="64"/>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indexed="64"/>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auto="1"/>
      </bottom>
      <diagonal/>
    </border>
    <border>
      <left style="thin">
        <color theme="1"/>
      </left>
      <right style="thin">
        <color theme="1"/>
      </right>
      <top style="thin">
        <color theme="1"/>
      </top>
      <bottom style="thin">
        <color theme="1"/>
      </bottom>
      <diagonal/>
    </border>
    <border>
      <left/>
      <right style="thin">
        <color indexed="64"/>
      </right>
      <top style="medium">
        <color indexed="64"/>
      </top>
      <bottom style="thin">
        <color auto="1"/>
      </bottom>
      <diagonal/>
    </border>
    <border>
      <left style="thin">
        <color rgb="FF000000"/>
      </left>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s>
  <cellStyleXfs count="1832">
    <xf numFmtId="0" fontId="0" fillId="0" borderId="0"/>
    <xf numFmtId="44" fontId="3" fillId="0" borderId="0" applyFont="0" applyFill="0" applyBorder="0" applyAlignment="0" applyProtection="0"/>
    <xf numFmtId="0" fontId="7" fillId="0" borderId="0"/>
    <xf numFmtId="44" fontId="7" fillId="0" borderId="0" applyFont="0" applyFill="0" applyBorder="0" applyAlignment="0" applyProtection="0"/>
    <xf numFmtId="0" fontId="9" fillId="0" borderId="1" applyProtection="0">
      <alignment vertical="top" wrapText="1"/>
    </xf>
    <xf numFmtId="0" fontId="7" fillId="0" borderId="0"/>
    <xf numFmtId="0" fontId="24" fillId="0" borderId="0" applyNumberFormat="0" applyFill="0" applyBorder="0" applyAlignment="0" applyProtection="0"/>
    <xf numFmtId="0" fontId="25" fillId="0" borderId="0"/>
    <xf numFmtId="0" fontId="3" fillId="15"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6" borderId="0" applyNumberFormat="0" applyBorder="0" applyAlignment="0" applyProtection="0"/>
    <xf numFmtId="0" fontId="46" fillId="17" borderId="0" applyNumberFormat="0" applyBorder="0" applyAlignment="0" applyProtection="0"/>
    <xf numFmtId="0" fontId="46" fillId="21" borderId="0" applyNumberFormat="0" applyBorder="0" applyAlignment="0" applyProtection="0"/>
    <xf numFmtId="0" fontId="46" fillId="25" borderId="0" applyNumberFormat="0" applyBorder="0" applyAlignment="0" applyProtection="0"/>
    <xf numFmtId="0" fontId="46" fillId="29" borderId="0" applyNumberFormat="0" applyBorder="0" applyAlignment="0" applyProtection="0"/>
    <xf numFmtId="0" fontId="46" fillId="33" borderId="0" applyNumberFormat="0" applyBorder="0" applyAlignment="0" applyProtection="0"/>
    <xf numFmtId="0" fontId="46" fillId="37" borderId="0" applyNumberFormat="0" applyBorder="0" applyAlignment="0" applyProtection="0"/>
    <xf numFmtId="0" fontId="46" fillId="14" borderId="0" applyNumberFormat="0" applyBorder="0" applyAlignment="0" applyProtection="0"/>
    <xf numFmtId="0" fontId="46" fillId="18" borderId="0" applyNumberFormat="0" applyBorder="0" applyAlignment="0" applyProtection="0"/>
    <xf numFmtId="0" fontId="46" fillId="22" borderId="0" applyNumberFormat="0" applyBorder="0" applyAlignment="0" applyProtection="0"/>
    <xf numFmtId="0" fontId="46" fillId="26" borderId="0" applyNumberFormat="0" applyBorder="0" applyAlignment="0" applyProtection="0"/>
    <xf numFmtId="0" fontId="46" fillId="30" borderId="0" applyNumberFormat="0" applyBorder="0" applyAlignment="0" applyProtection="0"/>
    <xf numFmtId="0" fontId="46" fillId="34" borderId="0" applyNumberFormat="0" applyBorder="0" applyAlignment="0" applyProtection="0"/>
    <xf numFmtId="167" fontId="34" fillId="38" borderId="16" applyNumberFormat="0">
      <alignment horizontal="center" vertical="center"/>
      <protection locked="0"/>
    </xf>
    <xf numFmtId="0" fontId="47" fillId="8" borderId="0" applyNumberFormat="0" applyBorder="0" applyAlignment="0" applyProtection="0"/>
    <xf numFmtId="0" fontId="48" fillId="11" borderId="10" applyNumberFormat="0" applyAlignment="0" applyProtection="0"/>
    <xf numFmtId="0" fontId="49" fillId="12" borderId="13"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36" fillId="0" borderId="0" applyFont="0" applyFill="0" applyBorder="0" applyAlignment="0" applyProtection="0"/>
    <xf numFmtId="43" fontId="7" fillId="0" borderId="0" applyFont="0" applyFill="0" applyBorder="0" applyAlignment="0" applyProtection="0"/>
    <xf numFmtId="169" fontId="37" fillId="0" borderId="0" applyFont="0" applyFill="0" applyBorder="0" applyAlignment="0" applyProtection="0"/>
    <xf numFmtId="43" fontId="32" fillId="0" borderId="0" applyFont="0" applyFill="0" applyBorder="0" applyAlignment="0" applyProtection="0"/>
    <xf numFmtId="169" fontId="7" fillId="0" borderId="0" applyFont="0" applyFill="0" applyBorder="0" applyAlignment="0" applyProtection="0"/>
    <xf numFmtId="43" fontId="27" fillId="0" borderId="0" applyFont="0" applyFill="0" applyBorder="0" applyAlignment="0" applyProtection="0"/>
    <xf numFmtId="169" fontId="27" fillId="0" borderId="0" applyFont="0" applyFill="0" applyBorder="0" applyAlignment="0" applyProtection="0"/>
    <xf numFmtId="169" fontId="27" fillId="0" borderId="0" applyFont="0" applyFill="0" applyBorder="0" applyAlignment="0" applyProtection="0"/>
    <xf numFmtId="169" fontId="27" fillId="0" borderId="0" applyFont="0" applyFill="0" applyBorder="0" applyAlignment="0" applyProtection="0"/>
    <xf numFmtId="169" fontId="27" fillId="0" borderId="0" applyFont="0" applyFill="0" applyBorder="0" applyAlignment="0" applyProtection="0"/>
    <xf numFmtId="3" fontId="7" fillId="0" borderId="0" applyFont="0" applyFill="0" applyBorder="0" applyAlignment="0" applyProtection="0"/>
    <xf numFmtId="44" fontId="25" fillId="0" borderId="0" applyFont="0" applyFill="0" applyBorder="0" applyAlignment="0" applyProtection="0"/>
    <xf numFmtId="44" fontId="35" fillId="0" borderId="0" applyFont="0" applyFill="0" applyBorder="0" applyAlignment="0" applyProtection="0"/>
    <xf numFmtId="44" fontId="38"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35"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44" fontId="7"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44" fontId="36"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7" fillId="0" borderId="0" applyFont="0" applyFill="0" applyBorder="0" applyAlignment="0" applyProtection="0"/>
    <xf numFmtId="44" fontId="29" fillId="0" borderId="0" applyFont="0" applyFill="0" applyBorder="0" applyAlignment="0" applyProtection="0"/>
    <xf numFmtId="44" fontId="30" fillId="0" borderId="0" applyFont="0" applyFill="0" applyBorder="0" applyAlignment="0" applyProtection="0"/>
    <xf numFmtId="44" fontId="30"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44"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44" fontId="7" fillId="0" borderId="0" applyFont="0" applyFill="0" applyBorder="0" applyAlignment="0" applyProtection="0"/>
    <xf numFmtId="44" fontId="27" fillId="0" borderId="0" applyFont="0" applyFill="0" applyBorder="0" applyAlignment="0" applyProtection="0"/>
    <xf numFmtId="170" fontId="7" fillId="0" borderId="0" applyFont="0" applyFill="0" applyBorder="0" applyAlignment="0" applyProtection="0"/>
    <xf numFmtId="44" fontId="7" fillId="0" borderId="0" applyFont="0" applyFill="0" applyBorder="0" applyAlignment="0" applyProtection="0"/>
    <xf numFmtId="44" fontId="27" fillId="0" borderId="0" applyFont="0" applyFill="0" applyBorder="0" applyAlignment="0" applyProtection="0"/>
    <xf numFmtId="44" fontId="32" fillId="0" borderId="0" applyFont="0" applyFill="0" applyBorder="0" applyAlignment="0" applyProtection="0"/>
    <xf numFmtId="44" fontId="7" fillId="0" borderId="0" applyFont="0" applyFill="0" applyBorder="0" applyAlignment="0" applyProtection="0"/>
    <xf numFmtId="171" fontId="7" fillId="0" borderId="0" applyFont="0" applyFill="0" applyBorder="0" applyAlignment="0" applyProtection="0"/>
    <xf numFmtId="167" fontId="7" fillId="0" borderId="0" applyFont="0" applyFill="0" applyBorder="0" applyAlignment="0" applyProtection="0"/>
    <xf numFmtId="0" fontId="50" fillId="0" borderId="0" applyNumberFormat="0" applyFill="0" applyBorder="0" applyAlignment="0" applyProtection="0"/>
    <xf numFmtId="2" fontId="7" fillId="0" borderId="0" applyFont="0" applyFill="0" applyBorder="0" applyAlignment="0" applyProtection="0"/>
    <xf numFmtId="0" fontId="51" fillId="7" borderId="0" applyNumberFormat="0" applyBorder="0" applyAlignment="0" applyProtection="0"/>
    <xf numFmtId="38" fontId="39" fillId="4" borderId="0" applyNumberFormat="0" applyBorder="0" applyAlignment="0" applyProtection="0"/>
    <xf numFmtId="0" fontId="52" fillId="0" borderId="7" applyNumberFormat="0" applyFill="0" applyAlignment="0" applyProtection="0"/>
    <xf numFmtId="167" fontId="40" fillId="0" borderId="0" applyNumberFormat="0" applyFill="0" applyBorder="0" applyAlignment="0" applyProtection="0"/>
    <xf numFmtId="167" fontId="40" fillId="0" borderId="0" applyNumberFormat="0" applyFill="0" applyBorder="0" applyAlignment="0" applyProtection="0"/>
    <xf numFmtId="0" fontId="53" fillId="0" borderId="8" applyNumberFormat="0" applyFill="0" applyAlignment="0" applyProtection="0"/>
    <xf numFmtId="167" fontId="41" fillId="0" borderId="0" applyNumberFormat="0" applyFill="0" applyBorder="0" applyAlignment="0" applyProtection="0"/>
    <xf numFmtId="167" fontId="41" fillId="0" borderId="0" applyNumberFormat="0" applyFill="0" applyBorder="0" applyAlignment="0" applyProtection="0"/>
    <xf numFmtId="0" fontId="54" fillId="0" borderId="9" applyNumberFormat="0" applyFill="0" applyAlignment="0" applyProtection="0"/>
    <xf numFmtId="0" fontId="54" fillId="0" borderId="0" applyNumberFormat="0" applyFill="0" applyBorder="0" applyAlignment="0" applyProtection="0"/>
    <xf numFmtId="167" fontId="26" fillId="0" borderId="0" applyNumberFormat="0" applyFill="0" applyBorder="0" applyAlignment="0" applyProtection="0">
      <alignment vertical="top"/>
      <protection locked="0"/>
    </xf>
    <xf numFmtId="0" fontId="55" fillId="0" borderId="0" applyNumberFormat="0" applyFill="0" applyBorder="0" applyAlignment="0" applyProtection="0"/>
    <xf numFmtId="167"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0" borderId="0" applyNumberFormat="0" applyFill="0" applyBorder="0" applyAlignment="0" applyProtection="0"/>
    <xf numFmtId="0" fontId="57" fillId="0" borderId="0" applyNumberFormat="0" applyFill="0" applyBorder="0" applyAlignment="0" applyProtection="0">
      <alignment vertical="top"/>
      <protection locked="0"/>
    </xf>
    <xf numFmtId="0" fontId="58" fillId="10" borderId="10" applyNumberFormat="0" applyAlignment="0" applyProtection="0"/>
    <xf numFmtId="10" fontId="39" fillId="39" borderId="1" applyNumberFormat="0" applyBorder="0" applyAlignment="0" applyProtection="0"/>
    <xf numFmtId="0" fontId="59" fillId="0" borderId="12" applyNumberFormat="0" applyFill="0" applyAlignment="0" applyProtection="0"/>
    <xf numFmtId="0" fontId="60" fillId="9" borderId="0" applyNumberFormat="0" applyBorder="0" applyAlignment="0" applyProtection="0"/>
    <xf numFmtId="168" fontId="42" fillId="0" borderId="0"/>
    <xf numFmtId="0" fontId="7" fillId="0" borderId="0"/>
    <xf numFmtId="167" fontId="3" fillId="0" borderId="0"/>
    <xf numFmtId="167" fontId="3" fillId="0" borderId="0"/>
    <xf numFmtId="0" fontId="7" fillId="0" borderId="0"/>
    <xf numFmtId="167" fontId="3" fillId="0" borderId="0"/>
    <xf numFmtId="167" fontId="3" fillId="0" borderId="0"/>
    <xf numFmtId="0" fontId="3" fillId="0" borderId="0"/>
    <xf numFmtId="167" fontId="3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1" fillId="0" borderId="0"/>
    <xf numFmtId="167"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8" fillId="0" borderId="0"/>
    <xf numFmtId="0" fontId="7" fillId="0" borderId="0"/>
    <xf numFmtId="167" fontId="7" fillId="0" borderId="0"/>
    <xf numFmtId="0" fontId="62" fillId="0" borderId="0"/>
    <xf numFmtId="0" fontId="7" fillId="0" borderId="0"/>
    <xf numFmtId="0" fontId="7" fillId="0" borderId="0"/>
    <xf numFmtId="0" fontId="7" fillId="0" borderId="0"/>
    <xf numFmtId="0" fontId="35" fillId="0" borderId="0"/>
    <xf numFmtId="167" fontId="7" fillId="0" borderId="0"/>
    <xf numFmtId="0" fontId="63" fillId="0" borderId="0"/>
    <xf numFmtId="167" fontId="7" fillId="0" borderId="0"/>
    <xf numFmtId="0" fontId="35" fillId="0" borderId="0"/>
    <xf numFmtId="0" fontId="7" fillId="0" borderId="0"/>
    <xf numFmtId="0" fontId="27" fillId="0" borderId="0"/>
    <xf numFmtId="0" fontId="3" fillId="0" borderId="0"/>
    <xf numFmtId="0" fontId="35" fillId="0" borderId="0"/>
    <xf numFmtId="0" fontId="35" fillId="0" borderId="0"/>
    <xf numFmtId="0" fontId="12" fillId="0" borderId="0"/>
    <xf numFmtId="167" fontId="8" fillId="0" borderId="0"/>
    <xf numFmtId="167" fontId="8" fillId="0" borderId="0"/>
    <xf numFmtId="0" fontId="35" fillId="0" borderId="0"/>
    <xf numFmtId="0" fontId="35" fillId="0" borderId="0"/>
    <xf numFmtId="0" fontId="35" fillId="0" borderId="0"/>
    <xf numFmtId="0" fontId="7" fillId="0" borderId="0"/>
    <xf numFmtId="0" fontId="35" fillId="0" borderId="0"/>
    <xf numFmtId="0" fontId="35" fillId="0" borderId="0"/>
    <xf numFmtId="0" fontId="35" fillId="0" borderId="0"/>
    <xf numFmtId="0" fontId="7" fillId="0" borderId="0"/>
    <xf numFmtId="0" fontId="7" fillId="0" borderId="0"/>
    <xf numFmtId="0" fontId="3" fillId="0" borderId="0"/>
    <xf numFmtId="0" fontId="7" fillId="0" borderId="0"/>
    <xf numFmtId="0" fontId="3" fillId="0" borderId="0"/>
    <xf numFmtId="0" fontId="3" fillId="0" borderId="0"/>
    <xf numFmtId="0" fontId="31" fillId="0" borderId="0" applyAlignment="0">
      <alignment vertical="top" wrapText="1"/>
      <protection locked="0"/>
    </xf>
    <xf numFmtId="0" fontId="35" fillId="0" borderId="0"/>
    <xf numFmtId="0" fontId="3" fillId="0" borderId="0"/>
    <xf numFmtId="0" fontId="3" fillId="0" borderId="0"/>
    <xf numFmtId="0" fontId="3" fillId="0" borderId="0"/>
    <xf numFmtId="0" fontId="3" fillId="0" borderId="0"/>
    <xf numFmtId="0" fontId="3" fillId="0" borderId="0"/>
    <xf numFmtId="0" fontId="3" fillId="0" borderId="0"/>
    <xf numFmtId="0" fontId="31" fillId="0" borderId="0" applyAlignment="0">
      <alignment vertical="top" wrapText="1"/>
      <protection locked="0"/>
    </xf>
    <xf numFmtId="0" fontId="61" fillId="0" borderId="0"/>
    <xf numFmtId="0" fontId="12" fillId="0" borderId="0"/>
    <xf numFmtId="0" fontId="3" fillId="0" borderId="0"/>
    <xf numFmtId="0" fontId="7" fillId="0" borderId="0"/>
    <xf numFmtId="0" fontId="3" fillId="0" borderId="0"/>
    <xf numFmtId="0" fontId="3" fillId="0" borderId="0"/>
    <xf numFmtId="167" fontId="7" fillId="0" borderId="0"/>
    <xf numFmtId="0" fontId="3" fillId="0" borderId="0"/>
    <xf numFmtId="0" fontId="3" fillId="0" borderId="0"/>
    <xf numFmtId="0" fontId="3" fillId="0" borderId="0"/>
    <xf numFmtId="167" fontId="7" fillId="0" borderId="0"/>
    <xf numFmtId="0" fontId="3" fillId="0" borderId="0"/>
    <xf numFmtId="0" fontId="27" fillId="0" borderId="0"/>
    <xf numFmtId="0" fontId="3" fillId="0" borderId="0"/>
    <xf numFmtId="0" fontId="3" fillId="0" borderId="0"/>
    <xf numFmtId="0" fontId="31" fillId="0" borderId="0" applyAlignment="0">
      <alignment vertical="top" wrapText="1"/>
      <protection locked="0"/>
    </xf>
    <xf numFmtId="0" fontId="1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7" fillId="0" borderId="0"/>
    <xf numFmtId="0" fontId="7" fillId="0" borderId="0"/>
    <xf numFmtId="0" fontId="7" fillId="0" borderId="0"/>
    <xf numFmtId="0" fontId="31" fillId="0" borderId="0" applyAlignment="0">
      <alignment vertical="top" wrapText="1"/>
      <protection locked="0"/>
    </xf>
    <xf numFmtId="167" fontId="7" fillId="0" borderId="0"/>
    <xf numFmtId="0" fontId="31" fillId="0" borderId="0" applyAlignment="0">
      <alignment vertical="top" wrapText="1"/>
      <protection locked="0"/>
    </xf>
    <xf numFmtId="167" fontId="7" fillId="0" borderId="0"/>
    <xf numFmtId="0" fontId="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167" fontId="8" fillId="0" borderId="0"/>
    <xf numFmtId="0" fontId="7" fillId="0" borderId="0"/>
    <xf numFmtId="0" fontId="7" fillId="0" borderId="0"/>
    <xf numFmtId="0" fontId="7" fillId="0" borderId="0"/>
    <xf numFmtId="167" fontId="3" fillId="0" borderId="0"/>
    <xf numFmtId="0" fontId="7" fillId="0" borderId="0"/>
    <xf numFmtId="167" fontId="3" fillId="0" borderId="0"/>
    <xf numFmtId="0" fontId="7" fillId="0" borderId="0"/>
    <xf numFmtId="167" fontId="3" fillId="0" borderId="0"/>
    <xf numFmtId="167" fontId="3" fillId="0" borderId="0"/>
    <xf numFmtId="0" fontId="3" fillId="0" borderId="0"/>
    <xf numFmtId="167" fontId="8" fillId="0" borderId="0"/>
    <xf numFmtId="167" fontId="8" fillId="0" borderId="0"/>
    <xf numFmtId="167" fontId="8" fillId="0" borderId="0"/>
    <xf numFmtId="167" fontId="8" fillId="0" borderId="0"/>
    <xf numFmtId="167" fontId="8" fillId="0" borderId="0"/>
    <xf numFmtId="167"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167" fontId="36" fillId="0" borderId="0"/>
    <xf numFmtId="0" fontId="3" fillId="0" borderId="0"/>
    <xf numFmtId="0" fontId="35" fillId="0" borderId="0"/>
    <xf numFmtId="0" fontId="35" fillId="0" borderId="0"/>
    <xf numFmtId="0" fontId="35" fillId="0" borderId="0"/>
    <xf numFmtId="0" fontId="3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5" fillId="0" borderId="0"/>
    <xf numFmtId="0" fontId="35" fillId="0" borderId="0"/>
    <xf numFmtId="0" fontId="19" fillId="0" borderId="0"/>
    <xf numFmtId="0" fontId="7" fillId="0" borderId="0"/>
    <xf numFmtId="167" fontId="8" fillId="0" borderId="0"/>
    <xf numFmtId="0" fontId="2" fillId="0" borderId="0"/>
    <xf numFmtId="0" fontId="2" fillId="0" borderId="0"/>
    <xf numFmtId="167" fontId="8" fillId="0" borderId="0"/>
    <xf numFmtId="0" fontId="3" fillId="0" borderId="0"/>
    <xf numFmtId="0" fontId="35" fillId="0" borderId="0"/>
    <xf numFmtId="0" fontId="35"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7" fillId="0" borderId="0"/>
    <xf numFmtId="0" fontId="7" fillId="0" borderId="0"/>
    <xf numFmtId="167" fontId="2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8" fillId="0" borderId="0"/>
    <xf numFmtId="0" fontId="7" fillId="0" borderId="0"/>
    <xf numFmtId="0" fontId="7" fillId="0" borderId="0"/>
    <xf numFmtId="0" fontId="7" fillId="0" borderId="0"/>
    <xf numFmtId="0" fontId="64" fillId="0" borderId="0"/>
    <xf numFmtId="0" fontId="3" fillId="0" borderId="0"/>
    <xf numFmtId="167" fontId="65"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7" fillId="0" borderId="0"/>
    <xf numFmtId="0" fontId="7" fillId="0" borderId="0"/>
    <xf numFmtId="0" fontId="7" fillId="0" borderId="0"/>
    <xf numFmtId="0" fontId="12" fillId="0" borderId="0"/>
    <xf numFmtId="0" fontId="12" fillId="0" borderId="0"/>
    <xf numFmtId="0" fontId="3" fillId="0" borderId="0"/>
    <xf numFmtId="0" fontId="3" fillId="0" borderId="0"/>
    <xf numFmtId="0" fontId="27" fillId="13" borderId="14" applyNumberFormat="0" applyFont="0" applyAlignment="0" applyProtection="0"/>
    <xf numFmtId="0" fontId="27" fillId="13" borderId="14" applyNumberFormat="0" applyFont="0" applyAlignment="0" applyProtection="0"/>
    <xf numFmtId="0" fontId="66" fillId="11" borderId="11" applyNumberFormat="0" applyAlignment="0" applyProtection="0"/>
    <xf numFmtId="9" fontId="25" fillId="0" borderId="0" applyFont="0" applyFill="0" applyBorder="0" applyAlignment="0" applyProtection="0"/>
    <xf numFmtId="10" fontId="7"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5" fillId="0" borderId="0" applyFont="0" applyFill="0" applyBorder="0" applyAlignment="0" applyProtection="0"/>
    <xf numFmtId="9" fontId="27" fillId="0" borderId="0" applyFont="0" applyFill="0" applyBorder="0" applyAlignment="0" applyProtection="0"/>
    <xf numFmtId="9" fontId="7" fillId="0" borderId="0" applyFont="0" applyFill="0" applyBorder="0" applyAlignment="0" applyProtection="0"/>
    <xf numFmtId="9" fontId="2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1" fillId="0" borderId="0" applyFont="0" applyFill="0" applyBorder="0" applyAlignment="0" applyProtection="0"/>
    <xf numFmtId="9" fontId="27" fillId="0" borderId="0" applyFont="0" applyFill="0" applyBorder="0" applyAlignment="0" applyProtection="0"/>
    <xf numFmtId="9" fontId="29" fillId="0" borderId="0" applyFont="0" applyFill="0" applyBorder="0" applyAlignment="0" applyProtection="0"/>
    <xf numFmtId="9" fontId="3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167" fontId="43" fillId="0" borderId="1">
      <alignment horizontal="left" vertical="center" wrapText="1"/>
    </xf>
    <xf numFmtId="167" fontId="44" fillId="40" borderId="0" applyBorder="0" applyAlignment="0"/>
    <xf numFmtId="167" fontId="7" fillId="4" borderId="17">
      <alignment horizontal="center"/>
      <protection locked="0"/>
    </xf>
    <xf numFmtId="167" fontId="7" fillId="4" borderId="17">
      <alignment horizontal="center"/>
      <protection locked="0"/>
    </xf>
    <xf numFmtId="167" fontId="7" fillId="40" borderId="0" applyNumberFormat="0" applyFont="0" applyAlignment="0" applyProtection="0"/>
    <xf numFmtId="167" fontId="45" fillId="41" borderId="18" applyNumberFormat="0" applyAlignment="0"/>
    <xf numFmtId="40" fontId="33" fillId="0" borderId="0"/>
    <xf numFmtId="0" fontId="25" fillId="0" borderId="0"/>
    <xf numFmtId="0" fontId="15" fillId="0" borderId="15" applyNumberFormat="0" applyFill="0" applyAlignment="0" applyProtection="0"/>
    <xf numFmtId="167" fontId="7" fillId="0" borderId="19" applyNumberFormat="0" applyFont="0" applyFill="0" applyAlignment="0" applyProtection="0"/>
    <xf numFmtId="167" fontId="7" fillId="0" borderId="19" applyNumberFormat="0" applyFont="0" applyFill="0" applyAlignment="0" applyProtection="0"/>
    <xf numFmtId="0" fontId="67" fillId="0" borderId="0" applyNumberFormat="0" applyFill="0" applyBorder="0" applyAlignment="0" applyProtection="0"/>
    <xf numFmtId="0" fontId="58" fillId="10" borderId="10" applyNumberFormat="0" applyAlignment="0" applyProtection="0"/>
    <xf numFmtId="9" fontId="25" fillId="0" borderId="0" applyFont="0" applyFill="0" applyBorder="0" applyAlignment="0" applyProtection="0"/>
    <xf numFmtId="0" fontId="52" fillId="0" borderId="7" applyNumberFormat="0" applyFill="0" applyAlignment="0" applyProtection="0"/>
    <xf numFmtId="0" fontId="53" fillId="0" borderId="8" applyNumberFormat="0" applyFill="0" applyAlignment="0" applyProtection="0"/>
    <xf numFmtId="0" fontId="54" fillId="0" borderId="9" applyNumberFormat="0" applyFill="0" applyAlignment="0" applyProtection="0"/>
    <xf numFmtId="0" fontId="54" fillId="0" borderId="0" applyNumberFormat="0" applyFill="0" applyBorder="0" applyAlignment="0" applyProtection="0"/>
    <xf numFmtId="0" fontId="51" fillId="7" borderId="0" applyNumberFormat="0" applyBorder="0" applyAlignment="0" applyProtection="0"/>
    <xf numFmtId="0" fontId="47" fillId="8" borderId="0" applyNumberFormat="0" applyBorder="0" applyAlignment="0" applyProtection="0"/>
    <xf numFmtId="0" fontId="60" fillId="9" borderId="0" applyNumberFormat="0" applyBorder="0" applyAlignment="0" applyProtection="0"/>
    <xf numFmtId="0" fontId="58" fillId="10" borderId="10" applyNumberFormat="0" applyAlignment="0" applyProtection="0"/>
    <xf numFmtId="0" fontId="66" fillId="11" borderId="11" applyNumberFormat="0" applyAlignment="0" applyProtection="0"/>
    <xf numFmtId="0" fontId="48" fillId="11" borderId="10" applyNumberFormat="0" applyAlignment="0" applyProtection="0"/>
    <xf numFmtId="0" fontId="59" fillId="0" borderId="12" applyNumberFormat="0" applyFill="0" applyAlignment="0" applyProtection="0"/>
    <xf numFmtId="0" fontId="49" fillId="12" borderId="13" applyNumberFormat="0" applyAlignment="0" applyProtection="0"/>
    <xf numFmtId="0" fontId="67" fillId="0" borderId="0" applyNumberFormat="0" applyFill="0" applyBorder="0" applyAlignment="0" applyProtection="0"/>
    <xf numFmtId="0" fontId="3" fillId="13" borderId="14" applyNumberFormat="0" applyFont="0" applyAlignment="0" applyProtection="0"/>
    <xf numFmtId="0" fontId="50" fillId="0" borderId="0" applyNumberFormat="0" applyFill="0" applyBorder="0" applyAlignment="0" applyProtection="0"/>
    <xf numFmtId="0" fontId="15" fillId="0" borderId="15" applyNumberFormat="0" applyFill="0" applyAlignment="0" applyProtection="0"/>
    <xf numFmtId="0" fontId="46"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46" fillId="17" borderId="0" applyNumberFormat="0" applyBorder="0" applyAlignment="0" applyProtection="0"/>
    <xf numFmtId="0" fontId="46"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46" fillId="21" borderId="0" applyNumberFormat="0" applyBorder="0" applyAlignment="0" applyProtection="0"/>
    <xf numFmtId="0" fontId="46"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46" fillId="25" borderId="0" applyNumberFormat="0" applyBorder="0" applyAlignment="0" applyProtection="0"/>
    <xf numFmtId="0" fontId="46"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46" fillId="29" borderId="0" applyNumberFormat="0" applyBorder="0" applyAlignment="0" applyProtection="0"/>
    <xf numFmtId="0" fontId="46"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46" fillId="33" borderId="0" applyNumberFormat="0" applyBorder="0" applyAlignment="0" applyProtection="0"/>
    <xf numFmtId="0" fontId="46"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46" fillId="37" borderId="0" applyNumberFormat="0" applyBorder="0" applyAlignment="0" applyProtection="0"/>
    <xf numFmtId="0" fontId="68" fillId="0" borderId="0">
      <alignment vertical="top"/>
    </xf>
    <xf numFmtId="0" fontId="7" fillId="0" borderId="0"/>
    <xf numFmtId="44" fontId="7" fillId="0" borderId="0" applyFont="0" applyFill="0" applyBorder="0" applyAlignment="0" applyProtection="0"/>
    <xf numFmtId="0" fontId="1" fillId="0" borderId="0"/>
    <xf numFmtId="0" fontId="1"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9" fillId="0" borderId="32" applyProtection="0">
      <alignment vertical="top" wrapText="1"/>
    </xf>
    <xf numFmtId="10" fontId="39" fillId="39" borderId="32" applyNumberFormat="0" applyBorder="0" applyAlignment="0" applyProtection="0"/>
    <xf numFmtId="10" fontId="39" fillId="39" borderId="35" applyNumberFormat="0" applyBorder="0" applyAlignment="0" applyProtection="0"/>
    <xf numFmtId="0" fontId="9" fillId="0" borderId="35" applyProtection="0">
      <alignment vertical="top" wrapText="1"/>
    </xf>
    <xf numFmtId="167" fontId="43" fillId="0" borderId="32">
      <alignment horizontal="left" vertical="center" wrapText="1"/>
    </xf>
    <xf numFmtId="167" fontId="7" fillId="4" borderId="33">
      <alignment horizontal="center"/>
      <protection locked="0"/>
    </xf>
    <xf numFmtId="167" fontId="7" fillId="4" borderId="33">
      <alignment horizontal="center"/>
      <protection locked="0"/>
    </xf>
    <xf numFmtId="167" fontId="45" fillId="41" borderId="34" applyNumberFormat="0" applyAlignment="0"/>
    <xf numFmtId="167" fontId="43" fillId="0" borderId="35">
      <alignment horizontal="left" vertical="center" wrapText="1"/>
    </xf>
    <xf numFmtId="167" fontId="7" fillId="4" borderId="36">
      <alignment horizontal="center"/>
      <protection locked="0"/>
    </xf>
    <xf numFmtId="167" fontId="7" fillId="4" borderId="36">
      <alignment horizontal="center"/>
      <protection locked="0"/>
    </xf>
    <xf numFmtId="167" fontId="45" fillId="41" borderId="37" applyNumberFormat="0" applyAlignment="0"/>
    <xf numFmtId="167" fontId="45" fillId="41" borderId="43" applyNumberFormat="0" applyAlignment="0"/>
    <xf numFmtId="167" fontId="7" fillId="4" borderId="42">
      <alignment horizontal="center"/>
      <protection locked="0"/>
    </xf>
    <xf numFmtId="167" fontId="7" fillId="4" borderId="45">
      <alignment horizontal="center"/>
      <protection locked="0"/>
    </xf>
    <xf numFmtId="167" fontId="7" fillId="4" borderId="40">
      <alignment horizontal="center"/>
      <protection locked="0"/>
    </xf>
    <xf numFmtId="167" fontId="7" fillId="4" borderId="40">
      <alignment horizontal="center"/>
      <protection locked="0"/>
    </xf>
    <xf numFmtId="167" fontId="45" fillId="41" borderId="39" applyNumberFormat="0" applyAlignment="0"/>
    <xf numFmtId="167" fontId="7" fillId="4" borderId="42">
      <alignment horizontal="center"/>
      <protection locked="0"/>
    </xf>
    <xf numFmtId="167" fontId="7" fillId="4" borderId="45">
      <alignment horizontal="center"/>
      <protection locked="0"/>
    </xf>
    <xf numFmtId="167" fontId="45" fillId="41" borderId="46" applyNumberFormat="0" applyAlignment="0"/>
    <xf numFmtId="0" fontId="9" fillId="0" borderId="41" applyProtection="0">
      <alignment vertical="top" wrapText="1"/>
    </xf>
    <xf numFmtId="10" fontId="39" fillId="39" borderId="41" applyNumberFormat="0" applyBorder="0" applyAlignment="0" applyProtection="0"/>
    <xf numFmtId="10" fontId="39" fillId="39" borderId="41" applyNumberFormat="0" applyBorder="0" applyAlignment="0" applyProtection="0"/>
    <xf numFmtId="0" fontId="9" fillId="0" borderId="41" applyProtection="0">
      <alignment vertical="top" wrapText="1"/>
    </xf>
    <xf numFmtId="167" fontId="43" fillId="0" borderId="41">
      <alignment horizontal="left" vertical="center" wrapText="1"/>
    </xf>
    <xf numFmtId="167" fontId="7" fillId="4" borderId="40">
      <alignment horizontal="center"/>
      <protection locked="0"/>
    </xf>
    <xf numFmtId="167" fontId="7" fillId="4" borderId="40">
      <alignment horizontal="center"/>
      <protection locked="0"/>
    </xf>
    <xf numFmtId="167" fontId="45" fillId="41" borderId="39" applyNumberFormat="0" applyAlignment="0"/>
    <xf numFmtId="167" fontId="43" fillId="0" borderId="41">
      <alignment horizontal="left" vertical="center" wrapText="1"/>
    </xf>
    <xf numFmtId="167" fontId="7" fillId="4" borderId="40">
      <alignment horizontal="center"/>
      <protection locked="0"/>
    </xf>
    <xf numFmtId="167" fontId="7" fillId="4" borderId="40">
      <alignment horizontal="center"/>
      <protection locked="0"/>
    </xf>
    <xf numFmtId="167" fontId="45" fillId="41" borderId="39" applyNumberFormat="0" applyAlignment="0"/>
    <xf numFmtId="0" fontId="9" fillId="0" borderId="44" applyProtection="0">
      <alignment vertical="top" wrapText="1"/>
    </xf>
    <xf numFmtId="10" fontId="39" fillId="39" borderId="44" applyNumberFormat="0" applyBorder="0" applyAlignment="0" applyProtection="0"/>
    <xf numFmtId="10" fontId="39" fillId="39" borderId="44" applyNumberFormat="0" applyBorder="0" applyAlignment="0" applyProtection="0"/>
    <xf numFmtId="0" fontId="9" fillId="0" borderId="44" applyProtection="0">
      <alignment vertical="top" wrapText="1"/>
    </xf>
    <xf numFmtId="167" fontId="43" fillId="0" borderId="44">
      <alignment horizontal="left" vertical="center" wrapText="1"/>
    </xf>
    <xf numFmtId="167" fontId="7" fillId="4" borderId="42">
      <alignment horizontal="center"/>
      <protection locked="0"/>
    </xf>
    <xf numFmtId="167" fontId="7" fillId="4" borderId="42">
      <alignment horizontal="center"/>
      <protection locked="0"/>
    </xf>
    <xf numFmtId="167" fontId="45" fillId="41" borderId="43" applyNumberFormat="0" applyAlignment="0"/>
    <xf numFmtId="167" fontId="43" fillId="0" borderId="44">
      <alignment horizontal="left" vertical="center" wrapText="1"/>
    </xf>
    <xf numFmtId="167" fontId="7" fillId="4" borderId="42">
      <alignment horizontal="center"/>
      <protection locked="0"/>
    </xf>
    <xf numFmtId="167" fontId="7" fillId="4" borderId="42">
      <alignment horizontal="center"/>
      <protection locked="0"/>
    </xf>
    <xf numFmtId="167" fontId="45" fillId="41" borderId="43" applyNumberFormat="0" applyAlignment="0"/>
    <xf numFmtId="0" fontId="9" fillId="0" borderId="38" applyProtection="0">
      <alignment vertical="top" wrapText="1"/>
    </xf>
    <xf numFmtId="10" fontId="39" fillId="39" borderId="38" applyNumberFormat="0" applyBorder="0" applyAlignment="0" applyProtection="0"/>
    <xf numFmtId="167" fontId="43" fillId="0" borderId="38">
      <alignment horizontal="left" vertical="center" wrapText="1"/>
    </xf>
    <xf numFmtId="0" fontId="1"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9"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3"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6" fillId="0" borderId="0" applyNumberFormat="0" applyFill="0" applyBorder="0" applyAlignment="0" applyProtection="0">
      <alignment vertical="top"/>
      <protection locked="0"/>
    </xf>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1" fillId="0" borderId="0"/>
    <xf numFmtId="0" fontId="1" fillId="0" borderId="0"/>
    <xf numFmtId="0" fontId="7" fillId="0" borderId="0"/>
    <xf numFmtId="0" fontId="1" fillId="0" borderId="0"/>
    <xf numFmtId="0" fontId="1" fillId="0" borderId="0"/>
    <xf numFmtId="0" fontId="7"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167" fontId="7" fillId="4" borderId="59">
      <alignment horizontal="center"/>
      <protection locked="0"/>
    </xf>
    <xf numFmtId="9" fontId="3" fillId="0" borderId="0" applyFont="0" applyFill="0" applyBorder="0" applyAlignment="0" applyProtection="0"/>
    <xf numFmtId="10" fontId="39" fillId="39" borderId="60" applyNumberFormat="0" applyBorder="0" applyAlignment="0" applyProtection="0"/>
    <xf numFmtId="9" fontId="1" fillId="0" borderId="0" applyFont="0" applyFill="0" applyBorder="0" applyAlignment="0" applyProtection="0"/>
    <xf numFmtId="0" fontId="1" fillId="0" borderId="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7" fillId="0" borderId="0"/>
    <xf numFmtId="44" fontId="7" fillId="0" borderId="0" applyFont="0" applyFill="0" applyBorder="0" applyAlignment="0" applyProtection="0"/>
    <xf numFmtId="167" fontId="7" fillId="4" borderId="59">
      <alignment horizontal="center"/>
      <protection locked="0"/>
    </xf>
    <xf numFmtId="167" fontId="45" fillId="41" borderId="58" applyNumberFormat="0" applyAlignment="0"/>
    <xf numFmtId="0" fontId="9" fillId="0" borderId="60" applyProtection="0">
      <alignment vertical="top" wrapText="1"/>
    </xf>
    <xf numFmtId="167" fontId="7" fillId="4" borderId="59">
      <alignment horizontal="center"/>
      <protection locked="0"/>
    </xf>
    <xf numFmtId="167" fontId="45" fillId="41" borderId="58" applyNumberFormat="0" applyAlignment="0"/>
    <xf numFmtId="10" fontId="39" fillId="39" borderId="60" applyNumberFormat="0" applyBorder="0" applyAlignment="0" applyProtection="0"/>
    <xf numFmtId="167" fontId="45" fillId="41" borderId="58" applyNumberFormat="0" applyAlignment="0"/>
    <xf numFmtId="10" fontId="39" fillId="39" borderId="57" applyNumberFormat="0" applyBorder="0" applyAlignment="0" applyProtection="0"/>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9" fontId="1" fillId="0" borderId="0" applyFont="0" applyFill="0" applyBorder="0" applyAlignment="0" applyProtection="0"/>
    <xf numFmtId="0" fontId="1" fillId="0" borderId="0"/>
    <xf numFmtId="167" fontId="7" fillId="4" borderId="59">
      <alignment horizontal="center"/>
      <protection locked="0"/>
    </xf>
    <xf numFmtId="10" fontId="39" fillId="39" borderId="60" applyNumberFormat="0" applyBorder="0" applyAlignment="0" applyProtection="0"/>
    <xf numFmtId="0" fontId="9" fillId="0" borderId="60" applyProtection="0">
      <alignment vertical="top" wrapText="1"/>
    </xf>
    <xf numFmtId="167" fontId="7" fillId="4" borderId="59">
      <alignment horizontal="center"/>
      <protection locked="0"/>
    </xf>
    <xf numFmtId="167" fontId="43" fillId="0" borderId="60">
      <alignment horizontal="left" vertical="center" wrapText="1"/>
    </xf>
    <xf numFmtId="9" fontId="1" fillId="0" borderId="0" applyFont="0" applyFill="0" applyBorder="0" applyAlignment="0" applyProtection="0"/>
    <xf numFmtId="167" fontId="43" fillId="0" borderId="60">
      <alignment horizontal="left" vertical="center" wrapText="1"/>
    </xf>
    <xf numFmtId="167" fontId="45" fillId="41" borderId="58" applyNumberFormat="0" applyAlignment="0"/>
    <xf numFmtId="167" fontId="43" fillId="0" borderId="60">
      <alignment horizontal="left" vertical="center" wrapText="1"/>
    </xf>
    <xf numFmtId="10" fontId="39" fillId="39" borderId="60" applyNumberFormat="0" applyBorder="0" applyAlignment="0" applyProtection="0"/>
    <xf numFmtId="167" fontId="7" fillId="4" borderId="59">
      <alignment horizontal="center"/>
      <protection locked="0"/>
    </xf>
    <xf numFmtId="0" fontId="9" fillId="0" borderId="57" applyProtection="0">
      <alignment vertical="top" wrapText="1"/>
    </xf>
    <xf numFmtId="167" fontId="43" fillId="0" borderId="57">
      <alignment horizontal="left" vertical="center" wrapText="1"/>
    </xf>
    <xf numFmtId="0" fontId="9" fillId="0" borderId="60" applyProtection="0">
      <alignment vertical="top" wrapText="1"/>
    </xf>
    <xf numFmtId="10" fontId="39" fillId="39" borderId="51" applyNumberFormat="0" applyBorder="0" applyAlignment="0" applyProtection="0"/>
    <xf numFmtId="0" fontId="9" fillId="0" borderId="51" applyProtection="0">
      <alignment vertical="top" wrapText="1"/>
    </xf>
    <xf numFmtId="167" fontId="7" fillId="4" borderId="49">
      <alignment horizontal="center"/>
      <protection locked="0"/>
    </xf>
    <xf numFmtId="167" fontId="7" fillId="4" borderId="49">
      <alignment horizontal="center"/>
      <protection locked="0"/>
    </xf>
    <xf numFmtId="167" fontId="45" fillId="41" borderId="50" applyNumberFormat="0" applyAlignment="0"/>
    <xf numFmtId="167" fontId="43" fillId="0" borderId="51">
      <alignment horizontal="left" vertical="center" wrapText="1"/>
    </xf>
    <xf numFmtId="167" fontId="7" fillId="4" borderId="49">
      <alignment horizontal="center"/>
      <protection locked="0"/>
    </xf>
    <xf numFmtId="167" fontId="7" fillId="4" borderId="49">
      <alignment horizontal="center"/>
      <protection locked="0"/>
    </xf>
    <xf numFmtId="167" fontId="45" fillId="41" borderId="50" applyNumberFormat="0" applyAlignment="0"/>
    <xf numFmtId="167" fontId="45" fillId="41" borderId="52" applyNumberFormat="0" applyAlignment="0"/>
    <xf numFmtId="167" fontId="7" fillId="4" borderId="53">
      <alignment horizontal="center"/>
      <protection locked="0"/>
    </xf>
    <xf numFmtId="167" fontId="7" fillId="4" borderId="53">
      <alignment horizontal="center"/>
      <protection locked="0"/>
    </xf>
    <xf numFmtId="167" fontId="7" fillId="4" borderId="53">
      <alignment horizontal="center"/>
      <protection locked="0"/>
    </xf>
    <xf numFmtId="167" fontId="7" fillId="4" borderId="53">
      <alignment horizontal="center"/>
      <protection locked="0"/>
    </xf>
    <xf numFmtId="167" fontId="45" fillId="41" borderId="52" applyNumberFormat="0" applyAlignment="0"/>
    <xf numFmtId="167" fontId="7" fillId="4" borderId="53">
      <alignment horizontal="center"/>
      <protection locked="0"/>
    </xf>
    <xf numFmtId="167" fontId="7" fillId="4" borderId="53">
      <alignment horizontal="center"/>
      <protection locked="0"/>
    </xf>
    <xf numFmtId="167" fontId="45" fillId="41" borderId="52" applyNumberFormat="0" applyAlignment="0"/>
    <xf numFmtId="0" fontId="9" fillId="0" borderId="54" applyProtection="0">
      <alignment vertical="top" wrapText="1"/>
    </xf>
    <xf numFmtId="10" fontId="39" fillId="39" borderId="54" applyNumberFormat="0" applyBorder="0" applyAlignment="0" applyProtection="0"/>
    <xf numFmtId="10" fontId="39" fillId="39" borderId="54" applyNumberFormat="0" applyBorder="0" applyAlignment="0" applyProtection="0"/>
    <xf numFmtId="0" fontId="9" fillId="0" borderId="54" applyProtection="0">
      <alignment vertical="top" wrapText="1"/>
    </xf>
    <xf numFmtId="167" fontId="43" fillId="0" borderId="54">
      <alignment horizontal="left" vertical="center" wrapText="1"/>
    </xf>
    <xf numFmtId="167" fontId="7" fillId="4" borderId="53">
      <alignment horizontal="center"/>
      <protection locked="0"/>
    </xf>
    <xf numFmtId="167" fontId="7" fillId="4" borderId="53">
      <alignment horizontal="center"/>
      <protection locked="0"/>
    </xf>
    <xf numFmtId="167" fontId="45" fillId="41" borderId="52" applyNumberFormat="0" applyAlignment="0"/>
    <xf numFmtId="167" fontId="43" fillId="0" borderId="54">
      <alignment horizontal="left" vertical="center" wrapText="1"/>
    </xf>
    <xf numFmtId="167" fontId="7" fillId="4" borderId="53">
      <alignment horizontal="center"/>
      <protection locked="0"/>
    </xf>
    <xf numFmtId="167" fontId="7" fillId="4" borderId="53">
      <alignment horizontal="center"/>
      <protection locked="0"/>
    </xf>
    <xf numFmtId="167" fontId="45" fillId="41" borderId="52" applyNumberFormat="0" applyAlignment="0"/>
    <xf numFmtId="0" fontId="9" fillId="0" borderId="54" applyProtection="0">
      <alignment vertical="top" wrapText="1"/>
    </xf>
    <xf numFmtId="10" fontId="39" fillId="39" borderId="54" applyNumberFormat="0" applyBorder="0" applyAlignment="0" applyProtection="0"/>
    <xf numFmtId="10" fontId="39" fillId="39" borderId="54" applyNumberFormat="0" applyBorder="0" applyAlignment="0" applyProtection="0"/>
    <xf numFmtId="0" fontId="9" fillId="0" borderId="54" applyProtection="0">
      <alignment vertical="top" wrapText="1"/>
    </xf>
    <xf numFmtId="167" fontId="43" fillId="0" borderId="54">
      <alignment horizontal="left" vertical="center" wrapText="1"/>
    </xf>
    <xf numFmtId="167" fontId="7" fillId="4" borderId="53">
      <alignment horizontal="center"/>
      <protection locked="0"/>
    </xf>
    <xf numFmtId="167" fontId="7" fillId="4" borderId="53">
      <alignment horizontal="center"/>
      <protection locked="0"/>
    </xf>
    <xf numFmtId="167" fontId="45" fillId="41" borderId="52" applyNumberFormat="0" applyAlignment="0"/>
    <xf numFmtId="167" fontId="43" fillId="0" borderId="54">
      <alignment horizontal="left" vertical="center" wrapText="1"/>
    </xf>
    <xf numFmtId="167" fontId="7" fillId="4" borderId="53">
      <alignment horizontal="center"/>
      <protection locked="0"/>
    </xf>
    <xf numFmtId="167" fontId="7" fillId="4" borderId="53">
      <alignment horizontal="center"/>
      <protection locked="0"/>
    </xf>
    <xf numFmtId="167" fontId="45" fillId="41" borderId="52" applyNumberFormat="0" applyAlignment="0"/>
    <xf numFmtId="0" fontId="9" fillId="0" borderId="51" applyProtection="0">
      <alignment vertical="top" wrapText="1"/>
    </xf>
    <xf numFmtId="10" fontId="39" fillId="39" borderId="51" applyNumberFormat="0" applyBorder="0" applyAlignment="0" applyProtection="0"/>
    <xf numFmtId="167" fontId="43" fillId="0" borderId="51">
      <alignment horizontal="left" vertical="center" wrapText="1"/>
    </xf>
    <xf numFmtId="167" fontId="7" fillId="4" borderId="59">
      <alignment horizontal="center"/>
      <protection locked="0"/>
    </xf>
    <xf numFmtId="167" fontId="45" fillId="41" borderId="58" applyNumberFormat="0" applyAlignment="0"/>
    <xf numFmtId="0" fontId="9" fillId="0" borderId="60" applyProtection="0">
      <alignment vertical="top" wrapText="1"/>
    </xf>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45" fillId="41" borderId="55" applyNumberFormat="0" applyAlignment="0"/>
    <xf numFmtId="167" fontId="7" fillId="4" borderId="56">
      <alignment horizontal="center"/>
      <protection locked="0"/>
    </xf>
    <xf numFmtId="167" fontId="7" fillId="4" borderId="56">
      <alignment horizontal="center"/>
      <protection locked="0"/>
    </xf>
    <xf numFmtId="167" fontId="7" fillId="4" borderId="56">
      <alignment horizontal="center"/>
      <protection locked="0"/>
    </xf>
    <xf numFmtId="167" fontId="7" fillId="4" borderId="56">
      <alignment horizontal="center"/>
      <protection locked="0"/>
    </xf>
    <xf numFmtId="167" fontId="45" fillId="41" borderId="55" applyNumberFormat="0" applyAlignment="0"/>
    <xf numFmtId="167" fontId="7" fillId="4" borderId="56">
      <alignment horizontal="center"/>
      <protection locked="0"/>
    </xf>
    <xf numFmtId="167" fontId="7" fillId="4" borderId="56">
      <alignment horizontal="center"/>
      <protection locked="0"/>
    </xf>
    <xf numFmtId="167" fontId="45" fillId="41" borderId="55" applyNumberFormat="0" applyAlignment="0"/>
    <xf numFmtId="0" fontId="9" fillId="0" borderId="57" applyProtection="0">
      <alignment vertical="top" wrapText="1"/>
    </xf>
    <xf numFmtId="10" fontId="39" fillId="39" borderId="57" applyNumberFormat="0" applyBorder="0" applyAlignment="0" applyProtection="0"/>
    <xf numFmtId="10" fontId="39" fillId="39" borderId="57" applyNumberFormat="0" applyBorder="0" applyAlignment="0" applyProtection="0"/>
    <xf numFmtId="0" fontId="9" fillId="0" borderId="57" applyProtection="0">
      <alignment vertical="top" wrapText="1"/>
    </xf>
    <xf numFmtId="167" fontId="43" fillId="0" borderId="57">
      <alignment horizontal="left" vertical="center" wrapText="1"/>
    </xf>
    <xf numFmtId="167" fontId="7" fillId="4" borderId="56">
      <alignment horizontal="center"/>
      <protection locked="0"/>
    </xf>
    <xf numFmtId="167" fontId="7" fillId="4" borderId="56">
      <alignment horizontal="center"/>
      <protection locked="0"/>
    </xf>
    <xf numFmtId="167" fontId="45" fillId="41" borderId="55" applyNumberFormat="0" applyAlignment="0"/>
    <xf numFmtId="167" fontId="43" fillId="0" borderId="57">
      <alignment horizontal="left" vertical="center" wrapText="1"/>
    </xf>
    <xf numFmtId="167" fontId="7" fillId="4" borderId="56">
      <alignment horizontal="center"/>
      <protection locked="0"/>
    </xf>
    <xf numFmtId="167" fontId="7" fillId="4" borderId="56">
      <alignment horizontal="center"/>
      <protection locked="0"/>
    </xf>
    <xf numFmtId="167" fontId="45" fillId="41" borderId="55" applyNumberFormat="0" applyAlignment="0"/>
    <xf numFmtId="0" fontId="9" fillId="0" borderId="57" applyProtection="0">
      <alignment vertical="top" wrapText="1"/>
    </xf>
    <xf numFmtId="10" fontId="39" fillId="39" borderId="57" applyNumberFormat="0" applyBorder="0" applyAlignment="0" applyProtection="0"/>
    <xf numFmtId="10" fontId="39" fillId="39" borderId="57" applyNumberFormat="0" applyBorder="0" applyAlignment="0" applyProtection="0"/>
    <xf numFmtId="0" fontId="9" fillId="0" borderId="57" applyProtection="0">
      <alignment vertical="top" wrapText="1"/>
    </xf>
    <xf numFmtId="167" fontId="43" fillId="0" borderId="57">
      <alignment horizontal="left" vertical="center" wrapText="1"/>
    </xf>
    <xf numFmtId="167" fontId="7" fillId="4" borderId="56">
      <alignment horizontal="center"/>
      <protection locked="0"/>
    </xf>
    <xf numFmtId="167" fontId="7" fillId="4" borderId="56">
      <alignment horizontal="center"/>
      <protection locked="0"/>
    </xf>
    <xf numFmtId="167" fontId="45" fillId="41" borderId="55" applyNumberFormat="0" applyAlignment="0"/>
    <xf numFmtId="167" fontId="43" fillId="0" borderId="57">
      <alignment horizontal="left" vertical="center" wrapText="1"/>
    </xf>
    <xf numFmtId="167" fontId="7" fillId="4" borderId="56">
      <alignment horizontal="center"/>
      <protection locked="0"/>
    </xf>
    <xf numFmtId="167" fontId="7" fillId="4" borderId="56">
      <alignment horizontal="center"/>
      <protection locked="0"/>
    </xf>
    <xf numFmtId="167" fontId="45" fillId="41" borderId="55" applyNumberFormat="0" applyAlignment="0"/>
    <xf numFmtId="0" fontId="9" fillId="0" borderId="54" applyProtection="0">
      <alignment vertical="top" wrapText="1"/>
    </xf>
    <xf numFmtId="10" fontId="39" fillId="39" borderId="54" applyNumberFormat="0" applyBorder="0" applyAlignment="0" applyProtection="0"/>
    <xf numFmtId="167" fontId="43" fillId="0" borderId="54">
      <alignment horizontal="left" vertical="center" wrapText="1"/>
    </xf>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69" fillId="0" borderId="0"/>
    <xf numFmtId="167" fontId="7" fillId="4" borderId="61">
      <alignment horizontal="center"/>
      <protection locked="0"/>
    </xf>
    <xf numFmtId="0" fontId="9" fillId="0" borderId="48" applyProtection="0">
      <alignment vertical="top" wrapText="1"/>
    </xf>
    <xf numFmtId="167" fontId="43" fillId="0" borderId="48">
      <alignment horizontal="left" vertical="center" wrapText="1"/>
    </xf>
    <xf numFmtId="167" fontId="7" fillId="4" borderId="61">
      <alignment horizontal="center"/>
      <protection locked="0"/>
    </xf>
    <xf numFmtId="167" fontId="45" fillId="41" borderId="62" applyNumberFormat="0" applyAlignment="0"/>
    <xf numFmtId="10" fontId="39" fillId="39" borderId="48" applyNumberFormat="0" applyBorder="0" applyAlignment="0" applyProtection="0"/>
    <xf numFmtId="0" fontId="9" fillId="0" borderId="63" applyProtection="0">
      <alignment vertical="top" wrapText="1"/>
    </xf>
    <xf numFmtId="10" fontId="39" fillId="39" borderId="63" applyNumberFormat="0" applyBorder="0" applyAlignment="0" applyProtection="0"/>
    <xf numFmtId="167" fontId="43" fillId="0" borderId="63">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0" fontId="9" fillId="0" borderId="66" applyProtection="0">
      <alignment vertical="top" wrapText="1"/>
    </xf>
    <xf numFmtId="10" fontId="39" fillId="39" borderId="66" applyNumberFormat="0" applyBorder="0" applyAlignment="0" applyProtection="0"/>
    <xf numFmtId="10" fontId="39" fillId="39" borderId="66" applyNumberFormat="0" applyBorder="0" applyAlignment="0" applyProtection="0"/>
    <xf numFmtId="0" fontId="9" fillId="0" borderId="66" applyProtection="0">
      <alignment vertical="top" wrapText="1"/>
    </xf>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45" fillId="41" borderId="67" applyNumberFormat="0" applyAlignment="0"/>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45" fillId="41" borderId="67" applyNumberFormat="0" applyAlignment="0"/>
    <xf numFmtId="167" fontId="7" fillId="4" borderId="68">
      <alignment horizontal="center"/>
      <protection locked="0"/>
    </xf>
    <xf numFmtId="167" fontId="7" fillId="4" borderId="68">
      <alignment horizontal="center"/>
      <protection locked="0"/>
    </xf>
    <xf numFmtId="167" fontId="45" fillId="41" borderId="67" applyNumberFormat="0" applyAlignment="0"/>
    <xf numFmtId="0" fontId="9" fillId="0" borderId="69" applyProtection="0">
      <alignment vertical="top" wrapText="1"/>
    </xf>
    <xf numFmtId="10" fontId="39" fillId="39" borderId="69" applyNumberFormat="0" applyBorder="0" applyAlignment="0" applyProtection="0"/>
    <xf numFmtId="10" fontId="39" fillId="39" borderId="69" applyNumberFormat="0" applyBorder="0" applyAlignment="0" applyProtection="0"/>
    <xf numFmtId="0" fontId="9" fillId="0" borderId="69" applyProtection="0">
      <alignment vertical="top" wrapText="1"/>
    </xf>
    <xf numFmtId="167" fontId="43" fillId="0" borderId="69">
      <alignment horizontal="left" vertical="center" wrapText="1"/>
    </xf>
    <xf numFmtId="167" fontId="7" fillId="4" borderId="68">
      <alignment horizontal="center"/>
      <protection locked="0"/>
    </xf>
    <xf numFmtId="167" fontId="7" fillId="4" borderId="68">
      <alignment horizontal="center"/>
      <protection locked="0"/>
    </xf>
    <xf numFmtId="167" fontId="45" fillId="41" borderId="67" applyNumberFormat="0" applyAlignment="0"/>
    <xf numFmtId="167" fontId="43" fillId="0" borderId="69">
      <alignment horizontal="left" vertical="center" wrapText="1"/>
    </xf>
    <xf numFmtId="167" fontId="7" fillId="4" borderId="68">
      <alignment horizontal="center"/>
      <protection locked="0"/>
    </xf>
    <xf numFmtId="167" fontId="7" fillId="4" borderId="68">
      <alignment horizontal="center"/>
      <protection locked="0"/>
    </xf>
    <xf numFmtId="167" fontId="45" fillId="41" borderId="67" applyNumberFormat="0" applyAlignment="0"/>
    <xf numFmtId="0" fontId="9" fillId="0" borderId="69" applyProtection="0">
      <alignment vertical="top" wrapText="1"/>
    </xf>
    <xf numFmtId="10" fontId="39" fillId="39" borderId="69" applyNumberFormat="0" applyBorder="0" applyAlignment="0" applyProtection="0"/>
    <xf numFmtId="10" fontId="39" fillId="39" borderId="69" applyNumberFormat="0" applyBorder="0" applyAlignment="0" applyProtection="0"/>
    <xf numFmtId="0" fontId="9" fillId="0" borderId="69" applyProtection="0">
      <alignment vertical="top" wrapText="1"/>
    </xf>
    <xf numFmtId="167" fontId="43" fillId="0" borderId="69">
      <alignment horizontal="left" vertical="center" wrapText="1"/>
    </xf>
    <xf numFmtId="167" fontId="7" fillId="4" borderId="68">
      <alignment horizontal="center"/>
      <protection locked="0"/>
    </xf>
    <xf numFmtId="167" fontId="7" fillId="4" borderId="68">
      <alignment horizontal="center"/>
      <protection locked="0"/>
    </xf>
    <xf numFmtId="167" fontId="45" fillId="41" borderId="67" applyNumberFormat="0" applyAlignment="0"/>
    <xf numFmtId="167" fontId="43" fillId="0" borderId="69">
      <alignment horizontal="left" vertical="center" wrapText="1"/>
    </xf>
    <xf numFmtId="167" fontId="7" fillId="4" borderId="68">
      <alignment horizontal="center"/>
      <protection locked="0"/>
    </xf>
    <xf numFmtId="167" fontId="7" fillId="4" borderId="68">
      <alignment horizontal="center"/>
      <protection locked="0"/>
    </xf>
    <xf numFmtId="167" fontId="45" fillId="41" borderId="67" applyNumberFormat="0" applyAlignment="0"/>
    <xf numFmtId="0" fontId="9" fillId="0" borderId="66" applyProtection="0">
      <alignment vertical="top" wrapText="1"/>
    </xf>
    <xf numFmtId="10" fontId="39" fillId="39" borderId="66" applyNumberFormat="0" applyBorder="0" applyAlignment="0" applyProtection="0"/>
    <xf numFmtId="167" fontId="43" fillId="0" borderId="66">
      <alignment horizontal="left" vertical="center" wrapText="1"/>
    </xf>
    <xf numFmtId="167" fontId="7" fillId="4" borderId="64">
      <alignment horizontal="center"/>
      <protection locked="0"/>
    </xf>
    <xf numFmtId="10" fontId="39" fillId="39" borderId="66" applyNumberFormat="0" applyBorder="0" applyAlignment="0" applyProtection="0"/>
    <xf numFmtId="167" fontId="7" fillId="4" borderId="64">
      <alignment horizontal="center"/>
      <protection locked="0"/>
    </xf>
    <xf numFmtId="167" fontId="45" fillId="41" borderId="65" applyNumberFormat="0" applyAlignment="0"/>
    <xf numFmtId="0" fontId="9" fillId="0" borderId="66" applyProtection="0">
      <alignment vertical="top" wrapText="1"/>
    </xf>
    <xf numFmtId="167" fontId="7" fillId="4" borderId="64">
      <alignment horizontal="center"/>
      <protection locked="0"/>
    </xf>
    <xf numFmtId="167" fontId="45" fillId="41" borderId="65" applyNumberFormat="0" applyAlignment="0"/>
    <xf numFmtId="10" fontId="39" fillId="39" borderId="66" applyNumberFormat="0" applyBorder="0" applyAlignment="0" applyProtection="0"/>
    <xf numFmtId="167" fontId="45" fillId="41" borderId="65" applyNumberFormat="0" applyAlignment="0"/>
    <xf numFmtId="10" fontId="39" fillId="39" borderId="66" applyNumberFormat="0" applyBorder="0" applyAlignment="0" applyProtection="0"/>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7" fillId="4" borderId="64">
      <alignment horizontal="center"/>
      <protection locked="0"/>
    </xf>
    <xf numFmtId="167" fontId="7" fillId="4" borderId="64">
      <alignment horizontal="center"/>
      <protection locked="0"/>
    </xf>
    <xf numFmtId="10" fontId="39" fillId="39" borderId="66" applyNumberFormat="0" applyBorder="0" applyAlignment="0" applyProtection="0"/>
    <xf numFmtId="0" fontId="9" fillId="0" borderId="66" applyProtection="0">
      <alignment vertical="top" wrapText="1"/>
    </xf>
    <xf numFmtId="167" fontId="7" fillId="4" borderId="64">
      <alignment horizontal="center"/>
      <protection locked="0"/>
    </xf>
    <xf numFmtId="167" fontId="43" fillId="0" borderId="66">
      <alignment horizontal="left" vertical="center" wrapText="1"/>
    </xf>
    <xf numFmtId="167" fontId="43" fillId="0" borderId="66">
      <alignment horizontal="left" vertical="center" wrapText="1"/>
    </xf>
    <xf numFmtId="167" fontId="45" fillId="41" borderId="65" applyNumberFormat="0" applyAlignment="0"/>
    <xf numFmtId="167" fontId="43" fillId="0" borderId="66">
      <alignment horizontal="left" vertical="center" wrapText="1"/>
    </xf>
    <xf numFmtId="10" fontId="39" fillId="39" borderId="66" applyNumberFormat="0" applyBorder="0" applyAlignment="0" applyProtection="0"/>
    <xf numFmtId="167" fontId="7" fillId="4" borderId="64">
      <alignment horizontal="center"/>
      <protection locked="0"/>
    </xf>
    <xf numFmtId="0" fontId="9" fillId="0" borderId="66" applyProtection="0">
      <alignment vertical="top" wrapText="1"/>
    </xf>
    <xf numFmtId="167" fontId="43" fillId="0" borderId="66">
      <alignment horizontal="left" vertical="center" wrapText="1"/>
    </xf>
    <xf numFmtId="0" fontId="9" fillId="0" borderId="66" applyProtection="0">
      <alignment vertical="top" wrapText="1"/>
    </xf>
    <xf numFmtId="10" fontId="39" fillId="39" borderId="66" applyNumberFormat="0" applyBorder="0" applyAlignment="0" applyProtection="0"/>
    <xf numFmtId="0" fontId="9" fillId="0" borderId="66" applyProtection="0">
      <alignment vertical="top"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45" fillId="41" borderId="65" applyNumberFormat="0" applyAlignment="0"/>
    <xf numFmtId="167" fontId="7" fillId="4" borderId="64">
      <alignment horizontal="center"/>
      <protection locked="0"/>
    </xf>
    <xf numFmtId="167" fontId="7" fillId="4" borderId="64">
      <alignment horizontal="center"/>
      <protection locked="0"/>
    </xf>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7" fillId="4" borderId="64">
      <alignment horizontal="center"/>
      <protection locked="0"/>
    </xf>
    <xf numFmtId="167" fontId="7" fillId="4" borderId="64">
      <alignment horizontal="center"/>
      <protection locked="0"/>
    </xf>
    <xf numFmtId="167" fontId="45" fillId="41" borderId="65" applyNumberFormat="0" applyAlignment="0"/>
    <xf numFmtId="0" fontId="9" fillId="0" borderId="66" applyProtection="0">
      <alignment vertical="top" wrapText="1"/>
    </xf>
    <xf numFmtId="10" fontId="39" fillId="39" borderId="66" applyNumberFormat="0" applyBorder="0" applyAlignment="0" applyProtection="0"/>
    <xf numFmtId="10" fontId="39" fillId="39" borderId="66" applyNumberFormat="0" applyBorder="0" applyAlignment="0" applyProtection="0"/>
    <xf numFmtId="0" fontId="9" fillId="0" borderId="66" applyProtection="0">
      <alignment vertical="top" wrapText="1"/>
    </xf>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0" fontId="9" fillId="0" borderId="66" applyProtection="0">
      <alignment vertical="top" wrapText="1"/>
    </xf>
    <xf numFmtId="10" fontId="39" fillId="39" borderId="66" applyNumberFormat="0" applyBorder="0" applyAlignment="0" applyProtection="0"/>
    <xf numFmtId="10" fontId="39" fillId="39" borderId="66" applyNumberFormat="0" applyBorder="0" applyAlignment="0" applyProtection="0"/>
    <xf numFmtId="0" fontId="9" fillId="0" borderId="66" applyProtection="0">
      <alignment vertical="top" wrapText="1"/>
    </xf>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0" fontId="9" fillId="0" borderId="66" applyProtection="0">
      <alignment vertical="top" wrapText="1"/>
    </xf>
    <xf numFmtId="10" fontId="39" fillId="39" borderId="66" applyNumberFormat="0" applyBorder="0" applyAlignment="0" applyProtection="0"/>
    <xf numFmtId="167" fontId="43" fillId="0" borderId="66">
      <alignment horizontal="left" vertical="center" wrapText="1"/>
    </xf>
    <xf numFmtId="167" fontId="7" fillId="4" borderId="64">
      <alignment horizontal="center"/>
      <protection locked="0"/>
    </xf>
    <xf numFmtId="167" fontId="45" fillId="41" borderId="65" applyNumberFormat="0" applyAlignment="0"/>
    <xf numFmtId="0" fontId="9" fillId="0" borderId="66" applyProtection="0">
      <alignment vertical="top" wrapText="1"/>
    </xf>
    <xf numFmtId="167" fontId="45" fillId="41" borderId="65" applyNumberFormat="0" applyAlignment="0"/>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7" fillId="4" borderId="64">
      <alignment horizontal="center"/>
      <protection locked="0"/>
    </xf>
    <xf numFmtId="167" fontId="7" fillId="4" borderId="64">
      <alignment horizontal="center"/>
      <protection locked="0"/>
    </xf>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7" fillId="4" borderId="64">
      <alignment horizontal="center"/>
      <protection locked="0"/>
    </xf>
    <xf numFmtId="167" fontId="7" fillId="4" borderId="64">
      <alignment horizontal="center"/>
      <protection locked="0"/>
    </xf>
    <xf numFmtId="167" fontId="45" fillId="41" borderId="65" applyNumberFormat="0" applyAlignment="0"/>
    <xf numFmtId="0" fontId="9" fillId="0" borderId="66" applyProtection="0">
      <alignment vertical="top" wrapText="1"/>
    </xf>
    <xf numFmtId="10" fontId="39" fillId="39" borderId="66" applyNumberFormat="0" applyBorder="0" applyAlignment="0" applyProtection="0"/>
    <xf numFmtId="10" fontId="39" fillId="39" borderId="66" applyNumberFormat="0" applyBorder="0" applyAlignment="0" applyProtection="0"/>
    <xf numFmtId="0" fontId="9" fillId="0" borderId="66" applyProtection="0">
      <alignment vertical="top" wrapText="1"/>
    </xf>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0" fontId="9" fillId="0" borderId="66" applyProtection="0">
      <alignment vertical="top" wrapText="1"/>
    </xf>
    <xf numFmtId="10" fontId="39" fillId="39" borderId="66" applyNumberFormat="0" applyBorder="0" applyAlignment="0" applyProtection="0"/>
    <xf numFmtId="10" fontId="39" fillId="39" borderId="66" applyNumberFormat="0" applyBorder="0" applyAlignment="0" applyProtection="0"/>
    <xf numFmtId="0" fontId="9" fillId="0" borderId="66" applyProtection="0">
      <alignment vertical="top" wrapText="1"/>
    </xf>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167" fontId="43" fillId="0" borderId="66">
      <alignment horizontal="left" vertical="center" wrapText="1"/>
    </xf>
    <xf numFmtId="167" fontId="7" fillId="4" borderId="64">
      <alignment horizontal="center"/>
      <protection locked="0"/>
    </xf>
    <xf numFmtId="167" fontId="7" fillId="4" borderId="64">
      <alignment horizontal="center"/>
      <protection locked="0"/>
    </xf>
    <xf numFmtId="167" fontId="45" fillId="41" borderId="65" applyNumberFormat="0" applyAlignment="0"/>
    <xf numFmtId="0" fontId="9" fillId="0" borderId="66" applyProtection="0">
      <alignment vertical="top" wrapText="1"/>
    </xf>
    <xf numFmtId="10" fontId="39" fillId="39" borderId="66" applyNumberFormat="0" applyBorder="0" applyAlignment="0" applyProtection="0"/>
    <xf numFmtId="167" fontId="43" fillId="0" borderId="66">
      <alignment horizontal="left" vertical="center" wrapText="1"/>
    </xf>
    <xf numFmtId="167" fontId="43" fillId="0" borderId="48">
      <alignment horizontal="left" vertical="center" wrapText="1"/>
    </xf>
    <xf numFmtId="10" fontId="39" fillId="39" borderId="48" applyNumberFormat="0" applyBorder="0" applyAlignment="0" applyProtection="0"/>
    <xf numFmtId="0" fontId="9" fillId="0" borderId="60" applyProtection="0">
      <alignment vertical="top" wrapText="1"/>
    </xf>
    <xf numFmtId="10" fontId="39" fillId="39" borderId="60" applyNumberFormat="0" applyBorder="0" applyAlignment="0" applyProtection="0"/>
    <xf numFmtId="167" fontId="43" fillId="0" borderId="60">
      <alignment horizontal="left" vertical="center" wrapText="1"/>
    </xf>
    <xf numFmtId="0" fontId="9" fillId="0" borderId="48" applyProtection="0">
      <alignment vertical="top" wrapText="1"/>
    </xf>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0" fontId="39" fillId="39" borderId="60" applyNumberFormat="0" applyBorder="0" applyAlignment="0" applyProtection="0"/>
    <xf numFmtId="0" fontId="9" fillId="0" borderId="60" applyProtection="0">
      <alignment vertical="top"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67" fontId="43" fillId="0" borderId="60">
      <alignment horizontal="left" vertical="center" wrapText="1"/>
    </xf>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67" fontId="43" fillId="0" borderId="60">
      <alignment horizontal="left" vertical="center" wrapText="1"/>
    </xf>
    <xf numFmtId="167" fontId="7" fillId="4" borderId="59">
      <alignment horizontal="center"/>
      <protection locked="0"/>
    </xf>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45" fillId="41" borderId="58" applyNumberFormat="0" applyAlignment="0"/>
    <xf numFmtId="10" fontId="39" fillId="39" borderId="60" applyNumberFormat="0" applyBorder="0" applyAlignment="0" applyProtection="0"/>
    <xf numFmtId="0" fontId="9" fillId="0" borderId="60" applyProtection="0">
      <alignment vertical="top" wrapText="1"/>
    </xf>
    <xf numFmtId="10" fontId="39" fillId="39" borderId="60" applyNumberFormat="0" applyBorder="0" applyAlignment="0" applyProtection="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67" fontId="43" fillId="0" borderId="60">
      <alignment horizontal="left" vertical="center" wrapText="1"/>
    </xf>
    <xf numFmtId="167" fontId="7" fillId="4" borderId="59">
      <alignment horizontal="center"/>
      <protection locked="0"/>
    </xf>
    <xf numFmtId="10" fontId="39" fillId="39" borderId="60" applyNumberFormat="0" applyBorder="0" applyAlignment="0" applyProtection="0"/>
    <xf numFmtId="167" fontId="7" fillId="4" borderId="59">
      <alignment horizontal="center"/>
      <protection locked="0"/>
    </xf>
    <xf numFmtId="167" fontId="45" fillId="41" borderId="58" applyNumberFormat="0" applyAlignment="0"/>
    <xf numFmtId="0" fontId="9" fillId="0" borderId="60" applyProtection="0">
      <alignment vertical="top" wrapText="1"/>
    </xf>
    <xf numFmtId="167" fontId="7" fillId="4" borderId="59">
      <alignment horizontal="center"/>
      <protection locked="0"/>
    </xf>
    <xf numFmtId="167" fontId="45" fillId="41" borderId="58" applyNumberFormat="0" applyAlignment="0"/>
    <xf numFmtId="10" fontId="39" fillId="39" borderId="60" applyNumberFormat="0" applyBorder="0" applyAlignment="0" applyProtection="0"/>
    <xf numFmtId="167" fontId="45" fillId="41" borderId="58" applyNumberFormat="0" applyAlignment="0"/>
    <xf numFmtId="10" fontId="39" fillId="39" borderId="60" applyNumberFormat="0" applyBorder="0" applyAlignment="0" applyProtection="0"/>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0" fontId="39" fillId="39" borderId="60" applyNumberFormat="0" applyBorder="0" applyAlignment="0" applyProtection="0"/>
    <xf numFmtId="0" fontId="9" fillId="0" borderId="60" applyProtection="0">
      <alignment vertical="top" wrapText="1"/>
    </xf>
    <xf numFmtId="167" fontId="7" fillId="4" borderId="59">
      <alignment horizontal="center"/>
      <protection locked="0"/>
    </xf>
    <xf numFmtId="167" fontId="43" fillId="0" borderId="60">
      <alignment horizontal="left" vertical="center" wrapText="1"/>
    </xf>
    <xf numFmtId="167" fontId="43" fillId="0" borderId="60">
      <alignment horizontal="left" vertical="center" wrapText="1"/>
    </xf>
    <xf numFmtId="167" fontId="45" fillId="41" borderId="58" applyNumberFormat="0" applyAlignment="0"/>
    <xf numFmtId="167" fontId="43" fillId="0" borderId="60">
      <alignment horizontal="left" vertical="center" wrapText="1"/>
    </xf>
    <xf numFmtId="10" fontId="39" fillId="39" borderId="60" applyNumberFormat="0" applyBorder="0" applyAlignment="0" applyProtection="0"/>
    <xf numFmtId="167" fontId="7" fillId="4" borderId="59">
      <alignment horizontal="center"/>
      <protection locked="0"/>
    </xf>
    <xf numFmtId="0" fontId="9" fillId="0" borderId="60" applyProtection="0">
      <alignment vertical="top" wrapText="1"/>
    </xf>
    <xf numFmtId="167" fontId="43" fillId="0" borderId="60">
      <alignment horizontal="left" vertical="center" wrapText="1"/>
    </xf>
    <xf numFmtId="0" fontId="9" fillId="0" borderId="60" applyProtection="0">
      <alignment vertical="top" wrapText="1"/>
    </xf>
    <xf numFmtId="10" fontId="39" fillId="39" borderId="60" applyNumberFormat="0" applyBorder="0" applyAlignment="0" applyProtection="0"/>
    <xf numFmtId="0" fontId="9" fillId="0" borderId="60" applyProtection="0">
      <alignment vertical="top"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67" fontId="43" fillId="0" borderId="60">
      <alignment horizontal="left" vertical="center" wrapText="1"/>
    </xf>
    <xf numFmtId="167" fontId="7" fillId="4" borderId="59">
      <alignment horizontal="center"/>
      <protection locked="0"/>
    </xf>
    <xf numFmtId="167" fontId="45" fillId="41" borderId="58" applyNumberFormat="0" applyAlignment="0"/>
    <xf numFmtId="0" fontId="9" fillId="0" borderId="60" applyProtection="0">
      <alignment vertical="top" wrapText="1"/>
    </xf>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0" fontId="39" fillId="39" borderId="60" applyNumberFormat="0" applyBorder="0" applyAlignment="0" applyProtection="0"/>
    <xf numFmtId="0" fontId="9" fillId="0" borderId="60" applyProtection="0">
      <alignment vertical="top" wrapText="1"/>
    </xf>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167" fontId="43" fillId="0" borderId="60">
      <alignment horizontal="left" vertical="center" wrapText="1"/>
    </xf>
    <xf numFmtId="167" fontId="7" fillId="4" borderId="59">
      <alignment horizontal="center"/>
      <protection locked="0"/>
    </xf>
    <xf numFmtId="167" fontId="7" fillId="4" borderId="59">
      <alignment horizontal="center"/>
      <protection locked="0"/>
    </xf>
    <xf numFmtId="167" fontId="45" fillId="41" borderId="58" applyNumberFormat="0" applyAlignment="0"/>
    <xf numFmtId="0" fontId="9" fillId="0" borderId="60" applyProtection="0">
      <alignment vertical="top" wrapText="1"/>
    </xf>
    <xf numFmtId="10" fontId="39" fillId="39" borderId="60" applyNumberFormat="0" applyBorder="0" applyAlignment="0" applyProtection="0"/>
    <xf numFmtId="167" fontId="43" fillId="0" borderId="60">
      <alignment horizontal="left" vertical="center" wrapText="1"/>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43" fillId="0" borderId="70">
      <alignment horizontal="left" vertical="center" wrapText="1"/>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43" fillId="0" borderId="70">
      <alignment horizontal="left" vertical="center" wrapText="1"/>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43" fillId="0" borderId="70">
      <alignment horizontal="left" vertical="center" wrapText="1"/>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67" fontId="7" fillId="4" borderId="68">
      <alignment horizontal="center"/>
      <protection locked="0"/>
    </xf>
    <xf numFmtId="10" fontId="39" fillId="39" borderId="70" applyNumberFormat="0" applyBorder="0" applyAlignment="0" applyProtection="0"/>
    <xf numFmtId="167" fontId="7" fillId="4" borderId="68">
      <alignment horizontal="center"/>
      <protection locked="0"/>
    </xf>
    <xf numFmtId="0" fontId="9" fillId="0" borderId="70" applyProtection="0">
      <alignment vertical="top" wrapText="1"/>
    </xf>
    <xf numFmtId="167" fontId="7" fillId="4" borderId="68">
      <alignment horizontal="center"/>
      <protection locked="0"/>
    </xf>
    <xf numFmtId="10" fontId="39" fillId="39" borderId="70" applyNumberFormat="0" applyBorder="0" applyAlignment="0" applyProtection="0"/>
    <xf numFmtId="10" fontId="39" fillId="39" borderId="70" applyNumberFormat="0" applyBorder="0" applyAlignment="0" applyProtection="0"/>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0" fontId="39" fillId="39" borderId="70" applyNumberFormat="0" applyBorder="0" applyAlignment="0" applyProtection="0"/>
    <xf numFmtId="0" fontId="9" fillId="0" borderId="70" applyProtection="0">
      <alignment vertical="top" wrapText="1"/>
    </xf>
    <xf numFmtId="167" fontId="7" fillId="4" borderId="68">
      <alignment horizontal="center"/>
      <protection locked="0"/>
    </xf>
    <xf numFmtId="167" fontId="43" fillId="0" borderId="70">
      <alignment horizontal="left" vertical="center" wrapText="1"/>
    </xf>
    <xf numFmtId="167" fontId="43" fillId="0" borderId="70">
      <alignment horizontal="left" vertical="center" wrapText="1"/>
    </xf>
    <xf numFmtId="167" fontId="43" fillId="0" borderId="70">
      <alignment horizontal="left" vertical="center" wrapText="1"/>
    </xf>
    <xf numFmtId="10" fontId="39" fillId="39" borderId="70" applyNumberFormat="0" applyBorder="0" applyAlignment="0" applyProtection="0"/>
    <xf numFmtId="167" fontId="7" fillId="4" borderId="68">
      <alignment horizontal="center"/>
      <protection locked="0"/>
    </xf>
    <xf numFmtId="0" fontId="9" fillId="0" borderId="70" applyProtection="0">
      <alignment vertical="top" wrapText="1"/>
    </xf>
    <xf numFmtId="167" fontId="43" fillId="0" borderId="70">
      <alignment horizontal="left" vertical="center" wrapText="1"/>
    </xf>
    <xf numFmtId="0" fontId="9" fillId="0" borderId="70" applyProtection="0">
      <alignment vertical="top" wrapText="1"/>
    </xf>
    <xf numFmtId="10" fontId="39" fillId="39" borderId="70" applyNumberFormat="0" applyBorder="0" applyAlignment="0" applyProtection="0"/>
    <xf numFmtId="0" fontId="9" fillId="0" borderId="70" applyProtection="0">
      <alignment vertical="top"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67" fontId="7" fillId="4" borderId="68">
      <alignment horizontal="center"/>
      <protection locked="0"/>
    </xf>
    <xf numFmtId="0" fontId="9" fillId="0" borderId="70" applyProtection="0">
      <alignment vertical="top"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43" fillId="0" borderId="70">
      <alignment horizontal="left" vertical="center" wrapText="1"/>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43" fillId="0" borderId="70">
      <alignment horizontal="left" vertical="center" wrapText="1"/>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67" fontId="7" fillId="4" borderId="68">
      <alignment horizontal="center"/>
      <protection locked="0"/>
    </xf>
    <xf numFmtId="10" fontId="39" fillId="39" borderId="70" applyNumberFormat="0" applyBorder="0" applyAlignment="0" applyProtection="0"/>
    <xf numFmtId="167" fontId="7" fillId="4" borderId="68">
      <alignment horizontal="center"/>
      <protection locked="0"/>
    </xf>
    <xf numFmtId="0" fontId="9" fillId="0" borderId="70" applyProtection="0">
      <alignment vertical="top" wrapText="1"/>
    </xf>
    <xf numFmtId="167" fontId="7" fillId="4" borderId="68">
      <alignment horizontal="center"/>
      <protection locked="0"/>
    </xf>
    <xf numFmtId="10" fontId="39" fillId="39" borderId="70" applyNumberFormat="0" applyBorder="0" applyAlignment="0" applyProtection="0"/>
    <xf numFmtId="10" fontId="39" fillId="39" borderId="70" applyNumberFormat="0" applyBorder="0" applyAlignment="0" applyProtection="0"/>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0" fontId="39" fillId="39" borderId="70" applyNumberFormat="0" applyBorder="0" applyAlignment="0" applyProtection="0"/>
    <xf numFmtId="0" fontId="9" fillId="0" borderId="70" applyProtection="0">
      <alignment vertical="top" wrapText="1"/>
    </xf>
    <xf numFmtId="167" fontId="7" fillId="4" borderId="68">
      <alignment horizontal="center"/>
      <protection locked="0"/>
    </xf>
    <xf numFmtId="167" fontId="43" fillId="0" borderId="70">
      <alignment horizontal="left" vertical="center" wrapText="1"/>
    </xf>
    <xf numFmtId="167" fontId="43" fillId="0" borderId="70">
      <alignment horizontal="left" vertical="center" wrapText="1"/>
    </xf>
    <xf numFmtId="167" fontId="43" fillId="0" borderId="70">
      <alignment horizontal="left" vertical="center" wrapText="1"/>
    </xf>
    <xf numFmtId="10" fontId="39" fillId="39" borderId="70" applyNumberFormat="0" applyBorder="0" applyAlignment="0" applyProtection="0"/>
    <xf numFmtId="167" fontId="7" fillId="4" borderId="68">
      <alignment horizontal="center"/>
      <protection locked="0"/>
    </xf>
    <xf numFmtId="0" fontId="9" fillId="0" borderId="70" applyProtection="0">
      <alignment vertical="top" wrapText="1"/>
    </xf>
    <xf numFmtId="167" fontId="43" fillId="0" borderId="70">
      <alignment horizontal="left" vertical="center" wrapText="1"/>
    </xf>
    <xf numFmtId="0" fontId="9" fillId="0" borderId="70" applyProtection="0">
      <alignment vertical="top" wrapText="1"/>
    </xf>
    <xf numFmtId="10" fontId="39" fillId="39" borderId="70" applyNumberFormat="0" applyBorder="0" applyAlignment="0" applyProtection="0"/>
    <xf numFmtId="0" fontId="9" fillId="0" borderId="70" applyProtection="0">
      <alignment vertical="top"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67" fontId="7" fillId="4" borderId="68">
      <alignment horizontal="center"/>
      <protection locked="0"/>
    </xf>
    <xf numFmtId="0" fontId="9" fillId="0" borderId="70" applyProtection="0">
      <alignment vertical="top"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0" fontId="39" fillId="39" borderId="70" applyNumberFormat="0" applyBorder="0" applyAlignment="0" applyProtection="0"/>
    <xf numFmtId="0" fontId="9" fillId="0" borderId="70" applyProtection="0">
      <alignment vertical="top"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67" fontId="7" fillId="4" borderId="68">
      <alignment horizontal="center"/>
      <protection locked="0"/>
    </xf>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0" fontId="39" fillId="39" borderId="70" applyNumberFormat="0" applyBorder="0" applyAlignment="0" applyProtection="0"/>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67" fontId="7" fillId="4" borderId="68">
      <alignment horizontal="center"/>
      <protection locked="0"/>
    </xf>
    <xf numFmtId="10" fontId="39" fillId="39" borderId="70" applyNumberFormat="0" applyBorder="0" applyAlignment="0" applyProtection="0"/>
    <xf numFmtId="167" fontId="7" fillId="4" borderId="68">
      <alignment horizontal="center"/>
      <protection locked="0"/>
    </xf>
    <xf numFmtId="0" fontId="9" fillId="0" borderId="70" applyProtection="0">
      <alignment vertical="top" wrapText="1"/>
    </xf>
    <xf numFmtId="167" fontId="7" fillId="4" borderId="68">
      <alignment horizontal="center"/>
      <protection locked="0"/>
    </xf>
    <xf numFmtId="10" fontId="39" fillId="39" borderId="70" applyNumberFormat="0" applyBorder="0" applyAlignment="0" applyProtection="0"/>
    <xf numFmtId="10" fontId="39" fillId="39" borderId="70" applyNumberFormat="0" applyBorder="0" applyAlignment="0" applyProtection="0"/>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0" fontId="39" fillId="39" borderId="70" applyNumberFormat="0" applyBorder="0" applyAlignment="0" applyProtection="0"/>
    <xf numFmtId="0" fontId="9" fillId="0" borderId="70" applyProtection="0">
      <alignment vertical="top" wrapText="1"/>
    </xf>
    <xf numFmtId="167" fontId="7" fillId="4" borderId="68">
      <alignment horizontal="center"/>
      <protection locked="0"/>
    </xf>
    <xf numFmtId="167" fontId="43" fillId="0" borderId="70">
      <alignment horizontal="left" vertical="center" wrapText="1"/>
    </xf>
    <xf numFmtId="167" fontId="43" fillId="0" borderId="70">
      <alignment horizontal="left" vertical="center" wrapText="1"/>
    </xf>
    <xf numFmtId="167" fontId="43" fillId="0" borderId="70">
      <alignment horizontal="left" vertical="center" wrapText="1"/>
    </xf>
    <xf numFmtId="10" fontId="39" fillId="39" borderId="70" applyNumberFormat="0" applyBorder="0" applyAlignment="0" applyProtection="0"/>
    <xf numFmtId="167" fontId="7" fillId="4" borderId="68">
      <alignment horizontal="center"/>
      <protection locked="0"/>
    </xf>
    <xf numFmtId="0" fontId="9" fillId="0" borderId="70" applyProtection="0">
      <alignment vertical="top" wrapText="1"/>
    </xf>
    <xf numFmtId="167" fontId="43" fillId="0" borderId="70">
      <alignment horizontal="left" vertical="center" wrapText="1"/>
    </xf>
    <xf numFmtId="0" fontId="9" fillId="0" borderId="70" applyProtection="0">
      <alignment vertical="top" wrapText="1"/>
    </xf>
    <xf numFmtId="10" fontId="39" fillId="39" borderId="70" applyNumberFormat="0" applyBorder="0" applyAlignment="0" applyProtection="0"/>
    <xf numFmtId="0" fontId="9" fillId="0" borderId="70" applyProtection="0">
      <alignment vertical="top"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167" fontId="7" fillId="4" borderId="68">
      <alignment horizontal="center"/>
      <protection locked="0"/>
    </xf>
    <xf numFmtId="0" fontId="9" fillId="0" borderId="70" applyProtection="0">
      <alignment vertical="top" wrapText="1"/>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0" fontId="39" fillId="39" borderId="70" applyNumberFormat="0" applyBorder="0" applyAlignment="0" applyProtection="0"/>
    <xf numFmtId="0" fontId="9" fillId="0" borderId="70" applyProtection="0">
      <alignment vertical="top" wrapText="1"/>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167" fontId="43" fillId="0" borderId="70">
      <alignment horizontal="left" vertical="center" wrapText="1"/>
    </xf>
    <xf numFmtId="167" fontId="7" fillId="4" borderId="68">
      <alignment horizontal="center"/>
      <protection locked="0"/>
    </xf>
    <xf numFmtId="167" fontId="7" fillId="4" borderId="68">
      <alignment horizontal="center"/>
      <protection locked="0"/>
    </xf>
    <xf numFmtId="0" fontId="9" fillId="0" borderId="70" applyProtection="0">
      <alignment vertical="top" wrapText="1"/>
    </xf>
    <xf numFmtId="10" fontId="39" fillId="39" borderId="70" applyNumberFormat="0" applyBorder="0" applyAlignment="0" applyProtection="0"/>
    <xf numFmtId="167" fontId="43" fillId="0" borderId="70">
      <alignment horizontal="left" vertical="center" wrapText="1"/>
    </xf>
    <xf numFmtId="0" fontId="7" fillId="0" borderId="0"/>
    <xf numFmtId="44" fontId="7" fillId="0" borderId="0" applyFont="0" applyFill="0" applyBorder="0" applyAlignment="0" applyProtection="0"/>
    <xf numFmtId="0" fontId="1" fillId="0" borderId="0"/>
    <xf numFmtId="0" fontId="1"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167" fontId="43" fillId="0" borderId="70">
      <alignment horizontal="left" vertical="center" wrapText="1"/>
    </xf>
    <xf numFmtId="10" fontId="39" fillId="39" borderId="70" applyNumberFormat="0" applyBorder="0" applyAlignment="0" applyProtection="0"/>
    <xf numFmtId="0" fontId="9" fillId="0" borderId="70" applyProtection="0">
      <alignment vertical="top" wrapText="1"/>
    </xf>
    <xf numFmtId="167" fontId="7" fillId="4" borderId="36">
      <alignment horizontal="center"/>
      <protection locked="0"/>
    </xf>
    <xf numFmtId="167" fontId="43" fillId="0" borderId="38">
      <alignment horizontal="left" vertical="center" wrapText="1"/>
    </xf>
    <xf numFmtId="167" fontId="43" fillId="0" borderId="38">
      <alignment horizontal="left" vertical="center" wrapText="1"/>
    </xf>
    <xf numFmtId="10" fontId="39" fillId="39" borderId="38" applyNumberFormat="0" applyBorder="0" applyAlignment="0" applyProtection="0"/>
    <xf numFmtId="167" fontId="7" fillId="4" borderId="36">
      <alignment horizontal="center"/>
      <protection locked="0"/>
    </xf>
    <xf numFmtId="167" fontId="7" fillId="4" borderId="36">
      <alignment horizontal="center"/>
      <protection locked="0"/>
    </xf>
    <xf numFmtId="167" fontId="7" fillId="4" borderId="36">
      <alignment horizontal="center"/>
      <protection locked="0"/>
    </xf>
    <xf numFmtId="0" fontId="9" fillId="0" borderId="38" applyProtection="0">
      <alignment vertical="top" wrapText="1"/>
    </xf>
    <xf numFmtId="167" fontId="45" fillId="41" borderId="37" applyNumberFormat="0" applyAlignment="0"/>
    <xf numFmtId="167" fontId="43" fillId="0" borderId="38">
      <alignment horizontal="left" vertical="center" wrapText="1"/>
    </xf>
    <xf numFmtId="167" fontId="43" fillId="0" borderId="38">
      <alignment horizontal="left" vertical="center" wrapText="1"/>
    </xf>
    <xf numFmtId="167" fontId="7" fillId="4" borderId="36">
      <alignment horizontal="center"/>
      <protection locked="0"/>
    </xf>
    <xf numFmtId="167" fontId="7" fillId="4" borderId="36">
      <alignment horizontal="center"/>
      <protection locked="0"/>
    </xf>
    <xf numFmtId="167" fontId="7" fillId="4" borderId="36">
      <alignment horizontal="center"/>
      <protection locked="0"/>
    </xf>
    <xf numFmtId="167" fontId="7" fillId="4" borderId="36">
      <alignment horizontal="center"/>
      <protection locked="0"/>
    </xf>
    <xf numFmtId="167" fontId="45" fillId="41" borderId="37" applyNumberFormat="0" applyAlignment="0"/>
    <xf numFmtId="0" fontId="9" fillId="0" borderId="38" applyProtection="0">
      <alignment vertical="top" wrapText="1"/>
    </xf>
    <xf numFmtId="0" fontId="9" fillId="0" borderId="38" applyProtection="0">
      <alignment vertical="top" wrapText="1"/>
    </xf>
    <xf numFmtId="10" fontId="39" fillId="39" borderId="38" applyNumberFormat="0" applyBorder="0" applyAlignment="0" applyProtection="0"/>
    <xf numFmtId="10" fontId="39" fillId="39" borderId="38" applyNumberFormat="0" applyBorder="0" applyAlignment="0" applyProtection="0"/>
    <xf numFmtId="167" fontId="7" fillId="4" borderId="36">
      <alignment horizontal="center"/>
      <protection locked="0"/>
    </xf>
    <xf numFmtId="167" fontId="45" fillId="41" borderId="37" applyNumberFormat="0" applyAlignment="0"/>
    <xf numFmtId="167" fontId="45" fillId="41" borderId="37" applyNumberFormat="0" applyAlignment="0"/>
    <xf numFmtId="10" fontId="39" fillId="39" borderId="38" applyNumberFormat="0" applyBorder="0" applyAlignment="0" applyProtection="0"/>
    <xf numFmtId="167" fontId="7" fillId="4" borderId="36">
      <alignment horizontal="center"/>
      <protection locked="0"/>
    </xf>
    <xf numFmtId="0" fontId="9" fillId="0" borderId="38" applyProtection="0">
      <alignment vertical="top" wrapText="1"/>
    </xf>
    <xf numFmtId="167" fontId="45" fillId="41" borderId="37" applyNumberFormat="0" applyAlignment="0"/>
    <xf numFmtId="167" fontId="7" fillId="4" borderId="36">
      <alignment horizontal="center"/>
      <protection locked="0"/>
    </xf>
    <xf numFmtId="167" fontId="45" fillId="41" borderId="37" applyNumberFormat="0" applyAlignment="0"/>
    <xf numFmtId="0" fontId="9" fillId="0" borderId="38" applyProtection="0">
      <alignment vertical="top" wrapText="1"/>
    </xf>
    <xf numFmtId="167" fontId="7" fillId="4" borderId="36">
      <alignment horizontal="center"/>
      <protection locked="0"/>
    </xf>
    <xf numFmtId="167" fontId="43" fillId="0" borderId="38">
      <alignment horizontal="left" vertical="center" wrapText="1"/>
    </xf>
    <xf numFmtId="167" fontId="7" fillId="4" borderId="36">
      <alignment horizontal="center"/>
      <protection locked="0"/>
    </xf>
    <xf numFmtId="0" fontId="9" fillId="0" borderId="38" applyProtection="0">
      <alignment vertical="top" wrapText="1"/>
    </xf>
    <xf numFmtId="167" fontId="45" fillId="41" borderId="37" applyNumberFormat="0" applyAlignment="0"/>
    <xf numFmtId="10" fontId="39" fillId="39" borderId="38" applyNumberFormat="0" applyBorder="0" applyAlignment="0" applyProtection="0"/>
    <xf numFmtId="167" fontId="7" fillId="4" borderId="36">
      <alignment horizontal="center"/>
      <protection locked="0"/>
    </xf>
    <xf numFmtId="167" fontId="7" fillId="4" borderId="36">
      <alignment horizontal="center"/>
      <protection locked="0"/>
    </xf>
    <xf numFmtId="167" fontId="7" fillId="4" borderId="36">
      <alignment horizontal="center"/>
      <protection locked="0"/>
    </xf>
    <xf numFmtId="10" fontId="39" fillId="39" borderId="38" applyNumberFormat="0" applyBorder="0" applyAlignment="0" applyProtection="0"/>
    <xf numFmtId="167" fontId="43" fillId="0" borderId="38">
      <alignment horizontal="left" vertical="center" wrapText="1"/>
    </xf>
    <xf numFmtId="167" fontId="45" fillId="41" borderId="37" applyNumberFormat="0" applyAlignment="0"/>
    <xf numFmtId="43" fontId="3" fillId="0" borderId="0" applyFont="0" applyFill="0" applyBorder="0" applyAlignment="0" applyProtection="0"/>
    <xf numFmtId="44" fontId="7" fillId="0" borderId="0" applyFont="0" applyFill="0" applyBorder="0" applyAlignment="0" applyProtection="0"/>
    <xf numFmtId="0" fontId="7" fillId="0" borderId="0"/>
    <xf numFmtId="43" fontId="7"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4" fontId="7" fillId="0" borderId="0" applyFont="0" applyFill="0" applyBorder="0" applyAlignment="0" applyProtection="0"/>
    <xf numFmtId="0" fontId="68" fillId="0" borderId="0"/>
    <xf numFmtId="0" fontId="81" fillId="0" borderId="0"/>
    <xf numFmtId="0" fontId="83" fillId="0" borderId="0"/>
    <xf numFmtId="43" fontId="83" fillId="0" borderId="0" applyFont="0" applyFill="0" applyBorder="0" applyAlignment="0" applyProtection="0"/>
    <xf numFmtId="0" fontId="84" fillId="0" borderId="0"/>
  </cellStyleXfs>
  <cellXfs count="423">
    <xf numFmtId="0" fontId="0" fillId="0" borderId="0" xfId="0"/>
    <xf numFmtId="164" fontId="4" fillId="0" borderId="0" xfId="0" applyNumberFormat="1" applyFont="1" applyBorder="1"/>
    <xf numFmtId="164" fontId="8" fillId="0" borderId="0" xfId="0" applyNumberFormat="1" applyFont="1" applyBorder="1"/>
    <xf numFmtId="164" fontId="0" fillId="0" borderId="0" xfId="0" applyNumberFormat="1"/>
    <xf numFmtId="0" fontId="16" fillId="0" borderId="0" xfId="0" applyFont="1" applyBorder="1"/>
    <xf numFmtId="0" fontId="16" fillId="6" borderId="21" xfId="0" applyFont="1" applyFill="1" applyBorder="1" applyAlignment="1">
      <alignment horizontal="center" vertical="center" wrapText="1"/>
    </xf>
    <xf numFmtId="14" fontId="16" fillId="0" borderId="22" xfId="0" applyNumberFormat="1" applyFont="1" applyBorder="1" applyAlignment="1">
      <alignment horizontal="center" vertical="center" wrapText="1"/>
    </xf>
    <xf numFmtId="0" fontId="18" fillId="0" borderId="22" xfId="0" applyFont="1" applyBorder="1" applyAlignment="1">
      <alignment vertical="center" wrapText="1"/>
    </xf>
    <xf numFmtId="0" fontId="17" fillId="5" borderId="22" xfId="0" applyFont="1" applyFill="1" applyBorder="1" applyAlignment="1">
      <alignment vertical="center" wrapText="1"/>
    </xf>
    <xf numFmtId="44" fontId="16" fillId="0" borderId="0" xfId="1" applyFont="1"/>
    <xf numFmtId="0" fontId="17" fillId="5" borderId="22" xfId="0" applyFont="1" applyFill="1" applyBorder="1" applyAlignment="1">
      <alignment horizontal="center" vertical="center" wrapText="1"/>
    </xf>
    <xf numFmtId="0" fontId="0" fillId="0" borderId="0" xfId="0" applyAlignment="1">
      <alignment vertical="top" wrapText="1"/>
    </xf>
    <xf numFmtId="0" fontId="0" fillId="0" borderId="0" xfId="0"/>
    <xf numFmtId="166" fontId="17" fillId="0" borderId="0" xfId="0" applyNumberFormat="1" applyFont="1"/>
    <xf numFmtId="44" fontId="19" fillId="0" borderId="0" xfId="1" applyFont="1"/>
    <xf numFmtId="2" fontId="19" fillId="0" borderId="0" xfId="0" applyNumberFormat="1" applyFont="1"/>
    <xf numFmtId="166" fontId="19" fillId="0" borderId="0" xfId="0" applyNumberFormat="1" applyFont="1"/>
    <xf numFmtId="0" fontId="17" fillId="0" borderId="0" xfId="0" applyFont="1" applyAlignment="1">
      <alignment horizontal="right"/>
    </xf>
    <xf numFmtId="2" fontId="16" fillId="0" borderId="0" xfId="0" applyNumberFormat="1" applyFont="1" applyBorder="1" applyAlignment="1"/>
    <xf numFmtId="0" fontId="4" fillId="42" borderId="0" xfId="0" applyFont="1" applyFill="1" applyAlignment="1">
      <alignment horizontal="center"/>
    </xf>
    <xf numFmtId="44" fontId="4" fillId="0" borderId="0" xfId="1" applyFont="1"/>
    <xf numFmtId="0" fontId="8" fillId="0" borderId="0" xfId="0" applyFont="1"/>
    <xf numFmtId="0" fontId="4" fillId="0" borderId="0" xfId="0" applyFont="1"/>
    <xf numFmtId="0" fontId="4" fillId="0" borderId="0" xfId="0" applyFont="1" applyBorder="1"/>
    <xf numFmtId="0" fontId="8" fillId="0" borderId="0" xfId="0" applyFont="1" applyBorder="1"/>
    <xf numFmtId="0" fontId="20" fillId="0" borderId="0" xfId="0" applyFont="1" applyAlignment="1">
      <alignment horizontal="right"/>
    </xf>
    <xf numFmtId="2" fontId="16" fillId="0" borderId="0" xfId="0" applyNumberFormat="1" applyFont="1"/>
    <xf numFmtId="166" fontId="16" fillId="0" borderId="0" xfId="0" applyNumberFormat="1" applyFont="1"/>
    <xf numFmtId="2" fontId="16" fillId="0" borderId="0" xfId="0" applyNumberFormat="1" applyFont="1" applyBorder="1"/>
    <xf numFmtId="0" fontId="16" fillId="42" borderId="0" xfId="0" applyFont="1" applyFill="1"/>
    <xf numFmtId="0" fontId="16" fillId="42" borderId="23" xfId="0" applyFont="1" applyFill="1" applyBorder="1" applyAlignment="1">
      <alignment vertical="center"/>
    </xf>
    <xf numFmtId="0" fontId="16" fillId="42" borderId="22" xfId="0" applyFont="1" applyFill="1" applyBorder="1" applyAlignment="1">
      <alignment vertical="center"/>
    </xf>
    <xf numFmtId="0" fontId="16" fillId="42" borderId="22" xfId="0" applyFont="1" applyFill="1" applyBorder="1" applyAlignment="1">
      <alignment horizontal="center" vertical="center"/>
    </xf>
    <xf numFmtId="0" fontId="16" fillId="42" borderId="22" xfId="0" applyFont="1" applyFill="1" applyBorder="1" applyAlignment="1">
      <alignment vertical="center" wrapText="1"/>
    </xf>
    <xf numFmtId="166" fontId="20" fillId="0" borderId="0" xfId="0" applyNumberFormat="1" applyFont="1"/>
    <xf numFmtId="0" fontId="19" fillId="0" borderId="0" xfId="0" applyFont="1" applyAlignment="1">
      <alignment vertical="top" wrapText="1"/>
    </xf>
    <xf numFmtId="0" fontId="23" fillId="0" borderId="0" xfId="0" applyFont="1" applyAlignment="1">
      <alignment horizontal="center"/>
    </xf>
    <xf numFmtId="164" fontId="16" fillId="0" borderId="0" xfId="0" applyNumberFormat="1" applyFont="1"/>
    <xf numFmtId="0" fontId="16" fillId="0" borderId="0" xfId="0" applyFont="1"/>
    <xf numFmtId="0" fontId="4" fillId="0" borderId="0" xfId="0" applyFont="1" applyAlignment="1">
      <alignment horizontal="center"/>
    </xf>
    <xf numFmtId="44" fontId="4" fillId="42" borderId="0" xfId="1" applyFont="1" applyFill="1"/>
    <xf numFmtId="0" fontId="19" fillId="0" borderId="0" xfId="0" applyFont="1"/>
    <xf numFmtId="0" fontId="4" fillId="0" borderId="0" xfId="0" applyFont="1" applyAlignment="1">
      <alignment wrapText="1"/>
    </xf>
    <xf numFmtId="0" fontId="0" fillId="0" borderId="0" xfId="0"/>
    <xf numFmtId="0" fontId="19" fillId="0" borderId="0" xfId="0" applyFont="1" applyAlignment="1">
      <alignment horizontal="center"/>
    </xf>
    <xf numFmtId="0" fontId="8" fillId="0" borderId="0" xfId="0" applyFont="1" applyAlignment="1">
      <alignment horizontal="center"/>
    </xf>
    <xf numFmtId="0" fontId="8" fillId="0" borderId="0" xfId="0" applyFont="1" applyAlignment="1">
      <alignment horizontal="right"/>
    </xf>
    <xf numFmtId="0" fontId="8" fillId="0" borderId="0" xfId="0" applyFont="1" applyAlignment="1">
      <alignment horizontal="center" vertical="center"/>
    </xf>
    <xf numFmtId="0" fontId="8" fillId="0" borderId="0" xfId="0" applyFont="1" applyFill="1"/>
    <xf numFmtId="0" fontId="8" fillId="0" borderId="0" xfId="0" applyFont="1" applyFill="1" applyAlignment="1">
      <alignment horizontal="center" vertical="center"/>
    </xf>
    <xf numFmtId="3" fontId="8" fillId="0" borderId="0" xfId="0" applyNumberFormat="1" applyFont="1" applyFill="1" applyAlignment="1">
      <alignment horizontal="center" vertical="center"/>
    </xf>
    <xf numFmtId="0" fontId="8" fillId="0" borderId="30" xfId="0" applyFont="1" applyBorder="1"/>
    <xf numFmtId="0" fontId="8" fillId="0" borderId="31" xfId="0" applyFont="1" applyBorder="1" applyAlignment="1">
      <alignment horizontal="center"/>
    </xf>
    <xf numFmtId="0" fontId="8" fillId="0" borderId="28" xfId="0" applyFont="1" applyBorder="1"/>
    <xf numFmtId="0" fontId="6" fillId="0" borderId="0" xfId="0" applyFont="1" applyBorder="1" applyAlignment="1">
      <alignment horizontal="center"/>
    </xf>
    <xf numFmtId="0" fontId="8" fillId="0" borderId="0" xfId="0" applyFont="1" applyBorder="1" applyAlignment="1">
      <alignment horizontal="right"/>
    </xf>
    <xf numFmtId="0" fontId="8" fillId="0" borderId="0" xfId="150" applyFont="1"/>
    <xf numFmtId="0" fontId="8" fillId="0" borderId="31" xfId="0" applyFont="1" applyBorder="1" applyAlignment="1">
      <alignment horizontal="left"/>
    </xf>
    <xf numFmtId="0" fontId="8" fillId="0" borderId="0" xfId="0" applyFont="1" applyBorder="1" applyAlignment="1">
      <alignment horizontal="left"/>
    </xf>
    <xf numFmtId="0" fontId="8" fillId="0" borderId="0" xfId="0" applyFont="1" applyBorder="1" applyAlignment="1">
      <alignment horizontal="left" wrapText="1"/>
    </xf>
    <xf numFmtId="0" fontId="6" fillId="0" borderId="0" xfId="0" applyFont="1" applyBorder="1" applyAlignment="1">
      <alignment horizontal="left"/>
    </xf>
    <xf numFmtId="0" fontId="71" fillId="0" borderId="31" xfId="0" applyFont="1" applyBorder="1" applyAlignment="1">
      <alignment horizontal="left"/>
    </xf>
    <xf numFmtId="0" fontId="71" fillId="0" borderId="0" xfId="0" applyFont="1" applyBorder="1" applyAlignment="1">
      <alignment horizontal="left"/>
    </xf>
    <xf numFmtId="0" fontId="71" fillId="0" borderId="0" xfId="0" applyFont="1" applyBorder="1" applyAlignment="1">
      <alignment horizontal="center"/>
    </xf>
    <xf numFmtId="0" fontId="8" fillId="0" borderId="29" xfId="0" applyFont="1" applyBorder="1" applyAlignment="1">
      <alignment horizontal="left"/>
    </xf>
    <xf numFmtId="0" fontId="0" fillId="0" borderId="0" xfId="0" applyFill="1"/>
    <xf numFmtId="0" fontId="16" fillId="0" borderId="23" xfId="0" applyFont="1" applyBorder="1" applyAlignment="1">
      <alignment vertical="center" wrapText="1"/>
    </xf>
    <xf numFmtId="0" fontId="16" fillId="0" borderId="23" xfId="0" applyFont="1" applyBorder="1" applyAlignment="1">
      <alignment horizontal="center" vertical="center" wrapText="1"/>
    </xf>
    <xf numFmtId="0" fontId="0" fillId="42" borderId="0" xfId="0" applyFill="1"/>
    <xf numFmtId="0" fontId="74" fillId="0" borderId="0" xfId="0" applyFont="1"/>
    <xf numFmtId="0" fontId="75" fillId="0" borderId="0" xfId="0" applyFont="1"/>
    <xf numFmtId="0" fontId="74" fillId="0" borderId="22" xfId="0" applyFont="1" applyBorder="1" applyAlignment="1">
      <alignment vertical="center" wrapText="1"/>
    </xf>
    <xf numFmtId="14" fontId="74" fillId="0" borderId="22" xfId="0" applyNumberFormat="1" applyFont="1" applyBorder="1" applyAlignment="1">
      <alignment horizontal="center" vertical="center" wrapText="1"/>
    </xf>
    <xf numFmtId="0" fontId="5" fillId="5" borderId="79" xfId="0" applyFont="1" applyFill="1" applyBorder="1" applyAlignment="1">
      <alignment horizontal="center" vertical="center" wrapText="1"/>
    </xf>
    <xf numFmtId="166" fontId="5" fillId="5" borderId="79" xfId="0" applyNumberFormat="1" applyFont="1" applyFill="1" applyBorder="1" applyAlignment="1">
      <alignment horizontal="center" vertical="center" wrapText="1"/>
    </xf>
    <xf numFmtId="44" fontId="5" fillId="5" borderId="79" xfId="1" applyFont="1" applyFill="1" applyBorder="1" applyAlignment="1">
      <alignment horizontal="center" vertical="center" wrapText="1"/>
    </xf>
    <xf numFmtId="0" fontId="17" fillId="5" borderId="79" xfId="0" applyFont="1" applyFill="1" applyBorder="1" applyAlignment="1">
      <alignment horizontal="center" vertical="center" wrapText="1"/>
    </xf>
    <xf numFmtId="0" fontId="74" fillId="0" borderId="6" xfId="0" applyFont="1" applyBorder="1" applyAlignment="1">
      <alignment vertical="center" wrapText="1"/>
    </xf>
    <xf numFmtId="0" fontId="71" fillId="0" borderId="0" xfId="0" applyFont="1" applyFill="1"/>
    <xf numFmtId="0" fontId="79" fillId="5" borderId="23" xfId="0" applyFont="1" applyFill="1" applyBorder="1" applyAlignment="1">
      <alignment horizontal="center" vertical="center" wrapText="1"/>
    </xf>
    <xf numFmtId="0" fontId="79" fillId="5" borderId="22" xfId="0" applyFont="1" applyFill="1" applyBorder="1" applyAlignment="1">
      <alignment horizontal="center" vertical="center" wrapText="1"/>
    </xf>
    <xf numFmtId="0" fontId="79" fillId="5" borderId="22" xfId="0" applyFont="1" applyFill="1" applyBorder="1" applyAlignment="1">
      <alignment vertical="center" wrapText="1"/>
    </xf>
    <xf numFmtId="0" fontId="77" fillId="0" borderId="0" xfId="0" applyFont="1" applyAlignment="1">
      <alignment horizontal="center"/>
    </xf>
    <xf numFmtId="17" fontId="74" fillId="0" borderId="22" xfId="0" applyNumberFormat="1" applyFont="1" applyBorder="1" applyAlignment="1">
      <alignment horizontal="center" vertical="center" wrapText="1"/>
    </xf>
    <xf numFmtId="2" fontId="77" fillId="0" borderId="0" xfId="0" applyNumberFormat="1" applyFont="1" applyAlignment="1">
      <alignment horizontal="center"/>
    </xf>
    <xf numFmtId="2" fontId="77" fillId="0" borderId="0" xfId="1" applyNumberFormat="1" applyFont="1" applyAlignment="1">
      <alignment horizontal="center"/>
    </xf>
    <xf numFmtId="0" fontId="16" fillId="0" borderId="0" xfId="0" applyFont="1" applyFill="1"/>
    <xf numFmtId="0" fontId="76" fillId="0" borderId="81" xfId="0" applyFont="1" applyBorder="1" applyAlignment="1">
      <alignment horizontal="left" vertical="top"/>
    </xf>
    <xf numFmtId="0" fontId="74" fillId="6" borderId="23" xfId="0" applyFont="1" applyFill="1" applyBorder="1" applyAlignment="1">
      <alignment horizontal="center" vertical="center" wrapText="1"/>
    </xf>
    <xf numFmtId="0" fontId="74" fillId="6" borderId="22" xfId="0" applyFont="1" applyFill="1" applyBorder="1" applyAlignment="1">
      <alignment vertical="center" wrapText="1"/>
    </xf>
    <xf numFmtId="0" fontId="74" fillId="6" borderId="22" xfId="0" applyFont="1" applyFill="1" applyBorder="1" applyAlignment="1">
      <alignment horizontal="center" vertical="center" wrapText="1"/>
    </xf>
    <xf numFmtId="0" fontId="16" fillId="6" borderId="0" xfId="0" applyFont="1" applyFill="1" applyBorder="1" applyAlignment="1">
      <alignment horizontal="center" vertical="center" wrapText="1"/>
    </xf>
    <xf numFmtId="0" fontId="74" fillId="6" borderId="22" xfId="0" applyFont="1" applyFill="1" applyBorder="1" applyAlignment="1">
      <alignment horizontal="right" vertical="center" wrapText="1"/>
    </xf>
    <xf numFmtId="3" fontId="74" fillId="6" borderId="22" xfId="0" applyNumberFormat="1" applyFont="1" applyFill="1" applyBorder="1" applyAlignment="1">
      <alignment horizontal="right" vertical="center" wrapText="1"/>
    </xf>
    <xf numFmtId="166" fontId="17" fillId="6" borderId="0" xfId="0" applyNumberFormat="1" applyFont="1" applyFill="1" applyBorder="1" applyAlignment="1">
      <alignment horizontal="right" vertical="center" wrapText="1"/>
    </xf>
    <xf numFmtId="44" fontId="17" fillId="6" borderId="0" xfId="0" applyNumberFormat="1" applyFont="1" applyFill="1" applyBorder="1" applyAlignment="1">
      <alignment horizontal="right" vertical="center" wrapText="1"/>
    </xf>
    <xf numFmtId="0" fontId="16" fillId="0" borderId="73" xfId="0" applyFont="1" applyBorder="1"/>
    <xf numFmtId="0" fontId="16" fillId="6" borderId="5" xfId="0" applyFont="1" applyFill="1" applyBorder="1" applyAlignment="1">
      <alignment horizontal="center" vertical="center" wrapText="1"/>
    </xf>
    <xf numFmtId="3" fontId="16" fillId="42" borderId="22" xfId="0" applyNumberFormat="1" applyFont="1" applyFill="1" applyBorder="1" applyAlignment="1">
      <alignment horizontal="right" vertical="center" wrapText="1"/>
    </xf>
    <xf numFmtId="0" fontId="16" fillId="42" borderId="21" xfId="0" applyFont="1" applyFill="1" applyBorder="1" applyAlignment="1">
      <alignment horizontal="right" vertical="center" wrapText="1"/>
    </xf>
    <xf numFmtId="0" fontId="16" fillId="42" borderId="6" xfId="0" applyFont="1" applyFill="1" applyBorder="1" applyAlignment="1">
      <alignment vertical="center" wrapText="1"/>
    </xf>
    <xf numFmtId="0" fontId="16" fillId="6" borderId="81" xfId="0" applyFont="1" applyFill="1" applyBorder="1" applyAlignment="1">
      <alignment horizontal="right" vertical="center" wrapText="1"/>
    </xf>
    <xf numFmtId="0" fontId="17" fillId="5" borderId="82" xfId="0" applyFont="1" applyFill="1" applyBorder="1" applyAlignment="1">
      <alignment vertical="center" wrapText="1"/>
    </xf>
    <xf numFmtId="44" fontId="5" fillId="5" borderId="47" xfId="1" applyFont="1" applyFill="1" applyBorder="1" applyAlignment="1">
      <alignment horizontal="center" vertical="center" wrapText="1"/>
    </xf>
    <xf numFmtId="3" fontId="16" fillId="6" borderId="81" xfId="0" applyNumberFormat="1" applyFont="1" applyFill="1" applyBorder="1" applyAlignment="1">
      <alignment vertical="center" wrapText="1"/>
    </xf>
    <xf numFmtId="0" fontId="17" fillId="6" borderId="0" xfId="0" applyFont="1" applyFill="1" applyBorder="1" applyAlignment="1">
      <alignment horizontal="right" vertical="center" wrapText="1"/>
    </xf>
    <xf numFmtId="0" fontId="74" fillId="6" borderId="21" xfId="0" applyFont="1" applyFill="1" applyBorder="1" applyAlignment="1">
      <alignment horizontal="right" vertical="center" wrapText="1"/>
    </xf>
    <xf numFmtId="0" fontId="17" fillId="42" borderId="23" xfId="0" applyFont="1" applyFill="1" applyBorder="1" applyAlignment="1">
      <alignment horizontal="center" vertical="center" wrapText="1"/>
    </xf>
    <xf numFmtId="0" fontId="17" fillId="42" borderId="22" xfId="0" applyFont="1" applyFill="1" applyBorder="1" applyAlignment="1">
      <alignment horizontal="center" vertical="center" wrapText="1"/>
    </xf>
    <xf numFmtId="0" fontId="17" fillId="42" borderId="21" xfId="0" applyFont="1" applyFill="1" applyBorder="1" applyAlignment="1">
      <alignment horizontal="center" vertical="center" wrapText="1"/>
    </xf>
    <xf numFmtId="0" fontId="74" fillId="0" borderId="0" xfId="0" applyFont="1" applyFill="1"/>
    <xf numFmtId="0" fontId="75" fillId="0" borderId="0" xfId="0" applyFont="1" applyFill="1"/>
    <xf numFmtId="0" fontId="79" fillId="0" borderId="23" xfId="0" applyFont="1" applyFill="1" applyBorder="1" applyAlignment="1">
      <alignment horizontal="center" vertical="center" wrapText="1"/>
    </xf>
    <xf numFmtId="0" fontId="79" fillId="0" borderId="22" xfId="0" applyFont="1" applyFill="1" applyBorder="1" applyAlignment="1">
      <alignment horizontal="center" vertical="center" wrapText="1"/>
    </xf>
    <xf numFmtId="0" fontId="79" fillId="0" borderId="22" xfId="0" applyFont="1" applyFill="1" applyBorder="1" applyAlignment="1">
      <alignment horizontal="center" vertical="top" wrapText="1"/>
    </xf>
    <xf numFmtId="0" fontId="74" fillId="0" borderId="0" xfId="0" applyFont="1" applyFill="1" applyAlignment="1">
      <alignment horizontal="center"/>
    </xf>
    <xf numFmtId="0" fontId="74" fillId="0" borderId="22" xfId="0" applyFont="1" applyFill="1" applyBorder="1" applyAlignment="1">
      <alignment vertical="center" wrapText="1"/>
    </xf>
    <xf numFmtId="0" fontId="17" fillId="42" borderId="0" xfId="0" applyFont="1" applyFill="1"/>
    <xf numFmtId="44" fontId="17" fillId="42" borderId="0" xfId="0" applyNumberFormat="1" applyFont="1" applyFill="1"/>
    <xf numFmtId="0" fontId="79" fillId="0" borderId="0" xfId="0" applyFont="1" applyFill="1"/>
    <xf numFmtId="44" fontId="79" fillId="0" borderId="0" xfId="0" applyNumberFormat="1" applyFont="1" applyFill="1"/>
    <xf numFmtId="0" fontId="6" fillId="2" borderId="73" xfId="0" applyFont="1" applyFill="1" applyBorder="1" applyAlignment="1">
      <alignment horizontal="center" wrapText="1"/>
    </xf>
    <xf numFmtId="0" fontId="6" fillId="2" borderId="73" xfId="0" applyFont="1" applyFill="1" applyBorder="1" applyAlignment="1">
      <alignment horizontal="center"/>
    </xf>
    <xf numFmtId="0" fontId="6" fillId="0" borderId="78" xfId="0" applyFont="1" applyFill="1" applyBorder="1" applyAlignment="1">
      <alignment horizontal="center"/>
    </xf>
    <xf numFmtId="0" fontId="6" fillId="0" borderId="75" xfId="0" applyFont="1" applyFill="1" applyBorder="1" applyAlignment="1">
      <alignment horizontal="center"/>
    </xf>
    <xf numFmtId="0" fontId="4" fillId="0" borderId="0" xfId="0" applyFont="1" applyFill="1"/>
    <xf numFmtId="0" fontId="6" fillId="2" borderId="48" xfId="0" applyFont="1" applyFill="1" applyBorder="1" applyAlignment="1">
      <alignment horizontal="center" wrapText="1"/>
    </xf>
    <xf numFmtId="0" fontId="8" fillId="0" borderId="48" xfId="0" applyFont="1" applyFill="1" applyBorder="1"/>
    <xf numFmtId="0" fontId="8" fillId="0" borderId="48" xfId="0" applyFont="1" applyBorder="1" applyAlignment="1"/>
    <xf numFmtId="0" fontId="8" fillId="0" borderId="48" xfId="0" applyFont="1" applyFill="1" applyBorder="1" applyAlignment="1"/>
    <xf numFmtId="0" fontId="8" fillId="0" borderId="48" xfId="0" applyFont="1" applyFill="1" applyBorder="1" applyAlignment="1">
      <alignment horizontal="center"/>
    </xf>
    <xf numFmtId="0" fontId="8" fillId="0" borderId="48" xfId="0" applyFont="1" applyBorder="1" applyAlignment="1">
      <alignment horizontal="center"/>
    </xf>
    <xf numFmtId="0" fontId="8" fillId="0" borderId="48" xfId="0" applyFont="1" applyBorder="1"/>
    <xf numFmtId="0" fontId="4" fillId="0" borderId="48" xfId="0" applyFont="1" applyFill="1" applyBorder="1" applyAlignment="1">
      <alignment horizontal="center"/>
    </xf>
    <xf numFmtId="0" fontId="8" fillId="0" borderId="48" xfId="0" applyFont="1" applyFill="1" applyBorder="1" applyAlignment="1">
      <alignment horizontal="left"/>
    </xf>
    <xf numFmtId="49" fontId="8" fillId="0" borderId="48" xfId="0" applyNumberFormat="1" applyFont="1" applyFill="1" applyBorder="1" applyAlignment="1">
      <alignment horizontal="center"/>
    </xf>
    <xf numFmtId="3" fontId="8" fillId="0" borderId="48" xfId="0" applyNumberFormat="1" applyFont="1" applyFill="1" applyBorder="1" applyAlignment="1">
      <alignment horizontal="center"/>
    </xf>
    <xf numFmtId="44" fontId="8" fillId="0" borderId="48" xfId="1" applyFont="1" applyFill="1" applyBorder="1"/>
    <xf numFmtId="0" fontId="6" fillId="2" borderId="48" xfId="0" applyFont="1" applyFill="1" applyBorder="1"/>
    <xf numFmtId="0" fontId="8" fillId="0" borderId="48" xfId="0" applyFont="1" applyBorder="1" applyAlignment="1">
      <alignment horizontal="left"/>
    </xf>
    <xf numFmtId="0" fontId="8" fillId="0" borderId="48" xfId="0" applyFont="1" applyBorder="1" applyAlignment="1">
      <alignment horizontal="left" indent="4"/>
    </xf>
    <xf numFmtId="165" fontId="5" fillId="5" borderId="48" xfId="0" applyNumberFormat="1" applyFont="1" applyFill="1" applyBorder="1" applyAlignment="1">
      <alignment horizontal="center" vertical="center" wrapText="1"/>
    </xf>
    <xf numFmtId="0" fontId="16" fillId="0" borderId="48" xfId="0" applyFont="1" applyBorder="1"/>
    <xf numFmtId="44" fontId="16" fillId="0" borderId="48" xfId="0" applyNumberFormat="1" applyFont="1" applyBorder="1"/>
    <xf numFmtId="166" fontId="16" fillId="0" borderId="48" xfId="0" applyNumberFormat="1" applyFont="1" applyBorder="1"/>
    <xf numFmtId="166" fontId="5" fillId="5" borderId="73" xfId="0" applyNumberFormat="1" applyFont="1" applyFill="1" applyBorder="1" applyAlignment="1">
      <alignment horizontal="center" vertical="center" wrapText="1"/>
    </xf>
    <xf numFmtId="0" fontId="5" fillId="5" borderId="48" xfId="1" applyNumberFormat="1" applyFont="1" applyFill="1" applyBorder="1" applyAlignment="1">
      <alignment horizontal="center" vertical="center" wrapText="1"/>
    </xf>
    <xf numFmtId="0" fontId="5" fillId="5" borderId="72" xfId="0" applyFont="1" applyFill="1" applyBorder="1" applyAlignment="1">
      <alignment horizontal="center" vertical="center" wrapText="1"/>
    </xf>
    <xf numFmtId="0" fontId="74" fillId="0" borderId="48" xfId="0" applyFont="1" applyBorder="1"/>
    <xf numFmtId="0" fontId="4" fillId="0" borderId="48" xfId="0" applyFont="1" applyBorder="1"/>
    <xf numFmtId="0" fontId="78" fillId="2" borderId="48" xfId="0" applyFont="1" applyFill="1" applyBorder="1" applyAlignment="1">
      <alignment horizontal="center" vertical="center" wrapText="1"/>
    </xf>
    <xf numFmtId="44" fontId="78" fillId="2" borderId="48" xfId="1" applyFont="1" applyFill="1" applyBorder="1" applyAlignment="1">
      <alignment horizontal="center" vertical="center" wrapText="1"/>
    </xf>
    <xf numFmtId="44" fontId="70" fillId="0" borderId="48" xfId="1" applyFont="1" applyBorder="1"/>
    <xf numFmtId="0" fontId="16" fillId="0" borderId="48" xfId="0" applyFont="1" applyBorder="1" applyAlignment="1">
      <alignment horizontal="center"/>
    </xf>
    <xf numFmtId="0" fontId="74" fillId="6" borderId="48" xfId="0" applyFont="1" applyFill="1" applyBorder="1" applyAlignment="1">
      <alignment horizontal="center" vertical="center" wrapText="1"/>
    </xf>
    <xf numFmtId="0" fontId="74" fillId="0" borderId="48" xfId="0" applyFont="1" applyBorder="1" applyAlignment="1">
      <alignment horizontal="center"/>
    </xf>
    <xf numFmtId="0" fontId="16" fillId="42" borderId="48" xfId="0" applyFont="1" applyFill="1" applyBorder="1"/>
    <xf numFmtId="0" fontId="16" fillId="42" borderId="48" xfId="0" applyFont="1" applyFill="1" applyBorder="1" applyAlignment="1">
      <alignment horizontal="center"/>
    </xf>
    <xf numFmtId="0" fontId="16" fillId="42" borderId="48" xfId="0" applyFont="1" applyFill="1" applyBorder="1" applyAlignment="1">
      <alignment horizontal="right"/>
    </xf>
    <xf numFmtId="0" fontId="18" fillId="42" borderId="48" xfId="0" applyFont="1" applyFill="1" applyBorder="1" applyAlignment="1">
      <alignment horizontal="center" vertical="center" wrapText="1"/>
    </xf>
    <xf numFmtId="0" fontId="80" fillId="0" borderId="48" xfId="0" applyFont="1" applyFill="1" applyBorder="1" applyAlignment="1">
      <alignment horizontal="center" vertical="center" wrapText="1"/>
    </xf>
    <xf numFmtId="166" fontId="80" fillId="0" borderId="48" xfId="0" applyNumberFormat="1" applyFont="1" applyFill="1" applyBorder="1" applyAlignment="1">
      <alignment horizontal="center" vertical="center" wrapText="1"/>
    </xf>
    <xf numFmtId="44" fontId="80" fillId="0" borderId="48" xfId="1" applyFont="1" applyFill="1" applyBorder="1" applyAlignment="1">
      <alignment horizontal="center" vertical="center" wrapText="1"/>
    </xf>
    <xf numFmtId="0" fontId="5" fillId="42" borderId="48" xfId="0" applyFont="1" applyFill="1" applyBorder="1" applyAlignment="1">
      <alignment horizontal="center" vertical="center" wrapText="1"/>
    </xf>
    <xf numFmtId="166" fontId="5" fillId="42" borderId="48" xfId="0" applyNumberFormat="1" applyFont="1" applyFill="1" applyBorder="1" applyAlignment="1">
      <alignment horizontal="center" vertical="center" wrapText="1"/>
    </xf>
    <xf numFmtId="44" fontId="5" fillId="42" borderId="48" xfId="1" applyFont="1" applyFill="1" applyBorder="1" applyAlignment="1">
      <alignment horizontal="center" vertical="center" wrapText="1"/>
    </xf>
    <xf numFmtId="0" fontId="74" fillId="0" borderId="48" xfId="0" applyFont="1" applyFill="1" applyBorder="1"/>
    <xf numFmtId="44" fontId="16" fillId="42" borderId="48" xfId="1" applyFont="1" applyFill="1" applyBorder="1" applyAlignment="1">
      <alignment horizontal="center"/>
    </xf>
    <xf numFmtId="44" fontId="16" fillId="42" borderId="48" xfId="0" applyNumberFormat="1" applyFont="1" applyFill="1" applyBorder="1"/>
    <xf numFmtId="0" fontId="22" fillId="2" borderId="48" xfId="0" applyFont="1" applyFill="1" applyBorder="1" applyAlignment="1">
      <alignment horizontal="center" wrapText="1"/>
    </xf>
    <xf numFmtId="0" fontId="5" fillId="2" borderId="48" xfId="0" applyFont="1" applyFill="1" applyBorder="1" applyAlignment="1">
      <alignment horizontal="center"/>
    </xf>
    <xf numFmtId="164" fontId="5" fillId="2" borderId="48" xfId="0" applyNumberFormat="1" applyFont="1" applyFill="1" applyBorder="1" applyAlignment="1">
      <alignment horizontal="center" wrapText="1"/>
    </xf>
    <xf numFmtId="0" fontId="6" fillId="4" borderId="48" xfId="0" applyFont="1" applyFill="1" applyBorder="1" applyAlignment="1">
      <alignment horizontal="center" wrapText="1"/>
    </xf>
    <xf numFmtId="164" fontId="4" fillId="0" borderId="48" xfId="0" applyNumberFormat="1" applyFont="1" applyBorder="1"/>
    <xf numFmtId="164" fontId="8" fillId="0" borderId="48" xfId="0" applyNumberFormat="1" applyFont="1" applyBorder="1"/>
    <xf numFmtId="0" fontId="7" fillId="0" borderId="0" xfId="150"/>
    <xf numFmtId="0" fontId="71" fillId="0" borderId="74" xfId="293" applyFont="1" applyBorder="1" applyAlignment="1">
      <alignment horizontal="left" indent="34"/>
    </xf>
    <xf numFmtId="0" fontId="82" fillId="0" borderId="0" xfId="150" applyFont="1"/>
    <xf numFmtId="0" fontId="7" fillId="0" borderId="0" xfId="150" applyFont="1"/>
    <xf numFmtId="0" fontId="12" fillId="0" borderId="83" xfId="1828" applyFont="1" applyBorder="1" applyAlignment="1">
      <alignment vertical="center" wrapText="1"/>
    </xf>
    <xf numFmtId="0" fontId="8" fillId="0" borderId="84" xfId="150" applyFont="1" applyBorder="1" applyAlignment="1">
      <alignment horizontal="left" indent="6"/>
    </xf>
    <xf numFmtId="0" fontId="8" fillId="0" borderId="83" xfId="1828" applyFont="1" applyBorder="1" applyAlignment="1">
      <alignment vertical="center" wrapText="1"/>
    </xf>
    <xf numFmtId="0" fontId="8" fillId="0" borderId="84" xfId="150" applyFont="1" applyFill="1" applyBorder="1" applyAlignment="1">
      <alignment horizontal="left" indent="6"/>
    </xf>
    <xf numFmtId="0" fontId="8" fillId="0" borderId="84" xfId="150" applyFont="1" applyFill="1" applyBorder="1" applyAlignment="1">
      <alignment horizontal="left" indent="4"/>
    </xf>
    <xf numFmtId="0" fontId="8" fillId="0" borderId="84" xfId="150" applyFont="1" applyFill="1" applyBorder="1" applyAlignment="1">
      <alignment horizontal="left" indent="5"/>
    </xf>
    <xf numFmtId="0" fontId="8" fillId="0" borderId="84" xfId="150" applyFont="1" applyBorder="1" applyAlignment="1">
      <alignment horizontal="left" indent="4"/>
    </xf>
    <xf numFmtId="0" fontId="8" fillId="0" borderId="84" xfId="150" applyFont="1" applyBorder="1" applyAlignment="1">
      <alignment horizontal="left" indent="5"/>
    </xf>
    <xf numFmtId="0" fontId="8" fillId="0" borderId="84" xfId="150" applyFont="1" applyBorder="1" applyAlignment="1">
      <alignment horizontal="left" indent="3"/>
    </xf>
    <xf numFmtId="0" fontId="8" fillId="0" borderId="84" xfId="150" applyFont="1" applyBorder="1" applyAlignment="1">
      <alignment horizontal="left" indent="2"/>
    </xf>
    <xf numFmtId="0" fontId="71" fillId="0" borderId="84" xfId="150" applyFont="1" applyBorder="1" applyAlignment="1">
      <alignment horizontal="left" indent="4"/>
    </xf>
    <xf numFmtId="0" fontId="71" fillId="0" borderId="84" xfId="150" applyFont="1" applyBorder="1" applyAlignment="1">
      <alignment horizontal="left" indent="5"/>
    </xf>
    <xf numFmtId="0" fontId="71" fillId="0" borderId="84" xfId="150" applyFont="1" applyFill="1" applyBorder="1" applyAlignment="1">
      <alignment horizontal="left" indent="5"/>
    </xf>
    <xf numFmtId="0" fontId="8" fillId="0" borderId="84" xfId="150" applyFont="1" applyBorder="1" applyAlignment="1">
      <alignment horizontal="left" indent="1"/>
    </xf>
    <xf numFmtId="0" fontId="6" fillId="0" borderId="84" xfId="150" applyFont="1" applyFill="1" applyBorder="1" applyAlignment="1">
      <alignment wrapText="1"/>
    </xf>
    <xf numFmtId="0" fontId="8" fillId="0" borderId="84" xfId="1828" applyFont="1" applyBorder="1" applyAlignment="1">
      <alignment horizontal="left" indent="6"/>
    </xf>
    <xf numFmtId="0" fontId="8" fillId="0" borderId="84" xfId="1828" applyFont="1" applyBorder="1" applyAlignment="1">
      <alignment horizontal="left" indent="5"/>
    </xf>
    <xf numFmtId="0" fontId="8" fillId="0" borderId="84" xfId="1828" applyFont="1" applyBorder="1" applyAlignment="1">
      <alignment horizontal="left" wrapText="1" indent="3"/>
    </xf>
    <xf numFmtId="0" fontId="6" fillId="0" borderId="84" xfId="1828" applyFont="1" applyBorder="1" applyAlignment="1">
      <alignment horizontal="left" indent="2"/>
    </xf>
    <xf numFmtId="0" fontId="8" fillId="0" borderId="84" xfId="1828" applyFont="1" applyBorder="1" applyAlignment="1">
      <alignment horizontal="left" indent="3"/>
    </xf>
    <xf numFmtId="0" fontId="8" fillId="0" borderId="84" xfId="1828" applyFont="1" applyBorder="1" applyAlignment="1">
      <alignment horizontal="left" wrapText="1" indent="5"/>
    </xf>
    <xf numFmtId="0" fontId="8" fillId="0" borderId="84" xfId="1828" applyFont="1" applyBorder="1" applyAlignment="1">
      <alignment horizontal="left" vertical="top" indent="6"/>
    </xf>
    <xf numFmtId="0" fontId="8" fillId="0" borderId="84" xfId="1828" applyFont="1" applyBorder="1" applyAlignment="1">
      <alignment horizontal="left" indent="4"/>
    </xf>
    <xf numFmtId="0" fontId="6" fillId="0" borderId="84" xfId="1828" applyFont="1" applyBorder="1" applyAlignment="1">
      <alignment horizontal="left" wrapText="1" indent="1"/>
    </xf>
    <xf numFmtId="0" fontId="71" fillId="0" borderId="84" xfId="150" applyFont="1" applyBorder="1" applyAlignment="1">
      <alignment horizontal="left" indent="6"/>
    </xf>
    <xf numFmtId="0" fontId="8" fillId="0" borderId="85" xfId="1828" applyFont="1" applyBorder="1" applyAlignment="1">
      <alignment vertical="center" wrapText="1"/>
    </xf>
    <xf numFmtId="0" fontId="8" fillId="0" borderId="85" xfId="1828" applyFont="1" applyBorder="1" applyAlignment="1">
      <alignment horizontal="justify" vertical="center" wrapText="1"/>
    </xf>
    <xf numFmtId="0" fontId="6" fillId="0" borderId="84" xfId="150" applyFont="1" applyBorder="1" applyAlignment="1">
      <alignment wrapText="1"/>
    </xf>
    <xf numFmtId="0" fontId="8" fillId="0" borderId="84" xfId="150" applyFont="1" applyBorder="1" applyAlignment="1">
      <alignment horizontal="left" indent="8"/>
    </xf>
    <xf numFmtId="0" fontId="71" fillId="0" borderId="0" xfId="150" applyFont="1"/>
    <xf numFmtId="0" fontId="8" fillId="0" borderId="84" xfId="1828" applyFont="1" applyFill="1" applyBorder="1" applyAlignment="1">
      <alignment horizontal="left" indent="3"/>
    </xf>
    <xf numFmtId="0" fontId="6" fillId="0" borderId="84" xfId="1828" applyFont="1" applyFill="1" applyBorder="1" applyAlignment="1">
      <alignment horizontal="left" indent="2"/>
    </xf>
    <xf numFmtId="0" fontId="6" fillId="0" borderId="84" xfId="1828" applyFont="1" applyFill="1" applyBorder="1" applyAlignment="1">
      <alignment horizontal="left" wrapText="1" indent="1"/>
    </xf>
    <xf numFmtId="0" fontId="82" fillId="0" borderId="0" xfId="150" applyFont="1" applyFill="1"/>
    <xf numFmtId="0" fontId="7" fillId="0" borderId="0" xfId="150" applyFill="1"/>
    <xf numFmtId="0" fontId="8" fillId="0" borderId="0" xfId="150" applyFont="1" applyFill="1"/>
    <xf numFmtId="0" fontId="8" fillId="0" borderId="84" xfId="1828" applyFont="1" applyBorder="1" applyAlignment="1">
      <alignment horizontal="left" vertical="top" indent="3"/>
    </xf>
    <xf numFmtId="0" fontId="12" fillId="0" borderId="85" xfId="1828" applyFont="1" applyBorder="1" applyAlignment="1">
      <alignment vertical="center" wrapText="1"/>
    </xf>
    <xf numFmtId="0" fontId="8" fillId="0" borderId="0" xfId="1828" applyFont="1" applyBorder="1" applyAlignment="1">
      <alignment vertical="center" wrapText="1"/>
    </xf>
    <xf numFmtId="0" fontId="8" fillId="0" borderId="84" xfId="150" applyFont="1" applyBorder="1" applyAlignment="1">
      <alignment horizontal="left" wrapText="1" indent="5"/>
    </xf>
    <xf numFmtId="0" fontId="8" fillId="0" borderId="84" xfId="150" applyFont="1" applyBorder="1" applyAlignment="1">
      <alignment horizontal="left" wrapText="1" indent="4"/>
    </xf>
    <xf numFmtId="0" fontId="8" fillId="0" borderId="84" xfId="150" applyFont="1" applyFill="1" applyBorder="1" applyAlignment="1">
      <alignment horizontal="left" indent="3"/>
    </xf>
    <xf numFmtId="0" fontId="8" fillId="0" borderId="84" xfId="150" applyFont="1" applyFill="1" applyBorder="1" applyAlignment="1">
      <alignment horizontal="left" indent="2"/>
    </xf>
    <xf numFmtId="44" fontId="7" fillId="0" borderId="0" xfId="150" applyNumberFormat="1"/>
    <xf numFmtId="0" fontId="6" fillId="0" borderId="84" xfId="150" applyFont="1" applyBorder="1" applyAlignment="1">
      <alignment horizontal="left" indent="1"/>
    </xf>
    <xf numFmtId="0" fontId="4" fillId="0" borderId="84" xfId="150" applyFont="1" applyBorder="1" applyAlignment="1">
      <alignment horizontal="left" indent="2"/>
    </xf>
    <xf numFmtId="0" fontId="5" fillId="0" borderId="84" xfId="150" applyFont="1" applyBorder="1" applyAlignment="1">
      <alignment horizontal="left" indent="1"/>
    </xf>
    <xf numFmtId="0" fontId="4" fillId="0" borderId="84" xfId="150" applyFont="1" applyBorder="1" applyAlignment="1">
      <alignment horizontal="left" indent="3"/>
    </xf>
    <xf numFmtId="0" fontId="5" fillId="0" borderId="84" xfId="150" applyFont="1" applyBorder="1" applyAlignment="1">
      <alignment horizontal="left" wrapText="1" indent="3"/>
    </xf>
    <xf numFmtId="0" fontId="8" fillId="0" borderId="84" xfId="150" applyFont="1" applyBorder="1" applyAlignment="1">
      <alignment horizontal="left" wrapText="1" indent="2"/>
    </xf>
    <xf numFmtId="0" fontId="6" fillId="0" borderId="84" xfId="150" applyFont="1" applyBorder="1" applyAlignment="1">
      <alignment horizontal="left" wrapText="1" indent="1"/>
    </xf>
    <xf numFmtId="10" fontId="8" fillId="0" borderId="84" xfId="150" applyNumberFormat="1" applyFont="1" applyBorder="1" applyAlignment="1">
      <alignment horizontal="left" wrapText="1" indent="2"/>
    </xf>
    <xf numFmtId="10" fontId="8" fillId="0" borderId="84" xfId="150" applyNumberFormat="1" applyFont="1" applyBorder="1" applyAlignment="1">
      <alignment horizontal="left" indent="2"/>
    </xf>
    <xf numFmtId="0" fontId="8" fillId="0" borderId="84" xfId="150" applyFont="1" applyBorder="1" applyAlignment="1">
      <alignment horizontal="left" wrapText="1" indent="3"/>
    </xf>
    <xf numFmtId="0" fontId="6" fillId="0" borderId="84" xfId="150" applyFont="1" applyBorder="1"/>
    <xf numFmtId="0" fontId="6" fillId="3" borderId="86" xfId="150" applyFont="1" applyFill="1" applyBorder="1" applyAlignment="1">
      <alignment horizontal="center" wrapText="1"/>
    </xf>
    <xf numFmtId="0" fontId="8" fillId="0" borderId="0" xfId="0" applyFont="1" applyBorder="1" applyAlignment="1">
      <alignment horizontal="center"/>
    </xf>
    <xf numFmtId="0" fontId="16" fillId="0" borderId="22" xfId="0" applyFont="1" applyBorder="1" applyAlignment="1">
      <alignment horizontal="center" vertical="center" wrapText="1"/>
    </xf>
    <xf numFmtId="0" fontId="74" fillId="0" borderId="23" xfId="0" applyFont="1" applyBorder="1" applyAlignment="1">
      <alignment vertical="center" wrapText="1"/>
    </xf>
    <xf numFmtId="0" fontId="16" fillId="0" borderId="22" xfId="0" applyFont="1" applyBorder="1" applyAlignment="1">
      <alignment vertical="center" wrapText="1"/>
    </xf>
    <xf numFmtId="2" fontId="74" fillId="0" borderId="0" xfId="0" applyNumberFormat="1" applyFont="1" applyAlignment="1">
      <alignment horizontal="center"/>
    </xf>
    <xf numFmtId="0" fontId="74" fillId="0" borderId="22" xfId="0" applyFont="1" applyBorder="1" applyAlignment="1">
      <alignment horizontal="center" vertical="center" wrapText="1"/>
    </xf>
    <xf numFmtId="0" fontId="17" fillId="5" borderId="23" xfId="0" applyFont="1" applyFill="1" applyBorder="1" applyAlignment="1">
      <alignment horizontal="center" vertical="center" wrapText="1"/>
    </xf>
    <xf numFmtId="0" fontId="16" fillId="42" borderId="23" xfId="0" applyFont="1" applyFill="1" applyBorder="1" applyAlignment="1">
      <alignment horizontal="center" vertical="center" wrapText="1"/>
    </xf>
    <xf numFmtId="0" fontId="16" fillId="42" borderId="21" xfId="0" applyFont="1" applyFill="1" applyBorder="1" applyAlignment="1">
      <alignment horizontal="center" vertical="center" wrapText="1"/>
    </xf>
    <xf numFmtId="0" fontId="16" fillId="42" borderId="22" xfId="0" applyFont="1" applyFill="1" applyBorder="1" applyAlignment="1">
      <alignment horizontal="center" vertical="center" wrapText="1"/>
    </xf>
    <xf numFmtId="0" fontId="74" fillId="0" borderId="22" xfId="0" applyFont="1" applyFill="1" applyBorder="1" applyAlignment="1">
      <alignment horizontal="center" vertical="center" wrapText="1"/>
    </xf>
    <xf numFmtId="0" fontId="16" fillId="0" borderId="0" xfId="0" applyFont="1" applyAlignment="1">
      <alignment horizontal="center"/>
    </xf>
    <xf numFmtId="0" fontId="5" fillId="5" borderId="48" xfId="0" applyFont="1" applyFill="1" applyBorder="1" applyAlignment="1">
      <alignment horizontal="center" vertical="center" wrapText="1"/>
    </xf>
    <xf numFmtId="0" fontId="6" fillId="2" borderId="48" xfId="0" applyFont="1" applyFill="1" applyBorder="1" applyAlignment="1">
      <alignment horizontal="center"/>
    </xf>
    <xf numFmtId="0" fontId="8" fillId="4" borderId="72" xfId="0" applyFont="1" applyFill="1" applyBorder="1" applyAlignment="1">
      <alignment horizontal="center"/>
    </xf>
    <xf numFmtId="0" fontId="71" fillId="0" borderId="84" xfId="150" applyFont="1" applyBorder="1" applyAlignment="1">
      <alignment horizontal="left" indent="8"/>
    </xf>
    <xf numFmtId="0" fontId="6" fillId="0" borderId="84" xfId="1828" applyFont="1" applyBorder="1" applyAlignment="1">
      <alignment horizontal="left"/>
    </xf>
    <xf numFmtId="0" fontId="6" fillId="0" borderId="84" xfId="1828" applyFont="1" applyBorder="1" applyAlignment="1">
      <alignment horizontal="left" indent="1"/>
    </xf>
    <xf numFmtId="10" fontId="8" fillId="0" borderId="84" xfId="1828" applyNumberFormat="1" applyFont="1" applyBorder="1" applyAlignment="1">
      <alignment horizontal="left" wrapText="1" indent="2"/>
    </xf>
    <xf numFmtId="0" fontId="8" fillId="0" borderId="84" xfId="1828" applyFont="1" applyBorder="1" applyAlignment="1">
      <alignment horizontal="left" vertical="top" indent="4"/>
    </xf>
    <xf numFmtId="0" fontId="6" fillId="0" borderId="84" xfId="1828" applyFont="1" applyBorder="1" applyAlignment="1">
      <alignment horizontal="left" wrapText="1"/>
    </xf>
    <xf numFmtId="0" fontId="7" fillId="0" borderId="84" xfId="150" applyBorder="1"/>
    <xf numFmtId="0" fontId="8" fillId="0" borderId="84" xfId="150" applyFont="1" applyBorder="1" applyAlignment="1">
      <alignment horizontal="left"/>
    </xf>
    <xf numFmtId="0" fontId="4" fillId="0" borderId="84" xfId="150" applyFont="1" applyBorder="1" applyAlignment="1"/>
    <xf numFmtId="0" fontId="6" fillId="0" borderId="84" xfId="293" applyFont="1" applyBorder="1" applyAlignment="1">
      <alignment horizontal="left" indent="34"/>
    </xf>
    <xf numFmtId="0" fontId="8" fillId="0" borderId="84" xfId="293" applyFont="1" applyBorder="1" applyAlignment="1">
      <alignment horizontal="left" indent="34"/>
    </xf>
    <xf numFmtId="0" fontId="6" fillId="0" borderId="85" xfId="0" applyFont="1" applyBorder="1" applyAlignment="1">
      <alignment horizontal="left"/>
    </xf>
    <xf numFmtId="0" fontId="8" fillId="0" borderId="85" xfId="0" applyFont="1" applyBorder="1" applyAlignment="1">
      <alignment horizontal="left" wrapText="1"/>
    </xf>
    <xf numFmtId="0" fontId="8" fillId="0" borderId="85" xfId="0" applyFont="1" applyBorder="1"/>
    <xf numFmtId="0" fontId="22" fillId="0" borderId="0" xfId="0" applyFont="1" applyBorder="1" applyAlignment="1">
      <alignment horizontal="left"/>
    </xf>
    <xf numFmtId="0" fontId="23" fillId="0" borderId="0" xfId="0" applyFont="1" applyBorder="1" applyAlignment="1">
      <alignment horizontal="left"/>
    </xf>
    <xf numFmtId="0" fontId="23" fillId="0" borderId="31" xfId="0" applyFont="1" applyBorder="1" applyAlignment="1">
      <alignment horizontal="left"/>
    </xf>
    <xf numFmtId="0" fontId="23" fillId="0" borderId="48" xfId="0" applyFont="1" applyFill="1" applyBorder="1" applyAlignment="1">
      <alignment horizontal="center"/>
    </xf>
    <xf numFmtId="0" fontId="23" fillId="0" borderId="0" xfId="0" applyFont="1" applyBorder="1"/>
    <xf numFmtId="0" fontId="23" fillId="0" borderId="0" xfId="0" applyFont="1" applyAlignment="1">
      <alignment horizontal="right"/>
    </xf>
    <xf numFmtId="0" fontId="8" fillId="0" borderId="74" xfId="0" applyFont="1" applyFill="1" applyBorder="1" applyAlignment="1"/>
    <xf numFmtId="0" fontId="72" fillId="0" borderId="0" xfId="0" applyFont="1" applyFill="1"/>
    <xf numFmtId="0" fontId="23" fillId="0" borderId="0" xfId="0" applyFont="1"/>
    <xf numFmtId="0" fontId="23" fillId="0" borderId="31" xfId="0" applyFont="1" applyBorder="1"/>
    <xf numFmtId="2" fontId="23" fillId="0" borderId="0" xfId="0" applyNumberFormat="1" applyFont="1"/>
    <xf numFmtId="3" fontId="22" fillId="4" borderId="79" xfId="0" applyNumberFormat="1" applyFont="1" applyFill="1" applyBorder="1" applyAlignment="1">
      <alignment horizontal="center" vertical="top" wrapText="1"/>
    </xf>
    <xf numFmtId="39" fontId="23" fillId="0" borderId="48" xfId="1" quotePrefix="1" applyNumberFormat="1" applyFont="1" applyFill="1" applyBorder="1"/>
    <xf numFmtId="44" fontId="23" fillId="0" borderId="48" xfId="1825" applyNumberFormat="1" applyFont="1" applyFill="1" applyBorder="1"/>
    <xf numFmtId="2" fontId="23" fillId="0" borderId="80" xfId="1818" applyNumberFormat="1" applyFont="1" applyFill="1" applyBorder="1" applyAlignment="1">
      <alignment horizontal="right"/>
    </xf>
    <xf numFmtId="44" fontId="23" fillId="0" borderId="80" xfId="1" applyNumberFormat="1" applyFont="1" applyFill="1" applyBorder="1" applyAlignment="1">
      <alignment horizontal="right"/>
    </xf>
    <xf numFmtId="2" fontId="23" fillId="0" borderId="48" xfId="1825" applyNumberFormat="1" applyFont="1" applyFill="1" applyBorder="1"/>
    <xf numFmtId="39" fontId="23" fillId="0" borderId="48" xfId="1" applyNumberFormat="1" applyFont="1" applyFill="1" applyBorder="1"/>
    <xf numFmtId="39" fontId="23" fillId="0" borderId="48" xfId="1824" applyNumberFormat="1" applyFont="1" applyFill="1" applyBorder="1"/>
    <xf numFmtId="4" fontId="23" fillId="0" borderId="48" xfId="1" applyNumberFormat="1" applyFont="1" applyFill="1" applyBorder="1"/>
    <xf numFmtId="2" fontId="23" fillId="0" borderId="48" xfId="0" applyNumberFormat="1" applyFont="1" applyFill="1" applyBorder="1"/>
    <xf numFmtId="44" fontId="23" fillId="0" borderId="48" xfId="1" applyNumberFormat="1" applyFont="1" applyFill="1" applyBorder="1" applyAlignment="1">
      <alignment horizontal="right"/>
    </xf>
    <xf numFmtId="2" fontId="23" fillId="0" borderId="48" xfId="1818" applyNumberFormat="1" applyFont="1" applyFill="1" applyBorder="1" applyAlignment="1">
      <alignment horizontal="right"/>
    </xf>
    <xf numFmtId="4" fontId="23" fillId="0" borderId="48" xfId="0" applyNumberFormat="1" applyFont="1" applyFill="1" applyBorder="1" applyAlignment="1">
      <alignment horizontal="right"/>
    </xf>
    <xf numFmtId="4" fontId="23" fillId="0" borderId="48" xfId="76" applyNumberFormat="1" applyFont="1" applyFill="1" applyBorder="1" applyAlignment="1">
      <alignment horizontal="right"/>
    </xf>
    <xf numFmtId="43" fontId="23" fillId="0" borderId="48" xfId="36" applyFont="1" applyFill="1" applyBorder="1"/>
    <xf numFmtId="0" fontId="22" fillId="0" borderId="48" xfId="0" applyFont="1" applyFill="1" applyBorder="1" applyAlignment="1">
      <alignment horizontal="right"/>
    </xf>
    <xf numFmtId="44" fontId="72" fillId="0" borderId="0" xfId="0" applyNumberFormat="1" applyFont="1" applyFill="1"/>
    <xf numFmtId="0" fontId="8" fillId="0" borderId="0" xfId="0" applyFont="1" applyBorder="1" applyAlignment="1">
      <alignment horizontal="center"/>
    </xf>
    <xf numFmtId="0" fontId="22" fillId="2" borderId="48" xfId="0" applyFont="1" applyFill="1" applyBorder="1" applyAlignment="1">
      <alignment horizontal="center"/>
    </xf>
    <xf numFmtId="0" fontId="22" fillId="0" borderId="0" xfId="0" applyFont="1" applyBorder="1" applyAlignment="1"/>
    <xf numFmtId="0" fontId="23" fillId="0" borderId="0" xfId="0" applyFont="1" applyBorder="1" applyAlignment="1"/>
    <xf numFmtId="0" fontId="23" fillId="0" borderId="31" xfId="0" applyFont="1" applyBorder="1" applyAlignment="1"/>
    <xf numFmtId="0" fontId="23" fillId="0" borderId="48" xfId="0" applyFont="1" applyFill="1" applyBorder="1" applyAlignment="1"/>
    <xf numFmtId="0" fontId="23" fillId="0" borderId="48" xfId="0" applyFont="1" applyFill="1" applyBorder="1" applyAlignment="1">
      <alignment vertical="center"/>
    </xf>
    <xf numFmtId="0" fontId="23" fillId="0" borderId="48" xfId="0" applyFont="1" applyFill="1" applyBorder="1" applyAlignment="1">
      <alignment wrapText="1"/>
    </xf>
    <xf numFmtId="0" fontId="22" fillId="0" borderId="48" xfId="0" applyFont="1" applyFill="1" applyBorder="1" applyAlignment="1"/>
    <xf numFmtId="0" fontId="23" fillId="0" borderId="0" xfId="0" applyFont="1" applyAlignment="1"/>
    <xf numFmtId="0" fontId="8" fillId="0" borderId="0" xfId="0" applyFont="1" applyBorder="1" applyAlignment="1">
      <alignment horizontal="center"/>
    </xf>
    <xf numFmtId="0" fontId="73" fillId="0" borderId="0" xfId="0" applyFont="1" applyBorder="1" applyAlignment="1"/>
    <xf numFmtId="0" fontId="12" fillId="0" borderId="0" xfId="0" applyFont="1" applyBorder="1" applyAlignment="1">
      <alignment horizontal="center"/>
    </xf>
    <xf numFmtId="0" fontId="8" fillId="0" borderId="85" xfId="0" applyFont="1" applyBorder="1" applyAlignment="1">
      <alignment horizontal="center"/>
    </xf>
    <xf numFmtId="0" fontId="0" fillId="0" borderId="0" xfId="0" applyAlignment="1"/>
    <xf numFmtId="0" fontId="0" fillId="0" borderId="28" xfId="0" applyBorder="1" applyAlignment="1"/>
    <xf numFmtId="0" fontId="17" fillId="42" borderId="24" xfId="0" applyFont="1" applyFill="1" applyBorder="1" applyAlignment="1">
      <alignment vertical="center"/>
    </xf>
    <xf numFmtId="0" fontId="17" fillId="42" borderId="25" xfId="0" applyFont="1" applyFill="1" applyBorder="1" applyAlignment="1">
      <alignment vertical="center"/>
    </xf>
    <xf numFmtId="0" fontId="17" fillId="42" borderId="26" xfId="0" applyFont="1" applyFill="1" applyBorder="1" applyAlignment="1">
      <alignment vertical="center"/>
    </xf>
    <xf numFmtId="0" fontId="17" fillId="5" borderId="24" xfId="0" applyFont="1" applyFill="1" applyBorder="1" applyAlignment="1">
      <alignment vertical="center" wrapText="1"/>
    </xf>
    <xf numFmtId="0" fontId="17" fillId="5" borderId="25" xfId="0" applyFont="1" applyFill="1" applyBorder="1" applyAlignment="1">
      <alignment vertical="center" wrapText="1"/>
    </xf>
    <xf numFmtId="0" fontId="17" fillId="5" borderId="26" xfId="0" applyFont="1" applyFill="1" applyBorder="1" applyAlignment="1">
      <alignmen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24" xfId="0" applyFont="1" applyBorder="1" applyAlignment="1">
      <alignment vertical="top" wrapText="1"/>
    </xf>
    <xf numFmtId="0" fontId="16" fillId="0" borderId="25" xfId="0" applyFont="1" applyBorder="1" applyAlignment="1">
      <alignment vertical="top" wrapText="1"/>
    </xf>
    <xf numFmtId="0" fontId="16" fillId="0" borderId="26" xfId="0" applyFont="1" applyBorder="1" applyAlignment="1">
      <alignment vertical="top" wrapText="1"/>
    </xf>
    <xf numFmtId="0" fontId="17"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6" fillId="0" borderId="24" xfId="0" applyFont="1" applyBorder="1" applyAlignment="1">
      <alignment horizontal="left" vertical="top" wrapText="1"/>
    </xf>
    <xf numFmtId="0" fontId="16" fillId="0" borderId="25" xfId="0" applyFont="1" applyBorder="1" applyAlignment="1">
      <alignment horizontal="left" vertical="top" wrapText="1"/>
    </xf>
    <xf numFmtId="0" fontId="16" fillId="0" borderId="26" xfId="0" applyFont="1" applyBorder="1" applyAlignment="1">
      <alignment horizontal="left" vertical="top" wrapText="1"/>
    </xf>
    <xf numFmtId="0" fontId="74" fillId="0" borderId="2" xfId="0" applyFont="1" applyBorder="1" applyAlignment="1">
      <alignment horizontal="center" vertical="center" wrapText="1"/>
    </xf>
    <xf numFmtId="0" fontId="74" fillId="0" borderId="3" xfId="0" applyFont="1" applyBorder="1" applyAlignment="1">
      <alignment horizontal="center" vertical="center" wrapText="1"/>
    </xf>
    <xf numFmtId="0" fontId="74" fillId="0" borderId="4" xfId="0" applyFont="1" applyBorder="1" applyAlignment="1">
      <alignment horizontal="center" vertical="center" wrapText="1"/>
    </xf>
    <xf numFmtId="0" fontId="74" fillId="0" borderId="5" xfId="0" applyFont="1" applyBorder="1" applyAlignment="1">
      <alignment horizontal="center" vertical="center" wrapText="1"/>
    </xf>
    <xf numFmtId="0" fontId="74" fillId="0" borderId="0" xfId="0" applyFont="1" applyBorder="1" applyAlignment="1">
      <alignment horizontal="center" vertical="center" wrapText="1"/>
    </xf>
    <xf numFmtId="0" fontId="74" fillId="0" borderId="6" xfId="0" applyFont="1" applyBorder="1" applyAlignment="1">
      <alignment horizontal="center" vertical="center" wrapText="1"/>
    </xf>
    <xf numFmtId="0" fontId="74" fillId="0" borderId="20" xfId="0" applyFont="1" applyBorder="1" applyAlignment="1">
      <alignment horizontal="center" vertical="center" wrapText="1"/>
    </xf>
    <xf numFmtId="0" fontId="74" fillId="0" borderId="21" xfId="0" applyFont="1" applyBorder="1" applyAlignment="1">
      <alignment horizontal="center" vertical="center" wrapText="1"/>
    </xf>
    <xf numFmtId="0" fontId="74" fillId="0" borderId="22" xfId="0" applyFont="1" applyBorder="1" applyAlignment="1">
      <alignment horizontal="center" vertical="center" wrapText="1"/>
    </xf>
    <xf numFmtId="0" fontId="74" fillId="0" borderId="24" xfId="0" applyFont="1" applyBorder="1" applyAlignment="1">
      <alignment vertical="top" wrapText="1"/>
    </xf>
    <xf numFmtId="0" fontId="74" fillId="0" borderId="25" xfId="0" applyFont="1" applyBorder="1" applyAlignment="1">
      <alignment vertical="top" wrapText="1"/>
    </xf>
    <xf numFmtId="0" fontId="74" fillId="0" borderId="26" xfId="0" applyFont="1" applyBorder="1" applyAlignment="1">
      <alignment vertical="top" wrapText="1"/>
    </xf>
    <xf numFmtId="0" fontId="79" fillId="5" borderId="24" xfId="0" applyFont="1" applyFill="1" applyBorder="1" applyAlignment="1">
      <alignment vertical="center" wrapText="1"/>
    </xf>
    <xf numFmtId="0" fontId="79" fillId="5" borderId="25" xfId="0" applyFont="1" applyFill="1" applyBorder="1" applyAlignment="1">
      <alignment vertical="center" wrapText="1"/>
    </xf>
    <xf numFmtId="0" fontId="79" fillId="5" borderId="26" xfId="0" applyFont="1" applyFill="1" applyBorder="1" applyAlignment="1">
      <alignment vertical="center" wrapText="1"/>
    </xf>
    <xf numFmtId="2" fontId="74" fillId="0" borderId="5" xfId="0" applyNumberFormat="1" applyFont="1" applyBorder="1" applyAlignment="1">
      <alignment horizontal="center"/>
    </xf>
    <xf numFmtId="2" fontId="74" fillId="0" borderId="0" xfId="0" applyNumberFormat="1" applyFont="1" applyAlignment="1">
      <alignment horizontal="center"/>
    </xf>
    <xf numFmtId="0" fontId="74" fillId="0" borderId="27" xfId="0" applyFont="1" applyBorder="1" applyAlignment="1">
      <alignment vertical="center" wrapText="1"/>
    </xf>
    <xf numFmtId="0" fontId="74" fillId="0" borderId="23" xfId="0" applyFont="1" applyBorder="1" applyAlignment="1">
      <alignment vertical="center" wrapText="1"/>
    </xf>
    <xf numFmtId="0" fontId="74" fillId="0" borderId="27" xfId="0" applyFont="1" applyBorder="1" applyAlignment="1">
      <alignment horizontal="center" vertical="center" wrapText="1"/>
    </xf>
    <xf numFmtId="0" fontId="74" fillId="0" borderId="23" xfId="0" applyFont="1" applyBorder="1" applyAlignment="1">
      <alignment horizontal="center" vertical="center" wrapText="1"/>
    </xf>
    <xf numFmtId="17" fontId="74" fillId="0" borderId="27" xfId="0" applyNumberFormat="1" applyFont="1" applyBorder="1" applyAlignment="1">
      <alignment horizontal="center" vertical="center" wrapText="1"/>
    </xf>
    <xf numFmtId="17" fontId="74" fillId="0" borderId="23" xfId="0" applyNumberFormat="1" applyFont="1" applyBorder="1" applyAlignment="1">
      <alignment horizontal="center" vertical="center" wrapText="1"/>
    </xf>
    <xf numFmtId="0" fontId="17" fillId="5" borderId="2" xfId="0" applyFont="1" applyFill="1" applyBorder="1" applyAlignment="1">
      <alignment vertical="center" wrapText="1"/>
    </xf>
    <xf numFmtId="0" fontId="17" fillId="5" borderId="3" xfId="0" applyFont="1" applyFill="1" applyBorder="1" applyAlignment="1">
      <alignment vertical="center" wrapText="1"/>
    </xf>
    <xf numFmtId="0" fontId="17" fillId="0" borderId="77" xfId="0" applyFont="1" applyBorder="1" applyAlignment="1">
      <alignment horizontal="center"/>
    </xf>
    <xf numFmtId="0" fontId="17" fillId="0" borderId="78" xfId="0" applyFont="1" applyBorder="1" applyAlignment="1">
      <alignment horizontal="center"/>
    </xf>
    <xf numFmtId="0" fontId="17" fillId="0" borderId="75" xfId="0" applyFont="1" applyBorder="1" applyAlignment="1">
      <alignment horizontal="center"/>
    </xf>
    <xf numFmtId="0" fontId="17" fillId="0" borderId="77" xfId="0" applyFont="1" applyBorder="1" applyAlignment="1">
      <alignment horizontal="center" wrapText="1"/>
    </xf>
    <xf numFmtId="0" fontId="17" fillId="0" borderId="78" xfId="0" applyFont="1" applyBorder="1" applyAlignment="1">
      <alignment horizontal="center" wrapText="1"/>
    </xf>
    <xf numFmtId="0" fontId="17" fillId="0" borderId="75" xfId="0" applyFont="1" applyBorder="1" applyAlignment="1">
      <alignment horizontal="center" wrapText="1"/>
    </xf>
    <xf numFmtId="0" fontId="16" fillId="42" borderId="27" xfId="0" applyFont="1" applyFill="1" applyBorder="1" applyAlignment="1">
      <alignment horizontal="center" vertical="center" wrapText="1"/>
    </xf>
    <xf numFmtId="0" fontId="16" fillId="42" borderId="23" xfId="0" applyFont="1" applyFill="1" applyBorder="1" applyAlignment="1">
      <alignment horizontal="center" vertical="center" wrapText="1"/>
    </xf>
    <xf numFmtId="0" fontId="16" fillId="42" borderId="27" xfId="0" applyFont="1" applyFill="1" applyBorder="1" applyAlignment="1">
      <alignment vertical="center" wrapText="1"/>
    </xf>
    <xf numFmtId="0" fontId="16" fillId="42" borderId="23" xfId="0" applyFont="1" applyFill="1" applyBorder="1" applyAlignment="1">
      <alignment vertical="center" wrapText="1"/>
    </xf>
    <xf numFmtId="3" fontId="16" fillId="42" borderId="27" xfId="0" applyNumberFormat="1" applyFont="1" applyFill="1" applyBorder="1" applyAlignment="1">
      <alignment horizontal="right" vertical="center" wrapText="1"/>
    </xf>
    <xf numFmtId="3" fontId="16" fillId="42" borderId="23" xfId="0" applyNumberFormat="1" applyFont="1" applyFill="1" applyBorder="1" applyAlignment="1">
      <alignment horizontal="right" vertical="center" wrapText="1"/>
    </xf>
    <xf numFmtId="0" fontId="16" fillId="42" borderId="2" xfId="0" applyFont="1" applyFill="1" applyBorder="1" applyAlignment="1">
      <alignment horizontal="right" vertical="center" wrapText="1"/>
    </xf>
    <xf numFmtId="0" fontId="16" fillId="42" borderId="20" xfId="0" applyFont="1" applyFill="1" applyBorder="1" applyAlignment="1">
      <alignment horizontal="right" vertical="center" wrapText="1"/>
    </xf>
    <xf numFmtId="0" fontId="17" fillId="42" borderId="24" xfId="0" applyFont="1" applyFill="1" applyBorder="1" applyAlignment="1">
      <alignment vertical="center" wrapText="1"/>
    </xf>
    <xf numFmtId="0" fontId="17" fillId="42" borderId="25" xfId="0" applyFont="1" applyFill="1" applyBorder="1" applyAlignment="1">
      <alignment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2" xfId="0" applyFont="1" applyBorder="1" applyAlignment="1">
      <alignment horizontal="center" vertical="center" wrapText="1"/>
    </xf>
    <xf numFmtId="0" fontId="16" fillId="42" borderId="73" xfId="0" applyFont="1" applyFill="1" applyBorder="1" applyAlignment="1">
      <alignment horizontal="right"/>
    </xf>
    <xf numFmtId="0" fontId="16" fillId="42" borderId="74" xfId="0" applyFont="1" applyFill="1" applyBorder="1" applyAlignment="1">
      <alignment horizontal="right"/>
    </xf>
    <xf numFmtId="0" fontId="16" fillId="42" borderId="73" xfId="0" applyFont="1" applyFill="1" applyBorder="1" applyAlignment="1">
      <alignment horizontal="center"/>
    </xf>
    <xf numFmtId="0" fontId="16" fillId="42" borderId="74" xfId="0" applyFont="1" applyFill="1" applyBorder="1" applyAlignment="1">
      <alignment horizontal="center"/>
    </xf>
    <xf numFmtId="0" fontId="18" fillId="42" borderId="73" xfId="0" applyFont="1" applyFill="1" applyBorder="1" applyAlignment="1">
      <alignment horizontal="center" vertical="center" wrapText="1"/>
    </xf>
    <xf numFmtId="0" fontId="18" fillId="42" borderId="74" xfId="0" applyFont="1" applyFill="1" applyBorder="1" applyAlignment="1">
      <alignment horizontal="center" vertical="center" wrapText="1"/>
    </xf>
    <xf numFmtId="0" fontId="74" fillId="0" borderId="24" xfId="0" applyFont="1" applyFill="1" applyBorder="1" applyAlignment="1">
      <alignment horizontal="center" vertical="center" wrapText="1"/>
    </xf>
    <xf numFmtId="0" fontId="74" fillId="0" borderId="26" xfId="0" applyFont="1" applyFill="1" applyBorder="1" applyAlignment="1">
      <alignment horizontal="center" vertical="center" wrapText="1"/>
    </xf>
    <xf numFmtId="0" fontId="79" fillId="0" borderId="24" xfId="0" applyFont="1" applyFill="1" applyBorder="1" applyAlignment="1">
      <alignment vertical="center" wrapText="1"/>
    </xf>
    <xf numFmtId="0" fontId="79" fillId="0" borderId="25" xfId="0" applyFont="1" applyFill="1" applyBorder="1" applyAlignment="1">
      <alignment vertical="center" wrapText="1"/>
    </xf>
    <xf numFmtId="0" fontId="79" fillId="0" borderId="26" xfId="0" applyFont="1" applyFill="1" applyBorder="1" applyAlignment="1">
      <alignment vertical="center" wrapText="1"/>
    </xf>
    <xf numFmtId="44" fontId="16" fillId="42" borderId="71" xfId="1" applyFont="1" applyFill="1" applyBorder="1" applyAlignment="1">
      <alignment horizontal="center"/>
    </xf>
    <xf numFmtId="44" fontId="16" fillId="42" borderId="76" xfId="1" applyFont="1" applyFill="1" applyBorder="1" applyAlignment="1">
      <alignment horizontal="center"/>
    </xf>
    <xf numFmtId="44" fontId="74" fillId="0" borderId="71" xfId="1" applyFont="1" applyFill="1" applyBorder="1" applyAlignment="1">
      <alignment horizontal="center"/>
    </xf>
    <xf numFmtId="44" fontId="74" fillId="0" borderId="76" xfId="1" applyFont="1" applyFill="1" applyBorder="1" applyAlignment="1">
      <alignment horizontal="center"/>
    </xf>
    <xf numFmtId="44" fontId="74" fillId="0" borderId="72" xfId="1" applyFont="1" applyFill="1" applyBorder="1" applyAlignment="1">
      <alignment horizontal="center"/>
    </xf>
    <xf numFmtId="0" fontId="16" fillId="42" borderId="2" xfId="0" applyFont="1" applyFill="1" applyBorder="1" applyAlignment="1">
      <alignment horizontal="center" vertical="center" wrapText="1"/>
    </xf>
    <xf numFmtId="0" fontId="16" fillId="42" borderId="3" xfId="0" applyFont="1" applyFill="1" applyBorder="1" applyAlignment="1">
      <alignment horizontal="center" vertical="center" wrapText="1"/>
    </xf>
    <xf numFmtId="0" fontId="16" fillId="42" borderId="4" xfId="0" applyFont="1" applyFill="1" applyBorder="1" applyAlignment="1">
      <alignment horizontal="center" vertical="center" wrapText="1"/>
    </xf>
    <xf numFmtId="0" fontId="16" fillId="42" borderId="5" xfId="0" applyFont="1" applyFill="1" applyBorder="1" applyAlignment="1">
      <alignment horizontal="center" vertical="center" wrapText="1"/>
    </xf>
    <xf numFmtId="0" fontId="16" fillId="42" borderId="0" xfId="0" applyFont="1" applyFill="1" applyBorder="1" applyAlignment="1">
      <alignment horizontal="center" vertical="center" wrapText="1"/>
    </xf>
    <xf numFmtId="0" fontId="16" fillId="42" borderId="6" xfId="0" applyFont="1" applyFill="1" applyBorder="1" applyAlignment="1">
      <alignment horizontal="center" vertical="center" wrapText="1"/>
    </xf>
    <xf numFmtId="0" fontId="16" fillId="42" borderId="20" xfId="0" applyFont="1" applyFill="1" applyBorder="1" applyAlignment="1">
      <alignment horizontal="center" vertical="center" wrapText="1"/>
    </xf>
    <xf numFmtId="0" fontId="16" fillId="42" borderId="21" xfId="0" applyFont="1" applyFill="1" applyBorder="1" applyAlignment="1">
      <alignment horizontal="center" vertical="center" wrapText="1"/>
    </xf>
    <xf numFmtId="0" fontId="16" fillId="42" borderId="22" xfId="0" applyFont="1" applyFill="1" applyBorder="1" applyAlignment="1">
      <alignment horizontal="center" vertical="center" wrapText="1"/>
    </xf>
    <xf numFmtId="0" fontId="16" fillId="42" borderId="24" xfId="0" applyFont="1" applyFill="1" applyBorder="1" applyAlignment="1">
      <alignment vertical="top" wrapText="1"/>
    </xf>
    <xf numFmtId="0" fontId="16" fillId="42" borderId="25" xfId="0" applyFont="1" applyFill="1" applyBorder="1" applyAlignment="1">
      <alignment vertical="top" wrapText="1"/>
    </xf>
    <xf numFmtId="0" fontId="16" fillId="42" borderId="26" xfId="0" applyFont="1" applyFill="1" applyBorder="1" applyAlignment="1">
      <alignment vertical="top" wrapText="1"/>
    </xf>
    <xf numFmtId="0" fontId="74" fillId="0" borderId="2" xfId="0" applyFont="1" applyFill="1" applyBorder="1" applyAlignment="1">
      <alignment horizontal="center" vertical="center" wrapText="1"/>
    </xf>
    <xf numFmtId="0" fontId="74" fillId="0" borderId="3" xfId="0" applyFont="1" applyFill="1" applyBorder="1" applyAlignment="1">
      <alignment horizontal="center" vertical="center" wrapText="1"/>
    </xf>
    <xf numFmtId="0" fontId="74" fillId="0" borderId="4" xfId="0" applyFont="1" applyFill="1" applyBorder="1" applyAlignment="1">
      <alignment horizontal="center" vertical="center" wrapText="1"/>
    </xf>
    <xf numFmtId="0" fontId="74" fillId="0" borderId="5" xfId="0" applyFont="1" applyFill="1" applyBorder="1" applyAlignment="1">
      <alignment horizontal="center" vertical="center" wrapText="1"/>
    </xf>
    <xf numFmtId="0" fontId="74" fillId="0" borderId="0" xfId="0" applyFont="1" applyFill="1" applyBorder="1" applyAlignment="1">
      <alignment horizontal="center" vertical="center" wrapText="1"/>
    </xf>
    <xf numFmtId="0" fontId="74" fillId="0" borderId="6" xfId="0" applyFont="1" applyFill="1" applyBorder="1" applyAlignment="1">
      <alignment horizontal="center" vertical="center" wrapText="1"/>
    </xf>
    <xf numFmtId="0" fontId="74" fillId="0" borderId="20" xfId="0" applyFont="1" applyFill="1" applyBorder="1" applyAlignment="1">
      <alignment horizontal="center" vertical="center" wrapText="1"/>
    </xf>
    <xf numFmtId="0" fontId="74" fillId="0" borderId="21" xfId="0" applyFont="1" applyFill="1" applyBorder="1" applyAlignment="1">
      <alignment horizontal="center" vertical="center" wrapText="1"/>
    </xf>
    <xf numFmtId="0" fontId="74" fillId="0" borderId="22" xfId="0" applyFont="1" applyFill="1" applyBorder="1" applyAlignment="1">
      <alignment horizontal="center" vertical="center" wrapText="1"/>
    </xf>
    <xf numFmtId="0" fontId="74" fillId="0" borderId="24" xfId="0" applyFont="1" applyFill="1" applyBorder="1" applyAlignment="1">
      <alignment vertical="top" wrapText="1"/>
    </xf>
    <xf numFmtId="0" fontId="74" fillId="0" borderId="25" xfId="0" applyFont="1" applyFill="1" applyBorder="1" applyAlignment="1">
      <alignment vertical="top" wrapText="1"/>
    </xf>
    <xf numFmtId="0" fontId="74" fillId="0" borderId="26" xfId="0" applyFont="1" applyFill="1" applyBorder="1" applyAlignment="1">
      <alignment vertical="top" wrapText="1"/>
    </xf>
    <xf numFmtId="0" fontId="79" fillId="0" borderId="24" xfId="0" applyFont="1" applyFill="1" applyBorder="1" applyAlignment="1">
      <alignment horizontal="center" vertical="center" wrapText="1"/>
    </xf>
    <xf numFmtId="0" fontId="79" fillId="0" borderId="26" xfId="0" applyFont="1" applyFill="1" applyBorder="1" applyAlignment="1">
      <alignment horizontal="center" vertical="center" wrapText="1"/>
    </xf>
    <xf numFmtId="0" fontId="20" fillId="0" borderId="0" xfId="0" applyFont="1" applyAlignment="1">
      <alignment horizontal="center"/>
    </xf>
    <xf numFmtId="0" fontId="17" fillId="0" borderId="0" xfId="0" applyFont="1" applyAlignment="1">
      <alignment horizontal="center"/>
    </xf>
    <xf numFmtId="0" fontId="6" fillId="2" borderId="48" xfId="0" applyFont="1" applyFill="1" applyBorder="1" applyAlignment="1">
      <alignment horizontal="center"/>
    </xf>
    <xf numFmtId="0" fontId="6" fillId="4" borderId="71" xfId="0" applyFont="1" applyFill="1" applyBorder="1" applyAlignment="1">
      <alignment horizontal="center"/>
    </xf>
    <xf numFmtId="0" fontId="6" fillId="4" borderId="76" xfId="0" applyFont="1" applyFill="1" applyBorder="1" applyAlignment="1">
      <alignment horizontal="center"/>
    </xf>
    <xf numFmtId="0" fontId="8" fillId="4" borderId="72" xfId="0" applyFont="1" applyFill="1" applyBorder="1" applyAlignment="1">
      <alignment horizontal="center"/>
    </xf>
    <xf numFmtId="0" fontId="6" fillId="4" borderId="72" xfId="0" applyFont="1" applyFill="1" applyBorder="1" applyAlignment="1">
      <alignment horizontal="center"/>
    </xf>
    <xf numFmtId="0" fontId="8" fillId="4" borderId="76" xfId="0" applyFont="1" applyFill="1" applyBorder="1" applyAlignment="1">
      <alignment horizontal="center"/>
    </xf>
  </cellXfs>
  <cellStyles count="1832">
    <cellStyle name="20% - Accent1" xfId="547" builtinId="30" customBuiltin="1"/>
    <cellStyle name="20% - Accent1 2" xfId="8" xr:uid="{00000000-0005-0000-0000-000001000000}"/>
    <cellStyle name="20% - Accent2" xfId="551" builtinId="34" customBuiltin="1"/>
    <cellStyle name="20% - Accent2 2" xfId="9" xr:uid="{00000000-0005-0000-0000-000003000000}"/>
    <cellStyle name="20% - Accent3" xfId="555" builtinId="38" customBuiltin="1"/>
    <cellStyle name="20% - Accent3 2" xfId="10" xr:uid="{00000000-0005-0000-0000-000005000000}"/>
    <cellStyle name="20% - Accent4" xfId="559" builtinId="42" customBuiltin="1"/>
    <cellStyle name="20% - Accent4 2" xfId="11" xr:uid="{00000000-0005-0000-0000-000007000000}"/>
    <cellStyle name="20% - Accent5" xfId="563" builtinId="46" customBuiltin="1"/>
    <cellStyle name="20% - Accent5 2" xfId="12" xr:uid="{00000000-0005-0000-0000-000009000000}"/>
    <cellStyle name="20% - Accent6" xfId="567" builtinId="50" customBuiltin="1"/>
    <cellStyle name="20% - Accent6 2" xfId="13" xr:uid="{00000000-0005-0000-0000-00000B000000}"/>
    <cellStyle name="40% - Accent1" xfId="548" builtinId="31" customBuiltin="1"/>
    <cellStyle name="40% - Accent1 2" xfId="14" xr:uid="{00000000-0005-0000-0000-00000D000000}"/>
    <cellStyle name="40% - Accent2" xfId="552" builtinId="35" customBuiltin="1"/>
    <cellStyle name="40% - Accent2 2" xfId="15" xr:uid="{00000000-0005-0000-0000-00000F000000}"/>
    <cellStyle name="40% - Accent3" xfId="556" builtinId="39" customBuiltin="1"/>
    <cellStyle name="40% - Accent3 2" xfId="16" xr:uid="{00000000-0005-0000-0000-000011000000}"/>
    <cellStyle name="40% - Accent4" xfId="560" builtinId="43" customBuiltin="1"/>
    <cellStyle name="40% - Accent4 2" xfId="17" xr:uid="{00000000-0005-0000-0000-000013000000}"/>
    <cellStyle name="40% - Accent5" xfId="564" builtinId="47" customBuiltin="1"/>
    <cellStyle name="40% - Accent5 2" xfId="18" xr:uid="{00000000-0005-0000-0000-000015000000}"/>
    <cellStyle name="40% - Accent6" xfId="568" builtinId="51" customBuiltin="1"/>
    <cellStyle name="40% - Accent6 2" xfId="19" xr:uid="{00000000-0005-0000-0000-000017000000}"/>
    <cellStyle name="60% - Accent1" xfId="549" builtinId="32" customBuiltin="1"/>
    <cellStyle name="60% - Accent1 2" xfId="20" xr:uid="{00000000-0005-0000-0000-000019000000}"/>
    <cellStyle name="60% - Accent2" xfId="553" builtinId="36" customBuiltin="1"/>
    <cellStyle name="60% - Accent2 2" xfId="21" xr:uid="{00000000-0005-0000-0000-00001B000000}"/>
    <cellStyle name="60% - Accent3" xfId="557" builtinId="40" customBuiltin="1"/>
    <cellStyle name="60% - Accent3 2" xfId="22" xr:uid="{00000000-0005-0000-0000-00001D000000}"/>
    <cellStyle name="60% - Accent4" xfId="561" builtinId="44" customBuiltin="1"/>
    <cellStyle name="60% - Accent4 2" xfId="23" xr:uid="{00000000-0005-0000-0000-00001F000000}"/>
    <cellStyle name="60% - Accent5" xfId="565" builtinId="48" customBuiltin="1"/>
    <cellStyle name="60% - Accent5 2" xfId="24" xr:uid="{00000000-0005-0000-0000-000021000000}"/>
    <cellStyle name="60% - Accent6" xfId="569" builtinId="52" customBuiltin="1"/>
    <cellStyle name="60% - Accent6 2" xfId="25" xr:uid="{00000000-0005-0000-0000-000023000000}"/>
    <cellStyle name="Accent1" xfId="546" builtinId="29" customBuiltin="1"/>
    <cellStyle name="Accent1 2" xfId="26" xr:uid="{00000000-0005-0000-0000-000025000000}"/>
    <cellStyle name="Accent2" xfId="550" builtinId="33" customBuiltin="1"/>
    <cellStyle name="Accent2 2" xfId="27" xr:uid="{00000000-0005-0000-0000-000027000000}"/>
    <cellStyle name="Accent3" xfId="554" builtinId="37" customBuiltin="1"/>
    <cellStyle name="Accent3 2" xfId="28" xr:uid="{00000000-0005-0000-0000-000029000000}"/>
    <cellStyle name="Accent4" xfId="558" builtinId="41" customBuiltin="1"/>
    <cellStyle name="Accent4 2" xfId="29" xr:uid="{00000000-0005-0000-0000-00002B000000}"/>
    <cellStyle name="Accent5" xfId="562" builtinId="45" customBuiltin="1"/>
    <cellStyle name="Accent5 2" xfId="30" xr:uid="{00000000-0005-0000-0000-00002D000000}"/>
    <cellStyle name="Accent6" xfId="566" builtinId="49" customBuiltin="1"/>
    <cellStyle name="Accent6 2" xfId="31" xr:uid="{00000000-0005-0000-0000-00002F000000}"/>
    <cellStyle name="addLine" xfId="32" xr:uid="{00000000-0005-0000-0000-000030000000}"/>
    <cellStyle name="Bad" xfId="535" builtinId="27" customBuiltin="1"/>
    <cellStyle name="Bad 2" xfId="33" xr:uid="{00000000-0005-0000-0000-000032000000}"/>
    <cellStyle name="Calculation" xfId="539" builtinId="22" customBuiltin="1"/>
    <cellStyle name="Calculation 2" xfId="34" xr:uid="{00000000-0005-0000-0000-000034000000}"/>
    <cellStyle name="Check Cell" xfId="541" builtinId="23" customBuiltin="1"/>
    <cellStyle name="Check Cell 2" xfId="35" xr:uid="{00000000-0005-0000-0000-000036000000}"/>
    <cellStyle name="Comma" xfId="1818" builtinId="3"/>
    <cellStyle name="Comma 10" xfId="36" xr:uid="{00000000-0005-0000-0000-000038000000}"/>
    <cellStyle name="Comma 11" xfId="37" xr:uid="{00000000-0005-0000-0000-000039000000}"/>
    <cellStyle name="Comma 12" xfId="38" xr:uid="{00000000-0005-0000-0000-00003A000000}"/>
    <cellStyle name="Comma 13" xfId="627" xr:uid="{00000000-0005-0000-0000-00003B000000}"/>
    <cellStyle name="Comma 16" xfId="1821" xr:uid="{00000000-0005-0000-0000-00003C000000}"/>
    <cellStyle name="Comma 2" xfId="39" xr:uid="{00000000-0005-0000-0000-00003D000000}"/>
    <cellStyle name="Comma 2 2" xfId="40" xr:uid="{00000000-0005-0000-0000-00003E000000}"/>
    <cellStyle name="Comma 2 2 2" xfId="41" xr:uid="{00000000-0005-0000-0000-00003F000000}"/>
    <cellStyle name="Comma 2 2 3" xfId="42" xr:uid="{00000000-0005-0000-0000-000040000000}"/>
    <cellStyle name="Comma 2 2 3 2" xfId="632" xr:uid="{00000000-0005-0000-0000-000041000000}"/>
    <cellStyle name="Comma 2 3" xfId="43" xr:uid="{00000000-0005-0000-0000-000042000000}"/>
    <cellStyle name="Comma 2 3 2" xfId="633" xr:uid="{00000000-0005-0000-0000-000043000000}"/>
    <cellStyle name="Comma 2 4" xfId="44" xr:uid="{00000000-0005-0000-0000-000044000000}"/>
    <cellStyle name="Comma 2 5" xfId="45" xr:uid="{00000000-0005-0000-0000-000045000000}"/>
    <cellStyle name="Comma 2 5 2" xfId="634" xr:uid="{00000000-0005-0000-0000-000046000000}"/>
    <cellStyle name="Comma 2 6" xfId="630" xr:uid="{00000000-0005-0000-0000-000047000000}"/>
    <cellStyle name="Comma 2 7" xfId="1830" xr:uid="{00000000-0005-0000-0000-000048000000}"/>
    <cellStyle name="Comma 3" xfId="46" xr:uid="{00000000-0005-0000-0000-000049000000}"/>
    <cellStyle name="Comma 3 2" xfId="47" xr:uid="{00000000-0005-0000-0000-00004A000000}"/>
    <cellStyle name="Comma 3 2 2" xfId="48" xr:uid="{00000000-0005-0000-0000-00004B000000}"/>
    <cellStyle name="Comma 3 3" xfId="49" xr:uid="{00000000-0005-0000-0000-00004C000000}"/>
    <cellStyle name="Comma 3 3 2" xfId="635" xr:uid="{00000000-0005-0000-0000-00004D000000}"/>
    <cellStyle name="Comma 4" xfId="50" xr:uid="{00000000-0005-0000-0000-00004E000000}"/>
    <cellStyle name="Comma 4 2" xfId="51" xr:uid="{00000000-0005-0000-0000-00004F000000}"/>
    <cellStyle name="Comma 4 2 2" xfId="52" xr:uid="{00000000-0005-0000-0000-000050000000}"/>
    <cellStyle name="Comma 4 2 2 2" xfId="53" xr:uid="{00000000-0005-0000-0000-000051000000}"/>
    <cellStyle name="Comma 4 2 3" xfId="54" xr:uid="{00000000-0005-0000-0000-000052000000}"/>
    <cellStyle name="Comma 4 3" xfId="55" xr:uid="{00000000-0005-0000-0000-000053000000}"/>
    <cellStyle name="Comma 4 3 2" xfId="637" xr:uid="{00000000-0005-0000-0000-000054000000}"/>
    <cellStyle name="Comma 4 3 3" xfId="638" xr:uid="{00000000-0005-0000-0000-000055000000}"/>
    <cellStyle name="Comma 4 3 4" xfId="636" xr:uid="{00000000-0005-0000-0000-000056000000}"/>
    <cellStyle name="Comma 4 4" xfId="639" xr:uid="{00000000-0005-0000-0000-000057000000}"/>
    <cellStyle name="Comma 5" xfId="56" xr:uid="{00000000-0005-0000-0000-000058000000}"/>
    <cellStyle name="Comma 5 2" xfId="57" xr:uid="{00000000-0005-0000-0000-000059000000}"/>
    <cellStyle name="Comma 5 2 2" xfId="640" xr:uid="{00000000-0005-0000-0000-00005A000000}"/>
    <cellStyle name="Comma 5 3" xfId="58" xr:uid="{00000000-0005-0000-0000-00005B000000}"/>
    <cellStyle name="Comma 6" xfId="59" xr:uid="{00000000-0005-0000-0000-00005C000000}"/>
    <cellStyle name="Comma 6 2" xfId="60" xr:uid="{00000000-0005-0000-0000-00005D000000}"/>
    <cellStyle name="Comma 6 2 2" xfId="643" xr:uid="{00000000-0005-0000-0000-00005E000000}"/>
    <cellStyle name="Comma 6 2 3" xfId="642" xr:uid="{00000000-0005-0000-0000-00005F000000}"/>
    <cellStyle name="Comma 6 3" xfId="61" xr:uid="{00000000-0005-0000-0000-000060000000}"/>
    <cellStyle name="Comma 6 3 2" xfId="644" xr:uid="{00000000-0005-0000-0000-000061000000}"/>
    <cellStyle name="Comma 6 4" xfId="62" xr:uid="{00000000-0005-0000-0000-000062000000}"/>
    <cellStyle name="Comma 6 4 2" xfId="645" xr:uid="{00000000-0005-0000-0000-000063000000}"/>
    <cellStyle name="Comma 6 5" xfId="641" xr:uid="{00000000-0005-0000-0000-000064000000}"/>
    <cellStyle name="Comma 7" xfId="63" xr:uid="{00000000-0005-0000-0000-000065000000}"/>
    <cellStyle name="Comma 7 2" xfId="64" xr:uid="{00000000-0005-0000-0000-000066000000}"/>
    <cellStyle name="Comma 8" xfId="65" xr:uid="{00000000-0005-0000-0000-000067000000}"/>
    <cellStyle name="Comma 8 2" xfId="66" xr:uid="{00000000-0005-0000-0000-000068000000}"/>
    <cellStyle name="Comma 8 3" xfId="646" xr:uid="{00000000-0005-0000-0000-000069000000}"/>
    <cellStyle name="Comma 9" xfId="67" xr:uid="{00000000-0005-0000-0000-00006A000000}"/>
    <cellStyle name="Comma 9 2" xfId="68" xr:uid="{00000000-0005-0000-0000-00006B000000}"/>
    <cellStyle name="Comma 9 2 2" xfId="69" xr:uid="{00000000-0005-0000-0000-00006C000000}"/>
    <cellStyle name="Comma 9 3" xfId="70" xr:uid="{00000000-0005-0000-0000-00006D000000}"/>
    <cellStyle name="Comma 9 4" xfId="71" xr:uid="{00000000-0005-0000-0000-00006E000000}"/>
    <cellStyle name="Comma0" xfId="72" xr:uid="{00000000-0005-0000-0000-00006F000000}"/>
    <cellStyle name="Currency" xfId="1" builtinId="4"/>
    <cellStyle name="Currency 10" xfId="74" xr:uid="{00000000-0005-0000-0000-000071000000}"/>
    <cellStyle name="Currency 10 2" xfId="1826" xr:uid="{00000000-0005-0000-0000-000072000000}"/>
    <cellStyle name="Currency 11" xfId="75" xr:uid="{00000000-0005-0000-0000-000073000000}"/>
    <cellStyle name="Currency 12" xfId="76" xr:uid="{00000000-0005-0000-0000-000074000000}"/>
    <cellStyle name="Currency 12 2" xfId="77" xr:uid="{00000000-0005-0000-0000-000075000000}"/>
    <cellStyle name="Currency 12 3" xfId="78" xr:uid="{00000000-0005-0000-0000-000076000000}"/>
    <cellStyle name="Currency 13" xfId="73" xr:uid="{00000000-0005-0000-0000-000077000000}"/>
    <cellStyle name="Currency 13 2" xfId="572" xr:uid="{00000000-0005-0000-0000-000078000000}"/>
    <cellStyle name="Currency 13 3" xfId="1766" xr:uid="{00000000-0005-0000-0000-000079000000}"/>
    <cellStyle name="Currency 14" xfId="628" xr:uid="{00000000-0005-0000-0000-00007A000000}"/>
    <cellStyle name="Currency 2" xfId="3" xr:uid="{00000000-0005-0000-0000-00007B000000}"/>
    <cellStyle name="Currency 2 2" xfId="79" xr:uid="{00000000-0005-0000-0000-00007C000000}"/>
    <cellStyle name="Currency 2 2 2" xfId="80" xr:uid="{00000000-0005-0000-0000-00007D000000}"/>
    <cellStyle name="Currency 2 2 2 2" xfId="81" xr:uid="{00000000-0005-0000-0000-00007E000000}"/>
    <cellStyle name="Currency 2 2 2 2 2" xfId="1819" xr:uid="{00000000-0005-0000-0000-00007F000000}"/>
    <cellStyle name="Currency 2 2 3" xfId="82" xr:uid="{00000000-0005-0000-0000-000080000000}"/>
    <cellStyle name="Currency 2 3" xfId="83" xr:uid="{00000000-0005-0000-0000-000081000000}"/>
    <cellStyle name="Currency 2 3 2" xfId="647" xr:uid="{00000000-0005-0000-0000-000082000000}"/>
    <cellStyle name="Currency 2 4" xfId="84" xr:uid="{00000000-0005-0000-0000-000083000000}"/>
    <cellStyle name="Currency 2 4 2" xfId="648" xr:uid="{00000000-0005-0000-0000-000084000000}"/>
    <cellStyle name="Currency 2 5" xfId="649" xr:uid="{00000000-0005-0000-0000-000085000000}"/>
    <cellStyle name="Currency 3" xfId="85" xr:uid="{00000000-0005-0000-0000-000086000000}"/>
    <cellStyle name="Currency 3 2" xfId="86" xr:uid="{00000000-0005-0000-0000-000087000000}"/>
    <cellStyle name="Currency 3 2 2" xfId="650" xr:uid="{00000000-0005-0000-0000-000088000000}"/>
    <cellStyle name="Currency 3 2 3" xfId="651" xr:uid="{00000000-0005-0000-0000-000089000000}"/>
    <cellStyle name="Currency 3 2 5 3 3 3 2" xfId="87" xr:uid="{00000000-0005-0000-0000-00008A000000}"/>
    <cellStyle name="Currency 3 2 5 3 3 3 2 2" xfId="652" xr:uid="{00000000-0005-0000-0000-00008B000000}"/>
    <cellStyle name="Currency 3 2 5 3 3 3 2 3" xfId="653" xr:uid="{00000000-0005-0000-0000-00008C000000}"/>
    <cellStyle name="Currency 3 3" xfId="88" xr:uid="{00000000-0005-0000-0000-00008D000000}"/>
    <cellStyle name="Currency 3 3 2" xfId="654" xr:uid="{00000000-0005-0000-0000-00008E000000}"/>
    <cellStyle name="Currency 3 4" xfId="89" xr:uid="{00000000-0005-0000-0000-00008F000000}"/>
    <cellStyle name="Currency 3 4 2" xfId="655" xr:uid="{00000000-0005-0000-0000-000090000000}"/>
    <cellStyle name="Currency 3 5" xfId="90" xr:uid="{00000000-0005-0000-0000-000091000000}"/>
    <cellStyle name="Currency 3 5 2" xfId="656" xr:uid="{00000000-0005-0000-0000-000092000000}"/>
    <cellStyle name="Currency 4" xfId="91" xr:uid="{00000000-0005-0000-0000-000093000000}"/>
    <cellStyle name="Currency 4 2" xfId="92" xr:uid="{00000000-0005-0000-0000-000094000000}"/>
    <cellStyle name="Currency 4 2 2" xfId="657" xr:uid="{00000000-0005-0000-0000-000095000000}"/>
    <cellStyle name="Currency 4 2 3" xfId="658" xr:uid="{00000000-0005-0000-0000-000096000000}"/>
    <cellStyle name="Currency 4 3" xfId="93" xr:uid="{00000000-0005-0000-0000-000097000000}"/>
    <cellStyle name="Currency 4 3 2" xfId="94" xr:uid="{00000000-0005-0000-0000-000098000000}"/>
    <cellStyle name="Currency 4 3 2 2" xfId="95" xr:uid="{00000000-0005-0000-0000-000099000000}"/>
    <cellStyle name="Currency 4 3 2 2 2" xfId="96" xr:uid="{00000000-0005-0000-0000-00009A000000}"/>
    <cellStyle name="Currency 4 3 2 3" xfId="97" xr:uid="{00000000-0005-0000-0000-00009B000000}"/>
    <cellStyle name="Currency 4 3 3" xfId="659" xr:uid="{00000000-0005-0000-0000-00009C000000}"/>
    <cellStyle name="Currency 4 3 3 2" xfId="660" xr:uid="{00000000-0005-0000-0000-00009D000000}"/>
    <cellStyle name="Currency 4 3 3 3" xfId="661" xr:uid="{00000000-0005-0000-0000-00009E000000}"/>
    <cellStyle name="Currency 4 4" xfId="98" xr:uid="{00000000-0005-0000-0000-00009F000000}"/>
    <cellStyle name="Currency 4 4 2" xfId="662" xr:uid="{00000000-0005-0000-0000-0000A0000000}"/>
    <cellStyle name="Currency 4 5" xfId="99" xr:uid="{00000000-0005-0000-0000-0000A1000000}"/>
    <cellStyle name="Currency 4 5 2 3" xfId="1824" xr:uid="{00000000-0005-0000-0000-0000A2000000}"/>
    <cellStyle name="Currency 4 6" xfId="100" xr:uid="{00000000-0005-0000-0000-0000A3000000}"/>
    <cellStyle name="Currency 4 7" xfId="101" xr:uid="{00000000-0005-0000-0000-0000A4000000}"/>
    <cellStyle name="Currency 4 8" xfId="631" xr:uid="{00000000-0005-0000-0000-0000A5000000}"/>
    <cellStyle name="Currency 5" xfId="102" xr:uid="{00000000-0005-0000-0000-0000A6000000}"/>
    <cellStyle name="Currency 5 2" xfId="103" xr:uid="{00000000-0005-0000-0000-0000A7000000}"/>
    <cellStyle name="Currency 5 2 2" xfId="104" xr:uid="{00000000-0005-0000-0000-0000A8000000}"/>
    <cellStyle name="Currency 5 2 2 2" xfId="663" xr:uid="{00000000-0005-0000-0000-0000A9000000}"/>
    <cellStyle name="Currency 5 2 2 3" xfId="664" xr:uid="{00000000-0005-0000-0000-0000AA000000}"/>
    <cellStyle name="Currency 5 2 3" xfId="665" xr:uid="{00000000-0005-0000-0000-0000AB000000}"/>
    <cellStyle name="Currency 5 2 4" xfId="666" xr:uid="{00000000-0005-0000-0000-0000AC000000}"/>
    <cellStyle name="Currency 5 3" xfId="105" xr:uid="{00000000-0005-0000-0000-0000AD000000}"/>
    <cellStyle name="Currency 5 4" xfId="106" xr:uid="{00000000-0005-0000-0000-0000AE000000}"/>
    <cellStyle name="Currency 5 4 2" xfId="668" xr:uid="{00000000-0005-0000-0000-0000AF000000}"/>
    <cellStyle name="Currency 5 4 3" xfId="667" xr:uid="{00000000-0005-0000-0000-0000B0000000}"/>
    <cellStyle name="Currency 5 5" xfId="669" xr:uid="{00000000-0005-0000-0000-0000B1000000}"/>
    <cellStyle name="Currency 5 6" xfId="670" xr:uid="{00000000-0005-0000-0000-0000B2000000}"/>
    <cellStyle name="Currency 6" xfId="107" xr:uid="{00000000-0005-0000-0000-0000B3000000}"/>
    <cellStyle name="Currency 6 2" xfId="108" xr:uid="{00000000-0005-0000-0000-0000B4000000}"/>
    <cellStyle name="Currency 6 2 2" xfId="109" xr:uid="{00000000-0005-0000-0000-0000B5000000}"/>
    <cellStyle name="Currency 6 2 2 2" xfId="110" xr:uid="{00000000-0005-0000-0000-0000B6000000}"/>
    <cellStyle name="Currency 6 2 2 2 2" xfId="674" xr:uid="{00000000-0005-0000-0000-0000B7000000}"/>
    <cellStyle name="Currency 6 2 2 3" xfId="673" xr:uid="{00000000-0005-0000-0000-0000B8000000}"/>
    <cellStyle name="Currency 6 2 3" xfId="111" xr:uid="{00000000-0005-0000-0000-0000B9000000}"/>
    <cellStyle name="Currency 6 2 3 2" xfId="675" xr:uid="{00000000-0005-0000-0000-0000BA000000}"/>
    <cellStyle name="Currency 6 2 4" xfId="672" xr:uid="{00000000-0005-0000-0000-0000BB000000}"/>
    <cellStyle name="Currency 6 3" xfId="112" xr:uid="{00000000-0005-0000-0000-0000BC000000}"/>
    <cellStyle name="Currency 6 3 2" xfId="113" xr:uid="{00000000-0005-0000-0000-0000BD000000}"/>
    <cellStyle name="Currency 6 3 3" xfId="676" xr:uid="{00000000-0005-0000-0000-0000BE000000}"/>
    <cellStyle name="Currency 6 4" xfId="114" xr:uid="{00000000-0005-0000-0000-0000BF000000}"/>
    <cellStyle name="Currency 6 5" xfId="671" xr:uid="{00000000-0005-0000-0000-0000C0000000}"/>
    <cellStyle name="Currency 7" xfId="115" xr:uid="{00000000-0005-0000-0000-0000C1000000}"/>
    <cellStyle name="Currency 7 2" xfId="116" xr:uid="{00000000-0005-0000-0000-0000C2000000}"/>
    <cellStyle name="Currency 7 2 2" xfId="677" xr:uid="{00000000-0005-0000-0000-0000C3000000}"/>
    <cellStyle name="Currency 7 3" xfId="117" xr:uid="{00000000-0005-0000-0000-0000C4000000}"/>
    <cellStyle name="Currency 8" xfId="118" xr:uid="{00000000-0005-0000-0000-0000C5000000}"/>
    <cellStyle name="Currency 8 2" xfId="119" xr:uid="{00000000-0005-0000-0000-0000C6000000}"/>
    <cellStyle name="Currency 8 2 2" xfId="680" xr:uid="{00000000-0005-0000-0000-0000C7000000}"/>
    <cellStyle name="Currency 8 2 3" xfId="679" xr:uid="{00000000-0005-0000-0000-0000C8000000}"/>
    <cellStyle name="Currency 8 3" xfId="681" xr:uid="{00000000-0005-0000-0000-0000C9000000}"/>
    <cellStyle name="Currency 8 4" xfId="682" xr:uid="{00000000-0005-0000-0000-0000CA000000}"/>
    <cellStyle name="Currency 8 5" xfId="735" xr:uid="{00000000-0005-0000-0000-0000CB000000}"/>
    <cellStyle name="Currency 8 6" xfId="678" xr:uid="{00000000-0005-0000-0000-0000CC000000}"/>
    <cellStyle name="Currency 9" xfId="120" xr:uid="{00000000-0005-0000-0000-0000CD000000}"/>
    <cellStyle name="Currency 9 2" xfId="121" xr:uid="{00000000-0005-0000-0000-0000CE000000}"/>
    <cellStyle name="Currency0" xfId="122" xr:uid="{00000000-0005-0000-0000-0000CF000000}"/>
    <cellStyle name="Date" xfId="123" xr:uid="{00000000-0005-0000-0000-0000D0000000}"/>
    <cellStyle name="DescriptionBody" xfId="4" xr:uid="{00000000-0005-0000-0000-0000D1000000}"/>
    <cellStyle name="DescriptionBody 2" xfId="578" xr:uid="{00000000-0005-0000-0000-0000D2000000}"/>
    <cellStyle name="DescriptionBody 2 2" xfId="599" xr:uid="{00000000-0005-0000-0000-0000D3000000}"/>
    <cellStyle name="DescriptionBody 2 2 2" xfId="785" xr:uid="{00000000-0005-0000-0000-0000D4000000}"/>
    <cellStyle name="DescriptionBody 2 2 2 2" xfId="971" xr:uid="{00000000-0005-0000-0000-0000D5000000}"/>
    <cellStyle name="DescriptionBody 2 2 2 2 2" xfId="1238" xr:uid="{00000000-0005-0000-0000-0000D6000000}"/>
    <cellStyle name="DescriptionBody 2 2 2 2 2 2" xfId="1709" xr:uid="{00000000-0005-0000-0000-0000D7000000}"/>
    <cellStyle name="DescriptionBody 2 2 2 2 3" xfId="1495" xr:uid="{00000000-0005-0000-0000-0000D8000000}"/>
    <cellStyle name="DescriptionBody 2 2 2 3" xfId="1067" xr:uid="{00000000-0005-0000-0000-0000D9000000}"/>
    <cellStyle name="DescriptionBody 2 2 2 3 2" xfId="1570" xr:uid="{00000000-0005-0000-0000-0000DA000000}"/>
    <cellStyle name="DescriptionBody 2 2 2 4" xfId="1369" xr:uid="{00000000-0005-0000-0000-0000DB000000}"/>
    <cellStyle name="DescriptionBody 2 2 3" xfId="827" xr:uid="{00000000-0005-0000-0000-0000DC000000}"/>
    <cellStyle name="DescriptionBody 2 2 3 2" xfId="1013" xr:uid="{00000000-0005-0000-0000-0000DD000000}"/>
    <cellStyle name="DescriptionBody 2 2 3 2 2" xfId="1280" xr:uid="{00000000-0005-0000-0000-0000DE000000}"/>
    <cellStyle name="DescriptionBody 2 2 3 2 2 2" xfId="1742" xr:uid="{00000000-0005-0000-0000-0000DF000000}"/>
    <cellStyle name="DescriptionBody 2 2 3 2 3" xfId="1528" xr:uid="{00000000-0005-0000-0000-0000E0000000}"/>
    <cellStyle name="DescriptionBody 2 2 3 3" xfId="1103" xr:uid="{00000000-0005-0000-0000-0000E1000000}"/>
    <cellStyle name="DescriptionBody 2 2 3 3 2" xfId="1599" xr:uid="{00000000-0005-0000-0000-0000E2000000}"/>
    <cellStyle name="DescriptionBody 2 2 3 4" xfId="1402" xr:uid="{00000000-0005-0000-0000-0000E3000000}"/>
    <cellStyle name="DescriptionBody 2 2 4" xfId="766" xr:uid="{00000000-0005-0000-0000-0000E4000000}"/>
    <cellStyle name="DescriptionBody 2 2 4 2" xfId="952" xr:uid="{00000000-0005-0000-0000-0000E5000000}"/>
    <cellStyle name="DescriptionBody 2 2 4 2 2" xfId="1219" xr:uid="{00000000-0005-0000-0000-0000E6000000}"/>
    <cellStyle name="DescriptionBody 2 2 4 2 2 2" xfId="1695" xr:uid="{00000000-0005-0000-0000-0000E7000000}"/>
    <cellStyle name="DescriptionBody 2 2 4 2 3" xfId="1481" xr:uid="{00000000-0005-0000-0000-0000E8000000}"/>
    <cellStyle name="DescriptionBody 2 2 4 3" xfId="1355" xr:uid="{00000000-0005-0000-0000-0000E9000000}"/>
    <cellStyle name="DescriptionBody 2 2 5" xfId="896" xr:uid="{00000000-0005-0000-0000-0000EA000000}"/>
    <cellStyle name="DescriptionBody 2 2 5 2" xfId="1163" xr:uid="{00000000-0005-0000-0000-0000EB000000}"/>
    <cellStyle name="DescriptionBody 2 2 5 2 2" xfId="1648" xr:uid="{00000000-0005-0000-0000-0000EC000000}"/>
    <cellStyle name="DescriptionBody 2 2 5 3" xfId="1442" xr:uid="{00000000-0005-0000-0000-0000ED000000}"/>
    <cellStyle name="DescriptionBody 2 2 6" xfId="1316" xr:uid="{00000000-0005-0000-0000-0000EE000000}"/>
    <cellStyle name="DescriptionBody 2 2 7" xfId="1792" xr:uid="{00000000-0005-0000-0000-0000EF000000}"/>
    <cellStyle name="DescriptionBody 2 3" xfId="611" xr:uid="{00000000-0005-0000-0000-0000F0000000}"/>
    <cellStyle name="DescriptionBody 2 3 2" xfId="797" xr:uid="{00000000-0005-0000-0000-0000F1000000}"/>
    <cellStyle name="DescriptionBody 2 3 2 2" xfId="983" xr:uid="{00000000-0005-0000-0000-0000F2000000}"/>
    <cellStyle name="DescriptionBody 2 3 2 2 2" xfId="1250" xr:uid="{00000000-0005-0000-0000-0000F3000000}"/>
    <cellStyle name="DescriptionBody 2 3 2 2 2 2" xfId="1719" xr:uid="{00000000-0005-0000-0000-0000F4000000}"/>
    <cellStyle name="DescriptionBody 2 3 2 2 3" xfId="1505" xr:uid="{00000000-0005-0000-0000-0000F5000000}"/>
    <cellStyle name="DescriptionBody 2 3 2 3" xfId="1079" xr:uid="{00000000-0005-0000-0000-0000F6000000}"/>
    <cellStyle name="DescriptionBody 2 3 2 3 2" xfId="1580" xr:uid="{00000000-0005-0000-0000-0000F7000000}"/>
    <cellStyle name="DescriptionBody 2 3 2 4" xfId="1379" xr:uid="{00000000-0005-0000-0000-0000F8000000}"/>
    <cellStyle name="DescriptionBody 2 3 3" xfId="839" xr:uid="{00000000-0005-0000-0000-0000F9000000}"/>
    <cellStyle name="DescriptionBody 2 3 3 2" xfId="1025" xr:uid="{00000000-0005-0000-0000-0000FA000000}"/>
    <cellStyle name="DescriptionBody 2 3 3 2 2" xfId="1292" xr:uid="{00000000-0005-0000-0000-0000FB000000}"/>
    <cellStyle name="DescriptionBody 2 3 3 2 2 2" xfId="1752" xr:uid="{00000000-0005-0000-0000-0000FC000000}"/>
    <cellStyle name="DescriptionBody 2 3 3 2 3" xfId="1538" xr:uid="{00000000-0005-0000-0000-0000FD000000}"/>
    <cellStyle name="DescriptionBody 2 3 3 3" xfId="1115" xr:uid="{00000000-0005-0000-0000-0000FE000000}"/>
    <cellStyle name="DescriptionBody 2 3 3 3 2" xfId="1609" xr:uid="{00000000-0005-0000-0000-0000FF000000}"/>
    <cellStyle name="DescriptionBody 2 3 3 4" xfId="1412" xr:uid="{00000000-0005-0000-0000-000000010000}"/>
    <cellStyle name="DescriptionBody 2 3 4" xfId="755" xr:uid="{00000000-0005-0000-0000-000001010000}"/>
    <cellStyle name="DescriptionBody 2 3 4 2" xfId="942" xr:uid="{00000000-0005-0000-0000-000002010000}"/>
    <cellStyle name="DescriptionBody 2 3 4 2 2" xfId="1209" xr:uid="{00000000-0005-0000-0000-000003010000}"/>
    <cellStyle name="DescriptionBody 2 3 4 2 2 2" xfId="1686" xr:uid="{00000000-0005-0000-0000-000004010000}"/>
    <cellStyle name="DescriptionBody 2 3 4 2 3" xfId="1472" xr:uid="{00000000-0005-0000-0000-000005010000}"/>
    <cellStyle name="DescriptionBody 2 3 4 3" xfId="1346" xr:uid="{00000000-0005-0000-0000-000006010000}"/>
    <cellStyle name="DescriptionBody 2 3 5" xfId="908" xr:uid="{00000000-0005-0000-0000-000007010000}"/>
    <cellStyle name="DescriptionBody 2 3 5 2" xfId="1175" xr:uid="{00000000-0005-0000-0000-000008010000}"/>
    <cellStyle name="DescriptionBody 2 3 5 2 2" xfId="1658" xr:uid="{00000000-0005-0000-0000-000009010000}"/>
    <cellStyle name="DescriptionBody 2 3 5 3" xfId="1448" xr:uid="{00000000-0005-0000-0000-00000A010000}"/>
    <cellStyle name="DescriptionBody 2 3 6" xfId="1322" xr:uid="{00000000-0005-0000-0000-00000B010000}"/>
    <cellStyle name="DescriptionBody 2 3 7" xfId="1793" xr:uid="{00000000-0005-0000-0000-00000C010000}"/>
    <cellStyle name="DescriptionBody 2 4" xfId="875" xr:uid="{00000000-0005-0000-0000-00000D010000}"/>
    <cellStyle name="DescriptionBody 2 4 2" xfId="1142" xr:uid="{00000000-0005-0000-0000-00000E010000}"/>
    <cellStyle name="DescriptionBody 2 4 2 2" xfId="1632" xr:uid="{00000000-0005-0000-0000-00000F010000}"/>
    <cellStyle name="DescriptionBody 2 4 3" xfId="1432" xr:uid="{00000000-0005-0000-0000-000010010000}"/>
    <cellStyle name="DescriptionBody 2 5" xfId="1045" xr:uid="{00000000-0005-0000-0000-000011010000}"/>
    <cellStyle name="DescriptionBody 2 5 2" xfId="1775" xr:uid="{00000000-0005-0000-0000-000012010000}"/>
    <cellStyle name="DescriptionBody 2 6" xfId="1310" xr:uid="{00000000-0005-0000-0000-000013010000}"/>
    <cellStyle name="DescriptionBody 2 7" xfId="1801" xr:uid="{00000000-0005-0000-0000-000014010000}"/>
    <cellStyle name="DescriptionBody 3" xfId="581" xr:uid="{00000000-0005-0000-0000-000015010000}"/>
    <cellStyle name="DescriptionBody 3 2" xfId="602" xr:uid="{00000000-0005-0000-0000-000016010000}"/>
    <cellStyle name="DescriptionBody 3 2 2" xfId="788" xr:uid="{00000000-0005-0000-0000-000017010000}"/>
    <cellStyle name="DescriptionBody 3 2 2 2" xfId="974" xr:uid="{00000000-0005-0000-0000-000018010000}"/>
    <cellStyle name="DescriptionBody 3 2 2 2 2" xfId="1241" xr:uid="{00000000-0005-0000-0000-000019010000}"/>
    <cellStyle name="DescriptionBody 3 2 2 2 2 2" xfId="1712" xr:uid="{00000000-0005-0000-0000-00001A010000}"/>
    <cellStyle name="DescriptionBody 3 2 2 2 3" xfId="1498" xr:uid="{00000000-0005-0000-0000-00001B010000}"/>
    <cellStyle name="DescriptionBody 3 2 2 3" xfId="1070" xr:uid="{00000000-0005-0000-0000-00001C010000}"/>
    <cellStyle name="DescriptionBody 3 2 2 3 2" xfId="1573" xr:uid="{00000000-0005-0000-0000-00001D010000}"/>
    <cellStyle name="DescriptionBody 3 2 2 4" xfId="1372" xr:uid="{00000000-0005-0000-0000-00001E010000}"/>
    <cellStyle name="DescriptionBody 3 2 3" xfId="830" xr:uid="{00000000-0005-0000-0000-00001F010000}"/>
    <cellStyle name="DescriptionBody 3 2 3 2" xfId="1016" xr:uid="{00000000-0005-0000-0000-000020010000}"/>
    <cellStyle name="DescriptionBody 3 2 3 2 2" xfId="1283" xr:uid="{00000000-0005-0000-0000-000021010000}"/>
    <cellStyle name="DescriptionBody 3 2 3 2 2 2" xfId="1745" xr:uid="{00000000-0005-0000-0000-000022010000}"/>
    <cellStyle name="DescriptionBody 3 2 3 2 3" xfId="1531" xr:uid="{00000000-0005-0000-0000-000023010000}"/>
    <cellStyle name="DescriptionBody 3 2 3 3" xfId="1106" xr:uid="{00000000-0005-0000-0000-000024010000}"/>
    <cellStyle name="DescriptionBody 3 2 3 3 2" xfId="1602" xr:uid="{00000000-0005-0000-0000-000025010000}"/>
    <cellStyle name="DescriptionBody 3 2 3 4" xfId="1405" xr:uid="{00000000-0005-0000-0000-000026010000}"/>
    <cellStyle name="DescriptionBody 3 2 4" xfId="738" xr:uid="{00000000-0005-0000-0000-000027010000}"/>
    <cellStyle name="DescriptionBody 3 2 4 2" xfId="927" xr:uid="{00000000-0005-0000-0000-000028010000}"/>
    <cellStyle name="DescriptionBody 3 2 4 2 2" xfId="1194" xr:uid="{00000000-0005-0000-0000-000029010000}"/>
    <cellStyle name="DescriptionBody 3 2 4 2 2 2" xfId="1674" xr:uid="{00000000-0005-0000-0000-00002A010000}"/>
    <cellStyle name="DescriptionBody 3 2 4 2 3" xfId="1460" xr:uid="{00000000-0005-0000-0000-00002B010000}"/>
    <cellStyle name="DescriptionBody 3 2 4 3" xfId="1334" xr:uid="{00000000-0005-0000-0000-00002C010000}"/>
    <cellStyle name="DescriptionBody 3 2 5" xfId="899" xr:uid="{00000000-0005-0000-0000-00002D010000}"/>
    <cellStyle name="DescriptionBody 3 2 5 2" xfId="1166" xr:uid="{00000000-0005-0000-0000-00002E010000}"/>
    <cellStyle name="DescriptionBody 3 2 5 2 2" xfId="1651" xr:uid="{00000000-0005-0000-0000-00002F010000}"/>
    <cellStyle name="DescriptionBody 3 2 5 3" xfId="1445" xr:uid="{00000000-0005-0000-0000-000030010000}"/>
    <cellStyle name="DescriptionBody 3 2 6" xfId="1319" xr:uid="{00000000-0005-0000-0000-000031010000}"/>
    <cellStyle name="DescriptionBody 3 2 7" xfId="1805" xr:uid="{00000000-0005-0000-0000-000032010000}"/>
    <cellStyle name="DescriptionBody 3 3" xfId="614" xr:uid="{00000000-0005-0000-0000-000033010000}"/>
    <cellStyle name="DescriptionBody 3 3 2" xfId="800" xr:uid="{00000000-0005-0000-0000-000034010000}"/>
    <cellStyle name="DescriptionBody 3 3 2 2" xfId="986" xr:uid="{00000000-0005-0000-0000-000035010000}"/>
    <cellStyle name="DescriptionBody 3 3 2 2 2" xfId="1253" xr:uid="{00000000-0005-0000-0000-000036010000}"/>
    <cellStyle name="DescriptionBody 3 3 2 2 2 2" xfId="1722" xr:uid="{00000000-0005-0000-0000-000037010000}"/>
    <cellStyle name="DescriptionBody 3 3 2 2 3" xfId="1508" xr:uid="{00000000-0005-0000-0000-000038010000}"/>
    <cellStyle name="DescriptionBody 3 3 2 3" xfId="1082" xr:uid="{00000000-0005-0000-0000-000039010000}"/>
    <cellStyle name="DescriptionBody 3 3 2 3 2" xfId="1583" xr:uid="{00000000-0005-0000-0000-00003A010000}"/>
    <cellStyle name="DescriptionBody 3 3 2 4" xfId="1382" xr:uid="{00000000-0005-0000-0000-00003B010000}"/>
    <cellStyle name="DescriptionBody 3 3 3" xfId="842" xr:uid="{00000000-0005-0000-0000-00003C010000}"/>
    <cellStyle name="DescriptionBody 3 3 3 2" xfId="1028" xr:uid="{00000000-0005-0000-0000-00003D010000}"/>
    <cellStyle name="DescriptionBody 3 3 3 2 2" xfId="1295" xr:uid="{00000000-0005-0000-0000-00003E010000}"/>
    <cellStyle name="DescriptionBody 3 3 3 2 2 2" xfId="1755" xr:uid="{00000000-0005-0000-0000-00003F010000}"/>
    <cellStyle name="DescriptionBody 3 3 3 2 3" xfId="1541" xr:uid="{00000000-0005-0000-0000-000040010000}"/>
    <cellStyle name="DescriptionBody 3 3 3 3" xfId="1118" xr:uid="{00000000-0005-0000-0000-000041010000}"/>
    <cellStyle name="DescriptionBody 3 3 3 3 2" xfId="1612" xr:uid="{00000000-0005-0000-0000-000042010000}"/>
    <cellStyle name="DescriptionBody 3 3 3 4" xfId="1415" xr:uid="{00000000-0005-0000-0000-000043010000}"/>
    <cellStyle name="DescriptionBody 3 3 4" xfId="814" xr:uid="{00000000-0005-0000-0000-000044010000}"/>
    <cellStyle name="DescriptionBody 3 3 4 2" xfId="1000" xr:uid="{00000000-0005-0000-0000-000045010000}"/>
    <cellStyle name="DescriptionBody 3 3 4 2 2" xfId="1267" xr:uid="{00000000-0005-0000-0000-000046010000}"/>
    <cellStyle name="DescriptionBody 3 3 4 2 2 2" xfId="1733" xr:uid="{00000000-0005-0000-0000-000047010000}"/>
    <cellStyle name="DescriptionBody 3 3 4 2 3" xfId="1519" xr:uid="{00000000-0005-0000-0000-000048010000}"/>
    <cellStyle name="DescriptionBody 3 3 4 3" xfId="1393" xr:uid="{00000000-0005-0000-0000-000049010000}"/>
    <cellStyle name="DescriptionBody 3 3 5" xfId="911" xr:uid="{00000000-0005-0000-0000-00004A010000}"/>
    <cellStyle name="DescriptionBody 3 3 5 2" xfId="1178" xr:uid="{00000000-0005-0000-0000-00004B010000}"/>
    <cellStyle name="DescriptionBody 3 3 5 2 2" xfId="1661" xr:uid="{00000000-0005-0000-0000-00004C010000}"/>
    <cellStyle name="DescriptionBody 3 3 5 3" xfId="1451" xr:uid="{00000000-0005-0000-0000-00004D010000}"/>
    <cellStyle name="DescriptionBody 3 3 6" xfId="1325" xr:uid="{00000000-0005-0000-0000-00004E010000}"/>
    <cellStyle name="DescriptionBody 3 3 7" xfId="1809" xr:uid="{00000000-0005-0000-0000-00004F010000}"/>
    <cellStyle name="DescriptionBody 3 4" xfId="768" xr:uid="{00000000-0005-0000-0000-000050010000}"/>
    <cellStyle name="DescriptionBody 3 4 2" xfId="954" xr:uid="{00000000-0005-0000-0000-000051010000}"/>
    <cellStyle name="DescriptionBody 3 4 2 2" xfId="1221" xr:uid="{00000000-0005-0000-0000-000052010000}"/>
    <cellStyle name="DescriptionBody 3 4 2 2 2" xfId="1697" xr:uid="{00000000-0005-0000-0000-000053010000}"/>
    <cellStyle name="DescriptionBody 3 4 2 3" xfId="1483" xr:uid="{00000000-0005-0000-0000-000054010000}"/>
    <cellStyle name="DescriptionBody 3 4 3" xfId="1050" xr:uid="{00000000-0005-0000-0000-000055010000}"/>
    <cellStyle name="DescriptionBody 3 4 3 2" xfId="1558" xr:uid="{00000000-0005-0000-0000-000056010000}"/>
    <cellStyle name="DescriptionBody 3 4 4" xfId="1357" xr:uid="{00000000-0005-0000-0000-000057010000}"/>
    <cellStyle name="DescriptionBody 3 5" xfId="878" xr:uid="{00000000-0005-0000-0000-000058010000}"/>
    <cellStyle name="DescriptionBody 3 5 2" xfId="1145" xr:uid="{00000000-0005-0000-0000-000059010000}"/>
    <cellStyle name="DescriptionBody 3 5 2 2" xfId="1635" xr:uid="{00000000-0005-0000-0000-00005A010000}"/>
    <cellStyle name="DescriptionBody 3 5 3" xfId="1435" xr:uid="{00000000-0005-0000-0000-00005B010000}"/>
    <cellStyle name="DescriptionBody 3 6" xfId="1313" xr:uid="{00000000-0005-0000-0000-00005C010000}"/>
    <cellStyle name="DescriptionBody 3 7" xfId="1783" xr:uid="{00000000-0005-0000-0000-00005D010000}"/>
    <cellStyle name="DescriptionBody 4" xfId="623" xr:uid="{00000000-0005-0000-0000-00005E010000}"/>
    <cellStyle name="DescriptionBody 4 2" xfId="809" xr:uid="{00000000-0005-0000-0000-00005F010000}"/>
    <cellStyle name="DescriptionBody 4 2 2" xfId="995" xr:uid="{00000000-0005-0000-0000-000060010000}"/>
    <cellStyle name="DescriptionBody 4 2 2 2" xfId="1262" xr:uid="{00000000-0005-0000-0000-000061010000}"/>
    <cellStyle name="DescriptionBody 4 2 2 2 2" xfId="1729" xr:uid="{00000000-0005-0000-0000-000062010000}"/>
    <cellStyle name="DescriptionBody 4 2 2 3" xfId="1515" xr:uid="{00000000-0005-0000-0000-000063010000}"/>
    <cellStyle name="DescriptionBody 4 2 3" xfId="1091" xr:uid="{00000000-0005-0000-0000-000064010000}"/>
    <cellStyle name="DescriptionBody 4 2 3 2" xfId="1590" xr:uid="{00000000-0005-0000-0000-000065010000}"/>
    <cellStyle name="DescriptionBody 4 2 4" xfId="1389" xr:uid="{00000000-0005-0000-0000-000066010000}"/>
    <cellStyle name="DescriptionBody 4 3" xfId="851" xr:uid="{00000000-0005-0000-0000-000067010000}"/>
    <cellStyle name="DescriptionBody 4 3 2" xfId="1037" xr:uid="{00000000-0005-0000-0000-000068010000}"/>
    <cellStyle name="DescriptionBody 4 3 2 2" xfId="1304" xr:uid="{00000000-0005-0000-0000-000069010000}"/>
    <cellStyle name="DescriptionBody 4 3 2 2 2" xfId="1762" xr:uid="{00000000-0005-0000-0000-00006A010000}"/>
    <cellStyle name="DescriptionBody 4 3 2 3" xfId="1548" xr:uid="{00000000-0005-0000-0000-00006B010000}"/>
    <cellStyle name="DescriptionBody 4 3 3" xfId="1127" xr:uid="{00000000-0005-0000-0000-00006C010000}"/>
    <cellStyle name="DescriptionBody 4 3 3 2" xfId="1619" xr:uid="{00000000-0005-0000-0000-00006D010000}"/>
    <cellStyle name="DescriptionBody 4 3 4" xfId="1422" xr:uid="{00000000-0005-0000-0000-00006E010000}"/>
    <cellStyle name="DescriptionBody 4 4" xfId="764" xr:uid="{00000000-0005-0000-0000-00006F010000}"/>
    <cellStyle name="DescriptionBody 4 4 2" xfId="950" xr:uid="{00000000-0005-0000-0000-000070010000}"/>
    <cellStyle name="DescriptionBody 4 4 2 2" xfId="1217" xr:uid="{00000000-0005-0000-0000-000071010000}"/>
    <cellStyle name="DescriptionBody 4 4 2 2 2" xfId="1693" xr:uid="{00000000-0005-0000-0000-000072010000}"/>
    <cellStyle name="DescriptionBody 4 4 2 3" xfId="1479" xr:uid="{00000000-0005-0000-0000-000073010000}"/>
    <cellStyle name="DescriptionBody 4 4 3" xfId="1047" xr:uid="{00000000-0005-0000-0000-000074010000}"/>
    <cellStyle name="DescriptionBody 4 4 3 2" xfId="1555" xr:uid="{00000000-0005-0000-0000-000075010000}"/>
    <cellStyle name="DescriptionBody 4 4 4" xfId="1353" xr:uid="{00000000-0005-0000-0000-000076010000}"/>
    <cellStyle name="DescriptionBody 4 5" xfId="920" xr:uid="{00000000-0005-0000-0000-000077010000}"/>
    <cellStyle name="DescriptionBody 4 5 2" xfId="1187" xr:uid="{00000000-0005-0000-0000-000078010000}"/>
    <cellStyle name="DescriptionBody 4 5 2 2" xfId="1668" xr:uid="{00000000-0005-0000-0000-000079010000}"/>
    <cellStyle name="DescriptionBody 4 5 3" xfId="1454" xr:uid="{00000000-0005-0000-0000-00007A010000}"/>
    <cellStyle name="DescriptionBody 4 6" xfId="1042" xr:uid="{00000000-0005-0000-0000-00007B010000}"/>
    <cellStyle name="DescriptionBody 4 6 2" xfId="1551" xr:uid="{00000000-0005-0000-0000-00007C010000}"/>
    <cellStyle name="DescriptionBody 4 7" xfId="1328" xr:uid="{00000000-0005-0000-0000-00007D010000}"/>
    <cellStyle name="DescriptionBody 5" xfId="864" xr:uid="{00000000-0005-0000-0000-00007E010000}"/>
    <cellStyle name="DescriptionBody 5 2" xfId="1131" xr:uid="{00000000-0005-0000-0000-00007F010000}"/>
    <cellStyle name="DescriptionBody 5 2 2" xfId="1623" xr:uid="{00000000-0005-0000-0000-000080010000}"/>
    <cellStyle name="DescriptionBody 6" xfId="869" xr:uid="{00000000-0005-0000-0000-000081010000}"/>
    <cellStyle name="DescriptionBody 6 2" xfId="1136" xr:uid="{00000000-0005-0000-0000-000082010000}"/>
    <cellStyle name="DescriptionBody 6 2 2" xfId="1627" xr:uid="{00000000-0005-0000-0000-000083010000}"/>
    <cellStyle name="DescriptionBody 6 3" xfId="1427" xr:uid="{00000000-0005-0000-0000-000084010000}"/>
    <cellStyle name="DescriptionBody 7" xfId="1307" xr:uid="{00000000-0005-0000-0000-000085010000}"/>
    <cellStyle name="Explanatory Text" xfId="544" builtinId="53" customBuiltin="1"/>
    <cellStyle name="Explanatory Text 2" xfId="124" xr:uid="{00000000-0005-0000-0000-000087010000}"/>
    <cellStyle name="Fixed" xfId="125" xr:uid="{00000000-0005-0000-0000-000088010000}"/>
    <cellStyle name="Good" xfId="534" builtinId="26" customBuiltin="1"/>
    <cellStyle name="Good 2" xfId="126" xr:uid="{00000000-0005-0000-0000-00008A010000}"/>
    <cellStyle name="Grey" xfId="127" xr:uid="{00000000-0005-0000-0000-00008B010000}"/>
    <cellStyle name="Heading 1" xfId="530" builtinId="16" customBuiltin="1"/>
    <cellStyle name="Heading 1 2" xfId="129" xr:uid="{00000000-0005-0000-0000-00008D010000}"/>
    <cellStyle name="Heading 1 3" xfId="130" xr:uid="{00000000-0005-0000-0000-00008E010000}"/>
    <cellStyle name="Heading 1 4" xfId="128" xr:uid="{00000000-0005-0000-0000-00008F010000}"/>
    <cellStyle name="Heading 2" xfId="531" builtinId="17" customBuiltin="1"/>
    <cellStyle name="Heading 2 2" xfId="132" xr:uid="{00000000-0005-0000-0000-000091010000}"/>
    <cellStyle name="Heading 2 3" xfId="133" xr:uid="{00000000-0005-0000-0000-000092010000}"/>
    <cellStyle name="Heading 2 4" xfId="131" xr:uid="{00000000-0005-0000-0000-000093010000}"/>
    <cellStyle name="Heading 3" xfId="532" builtinId="18" customBuiltin="1"/>
    <cellStyle name="Heading 3 2" xfId="134" xr:uid="{00000000-0005-0000-0000-000095010000}"/>
    <cellStyle name="Heading 4" xfId="533" builtinId="19" customBuiltin="1"/>
    <cellStyle name="Heading 4 2" xfId="135" xr:uid="{00000000-0005-0000-0000-000097010000}"/>
    <cellStyle name="Hyperlink 2" xfId="136" xr:uid="{00000000-0005-0000-0000-000098010000}"/>
    <cellStyle name="Hyperlink 2 2" xfId="137" xr:uid="{00000000-0005-0000-0000-000099010000}"/>
    <cellStyle name="Hyperlink 2 3" xfId="683" xr:uid="{00000000-0005-0000-0000-00009A010000}"/>
    <cellStyle name="Hyperlink 3" xfId="138" xr:uid="{00000000-0005-0000-0000-00009B010000}"/>
    <cellStyle name="Hyperlink 4" xfId="139" xr:uid="{00000000-0005-0000-0000-00009C010000}"/>
    <cellStyle name="Hyperlink 5" xfId="140" xr:uid="{00000000-0005-0000-0000-00009D010000}"/>
    <cellStyle name="Hyperlink 6" xfId="141" xr:uid="{00000000-0005-0000-0000-00009E010000}"/>
    <cellStyle name="Input" xfId="537" builtinId="20" customBuiltin="1"/>
    <cellStyle name="Input [yellow]" xfId="143" xr:uid="{00000000-0005-0000-0000-0000A0010000}"/>
    <cellStyle name="Input [yellow] 2" xfId="579" xr:uid="{00000000-0005-0000-0000-0000A1010000}"/>
    <cellStyle name="Input [yellow] 2 2" xfId="600" xr:uid="{00000000-0005-0000-0000-0000A2010000}"/>
    <cellStyle name="Input [yellow] 2 2 2" xfId="786" xr:uid="{00000000-0005-0000-0000-0000A3010000}"/>
    <cellStyle name="Input [yellow] 2 2 2 2" xfId="972" xr:uid="{00000000-0005-0000-0000-0000A4010000}"/>
    <cellStyle name="Input [yellow] 2 2 2 2 2" xfId="1239" xr:uid="{00000000-0005-0000-0000-0000A5010000}"/>
    <cellStyle name="Input [yellow] 2 2 2 2 2 2" xfId="1710" xr:uid="{00000000-0005-0000-0000-0000A6010000}"/>
    <cellStyle name="Input [yellow] 2 2 2 2 3" xfId="1496" xr:uid="{00000000-0005-0000-0000-0000A7010000}"/>
    <cellStyle name="Input [yellow] 2 2 2 3" xfId="1068" xr:uid="{00000000-0005-0000-0000-0000A8010000}"/>
    <cellStyle name="Input [yellow] 2 2 2 3 2" xfId="1571" xr:uid="{00000000-0005-0000-0000-0000A9010000}"/>
    <cellStyle name="Input [yellow] 2 2 2 4" xfId="1370" xr:uid="{00000000-0005-0000-0000-0000AA010000}"/>
    <cellStyle name="Input [yellow] 2 2 3" xfId="828" xr:uid="{00000000-0005-0000-0000-0000AB010000}"/>
    <cellStyle name="Input [yellow] 2 2 3 2" xfId="1014" xr:uid="{00000000-0005-0000-0000-0000AC010000}"/>
    <cellStyle name="Input [yellow] 2 2 3 2 2" xfId="1281" xr:uid="{00000000-0005-0000-0000-0000AD010000}"/>
    <cellStyle name="Input [yellow] 2 2 3 2 2 2" xfId="1743" xr:uid="{00000000-0005-0000-0000-0000AE010000}"/>
    <cellStyle name="Input [yellow] 2 2 3 2 3" xfId="1529" xr:uid="{00000000-0005-0000-0000-0000AF010000}"/>
    <cellStyle name="Input [yellow] 2 2 3 3" xfId="1104" xr:uid="{00000000-0005-0000-0000-0000B0010000}"/>
    <cellStyle name="Input [yellow] 2 2 3 3 2" xfId="1600" xr:uid="{00000000-0005-0000-0000-0000B1010000}"/>
    <cellStyle name="Input [yellow] 2 2 3 4" xfId="1403" xr:uid="{00000000-0005-0000-0000-0000B2010000}"/>
    <cellStyle name="Input [yellow] 2 2 4" xfId="726" xr:uid="{00000000-0005-0000-0000-0000B3010000}"/>
    <cellStyle name="Input [yellow] 2 2 4 2" xfId="924" xr:uid="{00000000-0005-0000-0000-0000B4010000}"/>
    <cellStyle name="Input [yellow] 2 2 4 2 2" xfId="1191" xr:uid="{00000000-0005-0000-0000-0000B5010000}"/>
    <cellStyle name="Input [yellow] 2 2 4 2 2 2" xfId="1672" xr:uid="{00000000-0005-0000-0000-0000B6010000}"/>
    <cellStyle name="Input [yellow] 2 2 4 2 3" xfId="1458" xr:uid="{00000000-0005-0000-0000-0000B7010000}"/>
    <cellStyle name="Input [yellow] 2 2 4 3" xfId="1332" xr:uid="{00000000-0005-0000-0000-0000B8010000}"/>
    <cellStyle name="Input [yellow] 2 2 5" xfId="897" xr:uid="{00000000-0005-0000-0000-0000B9010000}"/>
    <cellStyle name="Input [yellow] 2 2 5 2" xfId="1164" xr:uid="{00000000-0005-0000-0000-0000BA010000}"/>
    <cellStyle name="Input [yellow] 2 2 5 2 2" xfId="1649" xr:uid="{00000000-0005-0000-0000-0000BB010000}"/>
    <cellStyle name="Input [yellow] 2 2 5 3" xfId="1443" xr:uid="{00000000-0005-0000-0000-0000BC010000}"/>
    <cellStyle name="Input [yellow] 2 2 6" xfId="1317" xr:uid="{00000000-0005-0000-0000-0000BD010000}"/>
    <cellStyle name="Input [yellow] 2 2 7" xfId="1815" xr:uid="{00000000-0005-0000-0000-0000BE010000}"/>
    <cellStyle name="Input [yellow] 2 3" xfId="612" xr:uid="{00000000-0005-0000-0000-0000BF010000}"/>
    <cellStyle name="Input [yellow] 2 3 2" xfId="798" xr:uid="{00000000-0005-0000-0000-0000C0010000}"/>
    <cellStyle name="Input [yellow] 2 3 2 2" xfId="984" xr:uid="{00000000-0005-0000-0000-0000C1010000}"/>
    <cellStyle name="Input [yellow] 2 3 2 2 2" xfId="1251" xr:uid="{00000000-0005-0000-0000-0000C2010000}"/>
    <cellStyle name="Input [yellow] 2 3 2 2 2 2" xfId="1720" xr:uid="{00000000-0005-0000-0000-0000C3010000}"/>
    <cellStyle name="Input [yellow] 2 3 2 2 3" xfId="1506" xr:uid="{00000000-0005-0000-0000-0000C4010000}"/>
    <cellStyle name="Input [yellow] 2 3 2 3" xfId="1080" xr:uid="{00000000-0005-0000-0000-0000C5010000}"/>
    <cellStyle name="Input [yellow] 2 3 2 3 2" xfId="1581" xr:uid="{00000000-0005-0000-0000-0000C6010000}"/>
    <cellStyle name="Input [yellow] 2 3 2 4" xfId="1380" xr:uid="{00000000-0005-0000-0000-0000C7010000}"/>
    <cellStyle name="Input [yellow] 2 3 3" xfId="840" xr:uid="{00000000-0005-0000-0000-0000C8010000}"/>
    <cellStyle name="Input [yellow] 2 3 3 2" xfId="1026" xr:uid="{00000000-0005-0000-0000-0000C9010000}"/>
    <cellStyle name="Input [yellow] 2 3 3 2 2" xfId="1293" xr:uid="{00000000-0005-0000-0000-0000CA010000}"/>
    <cellStyle name="Input [yellow] 2 3 3 2 2 2" xfId="1753" xr:uid="{00000000-0005-0000-0000-0000CB010000}"/>
    <cellStyle name="Input [yellow] 2 3 3 2 3" xfId="1539" xr:uid="{00000000-0005-0000-0000-0000CC010000}"/>
    <cellStyle name="Input [yellow] 2 3 3 3" xfId="1116" xr:uid="{00000000-0005-0000-0000-0000CD010000}"/>
    <cellStyle name="Input [yellow] 2 3 3 3 2" xfId="1610" xr:uid="{00000000-0005-0000-0000-0000CE010000}"/>
    <cellStyle name="Input [yellow] 2 3 3 4" xfId="1413" xr:uid="{00000000-0005-0000-0000-0000CF010000}"/>
    <cellStyle name="Input [yellow] 2 3 4" xfId="741" xr:uid="{00000000-0005-0000-0000-0000D0010000}"/>
    <cellStyle name="Input [yellow] 2 3 4 2" xfId="930" xr:uid="{00000000-0005-0000-0000-0000D1010000}"/>
    <cellStyle name="Input [yellow] 2 3 4 2 2" xfId="1197" xr:uid="{00000000-0005-0000-0000-0000D2010000}"/>
    <cellStyle name="Input [yellow] 2 3 4 2 2 2" xfId="1676" xr:uid="{00000000-0005-0000-0000-0000D3010000}"/>
    <cellStyle name="Input [yellow] 2 3 4 2 3" xfId="1462" xr:uid="{00000000-0005-0000-0000-0000D4010000}"/>
    <cellStyle name="Input [yellow] 2 3 4 3" xfId="1336" xr:uid="{00000000-0005-0000-0000-0000D5010000}"/>
    <cellStyle name="Input [yellow] 2 3 5" xfId="909" xr:uid="{00000000-0005-0000-0000-0000D6010000}"/>
    <cellStyle name="Input [yellow] 2 3 5 2" xfId="1176" xr:uid="{00000000-0005-0000-0000-0000D7010000}"/>
    <cellStyle name="Input [yellow] 2 3 5 2 2" xfId="1659" xr:uid="{00000000-0005-0000-0000-0000D8010000}"/>
    <cellStyle name="Input [yellow] 2 3 5 3" xfId="1449" xr:uid="{00000000-0005-0000-0000-0000D9010000}"/>
    <cellStyle name="Input [yellow] 2 3 6" xfId="1323" xr:uid="{00000000-0005-0000-0000-0000DA010000}"/>
    <cellStyle name="Input [yellow] 2 3 7" xfId="1799" xr:uid="{00000000-0005-0000-0000-0000DB010000}"/>
    <cellStyle name="Input [yellow] 2 4" xfId="876" xr:uid="{00000000-0005-0000-0000-0000DC010000}"/>
    <cellStyle name="Input [yellow] 2 4 2" xfId="1143" xr:uid="{00000000-0005-0000-0000-0000DD010000}"/>
    <cellStyle name="Input [yellow] 2 4 2 2" xfId="1633" xr:uid="{00000000-0005-0000-0000-0000DE010000}"/>
    <cellStyle name="Input [yellow] 2 4 3" xfId="1433" xr:uid="{00000000-0005-0000-0000-0000DF010000}"/>
    <cellStyle name="Input [yellow] 2 5" xfId="1041" xr:uid="{00000000-0005-0000-0000-0000E0010000}"/>
    <cellStyle name="Input [yellow] 2 5 2" xfId="1774" xr:uid="{00000000-0005-0000-0000-0000E1010000}"/>
    <cellStyle name="Input [yellow] 2 6" xfId="1311" xr:uid="{00000000-0005-0000-0000-0000E2010000}"/>
    <cellStyle name="Input [yellow] 2 7" xfId="1779" xr:uid="{00000000-0005-0000-0000-0000E3010000}"/>
    <cellStyle name="Input [yellow] 3" xfId="580" xr:uid="{00000000-0005-0000-0000-0000E4010000}"/>
    <cellStyle name="Input [yellow] 3 2" xfId="601" xr:uid="{00000000-0005-0000-0000-0000E5010000}"/>
    <cellStyle name="Input [yellow] 3 2 2" xfId="787" xr:uid="{00000000-0005-0000-0000-0000E6010000}"/>
    <cellStyle name="Input [yellow] 3 2 2 2" xfId="973" xr:uid="{00000000-0005-0000-0000-0000E7010000}"/>
    <cellStyle name="Input [yellow] 3 2 2 2 2" xfId="1240" xr:uid="{00000000-0005-0000-0000-0000E8010000}"/>
    <cellStyle name="Input [yellow] 3 2 2 2 2 2" xfId="1711" xr:uid="{00000000-0005-0000-0000-0000E9010000}"/>
    <cellStyle name="Input [yellow] 3 2 2 2 3" xfId="1497" xr:uid="{00000000-0005-0000-0000-0000EA010000}"/>
    <cellStyle name="Input [yellow] 3 2 2 3" xfId="1069" xr:uid="{00000000-0005-0000-0000-0000EB010000}"/>
    <cellStyle name="Input [yellow] 3 2 2 3 2" xfId="1572" xr:uid="{00000000-0005-0000-0000-0000EC010000}"/>
    <cellStyle name="Input [yellow] 3 2 2 4" xfId="1371" xr:uid="{00000000-0005-0000-0000-0000ED010000}"/>
    <cellStyle name="Input [yellow] 3 2 3" xfId="829" xr:uid="{00000000-0005-0000-0000-0000EE010000}"/>
    <cellStyle name="Input [yellow] 3 2 3 2" xfId="1015" xr:uid="{00000000-0005-0000-0000-0000EF010000}"/>
    <cellStyle name="Input [yellow] 3 2 3 2 2" xfId="1282" xr:uid="{00000000-0005-0000-0000-0000F0010000}"/>
    <cellStyle name="Input [yellow] 3 2 3 2 2 2" xfId="1744" xr:uid="{00000000-0005-0000-0000-0000F1010000}"/>
    <cellStyle name="Input [yellow] 3 2 3 2 3" xfId="1530" xr:uid="{00000000-0005-0000-0000-0000F2010000}"/>
    <cellStyle name="Input [yellow] 3 2 3 3" xfId="1105" xr:uid="{00000000-0005-0000-0000-0000F3010000}"/>
    <cellStyle name="Input [yellow] 3 2 3 3 2" xfId="1601" xr:uid="{00000000-0005-0000-0000-0000F4010000}"/>
    <cellStyle name="Input [yellow] 3 2 3 4" xfId="1404" xr:uid="{00000000-0005-0000-0000-0000F5010000}"/>
    <cellStyle name="Input [yellow] 3 2 4" xfId="762" xr:uid="{00000000-0005-0000-0000-0000F6010000}"/>
    <cellStyle name="Input [yellow] 3 2 4 2" xfId="948" xr:uid="{00000000-0005-0000-0000-0000F7010000}"/>
    <cellStyle name="Input [yellow] 3 2 4 2 2" xfId="1215" xr:uid="{00000000-0005-0000-0000-0000F8010000}"/>
    <cellStyle name="Input [yellow] 3 2 4 2 2 2" xfId="1691" xr:uid="{00000000-0005-0000-0000-0000F9010000}"/>
    <cellStyle name="Input [yellow] 3 2 4 2 3" xfId="1477" xr:uid="{00000000-0005-0000-0000-0000FA010000}"/>
    <cellStyle name="Input [yellow] 3 2 4 3" xfId="1351" xr:uid="{00000000-0005-0000-0000-0000FB010000}"/>
    <cellStyle name="Input [yellow] 3 2 5" xfId="898" xr:uid="{00000000-0005-0000-0000-0000FC010000}"/>
    <cellStyle name="Input [yellow] 3 2 5 2" xfId="1165" xr:uid="{00000000-0005-0000-0000-0000FD010000}"/>
    <cellStyle name="Input [yellow] 3 2 5 2 2" xfId="1650" xr:uid="{00000000-0005-0000-0000-0000FE010000}"/>
    <cellStyle name="Input [yellow] 3 2 5 3" xfId="1444" xr:uid="{00000000-0005-0000-0000-0000FF010000}"/>
    <cellStyle name="Input [yellow] 3 2 6" xfId="1318" xr:uid="{00000000-0005-0000-0000-000000020000}"/>
    <cellStyle name="Input [yellow] 3 2 7" xfId="1794" xr:uid="{00000000-0005-0000-0000-000001020000}"/>
    <cellStyle name="Input [yellow] 3 3" xfId="613" xr:uid="{00000000-0005-0000-0000-000002020000}"/>
    <cellStyle name="Input [yellow] 3 3 2" xfId="799" xr:uid="{00000000-0005-0000-0000-000003020000}"/>
    <cellStyle name="Input [yellow] 3 3 2 2" xfId="985" xr:uid="{00000000-0005-0000-0000-000004020000}"/>
    <cellStyle name="Input [yellow] 3 3 2 2 2" xfId="1252" xr:uid="{00000000-0005-0000-0000-000005020000}"/>
    <cellStyle name="Input [yellow] 3 3 2 2 2 2" xfId="1721" xr:uid="{00000000-0005-0000-0000-000006020000}"/>
    <cellStyle name="Input [yellow] 3 3 2 2 3" xfId="1507" xr:uid="{00000000-0005-0000-0000-000007020000}"/>
    <cellStyle name="Input [yellow] 3 3 2 3" xfId="1081" xr:uid="{00000000-0005-0000-0000-000008020000}"/>
    <cellStyle name="Input [yellow] 3 3 2 3 2" xfId="1582" xr:uid="{00000000-0005-0000-0000-000009020000}"/>
    <cellStyle name="Input [yellow] 3 3 2 4" xfId="1381" xr:uid="{00000000-0005-0000-0000-00000A020000}"/>
    <cellStyle name="Input [yellow] 3 3 3" xfId="841" xr:uid="{00000000-0005-0000-0000-00000B020000}"/>
    <cellStyle name="Input [yellow] 3 3 3 2" xfId="1027" xr:uid="{00000000-0005-0000-0000-00000C020000}"/>
    <cellStyle name="Input [yellow] 3 3 3 2 2" xfId="1294" xr:uid="{00000000-0005-0000-0000-00000D020000}"/>
    <cellStyle name="Input [yellow] 3 3 3 2 2 2" xfId="1754" xr:uid="{00000000-0005-0000-0000-00000E020000}"/>
    <cellStyle name="Input [yellow] 3 3 3 2 3" xfId="1540" xr:uid="{00000000-0005-0000-0000-00000F020000}"/>
    <cellStyle name="Input [yellow] 3 3 3 3" xfId="1117" xr:uid="{00000000-0005-0000-0000-000010020000}"/>
    <cellStyle name="Input [yellow] 3 3 3 3 2" xfId="1611" xr:uid="{00000000-0005-0000-0000-000011020000}"/>
    <cellStyle name="Input [yellow] 3 3 3 4" xfId="1414" xr:uid="{00000000-0005-0000-0000-000012020000}"/>
    <cellStyle name="Input [yellow] 3 3 4" xfId="754" xr:uid="{00000000-0005-0000-0000-000013020000}"/>
    <cellStyle name="Input [yellow] 3 3 4 2" xfId="941" xr:uid="{00000000-0005-0000-0000-000014020000}"/>
    <cellStyle name="Input [yellow] 3 3 4 2 2" xfId="1208" xr:uid="{00000000-0005-0000-0000-000015020000}"/>
    <cellStyle name="Input [yellow] 3 3 4 2 2 2" xfId="1685" xr:uid="{00000000-0005-0000-0000-000016020000}"/>
    <cellStyle name="Input [yellow] 3 3 4 2 3" xfId="1471" xr:uid="{00000000-0005-0000-0000-000017020000}"/>
    <cellStyle name="Input [yellow] 3 3 4 3" xfId="1345" xr:uid="{00000000-0005-0000-0000-000018020000}"/>
    <cellStyle name="Input [yellow] 3 3 5" xfId="910" xr:uid="{00000000-0005-0000-0000-000019020000}"/>
    <cellStyle name="Input [yellow] 3 3 5 2" xfId="1177" xr:uid="{00000000-0005-0000-0000-00001A020000}"/>
    <cellStyle name="Input [yellow] 3 3 5 2 2" xfId="1660" xr:uid="{00000000-0005-0000-0000-00001B020000}"/>
    <cellStyle name="Input [yellow] 3 3 5 3" xfId="1450" xr:uid="{00000000-0005-0000-0000-00001C020000}"/>
    <cellStyle name="Input [yellow] 3 3 6" xfId="1324" xr:uid="{00000000-0005-0000-0000-00001D020000}"/>
    <cellStyle name="Input [yellow] 3 3 7" xfId="1795" xr:uid="{00000000-0005-0000-0000-00001E020000}"/>
    <cellStyle name="Input [yellow] 3 4" xfId="767" xr:uid="{00000000-0005-0000-0000-00001F020000}"/>
    <cellStyle name="Input [yellow] 3 4 2" xfId="953" xr:uid="{00000000-0005-0000-0000-000020020000}"/>
    <cellStyle name="Input [yellow] 3 4 2 2" xfId="1220" xr:uid="{00000000-0005-0000-0000-000021020000}"/>
    <cellStyle name="Input [yellow] 3 4 2 2 2" xfId="1696" xr:uid="{00000000-0005-0000-0000-000022020000}"/>
    <cellStyle name="Input [yellow] 3 4 2 3" xfId="1482" xr:uid="{00000000-0005-0000-0000-000023020000}"/>
    <cellStyle name="Input [yellow] 3 4 3" xfId="1049" xr:uid="{00000000-0005-0000-0000-000024020000}"/>
    <cellStyle name="Input [yellow] 3 4 3 2" xfId="1557" xr:uid="{00000000-0005-0000-0000-000025020000}"/>
    <cellStyle name="Input [yellow] 3 4 4" xfId="1356" xr:uid="{00000000-0005-0000-0000-000026020000}"/>
    <cellStyle name="Input [yellow] 3 5" xfId="877" xr:uid="{00000000-0005-0000-0000-000027020000}"/>
    <cellStyle name="Input [yellow] 3 5 2" xfId="1144" xr:uid="{00000000-0005-0000-0000-000028020000}"/>
    <cellStyle name="Input [yellow] 3 5 2 2" xfId="1634" xr:uid="{00000000-0005-0000-0000-000029020000}"/>
    <cellStyle name="Input [yellow] 3 5 3" xfId="1434" xr:uid="{00000000-0005-0000-0000-00002A020000}"/>
    <cellStyle name="Input [yellow] 3 6" xfId="1312" xr:uid="{00000000-0005-0000-0000-00002B020000}"/>
    <cellStyle name="Input [yellow] 3 7" xfId="1811" xr:uid="{00000000-0005-0000-0000-00002C020000}"/>
    <cellStyle name="Input [yellow] 4" xfId="624" xr:uid="{00000000-0005-0000-0000-00002D020000}"/>
    <cellStyle name="Input [yellow] 4 2" xfId="810" xr:uid="{00000000-0005-0000-0000-00002E020000}"/>
    <cellStyle name="Input [yellow] 4 2 2" xfId="996" xr:uid="{00000000-0005-0000-0000-00002F020000}"/>
    <cellStyle name="Input [yellow] 4 2 2 2" xfId="1263" xr:uid="{00000000-0005-0000-0000-000030020000}"/>
    <cellStyle name="Input [yellow] 4 2 2 2 2" xfId="1730" xr:uid="{00000000-0005-0000-0000-000031020000}"/>
    <cellStyle name="Input [yellow] 4 2 2 3" xfId="1516" xr:uid="{00000000-0005-0000-0000-000032020000}"/>
    <cellStyle name="Input [yellow] 4 2 3" xfId="1092" xr:uid="{00000000-0005-0000-0000-000033020000}"/>
    <cellStyle name="Input [yellow] 4 2 3 2" xfId="1591" xr:uid="{00000000-0005-0000-0000-000034020000}"/>
    <cellStyle name="Input [yellow] 4 2 4" xfId="1390" xr:uid="{00000000-0005-0000-0000-000035020000}"/>
    <cellStyle name="Input [yellow] 4 3" xfId="852" xr:uid="{00000000-0005-0000-0000-000036020000}"/>
    <cellStyle name="Input [yellow] 4 3 2" xfId="1038" xr:uid="{00000000-0005-0000-0000-000037020000}"/>
    <cellStyle name="Input [yellow] 4 3 2 2" xfId="1305" xr:uid="{00000000-0005-0000-0000-000038020000}"/>
    <cellStyle name="Input [yellow] 4 3 2 2 2" xfId="1763" xr:uid="{00000000-0005-0000-0000-000039020000}"/>
    <cellStyle name="Input [yellow] 4 3 2 3" xfId="1549" xr:uid="{00000000-0005-0000-0000-00003A020000}"/>
    <cellStyle name="Input [yellow] 4 3 3" xfId="1128" xr:uid="{00000000-0005-0000-0000-00003B020000}"/>
    <cellStyle name="Input [yellow] 4 3 3 2" xfId="1620" xr:uid="{00000000-0005-0000-0000-00003C020000}"/>
    <cellStyle name="Input [yellow] 4 3 4" xfId="1423" xr:uid="{00000000-0005-0000-0000-00003D020000}"/>
    <cellStyle name="Input [yellow] 4 4" xfId="743" xr:uid="{00000000-0005-0000-0000-00003E020000}"/>
    <cellStyle name="Input [yellow] 4 4 2" xfId="932" xr:uid="{00000000-0005-0000-0000-00003F020000}"/>
    <cellStyle name="Input [yellow] 4 4 2 2" xfId="1199" xr:uid="{00000000-0005-0000-0000-000040020000}"/>
    <cellStyle name="Input [yellow] 4 4 2 2 2" xfId="1677" xr:uid="{00000000-0005-0000-0000-000041020000}"/>
    <cellStyle name="Input [yellow] 4 4 2 3" xfId="1463" xr:uid="{00000000-0005-0000-0000-000042020000}"/>
    <cellStyle name="Input [yellow] 4 4 3" xfId="1046" xr:uid="{00000000-0005-0000-0000-000043020000}"/>
    <cellStyle name="Input [yellow] 4 4 3 2" xfId="1554" xr:uid="{00000000-0005-0000-0000-000044020000}"/>
    <cellStyle name="Input [yellow] 4 4 4" xfId="1337" xr:uid="{00000000-0005-0000-0000-000045020000}"/>
    <cellStyle name="Input [yellow] 4 5" xfId="921" xr:uid="{00000000-0005-0000-0000-000046020000}"/>
    <cellStyle name="Input [yellow] 4 5 2" xfId="1188" xr:uid="{00000000-0005-0000-0000-000047020000}"/>
    <cellStyle name="Input [yellow] 4 5 2 2" xfId="1669" xr:uid="{00000000-0005-0000-0000-000048020000}"/>
    <cellStyle name="Input [yellow] 4 5 3" xfId="1455" xr:uid="{00000000-0005-0000-0000-000049020000}"/>
    <cellStyle name="Input [yellow] 4 6" xfId="1043" xr:uid="{00000000-0005-0000-0000-00004A020000}"/>
    <cellStyle name="Input [yellow] 4 6 2" xfId="1552" xr:uid="{00000000-0005-0000-0000-00004B020000}"/>
    <cellStyle name="Input [yellow] 4 7" xfId="1329" xr:uid="{00000000-0005-0000-0000-00004C020000}"/>
    <cellStyle name="Input [yellow] 5" xfId="868" xr:uid="{00000000-0005-0000-0000-00004D020000}"/>
    <cellStyle name="Input [yellow] 5 2" xfId="1135" xr:uid="{00000000-0005-0000-0000-00004E020000}"/>
    <cellStyle name="Input [yellow] 5 2 2" xfId="1626" xr:uid="{00000000-0005-0000-0000-00004F020000}"/>
    <cellStyle name="Input [yellow] 6" xfId="870" xr:uid="{00000000-0005-0000-0000-000050020000}"/>
    <cellStyle name="Input [yellow] 6 2" xfId="1137" xr:uid="{00000000-0005-0000-0000-000051020000}"/>
    <cellStyle name="Input [yellow] 6 2 2" xfId="1628" xr:uid="{00000000-0005-0000-0000-000052020000}"/>
    <cellStyle name="Input [yellow] 6 3" xfId="1428" xr:uid="{00000000-0005-0000-0000-000053020000}"/>
    <cellStyle name="Input [yellow] 7" xfId="1308" xr:uid="{00000000-0005-0000-0000-000054020000}"/>
    <cellStyle name="Input 2" xfId="142" xr:uid="{00000000-0005-0000-0000-000055020000}"/>
    <cellStyle name="Input 3" xfId="528" xr:uid="{00000000-0005-0000-0000-000056020000}"/>
    <cellStyle name="Linked Cell" xfId="540" builtinId="24" customBuiltin="1"/>
    <cellStyle name="Linked Cell 2" xfId="144" xr:uid="{00000000-0005-0000-0000-000058020000}"/>
    <cellStyle name="Neutral" xfId="536" builtinId="28" customBuiltin="1"/>
    <cellStyle name="Neutral 2" xfId="145" xr:uid="{00000000-0005-0000-0000-00005A020000}"/>
    <cellStyle name="Normal" xfId="0" builtinId="0"/>
    <cellStyle name="Normal - Style1" xfId="146" xr:uid="{00000000-0005-0000-0000-00005C020000}"/>
    <cellStyle name="Normal 10" xfId="147" xr:uid="{00000000-0005-0000-0000-00005D020000}"/>
    <cellStyle name="Normal 10 2" xfId="148" xr:uid="{00000000-0005-0000-0000-00005E020000}"/>
    <cellStyle name="Normal 10 2 2" xfId="149" xr:uid="{00000000-0005-0000-0000-00005F020000}"/>
    <cellStyle name="Normal 10 2 3" xfId="150" xr:uid="{00000000-0005-0000-0000-000060020000}"/>
    <cellStyle name="Normal 10 3" xfId="151" xr:uid="{00000000-0005-0000-0000-000061020000}"/>
    <cellStyle name="Normal 10 4" xfId="152" xr:uid="{00000000-0005-0000-0000-000062020000}"/>
    <cellStyle name="Normal 10 5" xfId="153" xr:uid="{00000000-0005-0000-0000-000063020000}"/>
    <cellStyle name="Normal 100" xfId="5" xr:uid="{00000000-0005-0000-0000-000064020000}"/>
    <cellStyle name="Normal 100 2" xfId="154" xr:uid="{00000000-0005-0000-0000-000065020000}"/>
    <cellStyle name="Normal 101" xfId="155" xr:uid="{00000000-0005-0000-0000-000066020000}"/>
    <cellStyle name="Normal 102" xfId="156" xr:uid="{00000000-0005-0000-0000-000067020000}"/>
    <cellStyle name="Normal 103" xfId="157" xr:uid="{00000000-0005-0000-0000-000068020000}"/>
    <cellStyle name="Normal 104" xfId="158" xr:uid="{00000000-0005-0000-0000-000069020000}"/>
    <cellStyle name="Normal 105" xfId="159" xr:uid="{00000000-0005-0000-0000-00006A020000}"/>
    <cellStyle name="Normal 106" xfId="160" xr:uid="{00000000-0005-0000-0000-00006B020000}"/>
    <cellStyle name="Normal 107" xfId="161" xr:uid="{00000000-0005-0000-0000-00006C020000}"/>
    <cellStyle name="Normal 108" xfId="162" xr:uid="{00000000-0005-0000-0000-00006D020000}"/>
    <cellStyle name="Normal 109" xfId="163" xr:uid="{00000000-0005-0000-0000-00006E020000}"/>
    <cellStyle name="Normal 11" xfId="164" xr:uid="{00000000-0005-0000-0000-00006F020000}"/>
    <cellStyle name="Normal 11 2" xfId="165" xr:uid="{00000000-0005-0000-0000-000070020000}"/>
    <cellStyle name="Normal 11 3" xfId="684" xr:uid="{00000000-0005-0000-0000-000071020000}"/>
    <cellStyle name="Normal 110" xfId="166" xr:uid="{00000000-0005-0000-0000-000072020000}"/>
    <cellStyle name="Normal 111" xfId="167" xr:uid="{00000000-0005-0000-0000-000073020000}"/>
    <cellStyle name="Normal 112" xfId="168" xr:uid="{00000000-0005-0000-0000-000074020000}"/>
    <cellStyle name="Normal 113" xfId="169" xr:uid="{00000000-0005-0000-0000-000075020000}"/>
    <cellStyle name="Normal 114" xfId="170" xr:uid="{00000000-0005-0000-0000-000076020000}"/>
    <cellStyle name="Normal 115" xfId="171" xr:uid="{00000000-0005-0000-0000-000077020000}"/>
    <cellStyle name="Normal 116" xfId="172" xr:uid="{00000000-0005-0000-0000-000078020000}"/>
    <cellStyle name="Normal 117" xfId="173" xr:uid="{00000000-0005-0000-0000-000079020000}"/>
    <cellStyle name="Normal 118" xfId="174" xr:uid="{00000000-0005-0000-0000-00007A020000}"/>
    <cellStyle name="Normal 119" xfId="175" xr:uid="{00000000-0005-0000-0000-00007B020000}"/>
    <cellStyle name="Normal 12" xfId="176" xr:uid="{00000000-0005-0000-0000-00007C020000}"/>
    <cellStyle name="Normal 12 2" xfId="177" xr:uid="{00000000-0005-0000-0000-00007D020000}"/>
    <cellStyle name="Normal 12 3" xfId="685" xr:uid="{00000000-0005-0000-0000-00007E020000}"/>
    <cellStyle name="Normal 120" xfId="178" xr:uid="{00000000-0005-0000-0000-00007F020000}"/>
    <cellStyle name="Normal 121" xfId="179" xr:uid="{00000000-0005-0000-0000-000080020000}"/>
    <cellStyle name="Normal 122" xfId="180" xr:uid="{00000000-0005-0000-0000-000081020000}"/>
    <cellStyle name="Normal 123" xfId="181" xr:uid="{00000000-0005-0000-0000-000082020000}"/>
    <cellStyle name="Normal 124" xfId="182" xr:uid="{00000000-0005-0000-0000-000083020000}"/>
    <cellStyle name="Normal 125" xfId="183" xr:uid="{00000000-0005-0000-0000-000084020000}"/>
    <cellStyle name="Normal 126" xfId="184" xr:uid="{00000000-0005-0000-0000-000085020000}"/>
    <cellStyle name="Normal 127" xfId="185" xr:uid="{00000000-0005-0000-0000-000086020000}"/>
    <cellStyle name="Normal 128" xfId="186" xr:uid="{00000000-0005-0000-0000-000087020000}"/>
    <cellStyle name="Normal 129" xfId="187" xr:uid="{00000000-0005-0000-0000-000088020000}"/>
    <cellStyle name="Normal 13" xfId="188" xr:uid="{00000000-0005-0000-0000-000089020000}"/>
    <cellStyle name="Normal 130" xfId="189" xr:uid="{00000000-0005-0000-0000-00008A020000}"/>
    <cellStyle name="Normal 131" xfId="190" xr:uid="{00000000-0005-0000-0000-00008B020000}"/>
    <cellStyle name="Normal 132" xfId="191" xr:uid="{00000000-0005-0000-0000-00008C020000}"/>
    <cellStyle name="Normal 133" xfId="192" xr:uid="{00000000-0005-0000-0000-00008D020000}"/>
    <cellStyle name="Normal 134" xfId="193" xr:uid="{00000000-0005-0000-0000-00008E020000}"/>
    <cellStyle name="Normal 135" xfId="194" xr:uid="{00000000-0005-0000-0000-00008F020000}"/>
    <cellStyle name="Normal 136" xfId="195" xr:uid="{00000000-0005-0000-0000-000090020000}"/>
    <cellStyle name="Normal 137" xfId="196" xr:uid="{00000000-0005-0000-0000-000091020000}"/>
    <cellStyle name="Normal 138" xfId="197" xr:uid="{00000000-0005-0000-0000-000092020000}"/>
    <cellStyle name="Normal 139" xfId="198" xr:uid="{00000000-0005-0000-0000-000093020000}"/>
    <cellStyle name="Normal 14" xfId="199" xr:uid="{00000000-0005-0000-0000-000094020000}"/>
    <cellStyle name="Normal 14 2" xfId="200" xr:uid="{00000000-0005-0000-0000-000095020000}"/>
    <cellStyle name="Normal 14 3" xfId="1822" xr:uid="{00000000-0005-0000-0000-000096020000}"/>
    <cellStyle name="Normal 140" xfId="201" xr:uid="{00000000-0005-0000-0000-000097020000}"/>
    <cellStyle name="Normal 141" xfId="202" xr:uid="{00000000-0005-0000-0000-000098020000}"/>
    <cellStyle name="Normal 142" xfId="203" xr:uid="{00000000-0005-0000-0000-000099020000}"/>
    <cellStyle name="Normal 143" xfId="204" xr:uid="{00000000-0005-0000-0000-00009A020000}"/>
    <cellStyle name="Normal 144" xfId="205" xr:uid="{00000000-0005-0000-0000-00009B020000}"/>
    <cellStyle name="Normal 145" xfId="206" xr:uid="{00000000-0005-0000-0000-00009C020000}"/>
    <cellStyle name="Normal 146" xfId="207" xr:uid="{00000000-0005-0000-0000-00009D020000}"/>
    <cellStyle name="Normal 147" xfId="208" xr:uid="{00000000-0005-0000-0000-00009E020000}"/>
    <cellStyle name="Normal 148" xfId="209" xr:uid="{00000000-0005-0000-0000-00009F020000}"/>
    <cellStyle name="Normal 149" xfId="210" xr:uid="{00000000-0005-0000-0000-0000A0020000}"/>
    <cellStyle name="Normal 15" xfId="211" xr:uid="{00000000-0005-0000-0000-0000A1020000}"/>
    <cellStyle name="Normal 150" xfId="212" xr:uid="{00000000-0005-0000-0000-0000A2020000}"/>
    <cellStyle name="Normal 151" xfId="213" xr:uid="{00000000-0005-0000-0000-0000A3020000}"/>
    <cellStyle name="Normal 152" xfId="214" xr:uid="{00000000-0005-0000-0000-0000A4020000}"/>
    <cellStyle name="Normal 153" xfId="215" xr:uid="{00000000-0005-0000-0000-0000A5020000}"/>
    <cellStyle name="Normal 154" xfId="216" xr:uid="{00000000-0005-0000-0000-0000A6020000}"/>
    <cellStyle name="Normal 155" xfId="217" xr:uid="{00000000-0005-0000-0000-0000A7020000}"/>
    <cellStyle name="Normal 156" xfId="218" xr:uid="{00000000-0005-0000-0000-0000A8020000}"/>
    <cellStyle name="Normal 157" xfId="219" xr:uid="{00000000-0005-0000-0000-0000A9020000}"/>
    <cellStyle name="Normal 158" xfId="220" xr:uid="{00000000-0005-0000-0000-0000AA020000}"/>
    <cellStyle name="Normal 159" xfId="221" xr:uid="{00000000-0005-0000-0000-0000AB020000}"/>
    <cellStyle name="Normal 16" xfId="222" xr:uid="{00000000-0005-0000-0000-0000AC020000}"/>
    <cellStyle name="Normal 160" xfId="223" xr:uid="{00000000-0005-0000-0000-0000AD020000}"/>
    <cellStyle name="Normal 161" xfId="224" xr:uid="{00000000-0005-0000-0000-0000AE020000}"/>
    <cellStyle name="Normal 162" xfId="225" xr:uid="{00000000-0005-0000-0000-0000AF020000}"/>
    <cellStyle name="Normal 163" xfId="226" xr:uid="{00000000-0005-0000-0000-0000B0020000}"/>
    <cellStyle name="Normal 164" xfId="227" xr:uid="{00000000-0005-0000-0000-0000B1020000}"/>
    <cellStyle name="Normal 165" xfId="228" xr:uid="{00000000-0005-0000-0000-0000B2020000}"/>
    <cellStyle name="Normal 166" xfId="229" xr:uid="{00000000-0005-0000-0000-0000B3020000}"/>
    <cellStyle name="Normal 167" xfId="230" xr:uid="{00000000-0005-0000-0000-0000B4020000}"/>
    <cellStyle name="Normal 168" xfId="231" xr:uid="{00000000-0005-0000-0000-0000B5020000}"/>
    <cellStyle name="Normal 169" xfId="232" xr:uid="{00000000-0005-0000-0000-0000B6020000}"/>
    <cellStyle name="Normal 17" xfId="233" xr:uid="{00000000-0005-0000-0000-0000B7020000}"/>
    <cellStyle name="Normal 170" xfId="234" xr:uid="{00000000-0005-0000-0000-0000B8020000}"/>
    <cellStyle name="Normal 171" xfId="235" xr:uid="{00000000-0005-0000-0000-0000B9020000}"/>
    <cellStyle name="Normal 172" xfId="236" xr:uid="{00000000-0005-0000-0000-0000BA020000}"/>
    <cellStyle name="Normal 173" xfId="237" xr:uid="{00000000-0005-0000-0000-0000BB020000}"/>
    <cellStyle name="Normal 174" xfId="238" xr:uid="{00000000-0005-0000-0000-0000BC020000}"/>
    <cellStyle name="Normal 175" xfId="239" xr:uid="{00000000-0005-0000-0000-0000BD020000}"/>
    <cellStyle name="Normal 176" xfId="240" xr:uid="{00000000-0005-0000-0000-0000BE020000}"/>
    <cellStyle name="Normal 177" xfId="241" xr:uid="{00000000-0005-0000-0000-0000BF020000}"/>
    <cellStyle name="Normal 178" xfId="242" xr:uid="{00000000-0005-0000-0000-0000C0020000}"/>
    <cellStyle name="Normal 179" xfId="243" xr:uid="{00000000-0005-0000-0000-0000C1020000}"/>
    <cellStyle name="Normal 18" xfId="244" xr:uid="{00000000-0005-0000-0000-0000C2020000}"/>
    <cellStyle name="Normal 18 2" xfId="1823" xr:uid="{00000000-0005-0000-0000-0000C3020000}"/>
    <cellStyle name="Normal 180" xfId="245" xr:uid="{00000000-0005-0000-0000-0000C4020000}"/>
    <cellStyle name="Normal 181" xfId="246" xr:uid="{00000000-0005-0000-0000-0000C5020000}"/>
    <cellStyle name="Normal 182" xfId="247" xr:uid="{00000000-0005-0000-0000-0000C6020000}"/>
    <cellStyle name="Normal 183" xfId="248" xr:uid="{00000000-0005-0000-0000-0000C7020000}"/>
    <cellStyle name="Normal 184" xfId="249" xr:uid="{00000000-0005-0000-0000-0000C8020000}"/>
    <cellStyle name="Normal 185" xfId="250" xr:uid="{00000000-0005-0000-0000-0000C9020000}"/>
    <cellStyle name="Normal 186" xfId="251" xr:uid="{00000000-0005-0000-0000-0000CA020000}"/>
    <cellStyle name="Normal 187" xfId="252" xr:uid="{00000000-0005-0000-0000-0000CB020000}"/>
    <cellStyle name="Normal 188" xfId="253" xr:uid="{00000000-0005-0000-0000-0000CC020000}"/>
    <cellStyle name="Normal 189" xfId="254" xr:uid="{00000000-0005-0000-0000-0000CD020000}"/>
    <cellStyle name="Normal 19" xfId="255" xr:uid="{00000000-0005-0000-0000-0000CE020000}"/>
    <cellStyle name="Normal 19 2" xfId="256" xr:uid="{00000000-0005-0000-0000-0000CF020000}"/>
    <cellStyle name="Normal 190" xfId="257" xr:uid="{00000000-0005-0000-0000-0000D0020000}"/>
    <cellStyle name="Normal 191" xfId="258" xr:uid="{00000000-0005-0000-0000-0000D1020000}"/>
    <cellStyle name="Normal 192" xfId="259" xr:uid="{00000000-0005-0000-0000-0000D2020000}"/>
    <cellStyle name="Normal 193" xfId="260" xr:uid="{00000000-0005-0000-0000-0000D3020000}"/>
    <cellStyle name="Normal 194" xfId="261" xr:uid="{00000000-0005-0000-0000-0000D4020000}"/>
    <cellStyle name="Normal 195" xfId="7" xr:uid="{00000000-0005-0000-0000-0000D5020000}"/>
    <cellStyle name="Normal 195 2" xfId="571" xr:uid="{00000000-0005-0000-0000-0000D6020000}"/>
    <cellStyle name="Normal 195 3" xfId="1765" xr:uid="{00000000-0005-0000-0000-0000D7020000}"/>
    <cellStyle name="Normal 196" xfId="523" xr:uid="{00000000-0005-0000-0000-0000D8020000}"/>
    <cellStyle name="Normal 196 2" xfId="576" xr:uid="{00000000-0005-0000-0000-0000D9020000}"/>
    <cellStyle name="Normal 196 3" xfId="1771" xr:uid="{00000000-0005-0000-0000-0000DA020000}"/>
    <cellStyle name="Normal 197" xfId="570" xr:uid="{00000000-0005-0000-0000-0000DB020000}"/>
    <cellStyle name="Normal 198" xfId="626" xr:uid="{00000000-0005-0000-0000-0000DC020000}"/>
    <cellStyle name="Normal 199" xfId="728" xr:uid="{00000000-0005-0000-0000-0000DD020000}"/>
    <cellStyle name="Normal 2" xfId="2" xr:uid="{00000000-0005-0000-0000-0000DE020000}"/>
    <cellStyle name="Normal 2 10" xfId="262" xr:uid="{00000000-0005-0000-0000-0000DF020000}"/>
    <cellStyle name="Normal 2 11" xfId="862" xr:uid="{00000000-0005-0000-0000-0000E0020000}"/>
    <cellStyle name="Normal 2 11 2" xfId="1769" xr:uid="{00000000-0005-0000-0000-0000E1020000}"/>
    <cellStyle name="Normal 2 2" xfId="263" xr:uid="{00000000-0005-0000-0000-0000E2020000}"/>
    <cellStyle name="Normal 2 2 2" xfId="264" xr:uid="{00000000-0005-0000-0000-0000E3020000}"/>
    <cellStyle name="Normal 2 2 2 2" xfId="686" xr:uid="{00000000-0005-0000-0000-0000E4020000}"/>
    <cellStyle name="Normal 2 2 2 2 2 2" xfId="1820" xr:uid="{00000000-0005-0000-0000-0000E5020000}"/>
    <cellStyle name="Normal 2 2 3" xfId="265" xr:uid="{00000000-0005-0000-0000-0000E6020000}"/>
    <cellStyle name="Normal 2 2 4" xfId="266" xr:uid="{00000000-0005-0000-0000-0000E7020000}"/>
    <cellStyle name="Normal 2 2 5" xfId="267" xr:uid="{00000000-0005-0000-0000-0000E8020000}"/>
    <cellStyle name="Normal 2 3" xfId="268" xr:uid="{00000000-0005-0000-0000-0000E9020000}"/>
    <cellStyle name="Normal 2 3 2" xfId="269" xr:uid="{00000000-0005-0000-0000-0000EA020000}"/>
    <cellStyle name="Normal 2 3 2 2" xfId="687" xr:uid="{00000000-0005-0000-0000-0000EB020000}"/>
    <cellStyle name="Normal 2 3 3" xfId="270" xr:uid="{00000000-0005-0000-0000-0000EC020000}"/>
    <cellStyle name="Normal 2 3 3 2" xfId="688" xr:uid="{00000000-0005-0000-0000-0000ED020000}"/>
    <cellStyle name="Normal 2 3 4" xfId="271" xr:uid="{00000000-0005-0000-0000-0000EE020000}"/>
    <cellStyle name="Normal 2 3 4 2" xfId="689" xr:uid="{00000000-0005-0000-0000-0000EF020000}"/>
    <cellStyle name="Normal 2 3 5" xfId="690" xr:uid="{00000000-0005-0000-0000-0000F0020000}"/>
    <cellStyle name="Normal 2 4" xfId="272" xr:uid="{00000000-0005-0000-0000-0000F1020000}"/>
    <cellStyle name="Normal 2 4 2" xfId="273" xr:uid="{00000000-0005-0000-0000-0000F2020000}"/>
    <cellStyle name="Normal 2 4 2 2" xfId="692" xr:uid="{00000000-0005-0000-0000-0000F3020000}"/>
    <cellStyle name="Normal 2 4 3" xfId="691" xr:uid="{00000000-0005-0000-0000-0000F4020000}"/>
    <cellStyle name="Normal 2 5" xfId="274" xr:uid="{00000000-0005-0000-0000-0000F5020000}"/>
    <cellStyle name="Normal 2 5 2" xfId="693" xr:uid="{00000000-0005-0000-0000-0000F6020000}"/>
    <cellStyle name="Normal 2 6" xfId="275" xr:uid="{00000000-0005-0000-0000-0000F7020000}"/>
    <cellStyle name="Normal 2 6 2" xfId="694" xr:uid="{00000000-0005-0000-0000-0000F8020000}"/>
    <cellStyle name="Normal 2 7" xfId="276" xr:uid="{00000000-0005-0000-0000-0000F9020000}"/>
    <cellStyle name="Normal 2 7 3 2" xfId="1825" xr:uid="{00000000-0005-0000-0000-0000FA020000}"/>
    <cellStyle name="Normal 2 8" xfId="277" xr:uid="{00000000-0005-0000-0000-0000FB020000}"/>
    <cellStyle name="Normal 2 9" xfId="278" xr:uid="{00000000-0005-0000-0000-0000FC020000}"/>
    <cellStyle name="Normal 20" xfId="279" xr:uid="{00000000-0005-0000-0000-0000FD020000}"/>
    <cellStyle name="Normal 200" xfId="717" xr:uid="{00000000-0005-0000-0000-0000FE020000}"/>
    <cellStyle name="Normal 201" xfId="752" xr:uid="{00000000-0005-0000-0000-0000FF020000}"/>
    <cellStyle name="Normal 202" xfId="855" xr:uid="{00000000-0005-0000-0000-000000030000}"/>
    <cellStyle name="Normal 203" xfId="856" xr:uid="{00000000-0005-0000-0000-000001030000}"/>
    <cellStyle name="Normal 204" xfId="861" xr:uid="{00000000-0005-0000-0000-000002030000}"/>
    <cellStyle name="Normal 205" xfId="857" xr:uid="{00000000-0005-0000-0000-000003030000}"/>
    <cellStyle name="Normal 206" xfId="1828" xr:uid="{00000000-0005-0000-0000-000004030000}"/>
    <cellStyle name="Normal 207" xfId="1831" xr:uid="{00000000-0005-0000-0000-000005030000}"/>
    <cellStyle name="Normal 21" xfId="280" xr:uid="{00000000-0005-0000-0000-000006030000}"/>
    <cellStyle name="Normal 22" xfId="281" xr:uid="{00000000-0005-0000-0000-000007030000}"/>
    <cellStyle name="Normal 22 2" xfId="282" xr:uid="{00000000-0005-0000-0000-000008030000}"/>
    <cellStyle name="Normal 23" xfId="283" xr:uid="{00000000-0005-0000-0000-000009030000}"/>
    <cellStyle name="Normal 24" xfId="284" xr:uid="{00000000-0005-0000-0000-00000A030000}"/>
    <cellStyle name="Normal 24 3" xfId="1827" xr:uid="{00000000-0005-0000-0000-00000B030000}"/>
    <cellStyle name="Normal 25" xfId="285" xr:uid="{00000000-0005-0000-0000-00000C030000}"/>
    <cellStyle name="Normal 26" xfId="286" xr:uid="{00000000-0005-0000-0000-00000D030000}"/>
    <cellStyle name="Normal 261" xfId="287" xr:uid="{00000000-0005-0000-0000-00000E030000}"/>
    <cellStyle name="Normal 27" xfId="288" xr:uid="{00000000-0005-0000-0000-00000F030000}"/>
    <cellStyle name="Normal 28" xfId="289" xr:uid="{00000000-0005-0000-0000-000010030000}"/>
    <cellStyle name="Normal 29" xfId="290" xr:uid="{00000000-0005-0000-0000-000011030000}"/>
    <cellStyle name="Normal 3" xfId="291" xr:uid="{00000000-0005-0000-0000-000012030000}"/>
    <cellStyle name="Normal 3 2" xfId="292" xr:uid="{00000000-0005-0000-0000-000013030000}"/>
    <cellStyle name="Normal 3 2 2" xfId="293" xr:uid="{00000000-0005-0000-0000-000014030000}"/>
    <cellStyle name="Normal 3 2 2 2" xfId="294" xr:uid="{00000000-0005-0000-0000-000015030000}"/>
    <cellStyle name="Normal 3 2 2 3" xfId="295" xr:uid="{00000000-0005-0000-0000-000016030000}"/>
    <cellStyle name="Normal 3 2 2 4" xfId="296" xr:uid="{00000000-0005-0000-0000-000017030000}"/>
    <cellStyle name="Normal 3 2 2 5" xfId="297" xr:uid="{00000000-0005-0000-0000-000018030000}"/>
    <cellStyle name="Normal 3 2 2 6" xfId="298" xr:uid="{00000000-0005-0000-0000-000019030000}"/>
    <cellStyle name="Normal 3 2 3" xfId="299" xr:uid="{00000000-0005-0000-0000-00001A030000}"/>
    <cellStyle name="Normal 3 2 3 2" xfId="300" xr:uid="{00000000-0005-0000-0000-00001B030000}"/>
    <cellStyle name="Normal 3 2 3 3" xfId="301" xr:uid="{00000000-0005-0000-0000-00001C030000}"/>
    <cellStyle name="Normal 3 2 4" xfId="302" xr:uid="{00000000-0005-0000-0000-00001D030000}"/>
    <cellStyle name="Normal 3 2 4 2" xfId="303" xr:uid="{00000000-0005-0000-0000-00001E030000}"/>
    <cellStyle name="Normal 3 2 4 3" xfId="304" xr:uid="{00000000-0005-0000-0000-00001F030000}"/>
    <cellStyle name="Normal 3 2 5" xfId="305" xr:uid="{00000000-0005-0000-0000-000020030000}"/>
    <cellStyle name="Normal 3 2 5 2" xfId="695" xr:uid="{00000000-0005-0000-0000-000021030000}"/>
    <cellStyle name="Normal 3 2 6" xfId="306" xr:uid="{00000000-0005-0000-0000-000022030000}"/>
    <cellStyle name="Normal 3 2 6 2" xfId="696" xr:uid="{00000000-0005-0000-0000-000023030000}"/>
    <cellStyle name="Normal 3 2 7" xfId="307" xr:uid="{00000000-0005-0000-0000-000024030000}"/>
    <cellStyle name="Normal 3 3" xfId="308" xr:uid="{00000000-0005-0000-0000-000025030000}"/>
    <cellStyle name="Normal 3 3 2" xfId="309" xr:uid="{00000000-0005-0000-0000-000026030000}"/>
    <cellStyle name="Normal 3 3 3" xfId="310" xr:uid="{00000000-0005-0000-0000-000027030000}"/>
    <cellStyle name="Normal 3 3 4" xfId="311" xr:uid="{00000000-0005-0000-0000-000028030000}"/>
    <cellStyle name="Normal 3 3 5" xfId="312" xr:uid="{00000000-0005-0000-0000-000029030000}"/>
    <cellStyle name="Normal 3 4" xfId="313" xr:uid="{00000000-0005-0000-0000-00002A030000}"/>
    <cellStyle name="Normal 3 4 2" xfId="314" xr:uid="{00000000-0005-0000-0000-00002B030000}"/>
    <cellStyle name="Normal 3 4 3" xfId="315" xr:uid="{00000000-0005-0000-0000-00002C030000}"/>
    <cellStyle name="Normal 3 4 4" xfId="316" xr:uid="{00000000-0005-0000-0000-00002D030000}"/>
    <cellStyle name="Normal 3 5" xfId="317" xr:uid="{00000000-0005-0000-0000-00002E030000}"/>
    <cellStyle name="Normal 3 5 2" xfId="318" xr:uid="{00000000-0005-0000-0000-00002F030000}"/>
    <cellStyle name="Normal 3 6" xfId="319" xr:uid="{00000000-0005-0000-0000-000030030000}"/>
    <cellStyle name="Normal 3 7" xfId="320" xr:uid="{00000000-0005-0000-0000-000031030000}"/>
    <cellStyle name="Normal 3 8" xfId="321" xr:uid="{00000000-0005-0000-0000-000032030000}"/>
    <cellStyle name="Normal 3 9" xfId="322" xr:uid="{00000000-0005-0000-0000-000033030000}"/>
    <cellStyle name="Normal 30" xfId="323" xr:uid="{00000000-0005-0000-0000-000034030000}"/>
    <cellStyle name="Normal 31" xfId="324" xr:uid="{00000000-0005-0000-0000-000035030000}"/>
    <cellStyle name="Normal 32" xfId="325" xr:uid="{00000000-0005-0000-0000-000036030000}"/>
    <cellStyle name="Normal 33" xfId="326" xr:uid="{00000000-0005-0000-0000-000037030000}"/>
    <cellStyle name="Normal 34" xfId="327" xr:uid="{00000000-0005-0000-0000-000038030000}"/>
    <cellStyle name="Normal 35" xfId="328" xr:uid="{00000000-0005-0000-0000-000039030000}"/>
    <cellStyle name="Normal 36" xfId="329" xr:uid="{00000000-0005-0000-0000-00003A030000}"/>
    <cellStyle name="Normal 37" xfId="330" xr:uid="{00000000-0005-0000-0000-00003B030000}"/>
    <cellStyle name="Normal 38" xfId="331" xr:uid="{00000000-0005-0000-0000-00003C030000}"/>
    <cellStyle name="Normal 39" xfId="332" xr:uid="{00000000-0005-0000-0000-00003D030000}"/>
    <cellStyle name="Normal 4" xfId="333" xr:uid="{00000000-0005-0000-0000-00003E030000}"/>
    <cellStyle name="Normal 4 2" xfId="334" xr:uid="{00000000-0005-0000-0000-00003F030000}"/>
    <cellStyle name="Normal 4 2 2" xfId="335" xr:uid="{00000000-0005-0000-0000-000040030000}"/>
    <cellStyle name="Normal 4 2 3" xfId="336" xr:uid="{00000000-0005-0000-0000-000041030000}"/>
    <cellStyle name="Normal 4 2 3 2" xfId="697" xr:uid="{00000000-0005-0000-0000-000042030000}"/>
    <cellStyle name="Normal 4 2 4" xfId="337" xr:uid="{00000000-0005-0000-0000-000043030000}"/>
    <cellStyle name="Normal 4 3" xfId="338" xr:uid="{00000000-0005-0000-0000-000044030000}"/>
    <cellStyle name="Normal 4 3 2" xfId="339" xr:uid="{00000000-0005-0000-0000-000045030000}"/>
    <cellStyle name="Normal 4 3 2 2" xfId="699" xr:uid="{00000000-0005-0000-0000-000046030000}"/>
    <cellStyle name="Normal 4 3 3" xfId="698" xr:uid="{00000000-0005-0000-0000-000047030000}"/>
    <cellStyle name="Normal 4 4" xfId="340" xr:uid="{00000000-0005-0000-0000-000048030000}"/>
    <cellStyle name="Normal 4 4 2" xfId="700" xr:uid="{00000000-0005-0000-0000-000049030000}"/>
    <cellStyle name="Normal 4 5" xfId="701" xr:uid="{00000000-0005-0000-0000-00004A030000}"/>
    <cellStyle name="Normal 40" xfId="341" xr:uid="{00000000-0005-0000-0000-00004B030000}"/>
    <cellStyle name="Normal 41" xfId="342" xr:uid="{00000000-0005-0000-0000-00004C030000}"/>
    <cellStyle name="Normal 42" xfId="343" xr:uid="{00000000-0005-0000-0000-00004D030000}"/>
    <cellStyle name="Normal 43" xfId="344" xr:uid="{00000000-0005-0000-0000-00004E030000}"/>
    <cellStyle name="Normal 44" xfId="345" xr:uid="{00000000-0005-0000-0000-00004F030000}"/>
    <cellStyle name="Normal 45" xfId="346" xr:uid="{00000000-0005-0000-0000-000050030000}"/>
    <cellStyle name="Normal 46" xfId="347" xr:uid="{00000000-0005-0000-0000-000051030000}"/>
    <cellStyle name="Normal 47" xfId="348" xr:uid="{00000000-0005-0000-0000-000052030000}"/>
    <cellStyle name="Normal 48" xfId="349" xr:uid="{00000000-0005-0000-0000-000053030000}"/>
    <cellStyle name="Normal 49" xfId="350" xr:uid="{00000000-0005-0000-0000-000054030000}"/>
    <cellStyle name="Normal 5" xfId="351" xr:uid="{00000000-0005-0000-0000-000055030000}"/>
    <cellStyle name="Normal 5 2" xfId="352" xr:uid="{00000000-0005-0000-0000-000056030000}"/>
    <cellStyle name="Normal 5 2 2" xfId="353" xr:uid="{00000000-0005-0000-0000-000057030000}"/>
    <cellStyle name="Normal 5 2 2 2" xfId="354" xr:uid="{00000000-0005-0000-0000-000058030000}"/>
    <cellStyle name="Normal 5 2 2 2 2" xfId="702" xr:uid="{00000000-0005-0000-0000-000059030000}"/>
    <cellStyle name="Normal 5 2 3" xfId="355" xr:uid="{00000000-0005-0000-0000-00005A030000}"/>
    <cellStyle name="Normal 5 2 3 2" xfId="703" xr:uid="{00000000-0005-0000-0000-00005B030000}"/>
    <cellStyle name="Normal 5 2 4" xfId="356" xr:uid="{00000000-0005-0000-0000-00005C030000}"/>
    <cellStyle name="Normal 5 2 4 2" xfId="704" xr:uid="{00000000-0005-0000-0000-00005D030000}"/>
    <cellStyle name="Normal 5 2 5" xfId="705" xr:uid="{00000000-0005-0000-0000-00005E030000}"/>
    <cellStyle name="Normal 5 3" xfId="357" xr:uid="{00000000-0005-0000-0000-00005F030000}"/>
    <cellStyle name="Normal 5 3 2" xfId="358" xr:uid="{00000000-0005-0000-0000-000060030000}"/>
    <cellStyle name="Normal 5 3 2 2" xfId="706" xr:uid="{00000000-0005-0000-0000-000061030000}"/>
    <cellStyle name="Normal 5 3 3" xfId="707" xr:uid="{00000000-0005-0000-0000-000062030000}"/>
    <cellStyle name="Normal 5 4" xfId="359" xr:uid="{00000000-0005-0000-0000-000063030000}"/>
    <cellStyle name="Normal 5 4 2" xfId="709" xr:uid="{00000000-0005-0000-0000-000064030000}"/>
    <cellStyle name="Normal 5 4 3" xfId="708" xr:uid="{00000000-0005-0000-0000-000065030000}"/>
    <cellStyle name="Normal 5 5" xfId="360" xr:uid="{00000000-0005-0000-0000-000066030000}"/>
    <cellStyle name="Normal 5 5 2" xfId="710" xr:uid="{00000000-0005-0000-0000-000067030000}"/>
    <cellStyle name="Normal 50" xfId="361" xr:uid="{00000000-0005-0000-0000-000068030000}"/>
    <cellStyle name="Normal 51" xfId="362" xr:uid="{00000000-0005-0000-0000-000069030000}"/>
    <cellStyle name="Normal 52" xfId="363" xr:uid="{00000000-0005-0000-0000-00006A030000}"/>
    <cellStyle name="Normal 53" xfId="364" xr:uid="{00000000-0005-0000-0000-00006B030000}"/>
    <cellStyle name="Normal 54" xfId="365" xr:uid="{00000000-0005-0000-0000-00006C030000}"/>
    <cellStyle name="Normal 55" xfId="366" xr:uid="{00000000-0005-0000-0000-00006D030000}"/>
    <cellStyle name="Normal 56" xfId="367" xr:uid="{00000000-0005-0000-0000-00006E030000}"/>
    <cellStyle name="Normal 56 2" xfId="368" xr:uid="{00000000-0005-0000-0000-00006F030000}"/>
    <cellStyle name="Normal 57" xfId="369" xr:uid="{00000000-0005-0000-0000-000070030000}"/>
    <cellStyle name="Normal 57 2" xfId="370" xr:uid="{00000000-0005-0000-0000-000071030000}"/>
    <cellStyle name="Normal 58" xfId="371" xr:uid="{00000000-0005-0000-0000-000072030000}"/>
    <cellStyle name="Normal 59" xfId="372" xr:uid="{00000000-0005-0000-0000-000073030000}"/>
    <cellStyle name="Normal 6" xfId="373" xr:uid="{00000000-0005-0000-0000-000074030000}"/>
    <cellStyle name="Normal 6 2" xfId="374" xr:uid="{00000000-0005-0000-0000-000075030000}"/>
    <cellStyle name="Normal 6 2 2" xfId="375" xr:uid="{00000000-0005-0000-0000-000076030000}"/>
    <cellStyle name="Normal 6 2 2 2" xfId="376" xr:uid="{00000000-0005-0000-0000-000077030000}"/>
    <cellStyle name="Normal 6 2 3" xfId="377" xr:uid="{00000000-0005-0000-0000-000078030000}"/>
    <cellStyle name="Normal 6 3" xfId="378" xr:uid="{00000000-0005-0000-0000-000079030000}"/>
    <cellStyle name="Normal 6 3 2" xfId="712" xr:uid="{00000000-0005-0000-0000-00007A030000}"/>
    <cellStyle name="Normal 6 3 3" xfId="713" xr:uid="{00000000-0005-0000-0000-00007B030000}"/>
    <cellStyle name="Normal 6 3 4" xfId="711" xr:uid="{00000000-0005-0000-0000-00007C030000}"/>
    <cellStyle name="Normal 6 4" xfId="379" xr:uid="{00000000-0005-0000-0000-00007D030000}"/>
    <cellStyle name="Normal 6 4 2" xfId="714" xr:uid="{00000000-0005-0000-0000-00007E030000}"/>
    <cellStyle name="Normal 6 5" xfId="715" xr:uid="{00000000-0005-0000-0000-00007F030000}"/>
    <cellStyle name="Normal 60" xfId="380" xr:uid="{00000000-0005-0000-0000-000080030000}"/>
    <cellStyle name="Normal 61" xfId="381" xr:uid="{00000000-0005-0000-0000-000081030000}"/>
    <cellStyle name="Normal 62" xfId="382" xr:uid="{00000000-0005-0000-0000-000082030000}"/>
    <cellStyle name="Normal 63" xfId="383" xr:uid="{00000000-0005-0000-0000-000083030000}"/>
    <cellStyle name="Normal 64" xfId="384" xr:uid="{00000000-0005-0000-0000-000084030000}"/>
    <cellStyle name="Normal 64 2" xfId="385" xr:uid="{00000000-0005-0000-0000-000085030000}"/>
    <cellStyle name="Normal 65" xfId="386" xr:uid="{00000000-0005-0000-0000-000086030000}"/>
    <cellStyle name="Normal 65 2" xfId="387" xr:uid="{00000000-0005-0000-0000-000087030000}"/>
    <cellStyle name="Normal 66" xfId="388" xr:uid="{00000000-0005-0000-0000-000088030000}"/>
    <cellStyle name="Normal 66 2" xfId="389" xr:uid="{00000000-0005-0000-0000-000089030000}"/>
    <cellStyle name="Normal 67" xfId="390" xr:uid="{00000000-0005-0000-0000-00008A030000}"/>
    <cellStyle name="Normal 67 2" xfId="391" xr:uid="{00000000-0005-0000-0000-00008B030000}"/>
    <cellStyle name="Normal 68" xfId="392" xr:uid="{00000000-0005-0000-0000-00008C030000}"/>
    <cellStyle name="Normal 69" xfId="393" xr:uid="{00000000-0005-0000-0000-00008D030000}"/>
    <cellStyle name="Normal 7" xfId="394" xr:uid="{00000000-0005-0000-0000-00008E030000}"/>
    <cellStyle name="Normal 7 2" xfId="395" xr:uid="{00000000-0005-0000-0000-00008F030000}"/>
    <cellStyle name="Normal 7 2 2" xfId="396" xr:uid="{00000000-0005-0000-0000-000090030000}"/>
    <cellStyle name="Normal 7 2 2 2" xfId="716" xr:uid="{00000000-0005-0000-0000-000091030000}"/>
    <cellStyle name="Normal 7 3" xfId="397" xr:uid="{00000000-0005-0000-0000-000092030000}"/>
    <cellStyle name="Normal 7 3 2" xfId="398" xr:uid="{00000000-0005-0000-0000-000093030000}"/>
    <cellStyle name="Normal 7 3 2 2" xfId="574" xr:uid="{00000000-0005-0000-0000-000094030000}"/>
    <cellStyle name="Normal 7 3 2 3" xfId="1768" xr:uid="{00000000-0005-0000-0000-000095030000}"/>
    <cellStyle name="Normal 7 3 3" xfId="573" xr:uid="{00000000-0005-0000-0000-000096030000}"/>
    <cellStyle name="Normal 7 3 4" xfId="1767" xr:uid="{00000000-0005-0000-0000-000097030000}"/>
    <cellStyle name="Normal 7 4" xfId="399" xr:uid="{00000000-0005-0000-0000-000098030000}"/>
    <cellStyle name="Normal 7 5" xfId="400" xr:uid="{00000000-0005-0000-0000-000099030000}"/>
    <cellStyle name="Normal 7 6" xfId="1829" xr:uid="{00000000-0005-0000-0000-00009A030000}"/>
    <cellStyle name="Normal 70" xfId="401" xr:uid="{00000000-0005-0000-0000-00009B030000}"/>
    <cellStyle name="Normal 71" xfId="402" xr:uid="{00000000-0005-0000-0000-00009C030000}"/>
    <cellStyle name="Normal 72" xfId="403" xr:uid="{00000000-0005-0000-0000-00009D030000}"/>
    <cellStyle name="Normal 73" xfId="404" xr:uid="{00000000-0005-0000-0000-00009E030000}"/>
    <cellStyle name="Normal 74" xfId="405" xr:uid="{00000000-0005-0000-0000-00009F030000}"/>
    <cellStyle name="Normal 75" xfId="406" xr:uid="{00000000-0005-0000-0000-0000A0030000}"/>
    <cellStyle name="Normal 76" xfId="407" xr:uid="{00000000-0005-0000-0000-0000A1030000}"/>
    <cellStyle name="Normal 76 2" xfId="408" xr:uid="{00000000-0005-0000-0000-0000A2030000}"/>
    <cellStyle name="Normal 77" xfId="409" xr:uid="{00000000-0005-0000-0000-0000A3030000}"/>
    <cellStyle name="Normal 78" xfId="410" xr:uid="{00000000-0005-0000-0000-0000A4030000}"/>
    <cellStyle name="Normal 79" xfId="411" xr:uid="{00000000-0005-0000-0000-0000A5030000}"/>
    <cellStyle name="Normal 8" xfId="412" xr:uid="{00000000-0005-0000-0000-0000A6030000}"/>
    <cellStyle name="Normal 8 2" xfId="413" xr:uid="{00000000-0005-0000-0000-0000A7030000}"/>
    <cellStyle name="Normal 8 2 2" xfId="718" xr:uid="{00000000-0005-0000-0000-0000A8030000}"/>
    <cellStyle name="Normal 8 3" xfId="414" xr:uid="{00000000-0005-0000-0000-0000A9030000}"/>
    <cellStyle name="Normal 80" xfId="415" xr:uid="{00000000-0005-0000-0000-0000AA030000}"/>
    <cellStyle name="Normal 81" xfId="416" xr:uid="{00000000-0005-0000-0000-0000AB030000}"/>
    <cellStyle name="Normal 82" xfId="417" xr:uid="{00000000-0005-0000-0000-0000AC030000}"/>
    <cellStyle name="Normal 83" xfId="418" xr:uid="{00000000-0005-0000-0000-0000AD030000}"/>
    <cellStyle name="Normal 84" xfId="419" xr:uid="{00000000-0005-0000-0000-0000AE030000}"/>
    <cellStyle name="Normal 85" xfId="420" xr:uid="{00000000-0005-0000-0000-0000AF030000}"/>
    <cellStyle name="Normal 86" xfId="421" xr:uid="{00000000-0005-0000-0000-0000B0030000}"/>
    <cellStyle name="Normal 87" xfId="422" xr:uid="{00000000-0005-0000-0000-0000B1030000}"/>
    <cellStyle name="Normal 88" xfId="423" xr:uid="{00000000-0005-0000-0000-0000B2030000}"/>
    <cellStyle name="Normal 89" xfId="424" xr:uid="{00000000-0005-0000-0000-0000B3030000}"/>
    <cellStyle name="Normal 89 2" xfId="425" xr:uid="{00000000-0005-0000-0000-0000B4030000}"/>
    <cellStyle name="Normal 89 3" xfId="426" xr:uid="{00000000-0005-0000-0000-0000B5030000}"/>
    <cellStyle name="Normal 9" xfId="427" xr:uid="{00000000-0005-0000-0000-0000B6030000}"/>
    <cellStyle name="Normal 9 2" xfId="428" xr:uid="{00000000-0005-0000-0000-0000B7030000}"/>
    <cellStyle name="Normal 9 2 2" xfId="721" xr:uid="{00000000-0005-0000-0000-0000B8030000}"/>
    <cellStyle name="Normal 9 2 3" xfId="720" xr:uid="{00000000-0005-0000-0000-0000B9030000}"/>
    <cellStyle name="Normal 9 3" xfId="429" xr:uid="{00000000-0005-0000-0000-0000BA030000}"/>
    <cellStyle name="Normal 9 3 2" xfId="722" xr:uid="{00000000-0005-0000-0000-0000BB030000}"/>
    <cellStyle name="Normal 9 4" xfId="723" xr:uid="{00000000-0005-0000-0000-0000BC030000}"/>
    <cellStyle name="Normal 9 5" xfId="734" xr:uid="{00000000-0005-0000-0000-0000BD030000}"/>
    <cellStyle name="Normal 9 6" xfId="719" xr:uid="{00000000-0005-0000-0000-0000BE030000}"/>
    <cellStyle name="Normal 90" xfId="430" xr:uid="{00000000-0005-0000-0000-0000BF030000}"/>
    <cellStyle name="Normal 91" xfId="431" xr:uid="{00000000-0005-0000-0000-0000C0030000}"/>
    <cellStyle name="Normal 92" xfId="432" xr:uid="{00000000-0005-0000-0000-0000C1030000}"/>
    <cellStyle name="Normal 92 2" xfId="433" xr:uid="{00000000-0005-0000-0000-0000C2030000}"/>
    <cellStyle name="Normal 92 3" xfId="434" xr:uid="{00000000-0005-0000-0000-0000C3030000}"/>
    <cellStyle name="Normal 93" xfId="435" xr:uid="{00000000-0005-0000-0000-0000C4030000}"/>
    <cellStyle name="Normal 94" xfId="436" xr:uid="{00000000-0005-0000-0000-0000C5030000}"/>
    <cellStyle name="Normal 95" xfId="437" xr:uid="{00000000-0005-0000-0000-0000C6030000}"/>
    <cellStyle name="Normal 95 2" xfId="438" xr:uid="{00000000-0005-0000-0000-0000C7030000}"/>
    <cellStyle name="Normal 95 3" xfId="439" xr:uid="{00000000-0005-0000-0000-0000C8030000}"/>
    <cellStyle name="Normal 96" xfId="440" xr:uid="{00000000-0005-0000-0000-0000C9030000}"/>
    <cellStyle name="Normal 97" xfId="441" xr:uid="{00000000-0005-0000-0000-0000CA030000}"/>
    <cellStyle name="Normal 98" xfId="442" xr:uid="{00000000-0005-0000-0000-0000CB030000}"/>
    <cellStyle name="Normal 99" xfId="443" xr:uid="{00000000-0005-0000-0000-0000CC030000}"/>
    <cellStyle name="Note" xfId="543" builtinId="10" customBuiltin="1"/>
    <cellStyle name="Note 2" xfId="444" xr:uid="{00000000-0005-0000-0000-0000CE030000}"/>
    <cellStyle name="Note 3" xfId="445" xr:uid="{00000000-0005-0000-0000-0000CF030000}"/>
    <cellStyle name="Output" xfId="538" builtinId="21" customBuiltin="1"/>
    <cellStyle name="Output 2" xfId="446" xr:uid="{00000000-0005-0000-0000-0000D1030000}"/>
    <cellStyle name="Percent [2]" xfId="448" xr:uid="{00000000-0005-0000-0000-0000D2030000}"/>
    <cellStyle name="Percent 10" xfId="449" xr:uid="{00000000-0005-0000-0000-0000D3030000}"/>
    <cellStyle name="Percent 11" xfId="450" xr:uid="{00000000-0005-0000-0000-0000D4030000}"/>
    <cellStyle name="Percent 12" xfId="451" xr:uid="{00000000-0005-0000-0000-0000D5030000}"/>
    <cellStyle name="Percent 13" xfId="452" xr:uid="{00000000-0005-0000-0000-0000D6030000}"/>
    <cellStyle name="Percent 14" xfId="453" xr:uid="{00000000-0005-0000-0000-0000D7030000}"/>
    <cellStyle name="Percent 15" xfId="454" xr:uid="{00000000-0005-0000-0000-0000D8030000}"/>
    <cellStyle name="Percent 16" xfId="455" xr:uid="{00000000-0005-0000-0000-0000D9030000}"/>
    <cellStyle name="Percent 17" xfId="456" xr:uid="{00000000-0005-0000-0000-0000DA030000}"/>
    <cellStyle name="Percent 18" xfId="457" xr:uid="{00000000-0005-0000-0000-0000DB030000}"/>
    <cellStyle name="Percent 19" xfId="458" xr:uid="{00000000-0005-0000-0000-0000DC030000}"/>
    <cellStyle name="Percent 2" xfId="459" xr:uid="{00000000-0005-0000-0000-0000DD030000}"/>
    <cellStyle name="Percent 2 2" xfId="460" xr:uid="{00000000-0005-0000-0000-0000DE030000}"/>
    <cellStyle name="Percent 2 2 2" xfId="461" xr:uid="{00000000-0005-0000-0000-0000DF030000}"/>
    <cellStyle name="Percent 2 3" xfId="462" xr:uid="{00000000-0005-0000-0000-0000E0030000}"/>
    <cellStyle name="Percent 2 3 2" xfId="463" xr:uid="{00000000-0005-0000-0000-0000E1030000}"/>
    <cellStyle name="Percent 2 4" xfId="464" xr:uid="{00000000-0005-0000-0000-0000E2030000}"/>
    <cellStyle name="Percent 2 4 2" xfId="465" xr:uid="{00000000-0005-0000-0000-0000E3030000}"/>
    <cellStyle name="Percent 2 5" xfId="466" xr:uid="{00000000-0005-0000-0000-0000E4030000}"/>
    <cellStyle name="Percent 2 6" xfId="725" xr:uid="{00000000-0005-0000-0000-0000E5030000}"/>
    <cellStyle name="Percent 20" xfId="467" xr:uid="{00000000-0005-0000-0000-0000E6030000}"/>
    <cellStyle name="Percent 21" xfId="468" xr:uid="{00000000-0005-0000-0000-0000E7030000}"/>
    <cellStyle name="Percent 22" xfId="469" xr:uid="{00000000-0005-0000-0000-0000E8030000}"/>
    <cellStyle name="Percent 23" xfId="470" xr:uid="{00000000-0005-0000-0000-0000E9030000}"/>
    <cellStyle name="Percent 24" xfId="471" xr:uid="{00000000-0005-0000-0000-0000EA030000}"/>
    <cellStyle name="Percent 25" xfId="472" xr:uid="{00000000-0005-0000-0000-0000EB030000}"/>
    <cellStyle name="Percent 26" xfId="473" xr:uid="{00000000-0005-0000-0000-0000EC030000}"/>
    <cellStyle name="Percent 27" xfId="474" xr:uid="{00000000-0005-0000-0000-0000ED030000}"/>
    <cellStyle name="Percent 28" xfId="475" xr:uid="{00000000-0005-0000-0000-0000EE030000}"/>
    <cellStyle name="Percent 29" xfId="476" xr:uid="{00000000-0005-0000-0000-0000EF030000}"/>
    <cellStyle name="Percent 3" xfId="477" xr:uid="{00000000-0005-0000-0000-0000F0030000}"/>
    <cellStyle name="Percent 3 2" xfId="478" xr:uid="{00000000-0005-0000-0000-0000F1030000}"/>
    <cellStyle name="Percent 30" xfId="479" xr:uid="{00000000-0005-0000-0000-0000F2030000}"/>
    <cellStyle name="Percent 31" xfId="480" xr:uid="{00000000-0005-0000-0000-0000F3030000}"/>
    <cellStyle name="Percent 32" xfId="481" xr:uid="{00000000-0005-0000-0000-0000F4030000}"/>
    <cellStyle name="Percent 33" xfId="482" xr:uid="{00000000-0005-0000-0000-0000F5030000}"/>
    <cellStyle name="Percent 34" xfId="483" xr:uid="{00000000-0005-0000-0000-0000F6030000}"/>
    <cellStyle name="Percent 35" xfId="484" xr:uid="{00000000-0005-0000-0000-0000F7030000}"/>
    <cellStyle name="Percent 36" xfId="485" xr:uid="{00000000-0005-0000-0000-0000F8030000}"/>
    <cellStyle name="Percent 37" xfId="486" xr:uid="{00000000-0005-0000-0000-0000F9030000}"/>
    <cellStyle name="Percent 38" xfId="487" xr:uid="{00000000-0005-0000-0000-0000FA030000}"/>
    <cellStyle name="Percent 39" xfId="488" xr:uid="{00000000-0005-0000-0000-0000FB030000}"/>
    <cellStyle name="Percent 4" xfId="489" xr:uid="{00000000-0005-0000-0000-0000FC030000}"/>
    <cellStyle name="Percent 4 2" xfId="490" xr:uid="{00000000-0005-0000-0000-0000FD030000}"/>
    <cellStyle name="Percent 4 3" xfId="729" xr:uid="{00000000-0005-0000-0000-0000FE030000}"/>
    <cellStyle name="Percent 40" xfId="491" xr:uid="{00000000-0005-0000-0000-0000FF030000}"/>
    <cellStyle name="Percent 41" xfId="492" xr:uid="{00000000-0005-0000-0000-000000040000}"/>
    <cellStyle name="Percent 42" xfId="493" xr:uid="{00000000-0005-0000-0000-000001040000}"/>
    <cellStyle name="Percent 43" xfId="494" xr:uid="{00000000-0005-0000-0000-000002040000}"/>
    <cellStyle name="Percent 44" xfId="495" xr:uid="{00000000-0005-0000-0000-000003040000}"/>
    <cellStyle name="Percent 45" xfId="496" xr:uid="{00000000-0005-0000-0000-000004040000}"/>
    <cellStyle name="Percent 46" xfId="497" xr:uid="{00000000-0005-0000-0000-000005040000}"/>
    <cellStyle name="Percent 47" xfId="498" xr:uid="{00000000-0005-0000-0000-000006040000}"/>
    <cellStyle name="Percent 48" xfId="499" xr:uid="{00000000-0005-0000-0000-000007040000}"/>
    <cellStyle name="Percent 49" xfId="500" xr:uid="{00000000-0005-0000-0000-000008040000}"/>
    <cellStyle name="Percent 5" xfId="501" xr:uid="{00000000-0005-0000-0000-000009040000}"/>
    <cellStyle name="Percent 5 2" xfId="502" xr:uid="{00000000-0005-0000-0000-00000A040000}"/>
    <cellStyle name="Percent 5 2 2" xfId="503" xr:uid="{00000000-0005-0000-0000-00000B040000}"/>
    <cellStyle name="Percent 5 2 2 2" xfId="731" xr:uid="{00000000-0005-0000-0000-00000C040000}"/>
    <cellStyle name="Percent 5 2 3" xfId="730" xr:uid="{00000000-0005-0000-0000-00000D040000}"/>
    <cellStyle name="Percent 5 3" xfId="504" xr:uid="{00000000-0005-0000-0000-00000E040000}"/>
    <cellStyle name="Percent 5 3 2" xfId="732" xr:uid="{00000000-0005-0000-0000-00000F040000}"/>
    <cellStyle name="Percent 5 4" xfId="505" xr:uid="{00000000-0005-0000-0000-000010040000}"/>
    <cellStyle name="Percent 5 4 2" xfId="733" xr:uid="{00000000-0005-0000-0000-000011040000}"/>
    <cellStyle name="Percent 50" xfId="506" xr:uid="{00000000-0005-0000-0000-000012040000}"/>
    <cellStyle name="Percent 51" xfId="507" xr:uid="{00000000-0005-0000-0000-000013040000}"/>
    <cellStyle name="Percent 52" xfId="508" xr:uid="{00000000-0005-0000-0000-000014040000}"/>
    <cellStyle name="Percent 53" xfId="509" xr:uid="{00000000-0005-0000-0000-000015040000}"/>
    <cellStyle name="Percent 54" xfId="510" xr:uid="{00000000-0005-0000-0000-000016040000}"/>
    <cellStyle name="Percent 55" xfId="511" xr:uid="{00000000-0005-0000-0000-000017040000}"/>
    <cellStyle name="Percent 56" xfId="447" xr:uid="{00000000-0005-0000-0000-000018040000}"/>
    <cellStyle name="Percent 56 2" xfId="575" xr:uid="{00000000-0005-0000-0000-000019040000}"/>
    <cellStyle name="Percent 56 3" xfId="1770" xr:uid="{00000000-0005-0000-0000-00001A040000}"/>
    <cellStyle name="Percent 57" xfId="529" xr:uid="{00000000-0005-0000-0000-00001B040000}"/>
    <cellStyle name="Percent 57 2" xfId="577" xr:uid="{00000000-0005-0000-0000-00001C040000}"/>
    <cellStyle name="Percent 57 3" xfId="1772" xr:uid="{00000000-0005-0000-0000-00001D040000}"/>
    <cellStyle name="Percent 58" xfId="629" xr:uid="{00000000-0005-0000-0000-00001E040000}"/>
    <cellStyle name="Percent 59" xfId="727" xr:uid="{00000000-0005-0000-0000-00001F040000}"/>
    <cellStyle name="Percent 6" xfId="512" xr:uid="{00000000-0005-0000-0000-000020040000}"/>
    <cellStyle name="Percent 60" xfId="758" xr:uid="{00000000-0005-0000-0000-000021040000}"/>
    <cellStyle name="Percent 61" xfId="751" xr:uid="{00000000-0005-0000-0000-000022040000}"/>
    <cellStyle name="Percent 62" xfId="854" xr:uid="{00000000-0005-0000-0000-000023040000}"/>
    <cellStyle name="Percent 63" xfId="858" xr:uid="{00000000-0005-0000-0000-000024040000}"/>
    <cellStyle name="Percent 64" xfId="860" xr:uid="{00000000-0005-0000-0000-000025040000}"/>
    <cellStyle name="Percent 65" xfId="859" xr:uid="{00000000-0005-0000-0000-000026040000}"/>
    <cellStyle name="Percent 7" xfId="513" xr:uid="{00000000-0005-0000-0000-000027040000}"/>
    <cellStyle name="Percent 8" xfId="514" xr:uid="{00000000-0005-0000-0000-000028040000}"/>
    <cellStyle name="Percent 9" xfId="515" xr:uid="{00000000-0005-0000-0000-000029040000}"/>
    <cellStyle name="sowPara" xfId="516" xr:uid="{00000000-0005-0000-0000-00002A040000}"/>
    <cellStyle name="sowPara 2" xfId="582" xr:uid="{00000000-0005-0000-0000-00002B040000}"/>
    <cellStyle name="sowPara 2 2" xfId="603" xr:uid="{00000000-0005-0000-0000-00002C040000}"/>
    <cellStyle name="sowPara 2 2 2" xfId="789" xr:uid="{00000000-0005-0000-0000-00002D040000}"/>
    <cellStyle name="sowPara 2 2 2 2" xfId="975" xr:uid="{00000000-0005-0000-0000-00002E040000}"/>
    <cellStyle name="sowPara 2 2 2 2 2" xfId="1242" xr:uid="{00000000-0005-0000-0000-00002F040000}"/>
    <cellStyle name="sowPara 2 2 2 2 2 2" xfId="1713" xr:uid="{00000000-0005-0000-0000-000030040000}"/>
    <cellStyle name="sowPara 2 2 2 2 3" xfId="1499" xr:uid="{00000000-0005-0000-0000-000031040000}"/>
    <cellStyle name="sowPara 2 2 2 3" xfId="1071" xr:uid="{00000000-0005-0000-0000-000032040000}"/>
    <cellStyle name="sowPara 2 2 2 3 2" xfId="1574" xr:uid="{00000000-0005-0000-0000-000033040000}"/>
    <cellStyle name="sowPara 2 2 2 4" xfId="1373" xr:uid="{00000000-0005-0000-0000-000034040000}"/>
    <cellStyle name="sowPara 2 2 3" xfId="831" xr:uid="{00000000-0005-0000-0000-000035040000}"/>
    <cellStyle name="sowPara 2 2 3 2" xfId="1017" xr:uid="{00000000-0005-0000-0000-000036040000}"/>
    <cellStyle name="sowPara 2 2 3 2 2" xfId="1284" xr:uid="{00000000-0005-0000-0000-000037040000}"/>
    <cellStyle name="sowPara 2 2 3 2 2 2" xfId="1746" xr:uid="{00000000-0005-0000-0000-000038040000}"/>
    <cellStyle name="sowPara 2 2 3 2 3" xfId="1532" xr:uid="{00000000-0005-0000-0000-000039040000}"/>
    <cellStyle name="sowPara 2 2 3 3" xfId="1107" xr:uid="{00000000-0005-0000-0000-00003A040000}"/>
    <cellStyle name="sowPara 2 2 3 3 2" xfId="1603" xr:uid="{00000000-0005-0000-0000-00003B040000}"/>
    <cellStyle name="sowPara 2 2 3 4" xfId="1406" xr:uid="{00000000-0005-0000-0000-00003C040000}"/>
    <cellStyle name="sowPara 2 2 4" xfId="759" xr:uid="{00000000-0005-0000-0000-00003D040000}"/>
    <cellStyle name="sowPara 2 2 4 2" xfId="945" xr:uid="{00000000-0005-0000-0000-00003E040000}"/>
    <cellStyle name="sowPara 2 2 4 2 2" xfId="1212" xr:uid="{00000000-0005-0000-0000-00003F040000}"/>
    <cellStyle name="sowPara 2 2 4 2 2 2" xfId="1689" xr:uid="{00000000-0005-0000-0000-000040040000}"/>
    <cellStyle name="sowPara 2 2 4 2 3" xfId="1475" xr:uid="{00000000-0005-0000-0000-000041040000}"/>
    <cellStyle name="sowPara 2 2 4 3" xfId="1349" xr:uid="{00000000-0005-0000-0000-000042040000}"/>
    <cellStyle name="sowPara 2 2 5" xfId="900" xr:uid="{00000000-0005-0000-0000-000043040000}"/>
    <cellStyle name="sowPara 2 2 5 2" xfId="1167" xr:uid="{00000000-0005-0000-0000-000044040000}"/>
    <cellStyle name="sowPara 2 2 5 2 2" xfId="1652" xr:uid="{00000000-0005-0000-0000-000045040000}"/>
    <cellStyle name="sowPara 2 2 5 3" xfId="1446" xr:uid="{00000000-0005-0000-0000-000046040000}"/>
    <cellStyle name="sowPara 2 2 6" xfId="1320" xr:uid="{00000000-0005-0000-0000-000047040000}"/>
    <cellStyle name="sowPara 2 2 7" xfId="1777" xr:uid="{00000000-0005-0000-0000-000048040000}"/>
    <cellStyle name="sowPara 2 3" xfId="615" xr:uid="{00000000-0005-0000-0000-000049040000}"/>
    <cellStyle name="sowPara 2 3 2" xfId="801" xr:uid="{00000000-0005-0000-0000-00004A040000}"/>
    <cellStyle name="sowPara 2 3 2 2" xfId="987" xr:uid="{00000000-0005-0000-0000-00004B040000}"/>
    <cellStyle name="sowPara 2 3 2 2 2" xfId="1254" xr:uid="{00000000-0005-0000-0000-00004C040000}"/>
    <cellStyle name="sowPara 2 3 2 2 2 2" xfId="1723" xr:uid="{00000000-0005-0000-0000-00004D040000}"/>
    <cellStyle name="sowPara 2 3 2 2 3" xfId="1509" xr:uid="{00000000-0005-0000-0000-00004E040000}"/>
    <cellStyle name="sowPara 2 3 2 3" xfId="1083" xr:uid="{00000000-0005-0000-0000-00004F040000}"/>
    <cellStyle name="sowPara 2 3 2 3 2" xfId="1584" xr:uid="{00000000-0005-0000-0000-000050040000}"/>
    <cellStyle name="sowPara 2 3 2 4" xfId="1383" xr:uid="{00000000-0005-0000-0000-000051040000}"/>
    <cellStyle name="sowPara 2 3 3" xfId="843" xr:uid="{00000000-0005-0000-0000-000052040000}"/>
    <cellStyle name="sowPara 2 3 3 2" xfId="1029" xr:uid="{00000000-0005-0000-0000-000053040000}"/>
    <cellStyle name="sowPara 2 3 3 2 2" xfId="1296" xr:uid="{00000000-0005-0000-0000-000054040000}"/>
    <cellStyle name="sowPara 2 3 3 2 2 2" xfId="1756" xr:uid="{00000000-0005-0000-0000-000055040000}"/>
    <cellStyle name="sowPara 2 3 3 2 3" xfId="1542" xr:uid="{00000000-0005-0000-0000-000056040000}"/>
    <cellStyle name="sowPara 2 3 3 3" xfId="1119" xr:uid="{00000000-0005-0000-0000-000057040000}"/>
    <cellStyle name="sowPara 2 3 3 3 2" xfId="1613" xr:uid="{00000000-0005-0000-0000-000058040000}"/>
    <cellStyle name="sowPara 2 3 3 4" xfId="1416" xr:uid="{00000000-0005-0000-0000-000059040000}"/>
    <cellStyle name="sowPara 2 3 4" xfId="761" xr:uid="{00000000-0005-0000-0000-00005A040000}"/>
    <cellStyle name="sowPara 2 3 4 2" xfId="947" xr:uid="{00000000-0005-0000-0000-00005B040000}"/>
    <cellStyle name="sowPara 2 3 4 2 2" xfId="1214" xr:uid="{00000000-0005-0000-0000-00005C040000}"/>
    <cellStyle name="sowPara 2 3 4 2 2 2" xfId="1690" xr:uid="{00000000-0005-0000-0000-00005D040000}"/>
    <cellStyle name="sowPara 2 3 4 2 3" xfId="1476" xr:uid="{00000000-0005-0000-0000-00005E040000}"/>
    <cellStyle name="sowPara 2 3 4 3" xfId="1350" xr:uid="{00000000-0005-0000-0000-00005F040000}"/>
    <cellStyle name="sowPara 2 3 5" xfId="912" xr:uid="{00000000-0005-0000-0000-000060040000}"/>
    <cellStyle name="sowPara 2 3 5 2" xfId="1179" xr:uid="{00000000-0005-0000-0000-000061040000}"/>
    <cellStyle name="sowPara 2 3 5 2 2" xfId="1662" xr:uid="{00000000-0005-0000-0000-000062040000}"/>
    <cellStyle name="sowPara 2 3 5 3" xfId="1452" xr:uid="{00000000-0005-0000-0000-000063040000}"/>
    <cellStyle name="sowPara 2 3 6" xfId="1326" xr:uid="{00000000-0005-0000-0000-000064040000}"/>
    <cellStyle name="sowPara 2 3 7" xfId="1778" xr:uid="{00000000-0005-0000-0000-000065040000}"/>
    <cellStyle name="sowPara 2 4" xfId="879" xr:uid="{00000000-0005-0000-0000-000066040000}"/>
    <cellStyle name="sowPara 2 4 2" xfId="1146" xr:uid="{00000000-0005-0000-0000-000067040000}"/>
    <cellStyle name="sowPara 2 4 2 2" xfId="1636" xr:uid="{00000000-0005-0000-0000-000068040000}"/>
    <cellStyle name="sowPara 2 4 3" xfId="1436" xr:uid="{00000000-0005-0000-0000-000069040000}"/>
    <cellStyle name="sowPara 2 5" xfId="1040" xr:uid="{00000000-0005-0000-0000-00006A040000}"/>
    <cellStyle name="sowPara 2 5 2" xfId="1773" xr:uid="{00000000-0005-0000-0000-00006B040000}"/>
    <cellStyle name="sowPara 2 6" xfId="1314" xr:uid="{00000000-0005-0000-0000-00006C040000}"/>
    <cellStyle name="sowPara 2 7" xfId="1816" xr:uid="{00000000-0005-0000-0000-00006D040000}"/>
    <cellStyle name="sowPara 3" xfId="586" xr:uid="{00000000-0005-0000-0000-00006E040000}"/>
    <cellStyle name="sowPara 3 2" xfId="607" xr:uid="{00000000-0005-0000-0000-00006F040000}"/>
    <cellStyle name="sowPara 3 2 2" xfId="793" xr:uid="{00000000-0005-0000-0000-000070040000}"/>
    <cellStyle name="sowPara 3 2 2 2" xfId="979" xr:uid="{00000000-0005-0000-0000-000071040000}"/>
    <cellStyle name="sowPara 3 2 2 2 2" xfId="1246" xr:uid="{00000000-0005-0000-0000-000072040000}"/>
    <cellStyle name="sowPara 3 2 2 2 2 2" xfId="1716" xr:uid="{00000000-0005-0000-0000-000073040000}"/>
    <cellStyle name="sowPara 3 2 2 2 3" xfId="1502" xr:uid="{00000000-0005-0000-0000-000074040000}"/>
    <cellStyle name="sowPara 3 2 2 3" xfId="1075" xr:uid="{00000000-0005-0000-0000-000075040000}"/>
    <cellStyle name="sowPara 3 2 2 3 2" xfId="1577" xr:uid="{00000000-0005-0000-0000-000076040000}"/>
    <cellStyle name="sowPara 3 2 2 4" xfId="1376" xr:uid="{00000000-0005-0000-0000-000077040000}"/>
    <cellStyle name="sowPara 3 2 3" xfId="835" xr:uid="{00000000-0005-0000-0000-000078040000}"/>
    <cellStyle name="sowPara 3 2 3 2" xfId="1021" xr:uid="{00000000-0005-0000-0000-000079040000}"/>
    <cellStyle name="sowPara 3 2 3 2 2" xfId="1288" xr:uid="{00000000-0005-0000-0000-00007A040000}"/>
    <cellStyle name="sowPara 3 2 3 2 2 2" xfId="1749" xr:uid="{00000000-0005-0000-0000-00007B040000}"/>
    <cellStyle name="sowPara 3 2 3 2 3" xfId="1535" xr:uid="{00000000-0005-0000-0000-00007C040000}"/>
    <cellStyle name="sowPara 3 2 3 3" xfId="1111" xr:uid="{00000000-0005-0000-0000-00007D040000}"/>
    <cellStyle name="sowPara 3 2 3 3 2" xfId="1606" xr:uid="{00000000-0005-0000-0000-00007E040000}"/>
    <cellStyle name="sowPara 3 2 3 4" xfId="1409" xr:uid="{00000000-0005-0000-0000-00007F040000}"/>
    <cellStyle name="sowPara 3 2 4" xfId="757" xr:uid="{00000000-0005-0000-0000-000080040000}"/>
    <cellStyle name="sowPara 3 2 4 2" xfId="944" xr:uid="{00000000-0005-0000-0000-000081040000}"/>
    <cellStyle name="sowPara 3 2 4 2 2" xfId="1211" xr:uid="{00000000-0005-0000-0000-000082040000}"/>
    <cellStyle name="sowPara 3 2 4 2 2 2" xfId="1688" xr:uid="{00000000-0005-0000-0000-000083040000}"/>
    <cellStyle name="sowPara 3 2 4 2 3" xfId="1474" xr:uid="{00000000-0005-0000-0000-000084040000}"/>
    <cellStyle name="sowPara 3 2 4 3" xfId="1348" xr:uid="{00000000-0005-0000-0000-000085040000}"/>
    <cellStyle name="sowPara 3 2 5" xfId="904" xr:uid="{00000000-0005-0000-0000-000086040000}"/>
    <cellStyle name="sowPara 3 2 5 2" xfId="1171" xr:uid="{00000000-0005-0000-0000-000087040000}"/>
    <cellStyle name="sowPara 3 2 5 2 2" xfId="1655" xr:uid="{00000000-0005-0000-0000-000088040000}"/>
    <cellStyle name="sowPara 3 2 5 3" xfId="1447" xr:uid="{00000000-0005-0000-0000-000089040000}"/>
    <cellStyle name="sowPara 3 2 6" xfId="1321" xr:uid="{00000000-0005-0000-0000-00008A040000}"/>
    <cellStyle name="sowPara 3 2 7" xfId="1785" xr:uid="{00000000-0005-0000-0000-00008B040000}"/>
    <cellStyle name="sowPara 3 3" xfId="619" xr:uid="{00000000-0005-0000-0000-00008C040000}"/>
    <cellStyle name="sowPara 3 3 2" xfId="805" xr:uid="{00000000-0005-0000-0000-00008D040000}"/>
    <cellStyle name="sowPara 3 3 2 2" xfId="991" xr:uid="{00000000-0005-0000-0000-00008E040000}"/>
    <cellStyle name="sowPara 3 3 2 2 2" xfId="1258" xr:uid="{00000000-0005-0000-0000-00008F040000}"/>
    <cellStyle name="sowPara 3 3 2 2 2 2" xfId="1726" xr:uid="{00000000-0005-0000-0000-000090040000}"/>
    <cellStyle name="sowPara 3 3 2 2 3" xfId="1512" xr:uid="{00000000-0005-0000-0000-000091040000}"/>
    <cellStyle name="sowPara 3 3 2 3" xfId="1087" xr:uid="{00000000-0005-0000-0000-000092040000}"/>
    <cellStyle name="sowPara 3 3 2 3 2" xfId="1587" xr:uid="{00000000-0005-0000-0000-000093040000}"/>
    <cellStyle name="sowPara 3 3 2 4" xfId="1386" xr:uid="{00000000-0005-0000-0000-000094040000}"/>
    <cellStyle name="sowPara 3 3 3" xfId="847" xr:uid="{00000000-0005-0000-0000-000095040000}"/>
    <cellStyle name="sowPara 3 3 3 2" xfId="1033" xr:uid="{00000000-0005-0000-0000-000096040000}"/>
    <cellStyle name="sowPara 3 3 3 2 2" xfId="1300" xr:uid="{00000000-0005-0000-0000-000097040000}"/>
    <cellStyle name="sowPara 3 3 3 2 2 2" xfId="1759" xr:uid="{00000000-0005-0000-0000-000098040000}"/>
    <cellStyle name="sowPara 3 3 3 2 3" xfId="1545" xr:uid="{00000000-0005-0000-0000-000099040000}"/>
    <cellStyle name="sowPara 3 3 3 3" xfId="1123" xr:uid="{00000000-0005-0000-0000-00009A040000}"/>
    <cellStyle name="sowPara 3 3 3 3 2" xfId="1616" xr:uid="{00000000-0005-0000-0000-00009B040000}"/>
    <cellStyle name="sowPara 3 3 3 4" xfId="1419" xr:uid="{00000000-0005-0000-0000-00009C040000}"/>
    <cellStyle name="sowPara 3 3 4" xfId="747" xr:uid="{00000000-0005-0000-0000-00009D040000}"/>
    <cellStyle name="sowPara 3 3 4 2" xfId="936" xr:uid="{00000000-0005-0000-0000-00009E040000}"/>
    <cellStyle name="sowPara 3 3 4 2 2" xfId="1203" xr:uid="{00000000-0005-0000-0000-00009F040000}"/>
    <cellStyle name="sowPara 3 3 4 2 2 2" xfId="1680" xr:uid="{00000000-0005-0000-0000-0000A0040000}"/>
    <cellStyle name="sowPara 3 3 4 2 3" xfId="1466" xr:uid="{00000000-0005-0000-0000-0000A1040000}"/>
    <cellStyle name="sowPara 3 3 4 3" xfId="1340" xr:uid="{00000000-0005-0000-0000-0000A2040000}"/>
    <cellStyle name="sowPara 3 3 5" xfId="916" xr:uid="{00000000-0005-0000-0000-0000A3040000}"/>
    <cellStyle name="sowPara 3 3 5 2" xfId="1183" xr:uid="{00000000-0005-0000-0000-0000A4040000}"/>
    <cellStyle name="sowPara 3 3 5 2 2" xfId="1665" xr:uid="{00000000-0005-0000-0000-0000A5040000}"/>
    <cellStyle name="sowPara 3 3 5 3" xfId="1453" xr:uid="{00000000-0005-0000-0000-0000A6040000}"/>
    <cellStyle name="sowPara 3 3 6" xfId="1327" xr:uid="{00000000-0005-0000-0000-0000A7040000}"/>
    <cellStyle name="sowPara 3 3 7" xfId="1786" xr:uid="{00000000-0005-0000-0000-0000A8040000}"/>
    <cellStyle name="sowPara 3 4" xfId="772" xr:uid="{00000000-0005-0000-0000-0000A9040000}"/>
    <cellStyle name="sowPara 3 4 2" xfId="958" xr:uid="{00000000-0005-0000-0000-0000AA040000}"/>
    <cellStyle name="sowPara 3 4 2 2" xfId="1225" xr:uid="{00000000-0005-0000-0000-0000AB040000}"/>
    <cellStyle name="sowPara 3 4 2 2 2" xfId="1700" xr:uid="{00000000-0005-0000-0000-0000AC040000}"/>
    <cellStyle name="sowPara 3 4 2 3" xfId="1486" xr:uid="{00000000-0005-0000-0000-0000AD040000}"/>
    <cellStyle name="sowPara 3 4 3" xfId="1054" xr:uid="{00000000-0005-0000-0000-0000AE040000}"/>
    <cellStyle name="sowPara 3 4 3 2" xfId="1561" xr:uid="{00000000-0005-0000-0000-0000AF040000}"/>
    <cellStyle name="sowPara 3 4 4" xfId="1360" xr:uid="{00000000-0005-0000-0000-0000B0040000}"/>
    <cellStyle name="sowPara 3 5" xfId="883" xr:uid="{00000000-0005-0000-0000-0000B1040000}"/>
    <cellStyle name="sowPara 3 5 2" xfId="1150" xr:uid="{00000000-0005-0000-0000-0000B2040000}"/>
    <cellStyle name="sowPara 3 5 2 2" xfId="1639" xr:uid="{00000000-0005-0000-0000-0000B3040000}"/>
    <cellStyle name="sowPara 3 5 3" xfId="1439" xr:uid="{00000000-0005-0000-0000-0000B4040000}"/>
    <cellStyle name="sowPara 3 6" xfId="1315" xr:uid="{00000000-0005-0000-0000-0000B5040000}"/>
    <cellStyle name="sowPara 3 7" xfId="1807" xr:uid="{00000000-0005-0000-0000-0000B6040000}"/>
    <cellStyle name="sowPara 4" xfId="625" xr:uid="{00000000-0005-0000-0000-0000B7040000}"/>
    <cellStyle name="sowPara 4 2" xfId="811" xr:uid="{00000000-0005-0000-0000-0000B8040000}"/>
    <cellStyle name="sowPara 4 2 2" xfId="997" xr:uid="{00000000-0005-0000-0000-0000B9040000}"/>
    <cellStyle name="sowPara 4 2 2 2" xfId="1264" xr:uid="{00000000-0005-0000-0000-0000BA040000}"/>
    <cellStyle name="sowPara 4 2 2 2 2" xfId="1731" xr:uid="{00000000-0005-0000-0000-0000BB040000}"/>
    <cellStyle name="sowPara 4 2 2 3" xfId="1517" xr:uid="{00000000-0005-0000-0000-0000BC040000}"/>
    <cellStyle name="sowPara 4 2 3" xfId="1093" xr:uid="{00000000-0005-0000-0000-0000BD040000}"/>
    <cellStyle name="sowPara 4 2 3 2" xfId="1592" xr:uid="{00000000-0005-0000-0000-0000BE040000}"/>
    <cellStyle name="sowPara 4 2 4" xfId="1391" xr:uid="{00000000-0005-0000-0000-0000BF040000}"/>
    <cellStyle name="sowPara 4 3" xfId="853" xr:uid="{00000000-0005-0000-0000-0000C0040000}"/>
    <cellStyle name="sowPara 4 3 2" xfId="1039" xr:uid="{00000000-0005-0000-0000-0000C1040000}"/>
    <cellStyle name="sowPara 4 3 2 2" xfId="1306" xr:uid="{00000000-0005-0000-0000-0000C2040000}"/>
    <cellStyle name="sowPara 4 3 2 2 2" xfId="1764" xr:uid="{00000000-0005-0000-0000-0000C3040000}"/>
    <cellStyle name="sowPara 4 3 2 3" xfId="1550" xr:uid="{00000000-0005-0000-0000-0000C4040000}"/>
    <cellStyle name="sowPara 4 3 3" xfId="1129" xr:uid="{00000000-0005-0000-0000-0000C5040000}"/>
    <cellStyle name="sowPara 4 3 3 2" xfId="1621" xr:uid="{00000000-0005-0000-0000-0000C6040000}"/>
    <cellStyle name="sowPara 4 3 4" xfId="1424" xr:uid="{00000000-0005-0000-0000-0000C7040000}"/>
    <cellStyle name="sowPara 4 4" xfId="765" xr:uid="{00000000-0005-0000-0000-0000C8040000}"/>
    <cellStyle name="sowPara 4 4 2" xfId="951" xr:uid="{00000000-0005-0000-0000-0000C9040000}"/>
    <cellStyle name="sowPara 4 4 2 2" xfId="1218" xr:uid="{00000000-0005-0000-0000-0000CA040000}"/>
    <cellStyle name="sowPara 4 4 2 2 2" xfId="1694" xr:uid="{00000000-0005-0000-0000-0000CB040000}"/>
    <cellStyle name="sowPara 4 4 2 3" xfId="1480" xr:uid="{00000000-0005-0000-0000-0000CC040000}"/>
    <cellStyle name="sowPara 4 4 3" xfId="1048" xr:uid="{00000000-0005-0000-0000-0000CD040000}"/>
    <cellStyle name="sowPara 4 4 3 2" xfId="1556" xr:uid="{00000000-0005-0000-0000-0000CE040000}"/>
    <cellStyle name="sowPara 4 4 4" xfId="1354" xr:uid="{00000000-0005-0000-0000-0000CF040000}"/>
    <cellStyle name="sowPara 4 5" xfId="922" xr:uid="{00000000-0005-0000-0000-0000D0040000}"/>
    <cellStyle name="sowPara 4 5 2" xfId="1189" xr:uid="{00000000-0005-0000-0000-0000D1040000}"/>
    <cellStyle name="sowPara 4 5 2 2" xfId="1670" xr:uid="{00000000-0005-0000-0000-0000D2040000}"/>
    <cellStyle name="sowPara 4 5 3" xfId="1456" xr:uid="{00000000-0005-0000-0000-0000D3040000}"/>
    <cellStyle name="sowPara 4 6" xfId="1044" xr:uid="{00000000-0005-0000-0000-0000D4040000}"/>
    <cellStyle name="sowPara 4 6 2" xfId="1553" xr:uid="{00000000-0005-0000-0000-0000D5040000}"/>
    <cellStyle name="sowPara 4 7" xfId="1330" xr:uid="{00000000-0005-0000-0000-0000D6040000}"/>
    <cellStyle name="sowPara 5" xfId="865" xr:uid="{00000000-0005-0000-0000-0000D7040000}"/>
    <cellStyle name="sowPara 5 2" xfId="1132" xr:uid="{00000000-0005-0000-0000-0000D8040000}"/>
    <cellStyle name="sowPara 5 2 2" xfId="1624" xr:uid="{00000000-0005-0000-0000-0000D9040000}"/>
    <cellStyle name="sowPara 6" xfId="871" xr:uid="{00000000-0005-0000-0000-0000DA040000}"/>
    <cellStyle name="sowPara 6 2" xfId="1138" xr:uid="{00000000-0005-0000-0000-0000DB040000}"/>
    <cellStyle name="sowPara 6 2 2" xfId="1629" xr:uid="{00000000-0005-0000-0000-0000DC040000}"/>
    <cellStyle name="sowPara 6 3" xfId="1429" xr:uid="{00000000-0005-0000-0000-0000DD040000}"/>
    <cellStyle name="sowPara 7" xfId="1309" xr:uid="{00000000-0005-0000-0000-0000DE040000}"/>
    <cellStyle name="tabackground" xfId="517" xr:uid="{00000000-0005-0000-0000-0000DF040000}"/>
    <cellStyle name="taParaContent" xfId="518" xr:uid="{00000000-0005-0000-0000-0000E0040000}"/>
    <cellStyle name="taParaContent 2" xfId="519" xr:uid="{00000000-0005-0000-0000-0000E1040000}"/>
    <cellStyle name="taParaContent 2 2" xfId="584" xr:uid="{00000000-0005-0000-0000-0000E2040000}"/>
    <cellStyle name="taParaContent 2 2 2" xfId="605" xr:uid="{00000000-0005-0000-0000-0000E3040000}"/>
    <cellStyle name="taParaContent 2 2 2 2" xfId="791" xr:uid="{00000000-0005-0000-0000-0000E4040000}"/>
    <cellStyle name="taParaContent 2 2 2 2 2" xfId="977" xr:uid="{00000000-0005-0000-0000-0000E5040000}"/>
    <cellStyle name="taParaContent 2 2 2 2 2 2" xfId="1244" xr:uid="{00000000-0005-0000-0000-0000E6040000}"/>
    <cellStyle name="taParaContent 2 2 2 2 2 2 2" xfId="1715" xr:uid="{00000000-0005-0000-0000-0000E7040000}"/>
    <cellStyle name="taParaContent 2 2 2 2 2 3" xfId="1501" xr:uid="{00000000-0005-0000-0000-0000E8040000}"/>
    <cellStyle name="taParaContent 2 2 2 2 3" xfId="1073" xr:uid="{00000000-0005-0000-0000-0000E9040000}"/>
    <cellStyle name="taParaContent 2 2 2 2 3 2" xfId="1576" xr:uid="{00000000-0005-0000-0000-0000EA040000}"/>
    <cellStyle name="taParaContent 2 2 2 2 4" xfId="1375" xr:uid="{00000000-0005-0000-0000-0000EB040000}"/>
    <cellStyle name="taParaContent 2 2 2 3" xfId="833" xr:uid="{00000000-0005-0000-0000-0000EC040000}"/>
    <cellStyle name="taParaContent 2 2 2 3 2" xfId="1019" xr:uid="{00000000-0005-0000-0000-0000ED040000}"/>
    <cellStyle name="taParaContent 2 2 2 3 2 2" xfId="1286" xr:uid="{00000000-0005-0000-0000-0000EE040000}"/>
    <cellStyle name="taParaContent 2 2 2 3 2 2 2" xfId="1748" xr:uid="{00000000-0005-0000-0000-0000EF040000}"/>
    <cellStyle name="taParaContent 2 2 2 3 2 3" xfId="1534" xr:uid="{00000000-0005-0000-0000-0000F0040000}"/>
    <cellStyle name="taParaContent 2 2 2 3 3" xfId="1109" xr:uid="{00000000-0005-0000-0000-0000F1040000}"/>
    <cellStyle name="taParaContent 2 2 2 3 3 2" xfId="1605" xr:uid="{00000000-0005-0000-0000-0000F2040000}"/>
    <cellStyle name="taParaContent 2 2 2 3 4" xfId="1408" xr:uid="{00000000-0005-0000-0000-0000F3040000}"/>
    <cellStyle name="taParaContent 2 2 2 4" xfId="753" xr:uid="{00000000-0005-0000-0000-0000F4040000}"/>
    <cellStyle name="taParaContent 2 2 2 4 2" xfId="940" xr:uid="{00000000-0005-0000-0000-0000F5040000}"/>
    <cellStyle name="taParaContent 2 2 2 4 2 2" xfId="1207" xr:uid="{00000000-0005-0000-0000-0000F6040000}"/>
    <cellStyle name="taParaContent 2 2 2 4 2 2 2" xfId="1684" xr:uid="{00000000-0005-0000-0000-0000F7040000}"/>
    <cellStyle name="taParaContent 2 2 2 4 2 3" xfId="1470" xr:uid="{00000000-0005-0000-0000-0000F8040000}"/>
    <cellStyle name="taParaContent 2 2 2 4 3" xfId="1344" xr:uid="{00000000-0005-0000-0000-0000F9040000}"/>
    <cellStyle name="taParaContent 2 2 2 5" xfId="902" xr:uid="{00000000-0005-0000-0000-0000FA040000}"/>
    <cellStyle name="taParaContent 2 2 2 5 2" xfId="1169" xr:uid="{00000000-0005-0000-0000-0000FB040000}"/>
    <cellStyle name="taParaContent 2 2 2 5 2 2" xfId="1654" xr:uid="{00000000-0005-0000-0000-0000FC040000}"/>
    <cellStyle name="taParaContent 2 2 2 6" xfId="1781" xr:uid="{00000000-0005-0000-0000-0000FD040000}"/>
    <cellStyle name="taParaContent 2 2 3" xfId="617" xr:uid="{00000000-0005-0000-0000-0000FE040000}"/>
    <cellStyle name="taParaContent 2 2 3 2" xfId="803" xr:uid="{00000000-0005-0000-0000-0000FF040000}"/>
    <cellStyle name="taParaContent 2 2 3 2 2" xfId="989" xr:uid="{00000000-0005-0000-0000-000000050000}"/>
    <cellStyle name="taParaContent 2 2 3 2 2 2" xfId="1256" xr:uid="{00000000-0005-0000-0000-000001050000}"/>
    <cellStyle name="taParaContent 2 2 3 2 2 2 2" xfId="1725" xr:uid="{00000000-0005-0000-0000-000002050000}"/>
    <cellStyle name="taParaContent 2 2 3 2 2 3" xfId="1511" xr:uid="{00000000-0005-0000-0000-000003050000}"/>
    <cellStyle name="taParaContent 2 2 3 2 3" xfId="1085" xr:uid="{00000000-0005-0000-0000-000004050000}"/>
    <cellStyle name="taParaContent 2 2 3 2 3 2" xfId="1586" xr:uid="{00000000-0005-0000-0000-000005050000}"/>
    <cellStyle name="taParaContent 2 2 3 2 4" xfId="1385" xr:uid="{00000000-0005-0000-0000-000006050000}"/>
    <cellStyle name="taParaContent 2 2 3 3" xfId="845" xr:uid="{00000000-0005-0000-0000-000007050000}"/>
    <cellStyle name="taParaContent 2 2 3 3 2" xfId="1031" xr:uid="{00000000-0005-0000-0000-000008050000}"/>
    <cellStyle name="taParaContent 2 2 3 3 2 2" xfId="1298" xr:uid="{00000000-0005-0000-0000-000009050000}"/>
    <cellStyle name="taParaContent 2 2 3 3 2 2 2" xfId="1758" xr:uid="{00000000-0005-0000-0000-00000A050000}"/>
    <cellStyle name="taParaContent 2 2 3 3 2 3" xfId="1544" xr:uid="{00000000-0005-0000-0000-00000B050000}"/>
    <cellStyle name="taParaContent 2 2 3 3 3" xfId="1121" xr:uid="{00000000-0005-0000-0000-00000C050000}"/>
    <cellStyle name="taParaContent 2 2 3 3 3 2" xfId="1615" xr:uid="{00000000-0005-0000-0000-00000D050000}"/>
    <cellStyle name="taParaContent 2 2 3 3 4" xfId="1418" xr:uid="{00000000-0005-0000-0000-00000E050000}"/>
    <cellStyle name="taParaContent 2 2 3 4" xfId="745" xr:uid="{00000000-0005-0000-0000-00000F050000}"/>
    <cellStyle name="taParaContent 2 2 3 4 2" xfId="934" xr:uid="{00000000-0005-0000-0000-000010050000}"/>
    <cellStyle name="taParaContent 2 2 3 4 2 2" xfId="1201" xr:uid="{00000000-0005-0000-0000-000011050000}"/>
    <cellStyle name="taParaContent 2 2 3 4 2 2 2" xfId="1679" xr:uid="{00000000-0005-0000-0000-000012050000}"/>
    <cellStyle name="taParaContent 2 2 3 4 2 3" xfId="1465" xr:uid="{00000000-0005-0000-0000-000013050000}"/>
    <cellStyle name="taParaContent 2 2 3 4 3" xfId="1339" xr:uid="{00000000-0005-0000-0000-000014050000}"/>
    <cellStyle name="taParaContent 2 2 3 5" xfId="914" xr:uid="{00000000-0005-0000-0000-000015050000}"/>
    <cellStyle name="taParaContent 2 2 3 5 2" xfId="1181" xr:uid="{00000000-0005-0000-0000-000016050000}"/>
    <cellStyle name="taParaContent 2 2 3 5 2 2" xfId="1664" xr:uid="{00000000-0005-0000-0000-000017050000}"/>
    <cellStyle name="taParaContent 2 2 3 6" xfId="1782" xr:uid="{00000000-0005-0000-0000-000018050000}"/>
    <cellStyle name="taParaContent 2 2 4" xfId="770" xr:uid="{00000000-0005-0000-0000-000019050000}"/>
    <cellStyle name="taParaContent 2 2 4 2" xfId="956" xr:uid="{00000000-0005-0000-0000-00001A050000}"/>
    <cellStyle name="taParaContent 2 2 4 2 2" xfId="1223" xr:uid="{00000000-0005-0000-0000-00001B050000}"/>
    <cellStyle name="taParaContent 2 2 4 2 2 2" xfId="1699" xr:uid="{00000000-0005-0000-0000-00001C050000}"/>
    <cellStyle name="taParaContent 2 2 4 2 3" xfId="1485" xr:uid="{00000000-0005-0000-0000-00001D050000}"/>
    <cellStyle name="taParaContent 2 2 4 3" xfId="1052" xr:uid="{00000000-0005-0000-0000-00001E050000}"/>
    <cellStyle name="taParaContent 2 2 4 3 2" xfId="1560" xr:uid="{00000000-0005-0000-0000-00001F050000}"/>
    <cellStyle name="taParaContent 2 2 4 4" xfId="1359" xr:uid="{00000000-0005-0000-0000-000020050000}"/>
    <cellStyle name="taParaContent 2 2 5" xfId="881" xr:uid="{00000000-0005-0000-0000-000021050000}"/>
    <cellStyle name="taParaContent 2 2 5 2" xfId="1148" xr:uid="{00000000-0005-0000-0000-000022050000}"/>
    <cellStyle name="taParaContent 2 2 5 2 2" xfId="1638" xr:uid="{00000000-0005-0000-0000-000023050000}"/>
    <cellStyle name="taParaContent 2 2 5 3" xfId="1438" xr:uid="{00000000-0005-0000-0000-000024050000}"/>
    <cellStyle name="taParaContent 2 2 6" xfId="1806" xr:uid="{00000000-0005-0000-0000-000025050000}"/>
    <cellStyle name="taParaContent 2 3" xfId="588" xr:uid="{00000000-0005-0000-0000-000026050000}"/>
    <cellStyle name="taParaContent 2 3 2" xfId="609" xr:uid="{00000000-0005-0000-0000-000027050000}"/>
    <cellStyle name="taParaContent 2 3 2 2" xfId="795" xr:uid="{00000000-0005-0000-0000-000028050000}"/>
    <cellStyle name="taParaContent 2 3 2 2 2" xfId="981" xr:uid="{00000000-0005-0000-0000-000029050000}"/>
    <cellStyle name="taParaContent 2 3 2 2 2 2" xfId="1248" xr:uid="{00000000-0005-0000-0000-00002A050000}"/>
    <cellStyle name="taParaContent 2 3 2 2 2 2 2" xfId="1718" xr:uid="{00000000-0005-0000-0000-00002B050000}"/>
    <cellStyle name="taParaContent 2 3 2 2 2 3" xfId="1504" xr:uid="{00000000-0005-0000-0000-00002C050000}"/>
    <cellStyle name="taParaContent 2 3 2 2 3" xfId="1077" xr:uid="{00000000-0005-0000-0000-00002D050000}"/>
    <cellStyle name="taParaContent 2 3 2 2 3 2" xfId="1579" xr:uid="{00000000-0005-0000-0000-00002E050000}"/>
    <cellStyle name="taParaContent 2 3 2 2 4" xfId="1378" xr:uid="{00000000-0005-0000-0000-00002F050000}"/>
    <cellStyle name="taParaContent 2 3 2 3" xfId="837" xr:uid="{00000000-0005-0000-0000-000030050000}"/>
    <cellStyle name="taParaContent 2 3 2 3 2" xfId="1023" xr:uid="{00000000-0005-0000-0000-000031050000}"/>
    <cellStyle name="taParaContent 2 3 2 3 2 2" xfId="1290" xr:uid="{00000000-0005-0000-0000-000032050000}"/>
    <cellStyle name="taParaContent 2 3 2 3 2 2 2" xfId="1751" xr:uid="{00000000-0005-0000-0000-000033050000}"/>
    <cellStyle name="taParaContent 2 3 2 3 2 3" xfId="1537" xr:uid="{00000000-0005-0000-0000-000034050000}"/>
    <cellStyle name="taParaContent 2 3 2 3 3" xfId="1113" xr:uid="{00000000-0005-0000-0000-000035050000}"/>
    <cellStyle name="taParaContent 2 3 2 3 3 2" xfId="1608" xr:uid="{00000000-0005-0000-0000-000036050000}"/>
    <cellStyle name="taParaContent 2 3 2 3 4" xfId="1411" xr:uid="{00000000-0005-0000-0000-000037050000}"/>
    <cellStyle name="taParaContent 2 3 2 4" xfId="756" xr:uid="{00000000-0005-0000-0000-000038050000}"/>
    <cellStyle name="taParaContent 2 3 2 4 2" xfId="943" xr:uid="{00000000-0005-0000-0000-000039050000}"/>
    <cellStyle name="taParaContent 2 3 2 4 2 2" xfId="1210" xr:uid="{00000000-0005-0000-0000-00003A050000}"/>
    <cellStyle name="taParaContent 2 3 2 4 2 2 2" xfId="1687" xr:uid="{00000000-0005-0000-0000-00003B050000}"/>
    <cellStyle name="taParaContent 2 3 2 4 2 3" xfId="1473" xr:uid="{00000000-0005-0000-0000-00003C050000}"/>
    <cellStyle name="taParaContent 2 3 2 4 3" xfId="1347" xr:uid="{00000000-0005-0000-0000-00003D050000}"/>
    <cellStyle name="taParaContent 2 3 2 5" xfId="906" xr:uid="{00000000-0005-0000-0000-00003E050000}"/>
    <cellStyle name="taParaContent 2 3 2 5 2" xfId="1173" xr:uid="{00000000-0005-0000-0000-00003F050000}"/>
    <cellStyle name="taParaContent 2 3 2 5 2 2" xfId="1657" xr:uid="{00000000-0005-0000-0000-000040050000}"/>
    <cellStyle name="taParaContent 2 3 2 6" xfId="1789" xr:uid="{00000000-0005-0000-0000-000041050000}"/>
    <cellStyle name="taParaContent 2 3 3" xfId="621" xr:uid="{00000000-0005-0000-0000-000042050000}"/>
    <cellStyle name="taParaContent 2 3 3 2" xfId="807" xr:uid="{00000000-0005-0000-0000-000043050000}"/>
    <cellStyle name="taParaContent 2 3 3 2 2" xfId="993" xr:uid="{00000000-0005-0000-0000-000044050000}"/>
    <cellStyle name="taParaContent 2 3 3 2 2 2" xfId="1260" xr:uid="{00000000-0005-0000-0000-000045050000}"/>
    <cellStyle name="taParaContent 2 3 3 2 2 2 2" xfId="1728" xr:uid="{00000000-0005-0000-0000-000046050000}"/>
    <cellStyle name="taParaContent 2 3 3 2 2 3" xfId="1514" xr:uid="{00000000-0005-0000-0000-000047050000}"/>
    <cellStyle name="taParaContent 2 3 3 2 3" xfId="1089" xr:uid="{00000000-0005-0000-0000-000048050000}"/>
    <cellStyle name="taParaContent 2 3 3 2 3 2" xfId="1589" xr:uid="{00000000-0005-0000-0000-000049050000}"/>
    <cellStyle name="taParaContent 2 3 3 2 4" xfId="1388" xr:uid="{00000000-0005-0000-0000-00004A050000}"/>
    <cellStyle name="taParaContent 2 3 3 3" xfId="849" xr:uid="{00000000-0005-0000-0000-00004B050000}"/>
    <cellStyle name="taParaContent 2 3 3 3 2" xfId="1035" xr:uid="{00000000-0005-0000-0000-00004C050000}"/>
    <cellStyle name="taParaContent 2 3 3 3 2 2" xfId="1302" xr:uid="{00000000-0005-0000-0000-00004D050000}"/>
    <cellStyle name="taParaContent 2 3 3 3 2 2 2" xfId="1761" xr:uid="{00000000-0005-0000-0000-00004E050000}"/>
    <cellStyle name="taParaContent 2 3 3 3 2 3" xfId="1547" xr:uid="{00000000-0005-0000-0000-00004F050000}"/>
    <cellStyle name="taParaContent 2 3 3 3 3" xfId="1125" xr:uid="{00000000-0005-0000-0000-000050050000}"/>
    <cellStyle name="taParaContent 2 3 3 3 3 2" xfId="1618" xr:uid="{00000000-0005-0000-0000-000051050000}"/>
    <cellStyle name="taParaContent 2 3 3 3 4" xfId="1421" xr:uid="{00000000-0005-0000-0000-000052050000}"/>
    <cellStyle name="taParaContent 2 3 3 4" xfId="749" xr:uid="{00000000-0005-0000-0000-000053050000}"/>
    <cellStyle name="taParaContent 2 3 3 4 2" xfId="938" xr:uid="{00000000-0005-0000-0000-000054050000}"/>
    <cellStyle name="taParaContent 2 3 3 4 2 2" xfId="1205" xr:uid="{00000000-0005-0000-0000-000055050000}"/>
    <cellStyle name="taParaContent 2 3 3 4 2 2 2" xfId="1682" xr:uid="{00000000-0005-0000-0000-000056050000}"/>
    <cellStyle name="taParaContent 2 3 3 4 2 3" xfId="1468" xr:uid="{00000000-0005-0000-0000-000057050000}"/>
    <cellStyle name="taParaContent 2 3 3 4 3" xfId="1342" xr:uid="{00000000-0005-0000-0000-000058050000}"/>
    <cellStyle name="taParaContent 2 3 3 5" xfId="918" xr:uid="{00000000-0005-0000-0000-000059050000}"/>
    <cellStyle name="taParaContent 2 3 3 5 2" xfId="1185" xr:uid="{00000000-0005-0000-0000-00005A050000}"/>
    <cellStyle name="taParaContent 2 3 3 5 2 2" xfId="1667" xr:uid="{00000000-0005-0000-0000-00005B050000}"/>
    <cellStyle name="taParaContent 2 3 3 6" xfId="1790" xr:uid="{00000000-0005-0000-0000-00005C050000}"/>
    <cellStyle name="taParaContent 2 3 4" xfId="774" xr:uid="{00000000-0005-0000-0000-00005D050000}"/>
    <cellStyle name="taParaContent 2 3 4 2" xfId="960" xr:uid="{00000000-0005-0000-0000-00005E050000}"/>
    <cellStyle name="taParaContent 2 3 4 2 2" xfId="1227" xr:uid="{00000000-0005-0000-0000-00005F050000}"/>
    <cellStyle name="taParaContent 2 3 4 2 2 2" xfId="1702" xr:uid="{00000000-0005-0000-0000-000060050000}"/>
    <cellStyle name="taParaContent 2 3 4 2 3" xfId="1488" xr:uid="{00000000-0005-0000-0000-000061050000}"/>
    <cellStyle name="taParaContent 2 3 4 3" xfId="1056" xr:uid="{00000000-0005-0000-0000-000062050000}"/>
    <cellStyle name="taParaContent 2 3 4 3 2" xfId="1563" xr:uid="{00000000-0005-0000-0000-000063050000}"/>
    <cellStyle name="taParaContent 2 3 4 4" xfId="1362" xr:uid="{00000000-0005-0000-0000-000064050000}"/>
    <cellStyle name="taParaContent 2 3 5" xfId="885" xr:uid="{00000000-0005-0000-0000-000065050000}"/>
    <cellStyle name="taParaContent 2 3 5 2" xfId="1152" xr:uid="{00000000-0005-0000-0000-000066050000}"/>
    <cellStyle name="taParaContent 2 3 5 2 2" xfId="1641" xr:uid="{00000000-0005-0000-0000-000067050000}"/>
    <cellStyle name="taParaContent 2 3 5 3" xfId="1441" xr:uid="{00000000-0005-0000-0000-000068050000}"/>
    <cellStyle name="taParaContent 2 4" xfId="594" xr:uid="{00000000-0005-0000-0000-000069050000}"/>
    <cellStyle name="taParaContent 2 4 2" xfId="780" xr:uid="{00000000-0005-0000-0000-00006A050000}"/>
    <cellStyle name="taParaContent 2 4 2 2" xfId="966" xr:uid="{00000000-0005-0000-0000-00006B050000}"/>
    <cellStyle name="taParaContent 2 4 2 2 2" xfId="1233" xr:uid="{00000000-0005-0000-0000-00006C050000}"/>
    <cellStyle name="taParaContent 2 4 2 2 2 2" xfId="1706" xr:uid="{00000000-0005-0000-0000-00006D050000}"/>
    <cellStyle name="taParaContent 2 4 2 2 3" xfId="1492" xr:uid="{00000000-0005-0000-0000-00006E050000}"/>
    <cellStyle name="taParaContent 2 4 2 3" xfId="1062" xr:uid="{00000000-0005-0000-0000-00006F050000}"/>
    <cellStyle name="taParaContent 2 4 2 3 2" xfId="1567" xr:uid="{00000000-0005-0000-0000-000070050000}"/>
    <cellStyle name="taParaContent 2 4 2 4" xfId="1366" xr:uid="{00000000-0005-0000-0000-000071050000}"/>
    <cellStyle name="taParaContent 2 4 3" xfId="822" xr:uid="{00000000-0005-0000-0000-000072050000}"/>
    <cellStyle name="taParaContent 2 4 3 2" xfId="1008" xr:uid="{00000000-0005-0000-0000-000073050000}"/>
    <cellStyle name="taParaContent 2 4 3 2 2" xfId="1275" xr:uid="{00000000-0005-0000-0000-000074050000}"/>
    <cellStyle name="taParaContent 2 4 3 2 2 2" xfId="1739" xr:uid="{00000000-0005-0000-0000-000075050000}"/>
    <cellStyle name="taParaContent 2 4 3 2 3" xfId="1525" xr:uid="{00000000-0005-0000-0000-000076050000}"/>
    <cellStyle name="taParaContent 2 4 3 3" xfId="1098" xr:uid="{00000000-0005-0000-0000-000077050000}"/>
    <cellStyle name="taParaContent 2 4 3 3 2" xfId="1596" xr:uid="{00000000-0005-0000-0000-000078050000}"/>
    <cellStyle name="taParaContent 2 4 3 4" xfId="1399" xr:uid="{00000000-0005-0000-0000-000079050000}"/>
    <cellStyle name="taParaContent 2 4 4" xfId="724" xr:uid="{00000000-0005-0000-0000-00007A050000}"/>
    <cellStyle name="taParaContent 2 4 4 2" xfId="923" xr:uid="{00000000-0005-0000-0000-00007B050000}"/>
    <cellStyle name="taParaContent 2 4 4 2 2" xfId="1190" xr:uid="{00000000-0005-0000-0000-00007C050000}"/>
    <cellStyle name="taParaContent 2 4 4 2 2 2" xfId="1671" xr:uid="{00000000-0005-0000-0000-00007D050000}"/>
    <cellStyle name="taParaContent 2 4 4 2 3" xfId="1457" xr:uid="{00000000-0005-0000-0000-00007E050000}"/>
    <cellStyle name="taParaContent 2 4 4 3" xfId="1331" xr:uid="{00000000-0005-0000-0000-00007F050000}"/>
    <cellStyle name="taParaContent 2 4 5" xfId="891" xr:uid="{00000000-0005-0000-0000-000080050000}"/>
    <cellStyle name="taParaContent 2 4 5 2" xfId="1158" xr:uid="{00000000-0005-0000-0000-000081050000}"/>
    <cellStyle name="taParaContent 2 4 5 2 2" xfId="1645" xr:uid="{00000000-0005-0000-0000-000082050000}"/>
    <cellStyle name="taParaContent 2 4 6" xfId="1813" xr:uid="{00000000-0005-0000-0000-000083050000}"/>
    <cellStyle name="taParaContent 2 5" xfId="596" xr:uid="{00000000-0005-0000-0000-000084050000}"/>
    <cellStyle name="taParaContent 2 5 2" xfId="782" xr:uid="{00000000-0005-0000-0000-000085050000}"/>
    <cellStyle name="taParaContent 2 5 2 2" xfId="968" xr:uid="{00000000-0005-0000-0000-000086050000}"/>
    <cellStyle name="taParaContent 2 5 2 2 2" xfId="1235" xr:uid="{00000000-0005-0000-0000-000087050000}"/>
    <cellStyle name="taParaContent 2 5 2 2 2 2" xfId="1707" xr:uid="{00000000-0005-0000-0000-000088050000}"/>
    <cellStyle name="taParaContent 2 5 2 2 3" xfId="1493" xr:uid="{00000000-0005-0000-0000-000089050000}"/>
    <cellStyle name="taParaContent 2 5 2 3" xfId="1064" xr:uid="{00000000-0005-0000-0000-00008A050000}"/>
    <cellStyle name="taParaContent 2 5 2 3 2" xfId="1568" xr:uid="{00000000-0005-0000-0000-00008B050000}"/>
    <cellStyle name="taParaContent 2 5 2 4" xfId="1367" xr:uid="{00000000-0005-0000-0000-00008C050000}"/>
    <cellStyle name="taParaContent 2 5 3" xfId="824" xr:uid="{00000000-0005-0000-0000-00008D050000}"/>
    <cellStyle name="taParaContent 2 5 3 2" xfId="1010" xr:uid="{00000000-0005-0000-0000-00008E050000}"/>
    <cellStyle name="taParaContent 2 5 3 2 2" xfId="1277" xr:uid="{00000000-0005-0000-0000-00008F050000}"/>
    <cellStyle name="taParaContent 2 5 3 2 2 2" xfId="1740" xr:uid="{00000000-0005-0000-0000-000090050000}"/>
    <cellStyle name="taParaContent 2 5 3 2 3" xfId="1526" xr:uid="{00000000-0005-0000-0000-000091050000}"/>
    <cellStyle name="taParaContent 2 5 3 3" xfId="1100" xr:uid="{00000000-0005-0000-0000-000092050000}"/>
    <cellStyle name="taParaContent 2 5 3 3 2" xfId="1597" xr:uid="{00000000-0005-0000-0000-000093050000}"/>
    <cellStyle name="taParaContent 2 5 3 4" xfId="1400" xr:uid="{00000000-0005-0000-0000-000094050000}"/>
    <cellStyle name="taParaContent 2 5 4" xfId="736" xr:uid="{00000000-0005-0000-0000-000095050000}"/>
    <cellStyle name="taParaContent 2 5 4 2" xfId="925" xr:uid="{00000000-0005-0000-0000-000096050000}"/>
    <cellStyle name="taParaContent 2 5 4 2 2" xfId="1192" xr:uid="{00000000-0005-0000-0000-000097050000}"/>
    <cellStyle name="taParaContent 2 5 4 2 2 2" xfId="1673" xr:uid="{00000000-0005-0000-0000-000098050000}"/>
    <cellStyle name="taParaContent 2 5 4 2 3" xfId="1459" xr:uid="{00000000-0005-0000-0000-000099050000}"/>
    <cellStyle name="taParaContent 2 5 4 3" xfId="1333" xr:uid="{00000000-0005-0000-0000-00009A050000}"/>
    <cellStyle name="taParaContent 2 5 5" xfId="893" xr:uid="{00000000-0005-0000-0000-00009B050000}"/>
    <cellStyle name="taParaContent 2 5 5 2" xfId="1160" xr:uid="{00000000-0005-0000-0000-00009C050000}"/>
    <cellStyle name="taParaContent 2 5 5 2 2" xfId="1646" xr:uid="{00000000-0005-0000-0000-00009D050000}"/>
    <cellStyle name="taParaContent 2 5 6" xfId="1800" xr:uid="{00000000-0005-0000-0000-00009E050000}"/>
    <cellStyle name="taParaContent 2 6" xfId="597" xr:uid="{00000000-0005-0000-0000-00009F050000}"/>
    <cellStyle name="taParaContent 2 6 2" xfId="783" xr:uid="{00000000-0005-0000-0000-0000A0050000}"/>
    <cellStyle name="taParaContent 2 6 2 2" xfId="969" xr:uid="{00000000-0005-0000-0000-0000A1050000}"/>
    <cellStyle name="taParaContent 2 6 2 2 2" xfId="1236" xr:uid="{00000000-0005-0000-0000-0000A2050000}"/>
    <cellStyle name="taParaContent 2 6 2 2 2 2" xfId="1708" xr:uid="{00000000-0005-0000-0000-0000A3050000}"/>
    <cellStyle name="taParaContent 2 6 2 2 3" xfId="1494" xr:uid="{00000000-0005-0000-0000-0000A4050000}"/>
    <cellStyle name="taParaContent 2 6 2 3" xfId="1065" xr:uid="{00000000-0005-0000-0000-0000A5050000}"/>
    <cellStyle name="taParaContent 2 6 2 3 2" xfId="1569" xr:uid="{00000000-0005-0000-0000-0000A6050000}"/>
    <cellStyle name="taParaContent 2 6 2 4" xfId="1368" xr:uid="{00000000-0005-0000-0000-0000A7050000}"/>
    <cellStyle name="taParaContent 2 6 3" xfId="825" xr:uid="{00000000-0005-0000-0000-0000A8050000}"/>
    <cellStyle name="taParaContent 2 6 3 2" xfId="1011" xr:uid="{00000000-0005-0000-0000-0000A9050000}"/>
    <cellStyle name="taParaContent 2 6 3 2 2" xfId="1278" xr:uid="{00000000-0005-0000-0000-0000AA050000}"/>
    <cellStyle name="taParaContent 2 6 3 2 2 2" xfId="1741" xr:uid="{00000000-0005-0000-0000-0000AB050000}"/>
    <cellStyle name="taParaContent 2 6 3 2 3" xfId="1527" xr:uid="{00000000-0005-0000-0000-0000AC050000}"/>
    <cellStyle name="taParaContent 2 6 3 3" xfId="1101" xr:uid="{00000000-0005-0000-0000-0000AD050000}"/>
    <cellStyle name="taParaContent 2 6 3 3 2" xfId="1598" xr:uid="{00000000-0005-0000-0000-0000AE050000}"/>
    <cellStyle name="taParaContent 2 6 3 4" xfId="1401" xr:uid="{00000000-0005-0000-0000-0000AF050000}"/>
    <cellStyle name="taParaContent 2 6 4" xfId="748" xr:uid="{00000000-0005-0000-0000-0000B0050000}"/>
    <cellStyle name="taParaContent 2 6 4 2" xfId="937" xr:uid="{00000000-0005-0000-0000-0000B1050000}"/>
    <cellStyle name="taParaContent 2 6 4 2 2" xfId="1204" xr:uid="{00000000-0005-0000-0000-0000B2050000}"/>
    <cellStyle name="taParaContent 2 6 4 2 2 2" xfId="1681" xr:uid="{00000000-0005-0000-0000-0000B3050000}"/>
    <cellStyle name="taParaContent 2 6 4 2 3" xfId="1467" xr:uid="{00000000-0005-0000-0000-0000B4050000}"/>
    <cellStyle name="taParaContent 2 6 4 3" xfId="1341" xr:uid="{00000000-0005-0000-0000-0000B5050000}"/>
    <cellStyle name="taParaContent 2 6 5" xfId="894" xr:uid="{00000000-0005-0000-0000-0000B6050000}"/>
    <cellStyle name="taParaContent 2 6 5 2" xfId="1161" xr:uid="{00000000-0005-0000-0000-0000B7050000}"/>
    <cellStyle name="taParaContent 2 6 5 2 2" xfId="1647" xr:uid="{00000000-0005-0000-0000-0000B8050000}"/>
    <cellStyle name="taParaContent 2 6 6" xfId="1788" xr:uid="{00000000-0005-0000-0000-0000B9050000}"/>
    <cellStyle name="taParaContent 2 7" xfId="866" xr:uid="{00000000-0005-0000-0000-0000BA050000}"/>
    <cellStyle name="taParaContent 2 7 2" xfId="1133" xr:uid="{00000000-0005-0000-0000-0000BB050000}"/>
    <cellStyle name="taParaContent 2 7 2 2" xfId="1625" xr:uid="{00000000-0005-0000-0000-0000BC050000}"/>
    <cellStyle name="taParaContent 2 7 3" xfId="1426" xr:uid="{00000000-0005-0000-0000-0000BD050000}"/>
    <cellStyle name="taParaContent 2 8" xfId="873" xr:uid="{00000000-0005-0000-0000-0000BE050000}"/>
    <cellStyle name="taParaContent 2 8 2" xfId="1140" xr:uid="{00000000-0005-0000-0000-0000BF050000}"/>
    <cellStyle name="taParaContent 2 8 2 2" xfId="1631" xr:uid="{00000000-0005-0000-0000-0000C0050000}"/>
    <cellStyle name="taParaContent 2 8 3" xfId="1431" xr:uid="{00000000-0005-0000-0000-0000C1050000}"/>
    <cellStyle name="taParaContent 3" xfId="583" xr:uid="{00000000-0005-0000-0000-0000C2050000}"/>
    <cellStyle name="taParaContent 3 2" xfId="604" xr:uid="{00000000-0005-0000-0000-0000C3050000}"/>
    <cellStyle name="taParaContent 3 2 2" xfId="790" xr:uid="{00000000-0005-0000-0000-0000C4050000}"/>
    <cellStyle name="taParaContent 3 2 2 2" xfId="976" xr:uid="{00000000-0005-0000-0000-0000C5050000}"/>
    <cellStyle name="taParaContent 3 2 2 2 2" xfId="1243" xr:uid="{00000000-0005-0000-0000-0000C6050000}"/>
    <cellStyle name="taParaContent 3 2 2 2 2 2" xfId="1714" xr:uid="{00000000-0005-0000-0000-0000C7050000}"/>
    <cellStyle name="taParaContent 3 2 2 2 3" xfId="1500" xr:uid="{00000000-0005-0000-0000-0000C8050000}"/>
    <cellStyle name="taParaContent 3 2 2 3" xfId="1072" xr:uid="{00000000-0005-0000-0000-0000C9050000}"/>
    <cellStyle name="taParaContent 3 2 2 3 2" xfId="1575" xr:uid="{00000000-0005-0000-0000-0000CA050000}"/>
    <cellStyle name="taParaContent 3 2 2 4" xfId="1374" xr:uid="{00000000-0005-0000-0000-0000CB050000}"/>
    <cellStyle name="taParaContent 3 2 3" xfId="832" xr:uid="{00000000-0005-0000-0000-0000CC050000}"/>
    <cellStyle name="taParaContent 3 2 3 2" xfId="1018" xr:uid="{00000000-0005-0000-0000-0000CD050000}"/>
    <cellStyle name="taParaContent 3 2 3 2 2" xfId="1285" xr:uid="{00000000-0005-0000-0000-0000CE050000}"/>
    <cellStyle name="taParaContent 3 2 3 2 2 2" xfId="1747" xr:uid="{00000000-0005-0000-0000-0000CF050000}"/>
    <cellStyle name="taParaContent 3 2 3 2 3" xfId="1533" xr:uid="{00000000-0005-0000-0000-0000D0050000}"/>
    <cellStyle name="taParaContent 3 2 3 3" xfId="1108" xr:uid="{00000000-0005-0000-0000-0000D1050000}"/>
    <cellStyle name="taParaContent 3 2 3 3 2" xfId="1604" xr:uid="{00000000-0005-0000-0000-0000D2050000}"/>
    <cellStyle name="taParaContent 3 2 3 4" xfId="1407" xr:uid="{00000000-0005-0000-0000-0000D3050000}"/>
    <cellStyle name="taParaContent 3 2 4" xfId="812" xr:uid="{00000000-0005-0000-0000-0000D4050000}"/>
    <cellStyle name="taParaContent 3 2 4 2" xfId="998" xr:uid="{00000000-0005-0000-0000-0000D5050000}"/>
    <cellStyle name="taParaContent 3 2 4 2 2" xfId="1265" xr:uid="{00000000-0005-0000-0000-0000D6050000}"/>
    <cellStyle name="taParaContent 3 2 4 2 2 2" xfId="1732" xr:uid="{00000000-0005-0000-0000-0000D7050000}"/>
    <cellStyle name="taParaContent 3 2 4 2 3" xfId="1518" xr:uid="{00000000-0005-0000-0000-0000D8050000}"/>
    <cellStyle name="taParaContent 3 2 4 3" xfId="1392" xr:uid="{00000000-0005-0000-0000-0000D9050000}"/>
    <cellStyle name="taParaContent 3 2 5" xfId="901" xr:uid="{00000000-0005-0000-0000-0000DA050000}"/>
    <cellStyle name="taParaContent 3 2 5 2" xfId="1168" xr:uid="{00000000-0005-0000-0000-0000DB050000}"/>
    <cellStyle name="taParaContent 3 2 5 2 2" xfId="1653" xr:uid="{00000000-0005-0000-0000-0000DC050000}"/>
    <cellStyle name="taParaContent 3 2 6" xfId="1803" xr:uid="{00000000-0005-0000-0000-0000DD050000}"/>
    <cellStyle name="taParaContent 3 3" xfId="616" xr:uid="{00000000-0005-0000-0000-0000DE050000}"/>
    <cellStyle name="taParaContent 3 3 2" xfId="802" xr:uid="{00000000-0005-0000-0000-0000DF050000}"/>
    <cellStyle name="taParaContent 3 3 2 2" xfId="988" xr:uid="{00000000-0005-0000-0000-0000E0050000}"/>
    <cellStyle name="taParaContent 3 3 2 2 2" xfId="1255" xr:uid="{00000000-0005-0000-0000-0000E1050000}"/>
    <cellStyle name="taParaContent 3 3 2 2 2 2" xfId="1724" xr:uid="{00000000-0005-0000-0000-0000E2050000}"/>
    <cellStyle name="taParaContent 3 3 2 2 3" xfId="1510" xr:uid="{00000000-0005-0000-0000-0000E3050000}"/>
    <cellStyle name="taParaContent 3 3 2 3" xfId="1084" xr:uid="{00000000-0005-0000-0000-0000E4050000}"/>
    <cellStyle name="taParaContent 3 3 2 3 2" xfId="1585" xr:uid="{00000000-0005-0000-0000-0000E5050000}"/>
    <cellStyle name="taParaContent 3 3 2 4" xfId="1384" xr:uid="{00000000-0005-0000-0000-0000E6050000}"/>
    <cellStyle name="taParaContent 3 3 3" xfId="844" xr:uid="{00000000-0005-0000-0000-0000E7050000}"/>
    <cellStyle name="taParaContent 3 3 3 2" xfId="1030" xr:uid="{00000000-0005-0000-0000-0000E8050000}"/>
    <cellStyle name="taParaContent 3 3 3 2 2" xfId="1297" xr:uid="{00000000-0005-0000-0000-0000E9050000}"/>
    <cellStyle name="taParaContent 3 3 3 2 2 2" xfId="1757" xr:uid="{00000000-0005-0000-0000-0000EA050000}"/>
    <cellStyle name="taParaContent 3 3 3 2 3" xfId="1543" xr:uid="{00000000-0005-0000-0000-0000EB050000}"/>
    <cellStyle name="taParaContent 3 3 3 3" xfId="1120" xr:uid="{00000000-0005-0000-0000-0000EC050000}"/>
    <cellStyle name="taParaContent 3 3 3 3 2" xfId="1614" xr:uid="{00000000-0005-0000-0000-0000ED050000}"/>
    <cellStyle name="taParaContent 3 3 3 4" xfId="1417" xr:uid="{00000000-0005-0000-0000-0000EE050000}"/>
    <cellStyle name="taParaContent 3 3 4" xfId="817" xr:uid="{00000000-0005-0000-0000-0000EF050000}"/>
    <cellStyle name="taParaContent 3 3 4 2" xfId="1003" xr:uid="{00000000-0005-0000-0000-0000F0050000}"/>
    <cellStyle name="taParaContent 3 3 4 2 2" xfId="1270" xr:uid="{00000000-0005-0000-0000-0000F1050000}"/>
    <cellStyle name="taParaContent 3 3 4 2 2 2" xfId="1735" xr:uid="{00000000-0005-0000-0000-0000F2050000}"/>
    <cellStyle name="taParaContent 3 3 4 2 3" xfId="1521" xr:uid="{00000000-0005-0000-0000-0000F3050000}"/>
    <cellStyle name="taParaContent 3 3 4 3" xfId="1395" xr:uid="{00000000-0005-0000-0000-0000F4050000}"/>
    <cellStyle name="taParaContent 3 3 5" xfId="913" xr:uid="{00000000-0005-0000-0000-0000F5050000}"/>
    <cellStyle name="taParaContent 3 3 5 2" xfId="1180" xr:uid="{00000000-0005-0000-0000-0000F6050000}"/>
    <cellStyle name="taParaContent 3 3 5 2 2" xfId="1663" xr:uid="{00000000-0005-0000-0000-0000F7050000}"/>
    <cellStyle name="taParaContent 3 3 6" xfId="1814" xr:uid="{00000000-0005-0000-0000-0000F8050000}"/>
    <cellStyle name="taParaContent 3 4" xfId="769" xr:uid="{00000000-0005-0000-0000-0000F9050000}"/>
    <cellStyle name="taParaContent 3 4 2" xfId="955" xr:uid="{00000000-0005-0000-0000-0000FA050000}"/>
    <cellStyle name="taParaContent 3 4 2 2" xfId="1222" xr:uid="{00000000-0005-0000-0000-0000FB050000}"/>
    <cellStyle name="taParaContent 3 4 2 2 2" xfId="1698" xr:uid="{00000000-0005-0000-0000-0000FC050000}"/>
    <cellStyle name="taParaContent 3 4 2 3" xfId="1484" xr:uid="{00000000-0005-0000-0000-0000FD050000}"/>
    <cellStyle name="taParaContent 3 4 3" xfId="1051" xr:uid="{00000000-0005-0000-0000-0000FE050000}"/>
    <cellStyle name="taParaContent 3 4 3 2" xfId="1559" xr:uid="{00000000-0005-0000-0000-0000FF050000}"/>
    <cellStyle name="taParaContent 3 4 4" xfId="1358" xr:uid="{00000000-0005-0000-0000-000000060000}"/>
    <cellStyle name="taParaContent 3 5" xfId="880" xr:uid="{00000000-0005-0000-0000-000001060000}"/>
    <cellStyle name="taParaContent 3 5 2" xfId="1147" xr:uid="{00000000-0005-0000-0000-000002060000}"/>
    <cellStyle name="taParaContent 3 5 2 2" xfId="1637" xr:uid="{00000000-0005-0000-0000-000003060000}"/>
    <cellStyle name="taParaContent 3 5 3" xfId="1437" xr:uid="{00000000-0005-0000-0000-000004060000}"/>
    <cellStyle name="taParaContent 3 6" xfId="1787" xr:uid="{00000000-0005-0000-0000-000005060000}"/>
    <cellStyle name="taParaContent 4" xfId="587" xr:uid="{00000000-0005-0000-0000-000006060000}"/>
    <cellStyle name="taParaContent 4 2" xfId="608" xr:uid="{00000000-0005-0000-0000-000007060000}"/>
    <cellStyle name="taParaContent 4 2 2" xfId="794" xr:uid="{00000000-0005-0000-0000-000008060000}"/>
    <cellStyle name="taParaContent 4 2 2 2" xfId="980" xr:uid="{00000000-0005-0000-0000-000009060000}"/>
    <cellStyle name="taParaContent 4 2 2 2 2" xfId="1247" xr:uid="{00000000-0005-0000-0000-00000A060000}"/>
    <cellStyle name="taParaContent 4 2 2 2 2 2" xfId="1717" xr:uid="{00000000-0005-0000-0000-00000B060000}"/>
    <cellStyle name="taParaContent 4 2 2 2 3" xfId="1503" xr:uid="{00000000-0005-0000-0000-00000C060000}"/>
    <cellStyle name="taParaContent 4 2 2 3" xfId="1076" xr:uid="{00000000-0005-0000-0000-00000D060000}"/>
    <cellStyle name="taParaContent 4 2 2 3 2" xfId="1578" xr:uid="{00000000-0005-0000-0000-00000E060000}"/>
    <cellStyle name="taParaContent 4 2 2 4" xfId="1377" xr:uid="{00000000-0005-0000-0000-00000F060000}"/>
    <cellStyle name="taParaContent 4 2 3" xfId="836" xr:uid="{00000000-0005-0000-0000-000010060000}"/>
    <cellStyle name="taParaContent 4 2 3 2" xfId="1022" xr:uid="{00000000-0005-0000-0000-000011060000}"/>
    <cellStyle name="taParaContent 4 2 3 2 2" xfId="1289" xr:uid="{00000000-0005-0000-0000-000012060000}"/>
    <cellStyle name="taParaContent 4 2 3 2 2 2" xfId="1750" xr:uid="{00000000-0005-0000-0000-000013060000}"/>
    <cellStyle name="taParaContent 4 2 3 2 3" xfId="1536" xr:uid="{00000000-0005-0000-0000-000014060000}"/>
    <cellStyle name="taParaContent 4 2 3 3" xfId="1112" xr:uid="{00000000-0005-0000-0000-000015060000}"/>
    <cellStyle name="taParaContent 4 2 3 3 2" xfId="1607" xr:uid="{00000000-0005-0000-0000-000016060000}"/>
    <cellStyle name="taParaContent 4 2 3 4" xfId="1410" xr:uid="{00000000-0005-0000-0000-000017060000}"/>
    <cellStyle name="taParaContent 4 2 4" xfId="739" xr:uid="{00000000-0005-0000-0000-000018060000}"/>
    <cellStyle name="taParaContent 4 2 4 2" xfId="928" xr:uid="{00000000-0005-0000-0000-000019060000}"/>
    <cellStyle name="taParaContent 4 2 4 2 2" xfId="1195" xr:uid="{00000000-0005-0000-0000-00001A060000}"/>
    <cellStyle name="taParaContent 4 2 4 2 2 2" xfId="1675" xr:uid="{00000000-0005-0000-0000-00001B060000}"/>
    <cellStyle name="taParaContent 4 2 4 2 3" xfId="1461" xr:uid="{00000000-0005-0000-0000-00001C060000}"/>
    <cellStyle name="taParaContent 4 2 4 3" xfId="1335" xr:uid="{00000000-0005-0000-0000-00001D060000}"/>
    <cellStyle name="taParaContent 4 2 5" xfId="905" xr:uid="{00000000-0005-0000-0000-00001E060000}"/>
    <cellStyle name="taParaContent 4 2 5 2" xfId="1172" xr:uid="{00000000-0005-0000-0000-00001F060000}"/>
    <cellStyle name="taParaContent 4 2 5 2 2" xfId="1656" xr:uid="{00000000-0005-0000-0000-000020060000}"/>
    <cellStyle name="taParaContent 4 2 6" xfId="1796" xr:uid="{00000000-0005-0000-0000-000021060000}"/>
    <cellStyle name="taParaContent 4 3" xfId="620" xr:uid="{00000000-0005-0000-0000-000022060000}"/>
    <cellStyle name="taParaContent 4 3 2" xfId="806" xr:uid="{00000000-0005-0000-0000-000023060000}"/>
    <cellStyle name="taParaContent 4 3 2 2" xfId="992" xr:uid="{00000000-0005-0000-0000-000024060000}"/>
    <cellStyle name="taParaContent 4 3 2 2 2" xfId="1259" xr:uid="{00000000-0005-0000-0000-000025060000}"/>
    <cellStyle name="taParaContent 4 3 2 2 2 2" xfId="1727" xr:uid="{00000000-0005-0000-0000-000026060000}"/>
    <cellStyle name="taParaContent 4 3 2 2 3" xfId="1513" xr:uid="{00000000-0005-0000-0000-000027060000}"/>
    <cellStyle name="taParaContent 4 3 2 3" xfId="1088" xr:uid="{00000000-0005-0000-0000-000028060000}"/>
    <cellStyle name="taParaContent 4 3 2 3 2" xfId="1588" xr:uid="{00000000-0005-0000-0000-000029060000}"/>
    <cellStyle name="taParaContent 4 3 2 4" xfId="1387" xr:uid="{00000000-0005-0000-0000-00002A060000}"/>
    <cellStyle name="taParaContent 4 3 3" xfId="848" xr:uid="{00000000-0005-0000-0000-00002B060000}"/>
    <cellStyle name="taParaContent 4 3 3 2" xfId="1034" xr:uid="{00000000-0005-0000-0000-00002C060000}"/>
    <cellStyle name="taParaContent 4 3 3 2 2" xfId="1301" xr:uid="{00000000-0005-0000-0000-00002D060000}"/>
    <cellStyle name="taParaContent 4 3 3 2 2 2" xfId="1760" xr:uid="{00000000-0005-0000-0000-00002E060000}"/>
    <cellStyle name="taParaContent 4 3 3 2 3" xfId="1546" xr:uid="{00000000-0005-0000-0000-00002F060000}"/>
    <cellStyle name="taParaContent 4 3 3 3" xfId="1124" xr:uid="{00000000-0005-0000-0000-000030060000}"/>
    <cellStyle name="taParaContent 4 3 3 3 2" xfId="1617" xr:uid="{00000000-0005-0000-0000-000031060000}"/>
    <cellStyle name="taParaContent 4 3 3 4" xfId="1420" xr:uid="{00000000-0005-0000-0000-000032060000}"/>
    <cellStyle name="taParaContent 4 3 4" xfId="816" xr:uid="{00000000-0005-0000-0000-000033060000}"/>
    <cellStyle name="taParaContent 4 3 4 2" xfId="1002" xr:uid="{00000000-0005-0000-0000-000034060000}"/>
    <cellStyle name="taParaContent 4 3 4 2 2" xfId="1269" xr:uid="{00000000-0005-0000-0000-000035060000}"/>
    <cellStyle name="taParaContent 4 3 4 2 2 2" xfId="1734" xr:uid="{00000000-0005-0000-0000-000036060000}"/>
    <cellStyle name="taParaContent 4 3 4 2 3" xfId="1520" xr:uid="{00000000-0005-0000-0000-000037060000}"/>
    <cellStyle name="taParaContent 4 3 4 3" xfId="1394" xr:uid="{00000000-0005-0000-0000-000038060000}"/>
    <cellStyle name="taParaContent 4 3 5" xfId="917" xr:uid="{00000000-0005-0000-0000-000039060000}"/>
    <cellStyle name="taParaContent 4 3 5 2" xfId="1184" xr:uid="{00000000-0005-0000-0000-00003A060000}"/>
    <cellStyle name="taParaContent 4 3 5 2 2" xfId="1666" xr:uid="{00000000-0005-0000-0000-00003B060000}"/>
    <cellStyle name="taParaContent 4 3 6" xfId="1812" xr:uid="{00000000-0005-0000-0000-00003C060000}"/>
    <cellStyle name="taParaContent 4 4" xfId="773" xr:uid="{00000000-0005-0000-0000-00003D060000}"/>
    <cellStyle name="taParaContent 4 4 2" xfId="959" xr:uid="{00000000-0005-0000-0000-00003E060000}"/>
    <cellStyle name="taParaContent 4 4 2 2" xfId="1226" xr:uid="{00000000-0005-0000-0000-00003F060000}"/>
    <cellStyle name="taParaContent 4 4 2 2 2" xfId="1701" xr:uid="{00000000-0005-0000-0000-000040060000}"/>
    <cellStyle name="taParaContent 4 4 2 3" xfId="1487" xr:uid="{00000000-0005-0000-0000-000041060000}"/>
    <cellStyle name="taParaContent 4 4 3" xfId="1055" xr:uid="{00000000-0005-0000-0000-000042060000}"/>
    <cellStyle name="taParaContent 4 4 3 2" xfId="1562" xr:uid="{00000000-0005-0000-0000-000043060000}"/>
    <cellStyle name="taParaContent 4 4 4" xfId="1361" xr:uid="{00000000-0005-0000-0000-000044060000}"/>
    <cellStyle name="taParaContent 4 5" xfId="884" xr:uid="{00000000-0005-0000-0000-000045060000}"/>
    <cellStyle name="taParaContent 4 5 2" xfId="1151" xr:uid="{00000000-0005-0000-0000-000046060000}"/>
    <cellStyle name="taParaContent 4 5 2 2" xfId="1640" xr:uid="{00000000-0005-0000-0000-000047060000}"/>
    <cellStyle name="taParaContent 4 5 3" xfId="1440" xr:uid="{00000000-0005-0000-0000-000048060000}"/>
    <cellStyle name="taParaContent 5" xfId="593" xr:uid="{00000000-0005-0000-0000-000049060000}"/>
    <cellStyle name="taParaContent 5 2" xfId="779" xr:uid="{00000000-0005-0000-0000-00004A060000}"/>
    <cellStyle name="taParaContent 5 2 2" xfId="965" xr:uid="{00000000-0005-0000-0000-00004B060000}"/>
    <cellStyle name="taParaContent 5 2 2 2" xfId="1232" xr:uid="{00000000-0005-0000-0000-00004C060000}"/>
    <cellStyle name="taParaContent 5 2 2 2 2" xfId="1705" xr:uid="{00000000-0005-0000-0000-00004D060000}"/>
    <cellStyle name="taParaContent 5 2 2 3" xfId="1491" xr:uid="{00000000-0005-0000-0000-00004E060000}"/>
    <cellStyle name="taParaContent 5 2 3" xfId="1061" xr:uid="{00000000-0005-0000-0000-00004F060000}"/>
    <cellStyle name="taParaContent 5 2 3 2" xfId="1566" xr:uid="{00000000-0005-0000-0000-000050060000}"/>
    <cellStyle name="taParaContent 5 2 4" xfId="1365" xr:uid="{00000000-0005-0000-0000-000051060000}"/>
    <cellStyle name="taParaContent 5 3" xfId="821" xr:uid="{00000000-0005-0000-0000-000052060000}"/>
    <cellStyle name="taParaContent 5 3 2" xfId="1007" xr:uid="{00000000-0005-0000-0000-000053060000}"/>
    <cellStyle name="taParaContent 5 3 2 2" xfId="1274" xr:uid="{00000000-0005-0000-0000-000054060000}"/>
    <cellStyle name="taParaContent 5 3 2 2 2" xfId="1738" xr:uid="{00000000-0005-0000-0000-000055060000}"/>
    <cellStyle name="taParaContent 5 3 2 3" xfId="1524" xr:uid="{00000000-0005-0000-0000-000056060000}"/>
    <cellStyle name="taParaContent 5 3 3" xfId="1097" xr:uid="{00000000-0005-0000-0000-000057060000}"/>
    <cellStyle name="taParaContent 5 3 3 2" xfId="1595" xr:uid="{00000000-0005-0000-0000-000058060000}"/>
    <cellStyle name="taParaContent 5 3 4" xfId="1398" xr:uid="{00000000-0005-0000-0000-000059060000}"/>
    <cellStyle name="taParaContent 5 4" xfId="744" xr:uid="{00000000-0005-0000-0000-00005A060000}"/>
    <cellStyle name="taParaContent 5 4 2" xfId="933" xr:uid="{00000000-0005-0000-0000-00005B060000}"/>
    <cellStyle name="taParaContent 5 4 2 2" xfId="1200" xr:uid="{00000000-0005-0000-0000-00005C060000}"/>
    <cellStyle name="taParaContent 5 4 2 2 2" xfId="1678" xr:uid="{00000000-0005-0000-0000-00005D060000}"/>
    <cellStyle name="taParaContent 5 4 2 3" xfId="1464" xr:uid="{00000000-0005-0000-0000-00005E060000}"/>
    <cellStyle name="taParaContent 5 4 3" xfId="1338" xr:uid="{00000000-0005-0000-0000-00005F060000}"/>
    <cellStyle name="taParaContent 5 5" xfId="890" xr:uid="{00000000-0005-0000-0000-000060060000}"/>
    <cellStyle name="taParaContent 5 5 2" xfId="1157" xr:uid="{00000000-0005-0000-0000-000061060000}"/>
    <cellStyle name="taParaContent 5 5 2 2" xfId="1644" xr:uid="{00000000-0005-0000-0000-000062060000}"/>
    <cellStyle name="taParaContent 5 6" xfId="1780" xr:uid="{00000000-0005-0000-0000-000063060000}"/>
    <cellStyle name="taParaContent 6" xfId="591" xr:uid="{00000000-0005-0000-0000-000064060000}"/>
    <cellStyle name="taParaContent 6 2" xfId="777" xr:uid="{00000000-0005-0000-0000-000065060000}"/>
    <cellStyle name="taParaContent 6 2 2" xfId="963" xr:uid="{00000000-0005-0000-0000-000066060000}"/>
    <cellStyle name="taParaContent 6 2 2 2" xfId="1230" xr:uid="{00000000-0005-0000-0000-000067060000}"/>
    <cellStyle name="taParaContent 6 2 2 2 2" xfId="1703" xr:uid="{00000000-0005-0000-0000-000068060000}"/>
    <cellStyle name="taParaContent 6 2 2 3" xfId="1489" xr:uid="{00000000-0005-0000-0000-000069060000}"/>
    <cellStyle name="taParaContent 6 2 3" xfId="1059" xr:uid="{00000000-0005-0000-0000-00006A060000}"/>
    <cellStyle name="taParaContent 6 2 3 2" xfId="1564" xr:uid="{00000000-0005-0000-0000-00006B060000}"/>
    <cellStyle name="taParaContent 6 2 4" xfId="1363" xr:uid="{00000000-0005-0000-0000-00006C060000}"/>
    <cellStyle name="taParaContent 6 3" xfId="819" xr:uid="{00000000-0005-0000-0000-00006D060000}"/>
    <cellStyle name="taParaContent 6 3 2" xfId="1005" xr:uid="{00000000-0005-0000-0000-00006E060000}"/>
    <cellStyle name="taParaContent 6 3 2 2" xfId="1272" xr:uid="{00000000-0005-0000-0000-00006F060000}"/>
    <cellStyle name="taParaContent 6 3 2 2 2" xfId="1736" xr:uid="{00000000-0005-0000-0000-000070060000}"/>
    <cellStyle name="taParaContent 6 3 2 3" xfId="1522" xr:uid="{00000000-0005-0000-0000-000071060000}"/>
    <cellStyle name="taParaContent 6 3 3" xfId="1095" xr:uid="{00000000-0005-0000-0000-000072060000}"/>
    <cellStyle name="taParaContent 6 3 3 2" xfId="1593" xr:uid="{00000000-0005-0000-0000-000073060000}"/>
    <cellStyle name="taParaContent 6 3 4" xfId="1396" xr:uid="{00000000-0005-0000-0000-000074060000}"/>
    <cellStyle name="taParaContent 6 4" xfId="763" xr:uid="{00000000-0005-0000-0000-000075060000}"/>
    <cellStyle name="taParaContent 6 4 2" xfId="949" xr:uid="{00000000-0005-0000-0000-000076060000}"/>
    <cellStyle name="taParaContent 6 4 2 2" xfId="1216" xr:uid="{00000000-0005-0000-0000-000077060000}"/>
    <cellStyle name="taParaContent 6 4 2 2 2" xfId="1692" xr:uid="{00000000-0005-0000-0000-000078060000}"/>
    <cellStyle name="taParaContent 6 4 2 3" xfId="1478" xr:uid="{00000000-0005-0000-0000-000079060000}"/>
    <cellStyle name="taParaContent 6 4 3" xfId="1352" xr:uid="{00000000-0005-0000-0000-00007A060000}"/>
    <cellStyle name="taParaContent 6 5" xfId="888" xr:uid="{00000000-0005-0000-0000-00007B060000}"/>
    <cellStyle name="taParaContent 6 5 2" xfId="1155" xr:uid="{00000000-0005-0000-0000-00007C060000}"/>
    <cellStyle name="taParaContent 6 5 2 2" xfId="1642" xr:uid="{00000000-0005-0000-0000-00007D060000}"/>
    <cellStyle name="taParaContent 6 6" xfId="1776" xr:uid="{00000000-0005-0000-0000-00007E060000}"/>
    <cellStyle name="taParaContent 7" xfId="592" xr:uid="{00000000-0005-0000-0000-00007F060000}"/>
    <cellStyle name="taParaContent 7 2" xfId="778" xr:uid="{00000000-0005-0000-0000-000080060000}"/>
    <cellStyle name="taParaContent 7 2 2" xfId="964" xr:uid="{00000000-0005-0000-0000-000081060000}"/>
    <cellStyle name="taParaContent 7 2 2 2" xfId="1231" xr:uid="{00000000-0005-0000-0000-000082060000}"/>
    <cellStyle name="taParaContent 7 2 2 2 2" xfId="1704" xr:uid="{00000000-0005-0000-0000-000083060000}"/>
    <cellStyle name="taParaContent 7 2 2 3" xfId="1490" xr:uid="{00000000-0005-0000-0000-000084060000}"/>
    <cellStyle name="taParaContent 7 2 3" xfId="1060" xr:uid="{00000000-0005-0000-0000-000085060000}"/>
    <cellStyle name="taParaContent 7 2 3 2" xfId="1565" xr:uid="{00000000-0005-0000-0000-000086060000}"/>
    <cellStyle name="taParaContent 7 2 4" xfId="1364" xr:uid="{00000000-0005-0000-0000-000087060000}"/>
    <cellStyle name="taParaContent 7 3" xfId="820" xr:uid="{00000000-0005-0000-0000-000088060000}"/>
    <cellStyle name="taParaContent 7 3 2" xfId="1006" xr:uid="{00000000-0005-0000-0000-000089060000}"/>
    <cellStyle name="taParaContent 7 3 2 2" xfId="1273" xr:uid="{00000000-0005-0000-0000-00008A060000}"/>
    <cellStyle name="taParaContent 7 3 2 2 2" xfId="1737" xr:uid="{00000000-0005-0000-0000-00008B060000}"/>
    <cellStyle name="taParaContent 7 3 2 3" xfId="1523" xr:uid="{00000000-0005-0000-0000-00008C060000}"/>
    <cellStyle name="taParaContent 7 3 3" xfId="1096" xr:uid="{00000000-0005-0000-0000-00008D060000}"/>
    <cellStyle name="taParaContent 7 3 3 2" xfId="1594" xr:uid="{00000000-0005-0000-0000-00008E060000}"/>
    <cellStyle name="taParaContent 7 3 4" xfId="1397" xr:uid="{00000000-0005-0000-0000-00008F060000}"/>
    <cellStyle name="taParaContent 7 4" xfId="750" xr:uid="{00000000-0005-0000-0000-000090060000}"/>
    <cellStyle name="taParaContent 7 4 2" xfId="939" xr:uid="{00000000-0005-0000-0000-000091060000}"/>
    <cellStyle name="taParaContent 7 4 2 2" xfId="1206" xr:uid="{00000000-0005-0000-0000-000092060000}"/>
    <cellStyle name="taParaContent 7 4 2 2 2" xfId="1683" xr:uid="{00000000-0005-0000-0000-000093060000}"/>
    <cellStyle name="taParaContent 7 4 2 3" xfId="1469" xr:uid="{00000000-0005-0000-0000-000094060000}"/>
    <cellStyle name="taParaContent 7 4 3" xfId="1343" xr:uid="{00000000-0005-0000-0000-000095060000}"/>
    <cellStyle name="taParaContent 7 5" xfId="889" xr:uid="{00000000-0005-0000-0000-000096060000}"/>
    <cellStyle name="taParaContent 7 5 2" xfId="1156" xr:uid="{00000000-0005-0000-0000-000097060000}"/>
    <cellStyle name="taParaContent 7 5 2 2" xfId="1643" xr:uid="{00000000-0005-0000-0000-000098060000}"/>
    <cellStyle name="taParaContent 7 6" xfId="1808" xr:uid="{00000000-0005-0000-0000-000099060000}"/>
    <cellStyle name="taParaContent 8" xfId="863" xr:uid="{00000000-0005-0000-0000-00009A060000}"/>
    <cellStyle name="taParaContent 8 2" xfId="1130" xr:uid="{00000000-0005-0000-0000-00009B060000}"/>
    <cellStyle name="taParaContent 8 2 2" xfId="1622" xr:uid="{00000000-0005-0000-0000-00009C060000}"/>
    <cellStyle name="taParaContent 8 3" xfId="1425" xr:uid="{00000000-0005-0000-0000-00009D060000}"/>
    <cellStyle name="taParaContent 9" xfId="872" xr:uid="{00000000-0005-0000-0000-00009E060000}"/>
    <cellStyle name="taParaContent 9 2" xfId="1139" xr:uid="{00000000-0005-0000-0000-00009F060000}"/>
    <cellStyle name="taParaContent 9 2 2" xfId="1630" xr:uid="{00000000-0005-0000-0000-0000A0060000}"/>
    <cellStyle name="taParaContent 9 3" xfId="1430" xr:uid="{00000000-0005-0000-0000-0000A1060000}"/>
    <cellStyle name="taSralSubTotalTOP" xfId="520" xr:uid="{00000000-0005-0000-0000-0000A2060000}"/>
    <cellStyle name="taSralTotal" xfId="521" xr:uid="{00000000-0005-0000-0000-0000A3060000}"/>
    <cellStyle name="taSralTotal 2" xfId="585" xr:uid="{00000000-0005-0000-0000-0000A4060000}"/>
    <cellStyle name="taSralTotal 2 2" xfId="606" xr:uid="{00000000-0005-0000-0000-0000A5060000}"/>
    <cellStyle name="taSralTotal 2 2 2" xfId="792" xr:uid="{00000000-0005-0000-0000-0000A6060000}"/>
    <cellStyle name="taSralTotal 2 2 2 2" xfId="978" xr:uid="{00000000-0005-0000-0000-0000A7060000}"/>
    <cellStyle name="taSralTotal 2 2 2 2 2" xfId="1245" xr:uid="{00000000-0005-0000-0000-0000A8060000}"/>
    <cellStyle name="taSralTotal 2 2 2 3" xfId="1074" xr:uid="{00000000-0005-0000-0000-0000A9060000}"/>
    <cellStyle name="taSralTotal 2 2 3" xfId="834" xr:uid="{00000000-0005-0000-0000-0000AA060000}"/>
    <cellStyle name="taSralTotal 2 2 3 2" xfId="1020" xr:uid="{00000000-0005-0000-0000-0000AB060000}"/>
    <cellStyle name="taSralTotal 2 2 3 2 2" xfId="1287" xr:uid="{00000000-0005-0000-0000-0000AC060000}"/>
    <cellStyle name="taSralTotal 2 2 3 3" xfId="1110" xr:uid="{00000000-0005-0000-0000-0000AD060000}"/>
    <cellStyle name="taSralTotal 2 2 4" xfId="815" xr:uid="{00000000-0005-0000-0000-0000AE060000}"/>
    <cellStyle name="taSralTotal 2 2 4 2" xfId="1001" xr:uid="{00000000-0005-0000-0000-0000AF060000}"/>
    <cellStyle name="taSralTotal 2 2 4 2 2" xfId="1268" xr:uid="{00000000-0005-0000-0000-0000B0060000}"/>
    <cellStyle name="taSralTotal 2 2 5" xfId="903" xr:uid="{00000000-0005-0000-0000-0000B1060000}"/>
    <cellStyle name="taSralTotal 2 2 5 2" xfId="1170" xr:uid="{00000000-0005-0000-0000-0000B2060000}"/>
    <cellStyle name="taSralTotal 2 2 6" xfId="1804" xr:uid="{00000000-0005-0000-0000-0000B3060000}"/>
    <cellStyle name="taSralTotal 2 3" xfId="618" xr:uid="{00000000-0005-0000-0000-0000B4060000}"/>
    <cellStyle name="taSralTotal 2 3 2" xfId="804" xr:uid="{00000000-0005-0000-0000-0000B5060000}"/>
    <cellStyle name="taSralTotal 2 3 2 2" xfId="990" xr:uid="{00000000-0005-0000-0000-0000B6060000}"/>
    <cellStyle name="taSralTotal 2 3 2 2 2" xfId="1257" xr:uid="{00000000-0005-0000-0000-0000B7060000}"/>
    <cellStyle name="taSralTotal 2 3 2 3" xfId="1086" xr:uid="{00000000-0005-0000-0000-0000B8060000}"/>
    <cellStyle name="taSralTotal 2 3 3" xfId="846" xr:uid="{00000000-0005-0000-0000-0000B9060000}"/>
    <cellStyle name="taSralTotal 2 3 3 2" xfId="1032" xr:uid="{00000000-0005-0000-0000-0000BA060000}"/>
    <cellStyle name="taSralTotal 2 3 3 2 2" xfId="1299" xr:uid="{00000000-0005-0000-0000-0000BB060000}"/>
    <cellStyle name="taSralTotal 2 3 3 3" xfId="1122" xr:uid="{00000000-0005-0000-0000-0000BC060000}"/>
    <cellStyle name="taSralTotal 2 3 4" xfId="813" xr:uid="{00000000-0005-0000-0000-0000BD060000}"/>
    <cellStyle name="taSralTotal 2 3 4 2" xfId="999" xr:uid="{00000000-0005-0000-0000-0000BE060000}"/>
    <cellStyle name="taSralTotal 2 3 4 2 2" xfId="1266" xr:uid="{00000000-0005-0000-0000-0000BF060000}"/>
    <cellStyle name="taSralTotal 2 3 5" xfId="915" xr:uid="{00000000-0005-0000-0000-0000C0060000}"/>
    <cellStyle name="taSralTotal 2 3 5 2" xfId="1182" xr:uid="{00000000-0005-0000-0000-0000C1060000}"/>
    <cellStyle name="taSralTotal 2 3 6" xfId="1802" xr:uid="{00000000-0005-0000-0000-0000C2060000}"/>
    <cellStyle name="taSralTotal 2 4" xfId="771" xr:uid="{00000000-0005-0000-0000-0000C3060000}"/>
    <cellStyle name="taSralTotal 2 4 2" xfId="957" xr:uid="{00000000-0005-0000-0000-0000C4060000}"/>
    <cellStyle name="taSralTotal 2 4 2 2" xfId="1224" xr:uid="{00000000-0005-0000-0000-0000C5060000}"/>
    <cellStyle name="taSralTotal 2 4 3" xfId="1053" xr:uid="{00000000-0005-0000-0000-0000C6060000}"/>
    <cellStyle name="taSralTotal 2 5" xfId="882" xr:uid="{00000000-0005-0000-0000-0000C7060000}"/>
    <cellStyle name="taSralTotal 2 5 2" xfId="1149" xr:uid="{00000000-0005-0000-0000-0000C8060000}"/>
    <cellStyle name="taSralTotal 2 6" xfId="1791" xr:uid="{00000000-0005-0000-0000-0000C9060000}"/>
    <cellStyle name="taSralTotal 3" xfId="589" xr:uid="{00000000-0005-0000-0000-0000CA060000}"/>
    <cellStyle name="taSralTotal 3 2" xfId="610" xr:uid="{00000000-0005-0000-0000-0000CB060000}"/>
    <cellStyle name="taSralTotal 3 2 2" xfId="796" xr:uid="{00000000-0005-0000-0000-0000CC060000}"/>
    <cellStyle name="taSralTotal 3 2 2 2" xfId="982" xr:uid="{00000000-0005-0000-0000-0000CD060000}"/>
    <cellStyle name="taSralTotal 3 2 2 2 2" xfId="1249" xr:uid="{00000000-0005-0000-0000-0000CE060000}"/>
    <cellStyle name="taSralTotal 3 2 2 3" xfId="1078" xr:uid="{00000000-0005-0000-0000-0000CF060000}"/>
    <cellStyle name="taSralTotal 3 2 3" xfId="838" xr:uid="{00000000-0005-0000-0000-0000D0060000}"/>
    <cellStyle name="taSralTotal 3 2 3 2" xfId="1024" xr:uid="{00000000-0005-0000-0000-0000D1060000}"/>
    <cellStyle name="taSralTotal 3 2 3 2 2" xfId="1291" xr:uid="{00000000-0005-0000-0000-0000D2060000}"/>
    <cellStyle name="taSralTotal 3 2 3 3" xfId="1114" xr:uid="{00000000-0005-0000-0000-0000D3060000}"/>
    <cellStyle name="taSralTotal 3 2 4" xfId="740" xr:uid="{00000000-0005-0000-0000-0000D4060000}"/>
    <cellStyle name="taSralTotal 3 2 4 2" xfId="929" xr:uid="{00000000-0005-0000-0000-0000D5060000}"/>
    <cellStyle name="taSralTotal 3 2 4 2 2" xfId="1196" xr:uid="{00000000-0005-0000-0000-0000D6060000}"/>
    <cellStyle name="taSralTotal 3 2 5" xfId="907" xr:uid="{00000000-0005-0000-0000-0000D7060000}"/>
    <cellStyle name="taSralTotal 3 2 5 2" xfId="1174" xr:uid="{00000000-0005-0000-0000-0000D8060000}"/>
    <cellStyle name="taSralTotal 3 2 6" xfId="1797" xr:uid="{00000000-0005-0000-0000-0000D9060000}"/>
    <cellStyle name="taSralTotal 3 3" xfId="622" xr:uid="{00000000-0005-0000-0000-0000DA060000}"/>
    <cellStyle name="taSralTotal 3 3 2" xfId="808" xr:uid="{00000000-0005-0000-0000-0000DB060000}"/>
    <cellStyle name="taSralTotal 3 3 2 2" xfId="994" xr:uid="{00000000-0005-0000-0000-0000DC060000}"/>
    <cellStyle name="taSralTotal 3 3 2 2 2" xfId="1261" xr:uid="{00000000-0005-0000-0000-0000DD060000}"/>
    <cellStyle name="taSralTotal 3 3 2 3" xfId="1090" xr:uid="{00000000-0005-0000-0000-0000DE060000}"/>
    <cellStyle name="taSralTotal 3 3 3" xfId="850" xr:uid="{00000000-0005-0000-0000-0000DF060000}"/>
    <cellStyle name="taSralTotal 3 3 3 2" xfId="1036" xr:uid="{00000000-0005-0000-0000-0000E0060000}"/>
    <cellStyle name="taSralTotal 3 3 3 2 2" xfId="1303" xr:uid="{00000000-0005-0000-0000-0000E1060000}"/>
    <cellStyle name="taSralTotal 3 3 3 3" xfId="1126" xr:uid="{00000000-0005-0000-0000-0000E2060000}"/>
    <cellStyle name="taSralTotal 3 3 4" xfId="742" xr:uid="{00000000-0005-0000-0000-0000E3060000}"/>
    <cellStyle name="taSralTotal 3 3 4 2" xfId="931" xr:uid="{00000000-0005-0000-0000-0000E4060000}"/>
    <cellStyle name="taSralTotal 3 3 4 2 2" xfId="1198" xr:uid="{00000000-0005-0000-0000-0000E5060000}"/>
    <cellStyle name="taSralTotal 3 3 5" xfId="919" xr:uid="{00000000-0005-0000-0000-0000E6060000}"/>
    <cellStyle name="taSralTotal 3 3 5 2" xfId="1186" xr:uid="{00000000-0005-0000-0000-0000E7060000}"/>
    <cellStyle name="taSralTotal 3 3 6" xfId="1817" xr:uid="{00000000-0005-0000-0000-0000E8060000}"/>
    <cellStyle name="taSralTotal 3 4" xfId="775" xr:uid="{00000000-0005-0000-0000-0000E9060000}"/>
    <cellStyle name="taSralTotal 3 4 2" xfId="961" xr:uid="{00000000-0005-0000-0000-0000EA060000}"/>
    <cellStyle name="taSralTotal 3 4 2 2" xfId="1228" xr:uid="{00000000-0005-0000-0000-0000EB060000}"/>
    <cellStyle name="taSralTotal 3 4 3" xfId="1057" xr:uid="{00000000-0005-0000-0000-0000EC060000}"/>
    <cellStyle name="taSralTotal 3 5" xfId="886" xr:uid="{00000000-0005-0000-0000-0000ED060000}"/>
    <cellStyle name="taSralTotal 3 5 2" xfId="1153" xr:uid="{00000000-0005-0000-0000-0000EE060000}"/>
    <cellStyle name="taSralTotal 4" xfId="595" xr:uid="{00000000-0005-0000-0000-0000EF060000}"/>
    <cellStyle name="taSralTotal 4 2" xfId="781" xr:uid="{00000000-0005-0000-0000-0000F0060000}"/>
    <cellStyle name="taSralTotal 4 2 2" xfId="967" xr:uid="{00000000-0005-0000-0000-0000F1060000}"/>
    <cellStyle name="taSralTotal 4 2 2 2" xfId="1234" xr:uid="{00000000-0005-0000-0000-0000F2060000}"/>
    <cellStyle name="taSralTotal 4 2 3" xfId="1063" xr:uid="{00000000-0005-0000-0000-0000F3060000}"/>
    <cellStyle name="taSralTotal 4 3" xfId="823" xr:uid="{00000000-0005-0000-0000-0000F4060000}"/>
    <cellStyle name="taSralTotal 4 3 2" xfId="1009" xr:uid="{00000000-0005-0000-0000-0000F5060000}"/>
    <cellStyle name="taSralTotal 4 3 2 2" xfId="1276" xr:uid="{00000000-0005-0000-0000-0000F6060000}"/>
    <cellStyle name="taSralTotal 4 3 3" xfId="1099" xr:uid="{00000000-0005-0000-0000-0000F7060000}"/>
    <cellStyle name="taSralTotal 4 4" xfId="746" xr:uid="{00000000-0005-0000-0000-0000F8060000}"/>
    <cellStyle name="taSralTotal 4 4 2" xfId="935" xr:uid="{00000000-0005-0000-0000-0000F9060000}"/>
    <cellStyle name="taSralTotal 4 4 2 2" xfId="1202" xr:uid="{00000000-0005-0000-0000-0000FA060000}"/>
    <cellStyle name="taSralTotal 4 5" xfId="892" xr:uid="{00000000-0005-0000-0000-0000FB060000}"/>
    <cellStyle name="taSralTotal 4 5 2" xfId="1159" xr:uid="{00000000-0005-0000-0000-0000FC060000}"/>
    <cellStyle name="taSralTotal 4 6" xfId="1784" xr:uid="{00000000-0005-0000-0000-0000FD060000}"/>
    <cellStyle name="taSralTotal 5" xfId="590" xr:uid="{00000000-0005-0000-0000-0000FE060000}"/>
    <cellStyle name="taSralTotal 5 2" xfId="776" xr:uid="{00000000-0005-0000-0000-0000FF060000}"/>
    <cellStyle name="taSralTotal 5 2 2" xfId="962" xr:uid="{00000000-0005-0000-0000-000000070000}"/>
    <cellStyle name="taSralTotal 5 2 2 2" xfId="1229" xr:uid="{00000000-0005-0000-0000-000001070000}"/>
    <cellStyle name="taSralTotal 5 2 3" xfId="1058" xr:uid="{00000000-0005-0000-0000-000002070000}"/>
    <cellStyle name="taSralTotal 5 3" xfId="818" xr:uid="{00000000-0005-0000-0000-000003070000}"/>
    <cellStyle name="taSralTotal 5 3 2" xfId="1004" xr:uid="{00000000-0005-0000-0000-000004070000}"/>
    <cellStyle name="taSralTotal 5 3 2 2" xfId="1271" xr:uid="{00000000-0005-0000-0000-000005070000}"/>
    <cellStyle name="taSralTotal 5 3 3" xfId="1094" xr:uid="{00000000-0005-0000-0000-000006070000}"/>
    <cellStyle name="taSralTotal 5 4" xfId="760" xr:uid="{00000000-0005-0000-0000-000007070000}"/>
    <cellStyle name="taSralTotal 5 4 2" xfId="946" xr:uid="{00000000-0005-0000-0000-000008070000}"/>
    <cellStyle name="taSralTotal 5 4 2 2" xfId="1213" xr:uid="{00000000-0005-0000-0000-000009070000}"/>
    <cellStyle name="taSralTotal 5 5" xfId="887" xr:uid="{00000000-0005-0000-0000-00000A070000}"/>
    <cellStyle name="taSralTotal 5 5 2" xfId="1154" xr:uid="{00000000-0005-0000-0000-00000B070000}"/>
    <cellStyle name="taSralTotal 5 6" xfId="1798" xr:uid="{00000000-0005-0000-0000-00000C070000}"/>
    <cellStyle name="taSralTotal 6" xfId="598" xr:uid="{00000000-0005-0000-0000-00000D070000}"/>
    <cellStyle name="taSralTotal 6 2" xfId="784" xr:uid="{00000000-0005-0000-0000-00000E070000}"/>
    <cellStyle name="taSralTotal 6 2 2" xfId="970" xr:uid="{00000000-0005-0000-0000-00000F070000}"/>
    <cellStyle name="taSralTotal 6 2 2 2" xfId="1237" xr:uid="{00000000-0005-0000-0000-000010070000}"/>
    <cellStyle name="taSralTotal 6 2 3" xfId="1066" xr:uid="{00000000-0005-0000-0000-000011070000}"/>
    <cellStyle name="taSralTotal 6 3" xfId="826" xr:uid="{00000000-0005-0000-0000-000012070000}"/>
    <cellStyle name="taSralTotal 6 3 2" xfId="1012" xr:uid="{00000000-0005-0000-0000-000013070000}"/>
    <cellStyle name="taSralTotal 6 3 2 2" xfId="1279" xr:uid="{00000000-0005-0000-0000-000014070000}"/>
    <cellStyle name="taSralTotal 6 3 3" xfId="1102" xr:uid="{00000000-0005-0000-0000-000015070000}"/>
    <cellStyle name="taSralTotal 6 4" xfId="737" xr:uid="{00000000-0005-0000-0000-000016070000}"/>
    <cellStyle name="taSralTotal 6 4 2" xfId="926" xr:uid="{00000000-0005-0000-0000-000017070000}"/>
    <cellStyle name="taSralTotal 6 4 2 2" xfId="1193" xr:uid="{00000000-0005-0000-0000-000018070000}"/>
    <cellStyle name="taSralTotal 6 5" xfId="895" xr:uid="{00000000-0005-0000-0000-000019070000}"/>
    <cellStyle name="taSralTotal 6 5 2" xfId="1162" xr:uid="{00000000-0005-0000-0000-00001A070000}"/>
    <cellStyle name="taSralTotal 6 6" xfId="1810" xr:uid="{00000000-0005-0000-0000-00001B070000}"/>
    <cellStyle name="taSralTotal 7" xfId="867" xr:uid="{00000000-0005-0000-0000-00001C070000}"/>
    <cellStyle name="taSralTotal 7 2" xfId="1134" xr:uid="{00000000-0005-0000-0000-00001D070000}"/>
    <cellStyle name="taSralTotal 8" xfId="874" xr:uid="{00000000-0005-0000-0000-00001E070000}"/>
    <cellStyle name="taSralTotal 8 2" xfId="1141" xr:uid="{00000000-0005-0000-0000-00001F070000}"/>
    <cellStyle name="Times New Roman" xfId="522" xr:uid="{00000000-0005-0000-0000-000020070000}"/>
    <cellStyle name="Title" xfId="6" builtinId="15" customBuiltin="1"/>
    <cellStyle name="Total" xfId="545" builtinId="25" customBuiltin="1"/>
    <cellStyle name="Total 2" xfId="525" xr:uid="{00000000-0005-0000-0000-000023070000}"/>
    <cellStyle name="Total 3" xfId="526" xr:uid="{00000000-0005-0000-0000-000024070000}"/>
    <cellStyle name="Total 4" xfId="524" xr:uid="{00000000-0005-0000-0000-000025070000}"/>
    <cellStyle name="Warning Text" xfId="542" builtinId="11" customBuiltin="1"/>
    <cellStyle name="Warning Text 2" xfId="527" xr:uid="{00000000-0005-0000-0000-000027070000}"/>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NDOWS\Temporary%20Internet%20Files\Content.IE5\C3EHYB2V\9007J.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ynwood.taylor\OneDrive%20-%20US%20Navy-flankspeed\N6945023R0000%20NSGB%20BOS%20Reprocurement\03%20IGE\NSGB-N6945020R0010IGEamend0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nyx\GacBusMan\Pricing%20-%20Peace%20Shield%20Program\P%20Shield%20-%2031%20Jul%20'02(with%20Fin%20co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DIVERSIFIED%20INDUSTRIES\Pitches\Active%20Pitches\U.S.%20Security%20Associates\Model%20US%20Sec%20$85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mcewan\Desktop\Data%20Files\G4S%20IFS%20Projects\PROJECTS%20Active\Guantanamo%20Bay%20Mod%2015-0119\GTMO_Price%20Template_MOD15-011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AVFAC_JAXS_N69450_16AA\PWBL\PW\PW2-FMFS\ANDERSON\NSGB%20BOS\N6945023R0000%20NSGB%20BOS%20Reprocurement\01%20Conformed\RFP\N6945022R0032_SectionJ_Technical_Attachment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ntel.com\HQ\Cost%20Proposals\FY2013\2013-006%20Ft.%20Benning%20(Young,%20Q)\Pricing\EAGLE-Ft%20Benning%20Cost%20Plus%20-%20FP%20Pricing-R24.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ites\Growth\Proposals\FLS\NSGB%20BOSS\Engine%20Room\ODC\ODCs%20-%20NSBG%20%20(Submitted%20July%202020)%20EN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john.r.anderson9\Desktop\ECM%2005_FFC_LightFixtureTables.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Z:\Users\1096127\AppData\Local\Temp\notes6EDF7A\+%20Copy%20of%20Raytheon%20SubK%20Re-Price%20Cost%20Propos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Documents%20and%20Settings\EMaevsky\Local%20Settings\Temporary%20Internet%20Files\OLK144\PPV%20April%202002%20JV%20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myvectrus.sharepoint.com/sites/Growth/Proposals/FLS/NSGB%20BOSS/Post%20Submission/FPR/FPR%20Submittal%20-%2030Aug21/Pricing/1_NSGB%20BOS%20Pricing%20Model_Post%20MS4a.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aeajaxsfs101v.nadsusea.nads.navy.mil\NAVFAC_01$\Users\JLL-Admin\AppData\Roaming\Microsoft\Excel\JLL_MST%20Internal%20Price%20Proposal_ACQR5630423_r0%20(002)%20(version%201).xlsb"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Z:\Users\karen.trzcienski.SALIENTFED\AppData\Local\Microsoft\Windows\Temporary%20Internet%20Files\Content.Outlook\5XZ0HNLH\SGIS%20SubK%20Cost%20Proposal%20Template%20OY4-OY9%20Davi%20Richardson.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ersonal\john_r_anderson3_civ_us_navy_mil\Documents\ANDERSON\N6945025R000X%20Mayport%20BOS\01%20Conformed\Pre-Final\Section%20J\J-1502000-19%20WHE.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lncre01\group%20controlling\Planungsrunden\PR50\Budget%202002\Ausladungen%20Berichte%20Budget%202002\Wesentliche%20Zahlen%20EM\uk.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orphq.net\Vectrus\Dokumente%20und%20Einstellungen\MKLing\Desktop\Gedas\Planung\Documentation%20-%20Extract\10.Draft_30-08-2005\EUR%20Ess.%20Figures%2030-08-20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mev2.bah.com@SSL\DavWWWRoot\550968\Local%20Settings\Temp\wz17bd\0973-0010-00%20Profit%20Analysis_v9.xlsb"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Z:\Documents%20and%20Settings\537591\Local%20Settings\Temporary%20Internet%20Files\Content.Outlook\YFSUDHUF\Chinn%20Ridge%20Info%20to%20USG%202011-08-3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O:\data\CLOSING%20WORKBOOKS\JV%20GRE%20CLOSE\2008\GRE%20JV'S%202008-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chedule,4th Opt"/>
      <sheetName val="J-SEC"/>
      <sheetName val="A (2)"/>
      <sheetName val="J-Schedule,4th_Opt"/>
      <sheetName val="A_(2)"/>
      <sheetName val="Rate_Sheet_"/>
      <sheetName val="HIDE_if_not_used~H&amp;L_Plan_A_B_C"/>
      <sheetName val="H&amp;LExempt"/>
      <sheetName val="H&amp;L_Plan_1"/>
      <sheetName val="Rate_Sheet"/>
      <sheetName val="Labor_Related_Cost_Detail"/>
      <sheetName val="VARIABLES"/>
      <sheetName val="Total_Staff"/>
      <sheetName val="Pull_down"/>
      <sheetName val="Labor Reference"/>
      <sheetName val="Lookup Table"/>
      <sheetName val="Positions"/>
      <sheetName val="ELINs"/>
      <sheetName val="BOE_INPUT"/>
      <sheetName val="Salary Ranges"/>
      <sheetName val="CITI Timesheets Base"/>
      <sheetName val="Indirect Rates"/>
      <sheetName val="Z1034"/>
      <sheetName val="CLIN Structure"/>
      <sheetName val="Labor Lookup"/>
      <sheetName val="J-Schedule,4th_Opt1"/>
      <sheetName val="A_(2)1"/>
      <sheetName val="Labor_Reference"/>
      <sheetName val="Lookup_Table"/>
      <sheetName val="Labor_Lookup"/>
      <sheetName val="Salary_Ranges"/>
      <sheetName val="Summary"/>
      <sheetName val="Labor Related Cost Detail"/>
      <sheetName val="Drop Downs"/>
      <sheetName val="Standard Labor Categories"/>
      <sheetName val="CLIN_Structure"/>
      <sheetName val="WG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E"/>
      <sheetName val="SUMMARY"/>
      <sheetName val="JB-1 FTE"/>
      <sheetName val="Customer Breakdown Recurring"/>
      <sheetName val="CLIN 0001 - Base Period"/>
      <sheetName val="CLIN 0002 - Base Period"/>
      <sheetName val="CLIN 0003 - 1st Option Period"/>
      <sheetName val="CLIN 0004 - 1st Option Period"/>
      <sheetName val="CLIN 0005 - 2nd Option Period"/>
      <sheetName val="CLIN 0006 - 2nd Option Period"/>
      <sheetName val="CLIN 0007 - 3rd Option Period"/>
      <sheetName val="CLIN 0008 - 3rd Option Period"/>
      <sheetName val="CLIN 0009 - 4th Option Period"/>
      <sheetName val="CLIN 0010 - 4th Option Period"/>
      <sheetName val="CLIN 0011 - 52.217-8 Option"/>
      <sheetName val="CLIN 0012 - 52.217-8 Option"/>
      <sheetName val="CLIN 0013 - Base Period OPTION"/>
      <sheetName val="0200000 M&amp;A"/>
      <sheetName val="1401000 FH"/>
      <sheetName val="1501000 FM"/>
      <sheetName val="1502000 FX"/>
      <sheetName val="J-1502000-08 HVAC"/>
      <sheetName val="1502000 FX (DHA)"/>
      <sheetName val="1502000 FX (JTF)"/>
      <sheetName val="1503010 Custodial"/>
      <sheetName val="1503020 PC"/>
      <sheetName val="1503030 ISWM"/>
      <sheetName val="1503040 Other"/>
      <sheetName val="1503050 Grounds"/>
      <sheetName val="1601000 UM"/>
      <sheetName val="1602000 ELEC"/>
      <sheetName val="1604000 WW"/>
      <sheetName val="1606000 Water"/>
      <sheetName val="1700000 BS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ING"/>
      <sheetName val="PREMISES"/>
      <sheetName val="SSA GOSI"/>
      <sheetName val="SALARIES SN"/>
      <sheetName val="SAL US TCN"/>
      <sheetName val="SUMMARY"/>
      <sheetName val="SIGN_OFF"/>
      <sheetName val="BDATA_SALS_MED"/>
      <sheetName val="OT_TDY"/>
      <sheetName val="REC_MOB_DEMOB"/>
      <sheetName val="VACATION"/>
      <sheetName val="EDUCATION"/>
      <sheetName val="HOUSING"/>
      <sheetName val="INDIRECTS"/>
      <sheetName val="OPEX_MISC"/>
      <sheetName val="Sheet1"/>
      <sheetName val="SITES"/>
      <sheetName val="GEN ADMIN"/>
      <sheetName val="VEHICLES"/>
      <sheetName val="TPORT"/>
      <sheetName val="TPORT (2)"/>
      <sheetName val="CASHFLOW"/>
      <sheetName val="200paa"/>
      <sheetName val="Labor"/>
      <sheetName val="PMO2"/>
      <sheetName val="SSA_GOSI"/>
      <sheetName val="SALARIES_SN"/>
      <sheetName val="SAL_US_TCN"/>
      <sheetName val="GEN_ADMIN"/>
      <sheetName val="TPORT_(2)"/>
      <sheetName val="VALIDATION LISTS"/>
      <sheetName val="Staffing Profile "/>
      <sheetName val="Sheet2"/>
      <sheetName val="Drop Down List"/>
      <sheetName val="Values"/>
      <sheetName val="CoverSheet "/>
      <sheetName val="PAC12"/>
      <sheetName val="Lookups"/>
      <sheetName val="Sheet1 (2)"/>
      <sheetName val="List Info"/>
      <sheetName val="Data"/>
      <sheetName val="CP Rates"/>
      <sheetName val="GSA IT70 LCATS (2)"/>
      <sheetName val="LABOR SOURCE (B)"/>
      <sheetName val="Midpoints"/>
      <sheetName val="Avenger"/>
      <sheetName val="List-Maps"/>
      <sheetName val="EAC Start-End Current Opt"/>
      <sheetName val="dropdowns"/>
      <sheetName val="Drop-down Menus"/>
      <sheetName val="Reference"/>
      <sheetName val="SV - Prior OL"/>
      <sheetName val="drop downs"/>
      <sheetName val="Lists"/>
      <sheetName val="Wages"/>
      <sheetName val="SSA_GOSI1"/>
      <sheetName val="SALARIES_SN1"/>
      <sheetName val="SAL_US_TCN1"/>
      <sheetName val="GEN_ADMIN1"/>
      <sheetName val="TPORT_(2)1"/>
      <sheetName val="VALIDATION_LISTS"/>
      <sheetName val="Drop_Down_List"/>
      <sheetName val="Staffing_Profile_"/>
      <sheetName val="EAC_Start-End_Current_Opt"/>
      <sheetName val="Sheet1_(2)"/>
      <sheetName val="Drop-down_Menus"/>
      <sheetName val="List_Info"/>
      <sheetName val="SV_-_Prior_OL"/>
      <sheetName val="drop_downs"/>
      <sheetName val="1.  A140438 - Indo"/>
      <sheetName val="1a - Reserve Supporting Docs"/>
      <sheetName val="3.  A108110 - UAE AMMROC"/>
      <sheetName val="3d. Net Contract Position Calc"/>
      <sheetName val="2.  A145316 &amp; A140524-Singapore"/>
      <sheetName val="3a. Excluded Billings in CY"/>
      <sheetName val="3b.  2019 Billing Selections"/>
      <sheetName val="3c. Questionnaire - CRW"/>
      <sheetName val="4.  A1B0590 - France"/>
      <sheetName val="lookup"/>
      <sheetName val="ValueList_Helper"/>
      <sheetName val="P&amp;L Summary Page"/>
      <sheetName val="Input"/>
      <sheetName val="SPICPI"/>
      <sheetName val="Current Revision Changes"/>
      <sheetName val="General Instructions"/>
      <sheetName val="Fomulas"/>
      <sheetName val="EOC-PL2 (data tab)"/>
      <sheetName val="NOCS"/>
      <sheetName val="Copy Paste Macro"/>
      <sheetName val="PF Inputs - Current Qtr"/>
      <sheetName val="Actuals Recon"/>
      <sheetName val="Combined MAO"/>
      <sheetName val="EAC History"/>
      <sheetName val="PF Inputs - Prior Qtr"/>
      <sheetName val="Fin Recon"/>
      <sheetName val="P&amp;L EAC Chklst - PFA"/>
      <sheetName val="P&amp;L EAC Chklst - PFM"/>
      <sheetName val="MAO"/>
      <sheetName val="CSR Rate Impact"/>
      <sheetName val="Contract PO Summary"/>
      <sheetName val="Example Audit Checklist"/>
      <sheetName val="Parameters"/>
      <sheetName val="PEnAM E&amp;T Consolid"/>
      <sheetName val="C6ISRnTLS"/>
      <sheetName val="Akron"/>
      <sheetName val="Manassas"/>
      <sheetName val="Marion"/>
      <sheetName val=" Train Ft Worth"/>
      <sheetName val="Train Orlando"/>
      <sheetName val="PEnAM E&amp;T Manuf"/>
      <sheetName val="Pool A Overtime"/>
      <sheetName val="Cost Centers"/>
      <sheetName val="Settings"/>
      <sheetName val="RMS Total Tech Ops"/>
      <sheetName val="Discipline"/>
      <sheetName val="Monthly Trend"/>
      <sheetName val="DCI Summary"/>
      <sheetName val="DCI Draw"/>
      <sheetName val="Account Detail"/>
      <sheetName val="Misc Detail"/>
      <sheetName val="Headcount"/>
      <sheetName val="Travel"/>
      <sheetName val="Hi-Lo Travelers"/>
      <sheetName val="ECT Summary"/>
      <sheetName val="Device Cost"/>
      <sheetName val="ECT Hi-LO Users"/>
      <sheetName val="Misc Detail Tech Ops"/>
      <sheetName val="Accounts"/>
      <sheetName val="Monthly FPR (Plan)"/>
      <sheetName val="HC by Cost Ctr"/>
      <sheetName val="EnT Headcount"/>
      <sheetName val="July Freight"/>
      <sheetName val="Fin Recon - Curr Qtr"/>
      <sheetName val="MAO - Curr Qtr"/>
      <sheetName val="PF Inputs - Prior Qtr - Locked"/>
      <sheetName val="Fin Recon - Prior Qtr - Locked"/>
      <sheetName val="MAO - Prior Qtr - Locked"/>
      <sheetName val="CSR Rate Reserve"/>
      <sheetName val="Margin Step-up Plan"/>
      <sheetName val="KKA2 Screenshot"/>
      <sheetName val="EVM Report"/>
      <sheetName val="ECE Screenshot"/>
      <sheetName val="ACWP to SAP Recon"/>
      <sheetName val="Risk Report"/>
      <sheetName val="Cobra Screenshots"/>
      <sheetName val="Risk Chklst"/>
      <sheetName val="Formulas"/>
      <sheetName val="Prog Pay (If Applicable)"/>
      <sheetName val="PM Approval"/>
      <sheetName val="SSA_GOSI2"/>
      <sheetName val="SALARIES_SN2"/>
      <sheetName val="SAL_US_TCN2"/>
      <sheetName val="GEN_ADMIN2"/>
      <sheetName val="TPORT_(2)2"/>
      <sheetName val="VALIDATION_LISTS1"/>
      <sheetName val="Drop_Down_List1"/>
      <sheetName val="Staffing_Profile_1"/>
      <sheetName val="EAC_Start-End_Current_Opt1"/>
      <sheetName val="Sheet1_(2)1"/>
      <sheetName val="Drop-down_Menus1"/>
      <sheetName val="List_Info1"/>
      <sheetName val="SV_-_Prior_OL1"/>
      <sheetName val="drop_downs1"/>
      <sheetName val="CP_Rates"/>
      <sheetName val="GSA_IT70_LCATS_(2)"/>
      <sheetName val="LABOR_SOURCE_(B)"/>
      <sheetName val="1___A140438_-_Indo"/>
      <sheetName val="1a_-_Reserve_Supporting_Docs"/>
      <sheetName val="3___A108110_-_UAE_AMMROC"/>
      <sheetName val="3d__Net_Contract_Position_Calc"/>
      <sheetName val="2___A145316_&amp;_A140524-Singapore"/>
      <sheetName val="3a__Excluded_Billings_in_CY"/>
      <sheetName val="3b___2019_Billing_Selections"/>
      <sheetName val="3c__Questionnaire_-_CRW"/>
      <sheetName val="4___A1B0590_-_France"/>
      <sheetName val="CoverSheet_"/>
      <sheetName val="Quick Reference"/>
      <sheetName val="SSA_GOSI3"/>
      <sheetName val="SALARIES_SN3"/>
      <sheetName val="SAL_US_TCN3"/>
      <sheetName val="GEN_ADMIN3"/>
      <sheetName val="TPORT_(2)3"/>
      <sheetName val="VALIDATION_LISTS2"/>
      <sheetName val="Drop_Down_List2"/>
      <sheetName val="Staffing_Profile_2"/>
      <sheetName val="EAC_Start-End_Current_Opt2"/>
      <sheetName val="Sheet1_(2)2"/>
      <sheetName val="Drop-down_Menus2"/>
      <sheetName val="List_Info2"/>
      <sheetName val="SV_-_Prior_OL2"/>
      <sheetName val="drop_downs2"/>
      <sheetName val="CP_Rates1"/>
      <sheetName val="GSA_IT70_LCATS_(2)1"/>
      <sheetName val="LABOR_SOURCE_(B)1"/>
      <sheetName val="1___A140438_-_Indo1"/>
      <sheetName val="1a_-_Reserve_Supporting_Docs1"/>
      <sheetName val="3___A108110_-_UAE_AMMROC1"/>
      <sheetName val="3d__Net_Contract_Position_Calc1"/>
      <sheetName val="2___A145316_&amp;_A140524-Singapor1"/>
      <sheetName val="3a__Excluded_Billings_in_CY1"/>
      <sheetName val="3b___2019_Billing_Selections1"/>
      <sheetName val="3c__Questionnaire_-_CRW1"/>
      <sheetName val="4___A1B0590_-_France1"/>
      <sheetName val="CoverSheet_1"/>
      <sheetName val="Quick_Reference"/>
    </sheetNames>
    <sheetDataSet>
      <sheetData sheetId="0" refreshError="1"/>
      <sheetData sheetId="1" refreshError="1"/>
      <sheetData sheetId="2"/>
      <sheetData sheetId="3" refreshError="1"/>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Menu"/>
      <sheetName val="Historical"/>
      <sheetName val="Overview"/>
      <sheetName val="Summary"/>
      <sheetName val="Valuation "/>
      <sheetName val="Model"/>
      <sheetName val="Assumptions"/>
      <sheetName val="Sources and Uses"/>
      <sheetName val="Valuation_Old"/>
      <sheetName val="3 Yr. % Return"/>
      <sheetName val="5 Yr. % Return"/>
      <sheetName val="Information"/>
      <sheetName val="LTM 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INDEX"/>
      <sheetName val="MODIFICATION 15-0119"/>
      <sheetName val="PRICE NARRATIVE"/>
      <sheetName val="SECTION B"/>
      <sheetName val="STAFFING PLAN"/>
      <sheetName val="PRICE SUMMARY"/>
      <sheetName val="SECTION B PRICING TABLE"/>
      <sheetName val="CONSOLIDATED FFP ELIN PRICING"/>
      <sheetName val="LABOR ST BASE YR"/>
      <sheetName val="LABOR ST OPT YR 1"/>
      <sheetName val="LABOR ST OPT YR 2"/>
      <sheetName val="LABOR ST OPT YR 3"/>
      <sheetName val="LABOR ST OPT YR 4"/>
      <sheetName val="LABOR ST OPT to EXT"/>
      <sheetName val="O&amp;M MATERIALS - BASE"/>
      <sheetName val="O&amp;M MATERIALS - OPT 1"/>
      <sheetName val="O&amp;M MATERIALS - OPT 2"/>
      <sheetName val="O&amp;M MATERIALS - OPT 3"/>
      <sheetName val="O&amp;M MATERIALS - OPT 4"/>
      <sheetName val="O&amp;M MATERIALS - OPT to EXT"/>
      <sheetName val="CUSTODIAL MATERIALS - BASE"/>
      <sheetName val="CUSTODIAL MATERIALS - OPT 1"/>
      <sheetName val="CUSTODIAL MATERIALS - OPT 2"/>
      <sheetName val="CUSTODIAL MATERIALS - OPT 3"/>
      <sheetName val="CUSTODIAL MATERIALS - OPT 4"/>
      <sheetName val="CUSTODIAL MATERIALS - OPTtoEXT"/>
      <sheetName val="OTHER DIRECT COSTS - BASE"/>
      <sheetName val="OTHER DIRECT COSTS - OPT 1"/>
      <sheetName val="OTHER DIRECT COSTS - OPT 2"/>
      <sheetName val="OTHER DIRECT COSTS - OPT 3"/>
      <sheetName val="OTHER DIRECT COSTS - OPT 4"/>
      <sheetName val="OTHER DIRECT COSTS - OPTtoEXT"/>
      <sheetName val="COBF"/>
      <sheetName val="Docking Services"/>
      <sheetName val="General Safety Equipment"/>
      <sheetName val="Housing"/>
      <sheetName val="Information Technology"/>
      <sheetName val="Janitorial Equipment"/>
      <sheetName val="Landscaping Equipment"/>
      <sheetName val="Meals"/>
      <sheetName val="Medevac"/>
      <sheetName val="Partnering"/>
      <sheetName val="POL"/>
      <sheetName val="PPE"/>
      <sheetName val="Schools"/>
      <sheetName val="Self Help Store"/>
      <sheetName val="Shipping"/>
      <sheetName val="Startup"/>
      <sheetName val="Tools &amp; Equipment"/>
      <sheetName val="Training-Licensing"/>
      <sheetName val="Travel &amp; Perdiem"/>
      <sheetName val="Uniforms"/>
      <sheetName val="Utilities"/>
      <sheetName val="Vehicles"/>
      <sheetName val="SUBCONTRACTORS - BASE"/>
      <sheetName val="SUBCONTRACTORS - OPT 1"/>
      <sheetName val="SUBCONTRACTORS - OPT 2"/>
      <sheetName val="SUBCONTRACTORS - OPT 3"/>
      <sheetName val="SUBCONTRACTORS - OPT 4"/>
      <sheetName val="SUBCONTRACTORS - OPTtoEXT"/>
      <sheetName val="BASE WAGES &amp; BENEFITS - ST"/>
      <sheetName val="OPT1 WAGES &amp; BENEFITS - ST"/>
      <sheetName val="OPT2 WAGES &amp; BENEFITS - ST"/>
      <sheetName val="OPT3 WAGES &amp; BENEFITS - ST"/>
      <sheetName val="OPT4 WAGES &amp; BENEFITS - ST"/>
      <sheetName val="RATES &amp; TABLES"/>
      <sheetName val="HISTORICAL COSTS"/>
      <sheetName val="IDIQ RATES"/>
      <sheetName val="IDIQ Worksheet"/>
      <sheetName val="IDIQ SUMMARY - BASE"/>
      <sheetName val="IDIQ SUMMARY - OPT 1"/>
      <sheetName val="IDIQ SUMMARY - OPT 2"/>
      <sheetName val="IDIQ SUMMARY - OPT 3"/>
      <sheetName val="IDIQ SUMMARY - OPT 4"/>
      <sheetName val="IDIQ SUMMARY - OPT to EXT"/>
      <sheetName val="IDIQ SUMMARY - W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1401000-03 Housing Inventory"/>
      <sheetName val="J-1401000-11 HVAC"/>
      <sheetName val="J-1501000-03 Facility Property"/>
      <sheetName val="J-1502000-08 HVAC"/>
      <sheetName val="J-1502000-30-01 ECM 13 Summary"/>
      <sheetName val="J-1502000-30-02 ECM 13 Detail"/>
      <sheetName val="J-1502000-31-01 ECM 5 Summary"/>
      <sheetName val="J-1502000-31-02 ECM 5 Material"/>
      <sheetName val="J-1502000-31-03 ECM 5 by Bldg"/>
      <sheetName val="J-1502000-31-04 ECM 5 by Room"/>
      <sheetName val="1502000 CNRSE UH Inventory"/>
      <sheetName val="J-1502000-04(JTF) HVAC"/>
      <sheetName val="J-1502000-21(JTF) UH Inventory"/>
      <sheetName val="J-1502000-03-01(OMC) Controlled"/>
      <sheetName val="J-1502000-03-02(OMC) Critical"/>
      <sheetName val="J-1502000-03-03(OMC) Sensitive"/>
      <sheetName val="J-1502000-03-04(OMC) UH Invntry"/>
      <sheetName val="J-1502000-04(OMC) HVAC"/>
      <sheetName val="J-1601000-06 Elec Utility"/>
      <sheetName val="J-1601000-07 WasteWater Utility"/>
      <sheetName val="J-1601000-08 Water Utility"/>
      <sheetName val="J-1700000-02 Fleet Inventory"/>
      <sheetName val="J-1700000-03 MHE WHE"/>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BGA FTE TEMPLATE (2)"/>
      <sheetName val="Salary.com Analysis (2)"/>
      <sheetName val="To Do"/>
      <sheetName val="Change log"/>
      <sheetName val="General Inputs"/>
      <sheetName val="Bid Combo"/>
      <sheetName val="Control Panel"/>
      <sheetName val="Subs Scorecard"/>
      <sheetName val="Estimating Worksheet"/>
      <sheetName val="BOE-dBASE"/>
      <sheetName val="SENTEL DL Dev"/>
      <sheetName val="Attach 0005 - Price Matrix"/>
      <sheetName val="FBGA FTE TEMPLATE"/>
      <sheetName val="Top Level Summary"/>
      <sheetName val="RDBMergeSheet"/>
      <sheetName val="CEB-Total"/>
      <sheetName val="CEB-CLIN"/>
      <sheetName val="CEB-All"/>
      <sheetName val="Rollup-PD1"/>
      <sheetName val="Rollup-PD2"/>
      <sheetName val="Rollup-PD3"/>
      <sheetName val="Rollup-PD4"/>
      <sheetName val="Rollup-PD5"/>
      <sheetName val="Rollup-PD6"/>
      <sheetName val="Rollup-PD7"/>
      <sheetName val="Rollup-PD8"/>
      <sheetName val="Subcontract Pricing"/>
      <sheetName val="Subcontract Rates"/>
      <sheetName val="Material"/>
      <sheetName val="Misc ODC"/>
      <sheetName val="Travel"/>
      <sheetName val="Indirect Rate Table"/>
      <sheetName val="chart_smallbus"/>
      <sheetName val="Current Indirects"/>
      <sheetName val="Pivot Table-FTEs"/>
      <sheetName val="Pivot Table-Hours"/>
      <sheetName val="CBA vs WD Rates"/>
      <sheetName val="Internal Summ"/>
      <sheetName val="Prelim pricing"/>
      <sheetName val="PMO Dev+Alloc Rate"/>
      <sheetName val="CV Stuff"/>
      <sheetName val="Fringe Dev"/>
      <sheetName val="Award Fee"/>
      <sheetName val="Log2020"/>
      <sheetName val="Salary.com Analysis"/>
      <sheetName val="Exempts"/>
      <sheetName val="Hist_Fund_Top_Down_Sum By CY"/>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DC Summary"/>
      <sheetName val="Material MS-3"/>
      <sheetName val="Equipment MS-3"/>
      <sheetName val="ODC Pivots"/>
      <sheetName val="Sheet3"/>
      <sheetName val="ODCs - Initial Material"/>
      <sheetName val="ODCs - Initial Equipment"/>
      <sheetName val="ODCs - Annual Material"/>
      <sheetName val="ODCs - Annual Equipment"/>
      <sheetName val="Initial Kits"/>
      <sheetName val="Annual Kits"/>
      <sheetName val="IMP PM Materials (Annual)"/>
      <sheetName val="Initial Vehicle Cost Analysis"/>
      <sheetName val="Initial Vehicle Maint-Fuel Cost"/>
      <sheetName val="Annual Vehicle Cost Analysis"/>
      <sheetName val="Annual Vehicle Maint-Fuel Cost"/>
      <sheetName val="Sheet1"/>
      <sheetName val="Sheet2"/>
      <sheetName val="Combined Price List"/>
      <sheetName val="Pelican-Grainger Price List"/>
      <sheetName val="BO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
      <sheetName val="Lists"/>
    </sheetNames>
    <sheetDataSet>
      <sheetData sheetId="0" refreshError="1"/>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PPV APRIL"/>
      <sheetName val="DIS FREIGHT"/>
      <sheetName val="121101"/>
      <sheetName val="PPV_APRIL"/>
      <sheetName val="DIS_FREIGHT"/>
      <sheetName val="Labor Base"/>
      <sheetName val="Labor OP1"/>
      <sheetName val="Labor OP2"/>
      <sheetName val="Labor OP3"/>
      <sheetName val="Labor 6 Mo Ext"/>
      <sheetName val="Labor BOE"/>
      <sheetName val="Fringe - CONUS"/>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or CV"/>
      <sheetName val="Sheet3"/>
      <sheetName val="Ken Analysis Recurr Summary"/>
      <sheetName val="EN Table-Recurring (detail)"/>
      <sheetName val="Ken Analysis (Recurring)"/>
      <sheetName val="Ken Analysis NR"/>
      <sheetName val="Sheet2"/>
      <sheetName val="Ken Analysis (Recurring) (2)"/>
      <sheetName val="Price build for Ken"/>
      <sheetName val="Pivot for EN"/>
      <sheetName val="Overall Change Summary"/>
      <sheetName val="EN Table-Recurring"/>
      <sheetName val="EN Table-Non Recurring"/>
      <sheetName val="Amendment 10 Staffing"/>
      <sheetName val="2. BOE Rec Pivot (2)"/>
      <sheetName val="TOC"/>
      <sheetName val="KEY NOTES AND ASSUMPTIONS"/>
      <sheetName val="1. Bid Summary"/>
      <sheetName val="2. Cost Element Sum-Rec"/>
      <sheetName val="3. Cost Element Sum-NR"/>
      <sheetName val="4. Pivot $ by Annex"/>
      <sheetName val="5. Pivot Staffing by Annex&amp;LC"/>
      <sheetName val="6. Pivot $ by Dept"/>
      <sheetName val="7. Pivot LB"/>
      <sheetName val="8. VC-QC"/>
      <sheetName val="EN Walkdown"/>
      <sheetName val="9. CONTROL PANEL-VALIDATION"/>
      <sheetName val="10. ODC Summary"/>
      <sheetName val="10a.ODC Table (old)"/>
      <sheetName val="1. Data (Recurring Labor)"/>
      <sheetName val="2. Data (Non Recurring)"/>
      <sheetName val="3.PhaseIn(not included in price"/>
      <sheetName val="1. Rec BOE"/>
      <sheetName val="60hrww"/>
      <sheetName val="2. BOE Rec Pivot"/>
      <sheetName val="3. NR BOE"/>
      <sheetName val="4. ODC Pivots"/>
      <sheetName val="NSGB Balances"/>
      <sheetName val="5. Depreciation"/>
      <sheetName val="Sheet5"/>
      <sheetName val="1. Vectrus AN Labor Rates"/>
      <sheetName val="2. SubK Rates"/>
      <sheetName val="2a. L.Berger FFP"/>
      <sheetName val="2b.Planate Rates"/>
      <sheetName val="2c. J&amp;J PropLaborRates(not used"/>
      <sheetName val="2d. J&amp;J-Vectrus FN Adj Bid Rate"/>
      <sheetName val="3. FPRP Indirect Rates"/>
      <sheetName val="4. Productive Hours"/>
      <sheetName val="10. ODCs - Meals,Housing,R&amp;R"/>
      <sheetName val="10a. Utilities AN Historical"/>
      <sheetName val="11. FPRP Fringe backup"/>
      <sheetName val="IHO FPRP Service Center Rates"/>
      <sheetName val="12. FPRP Service Center Rates"/>
      <sheetName val="15. Onboarding"/>
      <sheetName val="Section B - GB"/>
      <sheetName val="Gov't Provided Rates"/>
      <sheetName val="Walkdown"/>
      <sheetName val="Setup"/>
      <sheetName val="CLIN 0001 - Base Period (3)"/>
      <sheetName val="CLIN 0002 - Base Period (3)"/>
      <sheetName val="CLIN 0003 - 1st Option Peri (3)"/>
      <sheetName val="CLIN 0004 - 1st Option Peri (3)"/>
      <sheetName val="CLIN 0005 - 2nd Option Peri (3)"/>
      <sheetName val="CLIN 0006 - 2nd Option Peri (3)"/>
      <sheetName val="CLIN 0007 - 3rd Option Peri (3)"/>
      <sheetName val="CLIN 0008 - 3rd Option Peri (3)"/>
      <sheetName val="CLIN 0009 - 4th Option Peri (3)"/>
      <sheetName val="CLIN 0010 - 4th Option Peri (3)"/>
      <sheetName val="CLIN 0011 - 52.217-8 Option (3)"/>
      <sheetName val="CLIN 0012 - 52.217-8 Option (3)"/>
      <sheetName val="CLIN 0013 - Base Period OPT (2)"/>
      <sheetName val="CLIN 0001 - Base Period"/>
      <sheetName val="CLIN 0002 - Base Period"/>
      <sheetName val="CLIN 0003 - 1st Option Period"/>
      <sheetName val="CLIN 0004 - 1st Option Period"/>
      <sheetName val="CLIN 0005 - 2nd Option Period"/>
      <sheetName val="CLIN 0006 - 2nd Option Period"/>
      <sheetName val="CLIN 0007 - 3rd Option Period"/>
      <sheetName val="CLIN 0008 - 3rd Option Period"/>
      <sheetName val="CLIN 0009 - 4th Option Period"/>
      <sheetName val="CLIN 0010 - 4th Option Period"/>
      <sheetName val="CLIN 0011 - 52.217-8 Option"/>
      <sheetName val="CLIN 0012 - 52.217-8 Option"/>
      <sheetName val="CLIN 0013 - Base Period OP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B-1 Staffing"/>
      <sheetName val="JB-2 Pricing"/>
      <sheetName val="Summary All Periods"/>
      <sheetName val="Recurring Base Pd_Mod"/>
      <sheetName val="Recurring Opt 1_Mod"/>
      <sheetName val="Recurring Opt 2_Mod"/>
      <sheetName val="Recurring Opt 3_Mod"/>
      <sheetName val="Recurring Opt 4_Mod"/>
      <sheetName val="Recurring Opt 5_Mod"/>
      <sheetName val="Recurring Opt 6_Mod"/>
      <sheetName val="Recurring Opt 7_Mod"/>
      <sheetName val="Recurring Opt FAR 52.217_Mod"/>
      <sheetName val="Sch 1.0-Master Cost Sum (All)"/>
      <sheetName val="Sch 1.1-Master Cost Sum (FFP)"/>
      <sheetName val="Sch 1.2-Master Cost Sum (CPFF)"/>
      <sheetName val="Sch. 1.1B-MSC FFP-MST"/>
      <sheetName val="Sch. 1.1A-MSC FFP-JLL"/>
      <sheetName val="Sch 1.3-Master Cost Sum (IDIQ)"/>
      <sheetName val="CLIN Sum-Phase In"/>
      <sheetName val="Sch. 1.3A-MSC IDIQ-MST"/>
      <sheetName val="Sch. 1.3-MSC IDIQ-JLL"/>
      <sheetName val="Overhead Calculation (JB-2)"/>
      <sheetName val="CLIN Sum-Base Pd"/>
      <sheetName val="CLIN Sum-Opt 1"/>
      <sheetName val="CLIN Sum-Opt 2"/>
      <sheetName val="CLIN Sum-Opt 3"/>
      <sheetName val="CLIN Sum-Opt 4"/>
      <sheetName val="CLIN Sum-Opt 5"/>
      <sheetName val="CLIN Sum-Opt 6"/>
      <sheetName val="Labor-Phase In"/>
      <sheetName val="CLIN Sum-Opt 7"/>
      <sheetName val="CLIN Sum-52.217-8"/>
      <sheetName val="Labor-Base Pd"/>
      <sheetName val="Labor-Opt 1"/>
      <sheetName val="Labor-Opt 2"/>
      <sheetName val="Labor-Opt 3"/>
      <sheetName val="Labor-Opt 4"/>
      <sheetName val="Labor-Opt 5"/>
      <sheetName val="Labor-Opt 6"/>
      <sheetName val="Labor-Opt 7"/>
      <sheetName val="Labor-52.217-8"/>
      <sheetName val="Sch 4.0-Other Direct Cost"/>
      <sheetName val="Exhibit 7.0-Staffing Analysis"/>
      <sheetName val="Exhibit 1.0-Labor Table"/>
      <sheetName val="Exhibit 1.2 - CBA Blended Rates"/>
      <sheetName val="Exhibit 2.0-Hours Table"/>
      <sheetName val="Exhibit 4.0-Uniforms-PPE"/>
      <sheetName val="Exhibit 5.0-Hand Tools"/>
      <sheetName val="Exhibit 6.0-PPE"/>
      <sheetName val="Exhibit 8.0-Indirect Margin"/>
      <sheetName val="Exh 9.0 Workers Compensation"/>
      <sheetName val="Vehicle Est_Allo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4">
          <cell r="C4" t="str">
            <v>JLL-Midnight Sun IFMS, LLC</v>
          </cell>
        </row>
        <row r="17">
          <cell r="C17" t="str">
            <v>Job No.</v>
          </cell>
          <cell r="D17" t="str">
            <v>W/C Code</v>
          </cell>
          <cell r="E17" t="str">
            <v>Labor Title</v>
          </cell>
          <cell r="F17" t="str">
            <v>Company</v>
          </cell>
          <cell r="G17" t="str">
            <v>Type</v>
          </cell>
          <cell r="H17" t="str">
            <v>Source</v>
          </cell>
          <cell r="I17" t="str">
            <v>Annual Salary</v>
          </cell>
          <cell r="J17" t="str">
            <v>First Year Wage</v>
          </cell>
          <cell r="K17" t="str">
            <v>Pension/ 401(k)</v>
          </cell>
          <cell r="L17" t="str">
            <v>Phase-In</v>
          </cell>
          <cell r="M17" t="str">
            <v>Base Year</v>
          </cell>
          <cell r="N17" t="str">
            <v>Opt Yr 1</v>
          </cell>
          <cell r="O17" t="str">
            <v>Opt Yr 2</v>
          </cell>
          <cell r="P17" t="str">
            <v>Opt Yr 3</v>
          </cell>
          <cell r="Q17" t="str">
            <v>Opt Yr 4</v>
          </cell>
          <cell r="R17" t="str">
            <v>Opt Yr 5</v>
          </cell>
          <cell r="S17" t="str">
            <v>Opt Yr 6</v>
          </cell>
          <cell r="T17" t="str">
            <v>Opt Yr 7</v>
          </cell>
          <cell r="U17" t="str">
            <v>Opt Yr 8</v>
          </cell>
          <cell r="V17" t="str">
            <v>Opt Yr 9</v>
          </cell>
          <cell r="W17" t="str">
            <v>Phase-In</v>
          </cell>
          <cell r="X17" t="str">
            <v>Base Year</v>
          </cell>
          <cell r="Y17" t="str">
            <v>Opt Yr 1</v>
          </cell>
          <cell r="Z17" t="str">
            <v>Opt Yr 2</v>
          </cell>
          <cell r="AA17" t="str">
            <v>Opt Yr 3</v>
          </cell>
          <cell r="AB17" t="str">
            <v>Opt Yr 4</v>
          </cell>
          <cell r="AC17" t="str">
            <v>Opt Yr 5</v>
          </cell>
          <cell r="AD17" t="str">
            <v>Opt Yr 6</v>
          </cell>
          <cell r="AE17" t="str">
            <v>Opt Yr 7</v>
          </cell>
          <cell r="AF17" t="str">
            <v>Opt Yr 8</v>
          </cell>
          <cell r="AG17" t="str">
            <v>Opt Yr 9</v>
          </cell>
          <cell r="AH17" t="str">
            <v>Phase-In</v>
          </cell>
          <cell r="AI17" t="str">
            <v>Base Year</v>
          </cell>
          <cell r="AJ17" t="str">
            <v>Opt Yr 1</v>
          </cell>
          <cell r="AK17" t="str">
            <v>Opt Yr 2</v>
          </cell>
          <cell r="AL17" t="str">
            <v>Opt Yr 3</v>
          </cell>
          <cell r="AM17" t="str">
            <v>Opt Yr 4</v>
          </cell>
          <cell r="AN17" t="str">
            <v>Opt Yr 5</v>
          </cell>
          <cell r="AO17" t="str">
            <v>Opt Yr 6</v>
          </cell>
          <cell r="AP17" t="str">
            <v>Opt Yr 7</v>
          </cell>
          <cell r="AQ17" t="str">
            <v>Opt Yr 8</v>
          </cell>
          <cell r="AR17" t="str">
            <v>Opt Yr 9</v>
          </cell>
          <cell r="AS17" t="str">
            <v>SUTA New Employer Rate</v>
          </cell>
          <cell r="AT17" t="str">
            <v>SUTA Wage Subject to Tax</v>
          </cell>
          <cell r="AU17" t="str">
            <v>SUTA Cost/ FTE</v>
          </cell>
          <cell r="AV17" t="str">
            <v>Phase-In</v>
          </cell>
          <cell r="AW17" t="str">
            <v>Base Year</v>
          </cell>
          <cell r="AX17" t="str">
            <v>Opt Yr 1</v>
          </cell>
          <cell r="AY17" t="str">
            <v>Opt Yr 2</v>
          </cell>
          <cell r="AZ17" t="str">
            <v>Opt Yr 3</v>
          </cell>
          <cell r="BA17" t="str">
            <v>Opt Yr 4</v>
          </cell>
          <cell r="BB17" t="str">
            <v>Opt Yr 5</v>
          </cell>
          <cell r="BC17" t="str">
            <v>Opt Yr 6</v>
          </cell>
          <cell r="BD17" t="str">
            <v>Opt Yr 7</v>
          </cell>
          <cell r="BE17" t="str">
            <v>Opt Yr 8</v>
          </cell>
          <cell r="BF17" t="str">
            <v>Opt Yr 9</v>
          </cell>
          <cell r="BG17" t="str">
            <v>Phase-In</v>
          </cell>
          <cell r="BH17" t="str">
            <v>Base Year</v>
          </cell>
          <cell r="BI17" t="str">
            <v>Opt Yr 1</v>
          </cell>
          <cell r="BJ17" t="str">
            <v>Opt Yr 2</v>
          </cell>
          <cell r="BK17" t="str">
            <v>Opt Yr 3</v>
          </cell>
          <cell r="BL17" t="str">
            <v>Opt Yr 4</v>
          </cell>
          <cell r="BM17" t="str">
            <v>Opt Yr 5</v>
          </cell>
          <cell r="BN17" t="str">
            <v>Opt Yr 6</v>
          </cell>
          <cell r="BO17" t="str">
            <v>Opt Yr 7</v>
          </cell>
          <cell r="BP17" t="str">
            <v>Opt Yr 8</v>
          </cell>
          <cell r="BQ17" t="str">
            <v>Opt Yr 9</v>
          </cell>
          <cell r="BR17" t="str">
            <v>Phase-In</v>
          </cell>
          <cell r="BS17" t="str">
            <v>Base Year</v>
          </cell>
          <cell r="BT17" t="str">
            <v>Opt Yr 1</v>
          </cell>
          <cell r="BU17" t="str">
            <v>Opt Yr 2</v>
          </cell>
          <cell r="BV17" t="str">
            <v>Opt Yr 3</v>
          </cell>
          <cell r="BW17" t="str">
            <v>Opt Yr 4</v>
          </cell>
          <cell r="BX17" t="str">
            <v>Opt Yr 5</v>
          </cell>
          <cell r="BY17" t="str">
            <v>Opt Yr 6</v>
          </cell>
          <cell r="BZ17" t="str">
            <v>Opt Yr 7</v>
          </cell>
          <cell r="CA17" t="str">
            <v>Opt Yr 8</v>
          </cell>
          <cell r="CB17" t="str">
            <v>Opt Yr 9</v>
          </cell>
          <cell r="CC17" t="str">
            <v>Phase-In</v>
          </cell>
          <cell r="CD17" t="str">
            <v>Base Year</v>
          </cell>
          <cell r="CE17" t="str">
            <v>Opt Yr 1</v>
          </cell>
          <cell r="CF17" t="str">
            <v>Opt Yr 2</v>
          </cell>
          <cell r="CG17" t="str">
            <v>Opt Yr 3</v>
          </cell>
          <cell r="CH17" t="str">
            <v>Opt Yr 4</v>
          </cell>
          <cell r="CI17" t="str">
            <v>Opt Yr 5</v>
          </cell>
          <cell r="CJ17" t="str">
            <v>Opt Yr 6</v>
          </cell>
          <cell r="CK17" t="str">
            <v>Opt Yr 7</v>
          </cell>
          <cell r="CL17" t="str">
            <v>Opt Yr 8</v>
          </cell>
          <cell r="CM17" t="str">
            <v>Opt Yr 9</v>
          </cell>
          <cell r="CN17" t="str">
            <v>Code</v>
          </cell>
          <cell r="CO17" t="str">
            <v>Phase-In</v>
          </cell>
          <cell r="CP17" t="str">
            <v>Base Year</v>
          </cell>
          <cell r="CQ17" t="str">
            <v>Opt Yr 1</v>
          </cell>
          <cell r="CR17" t="str">
            <v>Opt Yr 2</v>
          </cell>
          <cell r="CS17" t="str">
            <v>Opt Yr 3</v>
          </cell>
          <cell r="CT17" t="str">
            <v>Opt Yr 4</v>
          </cell>
          <cell r="CU17" t="str">
            <v>Opt Yr 5</v>
          </cell>
          <cell r="CV17" t="str">
            <v>Opt Yr 6</v>
          </cell>
          <cell r="CW17" t="str">
            <v>Opt Yr 7</v>
          </cell>
          <cell r="CX17" t="str">
            <v>Opt Yr 8</v>
          </cell>
          <cell r="CY17" t="str">
            <v>Opt Yr 9</v>
          </cell>
          <cell r="CZ17" t="str">
            <v>Phase-In</v>
          </cell>
          <cell r="DA17" t="str">
            <v>Base Year</v>
          </cell>
          <cell r="DB17" t="str">
            <v>Opt Yr 1</v>
          </cell>
          <cell r="DC17" t="str">
            <v>Opt Yr 2</v>
          </cell>
          <cell r="DD17" t="str">
            <v>Opt Yr 3</v>
          </cell>
          <cell r="DE17" t="str">
            <v>Opt Yr 4</v>
          </cell>
          <cell r="DF17" t="str">
            <v>Opt Yr 5</v>
          </cell>
          <cell r="DG17" t="str">
            <v>Opt Yr 6</v>
          </cell>
          <cell r="DH17" t="str">
            <v>Opt Yr 7</v>
          </cell>
          <cell r="DI17" t="str">
            <v>Opt Yr 8</v>
          </cell>
          <cell r="DJ17" t="str">
            <v>Opt Yr 9</v>
          </cell>
        </row>
        <row r="19">
          <cell r="C19" t="str">
            <v>Exempt Labor Categories</v>
          </cell>
        </row>
        <row r="21">
          <cell r="C21">
            <v>1000</v>
          </cell>
          <cell r="D21">
            <v>8810</v>
          </cell>
          <cell r="E21" t="str">
            <v>Project Manager</v>
          </cell>
          <cell r="F21" t="str">
            <v>MST</v>
          </cell>
          <cell r="G21" t="str">
            <v>Exempt</v>
          </cell>
          <cell r="H21" t="str">
            <v>salary.com</v>
          </cell>
          <cell r="I21">
            <v>160726.12</v>
          </cell>
          <cell r="J21">
            <v>77.272173076923082</v>
          </cell>
          <cell r="K21">
            <v>2.5000000000000001E-2</v>
          </cell>
          <cell r="L21">
            <v>77.272173076923082</v>
          </cell>
          <cell r="M21">
            <v>77.272173076923082</v>
          </cell>
          <cell r="N21">
            <v>78.840798190384618</v>
          </cell>
          <cell r="O21">
            <v>80.441266393649428</v>
          </cell>
          <cell r="P21">
            <v>82.074224101440507</v>
          </cell>
          <cell r="Q21">
            <v>83.740330850699749</v>
          </cell>
          <cell r="R21">
            <v>85.440259566968948</v>
          </cell>
          <cell r="S21">
            <v>87.174696836178413</v>
          </cell>
          <cell r="T21">
            <v>88.944343181952831</v>
          </cell>
          <cell r="U21">
            <v>90.749913348546471</v>
          </cell>
          <cell r="V21">
            <v>92.655661528865934</v>
          </cell>
          <cell r="W21">
            <v>4.75</v>
          </cell>
          <cell r="X21">
            <v>4.75</v>
          </cell>
          <cell r="Y21">
            <v>4.9874999999999998</v>
          </cell>
          <cell r="Z21">
            <v>5.2368750000000004</v>
          </cell>
          <cell r="AA21">
            <v>5.498718750000001</v>
          </cell>
          <cell r="AB21">
            <v>5.7736546875000014</v>
          </cell>
          <cell r="AC21">
            <v>6.0623374218750019</v>
          </cell>
          <cell r="AD21">
            <v>6.3654542929687521</v>
          </cell>
          <cell r="AE21">
            <v>6.6837270076171897</v>
          </cell>
          <cell r="AF21">
            <v>7.0179133579980499</v>
          </cell>
          <cell r="AG21">
            <v>7.3688090258979528</v>
          </cell>
          <cell r="AH21">
            <v>2.5000000000000001E-2</v>
          </cell>
          <cell r="AI21">
            <v>2.5000000000000001E-2</v>
          </cell>
          <cell r="AJ21">
            <v>2.5524999999999999E-2</v>
          </cell>
          <cell r="AK21">
            <v>2.6061024999999998E-2</v>
          </cell>
          <cell r="AL21">
            <v>2.6608306524999997E-2</v>
          </cell>
          <cell r="AM21">
            <v>2.7167080962024994E-2</v>
          </cell>
          <cell r="AN21">
            <v>2.7737589662227516E-2</v>
          </cell>
          <cell r="AO21">
            <v>2.832007904513429E-2</v>
          </cell>
          <cell r="AP21">
            <v>2.8914800705082108E-2</v>
          </cell>
          <cell r="AQ21">
            <v>2.9522011519888831E-2</v>
          </cell>
          <cell r="AR21">
            <v>3.0141973761806492E-2</v>
          </cell>
          <cell r="AS21">
            <v>2.7E-2</v>
          </cell>
          <cell r="AT21">
            <v>8000</v>
          </cell>
          <cell r="AU21">
            <v>216</v>
          </cell>
          <cell r="AV21">
            <v>1.52E-2</v>
          </cell>
          <cell r="AW21">
            <v>1.52E-2</v>
          </cell>
          <cell r="AX21">
            <v>1.5275999999999998E-2</v>
          </cell>
          <cell r="AY21">
            <v>1.5352379999999997E-2</v>
          </cell>
          <cell r="AZ21">
            <v>1.5429141899999995E-2</v>
          </cell>
          <cell r="BA21">
            <v>1.5506287609499993E-2</v>
          </cell>
          <cell r="BB21">
            <v>1.5583819047547491E-2</v>
          </cell>
          <cell r="BC21">
            <v>1.5661738142785226E-2</v>
          </cell>
          <cell r="BD21">
            <v>1.5740046833499152E-2</v>
          </cell>
          <cell r="BE21">
            <v>1.5740046833499152E-2</v>
          </cell>
          <cell r="BF21">
            <v>1.5740046833499152E-2</v>
          </cell>
          <cell r="BG21">
            <v>337.52485199999995</v>
          </cell>
          <cell r="BH21">
            <v>337.52485199999995</v>
          </cell>
          <cell r="BI21">
            <v>354.40109459999996</v>
          </cell>
          <cell r="BJ21">
            <v>372.12114932999998</v>
          </cell>
          <cell r="BK21">
            <v>390.72720679650001</v>
          </cell>
          <cell r="BL21">
            <v>410.26356713632504</v>
          </cell>
          <cell r="BM21">
            <v>430.77674549314133</v>
          </cell>
          <cell r="BN21">
            <v>452.31558276779845</v>
          </cell>
          <cell r="BO21">
            <v>474.93136190618839</v>
          </cell>
          <cell r="BP21">
            <v>498.67793000149783</v>
          </cell>
          <cell r="BQ21">
            <v>523.61182650157275</v>
          </cell>
          <cell r="BR21">
            <v>33.72</v>
          </cell>
          <cell r="BS21">
            <v>33.72</v>
          </cell>
          <cell r="BT21">
            <v>34.428119999999993</v>
          </cell>
          <cell r="BU21">
            <v>35.151110519999989</v>
          </cell>
          <cell r="BV21">
            <v>35.889283840919987</v>
          </cell>
          <cell r="BW21">
            <v>36.642958801579304</v>
          </cell>
          <cell r="BX21">
            <v>37.412460936412465</v>
          </cell>
          <cell r="BY21">
            <v>38.198122616077121</v>
          </cell>
          <cell r="BZ21">
            <v>39.000283191014738</v>
          </cell>
          <cell r="CA21">
            <v>39.819289138026043</v>
          </cell>
          <cell r="CB21">
            <v>40.655494209924584</v>
          </cell>
          <cell r="CC21">
            <v>165.54790359999998</v>
          </cell>
          <cell r="CD21">
            <v>165.54790359999998</v>
          </cell>
          <cell r="CE21">
            <v>173.82529878</v>
          </cell>
          <cell r="CF21">
            <v>182.516563719</v>
          </cell>
          <cell r="CG21">
            <v>191.64239190495002</v>
          </cell>
          <cell r="CH21">
            <v>201.22451150019754</v>
          </cell>
          <cell r="CI21">
            <v>211.28573707520744</v>
          </cell>
          <cell r="CJ21">
            <v>221.85002392896783</v>
          </cell>
          <cell r="CK21">
            <v>232.94252512541624</v>
          </cell>
          <cell r="CL21">
            <v>244.58965138168705</v>
          </cell>
          <cell r="CM21">
            <v>256.8191339507714</v>
          </cell>
          <cell r="CO21">
            <v>5.25</v>
          </cell>
          <cell r="CP21">
            <v>5.25</v>
          </cell>
          <cell r="CQ21">
            <v>5.5125000000000002</v>
          </cell>
          <cell r="CR21">
            <v>5.7881250000000009</v>
          </cell>
          <cell r="CS21">
            <v>6.0775312500000007</v>
          </cell>
          <cell r="CT21">
            <v>6.3814078125000009</v>
          </cell>
          <cell r="CU21">
            <v>6.7004782031250016</v>
          </cell>
          <cell r="CV21">
            <v>7.0355021132812521</v>
          </cell>
          <cell r="CW21">
            <v>7.3872772189453153</v>
          </cell>
          <cell r="CX21">
            <v>7.7566410798925816</v>
          </cell>
          <cell r="CY21">
            <v>8.1444731338872103</v>
          </cell>
          <cell r="CZ21">
            <v>1.52E-2</v>
          </cell>
          <cell r="DA21">
            <v>1.52E-2</v>
          </cell>
          <cell r="DB21">
            <v>1.5275999999999998E-2</v>
          </cell>
          <cell r="DC21">
            <v>1.5352379999999997E-2</v>
          </cell>
          <cell r="DD21">
            <v>1.5429141899999995E-2</v>
          </cell>
          <cell r="DE21">
            <v>1.5506287609499993E-2</v>
          </cell>
          <cell r="DF21">
            <v>1.5583819047547491E-2</v>
          </cell>
          <cell r="DG21">
            <v>1.5661738142785226E-2</v>
          </cell>
          <cell r="DH21">
            <v>1.5740046833499152E-2</v>
          </cell>
          <cell r="DI21">
            <v>1.5740046833499152E-2</v>
          </cell>
          <cell r="DJ21">
            <v>1.5740046833499152E-2</v>
          </cell>
        </row>
        <row r="22">
          <cell r="C22">
            <v>1005</v>
          </cell>
          <cell r="D22">
            <v>8810</v>
          </cell>
          <cell r="E22" t="str">
            <v>Quality Manager</v>
          </cell>
          <cell r="G22" t="str">
            <v>Exempt</v>
          </cell>
          <cell r="H22" t="str">
            <v>salary.com</v>
          </cell>
          <cell r="I22">
            <v>112685</v>
          </cell>
          <cell r="J22">
            <v>54.175480769230766</v>
          </cell>
          <cell r="K22">
            <v>2.5000000000000001E-2</v>
          </cell>
          <cell r="L22">
            <v>54.175480769230766</v>
          </cell>
          <cell r="M22">
            <v>54.175480769230766</v>
          </cell>
          <cell r="N22">
            <v>55.275243028846148</v>
          </cell>
          <cell r="O22">
            <v>56.397330462331723</v>
          </cell>
          <cell r="P22">
            <v>57.542196270717056</v>
          </cell>
          <cell r="Q22">
            <v>58.710302855012614</v>
          </cell>
          <cell r="R22">
            <v>59.902122002969371</v>
          </cell>
          <cell r="S22">
            <v>61.118135079629646</v>
          </cell>
          <cell r="T22">
            <v>62.358833221746124</v>
          </cell>
          <cell r="U22">
            <v>63.624717536147571</v>
          </cell>
          <cell r="V22">
            <v>64.960836604406666</v>
          </cell>
          <cell r="W22">
            <v>4.75</v>
          </cell>
          <cell r="X22">
            <v>4.75</v>
          </cell>
          <cell r="Y22">
            <v>4.9874999999999998</v>
          </cell>
          <cell r="Z22">
            <v>5.2368750000000004</v>
          </cell>
          <cell r="AA22">
            <v>5.498718750000001</v>
          </cell>
          <cell r="AB22">
            <v>5.7736546875000014</v>
          </cell>
          <cell r="AC22">
            <v>6.0623374218750019</v>
          </cell>
          <cell r="AD22">
            <v>6.3654542929687521</v>
          </cell>
          <cell r="AE22">
            <v>6.6837270076171897</v>
          </cell>
          <cell r="AF22">
            <v>7.0179133579980499</v>
          </cell>
          <cell r="AG22">
            <v>7.3688090258979528</v>
          </cell>
          <cell r="AH22">
            <v>2.5000000000000001E-2</v>
          </cell>
          <cell r="AI22">
            <v>2.5000000000000001E-2</v>
          </cell>
          <cell r="AJ22">
            <v>2.5524999999999999E-2</v>
          </cell>
          <cell r="AK22">
            <v>2.6061024999999998E-2</v>
          </cell>
          <cell r="AL22">
            <v>2.6608306524999997E-2</v>
          </cell>
          <cell r="AM22">
            <v>2.7167080962024994E-2</v>
          </cell>
          <cell r="AN22">
            <v>2.7737589662227516E-2</v>
          </cell>
          <cell r="AO22">
            <v>2.832007904513429E-2</v>
          </cell>
          <cell r="AP22">
            <v>2.8914800705082108E-2</v>
          </cell>
          <cell r="AQ22">
            <v>2.9522011519888831E-2</v>
          </cell>
          <cell r="AR22">
            <v>3.0141973761806492E-2</v>
          </cell>
          <cell r="AS22">
            <v>2.7E-2</v>
          </cell>
          <cell r="AT22">
            <v>8000</v>
          </cell>
          <cell r="AU22">
            <v>216</v>
          </cell>
          <cell r="AV22">
            <v>1.52E-2</v>
          </cell>
          <cell r="AW22">
            <v>1.52E-2</v>
          </cell>
          <cell r="AX22">
            <v>1.5275999999999998E-2</v>
          </cell>
          <cell r="AY22">
            <v>1.5352379999999997E-2</v>
          </cell>
          <cell r="AZ22">
            <v>1.5429141899999995E-2</v>
          </cell>
          <cell r="BA22">
            <v>1.5506287609499993E-2</v>
          </cell>
          <cell r="BB22">
            <v>1.5583819047547491E-2</v>
          </cell>
          <cell r="BC22">
            <v>1.5661738142785226E-2</v>
          </cell>
          <cell r="BD22">
            <v>1.5740046833499152E-2</v>
          </cell>
          <cell r="BE22">
            <v>1.5740046833499152E-2</v>
          </cell>
          <cell r="BF22">
            <v>1.5740046833499152E-2</v>
          </cell>
          <cell r="BG22">
            <v>236.63849999999996</v>
          </cell>
          <cell r="BH22">
            <v>236.63849999999996</v>
          </cell>
          <cell r="BI22">
            <v>248.47042499999998</v>
          </cell>
          <cell r="BJ22">
            <v>260.89394625</v>
          </cell>
          <cell r="BK22">
            <v>273.93864356250003</v>
          </cell>
          <cell r="BL22">
            <v>287.63557574062503</v>
          </cell>
          <cell r="BM22">
            <v>302.01735452765627</v>
          </cell>
          <cell r="BN22">
            <v>317.1182222540391</v>
          </cell>
          <cell r="BO22">
            <v>332.97413336674106</v>
          </cell>
          <cell r="BP22">
            <v>349.62284003507813</v>
          </cell>
          <cell r="BQ22">
            <v>367.10398203683206</v>
          </cell>
          <cell r="BR22">
            <v>33.72</v>
          </cell>
          <cell r="BS22">
            <v>33.72</v>
          </cell>
          <cell r="BT22">
            <v>34.428119999999993</v>
          </cell>
          <cell r="BU22">
            <v>35.151110519999989</v>
          </cell>
          <cell r="BV22">
            <v>35.889283840919987</v>
          </cell>
          <cell r="BW22">
            <v>36.642958801579304</v>
          </cell>
          <cell r="BX22">
            <v>37.412460936412465</v>
          </cell>
          <cell r="BY22">
            <v>38.198122616077121</v>
          </cell>
          <cell r="BZ22">
            <v>39.000283191014738</v>
          </cell>
          <cell r="CA22">
            <v>39.819289138026043</v>
          </cell>
          <cell r="CB22">
            <v>40.655494209924584</v>
          </cell>
          <cell r="CC22">
            <v>116.06554999999999</v>
          </cell>
          <cell r="CD22">
            <v>116.06554999999999</v>
          </cell>
          <cell r="CE22">
            <v>121.86882749999999</v>
          </cell>
          <cell r="CF22">
            <v>127.96226887500001</v>
          </cell>
          <cell r="CG22">
            <v>134.36038231875</v>
          </cell>
          <cell r="CH22">
            <v>141.07840143468749</v>
          </cell>
          <cell r="CI22">
            <v>148.13232150642187</v>
          </cell>
          <cell r="CJ22">
            <v>155.53893758174297</v>
          </cell>
          <cell r="CK22">
            <v>163.31588446083012</v>
          </cell>
          <cell r="CL22">
            <v>171.48167868387162</v>
          </cell>
          <cell r="CM22">
            <v>180.05576261806522</v>
          </cell>
          <cell r="CO22">
            <v>5.25</v>
          </cell>
          <cell r="CP22">
            <v>5.25</v>
          </cell>
          <cell r="CQ22">
            <v>5.5125000000000002</v>
          </cell>
          <cell r="CR22">
            <v>5.7881250000000009</v>
          </cell>
          <cell r="CS22">
            <v>6.0775312500000007</v>
          </cell>
          <cell r="CT22">
            <v>6.3814078125000009</v>
          </cell>
          <cell r="CU22">
            <v>6.7004782031250016</v>
          </cell>
          <cell r="CV22">
            <v>7.0355021132812521</v>
          </cell>
          <cell r="CW22">
            <v>7.3872772189453153</v>
          </cell>
          <cell r="CX22">
            <v>7.7566410798925816</v>
          </cell>
          <cell r="CY22">
            <v>8.1444731338872103</v>
          </cell>
          <cell r="CZ22">
            <v>1.52E-2</v>
          </cell>
          <cell r="DA22">
            <v>1.52E-2</v>
          </cell>
          <cell r="DB22">
            <v>1.5275999999999998E-2</v>
          </cell>
          <cell r="DC22">
            <v>1.5352379999999997E-2</v>
          </cell>
          <cell r="DD22">
            <v>1.5429141899999995E-2</v>
          </cell>
          <cell r="DE22">
            <v>1.5506287609499993E-2</v>
          </cell>
          <cell r="DF22">
            <v>1.5583819047547491E-2</v>
          </cell>
          <cell r="DG22">
            <v>1.5661738142785226E-2</v>
          </cell>
          <cell r="DH22">
            <v>1.5740046833499152E-2</v>
          </cell>
          <cell r="DI22">
            <v>1.5740046833499152E-2</v>
          </cell>
          <cell r="DJ22">
            <v>1.5740046833499152E-2</v>
          </cell>
        </row>
        <row r="23">
          <cell r="C23">
            <v>1010</v>
          </cell>
          <cell r="D23">
            <v>8810</v>
          </cell>
          <cell r="E23" t="str">
            <v>Site Safety and Health Officer (SSHO)</v>
          </cell>
          <cell r="G23" t="str">
            <v>Exempt</v>
          </cell>
          <cell r="H23" t="str">
            <v>salary.com</v>
          </cell>
          <cell r="I23">
            <v>110192.50000000001</v>
          </cell>
          <cell r="J23">
            <v>52.977163461538467</v>
          </cell>
          <cell r="K23">
            <v>2.5000000000000001E-2</v>
          </cell>
          <cell r="L23">
            <v>52.977163461538467</v>
          </cell>
          <cell r="M23">
            <v>52.977163461538467</v>
          </cell>
          <cell r="N23">
            <v>54.052599879807694</v>
          </cell>
          <cell r="O23">
            <v>55.149867657367793</v>
          </cell>
          <cell r="P23">
            <v>56.269409970812355</v>
          </cell>
          <cell r="Q23">
            <v>57.411678993219844</v>
          </cell>
          <cell r="R23">
            <v>58.577136076782203</v>
          </cell>
          <cell r="S23">
            <v>59.766251939140879</v>
          </cell>
          <cell r="T23">
            <v>60.979506853505441</v>
          </cell>
          <cell r="U23">
            <v>62.217390842631602</v>
          </cell>
          <cell r="V23">
            <v>63.523956050326859</v>
          </cell>
          <cell r="W23">
            <v>4.75</v>
          </cell>
          <cell r="X23">
            <v>4.75</v>
          </cell>
          <cell r="Y23">
            <v>4.9874999999999998</v>
          </cell>
          <cell r="Z23">
            <v>5.2368750000000004</v>
          </cell>
          <cell r="AA23">
            <v>5.498718750000001</v>
          </cell>
          <cell r="AB23">
            <v>5.7736546875000014</v>
          </cell>
          <cell r="AC23">
            <v>6.0623374218750019</v>
          </cell>
          <cell r="AD23">
            <v>6.3654542929687521</v>
          </cell>
          <cell r="AE23">
            <v>6.6837270076171897</v>
          </cell>
          <cell r="AF23">
            <v>7.0179133579980499</v>
          </cell>
          <cell r="AG23">
            <v>7.3688090258979528</v>
          </cell>
          <cell r="AH23">
            <v>2.5000000000000001E-2</v>
          </cell>
          <cell r="AI23">
            <v>2.5000000000000001E-2</v>
          </cell>
          <cell r="AJ23">
            <v>2.5524999999999999E-2</v>
          </cell>
          <cell r="AK23">
            <v>2.6061024999999998E-2</v>
          </cell>
          <cell r="AL23">
            <v>2.6608306524999997E-2</v>
          </cell>
          <cell r="AM23">
            <v>2.7167080962024994E-2</v>
          </cell>
          <cell r="AN23">
            <v>2.7737589662227516E-2</v>
          </cell>
          <cell r="AO23">
            <v>2.832007904513429E-2</v>
          </cell>
          <cell r="AP23">
            <v>2.8914800705082108E-2</v>
          </cell>
          <cell r="AQ23">
            <v>2.9522011519888831E-2</v>
          </cell>
          <cell r="AR23">
            <v>3.0141973761806492E-2</v>
          </cell>
          <cell r="AS23">
            <v>2.7E-2</v>
          </cell>
          <cell r="AT23">
            <v>8000</v>
          </cell>
          <cell r="AU23">
            <v>216</v>
          </cell>
          <cell r="AV23">
            <v>1.52E-2</v>
          </cell>
          <cell r="AW23">
            <v>1.52E-2</v>
          </cell>
          <cell r="AX23">
            <v>1.5275999999999998E-2</v>
          </cell>
          <cell r="AY23">
            <v>1.5352379999999997E-2</v>
          </cell>
          <cell r="AZ23">
            <v>1.5429141899999995E-2</v>
          </cell>
          <cell r="BA23">
            <v>1.5506287609499993E-2</v>
          </cell>
          <cell r="BB23">
            <v>1.5583819047547491E-2</v>
          </cell>
          <cell r="BC23">
            <v>1.5661738142785226E-2</v>
          </cell>
          <cell r="BD23">
            <v>1.5740046833499152E-2</v>
          </cell>
          <cell r="BE23">
            <v>1.5740046833499152E-2</v>
          </cell>
          <cell r="BF23">
            <v>1.5740046833499152E-2</v>
          </cell>
          <cell r="BG23">
            <v>231.40425000000002</v>
          </cell>
          <cell r="BH23">
            <v>231.40425000000002</v>
          </cell>
          <cell r="BI23">
            <v>242.97446250000004</v>
          </cell>
          <cell r="BJ23">
            <v>255.12318562500005</v>
          </cell>
          <cell r="BK23">
            <v>267.87934490625008</v>
          </cell>
          <cell r="BL23">
            <v>281.27331215156261</v>
          </cell>
          <cell r="BM23">
            <v>295.33697775914072</v>
          </cell>
          <cell r="BN23">
            <v>310.10382664709778</v>
          </cell>
          <cell r="BO23">
            <v>325.60901797945269</v>
          </cell>
          <cell r="BP23">
            <v>341.88946887842536</v>
          </cell>
          <cell r="BQ23">
            <v>358.98394232234665</v>
          </cell>
          <cell r="BR23">
            <v>33.72</v>
          </cell>
          <cell r="BS23">
            <v>33.72</v>
          </cell>
          <cell r="BT23">
            <v>34.428119999999993</v>
          </cell>
          <cell r="BU23">
            <v>35.151110519999989</v>
          </cell>
          <cell r="BV23">
            <v>35.889283840919987</v>
          </cell>
          <cell r="BW23">
            <v>36.642958801579304</v>
          </cell>
          <cell r="BX23">
            <v>37.412460936412465</v>
          </cell>
          <cell r="BY23">
            <v>38.198122616077121</v>
          </cell>
          <cell r="BZ23">
            <v>39.000283191014738</v>
          </cell>
          <cell r="CA23">
            <v>39.819289138026043</v>
          </cell>
          <cell r="CB23">
            <v>40.655494209924584</v>
          </cell>
          <cell r="CC23">
            <v>113.49827500000001</v>
          </cell>
          <cell r="CD23">
            <v>113.49827500000001</v>
          </cell>
          <cell r="CE23">
            <v>119.17318875000001</v>
          </cell>
          <cell r="CF23">
            <v>125.13184818750001</v>
          </cell>
          <cell r="CG23">
            <v>131.38844059687503</v>
          </cell>
          <cell r="CH23">
            <v>137.95786262671879</v>
          </cell>
          <cell r="CI23">
            <v>144.85575575805473</v>
          </cell>
          <cell r="CJ23">
            <v>152.09854354595748</v>
          </cell>
          <cell r="CK23">
            <v>159.70347072325535</v>
          </cell>
          <cell r="CL23">
            <v>167.68864425941811</v>
          </cell>
          <cell r="CM23">
            <v>176.07307647238903</v>
          </cell>
          <cell r="CO23">
            <v>5.25</v>
          </cell>
          <cell r="CP23">
            <v>5.25</v>
          </cell>
          <cell r="CQ23">
            <v>5.5125000000000002</v>
          </cell>
          <cell r="CR23">
            <v>5.7881250000000009</v>
          </cell>
          <cell r="CS23">
            <v>6.0775312500000007</v>
          </cell>
          <cell r="CT23">
            <v>6.3814078125000009</v>
          </cell>
          <cell r="CU23">
            <v>6.7004782031250016</v>
          </cell>
          <cell r="CV23">
            <v>7.0355021132812521</v>
          </cell>
          <cell r="CW23">
            <v>7.3872772189453153</v>
          </cell>
          <cell r="CX23">
            <v>7.7566410798925816</v>
          </cell>
          <cell r="CY23">
            <v>8.1444731338872103</v>
          </cell>
          <cell r="CZ23">
            <v>1.52E-2</v>
          </cell>
          <cell r="DA23">
            <v>1.52E-2</v>
          </cell>
          <cell r="DB23">
            <v>1.5275999999999998E-2</v>
          </cell>
          <cell r="DC23">
            <v>1.5352379999999997E-2</v>
          </cell>
          <cell r="DD23">
            <v>1.5429141899999995E-2</v>
          </cell>
          <cell r="DE23">
            <v>1.5506287609499993E-2</v>
          </cell>
          <cell r="DF23">
            <v>1.5583819047547491E-2</v>
          </cell>
          <cell r="DG23">
            <v>1.5661738142785226E-2</v>
          </cell>
          <cell r="DH23">
            <v>1.5740046833499152E-2</v>
          </cell>
          <cell r="DI23">
            <v>1.5740046833499152E-2</v>
          </cell>
          <cell r="DJ23">
            <v>1.5740046833499152E-2</v>
          </cell>
        </row>
        <row r="24">
          <cell r="C24">
            <v>1015</v>
          </cell>
          <cell r="D24">
            <v>8810</v>
          </cell>
          <cell r="E24" t="str">
            <v>Environmental/Energy Manager</v>
          </cell>
          <cell r="G24" t="str">
            <v>Exempt</v>
          </cell>
          <cell r="H24" t="str">
            <v>salary.com</v>
          </cell>
          <cell r="I24">
            <v>112274.155</v>
          </cell>
          <cell r="J24">
            <v>53.977959134615382</v>
          </cell>
          <cell r="K24">
            <v>2.5000000000000001E-2</v>
          </cell>
          <cell r="L24">
            <v>53.977959134615382</v>
          </cell>
          <cell r="M24">
            <v>53.977959134615382</v>
          </cell>
          <cell r="N24">
            <v>55.073711705048076</v>
          </cell>
          <cell r="O24">
            <v>56.191708052660552</v>
          </cell>
          <cell r="P24">
            <v>57.332399726129559</v>
          </cell>
          <cell r="Q24">
            <v>58.496247440569988</v>
          </cell>
          <cell r="R24">
            <v>59.683721263613556</v>
          </cell>
          <cell r="S24">
            <v>60.89530080526491</v>
          </cell>
          <cell r="T24">
            <v>62.131475411611788</v>
          </cell>
          <cell r="U24">
            <v>63.392744362467504</v>
          </cell>
          <cell r="V24">
            <v>64.723991994079313</v>
          </cell>
          <cell r="W24">
            <v>4.75</v>
          </cell>
          <cell r="X24">
            <v>4.75</v>
          </cell>
          <cell r="Y24">
            <v>4.9874999999999998</v>
          </cell>
          <cell r="Z24">
            <v>5.2368750000000004</v>
          </cell>
          <cell r="AA24">
            <v>5.498718750000001</v>
          </cell>
          <cell r="AB24">
            <v>5.7736546875000014</v>
          </cell>
          <cell r="AC24">
            <v>6.0623374218750019</v>
          </cell>
          <cell r="AD24">
            <v>6.3654542929687521</v>
          </cell>
          <cell r="AE24">
            <v>6.6837270076171897</v>
          </cell>
          <cell r="AF24">
            <v>7.0179133579980499</v>
          </cell>
          <cell r="AG24">
            <v>7.3688090258979528</v>
          </cell>
          <cell r="AH24">
            <v>2.5000000000000001E-2</v>
          </cell>
          <cell r="AI24">
            <v>2.5000000000000001E-2</v>
          </cell>
          <cell r="AJ24">
            <v>2.5524999999999999E-2</v>
          </cell>
          <cell r="AK24">
            <v>2.6061024999999998E-2</v>
          </cell>
          <cell r="AL24">
            <v>2.6608306524999997E-2</v>
          </cell>
          <cell r="AM24">
            <v>2.7167080962024994E-2</v>
          </cell>
          <cell r="AN24">
            <v>2.7737589662227516E-2</v>
          </cell>
          <cell r="AO24">
            <v>2.832007904513429E-2</v>
          </cell>
          <cell r="AP24">
            <v>2.8914800705082108E-2</v>
          </cell>
          <cell r="AQ24">
            <v>2.9522011519888831E-2</v>
          </cell>
          <cell r="AR24">
            <v>3.0141973761806492E-2</v>
          </cell>
          <cell r="AS24">
            <v>2.7E-2</v>
          </cell>
          <cell r="AT24">
            <v>8000</v>
          </cell>
          <cell r="AU24">
            <v>216</v>
          </cell>
          <cell r="AV24">
            <v>1.52E-2</v>
          </cell>
          <cell r="AW24">
            <v>1.52E-2</v>
          </cell>
          <cell r="AX24">
            <v>1.5275999999999998E-2</v>
          </cell>
          <cell r="AY24">
            <v>1.5352379999999997E-2</v>
          </cell>
          <cell r="AZ24">
            <v>1.5429141899999995E-2</v>
          </cell>
          <cell r="BA24">
            <v>1.5506287609499993E-2</v>
          </cell>
          <cell r="BB24">
            <v>1.5583819047547491E-2</v>
          </cell>
          <cell r="BC24">
            <v>1.5661738142785226E-2</v>
          </cell>
          <cell r="BD24">
            <v>1.5740046833499152E-2</v>
          </cell>
          <cell r="BE24">
            <v>1.5740046833499152E-2</v>
          </cell>
          <cell r="BF24">
            <v>1.5740046833499152E-2</v>
          </cell>
          <cell r="BG24">
            <v>235.77572549999999</v>
          </cell>
          <cell r="BH24">
            <v>235.77572549999999</v>
          </cell>
          <cell r="BI24">
            <v>247.564511775</v>
          </cell>
          <cell r="BJ24">
            <v>259.94273736374998</v>
          </cell>
          <cell r="BK24">
            <v>272.93987423193749</v>
          </cell>
          <cell r="BL24">
            <v>286.5868679435344</v>
          </cell>
          <cell r="BM24">
            <v>300.91621134071113</v>
          </cell>
          <cell r="BN24">
            <v>315.9620219077467</v>
          </cell>
          <cell r="BO24">
            <v>331.76012300313403</v>
          </cell>
          <cell r="BP24">
            <v>348.34812915329076</v>
          </cell>
          <cell r="BQ24">
            <v>365.76553561095528</v>
          </cell>
          <cell r="BR24">
            <v>33.72</v>
          </cell>
          <cell r="BS24">
            <v>33.72</v>
          </cell>
          <cell r="BT24">
            <v>34.428119999999993</v>
          </cell>
          <cell r="BU24">
            <v>35.151110519999989</v>
          </cell>
          <cell r="BV24">
            <v>35.889283840919987</v>
          </cell>
          <cell r="BW24">
            <v>36.642958801579304</v>
          </cell>
          <cell r="BX24">
            <v>37.412460936412465</v>
          </cell>
          <cell r="BY24">
            <v>38.198122616077121</v>
          </cell>
          <cell r="BZ24">
            <v>39.000283191014738</v>
          </cell>
          <cell r="CA24">
            <v>39.819289138026043</v>
          </cell>
          <cell r="CB24">
            <v>40.655494209924584</v>
          </cell>
          <cell r="CC24">
            <v>115.64237965</v>
          </cell>
          <cell r="CD24">
            <v>115.64237965</v>
          </cell>
          <cell r="CE24">
            <v>121.4244986325</v>
          </cell>
          <cell r="CF24">
            <v>127.49572356412502</v>
          </cell>
          <cell r="CG24">
            <v>133.87050974233128</v>
          </cell>
          <cell r="CH24">
            <v>140.56403522944785</v>
          </cell>
          <cell r="CI24">
            <v>147.59223699092024</v>
          </cell>
          <cell r="CJ24">
            <v>154.97184884046627</v>
          </cell>
          <cell r="CK24">
            <v>162.72044128248959</v>
          </cell>
          <cell r="CL24">
            <v>170.85646334661408</v>
          </cell>
          <cell r="CM24">
            <v>179.39928651394479</v>
          </cell>
          <cell r="CO24">
            <v>5.25</v>
          </cell>
          <cell r="CP24">
            <v>5.25</v>
          </cell>
          <cell r="CQ24">
            <v>5.5125000000000002</v>
          </cell>
          <cell r="CR24">
            <v>5.7881250000000009</v>
          </cell>
          <cell r="CS24">
            <v>6.0775312500000007</v>
          </cell>
          <cell r="CT24">
            <v>6.3814078125000009</v>
          </cell>
          <cell r="CU24">
            <v>6.7004782031250016</v>
          </cell>
          <cell r="CV24">
            <v>7.0355021132812521</v>
          </cell>
          <cell r="CW24">
            <v>7.3872772189453153</v>
          </cell>
          <cell r="CX24">
            <v>7.7566410798925816</v>
          </cell>
          <cell r="CY24">
            <v>8.1444731338872103</v>
          </cell>
          <cell r="CZ24">
            <v>1.52E-2</v>
          </cell>
          <cell r="DA24">
            <v>1.52E-2</v>
          </cell>
          <cell r="DB24">
            <v>1.5275999999999998E-2</v>
          </cell>
          <cell r="DC24">
            <v>1.5352379999999997E-2</v>
          </cell>
          <cell r="DD24">
            <v>1.5429141899999995E-2</v>
          </cell>
          <cell r="DE24">
            <v>1.5506287609499993E-2</v>
          </cell>
          <cell r="DF24">
            <v>1.5583819047547491E-2</v>
          </cell>
          <cell r="DG24">
            <v>1.5661738142785226E-2</v>
          </cell>
          <cell r="DH24">
            <v>1.5740046833499152E-2</v>
          </cell>
          <cell r="DI24">
            <v>1.5740046833499152E-2</v>
          </cell>
          <cell r="DJ24">
            <v>1.5740046833499152E-2</v>
          </cell>
        </row>
        <row r="25">
          <cell r="C25">
            <v>1020</v>
          </cell>
          <cell r="D25">
            <v>8810</v>
          </cell>
          <cell r="E25" t="str">
            <v>Transportation Manager</v>
          </cell>
          <cell r="G25" t="str">
            <v>Exempt</v>
          </cell>
          <cell r="H25" t="str">
            <v>salary.com</v>
          </cell>
          <cell r="I25">
            <v>85000</v>
          </cell>
          <cell r="J25">
            <v>40.865384615384613</v>
          </cell>
          <cell r="K25">
            <v>2.5000000000000001E-2</v>
          </cell>
          <cell r="L25">
            <v>40.865384615384613</v>
          </cell>
          <cell r="M25">
            <v>40.865384615384613</v>
          </cell>
          <cell r="N25">
            <v>41.694951923076921</v>
          </cell>
          <cell r="O25">
            <v>42.541359447115383</v>
          </cell>
          <cell r="P25">
            <v>43.404949043891826</v>
          </cell>
          <cell r="Q25">
            <v>44.286069509482829</v>
          </cell>
          <cell r="R25">
            <v>45.185076720525331</v>
          </cell>
          <cell r="S25">
            <v>46.102333777951991</v>
          </cell>
          <cell r="T25">
            <v>47.038211153644419</v>
          </cell>
          <cell r="U25">
            <v>47.993086840063398</v>
          </cell>
          <cell r="V25">
            <v>49.000941663704722</v>
          </cell>
          <cell r="W25">
            <v>4.75</v>
          </cell>
          <cell r="X25">
            <v>4.75</v>
          </cell>
          <cell r="Y25">
            <v>4.9874999999999998</v>
          </cell>
          <cell r="Z25">
            <v>5.2368750000000004</v>
          </cell>
          <cell r="AA25">
            <v>5.498718750000001</v>
          </cell>
          <cell r="AB25">
            <v>5.7736546875000014</v>
          </cell>
          <cell r="AC25">
            <v>6.0623374218750019</v>
          </cell>
          <cell r="AD25">
            <v>6.3654542929687521</v>
          </cell>
          <cell r="AE25">
            <v>6.6837270076171897</v>
          </cell>
          <cell r="AF25">
            <v>7.0179133579980499</v>
          </cell>
          <cell r="AG25">
            <v>7.3688090258979528</v>
          </cell>
          <cell r="AH25">
            <v>2.5000000000000001E-2</v>
          </cell>
          <cell r="AI25">
            <v>2.5000000000000001E-2</v>
          </cell>
          <cell r="AJ25">
            <v>2.5524999999999999E-2</v>
          </cell>
          <cell r="AK25">
            <v>2.6061024999999998E-2</v>
          </cell>
          <cell r="AL25">
            <v>2.6608306524999997E-2</v>
          </cell>
          <cell r="AM25">
            <v>2.7167080962024994E-2</v>
          </cell>
          <cell r="AN25">
            <v>2.7737589662227516E-2</v>
          </cell>
          <cell r="AO25">
            <v>2.832007904513429E-2</v>
          </cell>
          <cell r="AP25">
            <v>2.8914800705082108E-2</v>
          </cell>
          <cell r="AQ25">
            <v>2.9522011519888831E-2</v>
          </cell>
          <cell r="AR25">
            <v>3.0141973761806492E-2</v>
          </cell>
          <cell r="AS25">
            <v>2.7E-2</v>
          </cell>
          <cell r="AT25">
            <v>8000</v>
          </cell>
          <cell r="AU25">
            <v>216</v>
          </cell>
          <cell r="AV25">
            <v>1.52E-2</v>
          </cell>
          <cell r="AW25">
            <v>1.52E-2</v>
          </cell>
          <cell r="AX25">
            <v>1.5275999999999998E-2</v>
          </cell>
          <cell r="AY25">
            <v>1.5352379999999997E-2</v>
          </cell>
          <cell r="AZ25">
            <v>1.5429141899999995E-2</v>
          </cell>
          <cell r="BA25">
            <v>1.5506287609499993E-2</v>
          </cell>
          <cell r="BB25">
            <v>1.5583819047547491E-2</v>
          </cell>
          <cell r="BC25">
            <v>1.5661738142785226E-2</v>
          </cell>
          <cell r="BD25">
            <v>1.5740046833499152E-2</v>
          </cell>
          <cell r="BE25">
            <v>1.5740046833499152E-2</v>
          </cell>
          <cell r="BF25">
            <v>1.5740046833499152E-2</v>
          </cell>
          <cell r="BG25">
            <v>178.5</v>
          </cell>
          <cell r="BH25">
            <v>178.5</v>
          </cell>
          <cell r="BI25">
            <v>187.42500000000001</v>
          </cell>
          <cell r="BJ25">
            <v>196.79625000000001</v>
          </cell>
          <cell r="BK25">
            <v>206.63606250000004</v>
          </cell>
          <cell r="BL25">
            <v>216.96786562500006</v>
          </cell>
          <cell r="BM25">
            <v>227.81625890625008</v>
          </cell>
          <cell r="BN25">
            <v>239.2070718515626</v>
          </cell>
          <cell r="BO25">
            <v>251.16742544414075</v>
          </cell>
          <cell r="BP25">
            <v>263.72579671634782</v>
          </cell>
          <cell r="BQ25">
            <v>276.91208655216519</v>
          </cell>
          <cell r="BR25">
            <v>33.72</v>
          </cell>
          <cell r="BS25">
            <v>33.72</v>
          </cell>
          <cell r="BT25">
            <v>34.428119999999993</v>
          </cell>
          <cell r="BU25">
            <v>35.151110519999989</v>
          </cell>
          <cell r="BV25">
            <v>35.889283840919987</v>
          </cell>
          <cell r="BW25">
            <v>36.642958801579304</v>
          </cell>
          <cell r="BX25">
            <v>37.412460936412465</v>
          </cell>
          <cell r="BY25">
            <v>38.198122616077121</v>
          </cell>
          <cell r="BZ25">
            <v>39.000283191014738</v>
          </cell>
          <cell r="CA25">
            <v>39.819289138026043</v>
          </cell>
          <cell r="CB25">
            <v>40.655494209924584</v>
          </cell>
          <cell r="CC25">
            <v>87.55</v>
          </cell>
          <cell r="CD25">
            <v>87.55</v>
          </cell>
          <cell r="CE25">
            <v>91.927499999999995</v>
          </cell>
          <cell r="CF25">
            <v>96.523875000000004</v>
          </cell>
          <cell r="CG25">
            <v>101.35006875000001</v>
          </cell>
          <cell r="CH25">
            <v>106.41757218750001</v>
          </cell>
          <cell r="CI25">
            <v>111.73845079687501</v>
          </cell>
          <cell r="CJ25">
            <v>117.32537333671877</v>
          </cell>
          <cell r="CK25">
            <v>123.19164200355472</v>
          </cell>
          <cell r="CL25">
            <v>129.35122410373245</v>
          </cell>
          <cell r="CM25">
            <v>135.81878530891908</v>
          </cell>
          <cell r="CO25">
            <v>5.25</v>
          </cell>
          <cell r="CP25">
            <v>5.25</v>
          </cell>
          <cell r="CQ25">
            <v>5.5125000000000002</v>
          </cell>
          <cell r="CR25">
            <v>5.7881250000000009</v>
          </cell>
          <cell r="CS25">
            <v>6.0775312500000007</v>
          </cell>
          <cell r="CT25">
            <v>6.3814078125000009</v>
          </cell>
          <cell r="CU25">
            <v>6.7004782031250016</v>
          </cell>
          <cell r="CV25">
            <v>7.0355021132812521</v>
          </cell>
          <cell r="CW25">
            <v>7.3872772189453153</v>
          </cell>
          <cell r="CX25">
            <v>7.7566410798925816</v>
          </cell>
          <cell r="CY25">
            <v>8.1444731338872103</v>
          </cell>
          <cell r="CZ25">
            <v>1.52E-2</v>
          </cell>
          <cell r="DA25">
            <v>1.52E-2</v>
          </cell>
          <cell r="DB25">
            <v>1.5275999999999998E-2</v>
          </cell>
          <cell r="DC25">
            <v>1.5352379999999997E-2</v>
          </cell>
          <cell r="DD25">
            <v>1.5429141899999995E-2</v>
          </cell>
          <cell r="DE25">
            <v>1.5506287609499993E-2</v>
          </cell>
          <cell r="DF25">
            <v>1.5583819047547491E-2</v>
          </cell>
          <cell r="DG25">
            <v>1.5661738142785226E-2</v>
          </cell>
          <cell r="DH25">
            <v>1.5740046833499152E-2</v>
          </cell>
          <cell r="DI25">
            <v>1.5740046833499152E-2</v>
          </cell>
          <cell r="DJ25">
            <v>1.5740046833499152E-2</v>
          </cell>
        </row>
        <row r="26">
          <cell r="C26">
            <v>1025</v>
          </cell>
          <cell r="D26">
            <v>8810</v>
          </cell>
          <cell r="E26" t="str">
            <v>WHE Operation and Maintenance Manager</v>
          </cell>
          <cell r="G26" t="str">
            <v>Exempt</v>
          </cell>
          <cell r="H26" t="str">
            <v>salary.com</v>
          </cell>
          <cell r="I26">
            <v>85000</v>
          </cell>
          <cell r="J26">
            <v>40.865384615384613</v>
          </cell>
          <cell r="K26">
            <v>2.5000000000000001E-2</v>
          </cell>
          <cell r="L26">
            <v>40.865384615384613</v>
          </cell>
          <cell r="M26">
            <v>40.865384615384613</v>
          </cell>
          <cell r="N26">
            <v>41.694951923076921</v>
          </cell>
          <cell r="O26">
            <v>42.541359447115383</v>
          </cell>
          <cell r="P26">
            <v>43.404949043891826</v>
          </cell>
          <cell r="Q26">
            <v>44.286069509482829</v>
          </cell>
          <cell r="R26">
            <v>45.185076720525331</v>
          </cell>
          <cell r="S26">
            <v>46.102333777951991</v>
          </cell>
          <cell r="T26">
            <v>47.038211153644419</v>
          </cell>
          <cell r="U26">
            <v>47.993086840063398</v>
          </cell>
          <cell r="V26">
            <v>49.000941663704722</v>
          </cell>
          <cell r="W26">
            <v>4.75</v>
          </cell>
          <cell r="X26">
            <v>4.75</v>
          </cell>
          <cell r="Y26">
            <v>4.9874999999999998</v>
          </cell>
          <cell r="Z26">
            <v>5.2368750000000004</v>
          </cell>
          <cell r="AA26">
            <v>5.498718750000001</v>
          </cell>
          <cell r="AB26">
            <v>5.7736546875000014</v>
          </cell>
          <cell r="AC26">
            <v>6.0623374218750019</v>
          </cell>
          <cell r="AD26">
            <v>6.3654542929687521</v>
          </cell>
          <cell r="AE26">
            <v>6.6837270076171897</v>
          </cell>
          <cell r="AF26">
            <v>7.0179133579980499</v>
          </cell>
          <cell r="AG26">
            <v>7.3688090258979528</v>
          </cell>
          <cell r="AH26">
            <v>2.5000000000000001E-2</v>
          </cell>
          <cell r="AI26">
            <v>2.5000000000000001E-2</v>
          </cell>
          <cell r="AJ26">
            <v>2.5524999999999999E-2</v>
          </cell>
          <cell r="AK26">
            <v>2.6061024999999998E-2</v>
          </cell>
          <cell r="AL26">
            <v>2.6608306524999997E-2</v>
          </cell>
          <cell r="AM26">
            <v>2.7167080962024994E-2</v>
          </cell>
          <cell r="AN26">
            <v>2.7737589662227516E-2</v>
          </cell>
          <cell r="AO26">
            <v>2.832007904513429E-2</v>
          </cell>
          <cell r="AP26">
            <v>2.8914800705082108E-2</v>
          </cell>
          <cell r="AQ26">
            <v>2.9522011519888831E-2</v>
          </cell>
          <cell r="AR26">
            <v>3.0141973761806492E-2</v>
          </cell>
          <cell r="AS26">
            <v>2.7E-2</v>
          </cell>
          <cell r="AT26">
            <v>8000</v>
          </cell>
          <cell r="AU26">
            <v>216</v>
          </cell>
          <cell r="AV26">
            <v>1.52E-2</v>
          </cell>
          <cell r="AW26">
            <v>1.52E-2</v>
          </cell>
          <cell r="AX26">
            <v>1.5275999999999998E-2</v>
          </cell>
          <cell r="AY26">
            <v>1.5352379999999997E-2</v>
          </cell>
          <cell r="AZ26">
            <v>1.5429141899999995E-2</v>
          </cell>
          <cell r="BA26">
            <v>1.5506287609499993E-2</v>
          </cell>
          <cell r="BB26">
            <v>1.5583819047547491E-2</v>
          </cell>
          <cell r="BC26">
            <v>1.5661738142785226E-2</v>
          </cell>
          <cell r="BD26">
            <v>1.5740046833499152E-2</v>
          </cell>
          <cell r="BE26">
            <v>1.5740046833499152E-2</v>
          </cell>
          <cell r="BF26">
            <v>1.5740046833499152E-2</v>
          </cell>
          <cell r="BG26">
            <v>178.5</v>
          </cell>
          <cell r="BH26">
            <v>178.5</v>
          </cell>
          <cell r="BI26">
            <v>187.42500000000001</v>
          </cell>
          <cell r="BJ26">
            <v>196.79625000000001</v>
          </cell>
          <cell r="BK26">
            <v>206.63606250000004</v>
          </cell>
          <cell r="BL26">
            <v>216.96786562500006</v>
          </cell>
          <cell r="BM26">
            <v>227.81625890625008</v>
          </cell>
          <cell r="BN26">
            <v>239.2070718515626</v>
          </cell>
          <cell r="BO26">
            <v>251.16742544414075</v>
          </cell>
          <cell r="BP26">
            <v>263.72579671634782</v>
          </cell>
          <cell r="BQ26">
            <v>276.91208655216519</v>
          </cell>
          <cell r="BR26">
            <v>33.72</v>
          </cell>
          <cell r="BS26">
            <v>33.72</v>
          </cell>
          <cell r="BT26">
            <v>34.428119999999993</v>
          </cell>
          <cell r="BU26">
            <v>35.151110519999989</v>
          </cell>
          <cell r="BV26">
            <v>35.889283840919987</v>
          </cell>
          <cell r="BW26">
            <v>36.642958801579304</v>
          </cell>
          <cell r="BX26">
            <v>37.412460936412465</v>
          </cell>
          <cell r="BY26">
            <v>38.198122616077121</v>
          </cell>
          <cell r="BZ26">
            <v>39.000283191014738</v>
          </cell>
          <cell r="CA26">
            <v>39.819289138026043</v>
          </cell>
          <cell r="CB26">
            <v>40.655494209924584</v>
          </cell>
          <cell r="CC26">
            <v>87.55</v>
          </cell>
          <cell r="CD26">
            <v>87.55</v>
          </cell>
          <cell r="CE26">
            <v>91.927499999999995</v>
          </cell>
          <cell r="CF26">
            <v>96.523875000000004</v>
          </cell>
          <cell r="CG26">
            <v>101.35006875000001</v>
          </cell>
          <cell r="CH26">
            <v>106.41757218750001</v>
          </cell>
          <cell r="CI26">
            <v>111.73845079687501</v>
          </cell>
          <cell r="CJ26">
            <v>117.32537333671877</v>
          </cell>
          <cell r="CK26">
            <v>123.19164200355472</v>
          </cell>
          <cell r="CL26">
            <v>129.35122410373245</v>
          </cell>
          <cell r="CM26">
            <v>135.81878530891908</v>
          </cell>
          <cell r="CO26">
            <v>5.25</v>
          </cell>
          <cell r="CP26">
            <v>5.25</v>
          </cell>
          <cell r="CQ26">
            <v>5.5125000000000002</v>
          </cell>
          <cell r="CR26">
            <v>5.7881250000000009</v>
          </cell>
          <cell r="CS26">
            <v>6.0775312500000007</v>
          </cell>
          <cell r="CT26">
            <v>6.3814078125000009</v>
          </cell>
          <cell r="CU26">
            <v>6.7004782031250016</v>
          </cell>
          <cell r="CV26">
            <v>7.0355021132812521</v>
          </cell>
          <cell r="CW26">
            <v>7.3872772189453153</v>
          </cell>
          <cell r="CX26">
            <v>7.7566410798925816</v>
          </cell>
          <cell r="CY26">
            <v>8.1444731338872103</v>
          </cell>
          <cell r="CZ26">
            <v>1.52E-2</v>
          </cell>
          <cell r="DA26">
            <v>1.52E-2</v>
          </cell>
          <cell r="DB26">
            <v>1.5275999999999998E-2</v>
          </cell>
          <cell r="DC26">
            <v>1.5352379999999997E-2</v>
          </cell>
          <cell r="DD26">
            <v>1.5429141899999995E-2</v>
          </cell>
          <cell r="DE26">
            <v>1.5506287609499993E-2</v>
          </cell>
          <cell r="DF26">
            <v>1.5583819047547491E-2</v>
          </cell>
          <cell r="DG26">
            <v>1.5661738142785226E-2</v>
          </cell>
          <cell r="DH26">
            <v>1.5740046833499152E-2</v>
          </cell>
          <cell r="DI26">
            <v>1.5740046833499152E-2</v>
          </cell>
          <cell r="DJ26">
            <v>1.5740046833499152E-2</v>
          </cell>
        </row>
        <row r="27">
          <cell r="C27">
            <v>1030</v>
          </cell>
          <cell r="D27">
            <v>8810</v>
          </cell>
          <cell r="E27" t="str">
            <v>Fleet Readiness Center Southeast Supervisor</v>
          </cell>
          <cell r="G27" t="str">
            <v>Exempt</v>
          </cell>
          <cell r="H27" t="str">
            <v>salary.com</v>
          </cell>
          <cell r="I27">
            <v>85000</v>
          </cell>
          <cell r="J27">
            <v>40.865384615384613</v>
          </cell>
          <cell r="K27">
            <v>2.5000000000000001E-2</v>
          </cell>
          <cell r="L27">
            <v>40.865384615384613</v>
          </cell>
          <cell r="M27">
            <v>40.865384615384613</v>
          </cell>
          <cell r="N27">
            <v>41.694951923076921</v>
          </cell>
          <cell r="O27">
            <v>42.541359447115383</v>
          </cell>
          <cell r="P27">
            <v>43.404949043891826</v>
          </cell>
          <cell r="Q27">
            <v>44.286069509482829</v>
          </cell>
          <cell r="R27">
            <v>45.185076720525331</v>
          </cell>
          <cell r="S27">
            <v>46.102333777951991</v>
          </cell>
          <cell r="T27">
            <v>47.038211153644419</v>
          </cell>
          <cell r="U27">
            <v>47.993086840063398</v>
          </cell>
          <cell r="V27">
            <v>49.000941663704722</v>
          </cell>
          <cell r="W27">
            <v>4.75</v>
          </cell>
          <cell r="X27">
            <v>4.75</v>
          </cell>
          <cell r="Y27">
            <v>4.9874999999999998</v>
          </cell>
          <cell r="Z27">
            <v>5.2368750000000004</v>
          </cell>
          <cell r="AA27">
            <v>5.498718750000001</v>
          </cell>
          <cell r="AB27">
            <v>5.7736546875000014</v>
          </cell>
          <cell r="AC27">
            <v>6.0623374218750019</v>
          </cell>
          <cell r="AD27">
            <v>6.3654542929687521</v>
          </cell>
          <cell r="AE27">
            <v>6.6837270076171897</v>
          </cell>
          <cell r="AF27">
            <v>7.0179133579980499</v>
          </cell>
          <cell r="AG27">
            <v>7.3688090258979528</v>
          </cell>
          <cell r="AH27">
            <v>2.5000000000000001E-2</v>
          </cell>
          <cell r="AI27">
            <v>2.5000000000000001E-2</v>
          </cell>
          <cell r="AJ27">
            <v>2.5524999999999999E-2</v>
          </cell>
          <cell r="AK27">
            <v>2.6061024999999998E-2</v>
          </cell>
          <cell r="AL27">
            <v>2.6608306524999997E-2</v>
          </cell>
          <cell r="AM27">
            <v>2.7167080962024994E-2</v>
          </cell>
          <cell r="AN27">
            <v>2.7737589662227516E-2</v>
          </cell>
          <cell r="AO27">
            <v>2.832007904513429E-2</v>
          </cell>
          <cell r="AP27">
            <v>2.8914800705082108E-2</v>
          </cell>
          <cell r="AQ27">
            <v>2.9522011519888831E-2</v>
          </cell>
          <cell r="AR27">
            <v>3.0141973761806492E-2</v>
          </cell>
          <cell r="AS27">
            <v>2.7E-2</v>
          </cell>
          <cell r="AT27">
            <v>8000</v>
          </cell>
          <cell r="AU27">
            <v>216</v>
          </cell>
          <cell r="AV27">
            <v>1.52E-2</v>
          </cell>
          <cell r="AW27">
            <v>1.52E-2</v>
          </cell>
          <cell r="AX27">
            <v>1.5275999999999998E-2</v>
          </cell>
          <cell r="AY27">
            <v>1.5352379999999997E-2</v>
          </cell>
          <cell r="AZ27">
            <v>1.5429141899999995E-2</v>
          </cell>
          <cell r="BA27">
            <v>1.5506287609499993E-2</v>
          </cell>
          <cell r="BB27">
            <v>1.5583819047547491E-2</v>
          </cell>
          <cell r="BC27">
            <v>1.5661738142785226E-2</v>
          </cell>
          <cell r="BD27">
            <v>1.5740046833499152E-2</v>
          </cell>
          <cell r="BE27">
            <v>1.5740046833499152E-2</v>
          </cell>
          <cell r="BF27">
            <v>1.5740046833499152E-2</v>
          </cell>
          <cell r="BG27">
            <v>178.5</v>
          </cell>
          <cell r="BH27">
            <v>178.5</v>
          </cell>
          <cell r="BI27">
            <v>187.42500000000001</v>
          </cell>
          <cell r="BJ27">
            <v>196.79625000000001</v>
          </cell>
          <cell r="BK27">
            <v>206.63606250000004</v>
          </cell>
          <cell r="BL27">
            <v>216.96786562500006</v>
          </cell>
          <cell r="BM27">
            <v>227.81625890625008</v>
          </cell>
          <cell r="BN27">
            <v>239.2070718515626</v>
          </cell>
          <cell r="BO27">
            <v>251.16742544414075</v>
          </cell>
          <cell r="BP27">
            <v>263.72579671634782</v>
          </cell>
          <cell r="BQ27">
            <v>276.91208655216519</v>
          </cell>
          <cell r="BR27">
            <v>33.72</v>
          </cell>
          <cell r="BS27">
            <v>33.72</v>
          </cell>
          <cell r="BT27">
            <v>34.428119999999993</v>
          </cell>
          <cell r="BU27">
            <v>35.151110519999989</v>
          </cell>
          <cell r="BV27">
            <v>35.889283840919987</v>
          </cell>
          <cell r="BW27">
            <v>36.642958801579304</v>
          </cell>
          <cell r="BX27">
            <v>37.412460936412465</v>
          </cell>
          <cell r="BY27">
            <v>38.198122616077121</v>
          </cell>
          <cell r="BZ27">
            <v>39.000283191014738</v>
          </cell>
          <cell r="CA27">
            <v>39.819289138026043</v>
          </cell>
          <cell r="CB27">
            <v>40.655494209924584</v>
          </cell>
          <cell r="CC27">
            <v>87.55</v>
          </cell>
          <cell r="CD27">
            <v>87.55</v>
          </cell>
          <cell r="CE27">
            <v>91.927499999999995</v>
          </cell>
          <cell r="CF27">
            <v>96.523875000000004</v>
          </cell>
          <cell r="CG27">
            <v>101.35006875000001</v>
          </cell>
          <cell r="CH27">
            <v>106.41757218750001</v>
          </cell>
          <cell r="CI27">
            <v>111.73845079687501</v>
          </cell>
          <cell r="CJ27">
            <v>117.32537333671877</v>
          </cell>
          <cell r="CK27">
            <v>123.19164200355472</v>
          </cell>
          <cell r="CL27">
            <v>129.35122410373245</v>
          </cell>
          <cell r="CM27">
            <v>135.81878530891908</v>
          </cell>
          <cell r="CO27">
            <v>5.25</v>
          </cell>
          <cell r="CP27">
            <v>5.25</v>
          </cell>
          <cell r="CQ27">
            <v>5.5125000000000002</v>
          </cell>
          <cell r="CR27">
            <v>5.7881250000000009</v>
          </cell>
          <cell r="CS27">
            <v>6.0775312500000007</v>
          </cell>
          <cell r="CT27">
            <v>6.3814078125000009</v>
          </cell>
          <cell r="CU27">
            <v>6.7004782031250016</v>
          </cell>
          <cell r="CV27">
            <v>7.0355021132812521</v>
          </cell>
          <cell r="CW27">
            <v>7.3872772189453153</v>
          </cell>
          <cell r="CX27">
            <v>7.7566410798925816</v>
          </cell>
          <cell r="CY27">
            <v>8.1444731338872103</v>
          </cell>
          <cell r="CZ27">
            <v>1.52E-2</v>
          </cell>
          <cell r="DA27">
            <v>1.52E-2</v>
          </cell>
          <cell r="DB27">
            <v>1.5275999999999998E-2</v>
          </cell>
          <cell r="DC27">
            <v>1.5352379999999997E-2</v>
          </cell>
          <cell r="DD27">
            <v>1.5429141899999995E-2</v>
          </cell>
          <cell r="DE27">
            <v>1.5506287609499993E-2</v>
          </cell>
          <cell r="DF27">
            <v>1.5583819047547491E-2</v>
          </cell>
          <cell r="DG27">
            <v>1.5661738142785226E-2</v>
          </cell>
          <cell r="DH27">
            <v>1.5740046833499152E-2</v>
          </cell>
          <cell r="DI27">
            <v>1.5740046833499152E-2</v>
          </cell>
          <cell r="DJ27">
            <v>1.5740046833499152E-2</v>
          </cell>
        </row>
        <row r="28">
          <cell r="C28">
            <v>1035</v>
          </cell>
          <cell r="D28">
            <v>8810</v>
          </cell>
          <cell r="E28" t="str">
            <v>Utilities Supervisor</v>
          </cell>
          <cell r="G28" t="str">
            <v>Exempt</v>
          </cell>
          <cell r="H28" t="str">
            <v>salary.com</v>
          </cell>
          <cell r="I28">
            <v>107459</v>
          </cell>
          <cell r="J28">
            <v>51.662980769230771</v>
          </cell>
          <cell r="K28">
            <v>2.5000000000000001E-2</v>
          </cell>
          <cell r="L28">
            <v>51.662980769230771</v>
          </cell>
          <cell r="M28">
            <v>51.662980769230771</v>
          </cell>
          <cell r="N28">
            <v>52.711739278846153</v>
          </cell>
          <cell r="O28">
            <v>53.781787586206732</v>
          </cell>
          <cell r="P28">
            <v>54.873557874206732</v>
          </cell>
          <cell r="Q28">
            <v>55.98749109905313</v>
          </cell>
          <cell r="R28">
            <v>57.124037168363905</v>
          </cell>
          <cell r="S28">
            <v>58.28365512288169</v>
          </cell>
          <cell r="T28">
            <v>59.466813321876188</v>
          </cell>
          <cell r="U28">
            <v>60.673989632310274</v>
          </cell>
          <cell r="V28">
            <v>61.948143414588785</v>
          </cell>
          <cell r="W28">
            <v>4.75</v>
          </cell>
          <cell r="X28">
            <v>4.75</v>
          </cell>
          <cell r="Y28">
            <v>4.9874999999999998</v>
          </cell>
          <cell r="Z28">
            <v>5.2368750000000004</v>
          </cell>
          <cell r="AA28">
            <v>5.498718750000001</v>
          </cell>
          <cell r="AB28">
            <v>5.7736546875000014</v>
          </cell>
          <cell r="AC28">
            <v>6.0623374218750019</v>
          </cell>
          <cell r="AD28">
            <v>6.3654542929687521</v>
          </cell>
          <cell r="AE28">
            <v>6.6837270076171897</v>
          </cell>
          <cell r="AF28">
            <v>7.0179133579980499</v>
          </cell>
          <cell r="AG28">
            <v>7.3688090258979528</v>
          </cell>
          <cell r="AH28">
            <v>2.5000000000000001E-2</v>
          </cell>
          <cell r="AI28">
            <v>2.5000000000000001E-2</v>
          </cell>
          <cell r="AJ28">
            <v>2.5524999999999999E-2</v>
          </cell>
          <cell r="AK28">
            <v>2.6061024999999998E-2</v>
          </cell>
          <cell r="AL28">
            <v>2.6608306524999997E-2</v>
          </cell>
          <cell r="AM28">
            <v>2.7167080962024994E-2</v>
          </cell>
          <cell r="AN28">
            <v>2.7737589662227516E-2</v>
          </cell>
          <cell r="AO28">
            <v>2.832007904513429E-2</v>
          </cell>
          <cell r="AP28">
            <v>2.8914800705082108E-2</v>
          </cell>
          <cell r="AQ28">
            <v>2.9522011519888831E-2</v>
          </cell>
          <cell r="AR28">
            <v>3.0141973761806492E-2</v>
          </cell>
          <cell r="AS28">
            <v>2.7E-2</v>
          </cell>
          <cell r="AT28">
            <v>8000</v>
          </cell>
          <cell r="AU28">
            <v>216</v>
          </cell>
          <cell r="AV28">
            <v>1.52E-2</v>
          </cell>
          <cell r="AW28">
            <v>1.52E-2</v>
          </cell>
          <cell r="AX28">
            <v>1.5275999999999998E-2</v>
          </cell>
          <cell r="AY28">
            <v>1.5352379999999997E-2</v>
          </cell>
          <cell r="AZ28">
            <v>1.5429141899999995E-2</v>
          </cell>
          <cell r="BA28">
            <v>1.5506287609499993E-2</v>
          </cell>
          <cell r="BB28">
            <v>1.5583819047547491E-2</v>
          </cell>
          <cell r="BC28">
            <v>1.5661738142785226E-2</v>
          </cell>
          <cell r="BD28">
            <v>1.5740046833499152E-2</v>
          </cell>
          <cell r="BE28">
            <v>1.5740046833499152E-2</v>
          </cell>
          <cell r="BF28">
            <v>1.5740046833499152E-2</v>
          </cell>
          <cell r="BG28">
            <v>225.66389999999998</v>
          </cell>
          <cell r="BH28">
            <v>225.66389999999998</v>
          </cell>
          <cell r="BI28">
            <v>236.94709499999999</v>
          </cell>
          <cell r="BJ28">
            <v>248.79444975000001</v>
          </cell>
          <cell r="BK28">
            <v>261.23417223750005</v>
          </cell>
          <cell r="BL28">
            <v>274.29588084937507</v>
          </cell>
          <cell r="BM28">
            <v>288.01067489184385</v>
          </cell>
          <cell r="BN28">
            <v>302.41120863643607</v>
          </cell>
          <cell r="BO28">
            <v>317.53176906825792</v>
          </cell>
          <cell r="BP28">
            <v>333.40835752167084</v>
          </cell>
          <cell r="BQ28">
            <v>350.07877539775438</v>
          </cell>
          <cell r="BR28">
            <v>33.72</v>
          </cell>
          <cell r="BS28">
            <v>33.72</v>
          </cell>
          <cell r="BT28">
            <v>34.428119999999993</v>
          </cell>
          <cell r="BU28">
            <v>35.151110519999989</v>
          </cell>
          <cell r="BV28">
            <v>35.889283840919987</v>
          </cell>
          <cell r="BW28">
            <v>36.642958801579304</v>
          </cell>
          <cell r="BX28">
            <v>37.412460936412465</v>
          </cell>
          <cell r="BY28">
            <v>38.198122616077121</v>
          </cell>
          <cell r="BZ28">
            <v>39.000283191014738</v>
          </cell>
          <cell r="CA28">
            <v>39.819289138026043</v>
          </cell>
          <cell r="CB28">
            <v>40.655494209924584</v>
          </cell>
          <cell r="CC28">
            <v>110.68276999999999</v>
          </cell>
          <cell r="CD28">
            <v>110.68276999999999</v>
          </cell>
          <cell r="CE28">
            <v>116.21690849999999</v>
          </cell>
          <cell r="CF28">
            <v>122.027753925</v>
          </cell>
          <cell r="CG28">
            <v>128.12914162125</v>
          </cell>
          <cell r="CH28">
            <v>134.53559870231251</v>
          </cell>
          <cell r="CI28">
            <v>141.26237863742816</v>
          </cell>
          <cell r="CJ28">
            <v>148.32549756929956</v>
          </cell>
          <cell r="CK28">
            <v>155.74177244776453</v>
          </cell>
          <cell r="CL28">
            <v>163.52886107015277</v>
          </cell>
          <cell r="CM28">
            <v>171.70530412366043</v>
          </cell>
          <cell r="CO28">
            <v>5.25</v>
          </cell>
          <cell r="CP28">
            <v>5.25</v>
          </cell>
          <cell r="CQ28">
            <v>5.5125000000000002</v>
          </cell>
          <cell r="CR28">
            <v>5.7881250000000009</v>
          </cell>
          <cell r="CS28">
            <v>6.0775312500000007</v>
          </cell>
          <cell r="CT28">
            <v>6.3814078125000009</v>
          </cell>
          <cell r="CU28">
            <v>6.7004782031250016</v>
          </cell>
          <cell r="CV28">
            <v>7.0355021132812521</v>
          </cell>
          <cell r="CW28">
            <v>7.3872772189453153</v>
          </cell>
          <cell r="CX28">
            <v>7.7566410798925816</v>
          </cell>
          <cell r="CY28">
            <v>8.1444731338872103</v>
          </cell>
          <cell r="CZ28">
            <v>1.52E-2</v>
          </cell>
          <cell r="DA28">
            <v>1.52E-2</v>
          </cell>
          <cell r="DB28">
            <v>1.5275999999999998E-2</v>
          </cell>
          <cell r="DC28">
            <v>1.5352379999999997E-2</v>
          </cell>
          <cell r="DD28">
            <v>1.5429141899999995E-2</v>
          </cell>
          <cell r="DE28">
            <v>1.5506287609499993E-2</v>
          </cell>
          <cell r="DF28">
            <v>1.5583819047547491E-2</v>
          </cell>
          <cell r="DG28">
            <v>1.5661738142785226E-2</v>
          </cell>
          <cell r="DH28">
            <v>1.5740046833499152E-2</v>
          </cell>
          <cell r="DI28">
            <v>1.5740046833499152E-2</v>
          </cell>
          <cell r="DJ28">
            <v>1.5740046833499152E-2</v>
          </cell>
        </row>
        <row r="29">
          <cell r="C29">
            <v>1040</v>
          </cell>
          <cell r="D29">
            <v>8810</v>
          </cell>
          <cell r="E29" t="str">
            <v>QC Specialist, Electrical/Fire Alarm</v>
          </cell>
          <cell r="G29" t="str">
            <v>Exempt</v>
          </cell>
          <cell r="H29" t="str">
            <v>salary.com</v>
          </cell>
          <cell r="I29">
            <v>72281</v>
          </cell>
          <cell r="J29">
            <v>34.750480769230769</v>
          </cell>
          <cell r="K29">
            <v>2.5000000000000001E-2</v>
          </cell>
          <cell r="L29">
            <v>34.750480769230769</v>
          </cell>
          <cell r="M29">
            <v>34.750480769230769</v>
          </cell>
          <cell r="N29">
            <v>35.455915528846155</v>
          </cell>
          <cell r="O29">
            <v>36.175670614081731</v>
          </cell>
          <cell r="P29">
            <v>36.910036727547592</v>
          </cell>
          <cell r="Q29">
            <v>37.659310473116804</v>
          </cell>
          <cell r="R29">
            <v>38.423794475721074</v>
          </cell>
          <cell r="S29">
            <v>39.203797503578208</v>
          </cell>
          <cell r="T29">
            <v>39.999634592900847</v>
          </cell>
          <cell r="U29">
            <v>40.811627175136735</v>
          </cell>
          <cell r="V29">
            <v>41.668671345814602</v>
          </cell>
          <cell r="W29">
            <v>4.75</v>
          </cell>
          <cell r="X29">
            <v>4.75</v>
          </cell>
          <cell r="Y29">
            <v>4.9874999999999998</v>
          </cell>
          <cell r="Z29">
            <v>5.2368750000000004</v>
          </cell>
          <cell r="AA29">
            <v>5.498718750000001</v>
          </cell>
          <cell r="AB29">
            <v>5.7736546875000014</v>
          </cell>
          <cell r="AC29">
            <v>6.0623374218750019</v>
          </cell>
          <cell r="AD29">
            <v>6.3654542929687521</v>
          </cell>
          <cell r="AE29">
            <v>6.6837270076171897</v>
          </cell>
          <cell r="AF29">
            <v>7.0179133579980499</v>
          </cell>
          <cell r="AG29">
            <v>7.3688090258979528</v>
          </cell>
          <cell r="AH29">
            <v>2.5000000000000001E-2</v>
          </cell>
          <cell r="AI29">
            <v>2.5000000000000001E-2</v>
          </cell>
          <cell r="AJ29">
            <v>2.5524999999999999E-2</v>
          </cell>
          <cell r="AK29">
            <v>2.6061024999999998E-2</v>
          </cell>
          <cell r="AL29">
            <v>2.6608306524999997E-2</v>
          </cell>
          <cell r="AM29">
            <v>2.7167080962024994E-2</v>
          </cell>
          <cell r="AN29">
            <v>2.7737589662227516E-2</v>
          </cell>
          <cell r="AO29">
            <v>2.832007904513429E-2</v>
          </cell>
          <cell r="AP29">
            <v>2.8914800705082108E-2</v>
          </cell>
          <cell r="AQ29">
            <v>2.9522011519888831E-2</v>
          </cell>
          <cell r="AR29">
            <v>3.0141973761806492E-2</v>
          </cell>
          <cell r="AS29">
            <v>2.7E-2</v>
          </cell>
          <cell r="AT29">
            <v>8000</v>
          </cell>
          <cell r="AU29">
            <v>216</v>
          </cell>
          <cell r="AV29">
            <v>1.52E-2</v>
          </cell>
          <cell r="AW29">
            <v>1.52E-2</v>
          </cell>
          <cell r="AX29">
            <v>1.5275999999999998E-2</v>
          </cell>
          <cell r="AY29">
            <v>1.5352379999999997E-2</v>
          </cell>
          <cell r="AZ29">
            <v>1.5429141899999995E-2</v>
          </cell>
          <cell r="BA29">
            <v>1.5506287609499993E-2</v>
          </cell>
          <cell r="BB29">
            <v>1.5583819047547491E-2</v>
          </cell>
          <cell r="BC29">
            <v>1.5661738142785226E-2</v>
          </cell>
          <cell r="BD29">
            <v>1.5740046833499152E-2</v>
          </cell>
          <cell r="BE29">
            <v>1.5740046833499152E-2</v>
          </cell>
          <cell r="BF29">
            <v>1.5740046833499152E-2</v>
          </cell>
          <cell r="BG29">
            <v>151.7901</v>
          </cell>
          <cell r="BH29">
            <v>151.7901</v>
          </cell>
          <cell r="BI29">
            <v>159.379605</v>
          </cell>
          <cell r="BJ29">
            <v>167.34858525000001</v>
          </cell>
          <cell r="BK29">
            <v>175.71601451250001</v>
          </cell>
          <cell r="BL29">
            <v>184.501815238125</v>
          </cell>
          <cell r="BM29">
            <v>193.72690600003125</v>
          </cell>
          <cell r="BN29">
            <v>203.41325130003281</v>
          </cell>
          <cell r="BO29">
            <v>213.58391386503448</v>
          </cell>
          <cell r="BP29">
            <v>224.2631095582862</v>
          </cell>
          <cell r="BQ29">
            <v>235.47626503620052</v>
          </cell>
          <cell r="BR29">
            <v>33.72</v>
          </cell>
          <cell r="BS29">
            <v>33.72</v>
          </cell>
          <cell r="BT29">
            <v>34.428119999999993</v>
          </cell>
          <cell r="BU29">
            <v>35.151110519999989</v>
          </cell>
          <cell r="BV29">
            <v>35.889283840919987</v>
          </cell>
          <cell r="BW29">
            <v>36.642958801579304</v>
          </cell>
          <cell r="BX29">
            <v>37.412460936412465</v>
          </cell>
          <cell r="BY29">
            <v>38.198122616077121</v>
          </cell>
          <cell r="BZ29">
            <v>39.000283191014738</v>
          </cell>
          <cell r="CA29">
            <v>39.819289138026043</v>
          </cell>
          <cell r="CB29">
            <v>40.655494209924584</v>
          </cell>
          <cell r="CC29">
            <v>74.449429999999992</v>
          </cell>
          <cell r="CD29">
            <v>74.449429999999992</v>
          </cell>
          <cell r="CE29">
            <v>78.17190149999999</v>
          </cell>
          <cell r="CF29">
            <v>82.080496574999998</v>
          </cell>
          <cell r="CG29">
            <v>86.184521403749997</v>
          </cell>
          <cell r="CH29">
            <v>90.493747473937503</v>
          </cell>
          <cell r="CI29">
            <v>95.018434847634381</v>
          </cell>
          <cell r="CJ29">
            <v>99.769356590016102</v>
          </cell>
          <cell r="CK29">
            <v>104.75782441951691</v>
          </cell>
          <cell r="CL29">
            <v>109.99571564049276</v>
          </cell>
          <cell r="CM29">
            <v>115.49550142251741</v>
          </cell>
          <cell r="CO29">
            <v>5.25</v>
          </cell>
          <cell r="CP29">
            <v>5.25</v>
          </cell>
          <cell r="CQ29">
            <v>5.5125000000000002</v>
          </cell>
          <cell r="CR29">
            <v>5.7881250000000009</v>
          </cell>
          <cell r="CS29">
            <v>6.0775312500000007</v>
          </cell>
          <cell r="CT29">
            <v>6.3814078125000009</v>
          </cell>
          <cell r="CU29">
            <v>6.7004782031250016</v>
          </cell>
          <cell r="CV29">
            <v>7.0355021132812521</v>
          </cell>
          <cell r="CW29">
            <v>7.3872772189453153</v>
          </cell>
          <cell r="CX29">
            <v>7.7566410798925816</v>
          </cell>
          <cell r="CY29">
            <v>8.1444731338872103</v>
          </cell>
          <cell r="CZ29">
            <v>1.52E-2</v>
          </cell>
          <cell r="DA29">
            <v>1.52E-2</v>
          </cell>
          <cell r="DB29">
            <v>1.5275999999999998E-2</v>
          </cell>
          <cell r="DC29">
            <v>1.5352379999999997E-2</v>
          </cell>
          <cell r="DD29">
            <v>1.5429141899999995E-2</v>
          </cell>
          <cell r="DE29">
            <v>1.5506287609499993E-2</v>
          </cell>
          <cell r="DF29">
            <v>1.5583819047547491E-2</v>
          </cell>
          <cell r="DG29">
            <v>1.5661738142785226E-2</v>
          </cell>
          <cell r="DH29">
            <v>1.5740046833499152E-2</v>
          </cell>
          <cell r="DI29">
            <v>1.5740046833499152E-2</v>
          </cell>
          <cell r="DJ29">
            <v>1.5740046833499152E-2</v>
          </cell>
        </row>
        <row r="30">
          <cell r="C30">
            <v>1045</v>
          </cell>
          <cell r="D30">
            <v>8810</v>
          </cell>
          <cell r="E30" t="str">
            <v>QC Specialist, Facilities Maintenance</v>
          </cell>
          <cell r="G30" t="str">
            <v>Exempt</v>
          </cell>
          <cell r="H30" t="str">
            <v>salary.com</v>
          </cell>
          <cell r="I30">
            <v>72281</v>
          </cell>
          <cell r="J30">
            <v>34.750480769230769</v>
          </cell>
          <cell r="K30">
            <v>2.5000000000000001E-2</v>
          </cell>
          <cell r="L30">
            <v>34.750480769230769</v>
          </cell>
          <cell r="M30">
            <v>34.750480769230769</v>
          </cell>
          <cell r="N30">
            <v>35.455915528846155</v>
          </cell>
          <cell r="O30">
            <v>36.175670614081731</v>
          </cell>
          <cell r="P30">
            <v>36.910036727547592</v>
          </cell>
          <cell r="Q30">
            <v>37.659310473116804</v>
          </cell>
          <cell r="R30">
            <v>38.423794475721074</v>
          </cell>
          <cell r="S30">
            <v>39.203797503578208</v>
          </cell>
          <cell r="T30">
            <v>39.999634592900847</v>
          </cell>
          <cell r="U30">
            <v>40.811627175136735</v>
          </cell>
          <cell r="V30">
            <v>41.668671345814602</v>
          </cell>
          <cell r="W30">
            <v>4.75</v>
          </cell>
          <cell r="X30">
            <v>4.75</v>
          </cell>
          <cell r="Y30">
            <v>4.9874999999999998</v>
          </cell>
          <cell r="Z30">
            <v>5.2368750000000004</v>
          </cell>
          <cell r="AA30">
            <v>5.498718750000001</v>
          </cell>
          <cell r="AB30">
            <v>5.7736546875000014</v>
          </cell>
          <cell r="AC30">
            <v>6.0623374218750019</v>
          </cell>
          <cell r="AD30">
            <v>6.3654542929687521</v>
          </cell>
          <cell r="AE30">
            <v>6.6837270076171897</v>
          </cell>
          <cell r="AF30">
            <v>7.0179133579980499</v>
          </cell>
          <cell r="AG30">
            <v>7.3688090258979528</v>
          </cell>
          <cell r="AH30">
            <v>2.5000000000000001E-2</v>
          </cell>
          <cell r="AI30">
            <v>2.5000000000000001E-2</v>
          </cell>
          <cell r="AJ30">
            <v>2.5524999999999999E-2</v>
          </cell>
          <cell r="AK30">
            <v>2.6061024999999998E-2</v>
          </cell>
          <cell r="AL30">
            <v>2.6608306524999997E-2</v>
          </cell>
          <cell r="AM30">
            <v>2.7167080962024994E-2</v>
          </cell>
          <cell r="AN30">
            <v>2.7737589662227516E-2</v>
          </cell>
          <cell r="AO30">
            <v>2.832007904513429E-2</v>
          </cell>
          <cell r="AP30">
            <v>2.8914800705082108E-2</v>
          </cell>
          <cell r="AQ30">
            <v>2.9522011519888831E-2</v>
          </cell>
          <cell r="AR30">
            <v>3.0141973761806492E-2</v>
          </cell>
          <cell r="AS30">
            <v>2.7E-2</v>
          </cell>
          <cell r="AT30">
            <v>8000</v>
          </cell>
          <cell r="AU30">
            <v>216</v>
          </cell>
          <cell r="AV30">
            <v>1.52E-2</v>
          </cell>
          <cell r="AW30">
            <v>1.52E-2</v>
          </cell>
          <cell r="AX30">
            <v>1.5275999999999998E-2</v>
          </cell>
          <cell r="AY30">
            <v>1.5352379999999997E-2</v>
          </cell>
          <cell r="AZ30">
            <v>1.5429141899999995E-2</v>
          </cell>
          <cell r="BA30">
            <v>1.5506287609499993E-2</v>
          </cell>
          <cell r="BB30">
            <v>1.5583819047547491E-2</v>
          </cell>
          <cell r="BC30">
            <v>1.5661738142785226E-2</v>
          </cell>
          <cell r="BD30">
            <v>1.5740046833499152E-2</v>
          </cell>
          <cell r="BE30">
            <v>1.5740046833499152E-2</v>
          </cell>
          <cell r="BF30">
            <v>1.5740046833499152E-2</v>
          </cell>
          <cell r="BG30">
            <v>151.7901</v>
          </cell>
          <cell r="BH30">
            <v>151.7901</v>
          </cell>
          <cell r="BI30">
            <v>159.379605</v>
          </cell>
          <cell r="BJ30">
            <v>167.34858525000001</v>
          </cell>
          <cell r="BK30">
            <v>175.71601451250001</v>
          </cell>
          <cell r="BL30">
            <v>184.501815238125</v>
          </cell>
          <cell r="BM30">
            <v>193.72690600003125</v>
          </cell>
          <cell r="BN30">
            <v>203.41325130003281</v>
          </cell>
          <cell r="BO30">
            <v>213.58391386503448</v>
          </cell>
          <cell r="BP30">
            <v>224.2631095582862</v>
          </cell>
          <cell r="BQ30">
            <v>235.47626503620052</v>
          </cell>
          <cell r="BR30">
            <v>33.72</v>
          </cell>
          <cell r="BS30">
            <v>33.72</v>
          </cell>
          <cell r="BT30">
            <v>34.428119999999993</v>
          </cell>
          <cell r="BU30">
            <v>35.151110519999989</v>
          </cell>
          <cell r="BV30">
            <v>35.889283840919987</v>
          </cell>
          <cell r="BW30">
            <v>36.642958801579304</v>
          </cell>
          <cell r="BX30">
            <v>37.412460936412465</v>
          </cell>
          <cell r="BY30">
            <v>38.198122616077121</v>
          </cell>
          <cell r="BZ30">
            <v>39.000283191014738</v>
          </cell>
          <cell r="CA30">
            <v>39.819289138026043</v>
          </cell>
          <cell r="CB30">
            <v>40.655494209924584</v>
          </cell>
          <cell r="CC30">
            <v>74.449429999999992</v>
          </cell>
          <cell r="CD30">
            <v>74.449429999999992</v>
          </cell>
          <cell r="CE30">
            <v>78.17190149999999</v>
          </cell>
          <cell r="CF30">
            <v>82.080496574999998</v>
          </cell>
          <cell r="CG30">
            <v>86.184521403749997</v>
          </cell>
          <cell r="CH30">
            <v>90.493747473937503</v>
          </cell>
          <cell r="CI30">
            <v>95.018434847634381</v>
          </cell>
          <cell r="CJ30">
            <v>99.769356590016102</v>
          </cell>
          <cell r="CK30">
            <v>104.75782441951691</v>
          </cell>
          <cell r="CL30">
            <v>109.99571564049276</v>
          </cell>
          <cell r="CM30">
            <v>115.49550142251741</v>
          </cell>
          <cell r="CO30">
            <v>5.25</v>
          </cell>
          <cell r="CP30">
            <v>5.25</v>
          </cell>
          <cell r="CQ30">
            <v>5.5125000000000002</v>
          </cell>
          <cell r="CR30">
            <v>5.7881250000000009</v>
          </cell>
          <cell r="CS30">
            <v>6.0775312500000007</v>
          </cell>
          <cell r="CT30">
            <v>6.3814078125000009</v>
          </cell>
          <cell r="CU30">
            <v>6.7004782031250016</v>
          </cell>
          <cell r="CV30">
            <v>7.0355021132812521</v>
          </cell>
          <cell r="CW30">
            <v>7.3872772189453153</v>
          </cell>
          <cell r="CX30">
            <v>7.7566410798925816</v>
          </cell>
          <cell r="CY30">
            <v>8.1444731338872103</v>
          </cell>
          <cell r="CZ30">
            <v>1.52E-2</v>
          </cell>
          <cell r="DA30">
            <v>1.52E-2</v>
          </cell>
          <cell r="DB30">
            <v>1.5275999999999998E-2</v>
          </cell>
          <cell r="DC30">
            <v>1.5352379999999997E-2</v>
          </cell>
          <cell r="DD30">
            <v>1.5429141899999995E-2</v>
          </cell>
          <cell r="DE30">
            <v>1.5506287609499993E-2</v>
          </cell>
          <cell r="DF30">
            <v>1.5583819047547491E-2</v>
          </cell>
          <cell r="DG30">
            <v>1.5661738142785226E-2</v>
          </cell>
          <cell r="DH30">
            <v>1.5740046833499152E-2</v>
          </cell>
          <cell r="DI30">
            <v>1.5740046833499152E-2</v>
          </cell>
          <cell r="DJ30">
            <v>1.5740046833499152E-2</v>
          </cell>
        </row>
        <row r="31">
          <cell r="C31">
            <v>1050</v>
          </cell>
          <cell r="D31">
            <v>8810</v>
          </cell>
          <cell r="E31" t="str">
            <v>Business Manager</v>
          </cell>
          <cell r="G31" t="str">
            <v>Exempt</v>
          </cell>
          <cell r="H31" t="str">
            <v>salary.com</v>
          </cell>
          <cell r="I31">
            <v>0</v>
          </cell>
          <cell r="J31">
            <v>0</v>
          </cell>
          <cell r="K31">
            <v>2.5000000000000001E-2</v>
          </cell>
          <cell r="L31">
            <v>0</v>
          </cell>
          <cell r="M31">
            <v>0</v>
          </cell>
          <cell r="N31">
            <v>0</v>
          </cell>
          <cell r="O31">
            <v>0</v>
          </cell>
          <cell r="P31">
            <v>0</v>
          </cell>
          <cell r="Q31">
            <v>0</v>
          </cell>
          <cell r="R31">
            <v>0</v>
          </cell>
          <cell r="S31">
            <v>0</v>
          </cell>
          <cell r="T31">
            <v>0</v>
          </cell>
          <cell r="U31">
            <v>0</v>
          </cell>
          <cell r="V31">
            <v>0</v>
          </cell>
          <cell r="W31">
            <v>4.75</v>
          </cell>
          <cell r="X31">
            <v>4.75</v>
          </cell>
          <cell r="Y31">
            <v>4.9874999999999998</v>
          </cell>
          <cell r="Z31">
            <v>5.2368750000000004</v>
          </cell>
          <cell r="AA31">
            <v>5.498718750000001</v>
          </cell>
          <cell r="AB31">
            <v>5.7736546875000014</v>
          </cell>
          <cell r="AC31">
            <v>6.0623374218750019</v>
          </cell>
          <cell r="AD31">
            <v>6.3654542929687521</v>
          </cell>
          <cell r="AE31">
            <v>6.6837270076171897</v>
          </cell>
          <cell r="AF31">
            <v>7.0179133579980499</v>
          </cell>
          <cell r="AG31">
            <v>7.3688090258979528</v>
          </cell>
          <cell r="AH31">
            <v>2.5000000000000001E-2</v>
          </cell>
          <cell r="AI31">
            <v>2.5000000000000001E-2</v>
          </cell>
          <cell r="AJ31">
            <v>2.5524999999999999E-2</v>
          </cell>
          <cell r="AK31">
            <v>2.6061024999999998E-2</v>
          </cell>
          <cell r="AL31">
            <v>2.6608306524999997E-2</v>
          </cell>
          <cell r="AM31">
            <v>2.7167080962024994E-2</v>
          </cell>
          <cell r="AN31">
            <v>2.7737589662227516E-2</v>
          </cell>
          <cell r="AO31">
            <v>2.832007904513429E-2</v>
          </cell>
          <cell r="AP31">
            <v>2.8914800705082108E-2</v>
          </cell>
          <cell r="AQ31">
            <v>2.9522011519888831E-2</v>
          </cell>
          <cell r="AR31">
            <v>3.0141973761806492E-2</v>
          </cell>
          <cell r="AS31">
            <v>2.7E-2</v>
          </cell>
          <cell r="AT31">
            <v>8000</v>
          </cell>
          <cell r="AU31">
            <v>216</v>
          </cell>
          <cell r="AV31">
            <v>1.52E-2</v>
          </cell>
          <cell r="AW31">
            <v>1.52E-2</v>
          </cell>
          <cell r="AX31">
            <v>1.5275999999999998E-2</v>
          </cell>
          <cell r="AY31">
            <v>1.5352379999999997E-2</v>
          </cell>
          <cell r="AZ31">
            <v>1.5429141899999995E-2</v>
          </cell>
          <cell r="BA31">
            <v>1.5506287609499993E-2</v>
          </cell>
          <cell r="BB31">
            <v>1.5583819047547491E-2</v>
          </cell>
          <cell r="BC31">
            <v>1.5661738142785226E-2</v>
          </cell>
          <cell r="BD31">
            <v>1.5740046833499152E-2</v>
          </cell>
          <cell r="BE31">
            <v>1.5740046833499152E-2</v>
          </cell>
          <cell r="BF31">
            <v>1.5740046833499152E-2</v>
          </cell>
          <cell r="BG31">
            <v>0</v>
          </cell>
          <cell r="BH31">
            <v>0</v>
          </cell>
          <cell r="BI31">
            <v>0</v>
          </cell>
          <cell r="BJ31">
            <v>0</v>
          </cell>
          <cell r="BK31">
            <v>0</v>
          </cell>
          <cell r="BL31">
            <v>0</v>
          </cell>
          <cell r="BM31">
            <v>0</v>
          </cell>
          <cell r="BN31">
            <v>0</v>
          </cell>
          <cell r="BO31">
            <v>0</v>
          </cell>
          <cell r="BP31">
            <v>0</v>
          </cell>
          <cell r="BQ31">
            <v>0</v>
          </cell>
          <cell r="BR31">
            <v>33.72</v>
          </cell>
          <cell r="BS31">
            <v>33.72</v>
          </cell>
          <cell r="BT31">
            <v>34.428119999999993</v>
          </cell>
          <cell r="BU31">
            <v>35.151110519999989</v>
          </cell>
          <cell r="BV31">
            <v>35.889283840919987</v>
          </cell>
          <cell r="BW31">
            <v>36.642958801579304</v>
          </cell>
          <cell r="BX31">
            <v>37.412460936412465</v>
          </cell>
          <cell r="BY31">
            <v>38.198122616077121</v>
          </cell>
          <cell r="BZ31">
            <v>39.000283191014738</v>
          </cell>
          <cell r="CA31">
            <v>39.819289138026043</v>
          </cell>
          <cell r="CB31">
            <v>40.655494209924584</v>
          </cell>
          <cell r="CC31">
            <v>0</v>
          </cell>
          <cell r="CD31">
            <v>0</v>
          </cell>
          <cell r="CE31">
            <v>0</v>
          </cell>
          <cell r="CF31">
            <v>0</v>
          </cell>
          <cell r="CG31">
            <v>0</v>
          </cell>
          <cell r="CH31">
            <v>0</v>
          </cell>
          <cell r="CI31">
            <v>0</v>
          </cell>
          <cell r="CJ31">
            <v>0</v>
          </cell>
          <cell r="CK31">
            <v>0</v>
          </cell>
          <cell r="CL31">
            <v>0</v>
          </cell>
          <cell r="CM31">
            <v>0</v>
          </cell>
          <cell r="CO31">
            <v>5.25</v>
          </cell>
          <cell r="CP31">
            <v>5.25</v>
          </cell>
          <cell r="CQ31">
            <v>5.5125000000000002</v>
          </cell>
          <cell r="CR31">
            <v>5.7881250000000009</v>
          </cell>
          <cell r="CS31">
            <v>6.0775312500000007</v>
          </cell>
          <cell r="CT31">
            <v>6.3814078125000009</v>
          </cell>
          <cell r="CU31">
            <v>6.7004782031250016</v>
          </cell>
          <cell r="CV31">
            <v>7.0355021132812521</v>
          </cell>
          <cell r="CW31">
            <v>7.3872772189453153</v>
          </cell>
          <cell r="CX31">
            <v>7.7566410798925816</v>
          </cell>
          <cell r="CY31">
            <v>8.1444731338872103</v>
          </cell>
          <cell r="CZ31">
            <v>1.52E-2</v>
          </cell>
          <cell r="DA31">
            <v>1.52E-2</v>
          </cell>
          <cell r="DB31">
            <v>1.5275999999999998E-2</v>
          </cell>
          <cell r="DC31">
            <v>1.5352379999999997E-2</v>
          </cell>
          <cell r="DD31">
            <v>1.5429141899999995E-2</v>
          </cell>
          <cell r="DE31">
            <v>1.5506287609499993E-2</v>
          </cell>
          <cell r="DF31">
            <v>1.5583819047547491E-2</v>
          </cell>
          <cell r="DG31">
            <v>1.5661738142785226E-2</v>
          </cell>
          <cell r="DH31">
            <v>1.5740046833499152E-2</v>
          </cell>
          <cell r="DI31">
            <v>1.5740046833499152E-2</v>
          </cell>
          <cell r="DJ31">
            <v>1.5740046833499152E-2</v>
          </cell>
        </row>
        <row r="32">
          <cell r="C32">
            <v>1055</v>
          </cell>
          <cell r="D32">
            <v>8810</v>
          </cell>
          <cell r="E32" t="str">
            <v>Project Estimator</v>
          </cell>
          <cell r="G32" t="str">
            <v>Exempt</v>
          </cell>
          <cell r="H32" t="str">
            <v>salary.com</v>
          </cell>
          <cell r="I32">
            <v>89250</v>
          </cell>
          <cell r="J32">
            <v>42.908653846153847</v>
          </cell>
          <cell r="K32">
            <v>2.5000000000000001E-2</v>
          </cell>
          <cell r="L32">
            <v>42.908653846153847</v>
          </cell>
          <cell r="M32">
            <v>42.908653846153847</v>
          </cell>
          <cell r="N32">
            <v>43.779699519230768</v>
          </cell>
          <cell r="O32">
            <v>44.668427419471151</v>
          </cell>
          <cell r="P32">
            <v>45.575196496086413</v>
          </cell>
          <cell r="Q32">
            <v>46.500372984956968</v>
          </cell>
          <cell r="R32">
            <v>47.444330556551591</v>
          </cell>
          <cell r="S32">
            <v>48.407450466849589</v>
          </cell>
          <cell r="T32">
            <v>49.390121711326636</v>
          </cell>
          <cell r="U32">
            <v>50.392741182066565</v>
          </cell>
          <cell r="V32">
            <v>51.450988746889962</v>
          </cell>
          <cell r="W32">
            <v>4.75</v>
          </cell>
          <cell r="X32">
            <v>4.75</v>
          </cell>
          <cell r="Y32">
            <v>4.9874999999999998</v>
          </cell>
          <cell r="Z32">
            <v>5.2368750000000004</v>
          </cell>
          <cell r="AA32">
            <v>5.498718750000001</v>
          </cell>
          <cell r="AB32">
            <v>5.7736546875000014</v>
          </cell>
          <cell r="AC32">
            <v>6.0623374218750019</v>
          </cell>
          <cell r="AD32">
            <v>6.3654542929687521</v>
          </cell>
          <cell r="AE32">
            <v>6.6837270076171897</v>
          </cell>
          <cell r="AF32">
            <v>7.0179133579980499</v>
          </cell>
          <cell r="AG32">
            <v>7.3688090258979528</v>
          </cell>
          <cell r="AH32">
            <v>2.5000000000000001E-2</v>
          </cell>
          <cell r="AI32">
            <v>2.5000000000000001E-2</v>
          </cell>
          <cell r="AJ32">
            <v>2.5524999999999999E-2</v>
          </cell>
          <cell r="AK32">
            <v>2.6061024999999998E-2</v>
          </cell>
          <cell r="AL32">
            <v>2.6608306524999997E-2</v>
          </cell>
          <cell r="AM32">
            <v>2.7167080962024994E-2</v>
          </cell>
          <cell r="AN32">
            <v>2.7737589662227516E-2</v>
          </cell>
          <cell r="AO32">
            <v>2.832007904513429E-2</v>
          </cell>
          <cell r="AP32">
            <v>2.8914800705082108E-2</v>
          </cell>
          <cell r="AQ32">
            <v>2.9522011519888831E-2</v>
          </cell>
          <cell r="AR32">
            <v>3.0141973761806492E-2</v>
          </cell>
          <cell r="AS32">
            <v>2.7E-2</v>
          </cell>
          <cell r="AT32">
            <v>8000</v>
          </cell>
          <cell r="AU32">
            <v>216</v>
          </cell>
          <cell r="AV32">
            <v>1.52E-2</v>
          </cell>
          <cell r="AW32">
            <v>1.52E-2</v>
          </cell>
          <cell r="AX32">
            <v>1.5275999999999998E-2</v>
          </cell>
          <cell r="AY32">
            <v>1.5352379999999997E-2</v>
          </cell>
          <cell r="AZ32">
            <v>1.5429141899999995E-2</v>
          </cell>
          <cell r="BA32">
            <v>1.5506287609499993E-2</v>
          </cell>
          <cell r="BB32">
            <v>1.5583819047547491E-2</v>
          </cell>
          <cell r="BC32">
            <v>1.5661738142785226E-2</v>
          </cell>
          <cell r="BD32">
            <v>1.5740046833499152E-2</v>
          </cell>
          <cell r="BE32">
            <v>1.5740046833499152E-2</v>
          </cell>
          <cell r="BF32">
            <v>1.5740046833499152E-2</v>
          </cell>
          <cell r="BG32">
            <v>187.42499999999998</v>
          </cell>
          <cell r="BH32">
            <v>187.42499999999998</v>
          </cell>
          <cell r="BI32">
            <v>196.79624999999999</v>
          </cell>
          <cell r="BJ32">
            <v>206.63606250000001</v>
          </cell>
          <cell r="BK32">
            <v>216.96786562500003</v>
          </cell>
          <cell r="BL32">
            <v>227.81625890625003</v>
          </cell>
          <cell r="BM32">
            <v>239.20707185156255</v>
          </cell>
          <cell r="BN32">
            <v>251.16742544414069</v>
          </cell>
          <cell r="BO32">
            <v>263.72579671634776</v>
          </cell>
          <cell r="BP32">
            <v>276.91208655216514</v>
          </cell>
          <cell r="BQ32">
            <v>290.75769087977341</v>
          </cell>
          <cell r="BR32">
            <v>33.72</v>
          </cell>
          <cell r="BS32">
            <v>33.72</v>
          </cell>
          <cell r="BT32">
            <v>34.428119999999993</v>
          </cell>
          <cell r="BU32">
            <v>35.151110519999989</v>
          </cell>
          <cell r="BV32">
            <v>35.889283840919987</v>
          </cell>
          <cell r="BW32">
            <v>36.642958801579304</v>
          </cell>
          <cell r="BX32">
            <v>37.412460936412465</v>
          </cell>
          <cell r="BY32">
            <v>38.198122616077121</v>
          </cell>
          <cell r="BZ32">
            <v>39.000283191014738</v>
          </cell>
          <cell r="CA32">
            <v>39.819289138026043</v>
          </cell>
          <cell r="CB32">
            <v>40.655494209924584</v>
          </cell>
          <cell r="CC32">
            <v>91.927499999999995</v>
          </cell>
          <cell r="CD32">
            <v>91.927499999999995</v>
          </cell>
          <cell r="CE32">
            <v>96.523875000000004</v>
          </cell>
          <cell r="CF32">
            <v>101.35006875000001</v>
          </cell>
          <cell r="CG32">
            <v>106.41757218750001</v>
          </cell>
          <cell r="CH32">
            <v>111.73845079687501</v>
          </cell>
          <cell r="CI32">
            <v>117.32537333671877</v>
          </cell>
          <cell r="CJ32">
            <v>123.19164200355472</v>
          </cell>
          <cell r="CK32">
            <v>129.35122410373245</v>
          </cell>
          <cell r="CL32">
            <v>135.81878530891908</v>
          </cell>
          <cell r="CM32">
            <v>142.60972457436503</v>
          </cell>
          <cell r="CO32">
            <v>5.25</v>
          </cell>
          <cell r="CP32">
            <v>5.25</v>
          </cell>
          <cell r="CQ32">
            <v>5.5125000000000002</v>
          </cell>
          <cell r="CR32">
            <v>5.7881250000000009</v>
          </cell>
          <cell r="CS32">
            <v>6.0775312500000007</v>
          </cell>
          <cell r="CT32">
            <v>6.3814078125000009</v>
          </cell>
          <cell r="CU32">
            <v>6.7004782031250016</v>
          </cell>
          <cell r="CV32">
            <v>7.0355021132812521</v>
          </cell>
          <cell r="CW32">
            <v>7.3872772189453153</v>
          </cell>
          <cell r="CX32">
            <v>7.7566410798925816</v>
          </cell>
          <cell r="CY32">
            <v>8.1444731338872103</v>
          </cell>
          <cell r="CZ32">
            <v>1.52E-2</v>
          </cell>
          <cell r="DA32">
            <v>1.52E-2</v>
          </cell>
          <cell r="DB32">
            <v>1.5275999999999998E-2</v>
          </cell>
          <cell r="DC32">
            <v>1.5352379999999997E-2</v>
          </cell>
          <cell r="DD32">
            <v>1.5429141899999995E-2</v>
          </cell>
          <cell r="DE32">
            <v>1.5506287609499993E-2</v>
          </cell>
          <cell r="DF32">
            <v>1.5583819047547491E-2</v>
          </cell>
          <cell r="DG32">
            <v>1.5661738142785226E-2</v>
          </cell>
          <cell r="DH32">
            <v>1.5740046833499152E-2</v>
          </cell>
          <cell r="DI32">
            <v>1.5740046833499152E-2</v>
          </cell>
          <cell r="DJ32">
            <v>1.5740046833499152E-2</v>
          </cell>
        </row>
        <row r="33">
          <cell r="C33">
            <v>1060</v>
          </cell>
          <cell r="D33">
            <v>8810</v>
          </cell>
          <cell r="E33" t="str">
            <v>Maintenance Supervisor</v>
          </cell>
          <cell r="G33" t="str">
            <v>Exempt</v>
          </cell>
          <cell r="H33" t="str">
            <v>salary.com</v>
          </cell>
          <cell r="I33">
            <v>75000</v>
          </cell>
          <cell r="J33">
            <v>36.057692307692307</v>
          </cell>
          <cell r="K33">
            <v>2.5000000000000001E-2</v>
          </cell>
          <cell r="L33">
            <v>36.057692307692307</v>
          </cell>
          <cell r="M33">
            <v>36.057692307692307</v>
          </cell>
          <cell r="N33">
            <v>36.78966346153846</v>
          </cell>
          <cell r="O33">
            <v>37.536493629807687</v>
          </cell>
          <cell r="P33">
            <v>38.298484450492779</v>
          </cell>
          <cell r="Q33">
            <v>39.075943684837782</v>
          </cell>
          <cell r="R33">
            <v>39.869185341639991</v>
          </cell>
          <cell r="S33">
            <v>40.678529804075282</v>
          </cell>
          <cell r="T33">
            <v>41.50430395909801</v>
          </cell>
          <cell r="U33">
            <v>42.346841329467701</v>
          </cell>
          <cell r="V33">
            <v>43.236124997386518</v>
          </cell>
          <cell r="W33">
            <v>4.75</v>
          </cell>
          <cell r="X33">
            <v>4.75</v>
          </cell>
          <cell r="Y33">
            <v>4.9874999999999998</v>
          </cell>
          <cell r="Z33">
            <v>5.2368750000000004</v>
          </cell>
          <cell r="AA33">
            <v>5.498718750000001</v>
          </cell>
          <cell r="AB33">
            <v>5.7736546875000014</v>
          </cell>
          <cell r="AC33">
            <v>6.0623374218750019</v>
          </cell>
          <cell r="AD33">
            <v>6.3654542929687521</v>
          </cell>
          <cell r="AE33">
            <v>6.6837270076171897</v>
          </cell>
          <cell r="AF33">
            <v>7.0179133579980499</v>
          </cell>
          <cell r="AG33">
            <v>7.3688090258979528</v>
          </cell>
          <cell r="AH33">
            <v>2.5000000000000001E-2</v>
          </cell>
          <cell r="AI33">
            <v>2.5000000000000001E-2</v>
          </cell>
          <cell r="AJ33">
            <v>2.5524999999999999E-2</v>
          </cell>
          <cell r="AK33">
            <v>2.6061024999999998E-2</v>
          </cell>
          <cell r="AL33">
            <v>2.6608306524999997E-2</v>
          </cell>
          <cell r="AM33">
            <v>2.7167080962024994E-2</v>
          </cell>
          <cell r="AN33">
            <v>2.7737589662227516E-2</v>
          </cell>
          <cell r="AO33">
            <v>2.832007904513429E-2</v>
          </cell>
          <cell r="AP33">
            <v>2.8914800705082108E-2</v>
          </cell>
          <cell r="AQ33">
            <v>2.9522011519888831E-2</v>
          </cell>
          <cell r="AR33">
            <v>3.0141973761806492E-2</v>
          </cell>
          <cell r="AS33">
            <v>2.7E-2</v>
          </cell>
          <cell r="AT33">
            <v>8000</v>
          </cell>
          <cell r="AU33">
            <v>216</v>
          </cell>
          <cell r="AV33">
            <v>1.52E-2</v>
          </cell>
          <cell r="AW33">
            <v>1.52E-2</v>
          </cell>
          <cell r="AX33">
            <v>1.5275999999999998E-2</v>
          </cell>
          <cell r="AY33">
            <v>1.5352379999999997E-2</v>
          </cell>
          <cell r="AZ33">
            <v>1.5429141899999995E-2</v>
          </cell>
          <cell r="BA33">
            <v>1.5506287609499993E-2</v>
          </cell>
          <cell r="BB33">
            <v>1.5583819047547491E-2</v>
          </cell>
          <cell r="BC33">
            <v>1.5661738142785226E-2</v>
          </cell>
          <cell r="BD33">
            <v>1.5740046833499152E-2</v>
          </cell>
          <cell r="BE33">
            <v>1.5740046833499152E-2</v>
          </cell>
          <cell r="BF33">
            <v>1.5740046833499152E-2</v>
          </cell>
          <cell r="BG33">
            <v>157.5</v>
          </cell>
          <cell r="BH33">
            <v>157.5</v>
          </cell>
          <cell r="BI33">
            <v>165.375</v>
          </cell>
          <cell r="BJ33">
            <v>173.64375000000001</v>
          </cell>
          <cell r="BK33">
            <v>182.32593750000001</v>
          </cell>
          <cell r="BL33">
            <v>191.44223437500003</v>
          </cell>
          <cell r="BM33">
            <v>201.01434609375005</v>
          </cell>
          <cell r="BN33">
            <v>211.06506339843756</v>
          </cell>
          <cell r="BO33">
            <v>221.61831656835943</v>
          </cell>
          <cell r="BP33">
            <v>232.6992323967774</v>
          </cell>
          <cell r="BQ33">
            <v>244.33419401661629</v>
          </cell>
          <cell r="BR33">
            <v>33.72</v>
          </cell>
          <cell r="BS33">
            <v>33.72</v>
          </cell>
          <cell r="BT33">
            <v>34.428119999999993</v>
          </cell>
          <cell r="BU33">
            <v>35.151110519999989</v>
          </cell>
          <cell r="BV33">
            <v>35.889283840919987</v>
          </cell>
          <cell r="BW33">
            <v>36.642958801579304</v>
          </cell>
          <cell r="BX33">
            <v>37.412460936412465</v>
          </cell>
          <cell r="BY33">
            <v>38.198122616077121</v>
          </cell>
          <cell r="BZ33">
            <v>39.000283191014738</v>
          </cell>
          <cell r="CA33">
            <v>39.819289138026043</v>
          </cell>
          <cell r="CB33">
            <v>40.655494209924584</v>
          </cell>
          <cell r="CC33">
            <v>77.25</v>
          </cell>
          <cell r="CD33">
            <v>77.25</v>
          </cell>
          <cell r="CE33">
            <v>81.112499999999997</v>
          </cell>
          <cell r="CF33">
            <v>85.168125000000003</v>
          </cell>
          <cell r="CG33">
            <v>89.426531250000011</v>
          </cell>
          <cell r="CH33">
            <v>93.897857812500021</v>
          </cell>
          <cell r="CI33">
            <v>98.59275070312502</v>
          </cell>
          <cell r="CJ33">
            <v>103.52238823828128</v>
          </cell>
          <cell r="CK33">
            <v>108.69850765019535</v>
          </cell>
          <cell r="CL33">
            <v>114.13343303270513</v>
          </cell>
          <cell r="CM33">
            <v>119.84010468434039</v>
          </cell>
          <cell r="CO33">
            <v>5.25</v>
          </cell>
          <cell r="CP33">
            <v>5.25</v>
          </cell>
          <cell r="CQ33">
            <v>5.5125000000000002</v>
          </cell>
          <cell r="CR33">
            <v>5.7881250000000009</v>
          </cell>
          <cell r="CS33">
            <v>6.0775312500000007</v>
          </cell>
          <cell r="CT33">
            <v>6.3814078125000009</v>
          </cell>
          <cell r="CU33">
            <v>6.7004782031250016</v>
          </cell>
          <cell r="CV33">
            <v>7.0355021132812521</v>
          </cell>
          <cell r="CW33">
            <v>7.3872772189453153</v>
          </cell>
          <cell r="CX33">
            <v>7.7566410798925816</v>
          </cell>
          <cell r="CY33">
            <v>8.1444731338872103</v>
          </cell>
          <cell r="CZ33">
            <v>1.52E-2</v>
          </cell>
          <cell r="DA33">
            <v>1.52E-2</v>
          </cell>
          <cell r="DB33">
            <v>1.5275999999999998E-2</v>
          </cell>
          <cell r="DC33">
            <v>1.5352379999999997E-2</v>
          </cell>
          <cell r="DD33">
            <v>1.5429141899999995E-2</v>
          </cell>
          <cell r="DE33">
            <v>1.5506287609499993E-2</v>
          </cell>
          <cell r="DF33">
            <v>1.5583819047547491E-2</v>
          </cell>
          <cell r="DG33">
            <v>1.5661738142785226E-2</v>
          </cell>
          <cell r="DH33">
            <v>1.5740046833499152E-2</v>
          </cell>
          <cell r="DI33">
            <v>1.5740046833499152E-2</v>
          </cell>
          <cell r="DJ33">
            <v>1.5740046833499152E-2</v>
          </cell>
        </row>
        <row r="34">
          <cell r="C34">
            <v>1065</v>
          </cell>
          <cell r="D34">
            <v>8810</v>
          </cell>
          <cell r="E34" t="str">
            <v>Mechanical Engineer</v>
          </cell>
          <cell r="G34" t="str">
            <v>Exempt</v>
          </cell>
          <cell r="H34" t="str">
            <v>salary.com</v>
          </cell>
          <cell r="I34">
            <v>106141.35</v>
          </cell>
          <cell r="J34">
            <v>51.029495192307692</v>
          </cell>
          <cell r="K34">
            <v>2.5000000000000001E-2</v>
          </cell>
          <cell r="L34">
            <v>51.029495192307692</v>
          </cell>
          <cell r="M34">
            <v>51.029495192307692</v>
          </cell>
          <cell r="N34">
            <v>52.065393944711538</v>
          </cell>
          <cell r="O34">
            <v>53.122321441789182</v>
          </cell>
          <cell r="P34">
            <v>54.2007045670575</v>
          </cell>
          <cell r="Q34">
            <v>55.300978869768763</v>
          </cell>
          <cell r="R34">
            <v>56.423588740825068</v>
          </cell>
          <cell r="S34">
            <v>57.568987592263817</v>
          </cell>
          <cell r="T34">
            <v>58.73763804038677</v>
          </cell>
          <cell r="U34">
            <v>59.930012092606617</v>
          </cell>
          <cell r="V34">
            <v>61.188542346551351</v>
          </cell>
          <cell r="W34">
            <v>4.75</v>
          </cell>
          <cell r="X34">
            <v>4.75</v>
          </cell>
          <cell r="Y34">
            <v>4.9874999999999998</v>
          </cell>
          <cell r="Z34">
            <v>5.2368750000000004</v>
          </cell>
          <cell r="AA34">
            <v>5.498718750000001</v>
          </cell>
          <cell r="AB34">
            <v>5.7736546875000014</v>
          </cell>
          <cell r="AC34">
            <v>6.0623374218750019</v>
          </cell>
          <cell r="AD34">
            <v>6.3654542929687521</v>
          </cell>
          <cell r="AE34">
            <v>6.6837270076171897</v>
          </cell>
          <cell r="AF34">
            <v>7.0179133579980499</v>
          </cell>
          <cell r="AG34">
            <v>7.3688090258979528</v>
          </cell>
          <cell r="AH34">
            <v>2.5000000000000001E-2</v>
          </cell>
          <cell r="AI34">
            <v>2.5000000000000001E-2</v>
          </cell>
          <cell r="AJ34">
            <v>2.5524999999999999E-2</v>
          </cell>
          <cell r="AK34">
            <v>2.6061024999999998E-2</v>
          </cell>
          <cell r="AL34">
            <v>2.6608306524999997E-2</v>
          </cell>
          <cell r="AM34">
            <v>2.7167080962024994E-2</v>
          </cell>
          <cell r="AN34">
            <v>2.7737589662227516E-2</v>
          </cell>
          <cell r="AO34">
            <v>2.832007904513429E-2</v>
          </cell>
          <cell r="AP34">
            <v>2.8914800705082108E-2</v>
          </cell>
          <cell r="AQ34">
            <v>2.9522011519888831E-2</v>
          </cell>
          <cell r="AR34">
            <v>3.0141973761806492E-2</v>
          </cell>
          <cell r="AS34">
            <v>2.7E-2</v>
          </cell>
          <cell r="AT34">
            <v>8000</v>
          </cell>
          <cell r="AU34">
            <v>216</v>
          </cell>
          <cell r="AV34">
            <v>1.52E-2</v>
          </cell>
          <cell r="AW34">
            <v>1.52E-2</v>
          </cell>
          <cell r="AX34">
            <v>1.5275999999999998E-2</v>
          </cell>
          <cell r="AY34">
            <v>1.5352379999999997E-2</v>
          </cell>
          <cell r="AZ34">
            <v>1.5429141899999995E-2</v>
          </cell>
          <cell r="BA34">
            <v>1.5506287609499993E-2</v>
          </cell>
          <cell r="BB34">
            <v>1.5583819047547491E-2</v>
          </cell>
          <cell r="BC34">
            <v>1.5661738142785226E-2</v>
          </cell>
          <cell r="BD34">
            <v>1.5740046833499152E-2</v>
          </cell>
          <cell r="BE34">
            <v>1.5740046833499152E-2</v>
          </cell>
          <cell r="BF34">
            <v>1.5740046833499152E-2</v>
          </cell>
          <cell r="BG34">
            <v>222.89683500000001</v>
          </cell>
          <cell r="BH34">
            <v>222.89683500000001</v>
          </cell>
          <cell r="BI34">
            <v>234.04167675000002</v>
          </cell>
          <cell r="BJ34">
            <v>245.74376058750002</v>
          </cell>
          <cell r="BK34">
            <v>258.03094861687504</v>
          </cell>
          <cell r="BL34">
            <v>270.93249604771881</v>
          </cell>
          <cell r="BM34">
            <v>284.47912085010478</v>
          </cell>
          <cell r="BN34">
            <v>298.70307689261006</v>
          </cell>
          <cell r="BO34">
            <v>313.63823073724058</v>
          </cell>
          <cell r="BP34">
            <v>329.32014227410264</v>
          </cell>
          <cell r="BQ34">
            <v>345.78614938780777</v>
          </cell>
          <cell r="BR34">
            <v>33.72</v>
          </cell>
          <cell r="BS34">
            <v>33.72</v>
          </cell>
          <cell r="BT34">
            <v>34.428119999999993</v>
          </cell>
          <cell r="BU34">
            <v>35.151110519999989</v>
          </cell>
          <cell r="BV34">
            <v>35.889283840919987</v>
          </cell>
          <cell r="BW34">
            <v>36.642958801579304</v>
          </cell>
          <cell r="BX34">
            <v>37.412460936412465</v>
          </cell>
          <cell r="BY34">
            <v>38.198122616077121</v>
          </cell>
          <cell r="BZ34">
            <v>39.000283191014738</v>
          </cell>
          <cell r="CA34">
            <v>39.819289138026043</v>
          </cell>
          <cell r="CB34">
            <v>40.655494209924584</v>
          </cell>
          <cell r="CC34">
            <v>109.3255905</v>
          </cell>
          <cell r="CD34">
            <v>109.3255905</v>
          </cell>
          <cell r="CE34">
            <v>114.79187002500001</v>
          </cell>
          <cell r="CF34">
            <v>120.53146352625001</v>
          </cell>
          <cell r="CG34">
            <v>126.55803670256252</v>
          </cell>
          <cell r="CH34">
            <v>132.88593853769066</v>
          </cell>
          <cell r="CI34">
            <v>139.53023546457521</v>
          </cell>
          <cell r="CJ34">
            <v>146.50674723780398</v>
          </cell>
          <cell r="CK34">
            <v>153.83208459969418</v>
          </cell>
          <cell r="CL34">
            <v>161.52368882967889</v>
          </cell>
          <cell r="CM34">
            <v>169.59987327116283</v>
          </cell>
          <cell r="CO34">
            <v>5.25</v>
          </cell>
          <cell r="CP34">
            <v>5.25</v>
          </cell>
          <cell r="CQ34">
            <v>5.5125000000000002</v>
          </cell>
          <cell r="CR34">
            <v>5.7881250000000009</v>
          </cell>
          <cell r="CS34">
            <v>6.0775312500000007</v>
          </cell>
          <cell r="CT34">
            <v>6.3814078125000009</v>
          </cell>
          <cell r="CU34">
            <v>6.7004782031250016</v>
          </cell>
          <cell r="CV34">
            <v>7.0355021132812521</v>
          </cell>
          <cell r="CW34">
            <v>7.3872772189453153</v>
          </cell>
          <cell r="CX34">
            <v>7.7566410798925816</v>
          </cell>
          <cell r="CY34">
            <v>8.1444731338872103</v>
          </cell>
          <cell r="CZ34">
            <v>1.52E-2</v>
          </cell>
          <cell r="DA34">
            <v>1.52E-2</v>
          </cell>
          <cell r="DB34">
            <v>1.5275999999999998E-2</v>
          </cell>
          <cell r="DC34">
            <v>1.5352379999999997E-2</v>
          </cell>
          <cell r="DD34">
            <v>1.5429141899999995E-2</v>
          </cell>
          <cell r="DE34">
            <v>1.5506287609499993E-2</v>
          </cell>
          <cell r="DF34">
            <v>1.5583819047547491E-2</v>
          </cell>
          <cell r="DG34">
            <v>1.5661738142785226E-2</v>
          </cell>
          <cell r="DH34">
            <v>1.5740046833499152E-2</v>
          </cell>
          <cell r="DI34">
            <v>1.5740046833499152E-2</v>
          </cell>
          <cell r="DJ34">
            <v>1.5740046833499152E-2</v>
          </cell>
        </row>
        <row r="35">
          <cell r="C35">
            <v>1070</v>
          </cell>
          <cell r="D35">
            <v>8810</v>
          </cell>
          <cell r="E35" t="str">
            <v>Buyer</v>
          </cell>
          <cell r="G35" t="str">
            <v>Exempt</v>
          </cell>
          <cell r="H35" t="str">
            <v>salary.com</v>
          </cell>
          <cell r="I35">
            <v>70429.8</v>
          </cell>
          <cell r="J35">
            <v>33.860480769230769</v>
          </cell>
          <cell r="K35">
            <v>2.5000000000000001E-2</v>
          </cell>
          <cell r="L35">
            <v>33.860480769230769</v>
          </cell>
          <cell r="M35">
            <v>33.860480769230769</v>
          </cell>
          <cell r="N35">
            <v>34.547848528846153</v>
          </cell>
          <cell r="O35">
            <v>35.249169853981726</v>
          </cell>
          <cell r="P35">
            <v>35.964728002017551</v>
          </cell>
          <cell r="Q35">
            <v>36.69481198045851</v>
          </cell>
          <cell r="R35">
            <v>37.439716663661819</v>
          </cell>
          <cell r="S35">
            <v>38.199742911934152</v>
          </cell>
          <cell r="T35">
            <v>38.975197693046411</v>
          </cell>
          <cell r="U35">
            <v>39.766394206215253</v>
          </cell>
          <cell r="V35">
            <v>40.601488484545769</v>
          </cell>
          <cell r="W35">
            <v>4.75</v>
          </cell>
          <cell r="X35">
            <v>4.75</v>
          </cell>
          <cell r="Y35">
            <v>4.9874999999999998</v>
          </cell>
          <cell r="Z35">
            <v>5.2368750000000004</v>
          </cell>
          <cell r="AA35">
            <v>5.498718750000001</v>
          </cell>
          <cell r="AB35">
            <v>5.7736546875000014</v>
          </cell>
          <cell r="AC35">
            <v>6.0623374218750019</v>
          </cell>
          <cell r="AD35">
            <v>6.3654542929687521</v>
          </cell>
          <cell r="AE35">
            <v>6.6837270076171897</v>
          </cell>
          <cell r="AF35">
            <v>7.0179133579980499</v>
          </cell>
          <cell r="AG35">
            <v>7.3688090258979528</v>
          </cell>
          <cell r="AH35">
            <v>2.5000000000000001E-2</v>
          </cell>
          <cell r="AI35">
            <v>2.5000000000000001E-2</v>
          </cell>
          <cell r="AJ35">
            <v>2.5524999999999999E-2</v>
          </cell>
          <cell r="AK35">
            <v>2.6061024999999998E-2</v>
          </cell>
          <cell r="AL35">
            <v>2.6608306524999997E-2</v>
          </cell>
          <cell r="AM35">
            <v>2.7167080962024994E-2</v>
          </cell>
          <cell r="AN35">
            <v>2.7737589662227516E-2</v>
          </cell>
          <cell r="AO35">
            <v>2.832007904513429E-2</v>
          </cell>
          <cell r="AP35">
            <v>2.8914800705082108E-2</v>
          </cell>
          <cell r="AQ35">
            <v>2.9522011519888831E-2</v>
          </cell>
          <cell r="AR35">
            <v>3.0141973761806492E-2</v>
          </cell>
          <cell r="AS35">
            <v>2.7E-2</v>
          </cell>
          <cell r="AT35">
            <v>8000</v>
          </cell>
          <cell r="AU35">
            <v>216</v>
          </cell>
          <cell r="AV35">
            <v>1.52E-2</v>
          </cell>
          <cell r="AW35">
            <v>1.52E-2</v>
          </cell>
          <cell r="AX35">
            <v>1.5275999999999998E-2</v>
          </cell>
          <cell r="AY35">
            <v>1.5352379999999997E-2</v>
          </cell>
          <cell r="AZ35">
            <v>1.5429141899999995E-2</v>
          </cell>
          <cell r="BA35">
            <v>1.5506287609499993E-2</v>
          </cell>
          <cell r="BB35">
            <v>1.5583819047547491E-2</v>
          </cell>
          <cell r="BC35">
            <v>1.5661738142785226E-2</v>
          </cell>
          <cell r="BD35">
            <v>1.5740046833499152E-2</v>
          </cell>
          <cell r="BE35">
            <v>1.5740046833499152E-2</v>
          </cell>
          <cell r="BF35">
            <v>1.5740046833499152E-2</v>
          </cell>
          <cell r="BG35">
            <v>147.90258</v>
          </cell>
          <cell r="BH35">
            <v>147.90258</v>
          </cell>
          <cell r="BI35">
            <v>155.297709</v>
          </cell>
          <cell r="BJ35">
            <v>163.06259445000001</v>
          </cell>
          <cell r="BK35">
            <v>171.21572417250002</v>
          </cell>
          <cell r="BL35">
            <v>179.77651038112504</v>
          </cell>
          <cell r="BM35">
            <v>188.7653359001813</v>
          </cell>
          <cell r="BN35">
            <v>198.20360269519037</v>
          </cell>
          <cell r="BO35">
            <v>208.11378282994988</v>
          </cell>
          <cell r="BP35">
            <v>218.51947197144739</v>
          </cell>
          <cell r="BQ35">
            <v>229.44544557001976</v>
          </cell>
          <cell r="BR35">
            <v>33.72</v>
          </cell>
          <cell r="BS35">
            <v>33.72</v>
          </cell>
          <cell r="BT35">
            <v>34.428119999999993</v>
          </cell>
          <cell r="BU35">
            <v>35.151110519999989</v>
          </cell>
          <cell r="BV35">
            <v>35.889283840919987</v>
          </cell>
          <cell r="BW35">
            <v>36.642958801579304</v>
          </cell>
          <cell r="BX35">
            <v>37.412460936412465</v>
          </cell>
          <cell r="BY35">
            <v>38.198122616077121</v>
          </cell>
          <cell r="BZ35">
            <v>39.000283191014738</v>
          </cell>
          <cell r="CA35">
            <v>39.819289138026043</v>
          </cell>
          <cell r="CB35">
            <v>40.655494209924584</v>
          </cell>
          <cell r="CC35">
            <v>72.542693999999997</v>
          </cell>
          <cell r="CD35">
            <v>72.542693999999997</v>
          </cell>
          <cell r="CE35">
            <v>76.169828699999997</v>
          </cell>
          <cell r="CF35">
            <v>79.978320135000004</v>
          </cell>
          <cell r="CG35">
            <v>83.977236141750012</v>
          </cell>
          <cell r="CH35">
            <v>88.176097948837523</v>
          </cell>
          <cell r="CI35">
            <v>92.584902846279405</v>
          </cell>
          <cell r="CJ35">
            <v>97.214147988593382</v>
          </cell>
          <cell r="CK35">
            <v>102.07485538802305</v>
          </cell>
          <cell r="CL35">
            <v>107.1785981574242</v>
          </cell>
          <cell r="CM35">
            <v>112.53752806529542</v>
          </cell>
          <cell r="CO35">
            <v>5.25</v>
          </cell>
          <cell r="CP35">
            <v>5.25</v>
          </cell>
          <cell r="CQ35">
            <v>5.5125000000000002</v>
          </cell>
          <cell r="CR35">
            <v>5.7881250000000009</v>
          </cell>
          <cell r="CS35">
            <v>6.0775312500000007</v>
          </cell>
          <cell r="CT35">
            <v>6.3814078125000009</v>
          </cell>
          <cell r="CU35">
            <v>6.7004782031250016</v>
          </cell>
          <cell r="CV35">
            <v>7.0355021132812521</v>
          </cell>
          <cell r="CW35">
            <v>7.3872772189453153</v>
          </cell>
          <cell r="CX35">
            <v>7.7566410798925816</v>
          </cell>
          <cell r="CY35">
            <v>8.1444731338872103</v>
          </cell>
          <cell r="CZ35">
            <v>1.52E-2</v>
          </cell>
          <cell r="DA35">
            <v>1.52E-2</v>
          </cell>
          <cell r="DB35">
            <v>1.5275999999999998E-2</v>
          </cell>
          <cell r="DC35">
            <v>1.5352379999999997E-2</v>
          </cell>
          <cell r="DD35">
            <v>1.5429141899999995E-2</v>
          </cell>
          <cell r="DE35">
            <v>1.5506287609499993E-2</v>
          </cell>
          <cell r="DF35">
            <v>1.5583819047547491E-2</v>
          </cell>
          <cell r="DG35">
            <v>1.5661738142785226E-2</v>
          </cell>
          <cell r="DH35">
            <v>1.5740046833499152E-2</v>
          </cell>
          <cell r="DI35">
            <v>1.5740046833499152E-2</v>
          </cell>
          <cell r="DJ35">
            <v>1.5740046833499152E-2</v>
          </cell>
        </row>
        <row r="36">
          <cell r="C36">
            <v>1075</v>
          </cell>
          <cell r="D36">
            <v>8810</v>
          </cell>
          <cell r="E36" t="str">
            <v>Building Services Supervisor</v>
          </cell>
          <cell r="G36" t="str">
            <v>Exempt</v>
          </cell>
          <cell r="H36" t="str">
            <v>salary.com</v>
          </cell>
          <cell r="I36">
            <v>129800.00000000001</v>
          </cell>
          <cell r="J36">
            <v>62.40384615384616</v>
          </cell>
          <cell r="K36">
            <v>2.5000000000000001E-2</v>
          </cell>
          <cell r="L36">
            <v>62.40384615384616</v>
          </cell>
          <cell r="M36">
            <v>62.40384615384616</v>
          </cell>
          <cell r="N36">
            <v>63.670644230769234</v>
          </cell>
          <cell r="O36">
            <v>64.963158308653846</v>
          </cell>
          <cell r="P36">
            <v>66.281910422319513</v>
          </cell>
          <cell r="Q36">
            <v>67.627433203892593</v>
          </cell>
          <cell r="R36">
            <v>69.000270097931619</v>
          </cell>
          <cell r="S36">
            <v>70.400975580919635</v>
          </cell>
          <cell r="T36">
            <v>71.830115385212309</v>
          </cell>
          <cell r="U36">
            <v>73.288266727532118</v>
          </cell>
          <cell r="V36">
            <v>74.827320328810288</v>
          </cell>
          <cell r="W36">
            <v>4.75</v>
          </cell>
          <cell r="X36">
            <v>4.75</v>
          </cell>
          <cell r="Y36">
            <v>4.9874999999999998</v>
          </cell>
          <cell r="Z36">
            <v>5.2368750000000004</v>
          </cell>
          <cell r="AA36">
            <v>5.498718750000001</v>
          </cell>
          <cell r="AB36">
            <v>5.7736546875000014</v>
          </cell>
          <cell r="AC36">
            <v>6.0623374218750019</v>
          </cell>
          <cell r="AD36">
            <v>6.3654542929687521</v>
          </cell>
          <cell r="AE36">
            <v>6.6837270076171897</v>
          </cell>
          <cell r="AF36">
            <v>7.0179133579980499</v>
          </cell>
          <cell r="AG36">
            <v>7.3688090258979528</v>
          </cell>
          <cell r="AH36">
            <v>2.5000000000000001E-2</v>
          </cell>
          <cell r="AI36">
            <v>2.5000000000000001E-2</v>
          </cell>
          <cell r="AJ36">
            <v>2.5524999999999999E-2</v>
          </cell>
          <cell r="AK36">
            <v>2.6061024999999998E-2</v>
          </cell>
          <cell r="AL36">
            <v>2.6608306524999997E-2</v>
          </cell>
          <cell r="AM36">
            <v>2.7167080962024994E-2</v>
          </cell>
          <cell r="AN36">
            <v>2.7737589662227516E-2</v>
          </cell>
          <cell r="AO36">
            <v>2.832007904513429E-2</v>
          </cell>
          <cell r="AP36">
            <v>2.8914800705082108E-2</v>
          </cell>
          <cell r="AQ36">
            <v>2.9522011519888831E-2</v>
          </cell>
          <cell r="AR36">
            <v>3.0141973761806492E-2</v>
          </cell>
          <cell r="AS36">
            <v>2.7E-2</v>
          </cell>
          <cell r="AT36">
            <v>8000</v>
          </cell>
          <cell r="AU36">
            <v>216</v>
          </cell>
          <cell r="AV36">
            <v>1.52E-2</v>
          </cell>
          <cell r="AW36">
            <v>1.52E-2</v>
          </cell>
          <cell r="AX36">
            <v>1.5275999999999998E-2</v>
          </cell>
          <cell r="AY36">
            <v>1.5352379999999997E-2</v>
          </cell>
          <cell r="AZ36">
            <v>1.5429141899999995E-2</v>
          </cell>
          <cell r="BA36">
            <v>1.5506287609499993E-2</v>
          </cell>
          <cell r="BB36">
            <v>1.5583819047547491E-2</v>
          </cell>
          <cell r="BC36">
            <v>1.5661738142785226E-2</v>
          </cell>
          <cell r="BD36">
            <v>1.5740046833499152E-2</v>
          </cell>
          <cell r="BE36">
            <v>1.5740046833499152E-2</v>
          </cell>
          <cell r="BF36">
            <v>1.5740046833499152E-2</v>
          </cell>
          <cell r="BG36">
            <v>272.58000000000004</v>
          </cell>
          <cell r="BH36">
            <v>272.58000000000004</v>
          </cell>
          <cell r="BI36">
            <v>286.20900000000006</v>
          </cell>
          <cell r="BJ36">
            <v>300.51945000000006</v>
          </cell>
          <cell r="BK36">
            <v>315.54542250000009</v>
          </cell>
          <cell r="BL36">
            <v>331.32269362500011</v>
          </cell>
          <cell r="BM36">
            <v>347.88882830625016</v>
          </cell>
          <cell r="BN36">
            <v>365.2832697215627</v>
          </cell>
          <cell r="BO36">
            <v>383.54743320764084</v>
          </cell>
          <cell r="BP36">
            <v>402.72480486802289</v>
          </cell>
          <cell r="BQ36">
            <v>422.86104511142406</v>
          </cell>
          <cell r="BR36">
            <v>33.72</v>
          </cell>
          <cell r="BS36">
            <v>33.72</v>
          </cell>
          <cell r="BT36">
            <v>34.428119999999993</v>
          </cell>
          <cell r="BU36">
            <v>35.151110519999989</v>
          </cell>
          <cell r="BV36">
            <v>35.889283840919987</v>
          </cell>
          <cell r="BW36">
            <v>36.642958801579304</v>
          </cell>
          <cell r="BX36">
            <v>37.412460936412465</v>
          </cell>
          <cell r="BY36">
            <v>38.198122616077121</v>
          </cell>
          <cell r="BZ36">
            <v>39.000283191014738</v>
          </cell>
          <cell r="CA36">
            <v>39.819289138026043</v>
          </cell>
          <cell r="CB36">
            <v>40.655494209924584</v>
          </cell>
          <cell r="CC36">
            <v>133.69400000000002</v>
          </cell>
          <cell r="CD36">
            <v>133.69400000000002</v>
          </cell>
          <cell r="CE36">
            <v>140.37870000000004</v>
          </cell>
          <cell r="CF36">
            <v>147.39763500000004</v>
          </cell>
          <cell r="CG36">
            <v>154.76751675000006</v>
          </cell>
          <cell r="CH36">
            <v>162.50589258750006</v>
          </cell>
          <cell r="CI36">
            <v>170.63118721687508</v>
          </cell>
          <cell r="CJ36">
            <v>179.16274657771885</v>
          </cell>
          <cell r="CK36">
            <v>188.1208839066048</v>
          </cell>
          <cell r="CL36">
            <v>197.52692810193506</v>
          </cell>
          <cell r="CM36">
            <v>207.40327450703182</v>
          </cell>
          <cell r="CO36">
            <v>5.25</v>
          </cell>
          <cell r="CP36">
            <v>5.25</v>
          </cell>
          <cell r="CQ36">
            <v>5.5125000000000002</v>
          </cell>
          <cell r="CR36">
            <v>5.7881250000000009</v>
          </cell>
          <cell r="CS36">
            <v>6.0775312500000007</v>
          </cell>
          <cell r="CT36">
            <v>6.3814078125000009</v>
          </cell>
          <cell r="CU36">
            <v>6.7004782031250016</v>
          </cell>
          <cell r="CV36">
            <v>7.0355021132812521</v>
          </cell>
          <cell r="CW36">
            <v>7.3872772189453153</v>
          </cell>
          <cell r="CX36">
            <v>7.7566410798925816</v>
          </cell>
          <cell r="CY36">
            <v>8.1444731338872103</v>
          </cell>
          <cell r="CZ36">
            <v>1.52E-2</v>
          </cell>
          <cell r="DA36">
            <v>1.52E-2</v>
          </cell>
          <cell r="DB36">
            <v>1.5275999999999998E-2</v>
          </cell>
          <cell r="DC36">
            <v>1.5352379999999997E-2</v>
          </cell>
          <cell r="DD36">
            <v>1.5429141899999995E-2</v>
          </cell>
          <cell r="DE36">
            <v>1.5506287609499993E-2</v>
          </cell>
          <cell r="DF36">
            <v>1.5583819047547491E-2</v>
          </cell>
          <cell r="DG36">
            <v>1.5661738142785226E-2</v>
          </cell>
          <cell r="DH36">
            <v>1.5740046833499152E-2</v>
          </cell>
          <cell r="DI36">
            <v>1.5740046833499152E-2</v>
          </cell>
          <cell r="DJ36">
            <v>1.5740046833499152E-2</v>
          </cell>
        </row>
        <row r="37">
          <cell r="C37">
            <v>1080</v>
          </cell>
          <cell r="D37">
            <v>8810</v>
          </cell>
          <cell r="E37" t="str">
            <v>JLL Healthcare Engineer</v>
          </cell>
          <cell r="G37" t="str">
            <v>Exempt</v>
          </cell>
          <cell r="H37" t="str">
            <v>salary.com</v>
          </cell>
          <cell r="I37">
            <v>125000</v>
          </cell>
          <cell r="J37">
            <v>60.096153846153847</v>
          </cell>
          <cell r="K37">
            <v>2.5000000000000001E-2</v>
          </cell>
          <cell r="L37">
            <v>60.096153846153847</v>
          </cell>
          <cell r="M37">
            <v>60.096153846153847</v>
          </cell>
          <cell r="N37">
            <v>61.316105769230766</v>
          </cell>
          <cell r="O37">
            <v>62.560822716346152</v>
          </cell>
          <cell r="P37">
            <v>63.830807417487975</v>
          </cell>
          <cell r="Q37">
            <v>65.126572808062974</v>
          </cell>
          <cell r="R37">
            <v>66.448642236066647</v>
          </cell>
          <cell r="S37">
            <v>67.797549673458803</v>
          </cell>
          <cell r="T37">
            <v>69.173839931830017</v>
          </cell>
          <cell r="U37">
            <v>70.578068882446161</v>
          </cell>
          <cell r="V37">
            <v>72.060208328977524</v>
          </cell>
          <cell r="W37">
            <v>4.75</v>
          </cell>
          <cell r="X37">
            <v>4.75</v>
          </cell>
          <cell r="Y37">
            <v>4.9874999999999998</v>
          </cell>
          <cell r="Z37">
            <v>5.2368750000000004</v>
          </cell>
          <cell r="AA37">
            <v>5.498718750000001</v>
          </cell>
          <cell r="AB37">
            <v>5.7736546875000014</v>
          </cell>
          <cell r="AC37">
            <v>6.0623374218750019</v>
          </cell>
          <cell r="AD37">
            <v>6.3654542929687521</v>
          </cell>
          <cell r="AE37">
            <v>6.6837270076171897</v>
          </cell>
          <cell r="AF37">
            <v>7.0179133579980499</v>
          </cell>
          <cell r="AG37">
            <v>7.3688090258979528</v>
          </cell>
          <cell r="AH37">
            <v>2.5000000000000001E-2</v>
          </cell>
          <cell r="AI37">
            <v>2.5000000000000001E-2</v>
          </cell>
          <cell r="AJ37">
            <v>2.5524999999999999E-2</v>
          </cell>
          <cell r="AK37">
            <v>2.6061024999999998E-2</v>
          </cell>
          <cell r="AL37">
            <v>2.6608306524999997E-2</v>
          </cell>
          <cell r="AM37">
            <v>2.7167080962024994E-2</v>
          </cell>
          <cell r="AN37">
            <v>2.7737589662227516E-2</v>
          </cell>
          <cell r="AO37">
            <v>2.832007904513429E-2</v>
          </cell>
          <cell r="AP37">
            <v>2.8914800705082108E-2</v>
          </cell>
          <cell r="AQ37">
            <v>2.9522011519888831E-2</v>
          </cell>
          <cell r="AR37">
            <v>3.0141973761806492E-2</v>
          </cell>
          <cell r="AS37">
            <v>2.7E-2</v>
          </cell>
          <cell r="AT37">
            <v>8000</v>
          </cell>
          <cell r="AU37">
            <v>216</v>
          </cell>
          <cell r="AV37">
            <v>1.52E-2</v>
          </cell>
          <cell r="AW37">
            <v>1.52E-2</v>
          </cell>
          <cell r="AX37">
            <v>1.5275999999999998E-2</v>
          </cell>
          <cell r="AY37">
            <v>1.5352379999999997E-2</v>
          </cell>
          <cell r="AZ37">
            <v>1.5429141899999995E-2</v>
          </cell>
          <cell r="BA37">
            <v>1.5506287609499993E-2</v>
          </cell>
          <cell r="BB37">
            <v>1.5583819047547491E-2</v>
          </cell>
          <cell r="BC37">
            <v>1.5661738142785226E-2</v>
          </cell>
          <cell r="BD37">
            <v>1.5740046833499152E-2</v>
          </cell>
          <cell r="BE37">
            <v>1.5740046833499152E-2</v>
          </cell>
          <cell r="BF37">
            <v>1.5740046833499152E-2</v>
          </cell>
          <cell r="BG37">
            <v>262.5</v>
          </cell>
          <cell r="BH37">
            <v>262.5</v>
          </cell>
          <cell r="BI37">
            <v>275.625</v>
          </cell>
          <cell r="BJ37">
            <v>289.40625</v>
          </cell>
          <cell r="BK37">
            <v>303.87656250000003</v>
          </cell>
          <cell r="BL37">
            <v>319.07039062500007</v>
          </cell>
          <cell r="BM37">
            <v>335.02391015625011</v>
          </cell>
          <cell r="BN37">
            <v>351.77510566406261</v>
          </cell>
          <cell r="BO37">
            <v>369.36386094726578</v>
          </cell>
          <cell r="BP37">
            <v>387.83205399462906</v>
          </cell>
          <cell r="BQ37">
            <v>407.22365669436056</v>
          </cell>
          <cell r="BR37">
            <v>33.72</v>
          </cell>
          <cell r="BS37">
            <v>33.72</v>
          </cell>
          <cell r="BT37">
            <v>34.428119999999993</v>
          </cell>
          <cell r="BU37">
            <v>35.151110519999989</v>
          </cell>
          <cell r="BV37">
            <v>35.889283840919987</v>
          </cell>
          <cell r="BW37">
            <v>36.642958801579304</v>
          </cell>
          <cell r="BX37">
            <v>37.412460936412465</v>
          </cell>
          <cell r="BY37">
            <v>38.198122616077121</v>
          </cell>
          <cell r="BZ37">
            <v>39.000283191014738</v>
          </cell>
          <cell r="CA37">
            <v>39.819289138026043</v>
          </cell>
          <cell r="CB37">
            <v>40.655494209924584</v>
          </cell>
          <cell r="CC37">
            <v>128.75</v>
          </cell>
          <cell r="CD37">
            <v>128.75</v>
          </cell>
          <cell r="CE37">
            <v>135.1875</v>
          </cell>
          <cell r="CF37">
            <v>141.94687500000001</v>
          </cell>
          <cell r="CG37">
            <v>149.04421875</v>
          </cell>
          <cell r="CH37">
            <v>156.49642968750001</v>
          </cell>
          <cell r="CI37">
            <v>164.32125117187502</v>
          </cell>
          <cell r="CJ37">
            <v>172.53731373046878</v>
          </cell>
          <cell r="CK37">
            <v>181.16417941699223</v>
          </cell>
          <cell r="CL37">
            <v>190.22238838784185</v>
          </cell>
          <cell r="CM37">
            <v>199.73350780723393</v>
          </cell>
          <cell r="CO37">
            <v>5.25</v>
          </cell>
          <cell r="CP37">
            <v>5.25</v>
          </cell>
          <cell r="CQ37">
            <v>5.5125000000000002</v>
          </cell>
          <cell r="CR37">
            <v>5.7881250000000009</v>
          </cell>
          <cell r="CS37">
            <v>6.0775312500000007</v>
          </cell>
          <cell r="CT37">
            <v>6.3814078125000009</v>
          </cell>
          <cell r="CU37">
            <v>6.7004782031250016</v>
          </cell>
          <cell r="CV37">
            <v>7.0355021132812521</v>
          </cell>
          <cell r="CW37">
            <v>7.3872772189453153</v>
          </cell>
          <cell r="CX37">
            <v>7.7566410798925816</v>
          </cell>
          <cell r="CY37">
            <v>8.1444731338872103</v>
          </cell>
          <cell r="CZ37">
            <v>1.52E-2</v>
          </cell>
          <cell r="DA37">
            <v>1.52E-2</v>
          </cell>
          <cell r="DB37">
            <v>1.5275999999999998E-2</v>
          </cell>
          <cell r="DC37">
            <v>1.5352379999999997E-2</v>
          </cell>
          <cell r="DD37">
            <v>1.5429141899999995E-2</v>
          </cell>
          <cell r="DE37">
            <v>1.5506287609499993E-2</v>
          </cell>
          <cell r="DF37">
            <v>1.5583819047547491E-2</v>
          </cell>
          <cell r="DG37">
            <v>1.5661738142785226E-2</v>
          </cell>
          <cell r="DH37">
            <v>1.5740046833499152E-2</v>
          </cell>
          <cell r="DI37">
            <v>1.5740046833499152E-2</v>
          </cell>
          <cell r="DJ37">
            <v>1.5740046833499152E-2</v>
          </cell>
        </row>
        <row r="38">
          <cell r="C38">
            <v>1085</v>
          </cell>
          <cell r="D38">
            <v>9015</v>
          </cell>
          <cell r="E38" t="str">
            <v>Fire Protection Services Manager</v>
          </cell>
          <cell r="G38" t="str">
            <v>Exempt</v>
          </cell>
          <cell r="H38" t="str">
            <v>salary.com</v>
          </cell>
          <cell r="I38">
            <v>95000</v>
          </cell>
          <cell r="J38">
            <v>45.67307692307692</v>
          </cell>
          <cell r="K38">
            <v>2.5000000000000001E-2</v>
          </cell>
          <cell r="L38">
            <v>45.67307692307692</v>
          </cell>
          <cell r="M38">
            <v>45.67307692307692</v>
          </cell>
          <cell r="N38">
            <v>46.600240384615383</v>
          </cell>
          <cell r="O38">
            <v>47.546225264423072</v>
          </cell>
          <cell r="P38">
            <v>48.511413637290858</v>
          </cell>
          <cell r="Q38">
            <v>49.496195334127862</v>
          </cell>
          <cell r="R38">
            <v>50.500968099410656</v>
          </cell>
          <cell r="S38">
            <v>51.526137751828692</v>
          </cell>
          <cell r="T38">
            <v>52.572118348190813</v>
          </cell>
          <cell r="U38">
            <v>53.639332350659089</v>
          </cell>
          <cell r="V38">
            <v>54.765758330022926</v>
          </cell>
          <cell r="W38">
            <v>4.75</v>
          </cell>
          <cell r="X38">
            <v>4.75</v>
          </cell>
          <cell r="Y38">
            <v>4.9874999999999998</v>
          </cell>
          <cell r="Z38">
            <v>5.2368750000000004</v>
          </cell>
          <cell r="AA38">
            <v>5.498718750000001</v>
          </cell>
          <cell r="AB38">
            <v>5.7736546875000014</v>
          </cell>
          <cell r="AC38">
            <v>6.0623374218750019</v>
          </cell>
          <cell r="AD38">
            <v>6.3654542929687521</v>
          </cell>
          <cell r="AE38">
            <v>6.6837270076171897</v>
          </cell>
          <cell r="AF38">
            <v>7.0179133579980499</v>
          </cell>
          <cell r="AG38">
            <v>7.3688090258979528</v>
          </cell>
          <cell r="AH38">
            <v>2.5000000000000001E-2</v>
          </cell>
          <cell r="AI38">
            <v>2.5000000000000001E-2</v>
          </cell>
          <cell r="AJ38">
            <v>2.5524999999999999E-2</v>
          </cell>
          <cell r="AK38">
            <v>2.6061024999999998E-2</v>
          </cell>
          <cell r="AL38">
            <v>2.6608306524999997E-2</v>
          </cell>
          <cell r="AM38">
            <v>2.7167080962024994E-2</v>
          </cell>
          <cell r="AN38">
            <v>2.7737589662227516E-2</v>
          </cell>
          <cell r="AO38">
            <v>2.832007904513429E-2</v>
          </cell>
          <cell r="AP38">
            <v>2.8914800705082108E-2</v>
          </cell>
          <cell r="AQ38">
            <v>2.9522011519888831E-2</v>
          </cell>
          <cell r="AR38">
            <v>3.0141973761806492E-2</v>
          </cell>
          <cell r="AS38">
            <v>2.7E-2</v>
          </cell>
          <cell r="AT38">
            <v>8000</v>
          </cell>
          <cell r="AU38">
            <v>216</v>
          </cell>
          <cell r="AV38">
            <v>4.6300000000000001E-2</v>
          </cell>
          <cell r="AW38">
            <v>4.6300000000000001E-2</v>
          </cell>
          <cell r="AX38">
            <v>4.6531499999999996E-2</v>
          </cell>
          <cell r="AY38">
            <v>4.6764157499999993E-2</v>
          </cell>
          <cell r="AZ38">
            <v>4.6997978287499992E-2</v>
          </cell>
          <cell r="BA38">
            <v>4.723296817893749E-2</v>
          </cell>
          <cell r="BB38">
            <v>4.7469133019832174E-2</v>
          </cell>
          <cell r="BC38">
            <v>4.770647868493133E-2</v>
          </cell>
          <cell r="BD38">
            <v>4.7945011078355984E-2</v>
          </cell>
          <cell r="BE38">
            <v>4.7945011078355984E-2</v>
          </cell>
          <cell r="BF38">
            <v>4.7945011078355984E-2</v>
          </cell>
          <cell r="BG38">
            <v>199.5</v>
          </cell>
          <cell r="BH38">
            <v>199.5</v>
          </cell>
          <cell r="BI38">
            <v>209.47500000000002</v>
          </cell>
          <cell r="BJ38">
            <v>219.94875000000005</v>
          </cell>
          <cell r="BK38">
            <v>230.94618750000006</v>
          </cell>
          <cell r="BL38">
            <v>242.49349687500009</v>
          </cell>
          <cell r="BM38">
            <v>254.61817171875012</v>
          </cell>
          <cell r="BN38">
            <v>267.34908030468762</v>
          </cell>
          <cell r="BO38">
            <v>280.716534319922</v>
          </cell>
          <cell r="BP38">
            <v>294.75236103591811</v>
          </cell>
          <cell r="BQ38">
            <v>309.489979087714</v>
          </cell>
          <cell r="BR38">
            <v>33.72</v>
          </cell>
          <cell r="BS38">
            <v>33.72</v>
          </cell>
          <cell r="BT38">
            <v>34.428119999999993</v>
          </cell>
          <cell r="BU38">
            <v>35.151110519999989</v>
          </cell>
          <cell r="BV38">
            <v>35.889283840919987</v>
          </cell>
          <cell r="BW38">
            <v>36.642958801579304</v>
          </cell>
          <cell r="BX38">
            <v>37.412460936412465</v>
          </cell>
          <cell r="BY38">
            <v>38.198122616077121</v>
          </cell>
          <cell r="BZ38">
            <v>39.000283191014738</v>
          </cell>
          <cell r="CA38">
            <v>39.819289138026043</v>
          </cell>
          <cell r="CB38">
            <v>40.655494209924584</v>
          </cell>
          <cell r="CC38">
            <v>97.85</v>
          </cell>
          <cell r="CD38">
            <v>97.85</v>
          </cell>
          <cell r="CE38">
            <v>102.74249999999999</v>
          </cell>
          <cell r="CF38">
            <v>107.87962499999999</v>
          </cell>
          <cell r="CG38">
            <v>113.27360625</v>
          </cell>
          <cell r="CH38">
            <v>118.93728656250001</v>
          </cell>
          <cell r="CI38">
            <v>124.88415089062501</v>
          </cell>
          <cell r="CJ38">
            <v>131.12835843515626</v>
          </cell>
          <cell r="CK38">
            <v>137.68477635691409</v>
          </cell>
          <cell r="CL38">
            <v>144.56901517475978</v>
          </cell>
          <cell r="CM38">
            <v>151.79746593349779</v>
          </cell>
          <cell r="CO38">
            <v>5.25</v>
          </cell>
          <cell r="CP38">
            <v>5.25</v>
          </cell>
          <cell r="CQ38">
            <v>5.5125000000000002</v>
          </cell>
          <cell r="CR38">
            <v>5.7881250000000009</v>
          </cell>
          <cell r="CS38">
            <v>6.0775312500000007</v>
          </cell>
          <cell r="CT38">
            <v>6.3814078125000009</v>
          </cell>
          <cell r="CU38">
            <v>6.7004782031250016</v>
          </cell>
          <cell r="CV38">
            <v>7.0355021132812521</v>
          </cell>
          <cell r="CW38">
            <v>7.3872772189453153</v>
          </cell>
          <cell r="CX38">
            <v>7.7566410798925816</v>
          </cell>
          <cell r="CY38">
            <v>8.1444731338872103</v>
          </cell>
          <cell r="CZ38">
            <v>4.6300000000000001E-2</v>
          </cell>
          <cell r="DA38">
            <v>4.6300000000000001E-2</v>
          </cell>
          <cell r="DB38">
            <v>4.6531499999999996E-2</v>
          </cell>
          <cell r="DC38">
            <v>4.6764157499999993E-2</v>
          </cell>
          <cell r="DD38">
            <v>4.6997978287499992E-2</v>
          </cell>
          <cell r="DE38">
            <v>4.723296817893749E-2</v>
          </cell>
          <cell r="DF38">
            <v>4.7469133019832174E-2</v>
          </cell>
          <cell r="DG38">
            <v>4.770647868493133E-2</v>
          </cell>
          <cell r="DH38">
            <v>4.7945011078355984E-2</v>
          </cell>
          <cell r="DI38">
            <v>4.7945011078355984E-2</v>
          </cell>
          <cell r="DJ38">
            <v>4.7945011078355984E-2</v>
          </cell>
        </row>
        <row r="39">
          <cell r="C39">
            <v>1090</v>
          </cell>
          <cell r="D39">
            <v>8810</v>
          </cell>
          <cell r="E39" t="str">
            <v>Work Control Supevisor</v>
          </cell>
          <cell r="G39" t="str">
            <v>Exempt</v>
          </cell>
          <cell r="H39" t="str">
            <v>salary.com</v>
          </cell>
          <cell r="I39">
            <v>65000</v>
          </cell>
          <cell r="J39">
            <v>31.25</v>
          </cell>
          <cell r="K39">
            <v>2.5000000000000001E-2</v>
          </cell>
          <cell r="L39">
            <v>31.25</v>
          </cell>
          <cell r="M39">
            <v>31.25</v>
          </cell>
          <cell r="N39">
            <v>31.884374999999999</v>
          </cell>
          <cell r="O39">
            <v>32.531627812499998</v>
          </cell>
          <cell r="P39">
            <v>33.192019857093747</v>
          </cell>
          <cell r="Q39">
            <v>33.865817860192749</v>
          </cell>
          <cell r="R39">
            <v>34.553293962754658</v>
          </cell>
          <cell r="S39">
            <v>35.254725830198581</v>
          </cell>
          <cell r="T39">
            <v>35.970396764551609</v>
          </cell>
          <cell r="U39">
            <v>36.700595818872003</v>
          </cell>
          <cell r="V39">
            <v>37.471308331068315</v>
          </cell>
          <cell r="W39">
            <v>4.75</v>
          </cell>
          <cell r="X39">
            <v>4.75</v>
          </cell>
          <cell r="Y39">
            <v>4.9874999999999998</v>
          </cell>
          <cell r="Z39">
            <v>5.2368750000000004</v>
          </cell>
          <cell r="AA39">
            <v>5.498718750000001</v>
          </cell>
          <cell r="AB39">
            <v>5.7736546875000014</v>
          </cell>
          <cell r="AC39">
            <v>6.0623374218750019</v>
          </cell>
          <cell r="AD39">
            <v>6.3654542929687521</v>
          </cell>
          <cell r="AE39">
            <v>6.6837270076171897</v>
          </cell>
          <cell r="AF39">
            <v>7.0179133579980499</v>
          </cell>
          <cell r="AG39">
            <v>7.3688090258979528</v>
          </cell>
          <cell r="AH39">
            <v>2.5000000000000001E-2</v>
          </cell>
          <cell r="AI39">
            <v>2.5000000000000001E-2</v>
          </cell>
          <cell r="AJ39">
            <v>2.5524999999999999E-2</v>
          </cell>
          <cell r="AK39">
            <v>2.6061024999999998E-2</v>
          </cell>
          <cell r="AL39">
            <v>2.6608306524999997E-2</v>
          </cell>
          <cell r="AM39">
            <v>2.7167080962024994E-2</v>
          </cell>
          <cell r="AN39">
            <v>2.7737589662227516E-2</v>
          </cell>
          <cell r="AO39">
            <v>2.832007904513429E-2</v>
          </cell>
          <cell r="AP39">
            <v>2.8914800705082108E-2</v>
          </cell>
          <cell r="AQ39">
            <v>2.9522011519888831E-2</v>
          </cell>
          <cell r="AR39">
            <v>3.0141973761806492E-2</v>
          </cell>
          <cell r="AS39">
            <v>2.7E-2</v>
          </cell>
          <cell r="AT39">
            <v>8000</v>
          </cell>
          <cell r="AU39">
            <v>216</v>
          </cell>
          <cell r="AV39">
            <v>1.52E-2</v>
          </cell>
          <cell r="AW39">
            <v>1.52E-2</v>
          </cell>
          <cell r="AX39">
            <v>1.5275999999999998E-2</v>
          </cell>
          <cell r="AY39">
            <v>1.5352379999999997E-2</v>
          </cell>
          <cell r="AZ39">
            <v>1.5429141899999995E-2</v>
          </cell>
          <cell r="BA39">
            <v>1.5506287609499993E-2</v>
          </cell>
          <cell r="BB39">
            <v>1.5583819047547491E-2</v>
          </cell>
          <cell r="BC39">
            <v>1.5661738142785226E-2</v>
          </cell>
          <cell r="BD39">
            <v>1.5740046833499152E-2</v>
          </cell>
          <cell r="BE39">
            <v>1.5740046833499152E-2</v>
          </cell>
          <cell r="BF39">
            <v>1.5740046833499152E-2</v>
          </cell>
          <cell r="BG39">
            <v>136.5</v>
          </cell>
          <cell r="BH39">
            <v>136.5</v>
          </cell>
          <cell r="BI39">
            <v>143.32500000000002</v>
          </cell>
          <cell r="BJ39">
            <v>150.49125000000004</v>
          </cell>
          <cell r="BK39">
            <v>158.01581250000004</v>
          </cell>
          <cell r="BL39">
            <v>165.91660312500005</v>
          </cell>
          <cell r="BM39">
            <v>174.21243328125007</v>
          </cell>
          <cell r="BN39">
            <v>182.92305494531257</v>
          </cell>
          <cell r="BO39">
            <v>192.0692076925782</v>
          </cell>
          <cell r="BP39">
            <v>201.67266807720713</v>
          </cell>
          <cell r="BQ39">
            <v>211.75630148106751</v>
          </cell>
          <cell r="BR39">
            <v>33.72</v>
          </cell>
          <cell r="BS39">
            <v>33.72</v>
          </cell>
          <cell r="BT39">
            <v>34.428119999999993</v>
          </cell>
          <cell r="BU39">
            <v>35.151110519999989</v>
          </cell>
          <cell r="BV39">
            <v>35.889283840919987</v>
          </cell>
          <cell r="BW39">
            <v>36.642958801579304</v>
          </cell>
          <cell r="BX39">
            <v>37.412460936412465</v>
          </cell>
          <cell r="BY39">
            <v>38.198122616077121</v>
          </cell>
          <cell r="BZ39">
            <v>39.000283191014738</v>
          </cell>
          <cell r="CA39">
            <v>39.819289138026043</v>
          </cell>
          <cell r="CB39">
            <v>40.655494209924584</v>
          </cell>
          <cell r="CC39">
            <v>66.95</v>
          </cell>
          <cell r="CD39">
            <v>66.95</v>
          </cell>
          <cell r="CE39">
            <v>70.297499999999999</v>
          </cell>
          <cell r="CF39">
            <v>73.812375000000003</v>
          </cell>
          <cell r="CG39">
            <v>77.502993750000002</v>
          </cell>
          <cell r="CH39">
            <v>81.3781434375</v>
          </cell>
          <cell r="CI39">
            <v>85.447050609374998</v>
          </cell>
          <cell r="CJ39">
            <v>89.719403139843749</v>
          </cell>
          <cell r="CK39">
            <v>94.205373296835944</v>
          </cell>
          <cell r="CL39">
            <v>98.91564196167775</v>
          </cell>
          <cell r="CM39">
            <v>103.86142405976165</v>
          </cell>
          <cell r="CO39">
            <v>5.25</v>
          </cell>
          <cell r="CP39">
            <v>5.25</v>
          </cell>
          <cell r="CQ39">
            <v>5.5125000000000002</v>
          </cell>
          <cell r="CR39">
            <v>5.7881250000000009</v>
          </cell>
          <cell r="CS39">
            <v>6.0775312500000007</v>
          </cell>
          <cell r="CT39">
            <v>6.3814078125000009</v>
          </cell>
          <cell r="CU39">
            <v>6.7004782031250016</v>
          </cell>
          <cell r="CV39">
            <v>7.0355021132812521</v>
          </cell>
          <cell r="CW39">
            <v>7.3872772189453153</v>
          </cell>
          <cell r="CX39">
            <v>7.7566410798925816</v>
          </cell>
          <cell r="CY39">
            <v>8.1444731338872103</v>
          </cell>
          <cell r="CZ39">
            <v>1.52E-2</v>
          </cell>
          <cell r="DA39">
            <v>1.52E-2</v>
          </cell>
          <cell r="DB39">
            <v>1.5275999999999998E-2</v>
          </cell>
          <cell r="DC39">
            <v>1.5352379999999997E-2</v>
          </cell>
          <cell r="DD39">
            <v>1.5429141899999995E-2</v>
          </cell>
          <cell r="DE39">
            <v>1.5506287609499993E-2</v>
          </cell>
          <cell r="DF39">
            <v>1.5583819047547491E-2</v>
          </cell>
          <cell r="DG39">
            <v>1.5661738142785226E-2</v>
          </cell>
          <cell r="DH39">
            <v>1.5740046833499152E-2</v>
          </cell>
          <cell r="DI39">
            <v>1.5740046833499152E-2</v>
          </cell>
          <cell r="DJ39">
            <v>1.5740046833499152E-2</v>
          </cell>
        </row>
        <row r="42">
          <cell r="C42" t="str">
            <v>Service Contract Act Labor Categories</v>
          </cell>
        </row>
        <row r="44">
          <cell r="C44">
            <v>2000</v>
          </cell>
          <cell r="D44">
            <v>8810</v>
          </cell>
          <cell r="E44" t="str">
            <v>Material Expeditor</v>
          </cell>
          <cell r="G44" t="str">
            <v>SCA</v>
          </cell>
          <cell r="H44" t="str">
            <v>2005-2006</v>
          </cell>
          <cell r="I44">
            <v>47257.599999999999</v>
          </cell>
          <cell r="J44">
            <v>22.72</v>
          </cell>
          <cell r="K44">
            <v>0</v>
          </cell>
          <cell r="L44">
            <v>22.72</v>
          </cell>
          <cell r="M44">
            <v>22.72</v>
          </cell>
          <cell r="N44">
            <v>22.72</v>
          </cell>
          <cell r="O44">
            <v>22.72</v>
          </cell>
          <cell r="P44">
            <v>22.72</v>
          </cell>
          <cell r="Q44">
            <v>22.72</v>
          </cell>
          <cell r="R44">
            <v>22.72</v>
          </cell>
          <cell r="S44">
            <v>22.72</v>
          </cell>
          <cell r="T44">
            <v>22.72</v>
          </cell>
          <cell r="U44">
            <v>22.72</v>
          </cell>
          <cell r="V44">
            <v>22.72</v>
          </cell>
          <cell r="W44">
            <v>4.41</v>
          </cell>
          <cell r="X44">
            <v>4.41</v>
          </cell>
          <cell r="Y44">
            <v>4.41</v>
          </cell>
          <cell r="Z44">
            <v>4.41</v>
          </cell>
          <cell r="AA44">
            <v>4.41</v>
          </cell>
          <cell r="AB44">
            <v>4.41</v>
          </cell>
          <cell r="AC44">
            <v>4.41</v>
          </cell>
          <cell r="AD44">
            <v>4.41</v>
          </cell>
          <cell r="AE44">
            <v>4.41</v>
          </cell>
          <cell r="AF44">
            <v>4.41</v>
          </cell>
          <cell r="AG44">
            <v>4.41</v>
          </cell>
          <cell r="AH44">
            <v>0</v>
          </cell>
          <cell r="AI44">
            <v>0</v>
          </cell>
          <cell r="AJ44">
            <v>0</v>
          </cell>
          <cell r="AK44">
            <v>0</v>
          </cell>
          <cell r="AL44">
            <v>0</v>
          </cell>
          <cell r="AM44">
            <v>0</v>
          </cell>
          <cell r="AN44">
            <v>0</v>
          </cell>
          <cell r="AO44">
            <v>0</v>
          </cell>
          <cell r="AP44">
            <v>0</v>
          </cell>
          <cell r="AQ44">
            <v>0</v>
          </cell>
          <cell r="AR44">
            <v>0</v>
          </cell>
          <cell r="AS44">
            <v>2.7E-2</v>
          </cell>
          <cell r="AT44">
            <v>8000</v>
          </cell>
          <cell r="AU44">
            <v>216</v>
          </cell>
          <cell r="AV44">
            <v>1.52E-2</v>
          </cell>
          <cell r="AW44">
            <v>1.52E-2</v>
          </cell>
          <cell r="AX44">
            <v>1.52E-2</v>
          </cell>
          <cell r="AY44">
            <v>1.52E-2</v>
          </cell>
          <cell r="AZ44">
            <v>1.52E-2</v>
          </cell>
          <cell r="BA44">
            <v>1.52E-2</v>
          </cell>
          <cell r="BB44">
            <v>1.52E-2</v>
          </cell>
          <cell r="BC44">
            <v>1.52E-2</v>
          </cell>
          <cell r="BD44">
            <v>1.52E-2</v>
          </cell>
          <cell r="BE44">
            <v>1.52E-2</v>
          </cell>
          <cell r="BF44">
            <v>1.52E-2</v>
          </cell>
          <cell r="BG44">
            <v>99.240959999999987</v>
          </cell>
          <cell r="BH44">
            <v>99.240959999999987</v>
          </cell>
          <cell r="BI44">
            <v>99.240959999999987</v>
          </cell>
          <cell r="BJ44">
            <v>99.240959999999987</v>
          </cell>
          <cell r="BK44">
            <v>99.240959999999987</v>
          </cell>
          <cell r="BL44">
            <v>99.240959999999987</v>
          </cell>
          <cell r="BM44">
            <v>99.240959999999987</v>
          </cell>
          <cell r="BN44">
            <v>99.240959999999987</v>
          </cell>
          <cell r="BO44">
            <v>99.240959999999987</v>
          </cell>
          <cell r="BP44">
            <v>99.240959999999987</v>
          </cell>
          <cell r="BQ44">
            <v>99.240959999999987</v>
          </cell>
          <cell r="BR44">
            <v>33.72</v>
          </cell>
          <cell r="BS44">
            <v>33.72</v>
          </cell>
          <cell r="BT44">
            <v>33.72</v>
          </cell>
          <cell r="BU44">
            <v>33.72</v>
          </cell>
          <cell r="BV44">
            <v>33.72</v>
          </cell>
          <cell r="BW44">
            <v>33.72</v>
          </cell>
          <cell r="BX44">
            <v>33.72</v>
          </cell>
          <cell r="BY44">
            <v>33.72</v>
          </cell>
          <cell r="BZ44">
            <v>33.72</v>
          </cell>
          <cell r="CA44">
            <v>33.72</v>
          </cell>
          <cell r="CB44">
            <v>33.72</v>
          </cell>
          <cell r="CC44">
            <v>48.675327999999993</v>
          </cell>
          <cell r="CD44">
            <v>48.675327999999993</v>
          </cell>
          <cell r="CE44">
            <v>48.675327999999993</v>
          </cell>
          <cell r="CF44">
            <v>48.675327999999993</v>
          </cell>
          <cell r="CG44">
            <v>48.675327999999993</v>
          </cell>
          <cell r="CH44">
            <v>48.675327999999993</v>
          </cell>
          <cell r="CI44">
            <v>48.675327999999993</v>
          </cell>
          <cell r="CJ44">
            <v>48.675327999999993</v>
          </cell>
          <cell r="CK44">
            <v>48.675327999999993</v>
          </cell>
          <cell r="CL44">
            <v>48.675327999999993</v>
          </cell>
          <cell r="CM44">
            <v>48.675327999999993</v>
          </cell>
          <cell r="CO44">
            <v>4.2699999999999996</v>
          </cell>
          <cell r="CP44">
            <v>4.2699999999999996</v>
          </cell>
          <cell r="CQ44">
            <v>4.2699999999999996</v>
          </cell>
          <cell r="CR44">
            <v>4.2699999999999996</v>
          </cell>
          <cell r="CS44">
            <v>4.2699999999999996</v>
          </cell>
          <cell r="CT44">
            <v>4.2699999999999996</v>
          </cell>
          <cell r="CU44">
            <v>4.2699999999999996</v>
          </cell>
          <cell r="CV44">
            <v>4.2699999999999996</v>
          </cell>
          <cell r="CW44">
            <v>4.2699999999999996</v>
          </cell>
          <cell r="CX44">
            <v>4.2699999999999996</v>
          </cell>
          <cell r="CY44">
            <v>4.2699999999999996</v>
          </cell>
          <cell r="CZ44">
            <v>1.52E-2</v>
          </cell>
          <cell r="DA44">
            <v>1.52E-2</v>
          </cell>
          <cell r="DB44">
            <v>1.52E-2</v>
          </cell>
          <cell r="DC44">
            <v>1.52E-2</v>
          </cell>
          <cell r="DD44">
            <v>1.52E-2</v>
          </cell>
          <cell r="DE44">
            <v>1.52E-2</v>
          </cell>
          <cell r="DF44">
            <v>1.52E-2</v>
          </cell>
          <cell r="DG44">
            <v>1.52E-2</v>
          </cell>
          <cell r="DH44">
            <v>1.52E-2</v>
          </cell>
          <cell r="DI44">
            <v>1.52E-2</v>
          </cell>
          <cell r="DJ44">
            <v>1.52E-2</v>
          </cell>
        </row>
        <row r="45">
          <cell r="C45">
            <v>2005</v>
          </cell>
          <cell r="D45">
            <v>8810</v>
          </cell>
          <cell r="E45" t="str">
            <v>General Clerk II</v>
          </cell>
          <cell r="G45" t="str">
            <v>SCA</v>
          </cell>
          <cell r="H45" t="str">
            <v>2005-2012</v>
          </cell>
          <cell r="I45">
            <v>26707.200000000001</v>
          </cell>
          <cell r="J45">
            <v>12.84</v>
          </cell>
          <cell r="K45">
            <v>0</v>
          </cell>
          <cell r="L45">
            <v>12.84</v>
          </cell>
          <cell r="M45">
            <v>12.84</v>
          </cell>
          <cell r="N45">
            <v>12.84</v>
          </cell>
          <cell r="O45">
            <v>12.84</v>
          </cell>
          <cell r="P45">
            <v>12.84</v>
          </cell>
          <cell r="Q45">
            <v>12.84</v>
          </cell>
          <cell r="R45">
            <v>12.84</v>
          </cell>
          <cell r="S45">
            <v>12.84</v>
          </cell>
          <cell r="T45">
            <v>12.84</v>
          </cell>
          <cell r="U45">
            <v>12.84</v>
          </cell>
          <cell r="V45">
            <v>12.84</v>
          </cell>
          <cell r="W45">
            <v>4.41</v>
          </cell>
          <cell r="X45">
            <v>4.41</v>
          </cell>
          <cell r="Y45">
            <v>4.41</v>
          </cell>
          <cell r="Z45">
            <v>4.41</v>
          </cell>
          <cell r="AA45">
            <v>4.41</v>
          </cell>
          <cell r="AB45">
            <v>4.41</v>
          </cell>
          <cell r="AC45">
            <v>4.41</v>
          </cell>
          <cell r="AD45">
            <v>4.41</v>
          </cell>
          <cell r="AE45">
            <v>4.41</v>
          </cell>
          <cell r="AF45">
            <v>4.41</v>
          </cell>
          <cell r="AG45">
            <v>4.41</v>
          </cell>
          <cell r="AH45">
            <v>0</v>
          </cell>
          <cell r="AI45">
            <v>0</v>
          </cell>
          <cell r="AJ45">
            <v>0</v>
          </cell>
          <cell r="AK45">
            <v>0</v>
          </cell>
          <cell r="AL45">
            <v>0</v>
          </cell>
          <cell r="AM45">
            <v>0</v>
          </cell>
          <cell r="AN45">
            <v>0</v>
          </cell>
          <cell r="AO45">
            <v>0</v>
          </cell>
          <cell r="AP45">
            <v>0</v>
          </cell>
          <cell r="AQ45">
            <v>0</v>
          </cell>
          <cell r="AR45">
            <v>0</v>
          </cell>
          <cell r="AS45">
            <v>2.7E-2</v>
          </cell>
          <cell r="AT45">
            <v>8000</v>
          </cell>
          <cell r="AU45">
            <v>216</v>
          </cell>
          <cell r="AV45">
            <v>1.52E-2</v>
          </cell>
          <cell r="AW45">
            <v>1.52E-2</v>
          </cell>
          <cell r="AX45">
            <v>1.52E-2</v>
          </cell>
          <cell r="AY45">
            <v>1.52E-2</v>
          </cell>
          <cell r="AZ45">
            <v>1.52E-2</v>
          </cell>
          <cell r="BA45">
            <v>1.52E-2</v>
          </cell>
          <cell r="BB45">
            <v>1.52E-2</v>
          </cell>
          <cell r="BC45">
            <v>1.52E-2</v>
          </cell>
          <cell r="BD45">
            <v>1.52E-2</v>
          </cell>
          <cell r="BE45">
            <v>1.52E-2</v>
          </cell>
          <cell r="BF45">
            <v>1.52E-2</v>
          </cell>
          <cell r="BG45">
            <v>56.085119999999996</v>
          </cell>
          <cell r="BH45">
            <v>56.085119999999996</v>
          </cell>
          <cell r="BI45">
            <v>56.085119999999996</v>
          </cell>
          <cell r="BJ45">
            <v>56.085119999999996</v>
          </cell>
          <cell r="BK45">
            <v>56.085119999999996</v>
          </cell>
          <cell r="BL45">
            <v>56.085119999999996</v>
          </cell>
          <cell r="BM45">
            <v>56.085119999999996</v>
          </cell>
          <cell r="BN45">
            <v>56.085119999999996</v>
          </cell>
          <cell r="BO45">
            <v>56.085119999999996</v>
          </cell>
          <cell r="BP45">
            <v>56.085119999999996</v>
          </cell>
          <cell r="BQ45">
            <v>56.085119999999996</v>
          </cell>
          <cell r="BR45">
            <v>33.72</v>
          </cell>
          <cell r="BS45">
            <v>33.72</v>
          </cell>
          <cell r="BT45">
            <v>33.72</v>
          </cell>
          <cell r="BU45">
            <v>33.72</v>
          </cell>
          <cell r="BV45">
            <v>33.72</v>
          </cell>
          <cell r="BW45">
            <v>33.72</v>
          </cell>
          <cell r="BX45">
            <v>33.72</v>
          </cell>
          <cell r="BY45">
            <v>33.72</v>
          </cell>
          <cell r="BZ45">
            <v>33.72</v>
          </cell>
          <cell r="CA45">
            <v>33.72</v>
          </cell>
          <cell r="CB45">
            <v>33.72</v>
          </cell>
          <cell r="CC45">
            <v>27.508416</v>
          </cell>
          <cell r="CD45">
            <v>27.508416</v>
          </cell>
          <cell r="CE45">
            <v>27.508416</v>
          </cell>
          <cell r="CF45">
            <v>27.508416</v>
          </cell>
          <cell r="CG45">
            <v>27.508416</v>
          </cell>
          <cell r="CH45">
            <v>27.508416</v>
          </cell>
          <cell r="CI45">
            <v>27.508416</v>
          </cell>
          <cell r="CJ45">
            <v>27.508416</v>
          </cell>
          <cell r="CK45">
            <v>27.508416</v>
          </cell>
          <cell r="CL45">
            <v>27.508416</v>
          </cell>
          <cell r="CM45">
            <v>27.508416</v>
          </cell>
          <cell r="CO45">
            <v>4.2699999999999996</v>
          </cell>
          <cell r="CP45">
            <v>4.2699999999999996</v>
          </cell>
          <cell r="CQ45">
            <v>4.2699999999999996</v>
          </cell>
          <cell r="CR45">
            <v>4.2699999999999996</v>
          </cell>
          <cell r="CS45">
            <v>4.2699999999999996</v>
          </cell>
          <cell r="CT45">
            <v>4.2699999999999996</v>
          </cell>
          <cell r="CU45">
            <v>4.2699999999999996</v>
          </cell>
          <cell r="CV45">
            <v>4.2699999999999996</v>
          </cell>
          <cell r="CW45">
            <v>4.2699999999999996</v>
          </cell>
          <cell r="CX45">
            <v>4.2699999999999996</v>
          </cell>
          <cell r="CY45">
            <v>4.2699999999999996</v>
          </cell>
          <cell r="CZ45">
            <v>1.52E-2</v>
          </cell>
          <cell r="DA45">
            <v>1.52E-2</v>
          </cell>
          <cell r="DB45">
            <v>1.52E-2</v>
          </cell>
          <cell r="DC45">
            <v>1.52E-2</v>
          </cell>
          <cell r="DD45">
            <v>1.52E-2</v>
          </cell>
          <cell r="DE45">
            <v>1.52E-2</v>
          </cell>
          <cell r="DF45">
            <v>1.52E-2</v>
          </cell>
          <cell r="DG45">
            <v>1.52E-2</v>
          </cell>
          <cell r="DH45">
            <v>1.52E-2</v>
          </cell>
          <cell r="DI45">
            <v>1.52E-2</v>
          </cell>
          <cell r="DJ45">
            <v>1.52E-2</v>
          </cell>
        </row>
        <row r="46">
          <cell r="C46">
            <v>2010</v>
          </cell>
          <cell r="D46">
            <v>8810</v>
          </cell>
          <cell r="E46" t="str">
            <v>Accounting Clerk II</v>
          </cell>
          <cell r="G46" t="str">
            <v>SCA</v>
          </cell>
          <cell r="H46" t="str">
            <v>2005-2012</v>
          </cell>
          <cell r="I46">
            <v>36088</v>
          </cell>
          <cell r="J46">
            <v>17.350000000000001</v>
          </cell>
          <cell r="K46">
            <v>0</v>
          </cell>
          <cell r="L46">
            <v>17.350000000000001</v>
          </cell>
          <cell r="M46">
            <v>17.350000000000001</v>
          </cell>
          <cell r="N46">
            <v>17.350000000000001</v>
          </cell>
          <cell r="O46">
            <v>17.350000000000001</v>
          </cell>
          <cell r="P46">
            <v>17.350000000000001</v>
          </cell>
          <cell r="Q46">
            <v>17.350000000000001</v>
          </cell>
          <cell r="R46">
            <v>17.350000000000001</v>
          </cell>
          <cell r="S46">
            <v>17.350000000000001</v>
          </cell>
          <cell r="T46">
            <v>17.350000000000001</v>
          </cell>
          <cell r="U46">
            <v>17.350000000000001</v>
          </cell>
          <cell r="V46">
            <v>17.350000000000001</v>
          </cell>
          <cell r="W46">
            <v>4.41</v>
          </cell>
          <cell r="X46">
            <v>4.41</v>
          </cell>
          <cell r="Y46">
            <v>4.41</v>
          </cell>
          <cell r="Z46">
            <v>4.41</v>
          </cell>
          <cell r="AA46">
            <v>4.41</v>
          </cell>
          <cell r="AB46">
            <v>4.41</v>
          </cell>
          <cell r="AC46">
            <v>4.41</v>
          </cell>
          <cell r="AD46">
            <v>4.41</v>
          </cell>
          <cell r="AE46">
            <v>4.41</v>
          </cell>
          <cell r="AF46">
            <v>4.41</v>
          </cell>
          <cell r="AG46">
            <v>4.41</v>
          </cell>
          <cell r="AH46">
            <v>0</v>
          </cell>
          <cell r="AI46">
            <v>0</v>
          </cell>
          <cell r="AJ46">
            <v>0</v>
          </cell>
          <cell r="AK46">
            <v>0</v>
          </cell>
          <cell r="AL46">
            <v>0</v>
          </cell>
          <cell r="AM46">
            <v>0</v>
          </cell>
          <cell r="AN46">
            <v>0</v>
          </cell>
          <cell r="AO46">
            <v>0</v>
          </cell>
          <cell r="AP46">
            <v>0</v>
          </cell>
          <cell r="AQ46">
            <v>0</v>
          </cell>
          <cell r="AR46">
            <v>0</v>
          </cell>
          <cell r="AS46">
            <v>2.7E-2</v>
          </cell>
          <cell r="AT46">
            <v>8000</v>
          </cell>
          <cell r="AU46">
            <v>216</v>
          </cell>
          <cell r="AV46">
            <v>1.52E-2</v>
          </cell>
          <cell r="AW46">
            <v>1.52E-2</v>
          </cell>
          <cell r="AX46">
            <v>1.52E-2</v>
          </cell>
          <cell r="AY46">
            <v>1.52E-2</v>
          </cell>
          <cell r="AZ46">
            <v>1.52E-2</v>
          </cell>
          <cell r="BA46">
            <v>1.52E-2</v>
          </cell>
          <cell r="BB46">
            <v>1.52E-2</v>
          </cell>
          <cell r="BC46">
            <v>1.52E-2</v>
          </cell>
          <cell r="BD46">
            <v>1.52E-2</v>
          </cell>
          <cell r="BE46">
            <v>1.52E-2</v>
          </cell>
          <cell r="BF46">
            <v>1.52E-2</v>
          </cell>
          <cell r="BG46">
            <v>75.78479999999999</v>
          </cell>
          <cell r="BH46">
            <v>75.78479999999999</v>
          </cell>
          <cell r="BI46">
            <v>75.78479999999999</v>
          </cell>
          <cell r="BJ46">
            <v>75.78479999999999</v>
          </cell>
          <cell r="BK46">
            <v>75.78479999999999</v>
          </cell>
          <cell r="BL46">
            <v>75.78479999999999</v>
          </cell>
          <cell r="BM46">
            <v>75.78479999999999</v>
          </cell>
          <cell r="BN46">
            <v>75.78479999999999</v>
          </cell>
          <cell r="BO46">
            <v>75.78479999999999</v>
          </cell>
          <cell r="BP46">
            <v>75.78479999999999</v>
          </cell>
          <cell r="BQ46">
            <v>75.78479999999999</v>
          </cell>
          <cell r="BR46">
            <v>33.72</v>
          </cell>
          <cell r="BS46">
            <v>33.72</v>
          </cell>
          <cell r="BT46">
            <v>33.72</v>
          </cell>
          <cell r="BU46">
            <v>33.72</v>
          </cell>
          <cell r="BV46">
            <v>33.72</v>
          </cell>
          <cell r="BW46">
            <v>33.72</v>
          </cell>
          <cell r="BX46">
            <v>33.72</v>
          </cell>
          <cell r="BY46">
            <v>33.72</v>
          </cell>
          <cell r="BZ46">
            <v>33.72</v>
          </cell>
          <cell r="CA46">
            <v>33.72</v>
          </cell>
          <cell r="CB46">
            <v>33.72</v>
          </cell>
          <cell r="CC46">
            <v>37.170639999999999</v>
          </cell>
          <cell r="CD46">
            <v>37.170639999999999</v>
          </cell>
          <cell r="CE46">
            <v>37.170639999999999</v>
          </cell>
          <cell r="CF46">
            <v>37.170639999999999</v>
          </cell>
          <cell r="CG46">
            <v>37.170639999999999</v>
          </cell>
          <cell r="CH46">
            <v>37.170639999999999</v>
          </cell>
          <cell r="CI46">
            <v>37.170639999999999</v>
          </cell>
          <cell r="CJ46">
            <v>37.170639999999999</v>
          </cell>
          <cell r="CK46">
            <v>37.170639999999999</v>
          </cell>
          <cell r="CL46">
            <v>37.170639999999999</v>
          </cell>
          <cell r="CM46">
            <v>37.170639999999999</v>
          </cell>
          <cell r="CO46">
            <v>4.2699999999999996</v>
          </cell>
          <cell r="CP46">
            <v>4.2699999999999996</v>
          </cell>
          <cell r="CQ46">
            <v>4.2699999999999996</v>
          </cell>
          <cell r="CR46">
            <v>4.2699999999999996</v>
          </cell>
          <cell r="CS46">
            <v>4.2699999999999996</v>
          </cell>
          <cell r="CT46">
            <v>4.2699999999999996</v>
          </cell>
          <cell r="CU46">
            <v>4.2699999999999996</v>
          </cell>
          <cell r="CV46">
            <v>4.2699999999999996</v>
          </cell>
          <cell r="CW46">
            <v>4.2699999999999996</v>
          </cell>
          <cell r="CX46">
            <v>4.2699999999999996</v>
          </cell>
          <cell r="CY46">
            <v>4.2699999999999996</v>
          </cell>
          <cell r="CZ46">
            <v>1.52E-2</v>
          </cell>
          <cell r="DA46">
            <v>1.52E-2</v>
          </cell>
          <cell r="DB46">
            <v>1.52E-2</v>
          </cell>
          <cell r="DC46">
            <v>1.52E-2</v>
          </cell>
          <cell r="DD46">
            <v>1.52E-2</v>
          </cell>
          <cell r="DE46">
            <v>1.52E-2</v>
          </cell>
          <cell r="DF46">
            <v>1.52E-2</v>
          </cell>
          <cell r="DG46">
            <v>1.52E-2</v>
          </cell>
          <cell r="DH46">
            <v>1.52E-2</v>
          </cell>
          <cell r="DI46">
            <v>1.52E-2</v>
          </cell>
          <cell r="DJ46">
            <v>1.52E-2</v>
          </cell>
        </row>
        <row r="47">
          <cell r="C47">
            <v>2015</v>
          </cell>
          <cell r="D47">
            <v>9015</v>
          </cell>
          <cell r="G47" t="str">
            <v>SCA</v>
          </cell>
          <cell r="H47" t="str">
            <v>2005-2012</v>
          </cell>
          <cell r="I47">
            <v>0</v>
          </cell>
          <cell r="J47">
            <v>0</v>
          </cell>
          <cell r="K47">
            <v>2.5000000000000001E-2</v>
          </cell>
          <cell r="L47">
            <v>0</v>
          </cell>
          <cell r="M47">
            <v>0</v>
          </cell>
          <cell r="N47">
            <v>0</v>
          </cell>
          <cell r="O47">
            <v>0</v>
          </cell>
          <cell r="P47">
            <v>0</v>
          </cell>
          <cell r="Q47">
            <v>0</v>
          </cell>
          <cell r="R47">
            <v>0</v>
          </cell>
          <cell r="S47">
            <v>0</v>
          </cell>
          <cell r="T47">
            <v>0</v>
          </cell>
          <cell r="U47">
            <v>0</v>
          </cell>
          <cell r="V47">
            <v>0</v>
          </cell>
          <cell r="W47">
            <v>4.41</v>
          </cell>
          <cell r="X47">
            <v>4.41</v>
          </cell>
          <cell r="Y47">
            <v>4.41</v>
          </cell>
          <cell r="Z47">
            <v>4.41</v>
          </cell>
          <cell r="AA47">
            <v>4.41</v>
          </cell>
          <cell r="AB47">
            <v>4.41</v>
          </cell>
          <cell r="AC47">
            <v>4.41</v>
          </cell>
          <cell r="AD47">
            <v>4.41</v>
          </cell>
          <cell r="AE47">
            <v>4.41</v>
          </cell>
          <cell r="AF47">
            <v>4.41</v>
          </cell>
          <cell r="AG47">
            <v>4.41</v>
          </cell>
          <cell r="AH47">
            <v>2.5000000000000001E-2</v>
          </cell>
          <cell r="AI47">
            <v>2.5000000000000001E-2</v>
          </cell>
          <cell r="AJ47">
            <v>2.5000000000000001E-2</v>
          </cell>
          <cell r="AK47">
            <v>2.5000000000000001E-2</v>
          </cell>
          <cell r="AL47">
            <v>2.5000000000000001E-2</v>
          </cell>
          <cell r="AM47">
            <v>2.5000000000000001E-2</v>
          </cell>
          <cell r="AN47">
            <v>2.5000000000000001E-2</v>
          </cell>
          <cell r="AO47">
            <v>2.5000000000000001E-2</v>
          </cell>
          <cell r="AP47">
            <v>2.5000000000000001E-2</v>
          </cell>
          <cell r="AQ47">
            <v>2.5000000000000001E-2</v>
          </cell>
          <cell r="AR47">
            <v>2.5000000000000001E-2</v>
          </cell>
          <cell r="AS47">
            <v>2.7E-2</v>
          </cell>
          <cell r="AT47">
            <v>8000</v>
          </cell>
          <cell r="AU47">
            <v>216</v>
          </cell>
          <cell r="AV47">
            <v>4.6300000000000001E-2</v>
          </cell>
          <cell r="AW47">
            <v>4.6300000000000001E-2</v>
          </cell>
          <cell r="AX47">
            <v>4.6300000000000001E-2</v>
          </cell>
          <cell r="AY47">
            <v>4.6300000000000001E-2</v>
          </cell>
          <cell r="AZ47">
            <v>4.6300000000000001E-2</v>
          </cell>
          <cell r="BA47">
            <v>4.6300000000000001E-2</v>
          </cell>
          <cell r="BB47">
            <v>4.6300000000000001E-2</v>
          </cell>
          <cell r="BC47">
            <v>4.6300000000000001E-2</v>
          </cell>
          <cell r="BD47">
            <v>4.6300000000000001E-2</v>
          </cell>
          <cell r="BE47">
            <v>4.6300000000000001E-2</v>
          </cell>
          <cell r="BF47">
            <v>4.6300000000000001E-2</v>
          </cell>
          <cell r="BG47">
            <v>0</v>
          </cell>
          <cell r="BH47">
            <v>0</v>
          </cell>
          <cell r="BI47">
            <v>0</v>
          </cell>
          <cell r="BJ47">
            <v>0</v>
          </cell>
          <cell r="BK47">
            <v>0</v>
          </cell>
          <cell r="BL47">
            <v>0</v>
          </cell>
          <cell r="BM47">
            <v>0</v>
          </cell>
          <cell r="BN47">
            <v>0</v>
          </cell>
          <cell r="BO47">
            <v>0</v>
          </cell>
          <cell r="BP47">
            <v>0</v>
          </cell>
          <cell r="BQ47">
            <v>0</v>
          </cell>
          <cell r="BR47">
            <v>33.72</v>
          </cell>
          <cell r="BS47">
            <v>33.72</v>
          </cell>
          <cell r="BT47">
            <v>33.72</v>
          </cell>
          <cell r="BU47">
            <v>33.72</v>
          </cell>
          <cell r="BV47">
            <v>33.72</v>
          </cell>
          <cell r="BW47">
            <v>33.72</v>
          </cell>
          <cell r="BX47">
            <v>33.72</v>
          </cell>
          <cell r="BY47">
            <v>33.72</v>
          </cell>
          <cell r="BZ47">
            <v>33.72</v>
          </cell>
          <cell r="CA47">
            <v>33.72</v>
          </cell>
          <cell r="CB47">
            <v>33.72</v>
          </cell>
          <cell r="CC47">
            <v>0</v>
          </cell>
          <cell r="CD47">
            <v>0</v>
          </cell>
          <cell r="CE47">
            <v>0</v>
          </cell>
          <cell r="CF47">
            <v>0</v>
          </cell>
          <cell r="CG47">
            <v>0</v>
          </cell>
          <cell r="CH47">
            <v>0</v>
          </cell>
          <cell r="CI47">
            <v>0</v>
          </cell>
          <cell r="CJ47">
            <v>0</v>
          </cell>
          <cell r="CK47">
            <v>0</v>
          </cell>
          <cell r="CL47">
            <v>0</v>
          </cell>
          <cell r="CM47">
            <v>0</v>
          </cell>
          <cell r="CO47">
            <v>4.2699999999999996</v>
          </cell>
          <cell r="CP47">
            <v>4.2699999999999996</v>
          </cell>
          <cell r="CQ47">
            <v>4.2699999999999996</v>
          </cell>
          <cell r="CR47">
            <v>4.2699999999999996</v>
          </cell>
          <cell r="CS47">
            <v>4.2699999999999996</v>
          </cell>
          <cell r="CT47">
            <v>4.2699999999999996</v>
          </cell>
          <cell r="CU47">
            <v>4.2699999999999996</v>
          </cell>
          <cell r="CV47">
            <v>4.2699999999999996</v>
          </cell>
          <cell r="CW47">
            <v>4.2699999999999996</v>
          </cell>
          <cell r="CX47">
            <v>4.2699999999999996</v>
          </cell>
          <cell r="CY47">
            <v>4.2699999999999996</v>
          </cell>
          <cell r="CZ47">
            <v>4.6300000000000001E-2</v>
          </cell>
          <cell r="DA47">
            <v>4.6300000000000001E-2</v>
          </cell>
          <cell r="DB47">
            <v>4.6300000000000001E-2</v>
          </cell>
          <cell r="DC47">
            <v>4.6300000000000001E-2</v>
          </cell>
          <cell r="DD47">
            <v>4.6300000000000001E-2</v>
          </cell>
          <cell r="DE47">
            <v>4.6300000000000001E-2</v>
          </cell>
          <cell r="DF47">
            <v>4.6300000000000001E-2</v>
          </cell>
          <cell r="DG47">
            <v>4.6300000000000001E-2</v>
          </cell>
          <cell r="DH47">
            <v>4.6300000000000001E-2</v>
          </cell>
          <cell r="DI47">
            <v>4.6300000000000001E-2</v>
          </cell>
          <cell r="DJ47">
            <v>4.6300000000000001E-2</v>
          </cell>
        </row>
        <row r="48">
          <cell r="C48">
            <v>2020</v>
          </cell>
          <cell r="D48">
            <v>9015</v>
          </cell>
          <cell r="G48" t="str">
            <v>SCA</v>
          </cell>
          <cell r="H48" t="str">
            <v>2005-2012</v>
          </cell>
          <cell r="I48">
            <v>0</v>
          </cell>
          <cell r="J48">
            <v>0</v>
          </cell>
          <cell r="K48">
            <v>2.5000000000000001E-2</v>
          </cell>
          <cell r="L48">
            <v>0</v>
          </cell>
          <cell r="M48">
            <v>0</v>
          </cell>
          <cell r="N48">
            <v>0</v>
          </cell>
          <cell r="O48">
            <v>0</v>
          </cell>
          <cell r="P48">
            <v>0</v>
          </cell>
          <cell r="Q48">
            <v>0</v>
          </cell>
          <cell r="R48">
            <v>0</v>
          </cell>
          <cell r="S48">
            <v>0</v>
          </cell>
          <cell r="T48">
            <v>0</v>
          </cell>
          <cell r="U48">
            <v>0</v>
          </cell>
          <cell r="V48">
            <v>0</v>
          </cell>
          <cell r="W48">
            <v>4.41</v>
          </cell>
          <cell r="X48">
            <v>4.41</v>
          </cell>
          <cell r="Y48">
            <v>4.41</v>
          </cell>
          <cell r="Z48">
            <v>4.41</v>
          </cell>
          <cell r="AA48">
            <v>4.41</v>
          </cell>
          <cell r="AB48">
            <v>4.41</v>
          </cell>
          <cell r="AC48">
            <v>4.41</v>
          </cell>
          <cell r="AD48">
            <v>4.41</v>
          </cell>
          <cell r="AE48">
            <v>4.41</v>
          </cell>
          <cell r="AF48">
            <v>4.41</v>
          </cell>
          <cell r="AG48">
            <v>4.41</v>
          </cell>
          <cell r="AH48">
            <v>2.5000000000000001E-2</v>
          </cell>
          <cell r="AI48">
            <v>2.5000000000000001E-2</v>
          </cell>
          <cell r="AJ48">
            <v>2.5000000000000001E-2</v>
          </cell>
          <cell r="AK48">
            <v>2.5000000000000001E-2</v>
          </cell>
          <cell r="AL48">
            <v>2.5000000000000001E-2</v>
          </cell>
          <cell r="AM48">
            <v>2.5000000000000001E-2</v>
          </cell>
          <cell r="AN48">
            <v>2.5000000000000001E-2</v>
          </cell>
          <cell r="AO48">
            <v>2.5000000000000001E-2</v>
          </cell>
          <cell r="AP48">
            <v>2.5000000000000001E-2</v>
          </cell>
          <cell r="AQ48">
            <v>2.5000000000000001E-2</v>
          </cell>
          <cell r="AR48">
            <v>2.5000000000000001E-2</v>
          </cell>
          <cell r="AS48">
            <v>2.7E-2</v>
          </cell>
          <cell r="AT48">
            <v>8000</v>
          </cell>
          <cell r="AU48">
            <v>216</v>
          </cell>
          <cell r="AV48">
            <v>4.6300000000000001E-2</v>
          </cell>
          <cell r="AW48">
            <v>4.6300000000000001E-2</v>
          </cell>
          <cell r="AX48">
            <v>4.6300000000000001E-2</v>
          </cell>
          <cell r="AY48">
            <v>4.6300000000000001E-2</v>
          </cell>
          <cell r="AZ48">
            <v>4.6300000000000001E-2</v>
          </cell>
          <cell r="BA48">
            <v>4.6300000000000001E-2</v>
          </cell>
          <cell r="BB48">
            <v>4.6300000000000001E-2</v>
          </cell>
          <cell r="BC48">
            <v>4.6300000000000001E-2</v>
          </cell>
          <cell r="BD48">
            <v>4.6300000000000001E-2</v>
          </cell>
          <cell r="BE48">
            <v>4.6300000000000001E-2</v>
          </cell>
          <cell r="BF48">
            <v>4.6300000000000001E-2</v>
          </cell>
          <cell r="BG48">
            <v>0</v>
          </cell>
          <cell r="BH48">
            <v>0</v>
          </cell>
          <cell r="BI48">
            <v>0</v>
          </cell>
          <cell r="BJ48">
            <v>0</v>
          </cell>
          <cell r="BK48">
            <v>0</v>
          </cell>
          <cell r="BL48">
            <v>0</v>
          </cell>
          <cell r="BM48">
            <v>0</v>
          </cell>
          <cell r="BN48">
            <v>0</v>
          </cell>
          <cell r="BO48">
            <v>0</v>
          </cell>
          <cell r="BP48">
            <v>0</v>
          </cell>
          <cell r="BQ48">
            <v>0</v>
          </cell>
          <cell r="BR48">
            <v>33.72</v>
          </cell>
          <cell r="BS48">
            <v>33.72</v>
          </cell>
          <cell r="BT48">
            <v>33.72</v>
          </cell>
          <cell r="BU48">
            <v>33.72</v>
          </cell>
          <cell r="BV48">
            <v>33.72</v>
          </cell>
          <cell r="BW48">
            <v>33.72</v>
          </cell>
          <cell r="BX48">
            <v>33.72</v>
          </cell>
          <cell r="BY48">
            <v>33.72</v>
          </cell>
          <cell r="BZ48">
            <v>33.72</v>
          </cell>
          <cell r="CA48">
            <v>33.72</v>
          </cell>
          <cell r="CB48">
            <v>33.72</v>
          </cell>
          <cell r="CC48">
            <v>0</v>
          </cell>
          <cell r="CD48">
            <v>0</v>
          </cell>
          <cell r="CE48">
            <v>0</v>
          </cell>
          <cell r="CF48">
            <v>0</v>
          </cell>
          <cell r="CG48">
            <v>0</v>
          </cell>
          <cell r="CH48">
            <v>0</v>
          </cell>
          <cell r="CI48">
            <v>0</v>
          </cell>
          <cell r="CJ48">
            <v>0</v>
          </cell>
          <cell r="CK48">
            <v>0</v>
          </cell>
          <cell r="CL48">
            <v>0</v>
          </cell>
          <cell r="CM48">
            <v>0</v>
          </cell>
          <cell r="CO48">
            <v>4.2699999999999996</v>
          </cell>
          <cell r="CP48">
            <v>4.2699999999999996</v>
          </cell>
          <cell r="CQ48">
            <v>4.2699999999999996</v>
          </cell>
          <cell r="CR48">
            <v>4.2699999999999996</v>
          </cell>
          <cell r="CS48">
            <v>4.2699999999999996</v>
          </cell>
          <cell r="CT48">
            <v>4.2699999999999996</v>
          </cell>
          <cell r="CU48">
            <v>4.2699999999999996</v>
          </cell>
          <cell r="CV48">
            <v>4.2699999999999996</v>
          </cell>
          <cell r="CW48">
            <v>4.2699999999999996</v>
          </cell>
          <cell r="CX48">
            <v>4.2699999999999996</v>
          </cell>
          <cell r="CY48">
            <v>4.2699999999999996</v>
          </cell>
          <cell r="CZ48">
            <v>4.6300000000000001E-2</v>
          </cell>
          <cell r="DA48">
            <v>4.6300000000000001E-2</v>
          </cell>
          <cell r="DB48">
            <v>4.6300000000000001E-2</v>
          </cell>
          <cell r="DC48">
            <v>4.6300000000000001E-2</v>
          </cell>
          <cell r="DD48">
            <v>4.6300000000000001E-2</v>
          </cell>
          <cell r="DE48">
            <v>4.6300000000000001E-2</v>
          </cell>
          <cell r="DF48">
            <v>4.6300000000000001E-2</v>
          </cell>
          <cell r="DG48">
            <v>4.6300000000000001E-2</v>
          </cell>
          <cell r="DH48">
            <v>4.6300000000000001E-2</v>
          </cell>
          <cell r="DI48">
            <v>4.6300000000000001E-2</v>
          </cell>
          <cell r="DJ48">
            <v>4.6300000000000001E-2</v>
          </cell>
        </row>
        <row r="49">
          <cell r="C49">
            <v>2025</v>
          </cell>
          <cell r="D49">
            <v>9015</v>
          </cell>
          <cell r="G49" t="str">
            <v>SCA</v>
          </cell>
          <cell r="H49" t="str">
            <v>2005-2012</v>
          </cell>
          <cell r="I49">
            <v>0</v>
          </cell>
          <cell r="J49">
            <v>0</v>
          </cell>
          <cell r="K49">
            <v>2.5000000000000001E-2</v>
          </cell>
          <cell r="L49">
            <v>0</v>
          </cell>
          <cell r="M49">
            <v>0</v>
          </cell>
          <cell r="N49">
            <v>0</v>
          </cell>
          <cell r="O49">
            <v>0</v>
          </cell>
          <cell r="P49">
            <v>0</v>
          </cell>
          <cell r="Q49">
            <v>0</v>
          </cell>
          <cell r="R49">
            <v>0</v>
          </cell>
          <cell r="S49">
            <v>0</v>
          </cell>
          <cell r="T49">
            <v>0</v>
          </cell>
          <cell r="U49">
            <v>0</v>
          </cell>
          <cell r="V49">
            <v>0</v>
          </cell>
          <cell r="W49">
            <v>4.41</v>
          </cell>
          <cell r="X49">
            <v>4.41</v>
          </cell>
          <cell r="Y49">
            <v>4.41</v>
          </cell>
          <cell r="Z49">
            <v>4.41</v>
          </cell>
          <cell r="AA49">
            <v>4.41</v>
          </cell>
          <cell r="AB49">
            <v>4.41</v>
          </cell>
          <cell r="AC49">
            <v>4.41</v>
          </cell>
          <cell r="AD49">
            <v>4.41</v>
          </cell>
          <cell r="AE49">
            <v>4.41</v>
          </cell>
          <cell r="AF49">
            <v>4.41</v>
          </cell>
          <cell r="AG49">
            <v>4.41</v>
          </cell>
          <cell r="AH49">
            <v>2.5000000000000001E-2</v>
          </cell>
          <cell r="AI49">
            <v>2.5000000000000001E-2</v>
          </cell>
          <cell r="AJ49">
            <v>2.5000000000000001E-2</v>
          </cell>
          <cell r="AK49">
            <v>2.5000000000000001E-2</v>
          </cell>
          <cell r="AL49">
            <v>2.5000000000000001E-2</v>
          </cell>
          <cell r="AM49">
            <v>2.5000000000000001E-2</v>
          </cell>
          <cell r="AN49">
            <v>2.5000000000000001E-2</v>
          </cell>
          <cell r="AO49">
            <v>2.5000000000000001E-2</v>
          </cell>
          <cell r="AP49">
            <v>2.5000000000000001E-2</v>
          </cell>
          <cell r="AQ49">
            <v>2.5000000000000001E-2</v>
          </cell>
          <cell r="AR49">
            <v>2.5000000000000001E-2</v>
          </cell>
          <cell r="AS49">
            <v>2.7E-2</v>
          </cell>
          <cell r="AT49">
            <v>8000</v>
          </cell>
          <cell r="AU49">
            <v>216</v>
          </cell>
          <cell r="AV49">
            <v>4.6300000000000001E-2</v>
          </cell>
          <cell r="AW49">
            <v>4.6300000000000001E-2</v>
          </cell>
          <cell r="AX49">
            <v>4.6300000000000001E-2</v>
          </cell>
          <cell r="AY49">
            <v>4.6300000000000001E-2</v>
          </cell>
          <cell r="AZ49">
            <v>4.6300000000000001E-2</v>
          </cell>
          <cell r="BA49">
            <v>4.6300000000000001E-2</v>
          </cell>
          <cell r="BB49">
            <v>4.6300000000000001E-2</v>
          </cell>
          <cell r="BC49">
            <v>4.6300000000000001E-2</v>
          </cell>
          <cell r="BD49">
            <v>4.6300000000000001E-2</v>
          </cell>
          <cell r="BE49">
            <v>4.6300000000000001E-2</v>
          </cell>
          <cell r="BF49">
            <v>4.6300000000000001E-2</v>
          </cell>
          <cell r="BG49">
            <v>0</v>
          </cell>
          <cell r="BH49">
            <v>0</v>
          </cell>
          <cell r="BI49">
            <v>0</v>
          </cell>
          <cell r="BJ49">
            <v>0</v>
          </cell>
          <cell r="BK49">
            <v>0</v>
          </cell>
          <cell r="BL49">
            <v>0</v>
          </cell>
          <cell r="BM49">
            <v>0</v>
          </cell>
          <cell r="BN49">
            <v>0</v>
          </cell>
          <cell r="BO49">
            <v>0</v>
          </cell>
          <cell r="BP49">
            <v>0</v>
          </cell>
          <cell r="BQ49">
            <v>0</v>
          </cell>
          <cell r="BR49">
            <v>33.72</v>
          </cell>
          <cell r="BS49">
            <v>33.72</v>
          </cell>
          <cell r="BT49">
            <v>33.72</v>
          </cell>
          <cell r="BU49">
            <v>33.72</v>
          </cell>
          <cell r="BV49">
            <v>33.72</v>
          </cell>
          <cell r="BW49">
            <v>33.72</v>
          </cell>
          <cell r="BX49">
            <v>33.72</v>
          </cell>
          <cell r="BY49">
            <v>33.72</v>
          </cell>
          <cell r="BZ49">
            <v>33.72</v>
          </cell>
          <cell r="CA49">
            <v>33.72</v>
          </cell>
          <cell r="CB49">
            <v>33.72</v>
          </cell>
          <cell r="CC49">
            <v>0</v>
          </cell>
          <cell r="CD49">
            <v>0</v>
          </cell>
          <cell r="CE49">
            <v>0</v>
          </cell>
          <cell r="CF49">
            <v>0</v>
          </cell>
          <cell r="CG49">
            <v>0</v>
          </cell>
          <cell r="CH49">
            <v>0</v>
          </cell>
          <cell r="CI49">
            <v>0</v>
          </cell>
          <cell r="CJ49">
            <v>0</v>
          </cell>
          <cell r="CK49">
            <v>0</v>
          </cell>
          <cell r="CL49">
            <v>0</v>
          </cell>
          <cell r="CM49">
            <v>0</v>
          </cell>
          <cell r="CO49">
            <v>4.2699999999999996</v>
          </cell>
          <cell r="CP49">
            <v>4.2699999999999996</v>
          </cell>
          <cell r="CQ49">
            <v>4.2699999999999996</v>
          </cell>
          <cell r="CR49">
            <v>4.2699999999999996</v>
          </cell>
          <cell r="CS49">
            <v>4.2699999999999996</v>
          </cell>
          <cell r="CT49">
            <v>4.2699999999999996</v>
          </cell>
          <cell r="CU49">
            <v>4.2699999999999996</v>
          </cell>
          <cell r="CV49">
            <v>4.2699999999999996</v>
          </cell>
          <cell r="CW49">
            <v>4.2699999999999996</v>
          </cell>
          <cell r="CX49">
            <v>4.2699999999999996</v>
          </cell>
          <cell r="CY49">
            <v>4.2699999999999996</v>
          </cell>
          <cell r="CZ49">
            <v>4.6300000000000001E-2</v>
          </cell>
          <cell r="DA49">
            <v>4.6300000000000001E-2</v>
          </cell>
          <cell r="DB49">
            <v>4.6300000000000001E-2</v>
          </cell>
          <cell r="DC49">
            <v>4.6300000000000001E-2</v>
          </cell>
          <cell r="DD49">
            <v>4.6300000000000001E-2</v>
          </cell>
          <cell r="DE49">
            <v>4.6300000000000001E-2</v>
          </cell>
          <cell r="DF49">
            <v>4.6300000000000001E-2</v>
          </cell>
          <cell r="DG49">
            <v>4.6300000000000001E-2</v>
          </cell>
          <cell r="DH49">
            <v>4.6300000000000001E-2</v>
          </cell>
          <cell r="DI49">
            <v>4.6300000000000001E-2</v>
          </cell>
          <cell r="DJ49">
            <v>4.6300000000000001E-2</v>
          </cell>
        </row>
        <row r="50">
          <cell r="C50">
            <v>2030</v>
          </cell>
          <cell r="D50">
            <v>9015</v>
          </cell>
          <cell r="G50" t="str">
            <v>SCA</v>
          </cell>
          <cell r="H50" t="str">
            <v>2005-2012</v>
          </cell>
          <cell r="I50">
            <v>0</v>
          </cell>
          <cell r="J50">
            <v>0</v>
          </cell>
          <cell r="K50">
            <v>2.5000000000000001E-2</v>
          </cell>
          <cell r="L50">
            <v>0</v>
          </cell>
          <cell r="M50">
            <v>0</v>
          </cell>
          <cell r="N50">
            <v>0</v>
          </cell>
          <cell r="O50">
            <v>0</v>
          </cell>
          <cell r="P50">
            <v>0</v>
          </cell>
          <cell r="Q50">
            <v>0</v>
          </cell>
          <cell r="R50">
            <v>0</v>
          </cell>
          <cell r="S50">
            <v>0</v>
          </cell>
          <cell r="T50">
            <v>0</v>
          </cell>
          <cell r="U50">
            <v>0</v>
          </cell>
          <cell r="V50">
            <v>0</v>
          </cell>
          <cell r="W50">
            <v>4.41</v>
          </cell>
          <cell r="X50">
            <v>4.41</v>
          </cell>
          <cell r="Y50">
            <v>4.41</v>
          </cell>
          <cell r="Z50">
            <v>4.41</v>
          </cell>
          <cell r="AA50">
            <v>4.41</v>
          </cell>
          <cell r="AB50">
            <v>4.41</v>
          </cell>
          <cell r="AC50">
            <v>4.41</v>
          </cell>
          <cell r="AD50">
            <v>4.41</v>
          </cell>
          <cell r="AE50">
            <v>4.41</v>
          </cell>
          <cell r="AF50">
            <v>4.41</v>
          </cell>
          <cell r="AG50">
            <v>4.41</v>
          </cell>
          <cell r="AH50">
            <v>2.5000000000000001E-2</v>
          </cell>
          <cell r="AI50">
            <v>2.5000000000000001E-2</v>
          </cell>
          <cell r="AJ50">
            <v>2.5000000000000001E-2</v>
          </cell>
          <cell r="AK50">
            <v>2.5000000000000001E-2</v>
          </cell>
          <cell r="AL50">
            <v>2.5000000000000001E-2</v>
          </cell>
          <cell r="AM50">
            <v>2.5000000000000001E-2</v>
          </cell>
          <cell r="AN50">
            <v>2.5000000000000001E-2</v>
          </cell>
          <cell r="AO50">
            <v>2.5000000000000001E-2</v>
          </cell>
          <cell r="AP50">
            <v>2.5000000000000001E-2</v>
          </cell>
          <cell r="AQ50">
            <v>2.5000000000000001E-2</v>
          </cell>
          <cell r="AR50">
            <v>2.5000000000000001E-2</v>
          </cell>
          <cell r="AS50">
            <v>2.7E-2</v>
          </cell>
          <cell r="AT50">
            <v>8000</v>
          </cell>
          <cell r="AU50">
            <v>216</v>
          </cell>
          <cell r="AV50">
            <v>4.6300000000000001E-2</v>
          </cell>
          <cell r="AW50">
            <v>4.6300000000000001E-2</v>
          </cell>
          <cell r="AX50">
            <v>4.6300000000000001E-2</v>
          </cell>
          <cell r="AY50">
            <v>4.6300000000000001E-2</v>
          </cell>
          <cell r="AZ50">
            <v>4.6300000000000001E-2</v>
          </cell>
          <cell r="BA50">
            <v>4.6300000000000001E-2</v>
          </cell>
          <cell r="BB50">
            <v>4.6300000000000001E-2</v>
          </cell>
          <cell r="BC50">
            <v>4.6300000000000001E-2</v>
          </cell>
          <cell r="BD50">
            <v>4.6300000000000001E-2</v>
          </cell>
          <cell r="BE50">
            <v>4.6300000000000001E-2</v>
          </cell>
          <cell r="BF50">
            <v>4.6300000000000001E-2</v>
          </cell>
          <cell r="BG50">
            <v>0</v>
          </cell>
          <cell r="BH50">
            <v>0</v>
          </cell>
          <cell r="BI50">
            <v>0</v>
          </cell>
          <cell r="BJ50">
            <v>0</v>
          </cell>
          <cell r="BK50">
            <v>0</v>
          </cell>
          <cell r="BL50">
            <v>0</v>
          </cell>
          <cell r="BM50">
            <v>0</v>
          </cell>
          <cell r="BN50">
            <v>0</v>
          </cell>
          <cell r="BO50">
            <v>0</v>
          </cell>
          <cell r="BP50">
            <v>0</v>
          </cell>
          <cell r="BQ50">
            <v>0</v>
          </cell>
          <cell r="BR50">
            <v>33.72</v>
          </cell>
          <cell r="BS50">
            <v>33.72</v>
          </cell>
          <cell r="BT50">
            <v>33.72</v>
          </cell>
          <cell r="BU50">
            <v>33.72</v>
          </cell>
          <cell r="BV50">
            <v>33.72</v>
          </cell>
          <cell r="BW50">
            <v>33.72</v>
          </cell>
          <cell r="BX50">
            <v>33.72</v>
          </cell>
          <cell r="BY50">
            <v>33.72</v>
          </cell>
          <cell r="BZ50">
            <v>33.72</v>
          </cell>
          <cell r="CA50">
            <v>33.72</v>
          </cell>
          <cell r="CB50">
            <v>33.72</v>
          </cell>
          <cell r="CC50">
            <v>0</v>
          </cell>
          <cell r="CD50">
            <v>0</v>
          </cell>
          <cell r="CE50">
            <v>0</v>
          </cell>
          <cell r="CF50">
            <v>0</v>
          </cell>
          <cell r="CG50">
            <v>0</v>
          </cell>
          <cell r="CH50">
            <v>0</v>
          </cell>
          <cell r="CI50">
            <v>0</v>
          </cell>
          <cell r="CJ50">
            <v>0</v>
          </cell>
          <cell r="CK50">
            <v>0</v>
          </cell>
          <cell r="CL50">
            <v>0</v>
          </cell>
          <cell r="CM50">
            <v>0</v>
          </cell>
          <cell r="CO50">
            <v>4.2699999999999996</v>
          </cell>
          <cell r="CP50">
            <v>4.2699999999999996</v>
          </cell>
          <cell r="CQ50">
            <v>4.2699999999999996</v>
          </cell>
          <cell r="CR50">
            <v>4.2699999999999996</v>
          </cell>
          <cell r="CS50">
            <v>4.2699999999999996</v>
          </cell>
          <cell r="CT50">
            <v>4.2699999999999996</v>
          </cell>
          <cell r="CU50">
            <v>4.2699999999999996</v>
          </cell>
          <cell r="CV50">
            <v>4.2699999999999996</v>
          </cell>
          <cell r="CW50">
            <v>4.2699999999999996</v>
          </cell>
          <cell r="CX50">
            <v>4.2699999999999996</v>
          </cell>
          <cell r="CY50">
            <v>4.2699999999999996</v>
          </cell>
          <cell r="CZ50">
            <v>4.6300000000000001E-2</v>
          </cell>
          <cell r="DA50">
            <v>4.6300000000000001E-2</v>
          </cell>
          <cell r="DB50">
            <v>4.6300000000000001E-2</v>
          </cell>
          <cell r="DC50">
            <v>4.6300000000000001E-2</v>
          </cell>
          <cell r="DD50">
            <v>4.6300000000000001E-2</v>
          </cell>
          <cell r="DE50">
            <v>4.6300000000000001E-2</v>
          </cell>
          <cell r="DF50">
            <v>4.6300000000000001E-2</v>
          </cell>
          <cell r="DG50">
            <v>4.6300000000000001E-2</v>
          </cell>
          <cell r="DH50">
            <v>4.6300000000000001E-2</v>
          </cell>
          <cell r="DI50">
            <v>4.6300000000000001E-2</v>
          </cell>
          <cell r="DJ50">
            <v>4.6300000000000001E-2</v>
          </cell>
        </row>
        <row r="55">
          <cell r="C55" t="str">
            <v>Collective Bargaining Agreement (#1) - International Union of Operating Engineers, Local 701</v>
          </cell>
        </row>
        <row r="56">
          <cell r="C56">
            <v>3000</v>
          </cell>
          <cell r="D56">
            <v>9015</v>
          </cell>
          <cell r="E56" t="str">
            <v>Dispatcher/Clerk Typist</v>
          </cell>
          <cell r="G56" t="str">
            <v>CBA1</v>
          </cell>
          <cell r="H56" t="str">
            <v>RFP CBA</v>
          </cell>
          <cell r="I56">
            <v>42369.599999999999</v>
          </cell>
          <cell r="J56">
            <v>20.37</v>
          </cell>
          <cell r="K56">
            <v>1.7</v>
          </cell>
          <cell r="L56">
            <v>20.37</v>
          </cell>
          <cell r="M56">
            <v>20.37</v>
          </cell>
          <cell r="N56">
            <v>20.57</v>
          </cell>
          <cell r="O56">
            <v>20.57</v>
          </cell>
          <cell r="P56">
            <v>20.57</v>
          </cell>
          <cell r="Q56">
            <v>20.57</v>
          </cell>
          <cell r="R56">
            <v>20.57</v>
          </cell>
          <cell r="S56">
            <v>20.57</v>
          </cell>
          <cell r="T56">
            <v>20.57</v>
          </cell>
          <cell r="U56">
            <v>20.57</v>
          </cell>
          <cell r="V56">
            <v>20.57</v>
          </cell>
          <cell r="W56">
            <v>7.49</v>
          </cell>
          <cell r="X56">
            <v>7.49</v>
          </cell>
          <cell r="Y56">
            <v>7.49</v>
          </cell>
          <cell r="Z56">
            <v>7.49</v>
          </cell>
          <cell r="AA56">
            <v>7.49</v>
          </cell>
          <cell r="AB56">
            <v>7.49</v>
          </cell>
          <cell r="AC56">
            <v>7.49</v>
          </cell>
          <cell r="AD56">
            <v>7.49</v>
          </cell>
          <cell r="AE56">
            <v>7.49</v>
          </cell>
          <cell r="AF56">
            <v>7.49</v>
          </cell>
          <cell r="AG56">
            <v>7.49</v>
          </cell>
          <cell r="AH56">
            <v>1.7</v>
          </cell>
          <cell r="AI56">
            <v>1.7</v>
          </cell>
          <cell r="AJ56">
            <v>1.7</v>
          </cell>
          <cell r="AK56">
            <v>1.7</v>
          </cell>
          <cell r="AL56">
            <v>1.7</v>
          </cell>
          <cell r="AM56">
            <v>1.7</v>
          </cell>
          <cell r="AN56">
            <v>1.7</v>
          </cell>
          <cell r="AO56">
            <v>1.7</v>
          </cell>
          <cell r="AP56">
            <v>1.7</v>
          </cell>
          <cell r="AQ56">
            <v>1.7</v>
          </cell>
          <cell r="AR56">
            <v>1.7</v>
          </cell>
          <cell r="AS56">
            <v>2.7E-2</v>
          </cell>
          <cell r="AT56">
            <v>8000</v>
          </cell>
          <cell r="AU56">
            <v>216</v>
          </cell>
          <cell r="AV56">
            <v>4.6300000000000001E-2</v>
          </cell>
          <cell r="AW56">
            <v>4.6300000000000001E-2</v>
          </cell>
          <cell r="AX56">
            <v>4.6300000000000001E-2</v>
          </cell>
          <cell r="AY56">
            <v>4.6300000000000001E-2</v>
          </cell>
          <cell r="AZ56">
            <v>4.6300000000000001E-2</v>
          </cell>
          <cell r="BA56">
            <v>4.6300000000000001E-2</v>
          </cell>
          <cell r="BB56">
            <v>4.6300000000000001E-2</v>
          </cell>
          <cell r="BC56">
            <v>4.6300000000000001E-2</v>
          </cell>
          <cell r="BD56">
            <v>4.6300000000000001E-2</v>
          </cell>
          <cell r="BE56">
            <v>4.6300000000000001E-2</v>
          </cell>
          <cell r="BF56">
            <v>4.6300000000000001E-2</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O56">
            <v>7.49</v>
          </cell>
          <cell r="CP56">
            <v>7.49</v>
          </cell>
          <cell r="CQ56">
            <v>7.49</v>
          </cell>
          <cell r="CR56">
            <v>7.49</v>
          </cell>
          <cell r="CS56">
            <v>7.49</v>
          </cell>
          <cell r="CT56">
            <v>7.49</v>
          </cell>
          <cell r="CU56">
            <v>7.49</v>
          </cell>
          <cell r="CV56">
            <v>7.49</v>
          </cell>
          <cell r="CW56">
            <v>7.49</v>
          </cell>
          <cell r="CX56">
            <v>7.49</v>
          </cell>
          <cell r="CY56">
            <v>7.49</v>
          </cell>
          <cell r="CZ56">
            <v>4.6300000000000001E-2</v>
          </cell>
          <cell r="DA56">
            <v>4.6300000000000001E-2</v>
          </cell>
          <cell r="DB56">
            <v>4.6300000000000001E-2</v>
          </cell>
          <cell r="DC56">
            <v>4.6300000000000001E-2</v>
          </cell>
          <cell r="DD56">
            <v>4.6300000000000001E-2</v>
          </cell>
          <cell r="DE56">
            <v>4.6300000000000001E-2</v>
          </cell>
          <cell r="DF56">
            <v>4.6300000000000001E-2</v>
          </cell>
          <cell r="DG56">
            <v>4.6300000000000001E-2</v>
          </cell>
          <cell r="DH56">
            <v>4.6300000000000001E-2</v>
          </cell>
          <cell r="DI56">
            <v>4.6300000000000001E-2</v>
          </cell>
          <cell r="DJ56">
            <v>4.6300000000000001E-2</v>
          </cell>
        </row>
        <row r="57">
          <cell r="C57">
            <v>3005</v>
          </cell>
          <cell r="D57">
            <v>9015</v>
          </cell>
          <cell r="E57" t="str">
            <v>Janitor</v>
          </cell>
          <cell r="G57" t="str">
            <v>CBA1</v>
          </cell>
          <cell r="H57" t="str">
            <v>RFP CBA</v>
          </cell>
          <cell r="I57">
            <v>41558.400000000001</v>
          </cell>
          <cell r="J57">
            <v>19.98</v>
          </cell>
          <cell r="K57">
            <v>1.7</v>
          </cell>
          <cell r="L57">
            <v>19.98</v>
          </cell>
          <cell r="M57">
            <v>19.98</v>
          </cell>
          <cell r="N57">
            <v>13.9</v>
          </cell>
          <cell r="O57">
            <v>13.9</v>
          </cell>
          <cell r="P57">
            <v>13.9</v>
          </cell>
          <cell r="Q57">
            <v>13.9</v>
          </cell>
          <cell r="R57">
            <v>13.9</v>
          </cell>
          <cell r="S57">
            <v>13.9</v>
          </cell>
          <cell r="T57">
            <v>13.9</v>
          </cell>
          <cell r="U57">
            <v>13.9</v>
          </cell>
          <cell r="V57">
            <v>13.9</v>
          </cell>
          <cell r="W57">
            <v>7.49</v>
          </cell>
          <cell r="X57">
            <v>7.49</v>
          </cell>
          <cell r="Y57">
            <v>7.49</v>
          </cell>
          <cell r="Z57">
            <v>7.49</v>
          </cell>
          <cell r="AA57">
            <v>7.49</v>
          </cell>
          <cell r="AB57">
            <v>7.49</v>
          </cell>
          <cell r="AC57">
            <v>7.49</v>
          </cell>
          <cell r="AD57">
            <v>7.49</v>
          </cell>
          <cell r="AE57">
            <v>7.49</v>
          </cell>
          <cell r="AF57">
            <v>7.49</v>
          </cell>
          <cell r="AG57">
            <v>7.49</v>
          </cell>
          <cell r="AH57">
            <v>1.7</v>
          </cell>
          <cell r="AI57">
            <v>1.7</v>
          </cell>
          <cell r="AJ57">
            <v>1.7</v>
          </cell>
          <cell r="AK57">
            <v>1.7</v>
          </cell>
          <cell r="AL57">
            <v>1.7</v>
          </cell>
          <cell r="AM57">
            <v>1.7</v>
          </cell>
          <cell r="AN57">
            <v>1.7</v>
          </cell>
          <cell r="AO57">
            <v>1.7</v>
          </cell>
          <cell r="AP57">
            <v>1.7</v>
          </cell>
          <cell r="AQ57">
            <v>1.7</v>
          </cell>
          <cell r="AR57">
            <v>1.7</v>
          </cell>
          <cell r="AS57">
            <v>2.7E-2</v>
          </cell>
          <cell r="AT57">
            <v>8000</v>
          </cell>
          <cell r="AU57">
            <v>216</v>
          </cell>
          <cell r="AV57">
            <v>4.6300000000000001E-2</v>
          </cell>
          <cell r="AW57">
            <v>4.6300000000000001E-2</v>
          </cell>
          <cell r="AX57">
            <v>4.6300000000000001E-2</v>
          </cell>
          <cell r="AY57">
            <v>4.6300000000000001E-2</v>
          </cell>
          <cell r="AZ57">
            <v>4.6300000000000001E-2</v>
          </cell>
          <cell r="BA57">
            <v>4.6300000000000001E-2</v>
          </cell>
          <cell r="BB57">
            <v>4.6300000000000001E-2</v>
          </cell>
          <cell r="BC57">
            <v>4.6300000000000001E-2</v>
          </cell>
          <cell r="BD57">
            <v>4.6300000000000001E-2</v>
          </cell>
          <cell r="BE57">
            <v>4.6300000000000001E-2</v>
          </cell>
          <cell r="BF57">
            <v>4.6300000000000001E-2</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O57">
            <v>7.49</v>
          </cell>
          <cell r="CP57">
            <v>7.49</v>
          </cell>
          <cell r="CQ57">
            <v>7.49</v>
          </cell>
          <cell r="CR57">
            <v>7.49</v>
          </cell>
          <cell r="CS57">
            <v>7.49</v>
          </cell>
          <cell r="CT57">
            <v>7.49</v>
          </cell>
          <cell r="CU57">
            <v>7.49</v>
          </cell>
          <cell r="CV57">
            <v>7.49</v>
          </cell>
          <cell r="CW57">
            <v>7.49</v>
          </cell>
          <cell r="CX57">
            <v>7.49</v>
          </cell>
          <cell r="CY57">
            <v>7.49</v>
          </cell>
          <cell r="CZ57">
            <v>4.6300000000000001E-2</v>
          </cell>
          <cell r="DA57">
            <v>4.6300000000000001E-2</v>
          </cell>
          <cell r="DB57">
            <v>4.6300000000000001E-2</v>
          </cell>
          <cell r="DC57">
            <v>4.6300000000000001E-2</v>
          </cell>
          <cell r="DD57">
            <v>4.6300000000000001E-2</v>
          </cell>
          <cell r="DE57">
            <v>4.6300000000000001E-2</v>
          </cell>
          <cell r="DF57">
            <v>4.6300000000000001E-2</v>
          </cell>
          <cell r="DG57">
            <v>4.6300000000000001E-2</v>
          </cell>
          <cell r="DH57">
            <v>4.6300000000000001E-2</v>
          </cell>
          <cell r="DI57">
            <v>4.6300000000000001E-2</v>
          </cell>
          <cell r="DJ57">
            <v>4.6300000000000001E-2</v>
          </cell>
        </row>
        <row r="58">
          <cell r="C58">
            <v>3010</v>
          </cell>
          <cell r="D58">
            <v>9015</v>
          </cell>
          <cell r="E58" t="str">
            <v>Laborer</v>
          </cell>
          <cell r="G58" t="str">
            <v>CBA1</v>
          </cell>
          <cell r="H58" t="str">
            <v>RFP CBA</v>
          </cell>
          <cell r="I58">
            <v>34174.400000000001</v>
          </cell>
          <cell r="J58">
            <v>16.43</v>
          </cell>
          <cell r="K58">
            <v>1.7</v>
          </cell>
          <cell r="L58">
            <v>16.43</v>
          </cell>
          <cell r="M58">
            <v>16.43</v>
          </cell>
          <cell r="N58">
            <v>16.63</v>
          </cell>
          <cell r="O58">
            <v>16.63</v>
          </cell>
          <cell r="P58">
            <v>16.63</v>
          </cell>
          <cell r="Q58">
            <v>16.63</v>
          </cell>
          <cell r="R58">
            <v>16.63</v>
          </cell>
          <cell r="S58">
            <v>16.63</v>
          </cell>
          <cell r="T58">
            <v>16.63</v>
          </cell>
          <cell r="U58">
            <v>16.63</v>
          </cell>
          <cell r="V58">
            <v>16.63</v>
          </cell>
          <cell r="W58">
            <v>7.49</v>
          </cell>
          <cell r="X58">
            <v>7.49</v>
          </cell>
          <cell r="Y58">
            <v>7.49</v>
          </cell>
          <cell r="Z58">
            <v>7.49</v>
          </cell>
          <cell r="AA58">
            <v>7.49</v>
          </cell>
          <cell r="AB58">
            <v>7.49</v>
          </cell>
          <cell r="AC58">
            <v>7.49</v>
          </cell>
          <cell r="AD58">
            <v>7.49</v>
          </cell>
          <cell r="AE58">
            <v>7.49</v>
          </cell>
          <cell r="AF58">
            <v>7.49</v>
          </cell>
          <cell r="AG58">
            <v>7.49</v>
          </cell>
          <cell r="AH58">
            <v>1.7</v>
          </cell>
          <cell r="AI58">
            <v>1.7</v>
          </cell>
          <cell r="AJ58">
            <v>1.7</v>
          </cell>
          <cell r="AK58">
            <v>1.7</v>
          </cell>
          <cell r="AL58">
            <v>1.7</v>
          </cell>
          <cell r="AM58">
            <v>1.7</v>
          </cell>
          <cell r="AN58">
            <v>1.7</v>
          </cell>
          <cell r="AO58">
            <v>1.7</v>
          </cell>
          <cell r="AP58">
            <v>1.7</v>
          </cell>
          <cell r="AQ58">
            <v>1.7</v>
          </cell>
          <cell r="AR58">
            <v>1.7</v>
          </cell>
          <cell r="AS58">
            <v>2.7E-2</v>
          </cell>
          <cell r="AT58">
            <v>8000</v>
          </cell>
          <cell r="AU58">
            <v>216</v>
          </cell>
          <cell r="AV58">
            <v>4.6300000000000001E-2</v>
          </cell>
          <cell r="AW58">
            <v>4.6300000000000001E-2</v>
          </cell>
          <cell r="AX58">
            <v>4.6300000000000001E-2</v>
          </cell>
          <cell r="AY58">
            <v>4.6300000000000001E-2</v>
          </cell>
          <cell r="AZ58">
            <v>4.6300000000000001E-2</v>
          </cell>
          <cell r="BA58">
            <v>4.6300000000000001E-2</v>
          </cell>
          <cell r="BB58">
            <v>4.6300000000000001E-2</v>
          </cell>
          <cell r="BC58">
            <v>4.6300000000000001E-2</v>
          </cell>
          <cell r="BD58">
            <v>4.6300000000000001E-2</v>
          </cell>
          <cell r="BE58">
            <v>4.6300000000000001E-2</v>
          </cell>
          <cell r="BF58">
            <v>4.6300000000000001E-2</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4</v>
          </cell>
          <cell r="CO58">
            <v>7.49</v>
          </cell>
          <cell r="CP58">
            <v>7.49</v>
          </cell>
          <cell r="CQ58">
            <v>7.49</v>
          </cell>
          <cell r="CR58">
            <v>7.49</v>
          </cell>
          <cell r="CS58">
            <v>7.49</v>
          </cell>
          <cell r="CT58">
            <v>7.49</v>
          </cell>
          <cell r="CU58">
            <v>7.49</v>
          </cell>
          <cell r="CV58">
            <v>7.49</v>
          </cell>
          <cell r="CW58">
            <v>7.49</v>
          </cell>
          <cell r="CX58">
            <v>7.49</v>
          </cell>
          <cell r="CY58">
            <v>7.49</v>
          </cell>
          <cell r="CZ58">
            <v>4.6300000000000001E-2</v>
          </cell>
          <cell r="DA58">
            <v>4.6300000000000001E-2</v>
          </cell>
          <cell r="DB58">
            <v>4.6300000000000001E-2</v>
          </cell>
          <cell r="DC58">
            <v>4.6300000000000001E-2</v>
          </cell>
          <cell r="DD58">
            <v>4.6300000000000001E-2</v>
          </cell>
          <cell r="DE58">
            <v>4.6300000000000001E-2</v>
          </cell>
          <cell r="DF58">
            <v>4.6300000000000001E-2</v>
          </cell>
          <cell r="DG58">
            <v>4.6300000000000001E-2</v>
          </cell>
          <cell r="DH58">
            <v>4.6300000000000001E-2</v>
          </cell>
          <cell r="DI58">
            <v>4.6300000000000001E-2</v>
          </cell>
          <cell r="DJ58">
            <v>4.6300000000000001E-2</v>
          </cell>
        </row>
        <row r="59">
          <cell r="C59">
            <v>3015</v>
          </cell>
          <cell r="D59">
            <v>9015</v>
          </cell>
          <cell r="E59" t="str">
            <v>Stock Clerk</v>
          </cell>
          <cell r="G59" t="str">
            <v>CBA1</v>
          </cell>
          <cell r="H59" t="str">
            <v>RFP CBA</v>
          </cell>
          <cell r="I59">
            <v>37835.200000000004</v>
          </cell>
          <cell r="J59">
            <v>18.190000000000001</v>
          </cell>
          <cell r="K59">
            <v>1.7</v>
          </cell>
          <cell r="L59">
            <v>18.190000000000001</v>
          </cell>
          <cell r="M59">
            <v>18.190000000000001</v>
          </cell>
          <cell r="N59">
            <v>18.39</v>
          </cell>
          <cell r="O59">
            <v>18.39</v>
          </cell>
          <cell r="P59">
            <v>18.39</v>
          </cell>
          <cell r="Q59">
            <v>18.39</v>
          </cell>
          <cell r="R59">
            <v>18.39</v>
          </cell>
          <cell r="S59">
            <v>18.39</v>
          </cell>
          <cell r="T59">
            <v>18.39</v>
          </cell>
          <cell r="U59">
            <v>18.39</v>
          </cell>
          <cell r="V59">
            <v>18.39</v>
          </cell>
          <cell r="W59">
            <v>7.49</v>
          </cell>
          <cell r="X59">
            <v>7.49</v>
          </cell>
          <cell r="Y59">
            <v>7.49</v>
          </cell>
          <cell r="Z59">
            <v>7.49</v>
          </cell>
          <cell r="AA59">
            <v>7.49</v>
          </cell>
          <cell r="AB59">
            <v>7.49</v>
          </cell>
          <cell r="AC59">
            <v>7.49</v>
          </cell>
          <cell r="AD59">
            <v>7.49</v>
          </cell>
          <cell r="AE59">
            <v>7.49</v>
          </cell>
          <cell r="AF59">
            <v>7.49</v>
          </cell>
          <cell r="AG59">
            <v>7.49</v>
          </cell>
          <cell r="AH59">
            <v>1.7</v>
          </cell>
          <cell r="AI59">
            <v>1.7</v>
          </cell>
          <cell r="AJ59">
            <v>1.7</v>
          </cell>
          <cell r="AK59">
            <v>1.7</v>
          </cell>
          <cell r="AL59">
            <v>1.7</v>
          </cell>
          <cell r="AM59">
            <v>1.7</v>
          </cell>
          <cell r="AN59">
            <v>1.7</v>
          </cell>
          <cell r="AO59">
            <v>1.7</v>
          </cell>
          <cell r="AP59">
            <v>1.7</v>
          </cell>
          <cell r="AQ59">
            <v>1.7</v>
          </cell>
          <cell r="AR59">
            <v>1.7</v>
          </cell>
          <cell r="AS59">
            <v>2.7E-2</v>
          </cell>
          <cell r="AT59">
            <v>8000</v>
          </cell>
          <cell r="AU59">
            <v>216</v>
          </cell>
          <cell r="AV59">
            <v>4.6300000000000001E-2</v>
          </cell>
          <cell r="AW59">
            <v>4.6300000000000001E-2</v>
          </cell>
          <cell r="AX59">
            <v>4.6300000000000001E-2</v>
          </cell>
          <cell r="AY59">
            <v>4.6300000000000001E-2</v>
          </cell>
          <cell r="AZ59">
            <v>4.6300000000000001E-2</v>
          </cell>
          <cell r="BA59">
            <v>4.6300000000000001E-2</v>
          </cell>
          <cell r="BB59">
            <v>4.6300000000000001E-2</v>
          </cell>
          <cell r="BC59">
            <v>4.6300000000000001E-2</v>
          </cell>
          <cell r="BD59">
            <v>4.6300000000000001E-2</v>
          </cell>
          <cell r="BE59">
            <v>4.6300000000000001E-2</v>
          </cell>
          <cell r="BF59">
            <v>4.6300000000000001E-2</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7</v>
          </cell>
          <cell r="CO59">
            <v>7.49</v>
          </cell>
          <cell r="CP59">
            <v>7.49</v>
          </cell>
          <cell r="CQ59">
            <v>7.49</v>
          </cell>
          <cell r="CR59">
            <v>7.49</v>
          </cell>
          <cell r="CS59">
            <v>7.49</v>
          </cell>
          <cell r="CT59">
            <v>7.49</v>
          </cell>
          <cell r="CU59">
            <v>7.49</v>
          </cell>
          <cell r="CV59">
            <v>7.49</v>
          </cell>
          <cell r="CW59">
            <v>7.49</v>
          </cell>
          <cell r="CX59">
            <v>7.49</v>
          </cell>
          <cell r="CY59">
            <v>7.49</v>
          </cell>
          <cell r="CZ59">
            <v>4.6300000000000001E-2</v>
          </cell>
          <cell r="DA59">
            <v>4.6300000000000001E-2</v>
          </cell>
          <cell r="DB59">
            <v>4.6300000000000001E-2</v>
          </cell>
          <cell r="DC59">
            <v>4.6300000000000001E-2</v>
          </cell>
          <cell r="DD59">
            <v>4.6300000000000001E-2</v>
          </cell>
          <cell r="DE59">
            <v>4.6300000000000001E-2</v>
          </cell>
          <cell r="DF59">
            <v>4.6300000000000001E-2</v>
          </cell>
          <cell r="DG59">
            <v>4.6300000000000001E-2</v>
          </cell>
          <cell r="DH59">
            <v>4.6300000000000001E-2</v>
          </cell>
          <cell r="DI59">
            <v>4.6300000000000001E-2</v>
          </cell>
          <cell r="DJ59">
            <v>4.6300000000000001E-2</v>
          </cell>
        </row>
        <row r="60">
          <cell r="C60">
            <v>3020</v>
          </cell>
          <cell r="D60">
            <v>9015</v>
          </cell>
          <cell r="E60" t="str">
            <v>Appliance Mechanic</v>
          </cell>
          <cell r="G60" t="str">
            <v>CBA1</v>
          </cell>
          <cell r="H60" t="str">
            <v>RFP CBA</v>
          </cell>
          <cell r="I60">
            <v>56118.400000000001</v>
          </cell>
          <cell r="J60">
            <v>26.98</v>
          </cell>
          <cell r="K60">
            <v>1.7</v>
          </cell>
          <cell r="L60">
            <v>26.98</v>
          </cell>
          <cell r="M60">
            <v>26.98</v>
          </cell>
          <cell r="N60">
            <v>27.18</v>
          </cell>
          <cell r="O60">
            <v>27.18</v>
          </cell>
          <cell r="P60">
            <v>27.18</v>
          </cell>
          <cell r="Q60">
            <v>27.18</v>
          </cell>
          <cell r="R60">
            <v>27.18</v>
          </cell>
          <cell r="S60">
            <v>27.18</v>
          </cell>
          <cell r="T60">
            <v>27.18</v>
          </cell>
          <cell r="U60">
            <v>27.18</v>
          </cell>
          <cell r="V60">
            <v>27.18</v>
          </cell>
          <cell r="W60">
            <v>7.49</v>
          </cell>
          <cell r="X60">
            <v>7.49</v>
          </cell>
          <cell r="Y60">
            <v>7.49</v>
          </cell>
          <cell r="Z60">
            <v>7.49</v>
          </cell>
          <cell r="AA60">
            <v>7.49</v>
          </cell>
          <cell r="AB60">
            <v>7.49</v>
          </cell>
          <cell r="AC60">
            <v>7.49</v>
          </cell>
          <cell r="AD60">
            <v>7.49</v>
          </cell>
          <cell r="AE60">
            <v>7.49</v>
          </cell>
          <cell r="AF60">
            <v>7.49</v>
          </cell>
          <cell r="AG60">
            <v>7.49</v>
          </cell>
          <cell r="AH60">
            <v>1.7</v>
          </cell>
          <cell r="AI60">
            <v>1.7</v>
          </cell>
          <cell r="AJ60">
            <v>1.7</v>
          </cell>
          <cell r="AK60">
            <v>1.7</v>
          </cell>
          <cell r="AL60">
            <v>1.7</v>
          </cell>
          <cell r="AM60">
            <v>1.7</v>
          </cell>
          <cell r="AN60">
            <v>1.7</v>
          </cell>
          <cell r="AO60">
            <v>1.7</v>
          </cell>
          <cell r="AP60">
            <v>1.7</v>
          </cell>
          <cell r="AQ60">
            <v>1.7</v>
          </cell>
          <cell r="AR60">
            <v>1.7</v>
          </cell>
          <cell r="AS60">
            <v>2.7E-2</v>
          </cell>
          <cell r="AT60">
            <v>8000</v>
          </cell>
          <cell r="AU60">
            <v>216</v>
          </cell>
          <cell r="AV60">
            <v>4.6300000000000001E-2</v>
          </cell>
          <cell r="AW60">
            <v>4.6300000000000001E-2</v>
          </cell>
          <cell r="AX60">
            <v>4.6300000000000001E-2</v>
          </cell>
          <cell r="AY60">
            <v>4.6300000000000001E-2</v>
          </cell>
          <cell r="AZ60">
            <v>4.6300000000000001E-2</v>
          </cell>
          <cell r="BA60">
            <v>4.6300000000000001E-2</v>
          </cell>
          <cell r="BB60">
            <v>4.6300000000000001E-2</v>
          </cell>
          <cell r="BC60">
            <v>4.6300000000000001E-2</v>
          </cell>
          <cell r="BD60">
            <v>4.6300000000000001E-2</v>
          </cell>
          <cell r="BE60">
            <v>4.6300000000000001E-2</v>
          </cell>
          <cell r="BF60">
            <v>4.6300000000000001E-2</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4</v>
          </cell>
          <cell r="CO60">
            <v>7.49</v>
          </cell>
          <cell r="CP60">
            <v>7.49</v>
          </cell>
          <cell r="CQ60">
            <v>7.49</v>
          </cell>
          <cell r="CR60">
            <v>7.49</v>
          </cell>
          <cell r="CS60">
            <v>7.49</v>
          </cell>
          <cell r="CT60">
            <v>7.49</v>
          </cell>
          <cell r="CU60">
            <v>7.49</v>
          </cell>
          <cell r="CV60">
            <v>7.49</v>
          </cell>
          <cell r="CW60">
            <v>7.49</v>
          </cell>
          <cell r="CX60">
            <v>7.49</v>
          </cell>
          <cell r="CY60">
            <v>7.49</v>
          </cell>
          <cell r="CZ60">
            <v>4.6300000000000001E-2</v>
          </cell>
          <cell r="DA60">
            <v>4.6300000000000001E-2</v>
          </cell>
          <cell r="DB60">
            <v>4.6300000000000001E-2</v>
          </cell>
          <cell r="DC60">
            <v>4.6300000000000001E-2</v>
          </cell>
          <cell r="DD60">
            <v>4.6300000000000001E-2</v>
          </cell>
          <cell r="DE60">
            <v>4.6300000000000001E-2</v>
          </cell>
          <cell r="DF60">
            <v>4.6300000000000001E-2</v>
          </cell>
          <cell r="DG60">
            <v>4.6300000000000001E-2</v>
          </cell>
          <cell r="DH60">
            <v>4.6300000000000001E-2</v>
          </cell>
          <cell r="DI60">
            <v>4.6300000000000001E-2</v>
          </cell>
          <cell r="DJ60">
            <v>4.6300000000000001E-2</v>
          </cell>
        </row>
        <row r="61">
          <cell r="C61">
            <v>3025</v>
          </cell>
          <cell r="D61">
            <v>9015</v>
          </cell>
          <cell r="E61" t="str">
            <v>Maintenance Carpenter</v>
          </cell>
          <cell r="G61" t="str">
            <v>CBA1</v>
          </cell>
          <cell r="H61" t="str">
            <v>RFP CBA</v>
          </cell>
          <cell r="I61">
            <v>57720</v>
          </cell>
          <cell r="J61">
            <v>27.75</v>
          </cell>
          <cell r="K61">
            <v>1.7</v>
          </cell>
          <cell r="L61">
            <v>27.75</v>
          </cell>
          <cell r="M61">
            <v>27.75</v>
          </cell>
          <cell r="N61">
            <v>27.95</v>
          </cell>
          <cell r="O61">
            <v>27.95</v>
          </cell>
          <cell r="P61">
            <v>27.95</v>
          </cell>
          <cell r="Q61">
            <v>27.95</v>
          </cell>
          <cell r="R61">
            <v>27.95</v>
          </cell>
          <cell r="S61">
            <v>27.95</v>
          </cell>
          <cell r="T61">
            <v>27.95</v>
          </cell>
          <cell r="U61">
            <v>27.95</v>
          </cell>
          <cell r="V61">
            <v>27.95</v>
          </cell>
          <cell r="W61">
            <v>7.49</v>
          </cell>
          <cell r="X61">
            <v>7.49</v>
          </cell>
          <cell r="Y61">
            <v>7.49</v>
          </cell>
          <cell r="Z61">
            <v>7.49</v>
          </cell>
          <cell r="AA61">
            <v>7.49</v>
          </cell>
          <cell r="AB61">
            <v>7.49</v>
          </cell>
          <cell r="AC61">
            <v>7.49</v>
          </cell>
          <cell r="AD61">
            <v>7.49</v>
          </cell>
          <cell r="AE61">
            <v>7.49</v>
          </cell>
          <cell r="AF61">
            <v>7.49</v>
          </cell>
          <cell r="AG61">
            <v>7.49</v>
          </cell>
          <cell r="AH61">
            <v>1.7</v>
          </cell>
          <cell r="AI61">
            <v>1.7</v>
          </cell>
          <cell r="AJ61">
            <v>1.7</v>
          </cell>
          <cell r="AK61">
            <v>1.7</v>
          </cell>
          <cell r="AL61">
            <v>1.7</v>
          </cell>
          <cell r="AM61">
            <v>1.7</v>
          </cell>
          <cell r="AN61">
            <v>1.7</v>
          </cell>
          <cell r="AO61">
            <v>1.7</v>
          </cell>
          <cell r="AP61">
            <v>1.7</v>
          </cell>
          <cell r="AQ61">
            <v>1.7</v>
          </cell>
          <cell r="AR61">
            <v>1.7</v>
          </cell>
          <cell r="AS61">
            <v>2.7E-2</v>
          </cell>
          <cell r="AT61">
            <v>8000</v>
          </cell>
          <cell r="AU61">
            <v>216</v>
          </cell>
          <cell r="AV61">
            <v>4.6300000000000001E-2</v>
          </cell>
          <cell r="AW61">
            <v>4.6300000000000001E-2</v>
          </cell>
          <cell r="AX61">
            <v>4.6300000000000001E-2</v>
          </cell>
          <cell r="AY61">
            <v>4.6300000000000001E-2</v>
          </cell>
          <cell r="AZ61">
            <v>4.6300000000000001E-2</v>
          </cell>
          <cell r="BA61">
            <v>4.6300000000000001E-2</v>
          </cell>
          <cell r="BB61">
            <v>4.6300000000000001E-2</v>
          </cell>
          <cell r="BC61">
            <v>4.6300000000000001E-2</v>
          </cell>
          <cell r="BD61">
            <v>4.6300000000000001E-2</v>
          </cell>
          <cell r="BE61">
            <v>4.6300000000000001E-2</v>
          </cell>
          <cell r="BF61">
            <v>4.6300000000000001E-2</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2</v>
          </cell>
          <cell r="CO61">
            <v>7.49</v>
          </cell>
          <cell r="CP61">
            <v>7.49</v>
          </cell>
          <cell r="CQ61">
            <v>7.49</v>
          </cell>
          <cell r="CR61">
            <v>7.49</v>
          </cell>
          <cell r="CS61">
            <v>7.49</v>
          </cell>
          <cell r="CT61">
            <v>7.49</v>
          </cell>
          <cell r="CU61">
            <v>7.49</v>
          </cell>
          <cell r="CV61">
            <v>7.49</v>
          </cell>
          <cell r="CW61">
            <v>7.49</v>
          </cell>
          <cell r="CX61">
            <v>7.49</v>
          </cell>
          <cell r="CY61">
            <v>7.49</v>
          </cell>
          <cell r="CZ61">
            <v>4.6300000000000001E-2</v>
          </cell>
          <cell r="DA61">
            <v>4.6300000000000001E-2</v>
          </cell>
          <cell r="DB61">
            <v>4.6300000000000001E-2</v>
          </cell>
          <cell r="DC61">
            <v>4.6300000000000001E-2</v>
          </cell>
          <cell r="DD61">
            <v>4.6300000000000001E-2</v>
          </cell>
          <cell r="DE61">
            <v>4.6300000000000001E-2</v>
          </cell>
          <cell r="DF61">
            <v>4.6300000000000001E-2</v>
          </cell>
          <cell r="DG61">
            <v>4.6300000000000001E-2</v>
          </cell>
          <cell r="DH61">
            <v>4.6300000000000001E-2</v>
          </cell>
          <cell r="DI61">
            <v>4.6300000000000001E-2</v>
          </cell>
          <cell r="DJ61">
            <v>4.6300000000000001E-2</v>
          </cell>
        </row>
        <row r="62">
          <cell r="C62">
            <v>3030</v>
          </cell>
          <cell r="D62">
            <v>9015</v>
          </cell>
          <cell r="E62" t="str">
            <v>Maintenance Electrician</v>
          </cell>
          <cell r="F62" t="str">
            <v>JLL</v>
          </cell>
          <cell r="G62" t="str">
            <v>CBA1</v>
          </cell>
          <cell r="H62" t="str">
            <v>RFP CBA</v>
          </cell>
          <cell r="I62">
            <v>68099.199999999997</v>
          </cell>
          <cell r="J62">
            <v>32.74</v>
          </cell>
          <cell r="K62">
            <v>1.7</v>
          </cell>
          <cell r="L62">
            <v>32.74</v>
          </cell>
          <cell r="M62">
            <v>32.74</v>
          </cell>
          <cell r="N62">
            <v>32.94</v>
          </cell>
          <cell r="O62">
            <v>32.94</v>
          </cell>
          <cell r="P62">
            <v>32.94</v>
          </cell>
          <cell r="Q62">
            <v>32.94</v>
          </cell>
          <cell r="R62">
            <v>32.94</v>
          </cell>
          <cell r="S62">
            <v>32.94</v>
          </cell>
          <cell r="T62">
            <v>32.94</v>
          </cell>
          <cell r="U62">
            <v>32.94</v>
          </cell>
          <cell r="V62">
            <v>32.94</v>
          </cell>
          <cell r="W62">
            <v>7.49</v>
          </cell>
          <cell r="X62">
            <v>7.49</v>
          </cell>
          <cell r="Y62">
            <v>7.49</v>
          </cell>
          <cell r="Z62">
            <v>7.49</v>
          </cell>
          <cell r="AA62">
            <v>7.49</v>
          </cell>
          <cell r="AB62">
            <v>7.49</v>
          </cell>
          <cell r="AC62">
            <v>7.49</v>
          </cell>
          <cell r="AD62">
            <v>7.49</v>
          </cell>
          <cell r="AE62">
            <v>7.49</v>
          </cell>
          <cell r="AF62">
            <v>7.49</v>
          </cell>
          <cell r="AG62">
            <v>7.49</v>
          </cell>
          <cell r="AH62">
            <v>1.7</v>
          </cell>
          <cell r="AI62">
            <v>1.7</v>
          </cell>
          <cell r="AJ62">
            <v>1.7</v>
          </cell>
          <cell r="AK62">
            <v>1.7</v>
          </cell>
          <cell r="AL62">
            <v>1.7</v>
          </cell>
          <cell r="AM62">
            <v>1.7</v>
          </cell>
          <cell r="AN62">
            <v>1.7</v>
          </cell>
          <cell r="AO62">
            <v>1.7</v>
          </cell>
          <cell r="AP62">
            <v>1.7</v>
          </cell>
          <cell r="AQ62">
            <v>1.7</v>
          </cell>
          <cell r="AR62">
            <v>1.7</v>
          </cell>
          <cell r="AS62">
            <v>2.7E-2</v>
          </cell>
          <cell r="AT62">
            <v>8000</v>
          </cell>
          <cell r="AU62">
            <v>216</v>
          </cell>
          <cell r="AV62">
            <v>4.6300000000000001E-2</v>
          </cell>
          <cell r="AW62">
            <v>4.6300000000000001E-2</v>
          </cell>
          <cell r="AX62">
            <v>4.6300000000000001E-2</v>
          </cell>
          <cell r="AY62">
            <v>4.6300000000000001E-2</v>
          </cell>
          <cell r="AZ62">
            <v>4.6300000000000001E-2</v>
          </cell>
          <cell r="BA62">
            <v>4.6300000000000001E-2</v>
          </cell>
          <cell r="BB62">
            <v>4.6300000000000001E-2</v>
          </cell>
          <cell r="BC62">
            <v>4.6300000000000001E-2</v>
          </cell>
          <cell r="BD62">
            <v>4.6300000000000001E-2</v>
          </cell>
          <cell r="BE62">
            <v>4.6300000000000001E-2</v>
          </cell>
          <cell r="BF62">
            <v>4.6300000000000001E-2</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3</v>
          </cell>
          <cell r="CO62">
            <v>7.49</v>
          </cell>
          <cell r="CP62">
            <v>7.49</v>
          </cell>
          <cell r="CQ62">
            <v>7.49</v>
          </cell>
          <cell r="CR62">
            <v>7.49</v>
          </cell>
          <cell r="CS62">
            <v>7.49</v>
          </cell>
          <cell r="CT62">
            <v>7.49</v>
          </cell>
          <cell r="CU62">
            <v>7.49</v>
          </cell>
          <cell r="CV62">
            <v>7.49</v>
          </cell>
          <cell r="CW62">
            <v>7.49</v>
          </cell>
          <cell r="CX62">
            <v>7.49</v>
          </cell>
          <cell r="CY62">
            <v>7.49</v>
          </cell>
          <cell r="CZ62">
            <v>4.6300000000000001E-2</v>
          </cell>
          <cell r="DA62">
            <v>4.6300000000000001E-2</v>
          </cell>
          <cell r="DB62">
            <v>4.6300000000000001E-2</v>
          </cell>
          <cell r="DC62">
            <v>4.6300000000000001E-2</v>
          </cell>
          <cell r="DD62">
            <v>4.6300000000000001E-2</v>
          </cell>
          <cell r="DE62">
            <v>4.6300000000000001E-2</v>
          </cell>
          <cell r="DF62">
            <v>4.6300000000000001E-2</v>
          </cell>
          <cell r="DG62">
            <v>4.6300000000000001E-2</v>
          </cell>
          <cell r="DH62">
            <v>4.6300000000000001E-2</v>
          </cell>
          <cell r="DI62">
            <v>4.6300000000000001E-2</v>
          </cell>
          <cell r="DJ62">
            <v>4.6300000000000001E-2</v>
          </cell>
        </row>
        <row r="63">
          <cell r="C63">
            <v>3035</v>
          </cell>
          <cell r="D63">
            <v>9015</v>
          </cell>
          <cell r="E63" t="str">
            <v>Electronic Technician II</v>
          </cell>
          <cell r="G63" t="str">
            <v>CBA1</v>
          </cell>
          <cell r="H63" t="str">
            <v>RFP CBA</v>
          </cell>
          <cell r="I63">
            <v>69617.599999999991</v>
          </cell>
          <cell r="J63">
            <v>33.47</v>
          </cell>
          <cell r="K63">
            <v>1.7</v>
          </cell>
          <cell r="L63">
            <v>33.47</v>
          </cell>
          <cell r="M63">
            <v>33.47</v>
          </cell>
          <cell r="N63">
            <v>33.67</v>
          </cell>
          <cell r="O63">
            <v>33.67</v>
          </cell>
          <cell r="P63">
            <v>33.67</v>
          </cell>
          <cell r="Q63">
            <v>33.67</v>
          </cell>
          <cell r="R63">
            <v>33.67</v>
          </cell>
          <cell r="S63">
            <v>33.67</v>
          </cell>
          <cell r="T63">
            <v>33.67</v>
          </cell>
          <cell r="U63">
            <v>33.67</v>
          </cell>
          <cell r="V63">
            <v>33.67</v>
          </cell>
          <cell r="W63">
            <v>7.49</v>
          </cell>
          <cell r="X63">
            <v>7.49</v>
          </cell>
          <cell r="Y63">
            <v>7.49</v>
          </cell>
          <cell r="Z63">
            <v>7.49</v>
          </cell>
          <cell r="AA63">
            <v>7.49</v>
          </cell>
          <cell r="AB63">
            <v>7.49</v>
          </cell>
          <cell r="AC63">
            <v>7.49</v>
          </cell>
          <cell r="AD63">
            <v>7.49</v>
          </cell>
          <cell r="AE63">
            <v>7.49</v>
          </cell>
          <cell r="AF63">
            <v>7.49</v>
          </cell>
          <cell r="AG63">
            <v>7.49</v>
          </cell>
          <cell r="AH63">
            <v>1.7</v>
          </cell>
          <cell r="AI63">
            <v>1.7</v>
          </cell>
          <cell r="AJ63">
            <v>1.7</v>
          </cell>
          <cell r="AK63">
            <v>1.7</v>
          </cell>
          <cell r="AL63">
            <v>1.7</v>
          </cell>
          <cell r="AM63">
            <v>1.7</v>
          </cell>
          <cell r="AN63">
            <v>1.7</v>
          </cell>
          <cell r="AO63">
            <v>1.7</v>
          </cell>
          <cell r="AP63">
            <v>1.7</v>
          </cell>
          <cell r="AQ63">
            <v>1.7</v>
          </cell>
          <cell r="AR63">
            <v>1.7</v>
          </cell>
          <cell r="AS63">
            <v>2.7E-2</v>
          </cell>
          <cell r="AT63">
            <v>8000</v>
          </cell>
          <cell r="AU63">
            <v>216</v>
          </cell>
          <cell r="AV63">
            <v>4.6300000000000001E-2</v>
          </cell>
          <cell r="AW63">
            <v>4.6300000000000001E-2</v>
          </cell>
          <cell r="AX63">
            <v>4.6300000000000001E-2</v>
          </cell>
          <cell r="AY63">
            <v>4.6300000000000001E-2</v>
          </cell>
          <cell r="AZ63">
            <v>4.6300000000000001E-2</v>
          </cell>
          <cell r="BA63">
            <v>4.6300000000000001E-2</v>
          </cell>
          <cell r="BB63">
            <v>4.6300000000000001E-2</v>
          </cell>
          <cell r="BC63">
            <v>4.6300000000000001E-2</v>
          </cell>
          <cell r="BD63">
            <v>4.6300000000000001E-2</v>
          </cell>
          <cell r="BE63">
            <v>4.6300000000000001E-2</v>
          </cell>
          <cell r="BF63">
            <v>4.6300000000000001E-2</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3</v>
          </cell>
          <cell r="CO63">
            <v>7.49</v>
          </cell>
          <cell r="CP63">
            <v>7.49</v>
          </cell>
          <cell r="CQ63">
            <v>7.49</v>
          </cell>
          <cell r="CR63">
            <v>7.49</v>
          </cell>
          <cell r="CS63">
            <v>7.49</v>
          </cell>
          <cell r="CT63">
            <v>7.49</v>
          </cell>
          <cell r="CU63">
            <v>7.49</v>
          </cell>
          <cell r="CV63">
            <v>7.49</v>
          </cell>
          <cell r="CW63">
            <v>7.49</v>
          </cell>
          <cell r="CX63">
            <v>7.49</v>
          </cell>
          <cell r="CY63">
            <v>7.49</v>
          </cell>
          <cell r="CZ63">
            <v>4.6300000000000001E-2</v>
          </cell>
          <cell r="DA63">
            <v>4.6300000000000001E-2</v>
          </cell>
          <cell r="DB63">
            <v>4.6300000000000001E-2</v>
          </cell>
          <cell r="DC63">
            <v>4.6300000000000001E-2</v>
          </cell>
          <cell r="DD63">
            <v>4.6300000000000001E-2</v>
          </cell>
          <cell r="DE63">
            <v>4.6300000000000001E-2</v>
          </cell>
          <cell r="DF63">
            <v>4.6300000000000001E-2</v>
          </cell>
          <cell r="DG63">
            <v>4.6300000000000001E-2</v>
          </cell>
          <cell r="DH63">
            <v>4.6300000000000001E-2</v>
          </cell>
          <cell r="DI63">
            <v>4.6300000000000001E-2</v>
          </cell>
          <cell r="DJ63">
            <v>4.6300000000000001E-2</v>
          </cell>
        </row>
        <row r="64">
          <cell r="C64">
            <v>3040</v>
          </cell>
          <cell r="D64">
            <v>9015</v>
          </cell>
          <cell r="E64" t="str">
            <v>General Maintenance Worker</v>
          </cell>
          <cell r="G64" t="str">
            <v>CBA1</v>
          </cell>
          <cell r="H64" t="str">
            <v>RFP CBA</v>
          </cell>
          <cell r="I64">
            <v>52686.399999999994</v>
          </cell>
          <cell r="J64">
            <v>25.33</v>
          </cell>
          <cell r="K64">
            <v>1.7</v>
          </cell>
          <cell r="L64">
            <v>25.33</v>
          </cell>
          <cell r="M64">
            <v>25.33</v>
          </cell>
          <cell r="N64">
            <v>25.53</v>
          </cell>
          <cell r="O64">
            <v>25.53</v>
          </cell>
          <cell r="P64">
            <v>25.53</v>
          </cell>
          <cell r="Q64">
            <v>25.53</v>
          </cell>
          <cell r="R64">
            <v>25.53</v>
          </cell>
          <cell r="S64">
            <v>25.53</v>
          </cell>
          <cell r="T64">
            <v>25.53</v>
          </cell>
          <cell r="U64">
            <v>25.53</v>
          </cell>
          <cell r="V64">
            <v>25.53</v>
          </cell>
          <cell r="W64">
            <v>7.49</v>
          </cell>
          <cell r="X64">
            <v>7.49</v>
          </cell>
          <cell r="Y64">
            <v>7.49</v>
          </cell>
          <cell r="Z64">
            <v>7.49</v>
          </cell>
          <cell r="AA64">
            <v>7.49</v>
          </cell>
          <cell r="AB64">
            <v>7.49</v>
          </cell>
          <cell r="AC64">
            <v>7.49</v>
          </cell>
          <cell r="AD64">
            <v>7.49</v>
          </cell>
          <cell r="AE64">
            <v>7.49</v>
          </cell>
          <cell r="AF64">
            <v>7.49</v>
          </cell>
          <cell r="AG64">
            <v>7.49</v>
          </cell>
          <cell r="AH64">
            <v>1.7</v>
          </cell>
          <cell r="AI64">
            <v>1.7</v>
          </cell>
          <cell r="AJ64">
            <v>1.7</v>
          </cell>
          <cell r="AK64">
            <v>1.7</v>
          </cell>
          <cell r="AL64">
            <v>1.7</v>
          </cell>
          <cell r="AM64">
            <v>1.7</v>
          </cell>
          <cell r="AN64">
            <v>1.7</v>
          </cell>
          <cell r="AO64">
            <v>1.7</v>
          </cell>
          <cell r="AP64">
            <v>1.7</v>
          </cell>
          <cell r="AQ64">
            <v>1.7</v>
          </cell>
          <cell r="AR64">
            <v>1.7</v>
          </cell>
          <cell r="AS64">
            <v>2.7E-2</v>
          </cell>
          <cell r="AT64">
            <v>8000</v>
          </cell>
          <cell r="AU64">
            <v>216</v>
          </cell>
          <cell r="AV64">
            <v>4.6300000000000001E-2</v>
          </cell>
          <cell r="AW64">
            <v>4.6300000000000001E-2</v>
          </cell>
          <cell r="AX64">
            <v>4.6300000000000001E-2</v>
          </cell>
          <cell r="AY64">
            <v>4.6300000000000001E-2</v>
          </cell>
          <cell r="AZ64">
            <v>4.6300000000000001E-2</v>
          </cell>
          <cell r="BA64">
            <v>4.6300000000000001E-2</v>
          </cell>
          <cell r="BB64">
            <v>4.6300000000000001E-2</v>
          </cell>
          <cell r="BC64">
            <v>4.6300000000000001E-2</v>
          </cell>
          <cell r="BD64">
            <v>4.6300000000000001E-2</v>
          </cell>
          <cell r="BE64">
            <v>4.6300000000000001E-2</v>
          </cell>
          <cell r="BF64">
            <v>4.6300000000000001E-2</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4</v>
          </cell>
          <cell r="CO64">
            <v>7.49</v>
          </cell>
          <cell r="CP64">
            <v>7.49</v>
          </cell>
          <cell r="CQ64">
            <v>7.49</v>
          </cell>
          <cell r="CR64">
            <v>7.49</v>
          </cell>
          <cell r="CS64">
            <v>7.49</v>
          </cell>
          <cell r="CT64">
            <v>7.49</v>
          </cell>
          <cell r="CU64">
            <v>7.49</v>
          </cell>
          <cell r="CV64">
            <v>7.49</v>
          </cell>
          <cell r="CW64">
            <v>7.49</v>
          </cell>
          <cell r="CX64">
            <v>7.49</v>
          </cell>
          <cell r="CY64">
            <v>7.49</v>
          </cell>
          <cell r="CZ64">
            <v>4.6300000000000001E-2</v>
          </cell>
          <cell r="DA64">
            <v>4.6300000000000001E-2</v>
          </cell>
          <cell r="DB64">
            <v>4.6300000000000001E-2</v>
          </cell>
          <cell r="DC64">
            <v>4.6300000000000001E-2</v>
          </cell>
          <cell r="DD64">
            <v>4.6300000000000001E-2</v>
          </cell>
          <cell r="DE64">
            <v>4.6300000000000001E-2</v>
          </cell>
          <cell r="DF64">
            <v>4.6300000000000001E-2</v>
          </cell>
          <cell r="DG64">
            <v>4.6300000000000001E-2</v>
          </cell>
          <cell r="DH64">
            <v>4.6300000000000001E-2</v>
          </cell>
          <cell r="DI64">
            <v>4.6300000000000001E-2</v>
          </cell>
          <cell r="DJ64">
            <v>4.6300000000000001E-2</v>
          </cell>
        </row>
        <row r="65">
          <cell r="C65">
            <v>3045</v>
          </cell>
          <cell r="D65">
            <v>9015</v>
          </cell>
          <cell r="E65" t="str">
            <v>HVAC Mechanic</v>
          </cell>
          <cell r="G65" t="str">
            <v>CBA1</v>
          </cell>
          <cell r="H65" t="str">
            <v>RFP CBA</v>
          </cell>
          <cell r="I65">
            <v>66019.199999999997</v>
          </cell>
          <cell r="J65">
            <v>31.74</v>
          </cell>
          <cell r="K65">
            <v>1.7</v>
          </cell>
          <cell r="L65">
            <v>31.74</v>
          </cell>
          <cell r="M65">
            <v>31.74</v>
          </cell>
          <cell r="N65">
            <v>31.94</v>
          </cell>
          <cell r="O65">
            <v>31.94</v>
          </cell>
          <cell r="P65">
            <v>31.94</v>
          </cell>
          <cell r="Q65">
            <v>31.94</v>
          </cell>
          <cell r="R65">
            <v>31.94</v>
          </cell>
          <cell r="S65">
            <v>31.94</v>
          </cell>
          <cell r="T65">
            <v>31.94</v>
          </cell>
          <cell r="U65">
            <v>31.94</v>
          </cell>
          <cell r="V65">
            <v>31.94</v>
          </cell>
          <cell r="W65">
            <v>7.49</v>
          </cell>
          <cell r="X65">
            <v>7.49</v>
          </cell>
          <cell r="Y65">
            <v>7.49</v>
          </cell>
          <cell r="Z65">
            <v>7.49</v>
          </cell>
          <cell r="AA65">
            <v>7.49</v>
          </cell>
          <cell r="AB65">
            <v>7.49</v>
          </cell>
          <cell r="AC65">
            <v>7.49</v>
          </cell>
          <cell r="AD65">
            <v>7.49</v>
          </cell>
          <cell r="AE65">
            <v>7.49</v>
          </cell>
          <cell r="AF65">
            <v>7.49</v>
          </cell>
          <cell r="AG65">
            <v>7.49</v>
          </cell>
          <cell r="AH65">
            <v>1.7</v>
          </cell>
          <cell r="AI65">
            <v>1.7</v>
          </cell>
          <cell r="AJ65">
            <v>1.7</v>
          </cell>
          <cell r="AK65">
            <v>1.7</v>
          </cell>
          <cell r="AL65">
            <v>1.7</v>
          </cell>
          <cell r="AM65">
            <v>1.7</v>
          </cell>
          <cell r="AN65">
            <v>1.7</v>
          </cell>
          <cell r="AO65">
            <v>1.7</v>
          </cell>
          <cell r="AP65">
            <v>1.7</v>
          </cell>
          <cell r="AQ65">
            <v>1.7</v>
          </cell>
          <cell r="AR65">
            <v>1.7</v>
          </cell>
          <cell r="AS65">
            <v>2.7E-2</v>
          </cell>
          <cell r="AT65">
            <v>8000</v>
          </cell>
          <cell r="AU65">
            <v>216</v>
          </cell>
          <cell r="AV65">
            <v>4.6300000000000001E-2</v>
          </cell>
          <cell r="AW65">
            <v>4.6300000000000001E-2</v>
          </cell>
          <cell r="AX65">
            <v>4.6300000000000001E-2</v>
          </cell>
          <cell r="AY65">
            <v>4.6300000000000001E-2</v>
          </cell>
          <cell r="AZ65">
            <v>4.6300000000000001E-2</v>
          </cell>
          <cell r="BA65">
            <v>4.6300000000000001E-2</v>
          </cell>
          <cell r="BB65">
            <v>4.6300000000000001E-2</v>
          </cell>
          <cell r="BC65">
            <v>4.6300000000000001E-2</v>
          </cell>
          <cell r="BD65">
            <v>4.6300000000000001E-2</v>
          </cell>
          <cell r="BE65">
            <v>4.6300000000000001E-2</v>
          </cell>
          <cell r="BF65">
            <v>4.6300000000000001E-2</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1</v>
          </cell>
          <cell r="CO65">
            <v>7.49</v>
          </cell>
          <cell r="CP65">
            <v>7.49</v>
          </cell>
          <cell r="CQ65">
            <v>7.49</v>
          </cell>
          <cell r="CR65">
            <v>7.49</v>
          </cell>
          <cell r="CS65">
            <v>7.49</v>
          </cell>
          <cell r="CT65">
            <v>7.49</v>
          </cell>
          <cell r="CU65">
            <v>7.49</v>
          </cell>
          <cell r="CV65">
            <v>7.49</v>
          </cell>
          <cell r="CW65">
            <v>7.49</v>
          </cell>
          <cell r="CX65">
            <v>7.49</v>
          </cell>
          <cell r="CY65">
            <v>7.49</v>
          </cell>
          <cell r="CZ65">
            <v>4.6300000000000001E-2</v>
          </cell>
          <cell r="DA65">
            <v>4.6300000000000001E-2</v>
          </cell>
          <cell r="DB65">
            <v>4.6300000000000001E-2</v>
          </cell>
          <cell r="DC65">
            <v>4.6300000000000001E-2</v>
          </cell>
          <cell r="DD65">
            <v>4.6300000000000001E-2</v>
          </cell>
          <cell r="DE65">
            <v>4.6300000000000001E-2</v>
          </cell>
          <cell r="DF65">
            <v>4.6300000000000001E-2</v>
          </cell>
          <cell r="DG65">
            <v>4.6300000000000001E-2</v>
          </cell>
          <cell r="DH65">
            <v>4.6300000000000001E-2</v>
          </cell>
          <cell r="DI65">
            <v>4.6300000000000001E-2</v>
          </cell>
          <cell r="DJ65">
            <v>4.6300000000000001E-2</v>
          </cell>
        </row>
        <row r="66">
          <cell r="C66">
            <v>3050</v>
          </cell>
          <cell r="D66">
            <v>9015</v>
          </cell>
          <cell r="E66" t="str">
            <v>HVAC PM Person</v>
          </cell>
          <cell r="G66" t="str">
            <v>CBA1</v>
          </cell>
          <cell r="H66" t="str">
            <v>RFP CBA</v>
          </cell>
          <cell r="I66">
            <v>55827.199999999997</v>
          </cell>
          <cell r="J66">
            <v>26.84</v>
          </cell>
          <cell r="K66">
            <v>1.7</v>
          </cell>
          <cell r="L66">
            <v>26.84</v>
          </cell>
          <cell r="M66">
            <v>26.84</v>
          </cell>
          <cell r="N66">
            <v>27.04</v>
          </cell>
          <cell r="O66">
            <v>27.04</v>
          </cell>
          <cell r="P66">
            <v>27.04</v>
          </cell>
          <cell r="Q66">
            <v>27.04</v>
          </cell>
          <cell r="R66">
            <v>27.04</v>
          </cell>
          <cell r="S66">
            <v>27.04</v>
          </cell>
          <cell r="T66">
            <v>27.04</v>
          </cell>
          <cell r="U66">
            <v>27.04</v>
          </cell>
          <cell r="V66">
            <v>27.04</v>
          </cell>
          <cell r="W66">
            <v>7.49</v>
          </cell>
          <cell r="X66">
            <v>7.49</v>
          </cell>
          <cell r="Y66">
            <v>7.49</v>
          </cell>
          <cell r="Z66">
            <v>7.49</v>
          </cell>
          <cell r="AA66">
            <v>7.49</v>
          </cell>
          <cell r="AB66">
            <v>7.49</v>
          </cell>
          <cell r="AC66">
            <v>7.49</v>
          </cell>
          <cell r="AD66">
            <v>7.49</v>
          </cell>
          <cell r="AE66">
            <v>7.49</v>
          </cell>
          <cell r="AF66">
            <v>7.49</v>
          </cell>
          <cell r="AG66">
            <v>7.49</v>
          </cell>
          <cell r="AH66">
            <v>1.7</v>
          </cell>
          <cell r="AI66">
            <v>1.7</v>
          </cell>
          <cell r="AJ66">
            <v>1.7</v>
          </cell>
          <cell r="AK66">
            <v>1.7</v>
          </cell>
          <cell r="AL66">
            <v>1.7</v>
          </cell>
          <cell r="AM66">
            <v>1.7</v>
          </cell>
          <cell r="AN66">
            <v>1.7</v>
          </cell>
          <cell r="AO66">
            <v>1.7</v>
          </cell>
          <cell r="AP66">
            <v>1.7</v>
          </cell>
          <cell r="AQ66">
            <v>1.7</v>
          </cell>
          <cell r="AR66">
            <v>1.7</v>
          </cell>
          <cell r="AS66">
            <v>2.7E-2</v>
          </cell>
          <cell r="AT66">
            <v>8000</v>
          </cell>
          <cell r="AU66">
            <v>216</v>
          </cell>
          <cell r="AV66">
            <v>4.6300000000000001E-2</v>
          </cell>
          <cell r="AW66">
            <v>4.6300000000000001E-2</v>
          </cell>
          <cell r="AX66">
            <v>4.6300000000000001E-2</v>
          </cell>
          <cell r="AY66">
            <v>4.6300000000000001E-2</v>
          </cell>
          <cell r="AZ66">
            <v>4.6300000000000001E-2</v>
          </cell>
          <cell r="BA66">
            <v>4.6300000000000001E-2</v>
          </cell>
          <cell r="BB66">
            <v>4.6300000000000001E-2</v>
          </cell>
          <cell r="BC66">
            <v>4.6300000000000001E-2</v>
          </cell>
          <cell r="BD66">
            <v>4.6300000000000001E-2</v>
          </cell>
          <cell r="BE66">
            <v>4.6300000000000001E-2</v>
          </cell>
          <cell r="BF66">
            <v>4.6300000000000001E-2</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1</v>
          </cell>
          <cell r="CO66">
            <v>7.49</v>
          </cell>
          <cell r="CP66">
            <v>7.49</v>
          </cell>
          <cell r="CQ66">
            <v>7.49</v>
          </cell>
          <cell r="CR66">
            <v>7.49</v>
          </cell>
          <cell r="CS66">
            <v>7.49</v>
          </cell>
          <cell r="CT66">
            <v>7.49</v>
          </cell>
          <cell r="CU66">
            <v>7.49</v>
          </cell>
          <cell r="CV66">
            <v>7.49</v>
          </cell>
          <cell r="CW66">
            <v>7.49</v>
          </cell>
          <cell r="CX66">
            <v>7.49</v>
          </cell>
          <cell r="CY66">
            <v>7.49</v>
          </cell>
          <cell r="CZ66">
            <v>4.6300000000000001E-2</v>
          </cell>
          <cell r="DA66">
            <v>4.6300000000000001E-2</v>
          </cell>
          <cell r="DB66">
            <v>4.6300000000000001E-2</v>
          </cell>
          <cell r="DC66">
            <v>4.6300000000000001E-2</v>
          </cell>
          <cell r="DD66">
            <v>4.6300000000000001E-2</v>
          </cell>
          <cell r="DE66">
            <v>4.6300000000000001E-2</v>
          </cell>
          <cell r="DF66">
            <v>4.6300000000000001E-2</v>
          </cell>
          <cell r="DG66">
            <v>4.6300000000000001E-2</v>
          </cell>
          <cell r="DH66">
            <v>4.6300000000000001E-2</v>
          </cell>
          <cell r="DI66">
            <v>4.6300000000000001E-2</v>
          </cell>
          <cell r="DJ66">
            <v>4.6300000000000001E-2</v>
          </cell>
        </row>
        <row r="67">
          <cell r="C67">
            <v>3055</v>
          </cell>
          <cell r="D67">
            <v>9015</v>
          </cell>
          <cell r="E67" t="str">
            <v>Locksmith</v>
          </cell>
          <cell r="G67" t="str">
            <v>CBA1</v>
          </cell>
          <cell r="H67" t="str">
            <v>RFP CBA</v>
          </cell>
          <cell r="I67">
            <v>56118.400000000001</v>
          </cell>
          <cell r="J67">
            <v>26.98</v>
          </cell>
          <cell r="K67">
            <v>1.7</v>
          </cell>
          <cell r="L67">
            <v>26.98</v>
          </cell>
          <cell r="M67">
            <v>26.98</v>
          </cell>
          <cell r="N67">
            <v>27.18</v>
          </cell>
          <cell r="O67">
            <v>27.18</v>
          </cell>
          <cell r="P67">
            <v>27.18</v>
          </cell>
          <cell r="Q67">
            <v>27.18</v>
          </cell>
          <cell r="R67">
            <v>27.18</v>
          </cell>
          <cell r="S67">
            <v>27.18</v>
          </cell>
          <cell r="T67">
            <v>27.18</v>
          </cell>
          <cell r="U67">
            <v>27.18</v>
          </cell>
          <cell r="V67">
            <v>27.18</v>
          </cell>
          <cell r="W67">
            <v>7.49</v>
          </cell>
          <cell r="X67">
            <v>7.49</v>
          </cell>
          <cell r="Y67">
            <v>7.49</v>
          </cell>
          <cell r="Z67">
            <v>7.49</v>
          </cell>
          <cell r="AA67">
            <v>7.49</v>
          </cell>
          <cell r="AB67">
            <v>7.49</v>
          </cell>
          <cell r="AC67">
            <v>7.49</v>
          </cell>
          <cell r="AD67">
            <v>7.49</v>
          </cell>
          <cell r="AE67">
            <v>7.49</v>
          </cell>
          <cell r="AF67">
            <v>7.49</v>
          </cell>
          <cell r="AG67">
            <v>7.49</v>
          </cell>
          <cell r="AH67">
            <v>1.7</v>
          </cell>
          <cell r="AI67">
            <v>1.7</v>
          </cell>
          <cell r="AJ67">
            <v>1.7</v>
          </cell>
          <cell r="AK67">
            <v>1.7</v>
          </cell>
          <cell r="AL67">
            <v>1.7</v>
          </cell>
          <cell r="AM67">
            <v>1.7</v>
          </cell>
          <cell r="AN67">
            <v>1.7</v>
          </cell>
          <cell r="AO67">
            <v>1.7</v>
          </cell>
          <cell r="AP67">
            <v>1.7</v>
          </cell>
          <cell r="AQ67">
            <v>1.7</v>
          </cell>
          <cell r="AR67">
            <v>1.7</v>
          </cell>
          <cell r="AS67">
            <v>2.7E-2</v>
          </cell>
          <cell r="AT67">
            <v>8000</v>
          </cell>
          <cell r="AU67">
            <v>216</v>
          </cell>
          <cell r="AV67">
            <v>4.6300000000000001E-2</v>
          </cell>
          <cell r="AW67">
            <v>4.6300000000000001E-2</v>
          </cell>
          <cell r="AX67">
            <v>4.6300000000000001E-2</v>
          </cell>
          <cell r="AY67">
            <v>4.6300000000000001E-2</v>
          </cell>
          <cell r="AZ67">
            <v>4.6300000000000001E-2</v>
          </cell>
          <cell r="BA67">
            <v>4.6300000000000001E-2</v>
          </cell>
          <cell r="BB67">
            <v>4.6300000000000001E-2</v>
          </cell>
          <cell r="BC67">
            <v>4.6300000000000001E-2</v>
          </cell>
          <cell r="BD67">
            <v>4.6300000000000001E-2</v>
          </cell>
          <cell r="BE67">
            <v>4.6300000000000001E-2</v>
          </cell>
          <cell r="BF67">
            <v>4.6300000000000001E-2</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8</v>
          </cell>
          <cell r="CO67">
            <v>7.49</v>
          </cell>
          <cell r="CP67">
            <v>7.49</v>
          </cell>
          <cell r="CQ67">
            <v>7.49</v>
          </cell>
          <cell r="CR67">
            <v>7.49</v>
          </cell>
          <cell r="CS67">
            <v>7.49</v>
          </cell>
          <cell r="CT67">
            <v>7.49</v>
          </cell>
          <cell r="CU67">
            <v>7.49</v>
          </cell>
          <cell r="CV67">
            <v>7.49</v>
          </cell>
          <cell r="CW67">
            <v>7.49</v>
          </cell>
          <cell r="CX67">
            <v>7.49</v>
          </cell>
          <cell r="CY67">
            <v>7.49</v>
          </cell>
          <cell r="CZ67">
            <v>4.6300000000000001E-2</v>
          </cell>
          <cell r="DA67">
            <v>4.6300000000000001E-2</v>
          </cell>
          <cell r="DB67">
            <v>4.6300000000000001E-2</v>
          </cell>
          <cell r="DC67">
            <v>4.6300000000000001E-2</v>
          </cell>
          <cell r="DD67">
            <v>4.6300000000000001E-2</v>
          </cell>
          <cell r="DE67">
            <v>4.6300000000000001E-2</v>
          </cell>
          <cell r="DF67">
            <v>4.6300000000000001E-2</v>
          </cell>
          <cell r="DG67">
            <v>4.6300000000000001E-2</v>
          </cell>
          <cell r="DH67">
            <v>4.6300000000000001E-2</v>
          </cell>
          <cell r="DI67">
            <v>4.6300000000000001E-2</v>
          </cell>
          <cell r="DJ67">
            <v>4.6300000000000001E-2</v>
          </cell>
        </row>
        <row r="68">
          <cell r="C68">
            <v>3060</v>
          </cell>
          <cell r="D68">
            <v>9015</v>
          </cell>
          <cell r="E68" t="str">
            <v>Maintenance Mechanic</v>
          </cell>
          <cell r="G68" t="str">
            <v>CBA1</v>
          </cell>
          <cell r="H68" t="str">
            <v>RFP CBA</v>
          </cell>
          <cell r="I68">
            <v>59550.400000000001</v>
          </cell>
          <cell r="J68">
            <v>28.63</v>
          </cell>
          <cell r="K68">
            <v>1.7</v>
          </cell>
          <cell r="L68">
            <v>28.63</v>
          </cell>
          <cell r="M68">
            <v>28.63</v>
          </cell>
          <cell r="N68">
            <v>28.83</v>
          </cell>
          <cell r="O68">
            <v>28.83</v>
          </cell>
          <cell r="P68">
            <v>28.83</v>
          </cell>
          <cell r="Q68">
            <v>28.83</v>
          </cell>
          <cell r="R68">
            <v>28.83</v>
          </cell>
          <cell r="S68">
            <v>28.83</v>
          </cell>
          <cell r="T68">
            <v>28.83</v>
          </cell>
          <cell r="U68">
            <v>28.83</v>
          </cell>
          <cell r="V68">
            <v>28.83</v>
          </cell>
          <cell r="W68">
            <v>7.49</v>
          </cell>
          <cell r="X68">
            <v>7.49</v>
          </cell>
          <cell r="Y68">
            <v>7.49</v>
          </cell>
          <cell r="Z68">
            <v>7.49</v>
          </cell>
          <cell r="AA68">
            <v>7.49</v>
          </cell>
          <cell r="AB68">
            <v>7.49</v>
          </cell>
          <cell r="AC68">
            <v>7.49</v>
          </cell>
          <cell r="AD68">
            <v>7.49</v>
          </cell>
          <cell r="AE68">
            <v>7.49</v>
          </cell>
          <cell r="AF68">
            <v>7.49</v>
          </cell>
          <cell r="AG68">
            <v>7.49</v>
          </cell>
          <cell r="AH68">
            <v>1.7</v>
          </cell>
          <cell r="AI68">
            <v>1.7</v>
          </cell>
          <cell r="AJ68">
            <v>1.7</v>
          </cell>
          <cell r="AK68">
            <v>1.7</v>
          </cell>
          <cell r="AL68">
            <v>1.7</v>
          </cell>
          <cell r="AM68">
            <v>1.7</v>
          </cell>
          <cell r="AN68">
            <v>1.7</v>
          </cell>
          <cell r="AO68">
            <v>1.7</v>
          </cell>
          <cell r="AP68">
            <v>1.7</v>
          </cell>
          <cell r="AQ68">
            <v>1.7</v>
          </cell>
          <cell r="AR68">
            <v>1.7</v>
          </cell>
          <cell r="AS68">
            <v>2.7E-2</v>
          </cell>
          <cell r="AT68">
            <v>8000</v>
          </cell>
          <cell r="AU68">
            <v>216</v>
          </cell>
          <cell r="AV68">
            <v>4.6300000000000001E-2</v>
          </cell>
          <cell r="AW68">
            <v>4.6300000000000001E-2</v>
          </cell>
          <cell r="AX68">
            <v>4.6300000000000001E-2</v>
          </cell>
          <cell r="AY68">
            <v>4.6300000000000001E-2</v>
          </cell>
          <cell r="AZ68">
            <v>4.6300000000000001E-2</v>
          </cell>
          <cell r="BA68">
            <v>4.6300000000000001E-2</v>
          </cell>
          <cell r="BB68">
            <v>4.6300000000000001E-2</v>
          </cell>
          <cell r="BC68">
            <v>4.6300000000000001E-2</v>
          </cell>
          <cell r="BD68">
            <v>4.6300000000000001E-2</v>
          </cell>
          <cell r="BE68">
            <v>4.6300000000000001E-2</v>
          </cell>
          <cell r="BF68">
            <v>4.6300000000000001E-2</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4</v>
          </cell>
          <cell r="CO68">
            <v>7.49</v>
          </cell>
          <cell r="CP68">
            <v>7.49</v>
          </cell>
          <cell r="CQ68">
            <v>7.49</v>
          </cell>
          <cell r="CR68">
            <v>7.49</v>
          </cell>
          <cell r="CS68">
            <v>7.49</v>
          </cell>
          <cell r="CT68">
            <v>7.49</v>
          </cell>
          <cell r="CU68">
            <v>7.49</v>
          </cell>
          <cell r="CV68">
            <v>7.49</v>
          </cell>
          <cell r="CW68">
            <v>7.49</v>
          </cell>
          <cell r="CX68">
            <v>7.49</v>
          </cell>
          <cell r="CY68">
            <v>7.49</v>
          </cell>
          <cell r="CZ68">
            <v>4.6300000000000001E-2</v>
          </cell>
          <cell r="DA68">
            <v>4.6300000000000001E-2</v>
          </cell>
          <cell r="DB68">
            <v>4.6300000000000001E-2</v>
          </cell>
          <cell r="DC68">
            <v>4.6300000000000001E-2</v>
          </cell>
          <cell r="DD68">
            <v>4.6300000000000001E-2</v>
          </cell>
          <cell r="DE68">
            <v>4.6300000000000001E-2</v>
          </cell>
          <cell r="DF68">
            <v>4.6300000000000001E-2</v>
          </cell>
          <cell r="DG68">
            <v>4.6300000000000001E-2</v>
          </cell>
          <cell r="DH68">
            <v>4.6300000000000001E-2</v>
          </cell>
          <cell r="DI68">
            <v>4.6300000000000001E-2</v>
          </cell>
          <cell r="DJ68">
            <v>4.6300000000000001E-2</v>
          </cell>
        </row>
        <row r="69">
          <cell r="C69">
            <v>3065</v>
          </cell>
          <cell r="D69">
            <v>9015</v>
          </cell>
          <cell r="E69" t="str">
            <v>Maintenance Machinist</v>
          </cell>
          <cell r="G69" t="str">
            <v>CBA1</v>
          </cell>
          <cell r="H69" t="str">
            <v>RFP CBA</v>
          </cell>
          <cell r="I69">
            <v>59550.400000000001</v>
          </cell>
          <cell r="J69">
            <v>28.63</v>
          </cell>
          <cell r="K69">
            <v>1.7</v>
          </cell>
          <cell r="L69">
            <v>28.63</v>
          </cell>
          <cell r="M69">
            <v>28.63</v>
          </cell>
          <cell r="N69">
            <v>28.83</v>
          </cell>
          <cell r="O69">
            <v>28.83</v>
          </cell>
          <cell r="P69">
            <v>28.83</v>
          </cell>
          <cell r="Q69">
            <v>28.83</v>
          </cell>
          <cell r="R69">
            <v>28.83</v>
          </cell>
          <cell r="S69">
            <v>28.83</v>
          </cell>
          <cell r="T69">
            <v>28.83</v>
          </cell>
          <cell r="U69">
            <v>28.83</v>
          </cell>
          <cell r="V69">
            <v>28.83</v>
          </cell>
          <cell r="W69">
            <v>7.49</v>
          </cell>
          <cell r="X69">
            <v>7.49</v>
          </cell>
          <cell r="Y69">
            <v>7.49</v>
          </cell>
          <cell r="Z69">
            <v>7.49</v>
          </cell>
          <cell r="AA69">
            <v>7.49</v>
          </cell>
          <cell r="AB69">
            <v>7.49</v>
          </cell>
          <cell r="AC69">
            <v>7.49</v>
          </cell>
          <cell r="AD69">
            <v>7.49</v>
          </cell>
          <cell r="AE69">
            <v>7.49</v>
          </cell>
          <cell r="AF69">
            <v>7.49</v>
          </cell>
          <cell r="AG69">
            <v>7.49</v>
          </cell>
          <cell r="AH69">
            <v>1.7</v>
          </cell>
          <cell r="AI69">
            <v>1.7</v>
          </cell>
          <cell r="AJ69">
            <v>1.7</v>
          </cell>
          <cell r="AK69">
            <v>1.7</v>
          </cell>
          <cell r="AL69">
            <v>1.7</v>
          </cell>
          <cell r="AM69">
            <v>1.7</v>
          </cell>
          <cell r="AN69">
            <v>1.7</v>
          </cell>
          <cell r="AO69">
            <v>1.7</v>
          </cell>
          <cell r="AP69">
            <v>1.7</v>
          </cell>
          <cell r="AQ69">
            <v>1.7</v>
          </cell>
          <cell r="AR69">
            <v>1.7</v>
          </cell>
          <cell r="AS69">
            <v>2.7E-2</v>
          </cell>
          <cell r="AT69">
            <v>8000</v>
          </cell>
          <cell r="AU69">
            <v>216</v>
          </cell>
          <cell r="AV69">
            <v>4.6300000000000001E-2</v>
          </cell>
          <cell r="AW69">
            <v>4.6300000000000001E-2</v>
          </cell>
          <cell r="AX69">
            <v>4.6300000000000001E-2</v>
          </cell>
          <cell r="AY69">
            <v>4.6300000000000001E-2</v>
          </cell>
          <cell r="AZ69">
            <v>4.6300000000000001E-2</v>
          </cell>
          <cell r="BA69">
            <v>4.6300000000000001E-2</v>
          </cell>
          <cell r="BB69">
            <v>4.6300000000000001E-2</v>
          </cell>
          <cell r="BC69">
            <v>4.6300000000000001E-2</v>
          </cell>
          <cell r="BD69">
            <v>4.6300000000000001E-2</v>
          </cell>
          <cell r="BE69">
            <v>4.6300000000000001E-2</v>
          </cell>
          <cell r="BF69">
            <v>4.6300000000000001E-2</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4</v>
          </cell>
          <cell r="CO69">
            <v>7.49</v>
          </cell>
          <cell r="CP69">
            <v>7.49</v>
          </cell>
          <cell r="CQ69">
            <v>7.49</v>
          </cell>
          <cell r="CR69">
            <v>7.49</v>
          </cell>
          <cell r="CS69">
            <v>7.49</v>
          </cell>
          <cell r="CT69">
            <v>7.49</v>
          </cell>
          <cell r="CU69">
            <v>7.49</v>
          </cell>
          <cell r="CV69">
            <v>7.49</v>
          </cell>
          <cell r="CW69">
            <v>7.49</v>
          </cell>
          <cell r="CX69">
            <v>7.49</v>
          </cell>
          <cell r="CY69">
            <v>7.49</v>
          </cell>
          <cell r="CZ69">
            <v>4.6300000000000001E-2</v>
          </cell>
          <cell r="DA69">
            <v>4.6300000000000001E-2</v>
          </cell>
          <cell r="DB69">
            <v>4.6300000000000001E-2</v>
          </cell>
          <cell r="DC69">
            <v>4.6300000000000001E-2</v>
          </cell>
          <cell r="DD69">
            <v>4.6300000000000001E-2</v>
          </cell>
          <cell r="DE69">
            <v>4.6300000000000001E-2</v>
          </cell>
          <cell r="DF69">
            <v>4.6300000000000001E-2</v>
          </cell>
          <cell r="DG69">
            <v>4.6300000000000001E-2</v>
          </cell>
          <cell r="DH69">
            <v>4.6300000000000001E-2</v>
          </cell>
          <cell r="DI69">
            <v>4.6300000000000001E-2</v>
          </cell>
          <cell r="DJ69">
            <v>4.6300000000000001E-2</v>
          </cell>
        </row>
        <row r="70">
          <cell r="C70">
            <v>3070</v>
          </cell>
          <cell r="D70">
            <v>9015</v>
          </cell>
          <cell r="E70" t="str">
            <v>Sign Painter</v>
          </cell>
          <cell r="G70" t="str">
            <v>CBA1</v>
          </cell>
          <cell r="H70" t="str">
            <v>RFP CBA</v>
          </cell>
          <cell r="I70">
            <v>56118.400000000001</v>
          </cell>
          <cell r="J70">
            <v>26.98</v>
          </cell>
          <cell r="K70">
            <v>1.7</v>
          </cell>
          <cell r="L70">
            <v>26.98</v>
          </cell>
          <cell r="M70">
            <v>26.98</v>
          </cell>
          <cell r="N70">
            <v>27.18</v>
          </cell>
          <cell r="O70">
            <v>27.18</v>
          </cell>
          <cell r="P70">
            <v>27.18</v>
          </cell>
          <cell r="Q70">
            <v>27.18</v>
          </cell>
          <cell r="R70">
            <v>27.18</v>
          </cell>
          <cell r="S70">
            <v>27.18</v>
          </cell>
          <cell r="T70">
            <v>27.18</v>
          </cell>
          <cell r="U70">
            <v>27.18</v>
          </cell>
          <cell r="V70">
            <v>27.18</v>
          </cell>
          <cell r="W70">
            <v>7.49</v>
          </cell>
          <cell r="X70">
            <v>7.49</v>
          </cell>
          <cell r="Y70">
            <v>7.49</v>
          </cell>
          <cell r="Z70">
            <v>7.49</v>
          </cell>
          <cell r="AA70">
            <v>7.49</v>
          </cell>
          <cell r="AB70">
            <v>7.49</v>
          </cell>
          <cell r="AC70">
            <v>7.49</v>
          </cell>
          <cell r="AD70">
            <v>7.49</v>
          </cell>
          <cell r="AE70">
            <v>7.49</v>
          </cell>
          <cell r="AF70">
            <v>7.49</v>
          </cell>
          <cell r="AG70">
            <v>7.49</v>
          </cell>
          <cell r="AH70">
            <v>1.7</v>
          </cell>
          <cell r="AI70">
            <v>1.7</v>
          </cell>
          <cell r="AJ70">
            <v>1.7</v>
          </cell>
          <cell r="AK70">
            <v>1.7</v>
          </cell>
          <cell r="AL70">
            <v>1.7</v>
          </cell>
          <cell r="AM70">
            <v>1.7</v>
          </cell>
          <cell r="AN70">
            <v>1.7</v>
          </cell>
          <cell r="AO70">
            <v>1.7</v>
          </cell>
          <cell r="AP70">
            <v>1.7</v>
          </cell>
          <cell r="AQ70">
            <v>1.7</v>
          </cell>
          <cell r="AR70">
            <v>1.7</v>
          </cell>
          <cell r="AS70">
            <v>2.7E-2</v>
          </cell>
          <cell r="AT70">
            <v>8000</v>
          </cell>
          <cell r="AU70">
            <v>216</v>
          </cell>
          <cell r="AV70">
            <v>4.6300000000000001E-2</v>
          </cell>
          <cell r="AW70">
            <v>4.6300000000000001E-2</v>
          </cell>
          <cell r="AX70">
            <v>4.6300000000000001E-2</v>
          </cell>
          <cell r="AY70">
            <v>4.6300000000000001E-2</v>
          </cell>
          <cell r="AZ70">
            <v>4.6300000000000001E-2</v>
          </cell>
          <cell r="BA70">
            <v>4.6300000000000001E-2</v>
          </cell>
          <cell r="BB70">
            <v>4.6300000000000001E-2</v>
          </cell>
          <cell r="BC70">
            <v>4.6300000000000001E-2</v>
          </cell>
          <cell r="BD70">
            <v>4.6300000000000001E-2</v>
          </cell>
          <cell r="BE70">
            <v>4.6300000000000001E-2</v>
          </cell>
          <cell r="BF70">
            <v>4.6300000000000001E-2</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6</v>
          </cell>
          <cell r="CO70">
            <v>7.49</v>
          </cell>
          <cell r="CP70">
            <v>7.49</v>
          </cell>
          <cell r="CQ70">
            <v>7.49</v>
          </cell>
          <cell r="CR70">
            <v>7.49</v>
          </cell>
          <cell r="CS70">
            <v>7.49</v>
          </cell>
          <cell r="CT70">
            <v>7.49</v>
          </cell>
          <cell r="CU70">
            <v>7.49</v>
          </cell>
          <cell r="CV70">
            <v>7.49</v>
          </cell>
          <cell r="CW70">
            <v>7.49</v>
          </cell>
          <cell r="CX70">
            <v>7.49</v>
          </cell>
          <cell r="CY70">
            <v>7.49</v>
          </cell>
          <cell r="CZ70">
            <v>4.6300000000000001E-2</v>
          </cell>
          <cell r="DA70">
            <v>4.6300000000000001E-2</v>
          </cell>
          <cell r="DB70">
            <v>4.6300000000000001E-2</v>
          </cell>
          <cell r="DC70">
            <v>4.6300000000000001E-2</v>
          </cell>
          <cell r="DD70">
            <v>4.6300000000000001E-2</v>
          </cell>
          <cell r="DE70">
            <v>4.6300000000000001E-2</v>
          </cell>
          <cell r="DF70">
            <v>4.6300000000000001E-2</v>
          </cell>
          <cell r="DG70">
            <v>4.6300000000000001E-2</v>
          </cell>
          <cell r="DH70">
            <v>4.6300000000000001E-2</v>
          </cell>
          <cell r="DI70">
            <v>4.6300000000000001E-2</v>
          </cell>
          <cell r="DJ70">
            <v>4.6300000000000001E-2</v>
          </cell>
        </row>
        <row r="71">
          <cell r="C71">
            <v>3075</v>
          </cell>
          <cell r="D71">
            <v>9015</v>
          </cell>
          <cell r="E71" t="str">
            <v>Sign Painter II</v>
          </cell>
          <cell r="G71" t="str">
            <v>CBA1</v>
          </cell>
          <cell r="H71" t="str">
            <v>RFP CBA</v>
          </cell>
          <cell r="I71">
            <v>57720</v>
          </cell>
          <cell r="J71">
            <v>27.75</v>
          </cell>
          <cell r="K71">
            <v>1.7</v>
          </cell>
          <cell r="L71">
            <v>27.75</v>
          </cell>
          <cell r="M71">
            <v>27.75</v>
          </cell>
          <cell r="N71">
            <v>27.95</v>
          </cell>
          <cell r="O71">
            <v>27.95</v>
          </cell>
          <cell r="P71">
            <v>27.95</v>
          </cell>
          <cell r="Q71">
            <v>27.95</v>
          </cell>
          <cell r="R71">
            <v>27.95</v>
          </cell>
          <cell r="S71">
            <v>27.95</v>
          </cell>
          <cell r="T71">
            <v>27.95</v>
          </cell>
          <cell r="U71">
            <v>27.95</v>
          </cell>
          <cell r="V71">
            <v>27.95</v>
          </cell>
          <cell r="W71">
            <v>7.49</v>
          </cell>
          <cell r="X71">
            <v>7.49</v>
          </cell>
          <cell r="Y71">
            <v>7.49</v>
          </cell>
          <cell r="Z71">
            <v>7.49</v>
          </cell>
          <cell r="AA71">
            <v>7.49</v>
          </cell>
          <cell r="AB71">
            <v>7.49</v>
          </cell>
          <cell r="AC71">
            <v>7.49</v>
          </cell>
          <cell r="AD71">
            <v>7.49</v>
          </cell>
          <cell r="AE71">
            <v>7.49</v>
          </cell>
          <cell r="AF71">
            <v>7.49</v>
          </cell>
          <cell r="AG71">
            <v>7.49</v>
          </cell>
          <cell r="AH71">
            <v>1.7</v>
          </cell>
          <cell r="AI71">
            <v>1.7</v>
          </cell>
          <cell r="AJ71">
            <v>1.7</v>
          </cell>
          <cell r="AK71">
            <v>1.7</v>
          </cell>
          <cell r="AL71">
            <v>1.7</v>
          </cell>
          <cell r="AM71">
            <v>1.7</v>
          </cell>
          <cell r="AN71">
            <v>1.7</v>
          </cell>
          <cell r="AO71">
            <v>1.7</v>
          </cell>
          <cell r="AP71">
            <v>1.7</v>
          </cell>
          <cell r="AQ71">
            <v>1.7</v>
          </cell>
          <cell r="AR71">
            <v>1.7</v>
          </cell>
          <cell r="AS71">
            <v>2.7E-2</v>
          </cell>
          <cell r="AT71">
            <v>8000</v>
          </cell>
          <cell r="AU71">
            <v>216</v>
          </cell>
          <cell r="AV71">
            <v>4.6300000000000001E-2</v>
          </cell>
          <cell r="AW71">
            <v>4.6300000000000001E-2</v>
          </cell>
          <cell r="AX71">
            <v>4.6300000000000001E-2</v>
          </cell>
          <cell r="AY71">
            <v>4.6300000000000001E-2</v>
          </cell>
          <cell r="AZ71">
            <v>4.6300000000000001E-2</v>
          </cell>
          <cell r="BA71">
            <v>4.6300000000000001E-2</v>
          </cell>
          <cell r="BB71">
            <v>4.6300000000000001E-2</v>
          </cell>
          <cell r="BC71">
            <v>4.6300000000000001E-2</v>
          </cell>
          <cell r="BD71">
            <v>4.6300000000000001E-2</v>
          </cell>
          <cell r="BE71">
            <v>4.6300000000000001E-2</v>
          </cell>
          <cell r="BF71">
            <v>4.6300000000000001E-2</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6</v>
          </cell>
          <cell r="CO71">
            <v>7.49</v>
          </cell>
          <cell r="CP71">
            <v>7.49</v>
          </cell>
          <cell r="CQ71">
            <v>7.49</v>
          </cell>
          <cell r="CR71">
            <v>7.49</v>
          </cell>
          <cell r="CS71">
            <v>7.49</v>
          </cell>
          <cell r="CT71">
            <v>7.49</v>
          </cell>
          <cell r="CU71">
            <v>7.49</v>
          </cell>
          <cell r="CV71">
            <v>7.49</v>
          </cell>
          <cell r="CW71">
            <v>7.49</v>
          </cell>
          <cell r="CX71">
            <v>7.49</v>
          </cell>
          <cell r="CY71">
            <v>7.49</v>
          </cell>
          <cell r="CZ71">
            <v>4.6300000000000001E-2</v>
          </cell>
          <cell r="DA71">
            <v>4.6300000000000001E-2</v>
          </cell>
          <cell r="DB71">
            <v>4.6300000000000001E-2</v>
          </cell>
          <cell r="DC71">
            <v>4.6300000000000001E-2</v>
          </cell>
          <cell r="DD71">
            <v>4.6300000000000001E-2</v>
          </cell>
          <cell r="DE71">
            <v>4.6300000000000001E-2</v>
          </cell>
          <cell r="DF71">
            <v>4.6300000000000001E-2</v>
          </cell>
          <cell r="DG71">
            <v>4.6300000000000001E-2</v>
          </cell>
          <cell r="DH71">
            <v>4.6300000000000001E-2</v>
          </cell>
          <cell r="DI71">
            <v>4.6300000000000001E-2</v>
          </cell>
          <cell r="DJ71">
            <v>4.6300000000000001E-2</v>
          </cell>
        </row>
        <row r="72">
          <cell r="C72">
            <v>3080</v>
          </cell>
          <cell r="D72">
            <v>9015</v>
          </cell>
          <cell r="E72" t="str">
            <v>Maintenance Pipefitter</v>
          </cell>
          <cell r="G72" t="str">
            <v>CBA1</v>
          </cell>
          <cell r="H72" t="str">
            <v>RFP CBA</v>
          </cell>
          <cell r="I72">
            <v>62920</v>
          </cell>
          <cell r="J72">
            <v>30.25</v>
          </cell>
          <cell r="K72">
            <v>1.7</v>
          </cell>
          <cell r="L72">
            <v>30.25</v>
          </cell>
          <cell r="M72">
            <v>30.25</v>
          </cell>
          <cell r="N72">
            <v>30.45</v>
          </cell>
          <cell r="O72">
            <v>30.45</v>
          </cell>
          <cell r="P72">
            <v>30.45</v>
          </cell>
          <cell r="Q72">
            <v>30.45</v>
          </cell>
          <cell r="R72">
            <v>30.45</v>
          </cell>
          <cell r="S72">
            <v>30.45</v>
          </cell>
          <cell r="T72">
            <v>30.45</v>
          </cell>
          <cell r="U72">
            <v>30.45</v>
          </cell>
          <cell r="V72">
            <v>30.45</v>
          </cell>
          <cell r="W72">
            <v>7.49</v>
          </cell>
          <cell r="X72">
            <v>7.49</v>
          </cell>
          <cell r="Y72">
            <v>7.49</v>
          </cell>
          <cell r="Z72">
            <v>7.49</v>
          </cell>
          <cell r="AA72">
            <v>7.49</v>
          </cell>
          <cell r="AB72">
            <v>7.49</v>
          </cell>
          <cell r="AC72">
            <v>7.49</v>
          </cell>
          <cell r="AD72">
            <v>7.49</v>
          </cell>
          <cell r="AE72">
            <v>7.49</v>
          </cell>
          <cell r="AF72">
            <v>7.49</v>
          </cell>
          <cell r="AG72">
            <v>7.49</v>
          </cell>
          <cell r="AH72">
            <v>1.7</v>
          </cell>
          <cell r="AI72">
            <v>1.7</v>
          </cell>
          <cell r="AJ72">
            <v>1.7</v>
          </cell>
          <cell r="AK72">
            <v>1.7</v>
          </cell>
          <cell r="AL72">
            <v>1.7</v>
          </cell>
          <cell r="AM72">
            <v>1.7</v>
          </cell>
          <cell r="AN72">
            <v>1.7</v>
          </cell>
          <cell r="AO72">
            <v>1.7</v>
          </cell>
          <cell r="AP72">
            <v>1.7</v>
          </cell>
          <cell r="AQ72">
            <v>1.7</v>
          </cell>
          <cell r="AR72">
            <v>1.7</v>
          </cell>
          <cell r="AS72">
            <v>2.7E-2</v>
          </cell>
          <cell r="AT72">
            <v>8000</v>
          </cell>
          <cell r="AU72">
            <v>216</v>
          </cell>
          <cell r="AV72">
            <v>4.6300000000000001E-2</v>
          </cell>
          <cell r="AW72">
            <v>4.6300000000000001E-2</v>
          </cell>
          <cell r="AX72">
            <v>4.6300000000000001E-2</v>
          </cell>
          <cell r="AY72">
            <v>4.6300000000000001E-2</v>
          </cell>
          <cell r="AZ72">
            <v>4.6300000000000001E-2</v>
          </cell>
          <cell r="BA72">
            <v>4.6300000000000001E-2</v>
          </cell>
          <cell r="BB72">
            <v>4.6300000000000001E-2</v>
          </cell>
          <cell r="BC72">
            <v>4.6300000000000001E-2</v>
          </cell>
          <cell r="BD72">
            <v>4.6300000000000001E-2</v>
          </cell>
          <cell r="BE72">
            <v>4.6300000000000001E-2</v>
          </cell>
          <cell r="BF72">
            <v>4.6300000000000001E-2</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5</v>
          </cell>
          <cell r="CO72">
            <v>7.49</v>
          </cell>
          <cell r="CP72">
            <v>7.49</v>
          </cell>
          <cell r="CQ72">
            <v>7.49</v>
          </cell>
          <cell r="CR72">
            <v>7.49</v>
          </cell>
          <cell r="CS72">
            <v>7.49</v>
          </cell>
          <cell r="CT72">
            <v>7.49</v>
          </cell>
          <cell r="CU72">
            <v>7.49</v>
          </cell>
          <cell r="CV72">
            <v>7.49</v>
          </cell>
          <cell r="CW72">
            <v>7.49</v>
          </cell>
          <cell r="CX72">
            <v>7.49</v>
          </cell>
          <cell r="CY72">
            <v>7.49</v>
          </cell>
          <cell r="CZ72">
            <v>4.6300000000000001E-2</v>
          </cell>
          <cell r="DA72">
            <v>4.6300000000000001E-2</v>
          </cell>
          <cell r="DB72">
            <v>4.6300000000000001E-2</v>
          </cell>
          <cell r="DC72">
            <v>4.6300000000000001E-2</v>
          </cell>
          <cell r="DD72">
            <v>4.6300000000000001E-2</v>
          </cell>
          <cell r="DE72">
            <v>4.6300000000000001E-2</v>
          </cell>
          <cell r="DF72">
            <v>4.6300000000000001E-2</v>
          </cell>
          <cell r="DG72">
            <v>4.6300000000000001E-2</v>
          </cell>
          <cell r="DH72">
            <v>4.6300000000000001E-2</v>
          </cell>
          <cell r="DI72">
            <v>4.6300000000000001E-2</v>
          </cell>
          <cell r="DJ72">
            <v>4.6300000000000001E-2</v>
          </cell>
        </row>
        <row r="73">
          <cell r="C73">
            <v>3085</v>
          </cell>
          <cell r="D73">
            <v>9015</v>
          </cell>
          <cell r="E73" t="str">
            <v>Maintenance Plumber</v>
          </cell>
          <cell r="G73" t="str">
            <v>CBA1</v>
          </cell>
          <cell r="H73" t="str">
            <v>RFP CBA</v>
          </cell>
          <cell r="I73">
            <v>62920</v>
          </cell>
          <cell r="J73">
            <v>30.25</v>
          </cell>
          <cell r="K73">
            <v>1.7</v>
          </cell>
          <cell r="L73">
            <v>30.25</v>
          </cell>
          <cell r="M73">
            <v>30.25</v>
          </cell>
          <cell r="N73">
            <v>30.45</v>
          </cell>
          <cell r="O73">
            <v>30.45</v>
          </cell>
          <cell r="P73">
            <v>30.45</v>
          </cell>
          <cell r="Q73">
            <v>30.45</v>
          </cell>
          <cell r="R73">
            <v>30.45</v>
          </cell>
          <cell r="S73">
            <v>30.45</v>
          </cell>
          <cell r="T73">
            <v>30.45</v>
          </cell>
          <cell r="U73">
            <v>30.45</v>
          </cell>
          <cell r="V73">
            <v>30.45</v>
          </cell>
          <cell r="W73">
            <v>7.49</v>
          </cell>
          <cell r="X73">
            <v>7.49</v>
          </cell>
          <cell r="Y73">
            <v>7.49</v>
          </cell>
          <cell r="Z73">
            <v>7.49</v>
          </cell>
          <cell r="AA73">
            <v>7.49</v>
          </cell>
          <cell r="AB73">
            <v>7.49</v>
          </cell>
          <cell r="AC73">
            <v>7.49</v>
          </cell>
          <cell r="AD73">
            <v>7.49</v>
          </cell>
          <cell r="AE73">
            <v>7.49</v>
          </cell>
          <cell r="AF73">
            <v>7.49</v>
          </cell>
          <cell r="AG73">
            <v>7.49</v>
          </cell>
          <cell r="AH73">
            <v>1.7</v>
          </cell>
          <cell r="AI73">
            <v>1.7</v>
          </cell>
          <cell r="AJ73">
            <v>1.7</v>
          </cell>
          <cell r="AK73">
            <v>1.7</v>
          </cell>
          <cell r="AL73">
            <v>1.7</v>
          </cell>
          <cell r="AM73">
            <v>1.7</v>
          </cell>
          <cell r="AN73">
            <v>1.7</v>
          </cell>
          <cell r="AO73">
            <v>1.7</v>
          </cell>
          <cell r="AP73">
            <v>1.7</v>
          </cell>
          <cell r="AQ73">
            <v>1.7</v>
          </cell>
          <cell r="AR73">
            <v>1.7</v>
          </cell>
          <cell r="AS73">
            <v>2.7E-2</v>
          </cell>
          <cell r="AT73">
            <v>8000</v>
          </cell>
          <cell r="AU73">
            <v>216</v>
          </cell>
          <cell r="AV73">
            <v>4.6300000000000001E-2</v>
          </cell>
          <cell r="AW73">
            <v>4.6300000000000001E-2</v>
          </cell>
          <cell r="AX73">
            <v>4.6300000000000001E-2</v>
          </cell>
          <cell r="AY73">
            <v>4.6300000000000001E-2</v>
          </cell>
          <cell r="AZ73">
            <v>4.6300000000000001E-2</v>
          </cell>
          <cell r="BA73">
            <v>4.6300000000000001E-2</v>
          </cell>
          <cell r="BB73">
            <v>4.6300000000000001E-2</v>
          </cell>
          <cell r="BC73">
            <v>4.6300000000000001E-2</v>
          </cell>
          <cell r="BD73">
            <v>4.6300000000000001E-2</v>
          </cell>
          <cell r="BE73">
            <v>4.6300000000000001E-2</v>
          </cell>
          <cell r="BF73">
            <v>4.6300000000000001E-2</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5</v>
          </cell>
          <cell r="CO73">
            <v>7.49</v>
          </cell>
          <cell r="CP73">
            <v>7.49</v>
          </cell>
          <cell r="CQ73">
            <v>7.49</v>
          </cell>
          <cell r="CR73">
            <v>7.49</v>
          </cell>
          <cell r="CS73">
            <v>7.49</v>
          </cell>
          <cell r="CT73">
            <v>7.49</v>
          </cell>
          <cell r="CU73">
            <v>7.49</v>
          </cell>
          <cell r="CV73">
            <v>7.49</v>
          </cell>
          <cell r="CW73">
            <v>7.49</v>
          </cell>
          <cell r="CX73">
            <v>7.49</v>
          </cell>
          <cell r="CY73">
            <v>7.49</v>
          </cell>
          <cell r="CZ73">
            <v>4.6300000000000001E-2</v>
          </cell>
          <cell r="DA73">
            <v>4.6300000000000001E-2</v>
          </cell>
          <cell r="DB73">
            <v>4.6300000000000001E-2</v>
          </cell>
          <cell r="DC73">
            <v>4.6300000000000001E-2</v>
          </cell>
          <cell r="DD73">
            <v>4.6300000000000001E-2</v>
          </cell>
          <cell r="DE73">
            <v>4.6300000000000001E-2</v>
          </cell>
          <cell r="DF73">
            <v>4.6300000000000001E-2</v>
          </cell>
          <cell r="DG73">
            <v>4.6300000000000001E-2</v>
          </cell>
          <cell r="DH73">
            <v>4.6300000000000001E-2</v>
          </cell>
          <cell r="DI73">
            <v>4.6300000000000001E-2</v>
          </cell>
          <cell r="DJ73">
            <v>4.6300000000000001E-2</v>
          </cell>
        </row>
        <row r="74">
          <cell r="C74">
            <v>3090</v>
          </cell>
          <cell r="D74">
            <v>9015</v>
          </cell>
          <cell r="E74" t="str">
            <v>Maintenance Welder</v>
          </cell>
          <cell r="G74" t="str">
            <v>CBA1</v>
          </cell>
          <cell r="H74" t="str">
            <v>RFP CBA</v>
          </cell>
          <cell r="I74">
            <v>59550.400000000001</v>
          </cell>
          <cell r="J74">
            <v>28.63</v>
          </cell>
          <cell r="K74">
            <v>1.7</v>
          </cell>
          <cell r="L74">
            <v>28.63</v>
          </cell>
          <cell r="M74">
            <v>28.63</v>
          </cell>
          <cell r="N74">
            <v>28.83</v>
          </cell>
          <cell r="O74">
            <v>28.83</v>
          </cell>
          <cell r="P74">
            <v>28.83</v>
          </cell>
          <cell r="Q74">
            <v>28.83</v>
          </cell>
          <cell r="R74">
            <v>28.83</v>
          </cell>
          <cell r="S74">
            <v>28.83</v>
          </cell>
          <cell r="T74">
            <v>28.83</v>
          </cell>
          <cell r="U74">
            <v>28.83</v>
          </cell>
          <cell r="V74">
            <v>28.83</v>
          </cell>
          <cell r="W74">
            <v>7.49</v>
          </cell>
          <cell r="X74">
            <v>7.49</v>
          </cell>
          <cell r="Y74">
            <v>7.49</v>
          </cell>
          <cell r="Z74">
            <v>7.49</v>
          </cell>
          <cell r="AA74">
            <v>7.49</v>
          </cell>
          <cell r="AB74">
            <v>7.49</v>
          </cell>
          <cell r="AC74">
            <v>7.49</v>
          </cell>
          <cell r="AD74">
            <v>7.49</v>
          </cell>
          <cell r="AE74">
            <v>7.49</v>
          </cell>
          <cell r="AF74">
            <v>7.49</v>
          </cell>
          <cell r="AG74">
            <v>7.49</v>
          </cell>
          <cell r="AH74">
            <v>1.7</v>
          </cell>
          <cell r="AI74">
            <v>1.7</v>
          </cell>
          <cell r="AJ74">
            <v>1.7</v>
          </cell>
          <cell r="AK74">
            <v>1.7</v>
          </cell>
          <cell r="AL74">
            <v>1.7</v>
          </cell>
          <cell r="AM74">
            <v>1.7</v>
          </cell>
          <cell r="AN74">
            <v>1.7</v>
          </cell>
          <cell r="AO74">
            <v>1.7</v>
          </cell>
          <cell r="AP74">
            <v>1.7</v>
          </cell>
          <cell r="AQ74">
            <v>1.7</v>
          </cell>
          <cell r="AR74">
            <v>1.7</v>
          </cell>
          <cell r="AS74">
            <v>2.7E-2</v>
          </cell>
          <cell r="AT74">
            <v>8000</v>
          </cell>
          <cell r="AU74">
            <v>216</v>
          </cell>
          <cell r="AV74">
            <v>4.6300000000000001E-2</v>
          </cell>
          <cell r="AW74">
            <v>4.6300000000000001E-2</v>
          </cell>
          <cell r="AX74">
            <v>4.6300000000000001E-2</v>
          </cell>
          <cell r="AY74">
            <v>4.6300000000000001E-2</v>
          </cell>
          <cell r="AZ74">
            <v>4.6300000000000001E-2</v>
          </cell>
          <cell r="BA74">
            <v>4.6300000000000001E-2</v>
          </cell>
          <cell r="BB74">
            <v>4.6300000000000001E-2</v>
          </cell>
          <cell r="BC74">
            <v>4.6300000000000001E-2</v>
          </cell>
          <cell r="BD74">
            <v>4.6300000000000001E-2</v>
          </cell>
          <cell r="BE74">
            <v>4.6300000000000001E-2</v>
          </cell>
          <cell r="BF74">
            <v>4.6300000000000001E-2</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5</v>
          </cell>
          <cell r="CO74">
            <v>7.49</v>
          </cell>
          <cell r="CP74">
            <v>7.49</v>
          </cell>
          <cell r="CQ74">
            <v>7.49</v>
          </cell>
          <cell r="CR74">
            <v>7.49</v>
          </cell>
          <cell r="CS74">
            <v>7.49</v>
          </cell>
          <cell r="CT74">
            <v>7.49</v>
          </cell>
          <cell r="CU74">
            <v>7.49</v>
          </cell>
          <cell r="CV74">
            <v>7.49</v>
          </cell>
          <cell r="CW74">
            <v>7.49</v>
          </cell>
          <cell r="CX74">
            <v>7.49</v>
          </cell>
          <cell r="CY74">
            <v>7.49</v>
          </cell>
          <cell r="CZ74">
            <v>4.6300000000000001E-2</v>
          </cell>
          <cell r="DA74">
            <v>4.6300000000000001E-2</v>
          </cell>
          <cell r="DB74">
            <v>4.6300000000000001E-2</v>
          </cell>
          <cell r="DC74">
            <v>4.6300000000000001E-2</v>
          </cell>
          <cell r="DD74">
            <v>4.6300000000000001E-2</v>
          </cell>
          <cell r="DE74">
            <v>4.6300000000000001E-2</v>
          </cell>
          <cell r="DF74">
            <v>4.6300000000000001E-2</v>
          </cell>
          <cell r="DG74">
            <v>4.6300000000000001E-2</v>
          </cell>
          <cell r="DH74">
            <v>4.6300000000000001E-2</v>
          </cell>
          <cell r="DI74">
            <v>4.6300000000000001E-2</v>
          </cell>
          <cell r="DJ74">
            <v>4.6300000000000001E-2</v>
          </cell>
        </row>
        <row r="75">
          <cell r="C75">
            <v>3095</v>
          </cell>
          <cell r="D75">
            <v>9015</v>
          </cell>
          <cell r="E75" t="str">
            <v>Boiler Tender</v>
          </cell>
          <cell r="G75" t="str">
            <v>CBA1</v>
          </cell>
          <cell r="H75" t="str">
            <v>RFP CBA</v>
          </cell>
          <cell r="I75">
            <v>61984</v>
          </cell>
          <cell r="J75">
            <v>29.8</v>
          </cell>
          <cell r="K75">
            <v>1.7</v>
          </cell>
          <cell r="L75">
            <v>29.8</v>
          </cell>
          <cell r="M75">
            <v>29.8</v>
          </cell>
          <cell r="N75">
            <v>30</v>
          </cell>
          <cell r="O75">
            <v>30</v>
          </cell>
          <cell r="P75">
            <v>30</v>
          </cell>
          <cell r="Q75">
            <v>30</v>
          </cell>
          <cell r="R75">
            <v>30</v>
          </cell>
          <cell r="S75">
            <v>30</v>
          </cell>
          <cell r="T75">
            <v>30</v>
          </cell>
          <cell r="U75">
            <v>30</v>
          </cell>
          <cell r="V75">
            <v>30</v>
          </cell>
          <cell r="W75">
            <v>7.49</v>
          </cell>
          <cell r="X75">
            <v>7.49</v>
          </cell>
          <cell r="Y75">
            <v>7.49</v>
          </cell>
          <cell r="Z75">
            <v>7.49</v>
          </cell>
          <cell r="AA75">
            <v>7.49</v>
          </cell>
          <cell r="AB75">
            <v>7.49</v>
          </cell>
          <cell r="AC75">
            <v>7.49</v>
          </cell>
          <cell r="AD75">
            <v>7.49</v>
          </cell>
          <cell r="AE75">
            <v>7.49</v>
          </cell>
          <cell r="AF75">
            <v>7.49</v>
          </cell>
          <cell r="AG75">
            <v>7.49</v>
          </cell>
          <cell r="AH75">
            <v>1.7</v>
          </cell>
          <cell r="AI75">
            <v>1.7</v>
          </cell>
          <cell r="AJ75">
            <v>1.7</v>
          </cell>
          <cell r="AK75">
            <v>1.7</v>
          </cell>
          <cell r="AL75">
            <v>1.7</v>
          </cell>
          <cell r="AM75">
            <v>1.7</v>
          </cell>
          <cell r="AN75">
            <v>1.7</v>
          </cell>
          <cell r="AO75">
            <v>1.7</v>
          </cell>
          <cell r="AP75">
            <v>1.7</v>
          </cell>
          <cell r="AQ75">
            <v>1.7</v>
          </cell>
          <cell r="AR75">
            <v>1.7</v>
          </cell>
          <cell r="AS75">
            <v>2.7E-2</v>
          </cell>
          <cell r="AT75">
            <v>8000</v>
          </cell>
          <cell r="AU75">
            <v>216</v>
          </cell>
          <cell r="AV75">
            <v>4.6300000000000001E-2</v>
          </cell>
          <cell r="AW75">
            <v>4.6300000000000001E-2</v>
          </cell>
          <cell r="AX75">
            <v>4.6300000000000001E-2</v>
          </cell>
          <cell r="AY75">
            <v>4.6300000000000001E-2</v>
          </cell>
          <cell r="AZ75">
            <v>4.6300000000000001E-2</v>
          </cell>
          <cell r="BA75">
            <v>4.6300000000000001E-2</v>
          </cell>
          <cell r="BB75">
            <v>4.6300000000000001E-2</v>
          </cell>
          <cell r="BC75">
            <v>4.6300000000000001E-2</v>
          </cell>
          <cell r="BD75">
            <v>4.6300000000000001E-2</v>
          </cell>
          <cell r="BE75">
            <v>4.6300000000000001E-2</v>
          </cell>
          <cell r="BF75">
            <v>4.6300000000000001E-2</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1</v>
          </cell>
          <cell r="CO75">
            <v>7.49</v>
          </cell>
          <cell r="CP75">
            <v>7.49</v>
          </cell>
          <cell r="CQ75">
            <v>7.49</v>
          </cell>
          <cell r="CR75">
            <v>7.49</v>
          </cell>
          <cell r="CS75">
            <v>7.49</v>
          </cell>
          <cell r="CT75">
            <v>7.49</v>
          </cell>
          <cell r="CU75">
            <v>7.49</v>
          </cell>
          <cell r="CV75">
            <v>7.49</v>
          </cell>
          <cell r="CW75">
            <v>7.49</v>
          </cell>
          <cell r="CX75">
            <v>7.49</v>
          </cell>
          <cell r="CY75">
            <v>7.49</v>
          </cell>
          <cell r="CZ75">
            <v>4.6300000000000001E-2</v>
          </cell>
          <cell r="DA75">
            <v>4.6300000000000001E-2</v>
          </cell>
          <cell r="DB75">
            <v>4.6300000000000001E-2</v>
          </cell>
          <cell r="DC75">
            <v>4.6300000000000001E-2</v>
          </cell>
          <cell r="DD75">
            <v>4.6300000000000001E-2</v>
          </cell>
          <cell r="DE75">
            <v>4.6300000000000001E-2</v>
          </cell>
          <cell r="DF75">
            <v>4.6300000000000001E-2</v>
          </cell>
          <cell r="DG75">
            <v>4.6300000000000001E-2</v>
          </cell>
          <cell r="DH75">
            <v>4.6300000000000001E-2</v>
          </cell>
          <cell r="DI75">
            <v>4.6300000000000001E-2</v>
          </cell>
          <cell r="DJ75">
            <v>4.6300000000000001E-2</v>
          </cell>
        </row>
        <row r="76">
          <cell r="C76">
            <v>3100</v>
          </cell>
          <cell r="D76">
            <v>9015</v>
          </cell>
          <cell r="E76" t="str">
            <v>Boiler Tender/Rover/Dispatcher</v>
          </cell>
          <cell r="G76" t="str">
            <v>CBA1</v>
          </cell>
          <cell r="H76" t="str">
            <v>RFP CBA</v>
          </cell>
          <cell r="I76">
            <v>63315.200000000004</v>
          </cell>
          <cell r="J76">
            <v>30.44</v>
          </cell>
          <cell r="K76">
            <v>1.7</v>
          </cell>
          <cell r="L76">
            <v>30.44</v>
          </cell>
          <cell r="M76">
            <v>30.44</v>
          </cell>
          <cell r="N76">
            <v>30.64</v>
          </cell>
          <cell r="O76">
            <v>30.64</v>
          </cell>
          <cell r="P76">
            <v>30.64</v>
          </cell>
          <cell r="Q76">
            <v>30.64</v>
          </cell>
          <cell r="R76">
            <v>30.64</v>
          </cell>
          <cell r="S76">
            <v>30.64</v>
          </cell>
          <cell r="T76">
            <v>30.64</v>
          </cell>
          <cell r="U76">
            <v>30.64</v>
          </cell>
          <cell r="V76">
            <v>30.64</v>
          </cell>
          <cell r="W76">
            <v>7.49</v>
          </cell>
          <cell r="X76">
            <v>7.49</v>
          </cell>
          <cell r="Y76">
            <v>7.49</v>
          </cell>
          <cell r="Z76">
            <v>7.49</v>
          </cell>
          <cell r="AA76">
            <v>7.49</v>
          </cell>
          <cell r="AB76">
            <v>7.49</v>
          </cell>
          <cell r="AC76">
            <v>7.49</v>
          </cell>
          <cell r="AD76">
            <v>7.49</v>
          </cell>
          <cell r="AE76">
            <v>7.49</v>
          </cell>
          <cell r="AF76">
            <v>7.49</v>
          </cell>
          <cell r="AG76">
            <v>7.49</v>
          </cell>
          <cell r="AH76">
            <v>1.7</v>
          </cell>
          <cell r="AI76">
            <v>1.7</v>
          </cell>
          <cell r="AJ76">
            <v>1.7</v>
          </cell>
          <cell r="AK76">
            <v>1.7</v>
          </cell>
          <cell r="AL76">
            <v>1.7</v>
          </cell>
          <cell r="AM76">
            <v>1.7</v>
          </cell>
          <cell r="AN76">
            <v>1.7</v>
          </cell>
          <cell r="AO76">
            <v>1.7</v>
          </cell>
          <cell r="AP76">
            <v>1.7</v>
          </cell>
          <cell r="AQ76">
            <v>1.7</v>
          </cell>
          <cell r="AR76">
            <v>1.7</v>
          </cell>
          <cell r="AS76">
            <v>2.7E-2</v>
          </cell>
          <cell r="AT76">
            <v>8000</v>
          </cell>
          <cell r="AU76">
            <v>216</v>
          </cell>
          <cell r="AV76">
            <v>4.6300000000000001E-2</v>
          </cell>
          <cell r="AW76">
            <v>4.6300000000000001E-2</v>
          </cell>
          <cell r="AX76">
            <v>4.6300000000000001E-2</v>
          </cell>
          <cell r="AY76">
            <v>4.6300000000000001E-2</v>
          </cell>
          <cell r="AZ76">
            <v>4.6300000000000001E-2</v>
          </cell>
          <cell r="BA76">
            <v>4.6300000000000001E-2</v>
          </cell>
          <cell r="BB76">
            <v>4.6300000000000001E-2</v>
          </cell>
          <cell r="BC76">
            <v>4.6300000000000001E-2</v>
          </cell>
          <cell r="BD76">
            <v>4.6300000000000001E-2</v>
          </cell>
          <cell r="BE76">
            <v>4.6300000000000001E-2</v>
          </cell>
          <cell r="BF76">
            <v>4.6300000000000001E-2</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1</v>
          </cell>
          <cell r="CO76">
            <v>7.49</v>
          </cell>
          <cell r="CP76">
            <v>7.49</v>
          </cell>
          <cell r="CQ76">
            <v>7.49</v>
          </cell>
          <cell r="CR76">
            <v>7.49</v>
          </cell>
          <cell r="CS76">
            <v>7.49</v>
          </cell>
          <cell r="CT76">
            <v>7.49</v>
          </cell>
          <cell r="CU76">
            <v>7.49</v>
          </cell>
          <cell r="CV76">
            <v>7.49</v>
          </cell>
          <cell r="CW76">
            <v>7.49</v>
          </cell>
          <cell r="CX76">
            <v>7.49</v>
          </cell>
          <cell r="CY76">
            <v>7.49</v>
          </cell>
          <cell r="CZ76">
            <v>4.6300000000000001E-2</v>
          </cell>
          <cell r="DA76">
            <v>4.6300000000000001E-2</v>
          </cell>
          <cell r="DB76">
            <v>4.6300000000000001E-2</v>
          </cell>
          <cell r="DC76">
            <v>4.6300000000000001E-2</v>
          </cell>
          <cell r="DD76">
            <v>4.6300000000000001E-2</v>
          </cell>
          <cell r="DE76">
            <v>4.6300000000000001E-2</v>
          </cell>
          <cell r="DF76">
            <v>4.6300000000000001E-2</v>
          </cell>
          <cell r="DG76">
            <v>4.6300000000000001E-2</v>
          </cell>
          <cell r="DH76">
            <v>4.6300000000000001E-2</v>
          </cell>
          <cell r="DI76">
            <v>4.6300000000000001E-2</v>
          </cell>
          <cell r="DJ76">
            <v>4.6300000000000001E-2</v>
          </cell>
        </row>
        <row r="77">
          <cell r="C77">
            <v>3105</v>
          </cell>
          <cell r="D77">
            <v>9015</v>
          </cell>
          <cell r="E77" t="str">
            <v>Wastewater Plant Operator</v>
          </cell>
          <cell r="G77" t="str">
            <v>CBA1</v>
          </cell>
          <cell r="H77" t="str">
            <v>RFP CBA</v>
          </cell>
          <cell r="I77">
            <v>60257.599999999999</v>
          </cell>
          <cell r="J77">
            <v>28.97</v>
          </cell>
          <cell r="K77">
            <v>1.7</v>
          </cell>
          <cell r="L77">
            <v>28.97</v>
          </cell>
          <cell r="M77">
            <v>28.97</v>
          </cell>
          <cell r="N77">
            <v>29.17</v>
          </cell>
          <cell r="O77">
            <v>29.17</v>
          </cell>
          <cell r="P77">
            <v>29.17</v>
          </cell>
          <cell r="Q77">
            <v>29.17</v>
          </cell>
          <cell r="R77">
            <v>29.17</v>
          </cell>
          <cell r="S77">
            <v>29.17</v>
          </cell>
          <cell r="T77">
            <v>29.17</v>
          </cell>
          <cell r="U77">
            <v>29.17</v>
          </cell>
          <cell r="V77">
            <v>29.17</v>
          </cell>
          <cell r="W77">
            <v>7.49</v>
          </cell>
          <cell r="X77">
            <v>7.49</v>
          </cell>
          <cell r="Y77">
            <v>7.49</v>
          </cell>
          <cell r="Z77">
            <v>7.49</v>
          </cell>
          <cell r="AA77">
            <v>7.49</v>
          </cell>
          <cell r="AB77">
            <v>7.49</v>
          </cell>
          <cell r="AC77">
            <v>7.49</v>
          </cell>
          <cell r="AD77">
            <v>7.49</v>
          </cell>
          <cell r="AE77">
            <v>7.49</v>
          </cell>
          <cell r="AF77">
            <v>7.49</v>
          </cell>
          <cell r="AG77">
            <v>7.49</v>
          </cell>
          <cell r="AH77">
            <v>1.7</v>
          </cell>
          <cell r="AI77">
            <v>1.7</v>
          </cell>
          <cell r="AJ77">
            <v>1.7</v>
          </cell>
          <cell r="AK77">
            <v>1.7</v>
          </cell>
          <cell r="AL77">
            <v>1.7</v>
          </cell>
          <cell r="AM77">
            <v>1.7</v>
          </cell>
          <cell r="AN77">
            <v>1.7</v>
          </cell>
          <cell r="AO77">
            <v>1.7</v>
          </cell>
          <cell r="AP77">
            <v>1.7</v>
          </cell>
          <cell r="AQ77">
            <v>1.7</v>
          </cell>
          <cell r="AR77">
            <v>1.7</v>
          </cell>
          <cell r="AS77">
            <v>2.7E-2</v>
          </cell>
          <cell r="AT77">
            <v>8000</v>
          </cell>
          <cell r="AU77">
            <v>216</v>
          </cell>
          <cell r="AV77">
            <v>4.6300000000000001E-2</v>
          </cell>
          <cell r="AW77">
            <v>4.6300000000000001E-2</v>
          </cell>
          <cell r="AX77">
            <v>4.6300000000000001E-2</v>
          </cell>
          <cell r="AY77">
            <v>4.6300000000000001E-2</v>
          </cell>
          <cell r="AZ77">
            <v>4.6300000000000001E-2</v>
          </cell>
          <cell r="BA77">
            <v>4.6300000000000001E-2</v>
          </cell>
          <cell r="BB77">
            <v>4.6300000000000001E-2</v>
          </cell>
          <cell r="BC77">
            <v>4.6300000000000001E-2</v>
          </cell>
          <cell r="BD77">
            <v>4.6300000000000001E-2</v>
          </cell>
          <cell r="BE77">
            <v>4.6300000000000001E-2</v>
          </cell>
          <cell r="BF77">
            <v>4.6300000000000001E-2</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1</v>
          </cell>
          <cell r="CO77">
            <v>7.49</v>
          </cell>
          <cell r="CP77">
            <v>7.49</v>
          </cell>
          <cell r="CQ77">
            <v>7.49</v>
          </cell>
          <cell r="CR77">
            <v>7.49</v>
          </cell>
          <cell r="CS77">
            <v>7.49</v>
          </cell>
          <cell r="CT77">
            <v>7.49</v>
          </cell>
          <cell r="CU77">
            <v>7.49</v>
          </cell>
          <cell r="CV77">
            <v>7.49</v>
          </cell>
          <cell r="CW77">
            <v>7.49</v>
          </cell>
          <cell r="CX77">
            <v>7.49</v>
          </cell>
          <cell r="CY77">
            <v>7.49</v>
          </cell>
          <cell r="CZ77">
            <v>4.6300000000000001E-2</v>
          </cell>
          <cell r="DA77">
            <v>4.6300000000000001E-2</v>
          </cell>
          <cell r="DB77">
            <v>4.6300000000000001E-2</v>
          </cell>
          <cell r="DC77">
            <v>4.6300000000000001E-2</v>
          </cell>
          <cell r="DD77">
            <v>4.6300000000000001E-2</v>
          </cell>
          <cell r="DE77">
            <v>4.6300000000000001E-2</v>
          </cell>
          <cell r="DF77">
            <v>4.6300000000000001E-2</v>
          </cell>
          <cell r="DG77">
            <v>4.6300000000000001E-2</v>
          </cell>
          <cell r="DH77">
            <v>4.6300000000000001E-2</v>
          </cell>
          <cell r="DI77">
            <v>4.6300000000000001E-2</v>
          </cell>
          <cell r="DJ77">
            <v>4.6300000000000001E-2</v>
          </cell>
        </row>
        <row r="78">
          <cell r="C78">
            <v>3110</v>
          </cell>
          <cell r="D78">
            <v>9015</v>
          </cell>
          <cell r="E78" t="str">
            <v>Water Plant Operator</v>
          </cell>
          <cell r="G78" t="str">
            <v>CBA1</v>
          </cell>
          <cell r="H78" t="str">
            <v>RFP CBA</v>
          </cell>
          <cell r="I78">
            <v>60257.599999999999</v>
          </cell>
          <cell r="J78">
            <v>28.97</v>
          </cell>
          <cell r="K78">
            <v>1.7</v>
          </cell>
          <cell r="L78">
            <v>28.97</v>
          </cell>
          <cell r="M78">
            <v>28.97</v>
          </cell>
          <cell r="N78">
            <v>29.17</v>
          </cell>
          <cell r="O78">
            <v>29.17</v>
          </cell>
          <cell r="P78">
            <v>29.17</v>
          </cell>
          <cell r="Q78">
            <v>29.17</v>
          </cell>
          <cell r="R78">
            <v>29.17</v>
          </cell>
          <cell r="S78">
            <v>29.17</v>
          </cell>
          <cell r="T78">
            <v>29.17</v>
          </cell>
          <cell r="U78">
            <v>29.17</v>
          </cell>
          <cell r="V78">
            <v>29.17</v>
          </cell>
          <cell r="W78">
            <v>7.49</v>
          </cell>
          <cell r="X78">
            <v>7.49</v>
          </cell>
          <cell r="Y78">
            <v>7.49</v>
          </cell>
          <cell r="Z78">
            <v>7.49</v>
          </cell>
          <cell r="AA78">
            <v>7.49</v>
          </cell>
          <cell r="AB78">
            <v>7.49</v>
          </cell>
          <cell r="AC78">
            <v>7.49</v>
          </cell>
          <cell r="AD78">
            <v>7.49</v>
          </cell>
          <cell r="AE78">
            <v>7.49</v>
          </cell>
          <cell r="AF78">
            <v>7.49</v>
          </cell>
          <cell r="AG78">
            <v>7.49</v>
          </cell>
          <cell r="AH78">
            <v>1.7</v>
          </cell>
          <cell r="AI78">
            <v>1.7</v>
          </cell>
          <cell r="AJ78">
            <v>1.7</v>
          </cell>
          <cell r="AK78">
            <v>1.7</v>
          </cell>
          <cell r="AL78">
            <v>1.7</v>
          </cell>
          <cell r="AM78">
            <v>1.7</v>
          </cell>
          <cell r="AN78">
            <v>1.7</v>
          </cell>
          <cell r="AO78">
            <v>1.7</v>
          </cell>
          <cell r="AP78">
            <v>1.7</v>
          </cell>
          <cell r="AQ78">
            <v>1.7</v>
          </cell>
          <cell r="AR78">
            <v>1.7</v>
          </cell>
          <cell r="AS78">
            <v>2.7E-2</v>
          </cell>
          <cell r="AT78">
            <v>8000</v>
          </cell>
          <cell r="AU78">
            <v>216</v>
          </cell>
          <cell r="AV78">
            <v>4.6300000000000001E-2</v>
          </cell>
          <cell r="AW78">
            <v>4.6300000000000001E-2</v>
          </cell>
          <cell r="AX78">
            <v>4.6300000000000001E-2</v>
          </cell>
          <cell r="AY78">
            <v>4.6300000000000001E-2</v>
          </cell>
          <cell r="AZ78">
            <v>4.6300000000000001E-2</v>
          </cell>
          <cell r="BA78">
            <v>4.6300000000000001E-2</v>
          </cell>
          <cell r="BB78">
            <v>4.6300000000000001E-2</v>
          </cell>
          <cell r="BC78">
            <v>4.6300000000000001E-2</v>
          </cell>
          <cell r="BD78">
            <v>4.6300000000000001E-2</v>
          </cell>
          <cell r="BE78">
            <v>4.6300000000000001E-2</v>
          </cell>
          <cell r="BF78">
            <v>4.6300000000000001E-2</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1</v>
          </cell>
          <cell r="CO78">
            <v>7.49</v>
          </cell>
          <cell r="CP78">
            <v>7.49</v>
          </cell>
          <cell r="CQ78">
            <v>7.49</v>
          </cell>
          <cell r="CR78">
            <v>7.49</v>
          </cell>
          <cell r="CS78">
            <v>7.49</v>
          </cell>
          <cell r="CT78">
            <v>7.49</v>
          </cell>
          <cell r="CU78">
            <v>7.49</v>
          </cell>
          <cell r="CV78">
            <v>7.49</v>
          </cell>
          <cell r="CW78">
            <v>7.49</v>
          </cell>
          <cell r="CX78">
            <v>7.49</v>
          </cell>
          <cell r="CY78">
            <v>7.49</v>
          </cell>
          <cell r="CZ78">
            <v>4.6300000000000001E-2</v>
          </cell>
          <cell r="DA78">
            <v>4.6300000000000001E-2</v>
          </cell>
          <cell r="DB78">
            <v>4.6300000000000001E-2</v>
          </cell>
          <cell r="DC78">
            <v>4.6300000000000001E-2</v>
          </cell>
          <cell r="DD78">
            <v>4.6300000000000001E-2</v>
          </cell>
          <cell r="DE78">
            <v>4.6300000000000001E-2</v>
          </cell>
          <cell r="DF78">
            <v>4.6300000000000001E-2</v>
          </cell>
          <cell r="DG78">
            <v>4.6300000000000001E-2</v>
          </cell>
          <cell r="DH78">
            <v>4.6300000000000001E-2</v>
          </cell>
          <cell r="DI78">
            <v>4.6300000000000001E-2</v>
          </cell>
          <cell r="DJ78">
            <v>4.6300000000000001E-2</v>
          </cell>
        </row>
        <row r="79">
          <cell r="C79">
            <v>3115</v>
          </cell>
          <cell r="D79">
            <v>9015</v>
          </cell>
          <cell r="E79" t="str">
            <v>Heavy Equipment Operator</v>
          </cell>
          <cell r="G79" t="str">
            <v>CBA1</v>
          </cell>
          <cell r="H79" t="str">
            <v>RFP CBA</v>
          </cell>
          <cell r="I79">
            <v>67745.600000000006</v>
          </cell>
          <cell r="J79">
            <v>32.57</v>
          </cell>
          <cell r="K79">
            <v>1.7</v>
          </cell>
          <cell r="L79">
            <v>32.57</v>
          </cell>
          <cell r="M79">
            <v>32.57</v>
          </cell>
          <cell r="N79">
            <v>32.770000000000003</v>
          </cell>
          <cell r="O79">
            <v>32.770000000000003</v>
          </cell>
          <cell r="P79">
            <v>32.770000000000003</v>
          </cell>
          <cell r="Q79">
            <v>32.770000000000003</v>
          </cell>
          <cell r="R79">
            <v>32.770000000000003</v>
          </cell>
          <cell r="S79">
            <v>32.770000000000003</v>
          </cell>
          <cell r="T79">
            <v>32.770000000000003</v>
          </cell>
          <cell r="U79">
            <v>32.770000000000003</v>
          </cell>
          <cell r="V79">
            <v>32.770000000000003</v>
          </cell>
          <cell r="W79">
            <v>7.49</v>
          </cell>
          <cell r="X79">
            <v>7.49</v>
          </cell>
          <cell r="Y79">
            <v>7.49</v>
          </cell>
          <cell r="Z79">
            <v>7.49</v>
          </cell>
          <cell r="AA79">
            <v>7.49</v>
          </cell>
          <cell r="AB79">
            <v>7.49</v>
          </cell>
          <cell r="AC79">
            <v>7.49</v>
          </cell>
          <cell r="AD79">
            <v>7.49</v>
          </cell>
          <cell r="AE79">
            <v>7.49</v>
          </cell>
          <cell r="AF79">
            <v>7.49</v>
          </cell>
          <cell r="AG79">
            <v>7.49</v>
          </cell>
          <cell r="AH79">
            <v>1.7</v>
          </cell>
          <cell r="AI79">
            <v>1.7</v>
          </cell>
          <cell r="AJ79">
            <v>1.7</v>
          </cell>
          <cell r="AK79">
            <v>1.7</v>
          </cell>
          <cell r="AL79">
            <v>1.7</v>
          </cell>
          <cell r="AM79">
            <v>1.7</v>
          </cell>
          <cell r="AN79">
            <v>1.7</v>
          </cell>
          <cell r="AO79">
            <v>1.7</v>
          </cell>
          <cell r="AP79">
            <v>1.7</v>
          </cell>
          <cell r="AQ79">
            <v>1.7</v>
          </cell>
          <cell r="AR79">
            <v>1.7</v>
          </cell>
          <cell r="AS79">
            <v>2.7E-2</v>
          </cell>
          <cell r="AT79">
            <v>8000</v>
          </cell>
          <cell r="AU79">
            <v>216</v>
          </cell>
          <cell r="AV79">
            <v>4.6300000000000001E-2</v>
          </cell>
          <cell r="AW79">
            <v>4.6300000000000001E-2</v>
          </cell>
          <cell r="AX79">
            <v>4.6300000000000001E-2</v>
          </cell>
          <cell r="AY79">
            <v>4.6300000000000001E-2</v>
          </cell>
          <cell r="AZ79">
            <v>4.6300000000000001E-2</v>
          </cell>
          <cell r="BA79">
            <v>4.6300000000000001E-2</v>
          </cell>
          <cell r="BB79">
            <v>4.6300000000000001E-2</v>
          </cell>
          <cell r="BC79">
            <v>4.6300000000000001E-2</v>
          </cell>
          <cell r="BD79">
            <v>4.6300000000000001E-2</v>
          </cell>
          <cell r="BE79">
            <v>4.6300000000000001E-2</v>
          </cell>
          <cell r="BF79">
            <v>4.6300000000000001E-2</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4</v>
          </cell>
          <cell r="CO79">
            <v>7.49</v>
          </cell>
          <cell r="CP79">
            <v>7.49</v>
          </cell>
          <cell r="CQ79">
            <v>7.49</v>
          </cell>
          <cell r="CR79">
            <v>7.49</v>
          </cell>
          <cell r="CS79">
            <v>7.49</v>
          </cell>
          <cell r="CT79">
            <v>7.49</v>
          </cell>
          <cell r="CU79">
            <v>7.49</v>
          </cell>
          <cell r="CV79">
            <v>7.49</v>
          </cell>
          <cell r="CW79">
            <v>7.49</v>
          </cell>
          <cell r="CX79">
            <v>7.49</v>
          </cell>
          <cell r="CY79">
            <v>7.49</v>
          </cell>
          <cell r="CZ79">
            <v>4.6300000000000001E-2</v>
          </cell>
          <cell r="DA79">
            <v>4.6300000000000001E-2</v>
          </cell>
          <cell r="DB79">
            <v>4.6300000000000001E-2</v>
          </cell>
          <cell r="DC79">
            <v>4.6300000000000001E-2</v>
          </cell>
          <cell r="DD79">
            <v>4.6300000000000001E-2</v>
          </cell>
          <cell r="DE79">
            <v>4.6300000000000001E-2</v>
          </cell>
          <cell r="DF79">
            <v>4.6300000000000001E-2</v>
          </cell>
          <cell r="DG79">
            <v>4.6300000000000001E-2</v>
          </cell>
          <cell r="DH79">
            <v>4.6300000000000001E-2</v>
          </cell>
          <cell r="DI79">
            <v>4.6300000000000001E-2</v>
          </cell>
          <cell r="DJ79">
            <v>4.6300000000000001E-2</v>
          </cell>
        </row>
        <row r="80">
          <cell r="C80">
            <v>3120</v>
          </cell>
          <cell r="D80">
            <v>9015</v>
          </cell>
          <cell r="E80" t="str">
            <v>Tractor Trailer Driver</v>
          </cell>
          <cell r="G80" t="str">
            <v>CBA1</v>
          </cell>
          <cell r="H80" t="str">
            <v>RFP CBA</v>
          </cell>
          <cell r="I80">
            <v>59945.599999999999</v>
          </cell>
          <cell r="J80">
            <v>28.82</v>
          </cell>
          <cell r="K80">
            <v>1.7</v>
          </cell>
          <cell r="L80">
            <v>28.82</v>
          </cell>
          <cell r="M80">
            <v>28.82</v>
          </cell>
          <cell r="N80">
            <v>29.02</v>
          </cell>
          <cell r="O80">
            <v>29.02</v>
          </cell>
          <cell r="P80">
            <v>29.02</v>
          </cell>
          <cell r="Q80">
            <v>29.02</v>
          </cell>
          <cell r="R80">
            <v>29.02</v>
          </cell>
          <cell r="S80">
            <v>29.02</v>
          </cell>
          <cell r="T80">
            <v>29.02</v>
          </cell>
          <cell r="U80">
            <v>29.02</v>
          </cell>
          <cell r="V80">
            <v>29.02</v>
          </cell>
          <cell r="W80">
            <v>7.49</v>
          </cell>
          <cell r="X80">
            <v>7.49</v>
          </cell>
          <cell r="Y80">
            <v>7.49</v>
          </cell>
          <cell r="Z80">
            <v>7.49</v>
          </cell>
          <cell r="AA80">
            <v>7.49</v>
          </cell>
          <cell r="AB80">
            <v>7.49</v>
          </cell>
          <cell r="AC80">
            <v>7.49</v>
          </cell>
          <cell r="AD80">
            <v>7.49</v>
          </cell>
          <cell r="AE80">
            <v>7.49</v>
          </cell>
          <cell r="AF80">
            <v>7.49</v>
          </cell>
          <cell r="AG80">
            <v>7.49</v>
          </cell>
          <cell r="AH80">
            <v>1.7</v>
          </cell>
          <cell r="AI80">
            <v>1.7</v>
          </cell>
          <cell r="AJ80">
            <v>1.7</v>
          </cell>
          <cell r="AK80">
            <v>1.7</v>
          </cell>
          <cell r="AL80">
            <v>1.7</v>
          </cell>
          <cell r="AM80">
            <v>1.7</v>
          </cell>
          <cell r="AN80">
            <v>1.7</v>
          </cell>
          <cell r="AO80">
            <v>1.7</v>
          </cell>
          <cell r="AP80">
            <v>1.7</v>
          </cell>
          <cell r="AQ80">
            <v>1.7</v>
          </cell>
          <cell r="AR80">
            <v>1.7</v>
          </cell>
          <cell r="AS80">
            <v>2.7E-2</v>
          </cell>
          <cell r="AT80">
            <v>8000</v>
          </cell>
          <cell r="AU80">
            <v>216</v>
          </cell>
          <cell r="AV80">
            <v>4.6300000000000001E-2</v>
          </cell>
          <cell r="AW80">
            <v>4.6300000000000001E-2</v>
          </cell>
          <cell r="AX80">
            <v>4.6300000000000001E-2</v>
          </cell>
          <cell r="AY80">
            <v>4.6300000000000001E-2</v>
          </cell>
          <cell r="AZ80">
            <v>4.6300000000000001E-2</v>
          </cell>
          <cell r="BA80">
            <v>4.6300000000000001E-2</v>
          </cell>
          <cell r="BB80">
            <v>4.6300000000000001E-2</v>
          </cell>
          <cell r="BC80">
            <v>4.6300000000000001E-2</v>
          </cell>
          <cell r="BD80">
            <v>4.6300000000000001E-2</v>
          </cell>
          <cell r="BE80">
            <v>4.6300000000000001E-2</v>
          </cell>
          <cell r="BF80">
            <v>4.6300000000000001E-2</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O80">
            <v>7.49</v>
          </cell>
          <cell r="CP80">
            <v>7.49</v>
          </cell>
          <cell r="CQ80">
            <v>7.49</v>
          </cell>
          <cell r="CR80">
            <v>7.49</v>
          </cell>
          <cell r="CS80">
            <v>7.49</v>
          </cell>
          <cell r="CT80">
            <v>7.49</v>
          </cell>
          <cell r="CU80">
            <v>7.49</v>
          </cell>
          <cell r="CV80">
            <v>7.49</v>
          </cell>
          <cell r="CW80">
            <v>7.49</v>
          </cell>
          <cell r="CX80">
            <v>7.49</v>
          </cell>
          <cell r="CY80">
            <v>7.49</v>
          </cell>
          <cell r="CZ80">
            <v>4.6300000000000001E-2</v>
          </cell>
          <cell r="DA80">
            <v>4.6300000000000001E-2</v>
          </cell>
          <cell r="DB80">
            <v>4.6300000000000001E-2</v>
          </cell>
          <cell r="DC80">
            <v>4.6300000000000001E-2</v>
          </cell>
          <cell r="DD80">
            <v>4.6300000000000001E-2</v>
          </cell>
          <cell r="DE80">
            <v>4.6300000000000001E-2</v>
          </cell>
          <cell r="DF80">
            <v>4.6300000000000001E-2</v>
          </cell>
          <cell r="DG80">
            <v>4.6300000000000001E-2</v>
          </cell>
          <cell r="DH80">
            <v>4.6300000000000001E-2</v>
          </cell>
          <cell r="DI80">
            <v>4.6300000000000001E-2</v>
          </cell>
          <cell r="DJ80">
            <v>4.6300000000000001E-2</v>
          </cell>
        </row>
        <row r="81">
          <cell r="C81">
            <v>3125</v>
          </cell>
          <cell r="D81">
            <v>9015</v>
          </cell>
          <cell r="E81" t="str">
            <v>Tractor Operator</v>
          </cell>
          <cell r="G81" t="str">
            <v>CBA1</v>
          </cell>
          <cell r="H81" t="str">
            <v>RFP CBA</v>
          </cell>
          <cell r="I81">
            <v>42494.400000000001</v>
          </cell>
          <cell r="J81">
            <v>20.43</v>
          </cell>
          <cell r="K81">
            <v>1.7</v>
          </cell>
          <cell r="L81">
            <v>20.43</v>
          </cell>
          <cell r="M81">
            <v>20.43</v>
          </cell>
          <cell r="N81">
            <v>20.63</v>
          </cell>
          <cell r="O81">
            <v>20.63</v>
          </cell>
          <cell r="P81">
            <v>20.63</v>
          </cell>
          <cell r="Q81">
            <v>20.63</v>
          </cell>
          <cell r="R81">
            <v>20.63</v>
          </cell>
          <cell r="S81">
            <v>20.63</v>
          </cell>
          <cell r="T81">
            <v>20.63</v>
          </cell>
          <cell r="U81">
            <v>20.63</v>
          </cell>
          <cell r="V81">
            <v>20.63</v>
          </cell>
          <cell r="W81">
            <v>7.49</v>
          </cell>
          <cell r="X81">
            <v>7.49</v>
          </cell>
          <cell r="Y81">
            <v>7.49</v>
          </cell>
          <cell r="Z81">
            <v>7.49</v>
          </cell>
          <cell r="AA81">
            <v>7.49</v>
          </cell>
          <cell r="AB81">
            <v>7.49</v>
          </cell>
          <cell r="AC81">
            <v>7.49</v>
          </cell>
          <cell r="AD81">
            <v>7.49</v>
          </cell>
          <cell r="AE81">
            <v>7.49</v>
          </cell>
          <cell r="AF81">
            <v>7.49</v>
          </cell>
          <cell r="AG81">
            <v>7.49</v>
          </cell>
          <cell r="AH81">
            <v>1.7</v>
          </cell>
          <cell r="AI81">
            <v>1.7</v>
          </cell>
          <cell r="AJ81">
            <v>1.7</v>
          </cell>
          <cell r="AK81">
            <v>1.7</v>
          </cell>
          <cell r="AL81">
            <v>1.7</v>
          </cell>
          <cell r="AM81">
            <v>1.7</v>
          </cell>
          <cell r="AN81">
            <v>1.7</v>
          </cell>
          <cell r="AO81">
            <v>1.7</v>
          </cell>
          <cell r="AP81">
            <v>1.7</v>
          </cell>
          <cell r="AQ81">
            <v>1.7</v>
          </cell>
          <cell r="AR81">
            <v>1.7</v>
          </cell>
          <cell r="AS81">
            <v>2.7E-2</v>
          </cell>
          <cell r="AT81">
            <v>8000</v>
          </cell>
          <cell r="AU81">
            <v>216</v>
          </cell>
          <cell r="AV81">
            <v>4.6300000000000001E-2</v>
          </cell>
          <cell r="AW81">
            <v>4.6300000000000001E-2</v>
          </cell>
          <cell r="AX81">
            <v>4.6300000000000001E-2</v>
          </cell>
          <cell r="AY81">
            <v>4.6300000000000001E-2</v>
          </cell>
          <cell r="AZ81">
            <v>4.6300000000000001E-2</v>
          </cell>
          <cell r="BA81">
            <v>4.6300000000000001E-2</v>
          </cell>
          <cell r="BB81">
            <v>4.6300000000000001E-2</v>
          </cell>
          <cell r="BC81">
            <v>4.6300000000000001E-2</v>
          </cell>
          <cell r="BD81">
            <v>4.6300000000000001E-2</v>
          </cell>
          <cell r="BE81">
            <v>4.6300000000000001E-2</v>
          </cell>
          <cell r="BF81">
            <v>4.6300000000000001E-2</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O81">
            <v>7.49</v>
          </cell>
          <cell r="CP81">
            <v>7.49</v>
          </cell>
          <cell r="CQ81">
            <v>7.49</v>
          </cell>
          <cell r="CR81">
            <v>7.49</v>
          </cell>
          <cell r="CS81">
            <v>7.49</v>
          </cell>
          <cell r="CT81">
            <v>7.49</v>
          </cell>
          <cell r="CU81">
            <v>7.49</v>
          </cell>
          <cell r="CV81">
            <v>7.49</v>
          </cell>
          <cell r="CW81">
            <v>7.49</v>
          </cell>
          <cell r="CX81">
            <v>7.49</v>
          </cell>
          <cell r="CY81">
            <v>7.49</v>
          </cell>
          <cell r="CZ81">
            <v>4.6300000000000001E-2</v>
          </cell>
          <cell r="DA81">
            <v>4.6300000000000001E-2</v>
          </cell>
          <cell r="DB81">
            <v>4.6300000000000001E-2</v>
          </cell>
          <cell r="DC81">
            <v>4.6300000000000001E-2</v>
          </cell>
          <cell r="DD81">
            <v>4.6300000000000001E-2</v>
          </cell>
          <cell r="DE81">
            <v>4.6300000000000001E-2</v>
          </cell>
          <cell r="DF81">
            <v>4.6300000000000001E-2</v>
          </cell>
          <cell r="DG81">
            <v>4.6300000000000001E-2</v>
          </cell>
          <cell r="DH81">
            <v>4.6300000000000001E-2</v>
          </cell>
          <cell r="DI81">
            <v>4.6300000000000001E-2</v>
          </cell>
          <cell r="DJ81">
            <v>4.6300000000000001E-2</v>
          </cell>
        </row>
        <row r="82">
          <cell r="C82">
            <v>3130</v>
          </cell>
          <cell r="D82">
            <v>9015</v>
          </cell>
          <cell r="E82" t="str">
            <v>Fork Lift Operator</v>
          </cell>
          <cell r="G82" t="str">
            <v>CBA1</v>
          </cell>
          <cell r="H82" t="str">
            <v>RFP CBA</v>
          </cell>
          <cell r="I82">
            <v>42494.400000000001</v>
          </cell>
          <cell r="J82">
            <v>20.43</v>
          </cell>
          <cell r="K82">
            <v>1.7</v>
          </cell>
          <cell r="L82">
            <v>20.43</v>
          </cell>
          <cell r="M82">
            <v>20.43</v>
          </cell>
          <cell r="N82">
            <v>20.63</v>
          </cell>
          <cell r="O82">
            <v>20.63</v>
          </cell>
          <cell r="P82">
            <v>20.63</v>
          </cell>
          <cell r="Q82">
            <v>20.63</v>
          </cell>
          <cell r="R82">
            <v>20.63</v>
          </cell>
          <cell r="S82">
            <v>20.63</v>
          </cell>
          <cell r="T82">
            <v>20.63</v>
          </cell>
          <cell r="U82">
            <v>20.63</v>
          </cell>
          <cell r="V82">
            <v>20.63</v>
          </cell>
          <cell r="W82">
            <v>7.49</v>
          </cell>
          <cell r="X82">
            <v>7.49</v>
          </cell>
          <cell r="Y82">
            <v>7.49</v>
          </cell>
          <cell r="Z82">
            <v>7.49</v>
          </cell>
          <cell r="AA82">
            <v>7.49</v>
          </cell>
          <cell r="AB82">
            <v>7.49</v>
          </cell>
          <cell r="AC82">
            <v>7.49</v>
          </cell>
          <cell r="AD82">
            <v>7.49</v>
          </cell>
          <cell r="AE82">
            <v>7.49</v>
          </cell>
          <cell r="AF82">
            <v>7.49</v>
          </cell>
          <cell r="AG82">
            <v>7.49</v>
          </cell>
          <cell r="AH82">
            <v>1.7</v>
          </cell>
          <cell r="AI82">
            <v>1.7</v>
          </cell>
          <cell r="AJ82">
            <v>1.7</v>
          </cell>
          <cell r="AK82">
            <v>1.7</v>
          </cell>
          <cell r="AL82">
            <v>1.7</v>
          </cell>
          <cell r="AM82">
            <v>1.7</v>
          </cell>
          <cell r="AN82">
            <v>1.7</v>
          </cell>
          <cell r="AO82">
            <v>1.7</v>
          </cell>
          <cell r="AP82">
            <v>1.7</v>
          </cell>
          <cell r="AQ82">
            <v>1.7</v>
          </cell>
          <cell r="AR82">
            <v>1.7</v>
          </cell>
          <cell r="AS82">
            <v>2.7E-2</v>
          </cell>
          <cell r="AT82">
            <v>8000</v>
          </cell>
          <cell r="AU82">
            <v>216</v>
          </cell>
          <cell r="AV82">
            <v>4.6300000000000001E-2</v>
          </cell>
          <cell r="AW82">
            <v>4.6300000000000001E-2</v>
          </cell>
          <cell r="AX82">
            <v>4.6300000000000001E-2</v>
          </cell>
          <cell r="AY82">
            <v>4.6300000000000001E-2</v>
          </cell>
          <cell r="AZ82">
            <v>4.6300000000000001E-2</v>
          </cell>
          <cell r="BA82">
            <v>4.6300000000000001E-2</v>
          </cell>
          <cell r="BB82">
            <v>4.6300000000000001E-2</v>
          </cell>
          <cell r="BC82">
            <v>4.6300000000000001E-2</v>
          </cell>
          <cell r="BD82">
            <v>4.6300000000000001E-2</v>
          </cell>
          <cell r="BE82">
            <v>4.6300000000000001E-2</v>
          </cell>
          <cell r="BF82">
            <v>4.6300000000000001E-2</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O82">
            <v>7.49</v>
          </cell>
          <cell r="CP82">
            <v>7.49</v>
          </cell>
          <cell r="CQ82">
            <v>7.49</v>
          </cell>
          <cell r="CR82">
            <v>7.49</v>
          </cell>
          <cell r="CS82">
            <v>7.49</v>
          </cell>
          <cell r="CT82">
            <v>7.49</v>
          </cell>
          <cell r="CU82">
            <v>7.49</v>
          </cell>
          <cell r="CV82">
            <v>7.49</v>
          </cell>
          <cell r="CW82">
            <v>7.49</v>
          </cell>
          <cell r="CX82">
            <v>7.49</v>
          </cell>
          <cell r="CY82">
            <v>7.49</v>
          </cell>
          <cell r="CZ82">
            <v>4.6300000000000001E-2</v>
          </cell>
          <cell r="DA82">
            <v>4.6300000000000001E-2</v>
          </cell>
          <cell r="DB82">
            <v>4.6300000000000001E-2</v>
          </cell>
          <cell r="DC82">
            <v>4.6300000000000001E-2</v>
          </cell>
          <cell r="DD82">
            <v>4.6300000000000001E-2</v>
          </cell>
          <cell r="DE82">
            <v>4.6300000000000001E-2</v>
          </cell>
          <cell r="DF82">
            <v>4.6300000000000001E-2</v>
          </cell>
          <cell r="DG82">
            <v>4.6300000000000001E-2</v>
          </cell>
          <cell r="DH82">
            <v>4.6300000000000001E-2</v>
          </cell>
          <cell r="DI82">
            <v>4.6300000000000001E-2</v>
          </cell>
          <cell r="DJ82">
            <v>4.6300000000000001E-2</v>
          </cell>
        </row>
        <row r="83">
          <cell r="C83">
            <v>3135</v>
          </cell>
          <cell r="D83">
            <v>9015</v>
          </cell>
          <cell r="E83" t="str">
            <v>Backflow Pipefitter</v>
          </cell>
          <cell r="G83" t="str">
            <v>CBA1</v>
          </cell>
          <cell r="H83" t="str">
            <v>RFP CBA</v>
          </cell>
          <cell r="I83">
            <v>65644.800000000003</v>
          </cell>
          <cell r="J83">
            <v>31.56</v>
          </cell>
          <cell r="K83">
            <v>1.7</v>
          </cell>
          <cell r="L83">
            <v>31.56</v>
          </cell>
          <cell r="M83">
            <v>31.56</v>
          </cell>
          <cell r="N83">
            <v>31.76</v>
          </cell>
          <cell r="O83">
            <v>31.76</v>
          </cell>
          <cell r="P83">
            <v>31.76</v>
          </cell>
          <cell r="Q83">
            <v>31.76</v>
          </cell>
          <cell r="R83">
            <v>31.76</v>
          </cell>
          <cell r="S83">
            <v>31.76</v>
          </cell>
          <cell r="T83">
            <v>31.76</v>
          </cell>
          <cell r="U83">
            <v>31.76</v>
          </cell>
          <cell r="V83">
            <v>31.76</v>
          </cell>
          <cell r="W83">
            <v>7.49</v>
          </cell>
          <cell r="X83">
            <v>7.49</v>
          </cell>
          <cell r="Y83">
            <v>7.49</v>
          </cell>
          <cell r="Z83">
            <v>7.49</v>
          </cell>
          <cell r="AA83">
            <v>7.49</v>
          </cell>
          <cell r="AB83">
            <v>7.49</v>
          </cell>
          <cell r="AC83">
            <v>7.49</v>
          </cell>
          <cell r="AD83">
            <v>7.49</v>
          </cell>
          <cell r="AE83">
            <v>7.49</v>
          </cell>
          <cell r="AF83">
            <v>7.49</v>
          </cell>
          <cell r="AG83">
            <v>7.49</v>
          </cell>
          <cell r="AH83">
            <v>1.7</v>
          </cell>
          <cell r="AI83">
            <v>1.7</v>
          </cell>
          <cell r="AJ83">
            <v>1.7</v>
          </cell>
          <cell r="AK83">
            <v>1.7</v>
          </cell>
          <cell r="AL83">
            <v>1.7</v>
          </cell>
          <cell r="AM83">
            <v>1.7</v>
          </cell>
          <cell r="AN83">
            <v>1.7</v>
          </cell>
          <cell r="AO83">
            <v>1.7</v>
          </cell>
          <cell r="AP83">
            <v>1.7</v>
          </cell>
          <cell r="AQ83">
            <v>1.7</v>
          </cell>
          <cell r="AR83">
            <v>1.7</v>
          </cell>
          <cell r="AS83">
            <v>2.7E-2</v>
          </cell>
          <cell r="AT83">
            <v>8000</v>
          </cell>
          <cell r="AU83">
            <v>216</v>
          </cell>
          <cell r="AV83">
            <v>4.6300000000000001E-2</v>
          </cell>
          <cell r="AW83">
            <v>4.6300000000000001E-2</v>
          </cell>
          <cell r="AX83">
            <v>4.6300000000000001E-2</v>
          </cell>
          <cell r="AY83">
            <v>4.6300000000000001E-2</v>
          </cell>
          <cell r="AZ83">
            <v>4.6300000000000001E-2</v>
          </cell>
          <cell r="BA83">
            <v>4.6300000000000001E-2</v>
          </cell>
          <cell r="BB83">
            <v>4.6300000000000001E-2</v>
          </cell>
          <cell r="BC83">
            <v>4.6300000000000001E-2</v>
          </cell>
          <cell r="BD83">
            <v>4.6300000000000001E-2</v>
          </cell>
          <cell r="BE83">
            <v>4.6300000000000001E-2</v>
          </cell>
          <cell r="BF83">
            <v>4.6300000000000001E-2</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5</v>
          </cell>
          <cell r="CO83">
            <v>7.49</v>
          </cell>
          <cell r="CP83">
            <v>7.49</v>
          </cell>
          <cell r="CQ83">
            <v>7.49</v>
          </cell>
          <cell r="CR83">
            <v>7.49</v>
          </cell>
          <cell r="CS83">
            <v>7.49</v>
          </cell>
          <cell r="CT83">
            <v>7.49</v>
          </cell>
          <cell r="CU83">
            <v>7.49</v>
          </cell>
          <cell r="CV83">
            <v>7.49</v>
          </cell>
          <cell r="CW83">
            <v>7.49</v>
          </cell>
          <cell r="CX83">
            <v>7.49</v>
          </cell>
          <cell r="CY83">
            <v>7.49</v>
          </cell>
          <cell r="CZ83">
            <v>4.6300000000000001E-2</v>
          </cell>
          <cell r="DA83">
            <v>4.6300000000000001E-2</v>
          </cell>
          <cell r="DB83">
            <v>4.6300000000000001E-2</v>
          </cell>
          <cell r="DC83">
            <v>4.6300000000000001E-2</v>
          </cell>
          <cell r="DD83">
            <v>4.6300000000000001E-2</v>
          </cell>
          <cell r="DE83">
            <v>4.6300000000000001E-2</v>
          </cell>
          <cell r="DF83">
            <v>4.6300000000000001E-2</v>
          </cell>
          <cell r="DG83">
            <v>4.6300000000000001E-2</v>
          </cell>
          <cell r="DH83">
            <v>4.6300000000000001E-2</v>
          </cell>
          <cell r="DI83">
            <v>4.6300000000000001E-2</v>
          </cell>
          <cell r="DJ83">
            <v>4.6300000000000001E-2</v>
          </cell>
        </row>
        <row r="84">
          <cell r="C84">
            <v>3140</v>
          </cell>
          <cell r="D84">
            <v>9015</v>
          </cell>
          <cell r="E84" t="str">
            <v>Generator Mechanic</v>
          </cell>
          <cell r="G84" t="str">
            <v>CBA1</v>
          </cell>
          <cell r="H84" t="str">
            <v>RFP CBA</v>
          </cell>
          <cell r="I84">
            <v>59550.400000000001</v>
          </cell>
          <cell r="J84">
            <v>28.63</v>
          </cell>
          <cell r="K84">
            <v>1.7</v>
          </cell>
          <cell r="L84">
            <v>28.63</v>
          </cell>
          <cell r="M84">
            <v>28.63</v>
          </cell>
          <cell r="N84">
            <v>28.83</v>
          </cell>
          <cell r="O84">
            <v>28.83</v>
          </cell>
          <cell r="P84">
            <v>28.83</v>
          </cell>
          <cell r="Q84">
            <v>28.83</v>
          </cell>
          <cell r="R84">
            <v>28.83</v>
          </cell>
          <cell r="S84">
            <v>28.83</v>
          </cell>
          <cell r="T84">
            <v>28.83</v>
          </cell>
          <cell r="U84">
            <v>28.83</v>
          </cell>
          <cell r="V84">
            <v>28.83</v>
          </cell>
          <cell r="W84">
            <v>7.49</v>
          </cell>
          <cell r="X84">
            <v>7.49</v>
          </cell>
          <cell r="Y84">
            <v>7.49</v>
          </cell>
          <cell r="Z84">
            <v>7.49</v>
          </cell>
          <cell r="AA84">
            <v>7.49</v>
          </cell>
          <cell r="AB84">
            <v>7.49</v>
          </cell>
          <cell r="AC84">
            <v>7.49</v>
          </cell>
          <cell r="AD84">
            <v>7.49</v>
          </cell>
          <cell r="AE84">
            <v>7.49</v>
          </cell>
          <cell r="AF84">
            <v>7.49</v>
          </cell>
          <cell r="AG84">
            <v>7.49</v>
          </cell>
          <cell r="AH84">
            <v>1.7</v>
          </cell>
          <cell r="AI84">
            <v>1.7</v>
          </cell>
          <cell r="AJ84">
            <v>1.7</v>
          </cell>
          <cell r="AK84">
            <v>1.7</v>
          </cell>
          <cell r="AL84">
            <v>1.7</v>
          </cell>
          <cell r="AM84">
            <v>1.7</v>
          </cell>
          <cell r="AN84">
            <v>1.7</v>
          </cell>
          <cell r="AO84">
            <v>1.7</v>
          </cell>
          <cell r="AP84">
            <v>1.7</v>
          </cell>
          <cell r="AQ84">
            <v>1.7</v>
          </cell>
          <cell r="AR84">
            <v>1.7</v>
          </cell>
          <cell r="AS84">
            <v>2.7E-2</v>
          </cell>
          <cell r="AT84">
            <v>8000</v>
          </cell>
          <cell r="AU84">
            <v>216</v>
          </cell>
          <cell r="AV84">
            <v>4.6300000000000001E-2</v>
          </cell>
          <cell r="AW84">
            <v>4.6300000000000001E-2</v>
          </cell>
          <cell r="AX84">
            <v>4.6300000000000001E-2</v>
          </cell>
          <cell r="AY84">
            <v>4.6300000000000001E-2</v>
          </cell>
          <cell r="AZ84">
            <v>4.6300000000000001E-2</v>
          </cell>
          <cell r="BA84">
            <v>4.6300000000000001E-2</v>
          </cell>
          <cell r="BB84">
            <v>4.6300000000000001E-2</v>
          </cell>
          <cell r="BC84">
            <v>4.6300000000000001E-2</v>
          </cell>
          <cell r="BD84">
            <v>4.6300000000000001E-2</v>
          </cell>
          <cell r="BE84">
            <v>4.6300000000000001E-2</v>
          </cell>
          <cell r="BF84">
            <v>4.6300000000000001E-2</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3</v>
          </cell>
          <cell r="CO84">
            <v>7.49</v>
          </cell>
          <cell r="CP84">
            <v>7.49</v>
          </cell>
          <cell r="CQ84">
            <v>7.49</v>
          </cell>
          <cell r="CR84">
            <v>7.49</v>
          </cell>
          <cell r="CS84">
            <v>7.49</v>
          </cell>
          <cell r="CT84">
            <v>7.49</v>
          </cell>
          <cell r="CU84">
            <v>7.49</v>
          </cell>
          <cell r="CV84">
            <v>7.49</v>
          </cell>
          <cell r="CW84">
            <v>7.49</v>
          </cell>
          <cell r="CX84">
            <v>7.49</v>
          </cell>
          <cell r="CY84">
            <v>7.49</v>
          </cell>
          <cell r="CZ84">
            <v>4.6300000000000001E-2</v>
          </cell>
          <cell r="DA84">
            <v>4.6300000000000001E-2</v>
          </cell>
          <cell r="DB84">
            <v>4.6300000000000001E-2</v>
          </cell>
          <cell r="DC84">
            <v>4.6300000000000001E-2</v>
          </cell>
          <cell r="DD84">
            <v>4.6300000000000001E-2</v>
          </cell>
          <cell r="DE84">
            <v>4.6300000000000001E-2</v>
          </cell>
          <cell r="DF84">
            <v>4.6300000000000001E-2</v>
          </cell>
          <cell r="DG84">
            <v>4.6300000000000001E-2</v>
          </cell>
          <cell r="DH84">
            <v>4.6300000000000001E-2</v>
          </cell>
          <cell r="DI84">
            <v>4.6300000000000001E-2</v>
          </cell>
          <cell r="DJ84">
            <v>4.6300000000000001E-2</v>
          </cell>
        </row>
        <row r="85">
          <cell r="C85">
            <v>3145</v>
          </cell>
          <cell r="D85">
            <v>9015</v>
          </cell>
          <cell r="E85" t="str">
            <v>HAZMAT Rate when working or training</v>
          </cell>
          <cell r="G85" t="str">
            <v>CBA1</v>
          </cell>
          <cell r="H85" t="str">
            <v>RFP CBA</v>
          </cell>
          <cell r="I85">
            <v>64937.599999999999</v>
          </cell>
          <cell r="J85">
            <v>31.22</v>
          </cell>
          <cell r="K85">
            <v>1.7</v>
          </cell>
          <cell r="L85">
            <v>31.22</v>
          </cell>
          <cell r="M85">
            <v>31.22</v>
          </cell>
          <cell r="N85">
            <v>31.42</v>
          </cell>
          <cell r="O85">
            <v>31.42</v>
          </cell>
          <cell r="P85">
            <v>31.42</v>
          </cell>
          <cell r="Q85">
            <v>31.42</v>
          </cell>
          <cell r="R85">
            <v>31.42</v>
          </cell>
          <cell r="S85">
            <v>31.42</v>
          </cell>
          <cell r="T85">
            <v>31.42</v>
          </cell>
          <cell r="U85">
            <v>31.42</v>
          </cell>
          <cell r="V85">
            <v>31.42</v>
          </cell>
          <cell r="W85">
            <v>7.49</v>
          </cell>
          <cell r="X85">
            <v>7.49</v>
          </cell>
          <cell r="Y85">
            <v>7.49</v>
          </cell>
          <cell r="Z85">
            <v>7.49</v>
          </cell>
          <cell r="AA85">
            <v>7.49</v>
          </cell>
          <cell r="AB85">
            <v>7.49</v>
          </cell>
          <cell r="AC85">
            <v>7.49</v>
          </cell>
          <cell r="AD85">
            <v>7.49</v>
          </cell>
          <cell r="AE85">
            <v>7.49</v>
          </cell>
          <cell r="AF85">
            <v>7.49</v>
          </cell>
          <cell r="AG85">
            <v>7.49</v>
          </cell>
          <cell r="AH85">
            <v>1.7</v>
          </cell>
          <cell r="AI85">
            <v>1.7</v>
          </cell>
          <cell r="AJ85">
            <v>1.7</v>
          </cell>
          <cell r="AK85">
            <v>1.7</v>
          </cell>
          <cell r="AL85">
            <v>1.7</v>
          </cell>
          <cell r="AM85">
            <v>1.7</v>
          </cell>
          <cell r="AN85">
            <v>1.7</v>
          </cell>
          <cell r="AO85">
            <v>1.7</v>
          </cell>
          <cell r="AP85">
            <v>1.7</v>
          </cell>
          <cell r="AQ85">
            <v>1.7</v>
          </cell>
          <cell r="AR85">
            <v>1.7</v>
          </cell>
          <cell r="AS85">
            <v>2.7E-2</v>
          </cell>
          <cell r="AT85">
            <v>8000</v>
          </cell>
          <cell r="AU85">
            <v>216</v>
          </cell>
          <cell r="AV85">
            <v>4.6300000000000001E-2</v>
          </cell>
          <cell r="AW85">
            <v>4.6300000000000001E-2</v>
          </cell>
          <cell r="AX85">
            <v>4.6300000000000001E-2</v>
          </cell>
          <cell r="AY85">
            <v>4.6300000000000001E-2</v>
          </cell>
          <cell r="AZ85">
            <v>4.6300000000000001E-2</v>
          </cell>
          <cell r="BA85">
            <v>4.6300000000000001E-2</v>
          </cell>
          <cell r="BB85">
            <v>4.6300000000000001E-2</v>
          </cell>
          <cell r="BC85">
            <v>4.6300000000000001E-2</v>
          </cell>
          <cell r="BD85">
            <v>4.6300000000000001E-2</v>
          </cell>
          <cell r="BE85">
            <v>4.6300000000000001E-2</v>
          </cell>
          <cell r="BF85">
            <v>4.6300000000000001E-2</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cell r="CH85">
            <v>0</v>
          </cell>
          <cell r="CI85">
            <v>0</v>
          </cell>
          <cell r="CJ85">
            <v>0</v>
          </cell>
          <cell r="CK85">
            <v>0</v>
          </cell>
          <cell r="CL85">
            <v>0</v>
          </cell>
          <cell r="CM85">
            <v>0</v>
          </cell>
          <cell r="CN85">
            <v>4</v>
          </cell>
          <cell r="CO85">
            <v>7.49</v>
          </cell>
          <cell r="CP85">
            <v>7.49</v>
          </cell>
          <cell r="CQ85">
            <v>7.49</v>
          </cell>
          <cell r="CR85">
            <v>7.49</v>
          </cell>
          <cell r="CS85">
            <v>7.49</v>
          </cell>
          <cell r="CT85">
            <v>7.49</v>
          </cell>
          <cell r="CU85">
            <v>7.49</v>
          </cell>
          <cell r="CV85">
            <v>7.49</v>
          </cell>
          <cell r="CW85">
            <v>7.49</v>
          </cell>
          <cell r="CX85">
            <v>7.49</v>
          </cell>
          <cell r="CY85">
            <v>7.49</v>
          </cell>
          <cell r="CZ85">
            <v>4.6300000000000001E-2</v>
          </cell>
          <cell r="DA85">
            <v>4.6300000000000001E-2</v>
          </cell>
          <cell r="DB85">
            <v>4.6300000000000001E-2</v>
          </cell>
          <cell r="DC85">
            <v>4.6300000000000001E-2</v>
          </cell>
          <cell r="DD85">
            <v>4.6300000000000001E-2</v>
          </cell>
          <cell r="DE85">
            <v>4.6300000000000001E-2</v>
          </cell>
          <cell r="DF85">
            <v>4.6300000000000001E-2</v>
          </cell>
          <cell r="DG85">
            <v>4.6300000000000001E-2</v>
          </cell>
          <cell r="DH85">
            <v>4.6300000000000001E-2</v>
          </cell>
          <cell r="DI85">
            <v>4.6300000000000001E-2</v>
          </cell>
          <cell r="DJ85">
            <v>4.6300000000000001E-2</v>
          </cell>
        </row>
        <row r="86">
          <cell r="C86">
            <v>3150</v>
          </cell>
          <cell r="D86">
            <v>9015</v>
          </cell>
          <cell r="E86" t="str">
            <v>High Voltage Line Maintainer</v>
          </cell>
          <cell r="G86" t="str">
            <v>CBA1</v>
          </cell>
          <cell r="H86" t="str">
            <v>RFP CBA</v>
          </cell>
          <cell r="I86">
            <v>74505.600000000006</v>
          </cell>
          <cell r="J86">
            <v>35.82</v>
          </cell>
          <cell r="K86">
            <v>1.7</v>
          </cell>
          <cell r="L86">
            <v>35.82</v>
          </cell>
          <cell r="M86">
            <v>35.82</v>
          </cell>
          <cell r="N86">
            <v>36.020000000000003</v>
          </cell>
          <cell r="O86">
            <v>36.020000000000003</v>
          </cell>
          <cell r="P86">
            <v>36.020000000000003</v>
          </cell>
          <cell r="Q86">
            <v>36.020000000000003</v>
          </cell>
          <cell r="R86">
            <v>36.020000000000003</v>
          </cell>
          <cell r="S86">
            <v>36.020000000000003</v>
          </cell>
          <cell r="T86">
            <v>36.020000000000003</v>
          </cell>
          <cell r="U86">
            <v>36.020000000000003</v>
          </cell>
          <cell r="V86">
            <v>36.020000000000003</v>
          </cell>
          <cell r="W86">
            <v>7.49</v>
          </cell>
          <cell r="X86">
            <v>7.49</v>
          </cell>
          <cell r="Y86">
            <v>7.49</v>
          </cell>
          <cell r="Z86">
            <v>7.49</v>
          </cell>
          <cell r="AA86">
            <v>7.49</v>
          </cell>
          <cell r="AB86">
            <v>7.49</v>
          </cell>
          <cell r="AC86">
            <v>7.49</v>
          </cell>
          <cell r="AD86">
            <v>7.49</v>
          </cell>
          <cell r="AE86">
            <v>7.49</v>
          </cell>
          <cell r="AF86">
            <v>7.49</v>
          </cell>
          <cell r="AG86">
            <v>7.49</v>
          </cell>
          <cell r="AH86">
            <v>1.7</v>
          </cell>
          <cell r="AI86">
            <v>1.7</v>
          </cell>
          <cell r="AJ86">
            <v>1.7</v>
          </cell>
          <cell r="AK86">
            <v>1.7</v>
          </cell>
          <cell r="AL86">
            <v>1.7</v>
          </cell>
          <cell r="AM86">
            <v>1.7</v>
          </cell>
          <cell r="AN86">
            <v>1.7</v>
          </cell>
          <cell r="AO86">
            <v>1.7</v>
          </cell>
          <cell r="AP86">
            <v>1.7</v>
          </cell>
          <cell r="AQ86">
            <v>1.7</v>
          </cell>
          <cell r="AR86">
            <v>1.7</v>
          </cell>
          <cell r="AS86">
            <v>2.7E-2</v>
          </cell>
          <cell r="AT86">
            <v>8000</v>
          </cell>
          <cell r="AU86">
            <v>216</v>
          </cell>
          <cell r="AV86">
            <v>4.6300000000000001E-2</v>
          </cell>
          <cell r="AW86">
            <v>4.6300000000000001E-2</v>
          </cell>
          <cell r="AX86">
            <v>4.6300000000000001E-2</v>
          </cell>
          <cell r="AY86">
            <v>4.6300000000000001E-2</v>
          </cell>
          <cell r="AZ86">
            <v>4.6300000000000001E-2</v>
          </cell>
          <cell r="BA86">
            <v>4.6300000000000001E-2</v>
          </cell>
          <cell r="BB86">
            <v>4.6300000000000001E-2</v>
          </cell>
          <cell r="BC86">
            <v>4.6300000000000001E-2</v>
          </cell>
          <cell r="BD86">
            <v>4.6300000000000001E-2</v>
          </cell>
          <cell r="BE86">
            <v>4.6300000000000001E-2</v>
          </cell>
          <cell r="BF86">
            <v>4.6300000000000001E-2</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cell r="CE86">
            <v>0</v>
          </cell>
          <cell r="CF86">
            <v>0</v>
          </cell>
          <cell r="CG86">
            <v>0</v>
          </cell>
          <cell r="CH86">
            <v>0</v>
          </cell>
          <cell r="CI86">
            <v>0</v>
          </cell>
          <cell r="CJ86">
            <v>0</v>
          </cell>
          <cell r="CK86">
            <v>0</v>
          </cell>
          <cell r="CL86">
            <v>0</v>
          </cell>
          <cell r="CM86">
            <v>0</v>
          </cell>
          <cell r="CN86">
            <v>3</v>
          </cell>
          <cell r="CO86">
            <v>7.49</v>
          </cell>
          <cell r="CP86">
            <v>7.49</v>
          </cell>
          <cell r="CQ86">
            <v>7.49</v>
          </cell>
          <cell r="CR86">
            <v>7.49</v>
          </cell>
          <cell r="CS86">
            <v>7.49</v>
          </cell>
          <cell r="CT86">
            <v>7.49</v>
          </cell>
          <cell r="CU86">
            <v>7.49</v>
          </cell>
          <cell r="CV86">
            <v>7.49</v>
          </cell>
          <cell r="CW86">
            <v>7.49</v>
          </cell>
          <cell r="CX86">
            <v>7.49</v>
          </cell>
          <cell r="CY86">
            <v>7.49</v>
          </cell>
          <cell r="CZ86">
            <v>4.6300000000000001E-2</v>
          </cell>
          <cell r="DA86">
            <v>4.6300000000000001E-2</v>
          </cell>
          <cell r="DB86">
            <v>4.6300000000000001E-2</v>
          </cell>
          <cell r="DC86">
            <v>4.6300000000000001E-2</v>
          </cell>
          <cell r="DD86">
            <v>4.6300000000000001E-2</v>
          </cell>
          <cell r="DE86">
            <v>4.6300000000000001E-2</v>
          </cell>
          <cell r="DF86">
            <v>4.6300000000000001E-2</v>
          </cell>
          <cell r="DG86">
            <v>4.6300000000000001E-2</v>
          </cell>
          <cell r="DH86">
            <v>4.6300000000000001E-2</v>
          </cell>
          <cell r="DI86">
            <v>4.6300000000000001E-2</v>
          </cell>
          <cell r="DJ86">
            <v>4.6300000000000001E-2</v>
          </cell>
        </row>
        <row r="87">
          <cell r="C87">
            <v>3155</v>
          </cell>
          <cell r="D87">
            <v>9015</v>
          </cell>
          <cell r="E87" t="str">
            <v>High Voltage Sub-Station Technician</v>
          </cell>
          <cell r="G87" t="str">
            <v>CBA1</v>
          </cell>
          <cell r="H87" t="str">
            <v>RFP CBA</v>
          </cell>
          <cell r="I87">
            <v>71156.800000000003</v>
          </cell>
          <cell r="J87">
            <v>34.21</v>
          </cell>
          <cell r="K87">
            <v>1.7</v>
          </cell>
          <cell r="L87">
            <v>34.21</v>
          </cell>
          <cell r="M87">
            <v>34.21</v>
          </cell>
          <cell r="N87">
            <v>34.409999999999997</v>
          </cell>
          <cell r="O87">
            <v>34.409999999999997</v>
          </cell>
          <cell r="P87">
            <v>34.409999999999997</v>
          </cell>
          <cell r="Q87">
            <v>34.409999999999997</v>
          </cell>
          <cell r="R87">
            <v>34.409999999999997</v>
          </cell>
          <cell r="S87">
            <v>34.409999999999997</v>
          </cell>
          <cell r="T87">
            <v>34.409999999999997</v>
          </cell>
          <cell r="U87">
            <v>34.409999999999997</v>
          </cell>
          <cell r="V87">
            <v>34.409999999999997</v>
          </cell>
          <cell r="W87">
            <v>7.49</v>
          </cell>
          <cell r="X87">
            <v>7.49</v>
          </cell>
          <cell r="Y87">
            <v>7.49</v>
          </cell>
          <cell r="Z87">
            <v>7.49</v>
          </cell>
          <cell r="AA87">
            <v>7.49</v>
          </cell>
          <cell r="AB87">
            <v>7.49</v>
          </cell>
          <cell r="AC87">
            <v>7.49</v>
          </cell>
          <cell r="AD87">
            <v>7.49</v>
          </cell>
          <cell r="AE87">
            <v>7.49</v>
          </cell>
          <cell r="AF87">
            <v>7.49</v>
          </cell>
          <cell r="AG87">
            <v>7.49</v>
          </cell>
          <cell r="AH87">
            <v>1.7</v>
          </cell>
          <cell r="AI87">
            <v>1.7</v>
          </cell>
          <cell r="AJ87">
            <v>1.7</v>
          </cell>
          <cell r="AK87">
            <v>1.7</v>
          </cell>
          <cell r="AL87">
            <v>1.7</v>
          </cell>
          <cell r="AM87">
            <v>1.7</v>
          </cell>
          <cell r="AN87">
            <v>1.7</v>
          </cell>
          <cell r="AO87">
            <v>1.7</v>
          </cell>
          <cell r="AP87">
            <v>1.7</v>
          </cell>
          <cell r="AQ87">
            <v>1.7</v>
          </cell>
          <cell r="AR87">
            <v>1.7</v>
          </cell>
          <cell r="AS87">
            <v>2.7E-2</v>
          </cell>
          <cell r="AT87">
            <v>8000</v>
          </cell>
          <cell r="AU87">
            <v>216</v>
          </cell>
          <cell r="AV87">
            <v>4.6300000000000001E-2</v>
          </cell>
          <cell r="AW87">
            <v>4.6300000000000001E-2</v>
          </cell>
          <cell r="AX87">
            <v>4.6300000000000001E-2</v>
          </cell>
          <cell r="AY87">
            <v>4.6300000000000001E-2</v>
          </cell>
          <cell r="AZ87">
            <v>4.6300000000000001E-2</v>
          </cell>
          <cell r="BA87">
            <v>4.6300000000000001E-2</v>
          </cell>
          <cell r="BB87">
            <v>4.6300000000000001E-2</v>
          </cell>
          <cell r="BC87">
            <v>4.6300000000000001E-2</v>
          </cell>
          <cell r="BD87">
            <v>4.6300000000000001E-2</v>
          </cell>
          <cell r="BE87">
            <v>4.6300000000000001E-2</v>
          </cell>
          <cell r="BF87">
            <v>4.6300000000000001E-2</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3</v>
          </cell>
          <cell r="CO87">
            <v>7.49</v>
          </cell>
          <cell r="CP87">
            <v>7.49</v>
          </cell>
          <cell r="CQ87">
            <v>7.49</v>
          </cell>
          <cell r="CR87">
            <v>7.49</v>
          </cell>
          <cell r="CS87">
            <v>7.49</v>
          </cell>
          <cell r="CT87">
            <v>7.49</v>
          </cell>
          <cell r="CU87">
            <v>7.49</v>
          </cell>
          <cell r="CV87">
            <v>7.49</v>
          </cell>
          <cell r="CW87">
            <v>7.49</v>
          </cell>
          <cell r="CX87">
            <v>7.49</v>
          </cell>
          <cell r="CY87">
            <v>7.49</v>
          </cell>
          <cell r="CZ87">
            <v>4.6300000000000001E-2</v>
          </cell>
          <cell r="DA87">
            <v>4.6300000000000001E-2</v>
          </cell>
          <cell r="DB87">
            <v>4.6300000000000001E-2</v>
          </cell>
          <cell r="DC87">
            <v>4.6300000000000001E-2</v>
          </cell>
          <cell r="DD87">
            <v>4.6300000000000001E-2</v>
          </cell>
          <cell r="DE87">
            <v>4.6300000000000001E-2</v>
          </cell>
          <cell r="DF87">
            <v>4.6300000000000001E-2</v>
          </cell>
          <cell r="DG87">
            <v>4.6300000000000001E-2</v>
          </cell>
          <cell r="DH87">
            <v>4.6300000000000001E-2</v>
          </cell>
          <cell r="DI87">
            <v>4.6300000000000001E-2</v>
          </cell>
          <cell r="DJ87">
            <v>4.6300000000000001E-2</v>
          </cell>
        </row>
        <row r="88">
          <cell r="C88">
            <v>3160</v>
          </cell>
          <cell r="D88">
            <v>9015</v>
          </cell>
          <cell r="E88" t="str">
            <v>HVAC DDC Controls Technician</v>
          </cell>
          <cell r="G88" t="str">
            <v>CBA1</v>
          </cell>
          <cell r="H88" t="str">
            <v>RFP CBA</v>
          </cell>
          <cell r="I88">
            <v>73174.399999999994</v>
          </cell>
          <cell r="J88">
            <v>35.18</v>
          </cell>
          <cell r="K88">
            <v>1.7</v>
          </cell>
          <cell r="L88">
            <v>35.18</v>
          </cell>
          <cell r="M88">
            <v>35.18</v>
          </cell>
          <cell r="N88">
            <v>35.380000000000003</v>
          </cell>
          <cell r="O88">
            <v>35.380000000000003</v>
          </cell>
          <cell r="P88">
            <v>35.380000000000003</v>
          </cell>
          <cell r="Q88">
            <v>35.380000000000003</v>
          </cell>
          <cell r="R88">
            <v>35.380000000000003</v>
          </cell>
          <cell r="S88">
            <v>35.380000000000003</v>
          </cell>
          <cell r="T88">
            <v>35.380000000000003</v>
          </cell>
          <cell r="U88">
            <v>35.380000000000003</v>
          </cell>
          <cell r="V88">
            <v>35.380000000000003</v>
          </cell>
          <cell r="W88">
            <v>7.49</v>
          </cell>
          <cell r="X88">
            <v>7.49</v>
          </cell>
          <cell r="Y88">
            <v>7.49</v>
          </cell>
          <cell r="Z88">
            <v>7.49</v>
          </cell>
          <cell r="AA88">
            <v>7.49</v>
          </cell>
          <cell r="AB88">
            <v>7.49</v>
          </cell>
          <cell r="AC88">
            <v>7.49</v>
          </cell>
          <cell r="AD88">
            <v>7.49</v>
          </cell>
          <cell r="AE88">
            <v>7.49</v>
          </cell>
          <cell r="AF88">
            <v>7.49</v>
          </cell>
          <cell r="AG88">
            <v>7.49</v>
          </cell>
          <cell r="AH88">
            <v>1.7</v>
          </cell>
          <cell r="AI88">
            <v>1.7</v>
          </cell>
          <cell r="AJ88">
            <v>1.7</v>
          </cell>
          <cell r="AK88">
            <v>1.7</v>
          </cell>
          <cell r="AL88">
            <v>1.7</v>
          </cell>
          <cell r="AM88">
            <v>1.7</v>
          </cell>
          <cell r="AN88">
            <v>1.7</v>
          </cell>
          <cell r="AO88">
            <v>1.7</v>
          </cell>
          <cell r="AP88">
            <v>1.7</v>
          </cell>
          <cell r="AQ88">
            <v>1.7</v>
          </cell>
          <cell r="AR88">
            <v>1.7</v>
          </cell>
          <cell r="AS88">
            <v>2.7E-2</v>
          </cell>
          <cell r="AT88">
            <v>8000</v>
          </cell>
          <cell r="AU88">
            <v>216</v>
          </cell>
          <cell r="AV88">
            <v>4.6300000000000001E-2</v>
          </cell>
          <cell r="AW88">
            <v>4.6300000000000001E-2</v>
          </cell>
          <cell r="AX88">
            <v>4.6300000000000001E-2</v>
          </cell>
          <cell r="AY88">
            <v>4.6300000000000001E-2</v>
          </cell>
          <cell r="AZ88">
            <v>4.6300000000000001E-2</v>
          </cell>
          <cell r="BA88">
            <v>4.6300000000000001E-2</v>
          </cell>
          <cell r="BB88">
            <v>4.6300000000000001E-2</v>
          </cell>
          <cell r="BC88">
            <v>4.6300000000000001E-2</v>
          </cell>
          <cell r="BD88">
            <v>4.6300000000000001E-2</v>
          </cell>
          <cell r="BE88">
            <v>4.6300000000000001E-2</v>
          </cell>
          <cell r="BF88">
            <v>4.6300000000000001E-2</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C88">
            <v>0</v>
          </cell>
          <cell r="CD88">
            <v>0</v>
          </cell>
          <cell r="CE88">
            <v>0</v>
          </cell>
          <cell r="CF88">
            <v>0</v>
          </cell>
          <cell r="CG88">
            <v>0</v>
          </cell>
          <cell r="CH88">
            <v>0</v>
          </cell>
          <cell r="CI88">
            <v>0</v>
          </cell>
          <cell r="CJ88">
            <v>0</v>
          </cell>
          <cell r="CK88">
            <v>0</v>
          </cell>
          <cell r="CL88">
            <v>0</v>
          </cell>
          <cell r="CM88">
            <v>0</v>
          </cell>
          <cell r="CN88">
            <v>1</v>
          </cell>
          <cell r="CO88">
            <v>7.49</v>
          </cell>
          <cell r="CP88">
            <v>7.49</v>
          </cell>
          <cell r="CQ88">
            <v>7.49</v>
          </cell>
          <cell r="CR88">
            <v>7.49</v>
          </cell>
          <cell r="CS88">
            <v>7.49</v>
          </cell>
          <cell r="CT88">
            <v>7.49</v>
          </cell>
          <cell r="CU88">
            <v>7.49</v>
          </cell>
          <cell r="CV88">
            <v>7.49</v>
          </cell>
          <cell r="CW88">
            <v>7.49</v>
          </cell>
          <cell r="CX88">
            <v>7.49</v>
          </cell>
          <cell r="CY88">
            <v>7.49</v>
          </cell>
          <cell r="CZ88">
            <v>4.6300000000000001E-2</v>
          </cell>
          <cell r="DA88">
            <v>4.6300000000000001E-2</v>
          </cell>
          <cell r="DB88">
            <v>4.6300000000000001E-2</v>
          </cell>
          <cell r="DC88">
            <v>4.6300000000000001E-2</v>
          </cell>
          <cell r="DD88">
            <v>4.6300000000000001E-2</v>
          </cell>
          <cell r="DE88">
            <v>4.6300000000000001E-2</v>
          </cell>
          <cell r="DF88">
            <v>4.6300000000000001E-2</v>
          </cell>
          <cell r="DG88">
            <v>4.6300000000000001E-2</v>
          </cell>
          <cell r="DH88">
            <v>4.6300000000000001E-2</v>
          </cell>
          <cell r="DI88">
            <v>4.6300000000000001E-2</v>
          </cell>
          <cell r="DJ88">
            <v>4.6300000000000001E-2</v>
          </cell>
        </row>
        <row r="89">
          <cell r="C89">
            <v>3165</v>
          </cell>
          <cell r="D89">
            <v>9015</v>
          </cell>
          <cell r="E89" t="str">
            <v>HVAC Controls Tech/DDC Controls Tech</v>
          </cell>
          <cell r="G89" t="str">
            <v>CBA1</v>
          </cell>
          <cell r="H89" t="str">
            <v>RFP CBA</v>
          </cell>
          <cell r="I89">
            <v>74214.399999999994</v>
          </cell>
          <cell r="J89">
            <v>35.68</v>
          </cell>
          <cell r="K89">
            <v>1.7</v>
          </cell>
          <cell r="L89">
            <v>35.68</v>
          </cell>
          <cell r="M89">
            <v>35.68</v>
          </cell>
          <cell r="N89">
            <v>35.880000000000003</v>
          </cell>
          <cell r="O89">
            <v>35.880000000000003</v>
          </cell>
          <cell r="P89">
            <v>35.880000000000003</v>
          </cell>
          <cell r="Q89">
            <v>35.880000000000003</v>
          </cell>
          <cell r="R89">
            <v>35.880000000000003</v>
          </cell>
          <cell r="S89">
            <v>35.880000000000003</v>
          </cell>
          <cell r="T89">
            <v>35.880000000000003</v>
          </cell>
          <cell r="U89">
            <v>35.880000000000003</v>
          </cell>
          <cell r="V89">
            <v>35.880000000000003</v>
          </cell>
          <cell r="W89">
            <v>7.49</v>
          </cell>
          <cell r="X89">
            <v>7.49</v>
          </cell>
          <cell r="Y89">
            <v>7.49</v>
          </cell>
          <cell r="Z89">
            <v>7.49</v>
          </cell>
          <cell r="AA89">
            <v>7.49</v>
          </cell>
          <cell r="AB89">
            <v>7.49</v>
          </cell>
          <cell r="AC89">
            <v>7.49</v>
          </cell>
          <cell r="AD89">
            <v>7.49</v>
          </cell>
          <cell r="AE89">
            <v>7.49</v>
          </cell>
          <cell r="AF89">
            <v>7.49</v>
          </cell>
          <cell r="AG89">
            <v>7.49</v>
          </cell>
          <cell r="AH89">
            <v>1.7</v>
          </cell>
          <cell r="AI89">
            <v>1.7</v>
          </cell>
          <cell r="AJ89">
            <v>1.7</v>
          </cell>
          <cell r="AK89">
            <v>1.7</v>
          </cell>
          <cell r="AL89">
            <v>1.7</v>
          </cell>
          <cell r="AM89">
            <v>1.7</v>
          </cell>
          <cell r="AN89">
            <v>1.7</v>
          </cell>
          <cell r="AO89">
            <v>1.7</v>
          </cell>
          <cell r="AP89">
            <v>1.7</v>
          </cell>
          <cell r="AQ89">
            <v>1.7</v>
          </cell>
          <cell r="AR89">
            <v>1.7</v>
          </cell>
          <cell r="AS89">
            <v>2.7E-2</v>
          </cell>
          <cell r="AT89">
            <v>8000</v>
          </cell>
          <cell r="AU89">
            <v>216</v>
          </cell>
          <cell r="AV89">
            <v>4.6300000000000001E-2</v>
          </cell>
          <cell r="AW89">
            <v>4.6300000000000001E-2</v>
          </cell>
          <cell r="AX89">
            <v>4.6300000000000001E-2</v>
          </cell>
          <cell r="AY89">
            <v>4.6300000000000001E-2</v>
          </cell>
          <cell r="AZ89">
            <v>4.6300000000000001E-2</v>
          </cell>
          <cell r="BA89">
            <v>4.6300000000000001E-2</v>
          </cell>
          <cell r="BB89">
            <v>4.6300000000000001E-2</v>
          </cell>
          <cell r="BC89">
            <v>4.6300000000000001E-2</v>
          </cell>
          <cell r="BD89">
            <v>4.6300000000000001E-2</v>
          </cell>
          <cell r="BE89">
            <v>4.6300000000000001E-2</v>
          </cell>
          <cell r="BF89">
            <v>4.6300000000000001E-2</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1</v>
          </cell>
          <cell r="CO89">
            <v>7.49</v>
          </cell>
          <cell r="CP89">
            <v>7.49</v>
          </cell>
          <cell r="CQ89">
            <v>7.49</v>
          </cell>
          <cell r="CR89">
            <v>7.49</v>
          </cell>
          <cell r="CS89">
            <v>7.49</v>
          </cell>
          <cell r="CT89">
            <v>7.49</v>
          </cell>
          <cell r="CU89">
            <v>7.49</v>
          </cell>
          <cell r="CV89">
            <v>7.49</v>
          </cell>
          <cell r="CW89">
            <v>7.49</v>
          </cell>
          <cell r="CX89">
            <v>7.49</v>
          </cell>
          <cell r="CY89">
            <v>7.49</v>
          </cell>
          <cell r="CZ89">
            <v>4.6300000000000001E-2</v>
          </cell>
          <cell r="DA89">
            <v>4.6300000000000001E-2</v>
          </cell>
          <cell r="DB89">
            <v>4.6300000000000001E-2</v>
          </cell>
          <cell r="DC89">
            <v>4.6300000000000001E-2</v>
          </cell>
          <cell r="DD89">
            <v>4.6300000000000001E-2</v>
          </cell>
          <cell r="DE89">
            <v>4.6300000000000001E-2</v>
          </cell>
          <cell r="DF89">
            <v>4.6300000000000001E-2</v>
          </cell>
          <cell r="DG89">
            <v>4.6300000000000001E-2</v>
          </cell>
          <cell r="DH89">
            <v>4.6300000000000001E-2</v>
          </cell>
          <cell r="DI89">
            <v>4.6300000000000001E-2</v>
          </cell>
          <cell r="DJ89">
            <v>4.6300000000000001E-2</v>
          </cell>
        </row>
        <row r="90">
          <cell r="C90">
            <v>3170</v>
          </cell>
          <cell r="D90">
            <v>9015</v>
          </cell>
          <cell r="E90" t="str">
            <v>Pipe Cover/Insulator</v>
          </cell>
          <cell r="G90" t="str">
            <v>CBA1</v>
          </cell>
          <cell r="H90" t="str">
            <v>RFP CBA</v>
          </cell>
          <cell r="I90">
            <v>56222.400000000001</v>
          </cell>
          <cell r="J90">
            <v>27.03</v>
          </cell>
          <cell r="K90">
            <v>1.7</v>
          </cell>
          <cell r="L90">
            <v>27.03</v>
          </cell>
          <cell r="M90">
            <v>27.03</v>
          </cell>
          <cell r="N90">
            <v>27.23</v>
          </cell>
          <cell r="O90">
            <v>27.23</v>
          </cell>
          <cell r="P90">
            <v>27.23</v>
          </cell>
          <cell r="Q90">
            <v>27.23</v>
          </cell>
          <cell r="R90">
            <v>27.23</v>
          </cell>
          <cell r="S90">
            <v>27.23</v>
          </cell>
          <cell r="T90">
            <v>27.23</v>
          </cell>
          <cell r="U90">
            <v>27.23</v>
          </cell>
          <cell r="V90">
            <v>27.23</v>
          </cell>
          <cell r="W90">
            <v>7.49</v>
          </cell>
          <cell r="X90">
            <v>7.49</v>
          </cell>
          <cell r="Y90">
            <v>7.49</v>
          </cell>
          <cell r="Z90">
            <v>7.49</v>
          </cell>
          <cell r="AA90">
            <v>7.49</v>
          </cell>
          <cell r="AB90">
            <v>7.49</v>
          </cell>
          <cell r="AC90">
            <v>7.49</v>
          </cell>
          <cell r="AD90">
            <v>7.49</v>
          </cell>
          <cell r="AE90">
            <v>7.49</v>
          </cell>
          <cell r="AF90">
            <v>7.49</v>
          </cell>
          <cell r="AG90">
            <v>7.49</v>
          </cell>
          <cell r="AH90">
            <v>1.7</v>
          </cell>
          <cell r="AI90">
            <v>1.7</v>
          </cell>
          <cell r="AJ90">
            <v>1.7</v>
          </cell>
          <cell r="AK90">
            <v>1.7</v>
          </cell>
          <cell r="AL90">
            <v>1.7</v>
          </cell>
          <cell r="AM90">
            <v>1.7</v>
          </cell>
          <cell r="AN90">
            <v>1.7</v>
          </cell>
          <cell r="AO90">
            <v>1.7</v>
          </cell>
          <cell r="AP90">
            <v>1.7</v>
          </cell>
          <cell r="AQ90">
            <v>1.7</v>
          </cell>
          <cell r="AR90">
            <v>1.7</v>
          </cell>
          <cell r="AS90">
            <v>2.7E-2</v>
          </cell>
          <cell r="AT90">
            <v>8000</v>
          </cell>
          <cell r="AU90">
            <v>216</v>
          </cell>
          <cell r="AV90">
            <v>4.6300000000000001E-2</v>
          </cell>
          <cell r="AW90">
            <v>4.6300000000000001E-2</v>
          </cell>
          <cell r="AX90">
            <v>4.6300000000000001E-2</v>
          </cell>
          <cell r="AY90">
            <v>4.6300000000000001E-2</v>
          </cell>
          <cell r="AZ90">
            <v>4.6300000000000001E-2</v>
          </cell>
          <cell r="BA90">
            <v>4.6300000000000001E-2</v>
          </cell>
          <cell r="BB90">
            <v>4.6300000000000001E-2</v>
          </cell>
          <cell r="BC90">
            <v>4.6300000000000001E-2</v>
          </cell>
          <cell r="BD90">
            <v>4.6300000000000001E-2</v>
          </cell>
          <cell r="BE90">
            <v>4.6300000000000001E-2</v>
          </cell>
          <cell r="BF90">
            <v>4.6300000000000001E-2</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5</v>
          </cell>
          <cell r="CO90">
            <v>7.49</v>
          </cell>
          <cell r="CP90">
            <v>7.49</v>
          </cell>
          <cell r="CQ90">
            <v>7.49</v>
          </cell>
          <cell r="CR90">
            <v>7.49</v>
          </cell>
          <cell r="CS90">
            <v>7.49</v>
          </cell>
          <cell r="CT90">
            <v>7.49</v>
          </cell>
          <cell r="CU90">
            <v>7.49</v>
          </cell>
          <cell r="CV90">
            <v>7.49</v>
          </cell>
          <cell r="CW90">
            <v>7.49</v>
          </cell>
          <cell r="CX90">
            <v>7.49</v>
          </cell>
          <cell r="CY90">
            <v>7.49</v>
          </cell>
          <cell r="CZ90">
            <v>4.6300000000000001E-2</v>
          </cell>
          <cell r="DA90">
            <v>4.6300000000000001E-2</v>
          </cell>
          <cell r="DB90">
            <v>4.6300000000000001E-2</v>
          </cell>
          <cell r="DC90">
            <v>4.6300000000000001E-2</v>
          </cell>
          <cell r="DD90">
            <v>4.6300000000000001E-2</v>
          </cell>
          <cell r="DE90">
            <v>4.6300000000000001E-2</v>
          </cell>
          <cell r="DF90">
            <v>4.6300000000000001E-2</v>
          </cell>
          <cell r="DG90">
            <v>4.6300000000000001E-2</v>
          </cell>
          <cell r="DH90">
            <v>4.6300000000000001E-2</v>
          </cell>
          <cell r="DI90">
            <v>4.6300000000000001E-2</v>
          </cell>
          <cell r="DJ90">
            <v>4.6300000000000001E-2</v>
          </cell>
        </row>
        <row r="91">
          <cell r="C91">
            <v>3175</v>
          </cell>
          <cell r="D91">
            <v>9015</v>
          </cell>
          <cell r="E91" t="str">
            <v>Port Services Mechanic</v>
          </cell>
          <cell r="G91" t="str">
            <v>CBA1</v>
          </cell>
          <cell r="H91" t="str">
            <v>RFP CBA</v>
          </cell>
          <cell r="I91">
            <v>60299.199999999997</v>
          </cell>
          <cell r="J91">
            <v>28.99</v>
          </cell>
          <cell r="K91">
            <v>1.7</v>
          </cell>
          <cell r="L91">
            <v>28.99</v>
          </cell>
          <cell r="M91">
            <v>28.99</v>
          </cell>
          <cell r="N91">
            <v>29.19</v>
          </cell>
          <cell r="O91">
            <v>29.19</v>
          </cell>
          <cell r="P91">
            <v>29.19</v>
          </cell>
          <cell r="Q91">
            <v>29.19</v>
          </cell>
          <cell r="R91">
            <v>29.19</v>
          </cell>
          <cell r="S91">
            <v>29.19</v>
          </cell>
          <cell r="T91">
            <v>29.19</v>
          </cell>
          <cell r="U91">
            <v>29.19</v>
          </cell>
          <cell r="V91">
            <v>29.19</v>
          </cell>
          <cell r="W91">
            <v>7.49</v>
          </cell>
          <cell r="X91">
            <v>7.49</v>
          </cell>
          <cell r="Y91">
            <v>7.49</v>
          </cell>
          <cell r="Z91">
            <v>7.49</v>
          </cell>
          <cell r="AA91">
            <v>7.49</v>
          </cell>
          <cell r="AB91">
            <v>7.49</v>
          </cell>
          <cell r="AC91">
            <v>7.49</v>
          </cell>
          <cell r="AD91">
            <v>7.49</v>
          </cell>
          <cell r="AE91">
            <v>7.49</v>
          </cell>
          <cell r="AF91">
            <v>7.49</v>
          </cell>
          <cell r="AG91">
            <v>7.49</v>
          </cell>
          <cell r="AH91">
            <v>1.7</v>
          </cell>
          <cell r="AI91">
            <v>1.7</v>
          </cell>
          <cell r="AJ91">
            <v>1.7</v>
          </cell>
          <cell r="AK91">
            <v>1.7</v>
          </cell>
          <cell r="AL91">
            <v>1.7</v>
          </cell>
          <cell r="AM91">
            <v>1.7</v>
          </cell>
          <cell r="AN91">
            <v>1.7</v>
          </cell>
          <cell r="AO91">
            <v>1.7</v>
          </cell>
          <cell r="AP91">
            <v>1.7</v>
          </cell>
          <cell r="AQ91">
            <v>1.7</v>
          </cell>
          <cell r="AR91">
            <v>1.7</v>
          </cell>
          <cell r="AS91">
            <v>2.7E-2</v>
          </cell>
          <cell r="AT91">
            <v>8000</v>
          </cell>
          <cell r="AU91">
            <v>216</v>
          </cell>
          <cell r="AV91">
            <v>4.6300000000000001E-2</v>
          </cell>
          <cell r="AW91">
            <v>4.6300000000000001E-2</v>
          </cell>
          <cell r="AX91">
            <v>4.6300000000000001E-2</v>
          </cell>
          <cell r="AY91">
            <v>4.6300000000000001E-2</v>
          </cell>
          <cell r="AZ91">
            <v>4.6300000000000001E-2</v>
          </cell>
          <cell r="BA91">
            <v>4.6300000000000001E-2</v>
          </cell>
          <cell r="BB91">
            <v>4.6300000000000001E-2</v>
          </cell>
          <cell r="BC91">
            <v>4.6300000000000001E-2</v>
          </cell>
          <cell r="BD91">
            <v>4.6300000000000001E-2</v>
          </cell>
          <cell r="BE91">
            <v>4.6300000000000001E-2</v>
          </cell>
          <cell r="BF91">
            <v>4.6300000000000001E-2</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v>0</v>
          </cell>
          <cell r="CM91">
            <v>0</v>
          </cell>
          <cell r="CN91">
            <v>4</v>
          </cell>
          <cell r="CO91">
            <v>7.49</v>
          </cell>
          <cell r="CP91">
            <v>7.49</v>
          </cell>
          <cell r="CQ91">
            <v>7.49</v>
          </cell>
          <cell r="CR91">
            <v>7.49</v>
          </cell>
          <cell r="CS91">
            <v>7.49</v>
          </cell>
          <cell r="CT91">
            <v>7.49</v>
          </cell>
          <cell r="CU91">
            <v>7.49</v>
          </cell>
          <cell r="CV91">
            <v>7.49</v>
          </cell>
          <cell r="CW91">
            <v>7.49</v>
          </cell>
          <cell r="CX91">
            <v>7.49</v>
          </cell>
          <cell r="CY91">
            <v>7.49</v>
          </cell>
          <cell r="CZ91">
            <v>4.6300000000000001E-2</v>
          </cell>
          <cell r="DA91">
            <v>4.6300000000000001E-2</v>
          </cell>
          <cell r="DB91">
            <v>4.6300000000000001E-2</v>
          </cell>
          <cell r="DC91">
            <v>4.6300000000000001E-2</v>
          </cell>
          <cell r="DD91">
            <v>4.6300000000000001E-2</v>
          </cell>
          <cell r="DE91">
            <v>4.6300000000000001E-2</v>
          </cell>
          <cell r="DF91">
            <v>4.6300000000000001E-2</v>
          </cell>
          <cell r="DG91">
            <v>4.6300000000000001E-2</v>
          </cell>
          <cell r="DH91">
            <v>4.6300000000000001E-2</v>
          </cell>
          <cell r="DI91">
            <v>4.6300000000000001E-2</v>
          </cell>
          <cell r="DJ91">
            <v>4.6300000000000001E-2</v>
          </cell>
        </row>
        <row r="92">
          <cell r="C92">
            <v>3180</v>
          </cell>
          <cell r="D92">
            <v>9015</v>
          </cell>
          <cell r="E92" t="str">
            <v>Specialist, Hazardous Waste</v>
          </cell>
          <cell r="G92" t="str">
            <v>CBA1</v>
          </cell>
          <cell r="H92" t="str">
            <v>RFP CBA</v>
          </cell>
          <cell r="I92">
            <v>60257.599999999999</v>
          </cell>
          <cell r="J92">
            <v>28.97</v>
          </cell>
          <cell r="K92">
            <v>1.7</v>
          </cell>
          <cell r="L92">
            <v>28.97</v>
          </cell>
          <cell r="M92">
            <v>28.97</v>
          </cell>
          <cell r="N92">
            <v>29.17</v>
          </cell>
          <cell r="O92">
            <v>29.17</v>
          </cell>
          <cell r="P92">
            <v>29.17</v>
          </cell>
          <cell r="Q92">
            <v>29.17</v>
          </cell>
          <cell r="R92">
            <v>29.17</v>
          </cell>
          <cell r="S92">
            <v>29.17</v>
          </cell>
          <cell r="T92">
            <v>29.17</v>
          </cell>
          <cell r="U92">
            <v>29.17</v>
          </cell>
          <cell r="V92">
            <v>29.17</v>
          </cell>
          <cell r="W92">
            <v>7.49</v>
          </cell>
          <cell r="X92">
            <v>7.49</v>
          </cell>
          <cell r="Y92">
            <v>7.49</v>
          </cell>
          <cell r="Z92">
            <v>7.49</v>
          </cell>
          <cell r="AA92">
            <v>7.49</v>
          </cell>
          <cell r="AB92">
            <v>7.49</v>
          </cell>
          <cell r="AC92">
            <v>7.49</v>
          </cell>
          <cell r="AD92">
            <v>7.49</v>
          </cell>
          <cell r="AE92">
            <v>7.49</v>
          </cell>
          <cell r="AF92">
            <v>7.49</v>
          </cell>
          <cell r="AG92">
            <v>7.49</v>
          </cell>
          <cell r="AH92">
            <v>1.7</v>
          </cell>
          <cell r="AI92">
            <v>1.7</v>
          </cell>
          <cell r="AJ92">
            <v>1.7</v>
          </cell>
          <cell r="AK92">
            <v>1.7</v>
          </cell>
          <cell r="AL92">
            <v>1.7</v>
          </cell>
          <cell r="AM92">
            <v>1.7</v>
          </cell>
          <cell r="AN92">
            <v>1.7</v>
          </cell>
          <cell r="AO92">
            <v>1.7</v>
          </cell>
          <cell r="AP92">
            <v>1.7</v>
          </cell>
          <cell r="AQ92">
            <v>1.7</v>
          </cell>
          <cell r="AR92">
            <v>1.7</v>
          </cell>
          <cell r="AS92">
            <v>2.7E-2</v>
          </cell>
          <cell r="AT92">
            <v>8000</v>
          </cell>
          <cell r="AU92">
            <v>216</v>
          </cell>
          <cell r="AV92">
            <v>4.6300000000000001E-2</v>
          </cell>
          <cell r="AW92">
            <v>4.6300000000000001E-2</v>
          </cell>
          <cell r="AX92">
            <v>4.6300000000000001E-2</v>
          </cell>
          <cell r="AY92">
            <v>4.6300000000000001E-2</v>
          </cell>
          <cell r="AZ92">
            <v>4.6300000000000001E-2</v>
          </cell>
          <cell r="BA92">
            <v>4.6300000000000001E-2</v>
          </cell>
          <cell r="BB92">
            <v>4.6300000000000001E-2</v>
          </cell>
          <cell r="BC92">
            <v>4.6300000000000001E-2</v>
          </cell>
          <cell r="BD92">
            <v>4.6300000000000001E-2</v>
          </cell>
          <cell r="BE92">
            <v>4.6300000000000001E-2</v>
          </cell>
          <cell r="BF92">
            <v>4.6300000000000001E-2</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4</v>
          </cell>
          <cell r="CO92">
            <v>7.49</v>
          </cell>
          <cell r="CP92">
            <v>7.49</v>
          </cell>
          <cell r="CQ92">
            <v>7.49</v>
          </cell>
          <cell r="CR92">
            <v>7.49</v>
          </cell>
          <cell r="CS92">
            <v>7.49</v>
          </cell>
          <cell r="CT92">
            <v>7.49</v>
          </cell>
          <cell r="CU92">
            <v>7.49</v>
          </cell>
          <cell r="CV92">
            <v>7.49</v>
          </cell>
          <cell r="CW92">
            <v>7.49</v>
          </cell>
          <cell r="CX92">
            <v>7.49</v>
          </cell>
          <cell r="CY92">
            <v>7.49</v>
          </cell>
          <cell r="CZ92">
            <v>4.6300000000000001E-2</v>
          </cell>
          <cell r="DA92">
            <v>4.6300000000000001E-2</v>
          </cell>
          <cell r="DB92">
            <v>4.6300000000000001E-2</v>
          </cell>
          <cell r="DC92">
            <v>4.6300000000000001E-2</v>
          </cell>
          <cell r="DD92">
            <v>4.6300000000000001E-2</v>
          </cell>
          <cell r="DE92">
            <v>4.6300000000000001E-2</v>
          </cell>
          <cell r="DF92">
            <v>4.6300000000000001E-2</v>
          </cell>
          <cell r="DG92">
            <v>4.6300000000000001E-2</v>
          </cell>
          <cell r="DH92">
            <v>4.6300000000000001E-2</v>
          </cell>
          <cell r="DI92">
            <v>4.6300000000000001E-2</v>
          </cell>
          <cell r="DJ92">
            <v>4.6300000000000001E-2</v>
          </cell>
        </row>
        <row r="93">
          <cell r="C93">
            <v>3185</v>
          </cell>
          <cell r="D93">
            <v>9015</v>
          </cell>
          <cell r="E93" t="str">
            <v>Lead Pay over Highest Craft Rate in Crew</v>
          </cell>
          <cell r="G93" t="str">
            <v>CBA1</v>
          </cell>
          <cell r="H93" t="str">
            <v>RFP CBA</v>
          </cell>
          <cell r="I93">
            <v>5200</v>
          </cell>
          <cell r="J93">
            <v>2.5</v>
          </cell>
          <cell r="K93">
            <v>1.7</v>
          </cell>
          <cell r="L93">
            <v>2.5</v>
          </cell>
          <cell r="M93">
            <v>2.5</v>
          </cell>
          <cell r="N93">
            <v>2.5</v>
          </cell>
          <cell r="O93">
            <v>2.5</v>
          </cell>
          <cell r="P93">
            <v>2.5</v>
          </cell>
          <cell r="Q93">
            <v>2.5</v>
          </cell>
          <cell r="R93">
            <v>2.5</v>
          </cell>
          <cell r="S93">
            <v>2.5</v>
          </cell>
          <cell r="T93">
            <v>2.5</v>
          </cell>
          <cell r="U93">
            <v>2.5</v>
          </cell>
          <cell r="V93">
            <v>2.5</v>
          </cell>
          <cell r="W93">
            <v>7.49</v>
          </cell>
          <cell r="X93">
            <v>7.49</v>
          </cell>
          <cell r="Y93">
            <v>7.49</v>
          </cell>
          <cell r="Z93">
            <v>7.49</v>
          </cell>
          <cell r="AA93">
            <v>7.49</v>
          </cell>
          <cell r="AB93">
            <v>7.49</v>
          </cell>
          <cell r="AC93">
            <v>7.49</v>
          </cell>
          <cell r="AD93">
            <v>7.49</v>
          </cell>
          <cell r="AE93">
            <v>7.49</v>
          </cell>
          <cell r="AF93">
            <v>7.49</v>
          </cell>
          <cell r="AG93">
            <v>7.49</v>
          </cell>
          <cell r="AH93">
            <v>1.7</v>
          </cell>
          <cell r="AI93">
            <v>1.7</v>
          </cell>
          <cell r="AJ93">
            <v>1.7</v>
          </cell>
          <cell r="AK93">
            <v>1.7</v>
          </cell>
          <cell r="AL93">
            <v>1.7</v>
          </cell>
          <cell r="AM93">
            <v>1.7</v>
          </cell>
          <cell r="AN93">
            <v>1.7</v>
          </cell>
          <cell r="AO93">
            <v>1.7</v>
          </cell>
          <cell r="AP93">
            <v>1.7</v>
          </cell>
          <cell r="AQ93">
            <v>1.7</v>
          </cell>
          <cell r="AR93">
            <v>1.7</v>
          </cell>
          <cell r="AS93">
            <v>2.7E-2</v>
          </cell>
          <cell r="AT93">
            <v>8000</v>
          </cell>
          <cell r="AU93">
            <v>216</v>
          </cell>
          <cell r="AV93">
            <v>4.6300000000000001E-2</v>
          </cell>
          <cell r="AW93">
            <v>4.6300000000000001E-2</v>
          </cell>
          <cell r="AX93">
            <v>4.6300000000000001E-2</v>
          </cell>
          <cell r="AY93">
            <v>4.6300000000000001E-2</v>
          </cell>
          <cell r="AZ93">
            <v>4.6300000000000001E-2</v>
          </cell>
          <cell r="BA93">
            <v>4.6300000000000001E-2</v>
          </cell>
          <cell r="BB93">
            <v>4.6300000000000001E-2</v>
          </cell>
          <cell r="BC93">
            <v>4.6300000000000001E-2</v>
          </cell>
          <cell r="BD93">
            <v>4.6300000000000001E-2</v>
          </cell>
          <cell r="BE93">
            <v>4.6300000000000001E-2</v>
          </cell>
          <cell r="BF93">
            <v>4.6300000000000001E-2</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O93">
            <v>7.49</v>
          </cell>
          <cell r="CP93">
            <v>7.49</v>
          </cell>
          <cell r="CQ93">
            <v>7.49</v>
          </cell>
          <cell r="CR93">
            <v>7.49</v>
          </cell>
          <cell r="CS93">
            <v>7.49</v>
          </cell>
          <cell r="CT93">
            <v>7.49</v>
          </cell>
          <cell r="CU93">
            <v>7.49</v>
          </cell>
          <cell r="CV93">
            <v>7.49</v>
          </cell>
          <cell r="CW93">
            <v>7.49</v>
          </cell>
          <cell r="CX93">
            <v>7.49</v>
          </cell>
          <cell r="CY93">
            <v>7.49</v>
          </cell>
          <cell r="CZ93">
            <v>4.6300000000000001E-2</v>
          </cell>
          <cell r="DA93">
            <v>4.6300000000000001E-2</v>
          </cell>
          <cell r="DB93">
            <v>4.6300000000000001E-2</v>
          </cell>
          <cell r="DC93">
            <v>4.6300000000000001E-2</v>
          </cell>
          <cell r="DD93">
            <v>4.6300000000000001E-2</v>
          </cell>
          <cell r="DE93">
            <v>4.6300000000000001E-2</v>
          </cell>
          <cell r="DF93">
            <v>4.6300000000000001E-2</v>
          </cell>
          <cell r="DG93">
            <v>4.6300000000000001E-2</v>
          </cell>
          <cell r="DH93">
            <v>4.6300000000000001E-2</v>
          </cell>
          <cell r="DI93">
            <v>4.6300000000000001E-2</v>
          </cell>
          <cell r="DJ93">
            <v>4.6300000000000001E-2</v>
          </cell>
        </row>
        <row r="94">
          <cell r="C94">
            <v>3190</v>
          </cell>
          <cell r="D94">
            <v>9015</v>
          </cell>
          <cell r="E94" t="str">
            <v>License Differential</v>
          </cell>
          <cell r="G94" t="str">
            <v>CBA1</v>
          </cell>
          <cell r="H94" t="str">
            <v>RFP CBA</v>
          </cell>
          <cell r="I94">
            <v>2600</v>
          </cell>
          <cell r="J94">
            <v>1.25</v>
          </cell>
          <cell r="K94">
            <v>1.7</v>
          </cell>
          <cell r="L94">
            <v>1.25</v>
          </cell>
          <cell r="M94">
            <v>1.25</v>
          </cell>
          <cell r="N94">
            <v>1.25</v>
          </cell>
          <cell r="O94">
            <v>1.25</v>
          </cell>
          <cell r="P94">
            <v>1.25</v>
          </cell>
          <cell r="Q94">
            <v>1.25</v>
          </cell>
          <cell r="R94">
            <v>1.25</v>
          </cell>
          <cell r="S94">
            <v>1.25</v>
          </cell>
          <cell r="T94">
            <v>1.25</v>
          </cell>
          <cell r="U94">
            <v>1.25</v>
          </cell>
          <cell r="V94">
            <v>1.25</v>
          </cell>
          <cell r="W94">
            <v>7.49</v>
          </cell>
          <cell r="X94">
            <v>7.49</v>
          </cell>
          <cell r="Y94">
            <v>7.49</v>
          </cell>
          <cell r="Z94">
            <v>7.49</v>
          </cell>
          <cell r="AA94">
            <v>7.49</v>
          </cell>
          <cell r="AB94">
            <v>7.49</v>
          </cell>
          <cell r="AC94">
            <v>7.49</v>
          </cell>
          <cell r="AD94">
            <v>7.49</v>
          </cell>
          <cell r="AE94">
            <v>7.49</v>
          </cell>
          <cell r="AF94">
            <v>7.49</v>
          </cell>
          <cell r="AG94">
            <v>7.49</v>
          </cell>
          <cell r="AH94">
            <v>1.7</v>
          </cell>
          <cell r="AI94">
            <v>1.7</v>
          </cell>
          <cell r="AJ94">
            <v>1.7</v>
          </cell>
          <cell r="AK94">
            <v>1.7</v>
          </cell>
          <cell r="AL94">
            <v>1.7</v>
          </cell>
          <cell r="AM94">
            <v>1.7</v>
          </cell>
          <cell r="AN94">
            <v>1.7</v>
          </cell>
          <cell r="AO94">
            <v>1.7</v>
          </cell>
          <cell r="AP94">
            <v>1.7</v>
          </cell>
          <cell r="AQ94">
            <v>1.7</v>
          </cell>
          <cell r="AR94">
            <v>1.7</v>
          </cell>
          <cell r="AS94">
            <v>2.7E-2</v>
          </cell>
          <cell r="AT94">
            <v>8000</v>
          </cell>
          <cell r="AU94">
            <v>216</v>
          </cell>
          <cell r="AV94">
            <v>4.6300000000000001E-2</v>
          </cell>
          <cell r="AW94">
            <v>4.6300000000000001E-2</v>
          </cell>
          <cell r="AX94">
            <v>4.6300000000000001E-2</v>
          </cell>
          <cell r="AY94">
            <v>4.6300000000000001E-2</v>
          </cell>
          <cell r="AZ94">
            <v>4.6300000000000001E-2</v>
          </cell>
          <cell r="BA94">
            <v>4.6300000000000001E-2</v>
          </cell>
          <cell r="BB94">
            <v>4.6300000000000001E-2</v>
          </cell>
          <cell r="BC94">
            <v>4.6300000000000001E-2</v>
          </cell>
          <cell r="BD94">
            <v>4.6300000000000001E-2</v>
          </cell>
          <cell r="BE94">
            <v>4.6300000000000001E-2</v>
          </cell>
          <cell r="BF94">
            <v>4.6300000000000001E-2</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O94">
            <v>7.49</v>
          </cell>
          <cell r="CP94">
            <v>7.49</v>
          </cell>
          <cell r="CQ94">
            <v>7.49</v>
          </cell>
          <cell r="CR94">
            <v>7.49</v>
          </cell>
          <cell r="CS94">
            <v>7.49</v>
          </cell>
          <cell r="CT94">
            <v>7.49</v>
          </cell>
          <cell r="CU94">
            <v>7.49</v>
          </cell>
          <cell r="CV94">
            <v>7.49</v>
          </cell>
          <cell r="CW94">
            <v>7.49</v>
          </cell>
          <cell r="CX94">
            <v>7.49</v>
          </cell>
          <cell r="CY94">
            <v>7.49</v>
          </cell>
          <cell r="CZ94">
            <v>4.6300000000000001E-2</v>
          </cell>
          <cell r="DA94">
            <v>4.6300000000000001E-2</v>
          </cell>
          <cell r="DB94">
            <v>4.6300000000000001E-2</v>
          </cell>
          <cell r="DC94">
            <v>4.6300000000000001E-2</v>
          </cell>
          <cell r="DD94">
            <v>4.6300000000000001E-2</v>
          </cell>
          <cell r="DE94">
            <v>4.6300000000000001E-2</v>
          </cell>
          <cell r="DF94">
            <v>4.6300000000000001E-2</v>
          </cell>
          <cell r="DG94">
            <v>4.6300000000000001E-2</v>
          </cell>
          <cell r="DH94">
            <v>4.6300000000000001E-2</v>
          </cell>
          <cell r="DI94">
            <v>4.6300000000000001E-2</v>
          </cell>
          <cell r="DJ94">
            <v>4.6300000000000001E-2</v>
          </cell>
        </row>
        <row r="95">
          <cell r="C95">
            <v>3195</v>
          </cell>
          <cell r="D95">
            <v>9015</v>
          </cell>
          <cell r="E95" t="str">
            <v>OSOT Rate Differential over Employee's Rate</v>
          </cell>
          <cell r="G95" t="str">
            <v>CBA1</v>
          </cell>
          <cell r="H95" t="str">
            <v>RFP CBA</v>
          </cell>
          <cell r="I95">
            <v>728</v>
          </cell>
          <cell r="J95">
            <v>0.35</v>
          </cell>
          <cell r="K95">
            <v>1.7</v>
          </cell>
          <cell r="L95">
            <v>0.35</v>
          </cell>
          <cell r="M95">
            <v>0.35</v>
          </cell>
          <cell r="N95">
            <v>0.35</v>
          </cell>
          <cell r="O95">
            <v>0.35</v>
          </cell>
          <cell r="P95">
            <v>0.35</v>
          </cell>
          <cell r="Q95">
            <v>0.35</v>
          </cell>
          <cell r="R95">
            <v>0.35</v>
          </cell>
          <cell r="S95">
            <v>0.35</v>
          </cell>
          <cell r="T95">
            <v>0.35</v>
          </cell>
          <cell r="U95">
            <v>0.35</v>
          </cell>
          <cell r="V95">
            <v>0.35</v>
          </cell>
          <cell r="W95">
            <v>7.49</v>
          </cell>
          <cell r="X95">
            <v>7.49</v>
          </cell>
          <cell r="Y95">
            <v>7.49</v>
          </cell>
          <cell r="Z95">
            <v>7.49</v>
          </cell>
          <cell r="AA95">
            <v>7.49</v>
          </cell>
          <cell r="AB95">
            <v>7.49</v>
          </cell>
          <cell r="AC95">
            <v>7.49</v>
          </cell>
          <cell r="AD95">
            <v>7.49</v>
          </cell>
          <cell r="AE95">
            <v>7.49</v>
          </cell>
          <cell r="AF95">
            <v>7.49</v>
          </cell>
          <cell r="AG95">
            <v>7.49</v>
          </cell>
          <cell r="AH95">
            <v>1.7</v>
          </cell>
          <cell r="AI95">
            <v>1.7</v>
          </cell>
          <cell r="AJ95">
            <v>1.7</v>
          </cell>
          <cell r="AK95">
            <v>1.7</v>
          </cell>
          <cell r="AL95">
            <v>1.7</v>
          </cell>
          <cell r="AM95">
            <v>1.7</v>
          </cell>
          <cell r="AN95">
            <v>1.7</v>
          </cell>
          <cell r="AO95">
            <v>1.7</v>
          </cell>
          <cell r="AP95">
            <v>1.7</v>
          </cell>
          <cell r="AQ95">
            <v>1.7</v>
          </cell>
          <cell r="AR95">
            <v>1.7</v>
          </cell>
          <cell r="AS95">
            <v>2.7E-2</v>
          </cell>
          <cell r="AT95">
            <v>8000</v>
          </cell>
          <cell r="AU95">
            <v>216</v>
          </cell>
          <cell r="AV95">
            <v>4.6300000000000001E-2</v>
          </cell>
          <cell r="AW95">
            <v>4.6300000000000001E-2</v>
          </cell>
          <cell r="AX95">
            <v>4.6300000000000001E-2</v>
          </cell>
          <cell r="AY95">
            <v>4.6300000000000001E-2</v>
          </cell>
          <cell r="AZ95">
            <v>4.6300000000000001E-2</v>
          </cell>
          <cell r="BA95">
            <v>4.6300000000000001E-2</v>
          </cell>
          <cell r="BB95">
            <v>4.6300000000000001E-2</v>
          </cell>
          <cell r="BC95">
            <v>4.6300000000000001E-2</v>
          </cell>
          <cell r="BD95">
            <v>4.6300000000000001E-2</v>
          </cell>
          <cell r="BE95">
            <v>4.6300000000000001E-2</v>
          </cell>
          <cell r="BF95">
            <v>4.6300000000000001E-2</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O95">
            <v>7.49</v>
          </cell>
          <cell r="CP95">
            <v>7.49</v>
          </cell>
          <cell r="CQ95">
            <v>7.49</v>
          </cell>
          <cell r="CR95">
            <v>7.49</v>
          </cell>
          <cell r="CS95">
            <v>7.49</v>
          </cell>
          <cell r="CT95">
            <v>7.49</v>
          </cell>
          <cell r="CU95">
            <v>7.49</v>
          </cell>
          <cell r="CV95">
            <v>7.49</v>
          </cell>
          <cell r="CW95">
            <v>7.49</v>
          </cell>
          <cell r="CX95">
            <v>7.49</v>
          </cell>
          <cell r="CY95">
            <v>7.49</v>
          </cell>
          <cell r="CZ95">
            <v>4.6300000000000001E-2</v>
          </cell>
          <cell r="DA95">
            <v>4.6300000000000001E-2</v>
          </cell>
          <cell r="DB95">
            <v>4.6300000000000001E-2</v>
          </cell>
          <cell r="DC95">
            <v>4.6300000000000001E-2</v>
          </cell>
          <cell r="DD95">
            <v>4.6300000000000001E-2</v>
          </cell>
          <cell r="DE95">
            <v>4.6300000000000001E-2</v>
          </cell>
          <cell r="DF95">
            <v>4.6300000000000001E-2</v>
          </cell>
          <cell r="DG95">
            <v>4.6300000000000001E-2</v>
          </cell>
          <cell r="DH95">
            <v>4.6300000000000001E-2</v>
          </cell>
          <cell r="DI95">
            <v>4.6300000000000001E-2</v>
          </cell>
          <cell r="DJ95">
            <v>4.6300000000000001E-2</v>
          </cell>
        </row>
        <row r="96">
          <cell r="C96">
            <v>3200</v>
          </cell>
          <cell r="D96">
            <v>9015</v>
          </cell>
          <cell r="E96" t="str">
            <v>Fire Alarm System Mechanic</v>
          </cell>
          <cell r="G96" t="str">
            <v>CBA1</v>
          </cell>
          <cell r="H96" t="str">
            <v>RFP CBA</v>
          </cell>
          <cell r="I96">
            <v>69617.599999999991</v>
          </cell>
          <cell r="J96">
            <v>33.47</v>
          </cell>
          <cell r="K96">
            <v>1.7</v>
          </cell>
          <cell r="L96">
            <v>33.47</v>
          </cell>
          <cell r="M96">
            <v>33.47</v>
          </cell>
          <cell r="N96">
            <v>33.47</v>
          </cell>
          <cell r="O96">
            <v>33.47</v>
          </cell>
          <cell r="P96">
            <v>33.47</v>
          </cell>
          <cell r="Q96">
            <v>33.47</v>
          </cell>
          <cell r="R96">
            <v>33.47</v>
          </cell>
          <cell r="S96">
            <v>33.47</v>
          </cell>
          <cell r="T96">
            <v>33.47</v>
          </cell>
          <cell r="U96">
            <v>33.47</v>
          </cell>
          <cell r="V96">
            <v>33.47</v>
          </cell>
          <cell r="W96">
            <v>7.49</v>
          </cell>
          <cell r="X96">
            <v>7.49</v>
          </cell>
          <cell r="Y96">
            <v>7.49</v>
          </cell>
          <cell r="Z96">
            <v>7.49</v>
          </cell>
          <cell r="AA96">
            <v>7.49</v>
          </cell>
          <cell r="AB96">
            <v>7.49</v>
          </cell>
          <cell r="AC96">
            <v>7.49</v>
          </cell>
          <cell r="AD96">
            <v>7.49</v>
          </cell>
          <cell r="AE96">
            <v>7.49</v>
          </cell>
          <cell r="AF96">
            <v>7.49</v>
          </cell>
          <cell r="AG96">
            <v>7.49</v>
          </cell>
          <cell r="AH96">
            <v>1.7</v>
          </cell>
          <cell r="AI96">
            <v>1.7</v>
          </cell>
          <cell r="AJ96">
            <v>1.7</v>
          </cell>
          <cell r="AK96">
            <v>1.7</v>
          </cell>
          <cell r="AL96">
            <v>1.7</v>
          </cell>
          <cell r="AM96">
            <v>1.7</v>
          </cell>
          <cell r="AN96">
            <v>1.7</v>
          </cell>
          <cell r="AO96">
            <v>1.7</v>
          </cell>
          <cell r="AP96">
            <v>1.7</v>
          </cell>
          <cell r="AQ96">
            <v>1.7</v>
          </cell>
          <cell r="AR96">
            <v>1.7</v>
          </cell>
          <cell r="AS96">
            <v>2.7E-2</v>
          </cell>
          <cell r="AT96">
            <v>8000</v>
          </cell>
          <cell r="AU96">
            <v>216</v>
          </cell>
          <cell r="AV96">
            <v>4.6300000000000001E-2</v>
          </cell>
          <cell r="AW96">
            <v>4.6300000000000001E-2</v>
          </cell>
          <cell r="AX96">
            <v>4.6300000000000001E-2</v>
          </cell>
          <cell r="AY96">
            <v>4.6300000000000001E-2</v>
          </cell>
          <cell r="AZ96">
            <v>4.6300000000000001E-2</v>
          </cell>
          <cell r="BA96">
            <v>4.6300000000000001E-2</v>
          </cell>
          <cell r="BB96">
            <v>4.6300000000000001E-2</v>
          </cell>
          <cell r="BC96">
            <v>4.6300000000000001E-2</v>
          </cell>
          <cell r="BD96">
            <v>4.6300000000000001E-2</v>
          </cell>
          <cell r="BE96">
            <v>4.6300000000000001E-2</v>
          </cell>
          <cell r="BF96">
            <v>4.6300000000000001E-2</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3</v>
          </cell>
          <cell r="CO96">
            <v>7.49</v>
          </cell>
          <cell r="CP96">
            <v>7.49</v>
          </cell>
          <cell r="CQ96">
            <v>7.49</v>
          </cell>
          <cell r="CR96">
            <v>7.49</v>
          </cell>
          <cell r="CS96">
            <v>7.49</v>
          </cell>
          <cell r="CT96">
            <v>7.49</v>
          </cell>
          <cell r="CU96">
            <v>7.49</v>
          </cell>
          <cell r="CV96">
            <v>7.49</v>
          </cell>
          <cell r="CW96">
            <v>7.49</v>
          </cell>
          <cell r="CX96">
            <v>7.49</v>
          </cell>
          <cell r="CY96">
            <v>7.49</v>
          </cell>
          <cell r="CZ96">
            <v>4.6300000000000001E-2</v>
          </cell>
          <cell r="DA96">
            <v>4.6300000000000001E-2</v>
          </cell>
          <cell r="DB96">
            <v>4.6300000000000001E-2</v>
          </cell>
          <cell r="DC96">
            <v>4.6300000000000001E-2</v>
          </cell>
          <cell r="DD96">
            <v>4.6300000000000001E-2</v>
          </cell>
          <cell r="DE96">
            <v>4.6300000000000001E-2</v>
          </cell>
          <cell r="DF96">
            <v>4.6300000000000001E-2</v>
          </cell>
          <cell r="DG96">
            <v>4.6300000000000001E-2</v>
          </cell>
          <cell r="DH96">
            <v>4.6300000000000001E-2</v>
          </cell>
          <cell r="DI96">
            <v>4.6300000000000001E-2</v>
          </cell>
          <cell r="DJ96">
            <v>4.6300000000000001E-2</v>
          </cell>
        </row>
        <row r="97">
          <cell r="C97">
            <v>3205</v>
          </cell>
          <cell r="D97">
            <v>9015</v>
          </cell>
          <cell r="E97" t="str">
            <v>Master Plumber</v>
          </cell>
          <cell r="G97" t="str">
            <v>CBA1</v>
          </cell>
          <cell r="H97" t="str">
            <v>RFP CBA</v>
          </cell>
          <cell r="I97">
            <v>65520</v>
          </cell>
          <cell r="J97">
            <v>31.5</v>
          </cell>
          <cell r="K97">
            <v>1.7</v>
          </cell>
          <cell r="L97">
            <v>31.5</v>
          </cell>
          <cell r="M97">
            <v>31.5</v>
          </cell>
          <cell r="N97">
            <v>31.5</v>
          </cell>
          <cell r="O97">
            <v>31.5</v>
          </cell>
          <cell r="P97">
            <v>31.5</v>
          </cell>
          <cell r="Q97">
            <v>31.5</v>
          </cell>
          <cell r="R97">
            <v>31.5</v>
          </cell>
          <cell r="S97">
            <v>31.5</v>
          </cell>
          <cell r="T97">
            <v>31.5</v>
          </cell>
          <cell r="U97">
            <v>31.5</v>
          </cell>
          <cell r="V97">
            <v>31.5</v>
          </cell>
          <cell r="W97">
            <v>7.49</v>
          </cell>
          <cell r="X97">
            <v>7.49</v>
          </cell>
          <cell r="Y97">
            <v>7.49</v>
          </cell>
          <cell r="Z97">
            <v>7.49</v>
          </cell>
          <cell r="AA97">
            <v>7.49</v>
          </cell>
          <cell r="AB97">
            <v>7.49</v>
          </cell>
          <cell r="AC97">
            <v>7.49</v>
          </cell>
          <cell r="AD97">
            <v>7.49</v>
          </cell>
          <cell r="AE97">
            <v>7.49</v>
          </cell>
          <cell r="AF97">
            <v>7.49</v>
          </cell>
          <cell r="AG97">
            <v>7.49</v>
          </cell>
          <cell r="AH97">
            <v>1.7</v>
          </cell>
          <cell r="AI97">
            <v>1.7</v>
          </cell>
          <cell r="AJ97">
            <v>1.7</v>
          </cell>
          <cell r="AK97">
            <v>1.7</v>
          </cell>
          <cell r="AL97">
            <v>1.7</v>
          </cell>
          <cell r="AM97">
            <v>1.7</v>
          </cell>
          <cell r="AN97">
            <v>1.7</v>
          </cell>
          <cell r="AO97">
            <v>1.7</v>
          </cell>
          <cell r="AP97">
            <v>1.7</v>
          </cell>
          <cell r="AQ97">
            <v>1.7</v>
          </cell>
          <cell r="AR97">
            <v>1.7</v>
          </cell>
          <cell r="AS97">
            <v>2.7E-2</v>
          </cell>
          <cell r="AT97">
            <v>8000</v>
          </cell>
          <cell r="AU97">
            <v>216</v>
          </cell>
          <cell r="AV97">
            <v>4.6300000000000001E-2</v>
          </cell>
          <cell r="AW97">
            <v>4.6300000000000001E-2</v>
          </cell>
          <cell r="AX97">
            <v>4.6300000000000001E-2</v>
          </cell>
          <cell r="AY97">
            <v>4.6300000000000001E-2</v>
          </cell>
          <cell r="AZ97">
            <v>4.6300000000000001E-2</v>
          </cell>
          <cell r="BA97">
            <v>4.6300000000000001E-2</v>
          </cell>
          <cell r="BB97">
            <v>4.6300000000000001E-2</v>
          </cell>
          <cell r="BC97">
            <v>4.6300000000000001E-2</v>
          </cell>
          <cell r="BD97">
            <v>4.6300000000000001E-2</v>
          </cell>
          <cell r="BE97">
            <v>4.6300000000000001E-2</v>
          </cell>
          <cell r="BF97">
            <v>4.6300000000000001E-2</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5</v>
          </cell>
          <cell r="CO97">
            <v>7.49</v>
          </cell>
          <cell r="CP97">
            <v>7.49</v>
          </cell>
          <cell r="CQ97">
            <v>7.49</v>
          </cell>
          <cell r="CR97">
            <v>7.49</v>
          </cell>
          <cell r="CS97">
            <v>7.49</v>
          </cell>
          <cell r="CT97">
            <v>7.49</v>
          </cell>
          <cell r="CU97">
            <v>7.49</v>
          </cell>
          <cell r="CV97">
            <v>7.49</v>
          </cell>
          <cell r="CW97">
            <v>7.49</v>
          </cell>
          <cell r="CX97">
            <v>7.49</v>
          </cell>
          <cell r="CY97">
            <v>7.49</v>
          </cell>
          <cell r="CZ97">
            <v>4.6300000000000001E-2</v>
          </cell>
          <cell r="DA97">
            <v>4.6300000000000001E-2</v>
          </cell>
          <cell r="DB97">
            <v>4.6300000000000001E-2</v>
          </cell>
          <cell r="DC97">
            <v>4.6300000000000001E-2</v>
          </cell>
          <cell r="DD97">
            <v>4.6300000000000001E-2</v>
          </cell>
          <cell r="DE97">
            <v>4.6300000000000001E-2</v>
          </cell>
          <cell r="DF97">
            <v>4.6300000000000001E-2</v>
          </cell>
          <cell r="DG97">
            <v>4.6300000000000001E-2</v>
          </cell>
          <cell r="DH97">
            <v>4.6300000000000001E-2</v>
          </cell>
          <cell r="DI97">
            <v>4.6300000000000001E-2</v>
          </cell>
          <cell r="DJ97">
            <v>4.6300000000000001E-2</v>
          </cell>
        </row>
        <row r="98">
          <cell r="C98">
            <v>3210</v>
          </cell>
          <cell r="D98">
            <v>9015</v>
          </cell>
          <cell r="E98" t="str">
            <v>Electrician Trades Lead</v>
          </cell>
          <cell r="G98" t="str">
            <v>CBA1</v>
          </cell>
          <cell r="H98" t="str">
            <v>RFP CBA</v>
          </cell>
          <cell r="I98">
            <v>74817.599999999991</v>
          </cell>
          <cell r="J98">
            <v>35.97</v>
          </cell>
          <cell r="K98">
            <v>1.7</v>
          </cell>
          <cell r="L98">
            <v>35.97</v>
          </cell>
          <cell r="M98">
            <v>35.97</v>
          </cell>
          <cell r="N98">
            <v>35.97</v>
          </cell>
          <cell r="O98">
            <v>35.97</v>
          </cell>
          <cell r="P98">
            <v>35.97</v>
          </cell>
          <cell r="Q98">
            <v>35.97</v>
          </cell>
          <cell r="R98">
            <v>35.97</v>
          </cell>
          <cell r="S98">
            <v>35.97</v>
          </cell>
          <cell r="T98">
            <v>35.97</v>
          </cell>
          <cell r="U98">
            <v>35.97</v>
          </cell>
          <cell r="V98">
            <v>35.97</v>
          </cell>
          <cell r="W98">
            <v>7.49</v>
          </cell>
          <cell r="X98">
            <v>7.49</v>
          </cell>
          <cell r="Y98">
            <v>7.49</v>
          </cell>
          <cell r="Z98">
            <v>7.49</v>
          </cell>
          <cell r="AA98">
            <v>7.49</v>
          </cell>
          <cell r="AB98">
            <v>7.49</v>
          </cell>
          <cell r="AC98">
            <v>7.49</v>
          </cell>
          <cell r="AD98">
            <v>7.49</v>
          </cell>
          <cell r="AE98">
            <v>7.49</v>
          </cell>
          <cell r="AF98">
            <v>7.49</v>
          </cell>
          <cell r="AG98">
            <v>7.49</v>
          </cell>
          <cell r="AH98">
            <v>1.7</v>
          </cell>
          <cell r="AI98">
            <v>1.7</v>
          </cell>
          <cell r="AJ98">
            <v>1.7</v>
          </cell>
          <cell r="AK98">
            <v>1.7</v>
          </cell>
          <cell r="AL98">
            <v>1.7</v>
          </cell>
          <cell r="AM98">
            <v>1.7</v>
          </cell>
          <cell r="AN98">
            <v>1.7</v>
          </cell>
          <cell r="AO98">
            <v>1.7</v>
          </cell>
          <cell r="AP98">
            <v>1.7</v>
          </cell>
          <cell r="AQ98">
            <v>1.7</v>
          </cell>
          <cell r="AR98">
            <v>1.7</v>
          </cell>
          <cell r="AS98">
            <v>2.7E-2</v>
          </cell>
          <cell r="AT98">
            <v>8000</v>
          </cell>
          <cell r="AU98">
            <v>216</v>
          </cell>
          <cell r="AV98">
            <v>4.6300000000000001E-2</v>
          </cell>
          <cell r="AW98">
            <v>4.6300000000000001E-2</v>
          </cell>
          <cell r="AX98">
            <v>4.6300000000000001E-2</v>
          </cell>
          <cell r="AY98">
            <v>4.6300000000000001E-2</v>
          </cell>
          <cell r="AZ98">
            <v>4.6300000000000001E-2</v>
          </cell>
          <cell r="BA98">
            <v>4.6300000000000001E-2</v>
          </cell>
          <cell r="BB98">
            <v>4.6300000000000001E-2</v>
          </cell>
          <cell r="BC98">
            <v>4.6300000000000001E-2</v>
          </cell>
          <cell r="BD98">
            <v>4.6300000000000001E-2</v>
          </cell>
          <cell r="BE98">
            <v>4.6300000000000001E-2</v>
          </cell>
          <cell r="BF98">
            <v>4.6300000000000001E-2</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3</v>
          </cell>
          <cell r="CO98">
            <v>7.49</v>
          </cell>
          <cell r="CP98">
            <v>7.49</v>
          </cell>
          <cell r="CQ98">
            <v>7.49</v>
          </cell>
          <cell r="CR98">
            <v>7.49</v>
          </cell>
          <cell r="CS98">
            <v>7.49</v>
          </cell>
          <cell r="CT98">
            <v>7.49</v>
          </cell>
          <cell r="CU98">
            <v>7.49</v>
          </cell>
          <cell r="CV98">
            <v>7.49</v>
          </cell>
          <cell r="CW98">
            <v>7.49</v>
          </cell>
          <cell r="CX98">
            <v>7.49</v>
          </cell>
          <cell r="CY98">
            <v>7.49</v>
          </cell>
          <cell r="CZ98">
            <v>4.6300000000000001E-2</v>
          </cell>
          <cell r="DA98">
            <v>4.6300000000000001E-2</v>
          </cell>
          <cell r="DB98">
            <v>4.6300000000000001E-2</v>
          </cell>
          <cell r="DC98">
            <v>4.6300000000000001E-2</v>
          </cell>
          <cell r="DD98">
            <v>4.6300000000000001E-2</v>
          </cell>
          <cell r="DE98">
            <v>4.6300000000000001E-2</v>
          </cell>
          <cell r="DF98">
            <v>4.6300000000000001E-2</v>
          </cell>
          <cell r="DG98">
            <v>4.6300000000000001E-2</v>
          </cell>
          <cell r="DH98">
            <v>4.6300000000000001E-2</v>
          </cell>
          <cell r="DI98">
            <v>4.6300000000000001E-2</v>
          </cell>
          <cell r="DJ98">
            <v>4.6300000000000001E-2</v>
          </cell>
        </row>
        <row r="99">
          <cell r="C99">
            <v>3215</v>
          </cell>
          <cell r="D99">
            <v>9015</v>
          </cell>
          <cell r="E99" t="str">
            <v>Structural Trades Lead</v>
          </cell>
          <cell r="G99" t="str">
            <v>CBA1</v>
          </cell>
          <cell r="H99" t="str">
            <v>RFP CBA</v>
          </cell>
          <cell r="I99">
            <v>62920</v>
          </cell>
          <cell r="J99">
            <v>30.25</v>
          </cell>
          <cell r="K99">
            <v>1.7</v>
          </cell>
          <cell r="L99">
            <v>30.25</v>
          </cell>
          <cell r="M99">
            <v>30.25</v>
          </cell>
          <cell r="N99">
            <v>30.25</v>
          </cell>
          <cell r="O99">
            <v>30.25</v>
          </cell>
          <cell r="P99">
            <v>30.25</v>
          </cell>
          <cell r="Q99">
            <v>30.25</v>
          </cell>
          <cell r="R99">
            <v>30.25</v>
          </cell>
          <cell r="S99">
            <v>30.25</v>
          </cell>
          <cell r="T99">
            <v>30.25</v>
          </cell>
          <cell r="U99">
            <v>30.25</v>
          </cell>
          <cell r="V99">
            <v>30.25</v>
          </cell>
          <cell r="W99">
            <v>7.49</v>
          </cell>
          <cell r="X99">
            <v>7.49</v>
          </cell>
          <cell r="Y99">
            <v>7.49</v>
          </cell>
          <cell r="Z99">
            <v>7.49</v>
          </cell>
          <cell r="AA99">
            <v>7.49</v>
          </cell>
          <cell r="AB99">
            <v>7.49</v>
          </cell>
          <cell r="AC99">
            <v>7.49</v>
          </cell>
          <cell r="AD99">
            <v>7.49</v>
          </cell>
          <cell r="AE99">
            <v>7.49</v>
          </cell>
          <cell r="AF99">
            <v>7.49</v>
          </cell>
          <cell r="AG99">
            <v>7.49</v>
          </cell>
          <cell r="AH99">
            <v>1.7</v>
          </cell>
          <cell r="AI99">
            <v>1.7</v>
          </cell>
          <cell r="AJ99">
            <v>1.7</v>
          </cell>
          <cell r="AK99">
            <v>1.7</v>
          </cell>
          <cell r="AL99">
            <v>1.7</v>
          </cell>
          <cell r="AM99">
            <v>1.7</v>
          </cell>
          <cell r="AN99">
            <v>1.7</v>
          </cell>
          <cell r="AO99">
            <v>1.7</v>
          </cell>
          <cell r="AP99">
            <v>1.7</v>
          </cell>
          <cell r="AQ99">
            <v>1.7</v>
          </cell>
          <cell r="AR99">
            <v>1.7</v>
          </cell>
          <cell r="AS99">
            <v>2.7E-2</v>
          </cell>
          <cell r="AT99">
            <v>8000</v>
          </cell>
          <cell r="AU99">
            <v>216</v>
          </cell>
          <cell r="AV99">
            <v>4.6300000000000001E-2</v>
          </cell>
          <cell r="AW99">
            <v>4.6300000000000001E-2</v>
          </cell>
          <cell r="AX99">
            <v>4.6300000000000001E-2</v>
          </cell>
          <cell r="AY99">
            <v>4.6300000000000001E-2</v>
          </cell>
          <cell r="AZ99">
            <v>4.6300000000000001E-2</v>
          </cell>
          <cell r="BA99">
            <v>4.6300000000000001E-2</v>
          </cell>
          <cell r="BB99">
            <v>4.6300000000000001E-2</v>
          </cell>
          <cell r="BC99">
            <v>4.6300000000000001E-2</v>
          </cell>
          <cell r="BD99">
            <v>4.6300000000000001E-2</v>
          </cell>
          <cell r="BE99">
            <v>4.6300000000000001E-2</v>
          </cell>
          <cell r="BF99">
            <v>4.6300000000000001E-2</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2</v>
          </cell>
          <cell r="CO99">
            <v>7.49</v>
          </cell>
          <cell r="CP99">
            <v>7.49</v>
          </cell>
          <cell r="CQ99">
            <v>7.49</v>
          </cell>
          <cell r="CR99">
            <v>7.49</v>
          </cell>
          <cell r="CS99">
            <v>7.49</v>
          </cell>
          <cell r="CT99">
            <v>7.49</v>
          </cell>
          <cell r="CU99">
            <v>7.49</v>
          </cell>
          <cell r="CV99">
            <v>7.49</v>
          </cell>
          <cell r="CW99">
            <v>7.49</v>
          </cell>
          <cell r="CX99">
            <v>7.49</v>
          </cell>
          <cell r="CY99">
            <v>7.49</v>
          </cell>
          <cell r="CZ99">
            <v>4.6300000000000001E-2</v>
          </cell>
          <cell r="DA99">
            <v>4.6300000000000001E-2</v>
          </cell>
          <cell r="DB99">
            <v>4.6300000000000001E-2</v>
          </cell>
          <cell r="DC99">
            <v>4.6300000000000001E-2</v>
          </cell>
          <cell r="DD99">
            <v>4.6300000000000001E-2</v>
          </cell>
          <cell r="DE99">
            <v>4.6300000000000001E-2</v>
          </cell>
          <cell r="DF99">
            <v>4.6300000000000001E-2</v>
          </cell>
          <cell r="DG99">
            <v>4.6300000000000001E-2</v>
          </cell>
          <cell r="DH99">
            <v>4.6300000000000001E-2</v>
          </cell>
          <cell r="DI99">
            <v>4.6300000000000001E-2</v>
          </cell>
          <cell r="DJ99">
            <v>4.6300000000000001E-2</v>
          </cell>
        </row>
        <row r="100">
          <cell r="C100">
            <v>3220</v>
          </cell>
          <cell r="D100">
            <v>9015</v>
          </cell>
          <cell r="E100" t="str">
            <v>Painter</v>
          </cell>
          <cell r="G100" t="str">
            <v>CBA1</v>
          </cell>
          <cell r="H100" t="str">
            <v>RFP CBA</v>
          </cell>
          <cell r="I100">
            <v>56118.400000000001</v>
          </cell>
          <cell r="J100">
            <v>26.98</v>
          </cell>
          <cell r="K100">
            <v>1.7</v>
          </cell>
          <cell r="L100">
            <v>26.98</v>
          </cell>
          <cell r="M100">
            <v>26.98</v>
          </cell>
          <cell r="N100">
            <v>26.98</v>
          </cell>
          <cell r="O100">
            <v>26.98</v>
          </cell>
          <cell r="P100">
            <v>26.98</v>
          </cell>
          <cell r="Q100">
            <v>26.98</v>
          </cell>
          <cell r="R100">
            <v>26.98</v>
          </cell>
          <cell r="S100">
            <v>26.98</v>
          </cell>
          <cell r="T100">
            <v>26.98</v>
          </cell>
          <cell r="U100">
            <v>26.98</v>
          </cell>
          <cell r="V100">
            <v>26.98</v>
          </cell>
          <cell r="W100">
            <v>7.49</v>
          </cell>
          <cell r="X100">
            <v>7.49</v>
          </cell>
          <cell r="Y100">
            <v>7.49</v>
          </cell>
          <cell r="Z100">
            <v>7.49</v>
          </cell>
          <cell r="AA100">
            <v>7.49</v>
          </cell>
          <cell r="AB100">
            <v>7.49</v>
          </cell>
          <cell r="AC100">
            <v>7.49</v>
          </cell>
          <cell r="AD100">
            <v>7.49</v>
          </cell>
          <cell r="AE100">
            <v>7.49</v>
          </cell>
          <cell r="AF100">
            <v>7.49</v>
          </cell>
          <cell r="AG100">
            <v>7.49</v>
          </cell>
          <cell r="AH100">
            <v>1.7</v>
          </cell>
          <cell r="AI100">
            <v>1.7</v>
          </cell>
          <cell r="AJ100">
            <v>1.7</v>
          </cell>
          <cell r="AK100">
            <v>1.7</v>
          </cell>
          <cell r="AL100">
            <v>1.7</v>
          </cell>
          <cell r="AM100">
            <v>1.7</v>
          </cell>
          <cell r="AN100">
            <v>1.7</v>
          </cell>
          <cell r="AO100">
            <v>1.7</v>
          </cell>
          <cell r="AP100">
            <v>1.7</v>
          </cell>
          <cell r="AQ100">
            <v>1.7</v>
          </cell>
          <cell r="AR100">
            <v>1.7</v>
          </cell>
          <cell r="AS100">
            <v>2.7E-2</v>
          </cell>
          <cell r="AT100">
            <v>8000</v>
          </cell>
          <cell r="AU100">
            <v>216</v>
          </cell>
          <cell r="AV100">
            <v>4.6300000000000001E-2</v>
          </cell>
          <cell r="AW100">
            <v>4.6300000000000001E-2</v>
          </cell>
          <cell r="AX100">
            <v>4.6300000000000001E-2</v>
          </cell>
          <cell r="AY100">
            <v>4.6300000000000001E-2</v>
          </cell>
          <cell r="AZ100">
            <v>4.6300000000000001E-2</v>
          </cell>
          <cell r="BA100">
            <v>4.6300000000000001E-2</v>
          </cell>
          <cell r="BB100">
            <v>4.6300000000000001E-2</v>
          </cell>
          <cell r="BC100">
            <v>4.6300000000000001E-2</v>
          </cell>
          <cell r="BD100">
            <v>4.6300000000000001E-2</v>
          </cell>
          <cell r="BE100">
            <v>4.6300000000000001E-2</v>
          </cell>
          <cell r="BF100">
            <v>4.6300000000000001E-2</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6</v>
          </cell>
          <cell r="CO100">
            <v>7.49</v>
          </cell>
          <cell r="CP100">
            <v>7.49</v>
          </cell>
          <cell r="CQ100">
            <v>7.49</v>
          </cell>
          <cell r="CR100">
            <v>7.49</v>
          </cell>
          <cell r="CS100">
            <v>7.49</v>
          </cell>
          <cell r="CT100">
            <v>7.49</v>
          </cell>
          <cell r="CU100">
            <v>7.49</v>
          </cell>
          <cell r="CV100">
            <v>7.49</v>
          </cell>
          <cell r="CW100">
            <v>7.49</v>
          </cell>
          <cell r="CX100">
            <v>7.49</v>
          </cell>
          <cell r="CY100">
            <v>7.49</v>
          </cell>
          <cell r="CZ100">
            <v>4.6300000000000001E-2</v>
          </cell>
          <cell r="DA100">
            <v>4.6300000000000001E-2</v>
          </cell>
          <cell r="DB100">
            <v>4.6300000000000001E-2</v>
          </cell>
          <cell r="DC100">
            <v>4.6300000000000001E-2</v>
          </cell>
          <cell r="DD100">
            <v>4.6300000000000001E-2</v>
          </cell>
          <cell r="DE100">
            <v>4.6300000000000001E-2</v>
          </cell>
          <cell r="DF100">
            <v>4.6300000000000001E-2</v>
          </cell>
          <cell r="DG100">
            <v>4.6300000000000001E-2</v>
          </cell>
          <cell r="DH100">
            <v>4.6300000000000001E-2</v>
          </cell>
          <cell r="DI100">
            <v>4.6300000000000001E-2</v>
          </cell>
          <cell r="DJ100">
            <v>4.6300000000000001E-2</v>
          </cell>
        </row>
        <row r="101">
          <cell r="C101">
            <v>3225</v>
          </cell>
          <cell r="D101">
            <v>9015</v>
          </cell>
          <cell r="E101" t="str">
            <v>Electrician/Data Technician</v>
          </cell>
          <cell r="G101" t="str">
            <v>CBA1</v>
          </cell>
          <cell r="H101" t="str">
            <v>RFP CBA</v>
          </cell>
          <cell r="I101">
            <v>69617.599999999991</v>
          </cell>
          <cell r="J101">
            <v>33.47</v>
          </cell>
          <cell r="K101">
            <v>1.7</v>
          </cell>
          <cell r="L101">
            <v>33.47</v>
          </cell>
          <cell r="M101">
            <v>33.47</v>
          </cell>
          <cell r="N101">
            <v>33.47</v>
          </cell>
          <cell r="O101">
            <v>33.47</v>
          </cell>
          <cell r="P101">
            <v>33.47</v>
          </cell>
          <cell r="Q101">
            <v>33.47</v>
          </cell>
          <cell r="R101">
            <v>33.47</v>
          </cell>
          <cell r="S101">
            <v>33.47</v>
          </cell>
          <cell r="T101">
            <v>33.47</v>
          </cell>
          <cell r="U101">
            <v>33.47</v>
          </cell>
          <cell r="V101">
            <v>33.47</v>
          </cell>
          <cell r="W101">
            <v>7.49</v>
          </cell>
          <cell r="X101">
            <v>7.49</v>
          </cell>
          <cell r="Y101">
            <v>7.49</v>
          </cell>
          <cell r="Z101">
            <v>7.49</v>
          </cell>
          <cell r="AA101">
            <v>7.49</v>
          </cell>
          <cell r="AB101">
            <v>7.49</v>
          </cell>
          <cell r="AC101">
            <v>7.49</v>
          </cell>
          <cell r="AD101">
            <v>7.49</v>
          </cell>
          <cell r="AE101">
            <v>7.49</v>
          </cell>
          <cell r="AF101">
            <v>7.49</v>
          </cell>
          <cell r="AG101">
            <v>7.49</v>
          </cell>
          <cell r="AH101">
            <v>1.7</v>
          </cell>
          <cell r="AI101">
            <v>1.7</v>
          </cell>
          <cell r="AJ101">
            <v>1.7</v>
          </cell>
          <cell r="AK101">
            <v>1.7</v>
          </cell>
          <cell r="AL101">
            <v>1.7</v>
          </cell>
          <cell r="AM101">
            <v>1.7</v>
          </cell>
          <cell r="AN101">
            <v>1.7</v>
          </cell>
          <cell r="AO101">
            <v>1.7</v>
          </cell>
          <cell r="AP101">
            <v>1.7</v>
          </cell>
          <cell r="AQ101">
            <v>1.7</v>
          </cell>
          <cell r="AR101">
            <v>1.7</v>
          </cell>
          <cell r="AS101">
            <v>2.7E-2</v>
          </cell>
          <cell r="AT101">
            <v>8000</v>
          </cell>
          <cell r="AU101">
            <v>216</v>
          </cell>
          <cell r="AV101">
            <v>4.6300000000000001E-2</v>
          </cell>
          <cell r="AW101">
            <v>4.6300000000000001E-2</v>
          </cell>
          <cell r="AX101">
            <v>4.6300000000000001E-2</v>
          </cell>
          <cell r="AY101">
            <v>4.6300000000000001E-2</v>
          </cell>
          <cell r="AZ101">
            <v>4.6300000000000001E-2</v>
          </cell>
          <cell r="BA101">
            <v>4.6300000000000001E-2</v>
          </cell>
          <cell r="BB101">
            <v>4.6300000000000001E-2</v>
          </cell>
          <cell r="BC101">
            <v>4.6300000000000001E-2</v>
          </cell>
          <cell r="BD101">
            <v>4.6300000000000001E-2</v>
          </cell>
          <cell r="BE101">
            <v>4.6300000000000001E-2</v>
          </cell>
          <cell r="BF101">
            <v>4.6300000000000001E-2</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3</v>
          </cell>
          <cell r="CO101">
            <v>7.49</v>
          </cell>
          <cell r="CP101">
            <v>7.49</v>
          </cell>
          <cell r="CQ101">
            <v>7.49</v>
          </cell>
          <cell r="CR101">
            <v>7.49</v>
          </cell>
          <cell r="CS101">
            <v>7.49</v>
          </cell>
          <cell r="CT101">
            <v>7.49</v>
          </cell>
          <cell r="CU101">
            <v>7.49</v>
          </cell>
          <cell r="CV101">
            <v>7.49</v>
          </cell>
          <cell r="CW101">
            <v>7.49</v>
          </cell>
          <cell r="CX101">
            <v>7.49</v>
          </cell>
          <cell r="CY101">
            <v>7.49</v>
          </cell>
          <cell r="CZ101">
            <v>4.6300000000000001E-2</v>
          </cell>
          <cell r="DA101">
            <v>4.6300000000000001E-2</v>
          </cell>
          <cell r="DB101">
            <v>4.6300000000000001E-2</v>
          </cell>
          <cell r="DC101">
            <v>4.6300000000000001E-2</v>
          </cell>
          <cell r="DD101">
            <v>4.6300000000000001E-2</v>
          </cell>
          <cell r="DE101">
            <v>4.6300000000000001E-2</v>
          </cell>
          <cell r="DF101">
            <v>4.6300000000000001E-2</v>
          </cell>
          <cell r="DG101">
            <v>4.6300000000000001E-2</v>
          </cell>
          <cell r="DH101">
            <v>4.6300000000000001E-2</v>
          </cell>
          <cell r="DI101">
            <v>4.6300000000000001E-2</v>
          </cell>
          <cell r="DJ101">
            <v>4.6300000000000001E-2</v>
          </cell>
        </row>
        <row r="102">
          <cell r="C102">
            <v>3230</v>
          </cell>
          <cell r="D102">
            <v>9015</v>
          </cell>
          <cell r="E102" t="str">
            <v>Mechanical Trades Lead</v>
          </cell>
          <cell r="G102" t="str">
            <v>CBA1</v>
          </cell>
          <cell r="H102" t="str">
            <v>RFP CBA</v>
          </cell>
          <cell r="I102">
            <v>71219.199999999983</v>
          </cell>
          <cell r="J102">
            <v>34.239999999999995</v>
          </cell>
          <cell r="K102">
            <v>1.7</v>
          </cell>
          <cell r="L102">
            <v>34.239999999999995</v>
          </cell>
          <cell r="M102">
            <v>34.239999999999995</v>
          </cell>
          <cell r="N102">
            <v>34.239999999999995</v>
          </cell>
          <cell r="O102">
            <v>34.239999999999995</v>
          </cell>
          <cell r="P102">
            <v>34.239999999999995</v>
          </cell>
          <cell r="Q102">
            <v>34.239999999999995</v>
          </cell>
          <cell r="R102">
            <v>34.239999999999995</v>
          </cell>
          <cell r="S102">
            <v>34.239999999999995</v>
          </cell>
          <cell r="T102">
            <v>34.239999999999995</v>
          </cell>
          <cell r="U102">
            <v>34.239999999999995</v>
          </cell>
          <cell r="V102">
            <v>34.239999999999995</v>
          </cell>
          <cell r="W102">
            <v>7.49</v>
          </cell>
          <cell r="X102">
            <v>7.49</v>
          </cell>
          <cell r="Y102">
            <v>7.49</v>
          </cell>
          <cell r="Z102">
            <v>7.49</v>
          </cell>
          <cell r="AA102">
            <v>7.49</v>
          </cell>
          <cell r="AB102">
            <v>7.49</v>
          </cell>
          <cell r="AC102">
            <v>7.49</v>
          </cell>
          <cell r="AD102">
            <v>7.49</v>
          </cell>
          <cell r="AE102">
            <v>7.49</v>
          </cell>
          <cell r="AF102">
            <v>7.49</v>
          </cell>
          <cell r="AG102">
            <v>7.49</v>
          </cell>
          <cell r="AH102">
            <v>1.7</v>
          </cell>
          <cell r="AI102">
            <v>1.7</v>
          </cell>
          <cell r="AJ102">
            <v>1.7</v>
          </cell>
          <cell r="AK102">
            <v>1.7</v>
          </cell>
          <cell r="AL102">
            <v>1.7</v>
          </cell>
          <cell r="AM102">
            <v>1.7</v>
          </cell>
          <cell r="AN102">
            <v>1.7</v>
          </cell>
          <cell r="AO102">
            <v>1.7</v>
          </cell>
          <cell r="AP102">
            <v>1.7</v>
          </cell>
          <cell r="AQ102">
            <v>1.7</v>
          </cell>
          <cell r="AR102">
            <v>1.7</v>
          </cell>
          <cell r="AS102">
            <v>2.7E-2</v>
          </cell>
          <cell r="AT102">
            <v>8000</v>
          </cell>
          <cell r="AU102">
            <v>216</v>
          </cell>
          <cell r="AV102">
            <v>4.6300000000000001E-2</v>
          </cell>
          <cell r="AW102">
            <v>4.6300000000000001E-2</v>
          </cell>
          <cell r="AX102">
            <v>4.6300000000000001E-2</v>
          </cell>
          <cell r="AY102">
            <v>4.6300000000000001E-2</v>
          </cell>
          <cell r="AZ102">
            <v>4.6300000000000001E-2</v>
          </cell>
          <cell r="BA102">
            <v>4.6300000000000001E-2</v>
          </cell>
          <cell r="BB102">
            <v>4.6300000000000001E-2</v>
          </cell>
          <cell r="BC102">
            <v>4.6300000000000001E-2</v>
          </cell>
          <cell r="BD102">
            <v>4.6300000000000001E-2</v>
          </cell>
          <cell r="BE102">
            <v>4.6300000000000001E-2</v>
          </cell>
          <cell r="BF102">
            <v>4.6300000000000001E-2</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1</v>
          </cell>
          <cell r="CO102">
            <v>7.49</v>
          </cell>
          <cell r="CP102">
            <v>7.49</v>
          </cell>
          <cell r="CQ102">
            <v>7.49</v>
          </cell>
          <cell r="CR102">
            <v>7.49</v>
          </cell>
          <cell r="CS102">
            <v>7.49</v>
          </cell>
          <cell r="CT102">
            <v>7.49</v>
          </cell>
          <cell r="CU102">
            <v>7.49</v>
          </cell>
          <cell r="CV102">
            <v>7.49</v>
          </cell>
          <cell r="CW102">
            <v>7.49</v>
          </cell>
          <cell r="CX102">
            <v>7.49</v>
          </cell>
          <cell r="CY102">
            <v>7.49</v>
          </cell>
          <cell r="CZ102">
            <v>4.6300000000000001E-2</v>
          </cell>
          <cell r="DA102">
            <v>4.6300000000000001E-2</v>
          </cell>
          <cell r="DB102">
            <v>4.6300000000000001E-2</v>
          </cell>
          <cell r="DC102">
            <v>4.6300000000000001E-2</v>
          </cell>
          <cell r="DD102">
            <v>4.6300000000000001E-2</v>
          </cell>
          <cell r="DE102">
            <v>4.6300000000000001E-2</v>
          </cell>
          <cell r="DF102">
            <v>4.6300000000000001E-2</v>
          </cell>
          <cell r="DG102">
            <v>4.6300000000000001E-2</v>
          </cell>
          <cell r="DH102">
            <v>4.6300000000000001E-2</v>
          </cell>
          <cell r="DI102">
            <v>4.6300000000000001E-2</v>
          </cell>
          <cell r="DJ102">
            <v>4.6300000000000001E-2</v>
          </cell>
        </row>
        <row r="107">
          <cell r="C107" t="str">
            <v xml:space="preserve">Collective Bargaining Agreement (#2) - </v>
          </cell>
        </row>
        <row r="109">
          <cell r="C109">
            <v>4000</v>
          </cell>
          <cell r="D109">
            <v>9015</v>
          </cell>
          <cell r="E109" t="str">
            <v>Transportation Material Expeditor</v>
          </cell>
          <cell r="G109" t="str">
            <v>CBA2</v>
          </cell>
          <cell r="H109" t="str">
            <v>RFP CBA</v>
          </cell>
          <cell r="I109">
            <v>49649.599999999999</v>
          </cell>
          <cell r="J109">
            <v>23.87</v>
          </cell>
          <cell r="K109">
            <v>3.75</v>
          </cell>
          <cell r="L109">
            <v>23.87</v>
          </cell>
          <cell r="M109">
            <v>23.87</v>
          </cell>
          <cell r="N109">
            <v>23.87</v>
          </cell>
          <cell r="O109">
            <v>23.87</v>
          </cell>
          <cell r="P109">
            <v>23.87</v>
          </cell>
          <cell r="Q109">
            <v>23.87</v>
          </cell>
          <cell r="R109">
            <v>23.87</v>
          </cell>
          <cell r="S109">
            <v>23.87</v>
          </cell>
          <cell r="T109">
            <v>23.87</v>
          </cell>
          <cell r="U109">
            <v>23.87</v>
          </cell>
          <cell r="V109">
            <v>23.87</v>
          </cell>
          <cell r="W109">
            <v>5.5</v>
          </cell>
          <cell r="X109">
            <v>5.5</v>
          </cell>
          <cell r="Y109">
            <v>5.5</v>
          </cell>
          <cell r="Z109">
            <v>5.5</v>
          </cell>
          <cell r="AA109">
            <v>5.5</v>
          </cell>
          <cell r="AB109">
            <v>5.5</v>
          </cell>
          <cell r="AC109">
            <v>5.5</v>
          </cell>
          <cell r="AD109">
            <v>5.5</v>
          </cell>
          <cell r="AE109">
            <v>5.5</v>
          </cell>
          <cell r="AF109">
            <v>5.5</v>
          </cell>
          <cell r="AG109">
            <v>5.5</v>
          </cell>
          <cell r="AH109">
            <v>3.75</v>
          </cell>
          <cell r="AI109">
            <v>3.75</v>
          </cell>
          <cell r="AJ109">
            <v>3.75</v>
          </cell>
          <cell r="AK109">
            <v>3.75</v>
          </cell>
          <cell r="AL109">
            <v>3.75</v>
          </cell>
          <cell r="AM109">
            <v>3.75</v>
          </cell>
          <cell r="AN109">
            <v>3.75</v>
          </cell>
          <cell r="AO109">
            <v>3.75</v>
          </cell>
          <cell r="AP109">
            <v>3.75</v>
          </cell>
          <cell r="AQ109">
            <v>3.75</v>
          </cell>
          <cell r="AR109">
            <v>3.75</v>
          </cell>
          <cell r="AS109">
            <v>2.7E-2</v>
          </cell>
          <cell r="AT109">
            <v>8000</v>
          </cell>
          <cell r="AU109">
            <v>216</v>
          </cell>
          <cell r="AV109">
            <v>4.6300000000000001E-2</v>
          </cell>
          <cell r="AW109">
            <v>4.6300000000000001E-2</v>
          </cell>
          <cell r="AX109">
            <v>4.6300000000000001E-2</v>
          </cell>
          <cell r="AY109">
            <v>4.6300000000000001E-2</v>
          </cell>
          <cell r="AZ109">
            <v>4.6300000000000001E-2</v>
          </cell>
          <cell r="BA109">
            <v>4.6300000000000001E-2</v>
          </cell>
          <cell r="BB109">
            <v>4.6300000000000001E-2</v>
          </cell>
          <cell r="BC109">
            <v>4.6300000000000001E-2</v>
          </cell>
          <cell r="BD109">
            <v>4.6300000000000001E-2</v>
          </cell>
          <cell r="BE109">
            <v>4.6300000000000001E-2</v>
          </cell>
          <cell r="BF109">
            <v>4.6300000000000001E-2</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9</v>
          </cell>
          <cell r="CO109">
            <v>4.4711538461538458</v>
          </cell>
          <cell r="CP109">
            <v>4.4711538461538458</v>
          </cell>
          <cell r="CQ109">
            <v>4.4711538461538458</v>
          </cell>
          <cell r="CR109">
            <v>4.4711538461538458</v>
          </cell>
          <cell r="CS109">
            <v>4.4711538461538458</v>
          </cell>
          <cell r="CT109">
            <v>4.4711538461538458</v>
          </cell>
          <cell r="CU109">
            <v>4.4711538461538458</v>
          </cell>
          <cell r="CV109">
            <v>4.4711538461538458</v>
          </cell>
          <cell r="CW109">
            <v>4.4711538461538458</v>
          </cell>
          <cell r="CX109">
            <v>4.4711538461538458</v>
          </cell>
          <cell r="CY109">
            <v>4.4711538461538458</v>
          </cell>
          <cell r="CZ109">
            <v>4.6300000000000001E-2</v>
          </cell>
          <cell r="DA109">
            <v>4.6300000000000001E-2</v>
          </cell>
          <cell r="DB109">
            <v>4.6300000000000001E-2</v>
          </cell>
          <cell r="DC109">
            <v>4.6300000000000001E-2</v>
          </cell>
          <cell r="DD109">
            <v>4.6300000000000001E-2</v>
          </cell>
          <cell r="DE109">
            <v>4.6300000000000001E-2</v>
          </cell>
          <cell r="DF109">
            <v>4.6300000000000001E-2</v>
          </cell>
          <cell r="DG109">
            <v>4.6300000000000001E-2</v>
          </cell>
          <cell r="DH109">
            <v>4.6300000000000001E-2</v>
          </cell>
          <cell r="DI109">
            <v>4.6300000000000001E-2</v>
          </cell>
          <cell r="DJ109">
            <v>4.6300000000000001E-2</v>
          </cell>
        </row>
        <row r="110">
          <cell r="C110">
            <v>4005</v>
          </cell>
          <cell r="D110">
            <v>9015</v>
          </cell>
          <cell r="E110" t="str">
            <v>Transportation Motor Vehicle Mechanic Helper</v>
          </cell>
          <cell r="G110" t="str">
            <v>CBA2</v>
          </cell>
          <cell r="H110" t="str">
            <v>RFP CBA</v>
          </cell>
          <cell r="I110">
            <v>37752</v>
          </cell>
          <cell r="J110">
            <v>18.149999999999999</v>
          </cell>
          <cell r="K110">
            <v>3.75</v>
          </cell>
          <cell r="L110">
            <v>18.149999999999999</v>
          </cell>
          <cell r="M110">
            <v>18.149999999999999</v>
          </cell>
          <cell r="N110">
            <v>18.149999999999999</v>
          </cell>
          <cell r="O110">
            <v>18.149999999999999</v>
          </cell>
          <cell r="P110">
            <v>18.149999999999999</v>
          </cell>
          <cell r="Q110">
            <v>18.149999999999999</v>
          </cell>
          <cell r="R110">
            <v>18.149999999999999</v>
          </cell>
          <cell r="S110">
            <v>18.149999999999999</v>
          </cell>
          <cell r="T110">
            <v>18.149999999999999</v>
          </cell>
          <cell r="U110">
            <v>18.149999999999999</v>
          </cell>
          <cell r="V110">
            <v>18.149999999999999</v>
          </cell>
          <cell r="W110">
            <v>5.5</v>
          </cell>
          <cell r="X110">
            <v>5.5</v>
          </cell>
          <cell r="Y110">
            <v>5.5</v>
          </cell>
          <cell r="Z110">
            <v>5.5</v>
          </cell>
          <cell r="AA110">
            <v>5.5</v>
          </cell>
          <cell r="AB110">
            <v>5.5</v>
          </cell>
          <cell r="AC110">
            <v>5.5</v>
          </cell>
          <cell r="AD110">
            <v>5.5</v>
          </cell>
          <cell r="AE110">
            <v>5.5</v>
          </cell>
          <cell r="AF110">
            <v>5.5</v>
          </cell>
          <cell r="AG110">
            <v>5.5</v>
          </cell>
          <cell r="AH110">
            <v>3.75</v>
          </cell>
          <cell r="AI110">
            <v>3.75</v>
          </cell>
          <cell r="AJ110">
            <v>3.75</v>
          </cell>
          <cell r="AK110">
            <v>3.75</v>
          </cell>
          <cell r="AL110">
            <v>3.75</v>
          </cell>
          <cell r="AM110">
            <v>3.75</v>
          </cell>
          <cell r="AN110">
            <v>3.75</v>
          </cell>
          <cell r="AO110">
            <v>3.75</v>
          </cell>
          <cell r="AP110">
            <v>3.75</v>
          </cell>
          <cell r="AQ110">
            <v>3.75</v>
          </cell>
          <cell r="AR110">
            <v>3.75</v>
          </cell>
          <cell r="AS110">
            <v>2.7E-2</v>
          </cell>
          <cell r="AT110">
            <v>8000</v>
          </cell>
          <cell r="AU110">
            <v>216</v>
          </cell>
          <cell r="AV110">
            <v>4.6300000000000001E-2</v>
          </cell>
          <cell r="AW110">
            <v>4.6300000000000001E-2</v>
          </cell>
          <cell r="AX110">
            <v>4.6300000000000001E-2</v>
          </cell>
          <cell r="AY110">
            <v>4.6300000000000001E-2</v>
          </cell>
          <cell r="AZ110">
            <v>4.6300000000000001E-2</v>
          </cell>
          <cell r="BA110">
            <v>4.6300000000000001E-2</v>
          </cell>
          <cell r="BB110">
            <v>4.6300000000000001E-2</v>
          </cell>
          <cell r="BC110">
            <v>4.6300000000000001E-2</v>
          </cell>
          <cell r="BD110">
            <v>4.6300000000000001E-2</v>
          </cell>
          <cell r="BE110">
            <v>4.6300000000000001E-2</v>
          </cell>
          <cell r="BF110">
            <v>4.6300000000000001E-2</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9</v>
          </cell>
          <cell r="CO110">
            <v>4.4711538461538458</v>
          </cell>
          <cell r="CP110">
            <v>4.4711538461538458</v>
          </cell>
          <cell r="CQ110">
            <v>4.4711538461538458</v>
          </cell>
          <cell r="CR110">
            <v>4.4711538461538458</v>
          </cell>
          <cell r="CS110">
            <v>4.4711538461538458</v>
          </cell>
          <cell r="CT110">
            <v>4.4711538461538458</v>
          </cell>
          <cell r="CU110">
            <v>4.4711538461538458</v>
          </cell>
          <cell r="CV110">
            <v>4.4711538461538458</v>
          </cell>
          <cell r="CW110">
            <v>4.4711538461538458</v>
          </cell>
          <cell r="CX110">
            <v>4.4711538461538458</v>
          </cell>
          <cell r="CY110">
            <v>4.4711538461538458</v>
          </cell>
          <cell r="CZ110">
            <v>4.6300000000000001E-2</v>
          </cell>
          <cell r="DA110">
            <v>4.6300000000000001E-2</v>
          </cell>
          <cell r="DB110">
            <v>4.6300000000000001E-2</v>
          </cell>
          <cell r="DC110">
            <v>4.6300000000000001E-2</v>
          </cell>
          <cell r="DD110">
            <v>4.6300000000000001E-2</v>
          </cell>
          <cell r="DE110">
            <v>4.6300000000000001E-2</v>
          </cell>
          <cell r="DF110">
            <v>4.6300000000000001E-2</v>
          </cell>
          <cell r="DG110">
            <v>4.6300000000000001E-2</v>
          </cell>
          <cell r="DH110">
            <v>4.6300000000000001E-2</v>
          </cell>
          <cell r="DI110">
            <v>4.6300000000000001E-2</v>
          </cell>
          <cell r="DJ110">
            <v>4.6300000000000001E-2</v>
          </cell>
        </row>
        <row r="111">
          <cell r="C111">
            <v>4010</v>
          </cell>
          <cell r="D111">
            <v>9015</v>
          </cell>
          <cell r="E111" t="str">
            <v>Transportation Tools and Parts Attendant</v>
          </cell>
          <cell r="G111" t="str">
            <v>CBA2</v>
          </cell>
          <cell r="H111" t="str">
            <v>RFP CBA</v>
          </cell>
          <cell r="I111">
            <v>44075.200000000004</v>
          </cell>
          <cell r="J111">
            <v>21.19</v>
          </cell>
          <cell r="K111">
            <v>3.75</v>
          </cell>
          <cell r="L111">
            <v>21.19</v>
          </cell>
          <cell r="M111">
            <v>21.19</v>
          </cell>
          <cell r="N111">
            <v>21.19</v>
          </cell>
          <cell r="O111">
            <v>21.19</v>
          </cell>
          <cell r="P111">
            <v>21.19</v>
          </cell>
          <cell r="Q111">
            <v>21.19</v>
          </cell>
          <cell r="R111">
            <v>21.19</v>
          </cell>
          <cell r="S111">
            <v>21.19</v>
          </cell>
          <cell r="T111">
            <v>21.19</v>
          </cell>
          <cell r="U111">
            <v>21.19</v>
          </cell>
          <cell r="V111">
            <v>21.19</v>
          </cell>
          <cell r="W111">
            <v>5.5</v>
          </cell>
          <cell r="X111">
            <v>5.5</v>
          </cell>
          <cell r="Y111">
            <v>5.5</v>
          </cell>
          <cell r="Z111">
            <v>5.5</v>
          </cell>
          <cell r="AA111">
            <v>5.5</v>
          </cell>
          <cell r="AB111">
            <v>5.5</v>
          </cell>
          <cell r="AC111">
            <v>5.5</v>
          </cell>
          <cell r="AD111">
            <v>5.5</v>
          </cell>
          <cell r="AE111">
            <v>5.5</v>
          </cell>
          <cell r="AF111">
            <v>5.5</v>
          </cell>
          <cell r="AG111">
            <v>5.5</v>
          </cell>
          <cell r="AH111">
            <v>3.75</v>
          </cell>
          <cell r="AI111">
            <v>3.75</v>
          </cell>
          <cell r="AJ111">
            <v>3.75</v>
          </cell>
          <cell r="AK111">
            <v>3.75</v>
          </cell>
          <cell r="AL111">
            <v>3.75</v>
          </cell>
          <cell r="AM111">
            <v>3.75</v>
          </cell>
          <cell r="AN111">
            <v>3.75</v>
          </cell>
          <cell r="AO111">
            <v>3.75</v>
          </cell>
          <cell r="AP111">
            <v>3.75</v>
          </cell>
          <cell r="AQ111">
            <v>3.75</v>
          </cell>
          <cell r="AR111">
            <v>3.75</v>
          </cell>
          <cell r="AS111">
            <v>2.7E-2</v>
          </cell>
          <cell r="AT111">
            <v>8000</v>
          </cell>
          <cell r="AU111">
            <v>216</v>
          </cell>
          <cell r="AV111">
            <v>4.6300000000000001E-2</v>
          </cell>
          <cell r="AW111">
            <v>4.6300000000000001E-2</v>
          </cell>
          <cell r="AX111">
            <v>4.6300000000000001E-2</v>
          </cell>
          <cell r="AY111">
            <v>4.6300000000000001E-2</v>
          </cell>
          <cell r="AZ111">
            <v>4.6300000000000001E-2</v>
          </cell>
          <cell r="BA111">
            <v>4.6300000000000001E-2</v>
          </cell>
          <cell r="BB111">
            <v>4.6300000000000001E-2</v>
          </cell>
          <cell r="BC111">
            <v>4.6300000000000001E-2</v>
          </cell>
          <cell r="BD111">
            <v>4.6300000000000001E-2</v>
          </cell>
          <cell r="BE111">
            <v>4.6300000000000001E-2</v>
          </cell>
          <cell r="BF111">
            <v>4.6300000000000001E-2</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9</v>
          </cell>
          <cell r="CO111">
            <v>4.4711538461538458</v>
          </cell>
          <cell r="CP111">
            <v>4.4711538461538458</v>
          </cell>
          <cell r="CQ111">
            <v>4.4711538461538458</v>
          </cell>
          <cell r="CR111">
            <v>4.4711538461538458</v>
          </cell>
          <cell r="CS111">
            <v>4.4711538461538458</v>
          </cell>
          <cell r="CT111">
            <v>4.4711538461538458</v>
          </cell>
          <cell r="CU111">
            <v>4.4711538461538458</v>
          </cell>
          <cell r="CV111">
            <v>4.4711538461538458</v>
          </cell>
          <cell r="CW111">
            <v>4.4711538461538458</v>
          </cell>
          <cell r="CX111">
            <v>4.4711538461538458</v>
          </cell>
          <cell r="CY111">
            <v>4.4711538461538458</v>
          </cell>
          <cell r="CZ111">
            <v>4.6300000000000001E-2</v>
          </cell>
          <cell r="DA111">
            <v>4.6300000000000001E-2</v>
          </cell>
          <cell r="DB111">
            <v>4.6300000000000001E-2</v>
          </cell>
          <cell r="DC111">
            <v>4.6300000000000001E-2</v>
          </cell>
          <cell r="DD111">
            <v>4.6300000000000001E-2</v>
          </cell>
          <cell r="DE111">
            <v>4.6300000000000001E-2</v>
          </cell>
          <cell r="DF111">
            <v>4.6300000000000001E-2</v>
          </cell>
          <cell r="DG111">
            <v>4.6300000000000001E-2</v>
          </cell>
          <cell r="DH111">
            <v>4.6300000000000001E-2</v>
          </cell>
          <cell r="DI111">
            <v>4.6300000000000001E-2</v>
          </cell>
          <cell r="DJ111">
            <v>4.6300000000000001E-2</v>
          </cell>
        </row>
        <row r="112">
          <cell r="C112">
            <v>4015</v>
          </cell>
          <cell r="D112">
            <v>9015</v>
          </cell>
          <cell r="E112" t="str">
            <v>Transportation Heavy Equipment Mechanic</v>
          </cell>
          <cell r="G112" t="str">
            <v>CBA2</v>
          </cell>
          <cell r="H112" t="str">
            <v>RFP CBA</v>
          </cell>
          <cell r="I112">
            <v>55390.400000000001</v>
          </cell>
          <cell r="J112">
            <v>26.63</v>
          </cell>
          <cell r="K112">
            <v>3.75</v>
          </cell>
          <cell r="L112">
            <v>26.63</v>
          </cell>
          <cell r="M112">
            <v>26.63</v>
          </cell>
          <cell r="N112">
            <v>26.63</v>
          </cell>
          <cell r="O112">
            <v>26.63</v>
          </cell>
          <cell r="P112">
            <v>26.63</v>
          </cell>
          <cell r="Q112">
            <v>26.63</v>
          </cell>
          <cell r="R112">
            <v>26.63</v>
          </cell>
          <cell r="S112">
            <v>26.63</v>
          </cell>
          <cell r="T112">
            <v>26.63</v>
          </cell>
          <cell r="U112">
            <v>26.63</v>
          </cell>
          <cell r="V112">
            <v>26.63</v>
          </cell>
          <cell r="W112">
            <v>5.5</v>
          </cell>
          <cell r="X112">
            <v>5.5</v>
          </cell>
          <cell r="Y112">
            <v>5.5</v>
          </cell>
          <cell r="Z112">
            <v>5.5</v>
          </cell>
          <cell r="AA112">
            <v>5.5</v>
          </cell>
          <cell r="AB112">
            <v>5.5</v>
          </cell>
          <cell r="AC112">
            <v>5.5</v>
          </cell>
          <cell r="AD112">
            <v>5.5</v>
          </cell>
          <cell r="AE112">
            <v>5.5</v>
          </cell>
          <cell r="AF112">
            <v>5.5</v>
          </cell>
          <cell r="AG112">
            <v>5.5</v>
          </cell>
          <cell r="AH112">
            <v>3.75</v>
          </cell>
          <cell r="AI112">
            <v>3.75</v>
          </cell>
          <cell r="AJ112">
            <v>3.75</v>
          </cell>
          <cell r="AK112">
            <v>3.75</v>
          </cell>
          <cell r="AL112">
            <v>3.75</v>
          </cell>
          <cell r="AM112">
            <v>3.75</v>
          </cell>
          <cell r="AN112">
            <v>3.75</v>
          </cell>
          <cell r="AO112">
            <v>3.75</v>
          </cell>
          <cell r="AP112">
            <v>3.75</v>
          </cell>
          <cell r="AQ112">
            <v>3.75</v>
          </cell>
          <cell r="AR112">
            <v>3.75</v>
          </cell>
          <cell r="AS112">
            <v>2.7E-2</v>
          </cell>
          <cell r="AT112">
            <v>8000</v>
          </cell>
          <cell r="AU112">
            <v>216</v>
          </cell>
          <cell r="AV112">
            <v>4.6300000000000001E-2</v>
          </cell>
          <cell r="AW112">
            <v>4.6300000000000001E-2</v>
          </cell>
          <cell r="AX112">
            <v>4.6300000000000001E-2</v>
          </cell>
          <cell r="AY112">
            <v>4.6300000000000001E-2</v>
          </cell>
          <cell r="AZ112">
            <v>4.6300000000000001E-2</v>
          </cell>
          <cell r="BA112">
            <v>4.6300000000000001E-2</v>
          </cell>
          <cell r="BB112">
            <v>4.6300000000000001E-2</v>
          </cell>
          <cell r="BC112">
            <v>4.6300000000000001E-2</v>
          </cell>
          <cell r="BD112">
            <v>4.6300000000000001E-2</v>
          </cell>
          <cell r="BE112">
            <v>4.6300000000000001E-2</v>
          </cell>
          <cell r="BF112">
            <v>4.6300000000000001E-2</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9</v>
          </cell>
          <cell r="CO112">
            <v>4.4711538461538458</v>
          </cell>
          <cell r="CP112">
            <v>4.4711538461538458</v>
          </cell>
          <cell r="CQ112">
            <v>4.4711538461538458</v>
          </cell>
          <cell r="CR112">
            <v>4.4711538461538458</v>
          </cell>
          <cell r="CS112">
            <v>4.4711538461538458</v>
          </cell>
          <cell r="CT112">
            <v>4.4711538461538458</v>
          </cell>
          <cell r="CU112">
            <v>4.4711538461538458</v>
          </cell>
          <cell r="CV112">
            <v>4.4711538461538458</v>
          </cell>
          <cell r="CW112">
            <v>4.4711538461538458</v>
          </cell>
          <cell r="CX112">
            <v>4.4711538461538458</v>
          </cell>
          <cell r="CY112">
            <v>4.4711538461538458</v>
          </cell>
          <cell r="CZ112">
            <v>4.6300000000000001E-2</v>
          </cell>
          <cell r="DA112">
            <v>4.6300000000000001E-2</v>
          </cell>
          <cell r="DB112">
            <v>4.6300000000000001E-2</v>
          </cell>
          <cell r="DC112">
            <v>4.6300000000000001E-2</v>
          </cell>
          <cell r="DD112">
            <v>4.6300000000000001E-2</v>
          </cell>
          <cell r="DE112">
            <v>4.6300000000000001E-2</v>
          </cell>
          <cell r="DF112">
            <v>4.6300000000000001E-2</v>
          </cell>
          <cell r="DG112">
            <v>4.6300000000000001E-2</v>
          </cell>
          <cell r="DH112">
            <v>4.6300000000000001E-2</v>
          </cell>
          <cell r="DI112">
            <v>4.6300000000000001E-2</v>
          </cell>
          <cell r="DJ112">
            <v>4.6300000000000001E-2</v>
          </cell>
        </row>
        <row r="113">
          <cell r="C113">
            <v>4020</v>
          </cell>
          <cell r="D113">
            <v>9015</v>
          </cell>
          <cell r="E113" t="str">
            <v>Transportation Heavy Equipment Mechanic,  Inspector/Testor</v>
          </cell>
          <cell r="G113" t="str">
            <v>CBA2</v>
          </cell>
          <cell r="H113" t="str">
            <v>RFP CBA</v>
          </cell>
          <cell r="I113">
            <v>57387.199999999997</v>
          </cell>
          <cell r="J113">
            <v>27.59</v>
          </cell>
          <cell r="K113">
            <v>3.75</v>
          </cell>
          <cell r="L113">
            <v>27.59</v>
          </cell>
          <cell r="M113">
            <v>27.59</v>
          </cell>
          <cell r="N113">
            <v>27.59</v>
          </cell>
          <cell r="O113">
            <v>27.59</v>
          </cell>
          <cell r="P113">
            <v>27.59</v>
          </cell>
          <cell r="Q113">
            <v>27.59</v>
          </cell>
          <cell r="R113">
            <v>27.59</v>
          </cell>
          <cell r="S113">
            <v>27.59</v>
          </cell>
          <cell r="T113">
            <v>27.59</v>
          </cell>
          <cell r="U113">
            <v>27.59</v>
          </cell>
          <cell r="V113">
            <v>27.59</v>
          </cell>
          <cell r="W113">
            <v>5.5</v>
          </cell>
          <cell r="X113">
            <v>5.5</v>
          </cell>
          <cell r="Y113">
            <v>5.5</v>
          </cell>
          <cell r="Z113">
            <v>5.5</v>
          </cell>
          <cell r="AA113">
            <v>5.5</v>
          </cell>
          <cell r="AB113">
            <v>5.5</v>
          </cell>
          <cell r="AC113">
            <v>5.5</v>
          </cell>
          <cell r="AD113">
            <v>5.5</v>
          </cell>
          <cell r="AE113">
            <v>5.5</v>
          </cell>
          <cell r="AF113">
            <v>5.5</v>
          </cell>
          <cell r="AG113">
            <v>5.5</v>
          </cell>
          <cell r="AH113">
            <v>3.75</v>
          </cell>
          <cell r="AI113">
            <v>3.75</v>
          </cell>
          <cell r="AJ113">
            <v>3.75</v>
          </cell>
          <cell r="AK113">
            <v>3.75</v>
          </cell>
          <cell r="AL113">
            <v>3.75</v>
          </cell>
          <cell r="AM113">
            <v>3.75</v>
          </cell>
          <cell r="AN113">
            <v>3.75</v>
          </cell>
          <cell r="AO113">
            <v>3.75</v>
          </cell>
          <cell r="AP113">
            <v>3.75</v>
          </cell>
          <cell r="AQ113">
            <v>3.75</v>
          </cell>
          <cell r="AR113">
            <v>3.75</v>
          </cell>
          <cell r="AS113">
            <v>2.7E-2</v>
          </cell>
          <cell r="AT113">
            <v>8000</v>
          </cell>
          <cell r="AU113">
            <v>216</v>
          </cell>
          <cell r="AV113">
            <v>4.6300000000000001E-2</v>
          </cell>
          <cell r="AW113">
            <v>4.6300000000000001E-2</v>
          </cell>
          <cell r="AX113">
            <v>4.6300000000000001E-2</v>
          </cell>
          <cell r="AY113">
            <v>4.6300000000000001E-2</v>
          </cell>
          <cell r="AZ113">
            <v>4.6300000000000001E-2</v>
          </cell>
          <cell r="BA113">
            <v>4.6300000000000001E-2</v>
          </cell>
          <cell r="BB113">
            <v>4.6300000000000001E-2</v>
          </cell>
          <cell r="BC113">
            <v>4.6300000000000001E-2</v>
          </cell>
          <cell r="BD113">
            <v>4.6300000000000001E-2</v>
          </cell>
          <cell r="BE113">
            <v>4.6300000000000001E-2</v>
          </cell>
          <cell r="BF113">
            <v>4.6300000000000001E-2</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9</v>
          </cell>
          <cell r="CO113">
            <v>4.4711538461538458</v>
          </cell>
          <cell r="CP113">
            <v>4.4711538461538458</v>
          </cell>
          <cell r="CQ113">
            <v>4.4711538461538458</v>
          </cell>
          <cell r="CR113">
            <v>4.4711538461538458</v>
          </cell>
          <cell r="CS113">
            <v>4.4711538461538458</v>
          </cell>
          <cell r="CT113">
            <v>4.4711538461538458</v>
          </cell>
          <cell r="CU113">
            <v>4.4711538461538458</v>
          </cell>
          <cell r="CV113">
            <v>4.4711538461538458</v>
          </cell>
          <cell r="CW113">
            <v>4.4711538461538458</v>
          </cell>
          <cell r="CX113">
            <v>4.4711538461538458</v>
          </cell>
          <cell r="CY113">
            <v>4.4711538461538458</v>
          </cell>
          <cell r="CZ113">
            <v>4.6300000000000001E-2</v>
          </cell>
          <cell r="DA113">
            <v>4.6300000000000001E-2</v>
          </cell>
          <cell r="DB113">
            <v>4.6300000000000001E-2</v>
          </cell>
          <cell r="DC113">
            <v>4.6300000000000001E-2</v>
          </cell>
          <cell r="DD113">
            <v>4.6300000000000001E-2</v>
          </cell>
          <cell r="DE113">
            <v>4.6300000000000001E-2</v>
          </cell>
          <cell r="DF113">
            <v>4.6300000000000001E-2</v>
          </cell>
          <cell r="DG113">
            <v>4.6300000000000001E-2</v>
          </cell>
          <cell r="DH113">
            <v>4.6300000000000001E-2</v>
          </cell>
          <cell r="DI113">
            <v>4.6300000000000001E-2</v>
          </cell>
          <cell r="DJ113">
            <v>4.6300000000000001E-2</v>
          </cell>
        </row>
        <row r="114">
          <cell r="C114">
            <v>4025</v>
          </cell>
          <cell r="D114">
            <v>9015</v>
          </cell>
          <cell r="E114" t="str">
            <v>Transportation Tractor Trailer Driver</v>
          </cell>
          <cell r="G114" t="str">
            <v>CBA2</v>
          </cell>
          <cell r="H114" t="str">
            <v>RFP CBA</v>
          </cell>
          <cell r="I114">
            <v>58156.800000000003</v>
          </cell>
          <cell r="J114">
            <v>27.96</v>
          </cell>
          <cell r="K114">
            <v>3.75</v>
          </cell>
          <cell r="L114">
            <v>27.96</v>
          </cell>
          <cell r="M114">
            <v>27.96</v>
          </cell>
          <cell r="N114">
            <v>27.96</v>
          </cell>
          <cell r="O114">
            <v>27.96</v>
          </cell>
          <cell r="P114">
            <v>27.96</v>
          </cell>
          <cell r="Q114">
            <v>27.96</v>
          </cell>
          <cell r="R114">
            <v>27.96</v>
          </cell>
          <cell r="S114">
            <v>27.96</v>
          </cell>
          <cell r="T114">
            <v>27.96</v>
          </cell>
          <cell r="U114">
            <v>27.96</v>
          </cell>
          <cell r="V114">
            <v>27.96</v>
          </cell>
          <cell r="W114">
            <v>5.5</v>
          </cell>
          <cell r="X114">
            <v>5.5</v>
          </cell>
          <cell r="Y114">
            <v>5.5</v>
          </cell>
          <cell r="Z114">
            <v>5.5</v>
          </cell>
          <cell r="AA114">
            <v>5.5</v>
          </cell>
          <cell r="AB114">
            <v>5.5</v>
          </cell>
          <cell r="AC114">
            <v>5.5</v>
          </cell>
          <cell r="AD114">
            <v>5.5</v>
          </cell>
          <cell r="AE114">
            <v>5.5</v>
          </cell>
          <cell r="AF114">
            <v>5.5</v>
          </cell>
          <cell r="AG114">
            <v>5.5</v>
          </cell>
          <cell r="AH114">
            <v>3.75</v>
          </cell>
          <cell r="AI114">
            <v>3.75</v>
          </cell>
          <cell r="AJ114">
            <v>3.75</v>
          </cell>
          <cell r="AK114">
            <v>3.75</v>
          </cell>
          <cell r="AL114">
            <v>3.75</v>
          </cell>
          <cell r="AM114">
            <v>3.75</v>
          </cell>
          <cell r="AN114">
            <v>3.75</v>
          </cell>
          <cell r="AO114">
            <v>3.75</v>
          </cell>
          <cell r="AP114">
            <v>3.75</v>
          </cell>
          <cell r="AQ114">
            <v>3.75</v>
          </cell>
          <cell r="AR114">
            <v>3.75</v>
          </cell>
          <cell r="AS114">
            <v>2.7E-2</v>
          </cell>
          <cell r="AT114">
            <v>8000</v>
          </cell>
          <cell r="AU114">
            <v>216</v>
          </cell>
          <cell r="AV114">
            <v>4.6300000000000001E-2</v>
          </cell>
          <cell r="AW114">
            <v>4.6300000000000001E-2</v>
          </cell>
          <cell r="AX114">
            <v>4.6300000000000001E-2</v>
          </cell>
          <cell r="AY114">
            <v>4.6300000000000001E-2</v>
          </cell>
          <cell r="AZ114">
            <v>4.6300000000000001E-2</v>
          </cell>
          <cell r="BA114">
            <v>4.6300000000000001E-2</v>
          </cell>
          <cell r="BB114">
            <v>4.6300000000000001E-2</v>
          </cell>
          <cell r="BC114">
            <v>4.6300000000000001E-2</v>
          </cell>
          <cell r="BD114">
            <v>4.6300000000000001E-2</v>
          </cell>
          <cell r="BE114">
            <v>4.6300000000000001E-2</v>
          </cell>
          <cell r="BF114">
            <v>4.6300000000000001E-2</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9</v>
          </cell>
          <cell r="CO114">
            <v>4.4711538461538458</v>
          </cell>
          <cell r="CP114">
            <v>4.4711538461538458</v>
          </cell>
          <cell r="CQ114">
            <v>4.4711538461538458</v>
          </cell>
          <cell r="CR114">
            <v>4.4711538461538458</v>
          </cell>
          <cell r="CS114">
            <v>4.4711538461538458</v>
          </cell>
          <cell r="CT114">
            <v>4.4711538461538458</v>
          </cell>
          <cell r="CU114">
            <v>4.4711538461538458</v>
          </cell>
          <cell r="CV114">
            <v>4.4711538461538458</v>
          </cell>
          <cell r="CW114">
            <v>4.4711538461538458</v>
          </cell>
          <cell r="CX114">
            <v>4.4711538461538458</v>
          </cell>
          <cell r="CY114">
            <v>4.4711538461538458</v>
          </cell>
          <cell r="CZ114">
            <v>4.6300000000000001E-2</v>
          </cell>
          <cell r="DA114">
            <v>4.6300000000000001E-2</v>
          </cell>
          <cell r="DB114">
            <v>4.6300000000000001E-2</v>
          </cell>
          <cell r="DC114">
            <v>4.6300000000000001E-2</v>
          </cell>
          <cell r="DD114">
            <v>4.6300000000000001E-2</v>
          </cell>
          <cell r="DE114">
            <v>4.6300000000000001E-2</v>
          </cell>
          <cell r="DF114">
            <v>4.6300000000000001E-2</v>
          </cell>
          <cell r="DG114">
            <v>4.6300000000000001E-2</v>
          </cell>
          <cell r="DH114">
            <v>4.6300000000000001E-2</v>
          </cell>
          <cell r="DI114">
            <v>4.6300000000000001E-2</v>
          </cell>
          <cell r="DJ114">
            <v>4.6300000000000001E-2</v>
          </cell>
        </row>
        <row r="115">
          <cell r="C115">
            <v>4030</v>
          </cell>
          <cell r="D115">
            <v>9015</v>
          </cell>
          <cell r="E115" t="str">
            <v>Transportation Material Coordinator</v>
          </cell>
          <cell r="G115" t="str">
            <v>CBA2</v>
          </cell>
          <cell r="H115" t="str">
            <v>RFP CBA</v>
          </cell>
          <cell r="I115">
            <v>49649.599999999999</v>
          </cell>
          <cell r="J115">
            <v>23.87</v>
          </cell>
          <cell r="K115">
            <v>3.75</v>
          </cell>
          <cell r="L115">
            <v>23.87</v>
          </cell>
          <cell r="M115">
            <v>23.87</v>
          </cell>
          <cell r="N115">
            <v>23.87</v>
          </cell>
          <cell r="O115">
            <v>23.87</v>
          </cell>
          <cell r="P115">
            <v>23.87</v>
          </cell>
          <cell r="Q115">
            <v>23.87</v>
          </cell>
          <cell r="R115">
            <v>23.87</v>
          </cell>
          <cell r="S115">
            <v>23.87</v>
          </cell>
          <cell r="T115">
            <v>23.87</v>
          </cell>
          <cell r="U115">
            <v>23.87</v>
          </cell>
          <cell r="V115">
            <v>23.87</v>
          </cell>
          <cell r="W115">
            <v>5.5</v>
          </cell>
          <cell r="X115">
            <v>5.5</v>
          </cell>
          <cell r="Y115">
            <v>5.5</v>
          </cell>
          <cell r="Z115">
            <v>5.5</v>
          </cell>
          <cell r="AA115">
            <v>5.5</v>
          </cell>
          <cell r="AB115">
            <v>5.5</v>
          </cell>
          <cell r="AC115">
            <v>5.5</v>
          </cell>
          <cell r="AD115">
            <v>5.5</v>
          </cell>
          <cell r="AE115">
            <v>5.5</v>
          </cell>
          <cell r="AF115">
            <v>5.5</v>
          </cell>
          <cell r="AG115">
            <v>5.5</v>
          </cell>
          <cell r="AH115">
            <v>3.75</v>
          </cell>
          <cell r="AI115">
            <v>3.75</v>
          </cell>
          <cell r="AJ115">
            <v>3.75</v>
          </cell>
          <cell r="AK115">
            <v>3.75</v>
          </cell>
          <cell r="AL115">
            <v>3.75</v>
          </cell>
          <cell r="AM115">
            <v>3.75</v>
          </cell>
          <cell r="AN115">
            <v>3.75</v>
          </cell>
          <cell r="AO115">
            <v>3.75</v>
          </cell>
          <cell r="AP115">
            <v>3.75</v>
          </cell>
          <cell r="AQ115">
            <v>3.75</v>
          </cell>
          <cell r="AR115">
            <v>3.75</v>
          </cell>
          <cell r="AS115">
            <v>2.7E-2</v>
          </cell>
          <cell r="AT115">
            <v>8000</v>
          </cell>
          <cell r="AU115">
            <v>216</v>
          </cell>
          <cell r="AV115">
            <v>4.6300000000000001E-2</v>
          </cell>
          <cell r="AW115">
            <v>4.6300000000000001E-2</v>
          </cell>
          <cell r="AX115">
            <v>4.6300000000000001E-2</v>
          </cell>
          <cell r="AY115">
            <v>4.6300000000000001E-2</v>
          </cell>
          <cell r="AZ115">
            <v>4.6300000000000001E-2</v>
          </cell>
          <cell r="BA115">
            <v>4.6300000000000001E-2</v>
          </cell>
          <cell r="BB115">
            <v>4.6300000000000001E-2</v>
          </cell>
          <cell r="BC115">
            <v>4.6300000000000001E-2</v>
          </cell>
          <cell r="BD115">
            <v>4.6300000000000001E-2</v>
          </cell>
          <cell r="BE115">
            <v>4.6300000000000001E-2</v>
          </cell>
          <cell r="BF115">
            <v>4.6300000000000001E-2</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9</v>
          </cell>
          <cell r="CO115">
            <v>4.4711538461538458</v>
          </cell>
          <cell r="CP115">
            <v>4.4711538461538458</v>
          </cell>
          <cell r="CQ115">
            <v>4.4711538461538458</v>
          </cell>
          <cell r="CR115">
            <v>4.4711538461538458</v>
          </cell>
          <cell r="CS115">
            <v>4.4711538461538458</v>
          </cell>
          <cell r="CT115">
            <v>4.4711538461538458</v>
          </cell>
          <cell r="CU115">
            <v>4.4711538461538458</v>
          </cell>
          <cell r="CV115">
            <v>4.4711538461538458</v>
          </cell>
          <cell r="CW115">
            <v>4.4711538461538458</v>
          </cell>
          <cell r="CX115">
            <v>4.4711538461538458</v>
          </cell>
          <cell r="CY115">
            <v>4.4711538461538458</v>
          </cell>
          <cell r="CZ115">
            <v>4.6300000000000001E-2</v>
          </cell>
          <cell r="DA115">
            <v>4.6300000000000001E-2</v>
          </cell>
          <cell r="DB115">
            <v>4.6300000000000001E-2</v>
          </cell>
          <cell r="DC115">
            <v>4.6300000000000001E-2</v>
          </cell>
          <cell r="DD115">
            <v>4.6300000000000001E-2</v>
          </cell>
          <cell r="DE115">
            <v>4.6300000000000001E-2</v>
          </cell>
          <cell r="DF115">
            <v>4.6300000000000001E-2</v>
          </cell>
          <cell r="DG115">
            <v>4.6300000000000001E-2</v>
          </cell>
          <cell r="DH115">
            <v>4.6300000000000001E-2</v>
          </cell>
          <cell r="DI115">
            <v>4.6300000000000001E-2</v>
          </cell>
          <cell r="DJ115">
            <v>4.6300000000000001E-2</v>
          </cell>
        </row>
        <row r="116">
          <cell r="C116">
            <v>4035</v>
          </cell>
          <cell r="D116">
            <v>9015</v>
          </cell>
          <cell r="E116" t="str">
            <v>Transportation Bus Driver</v>
          </cell>
          <cell r="G116" t="str">
            <v>CBA2</v>
          </cell>
          <cell r="H116" t="str">
            <v>RFP CBA</v>
          </cell>
          <cell r="I116">
            <v>45656</v>
          </cell>
          <cell r="J116">
            <v>21.95</v>
          </cell>
          <cell r="K116">
            <v>3.75</v>
          </cell>
          <cell r="L116">
            <v>21.95</v>
          </cell>
          <cell r="M116">
            <v>21.95</v>
          </cell>
          <cell r="N116">
            <v>21.95</v>
          </cell>
          <cell r="O116">
            <v>21.95</v>
          </cell>
          <cell r="P116">
            <v>21.95</v>
          </cell>
          <cell r="Q116">
            <v>21.95</v>
          </cell>
          <cell r="R116">
            <v>21.95</v>
          </cell>
          <cell r="S116">
            <v>21.95</v>
          </cell>
          <cell r="T116">
            <v>21.95</v>
          </cell>
          <cell r="U116">
            <v>21.95</v>
          </cell>
          <cell r="V116">
            <v>21.95</v>
          </cell>
          <cell r="W116">
            <v>5.5</v>
          </cell>
          <cell r="X116">
            <v>5.5</v>
          </cell>
          <cell r="Y116">
            <v>5.5</v>
          </cell>
          <cell r="Z116">
            <v>5.5</v>
          </cell>
          <cell r="AA116">
            <v>5.5</v>
          </cell>
          <cell r="AB116">
            <v>5.5</v>
          </cell>
          <cell r="AC116">
            <v>5.5</v>
          </cell>
          <cell r="AD116">
            <v>5.5</v>
          </cell>
          <cell r="AE116">
            <v>5.5</v>
          </cell>
          <cell r="AF116">
            <v>5.5</v>
          </cell>
          <cell r="AG116">
            <v>5.5</v>
          </cell>
          <cell r="AH116">
            <v>3.75</v>
          </cell>
          <cell r="AI116">
            <v>3.75</v>
          </cell>
          <cell r="AJ116">
            <v>3.75</v>
          </cell>
          <cell r="AK116">
            <v>3.75</v>
          </cell>
          <cell r="AL116">
            <v>3.75</v>
          </cell>
          <cell r="AM116">
            <v>3.75</v>
          </cell>
          <cell r="AN116">
            <v>3.75</v>
          </cell>
          <cell r="AO116">
            <v>3.75</v>
          </cell>
          <cell r="AP116">
            <v>3.75</v>
          </cell>
          <cell r="AQ116">
            <v>3.75</v>
          </cell>
          <cell r="AR116">
            <v>3.75</v>
          </cell>
          <cell r="AS116">
            <v>2.7E-2</v>
          </cell>
          <cell r="AT116">
            <v>8000</v>
          </cell>
          <cell r="AU116">
            <v>216</v>
          </cell>
          <cell r="AV116">
            <v>4.6300000000000001E-2</v>
          </cell>
          <cell r="AW116">
            <v>4.6300000000000001E-2</v>
          </cell>
          <cell r="AX116">
            <v>4.6300000000000001E-2</v>
          </cell>
          <cell r="AY116">
            <v>4.6300000000000001E-2</v>
          </cell>
          <cell r="AZ116">
            <v>4.6300000000000001E-2</v>
          </cell>
          <cell r="BA116">
            <v>4.6300000000000001E-2</v>
          </cell>
          <cell r="BB116">
            <v>4.6300000000000001E-2</v>
          </cell>
          <cell r="BC116">
            <v>4.6300000000000001E-2</v>
          </cell>
          <cell r="BD116">
            <v>4.6300000000000001E-2</v>
          </cell>
          <cell r="BE116">
            <v>4.6300000000000001E-2</v>
          </cell>
          <cell r="BF116">
            <v>4.6300000000000001E-2</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9</v>
          </cell>
          <cell r="CO116">
            <v>4.4711538461538458</v>
          </cell>
          <cell r="CP116">
            <v>4.4711538461538458</v>
          </cell>
          <cell r="CQ116">
            <v>4.4711538461538458</v>
          </cell>
          <cell r="CR116">
            <v>4.4711538461538458</v>
          </cell>
          <cell r="CS116">
            <v>4.4711538461538458</v>
          </cell>
          <cell r="CT116">
            <v>4.4711538461538458</v>
          </cell>
          <cell r="CU116">
            <v>4.4711538461538458</v>
          </cell>
          <cell r="CV116">
            <v>4.4711538461538458</v>
          </cell>
          <cell r="CW116">
            <v>4.4711538461538458</v>
          </cell>
          <cell r="CX116">
            <v>4.4711538461538458</v>
          </cell>
          <cell r="CY116">
            <v>4.4711538461538458</v>
          </cell>
          <cell r="CZ116">
            <v>4.6300000000000001E-2</v>
          </cell>
          <cell r="DA116">
            <v>4.6300000000000001E-2</v>
          </cell>
          <cell r="DB116">
            <v>4.6300000000000001E-2</v>
          </cell>
          <cell r="DC116">
            <v>4.6300000000000001E-2</v>
          </cell>
          <cell r="DD116">
            <v>4.6300000000000001E-2</v>
          </cell>
          <cell r="DE116">
            <v>4.6300000000000001E-2</v>
          </cell>
          <cell r="DF116">
            <v>4.6300000000000001E-2</v>
          </cell>
          <cell r="DG116">
            <v>4.6300000000000001E-2</v>
          </cell>
          <cell r="DH116">
            <v>4.6300000000000001E-2</v>
          </cell>
          <cell r="DI116">
            <v>4.6300000000000001E-2</v>
          </cell>
          <cell r="DJ116">
            <v>4.6300000000000001E-2</v>
          </cell>
        </row>
        <row r="117">
          <cell r="C117">
            <v>4040</v>
          </cell>
          <cell r="D117">
            <v>9015</v>
          </cell>
          <cell r="E117" t="str">
            <v>Transportation Shuttle Bus Driver</v>
          </cell>
          <cell r="G117" t="str">
            <v>CBA2</v>
          </cell>
          <cell r="H117" t="str">
            <v>RFP CBA</v>
          </cell>
          <cell r="I117">
            <v>40747.199999999997</v>
          </cell>
          <cell r="J117">
            <v>19.59</v>
          </cell>
          <cell r="K117">
            <v>3.75</v>
          </cell>
          <cell r="L117">
            <v>19.59</v>
          </cell>
          <cell r="M117">
            <v>19.59</v>
          </cell>
          <cell r="N117">
            <v>19.59</v>
          </cell>
          <cell r="O117">
            <v>19.59</v>
          </cell>
          <cell r="P117">
            <v>19.59</v>
          </cell>
          <cell r="Q117">
            <v>19.59</v>
          </cell>
          <cell r="R117">
            <v>19.59</v>
          </cell>
          <cell r="S117">
            <v>19.59</v>
          </cell>
          <cell r="T117">
            <v>19.59</v>
          </cell>
          <cell r="U117">
            <v>19.59</v>
          </cell>
          <cell r="V117">
            <v>19.59</v>
          </cell>
          <cell r="W117">
            <v>5.5</v>
          </cell>
          <cell r="X117">
            <v>5.5</v>
          </cell>
          <cell r="Y117">
            <v>5.5</v>
          </cell>
          <cell r="Z117">
            <v>5.5</v>
          </cell>
          <cell r="AA117">
            <v>5.5</v>
          </cell>
          <cell r="AB117">
            <v>5.5</v>
          </cell>
          <cell r="AC117">
            <v>5.5</v>
          </cell>
          <cell r="AD117">
            <v>5.5</v>
          </cell>
          <cell r="AE117">
            <v>5.5</v>
          </cell>
          <cell r="AF117">
            <v>5.5</v>
          </cell>
          <cell r="AG117">
            <v>5.5</v>
          </cell>
          <cell r="AH117">
            <v>3.75</v>
          </cell>
          <cell r="AI117">
            <v>3.75</v>
          </cell>
          <cell r="AJ117">
            <v>3.75</v>
          </cell>
          <cell r="AK117">
            <v>3.75</v>
          </cell>
          <cell r="AL117">
            <v>3.75</v>
          </cell>
          <cell r="AM117">
            <v>3.75</v>
          </cell>
          <cell r="AN117">
            <v>3.75</v>
          </cell>
          <cell r="AO117">
            <v>3.75</v>
          </cell>
          <cell r="AP117">
            <v>3.75</v>
          </cell>
          <cell r="AQ117">
            <v>3.75</v>
          </cell>
          <cell r="AR117">
            <v>3.75</v>
          </cell>
          <cell r="AS117">
            <v>2.7E-2</v>
          </cell>
          <cell r="AT117">
            <v>8000</v>
          </cell>
          <cell r="AU117">
            <v>216</v>
          </cell>
          <cell r="AV117">
            <v>4.6300000000000001E-2</v>
          </cell>
          <cell r="AW117">
            <v>4.6300000000000001E-2</v>
          </cell>
          <cell r="AX117">
            <v>4.6300000000000001E-2</v>
          </cell>
          <cell r="AY117">
            <v>4.6300000000000001E-2</v>
          </cell>
          <cell r="AZ117">
            <v>4.6300000000000001E-2</v>
          </cell>
          <cell r="BA117">
            <v>4.6300000000000001E-2</v>
          </cell>
          <cell r="BB117">
            <v>4.6300000000000001E-2</v>
          </cell>
          <cell r="BC117">
            <v>4.6300000000000001E-2</v>
          </cell>
          <cell r="BD117">
            <v>4.6300000000000001E-2</v>
          </cell>
          <cell r="BE117">
            <v>4.6300000000000001E-2</v>
          </cell>
          <cell r="BF117">
            <v>4.6300000000000001E-2</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9</v>
          </cell>
          <cell r="CO117">
            <v>4.4711538461538458</v>
          </cell>
          <cell r="CP117">
            <v>4.4711538461538458</v>
          </cell>
          <cell r="CQ117">
            <v>4.4711538461538458</v>
          </cell>
          <cell r="CR117">
            <v>4.4711538461538458</v>
          </cell>
          <cell r="CS117">
            <v>4.4711538461538458</v>
          </cell>
          <cell r="CT117">
            <v>4.4711538461538458</v>
          </cell>
          <cell r="CU117">
            <v>4.4711538461538458</v>
          </cell>
          <cell r="CV117">
            <v>4.4711538461538458</v>
          </cell>
          <cell r="CW117">
            <v>4.4711538461538458</v>
          </cell>
          <cell r="CX117">
            <v>4.4711538461538458</v>
          </cell>
          <cell r="CY117">
            <v>4.4711538461538458</v>
          </cell>
          <cell r="CZ117">
            <v>4.6300000000000001E-2</v>
          </cell>
          <cell r="DA117">
            <v>4.6300000000000001E-2</v>
          </cell>
          <cell r="DB117">
            <v>4.6300000000000001E-2</v>
          </cell>
          <cell r="DC117">
            <v>4.6300000000000001E-2</v>
          </cell>
          <cell r="DD117">
            <v>4.6300000000000001E-2</v>
          </cell>
          <cell r="DE117">
            <v>4.6300000000000001E-2</v>
          </cell>
          <cell r="DF117">
            <v>4.6300000000000001E-2</v>
          </cell>
          <cell r="DG117">
            <v>4.6300000000000001E-2</v>
          </cell>
          <cell r="DH117">
            <v>4.6300000000000001E-2</v>
          </cell>
          <cell r="DI117">
            <v>4.6300000000000001E-2</v>
          </cell>
          <cell r="DJ117">
            <v>4.6300000000000001E-2</v>
          </cell>
        </row>
        <row r="118">
          <cell r="C118">
            <v>4045</v>
          </cell>
          <cell r="D118">
            <v>9015</v>
          </cell>
          <cell r="E118" t="str">
            <v>Transportation Motor Vehicle Mechanic</v>
          </cell>
          <cell r="G118" t="str">
            <v>CBA2</v>
          </cell>
          <cell r="H118" t="str">
            <v>RFP CBA</v>
          </cell>
          <cell r="I118">
            <v>54038.400000000001</v>
          </cell>
          <cell r="J118">
            <v>25.98</v>
          </cell>
          <cell r="K118">
            <v>3.75</v>
          </cell>
          <cell r="L118">
            <v>25.98</v>
          </cell>
          <cell r="M118">
            <v>25.98</v>
          </cell>
          <cell r="N118">
            <v>25.98</v>
          </cell>
          <cell r="O118">
            <v>25.98</v>
          </cell>
          <cell r="P118">
            <v>25.98</v>
          </cell>
          <cell r="Q118">
            <v>25.98</v>
          </cell>
          <cell r="R118">
            <v>25.98</v>
          </cell>
          <cell r="S118">
            <v>25.98</v>
          </cell>
          <cell r="T118">
            <v>25.98</v>
          </cell>
          <cell r="U118">
            <v>25.98</v>
          </cell>
          <cell r="V118">
            <v>25.98</v>
          </cell>
          <cell r="W118">
            <v>5.5</v>
          </cell>
          <cell r="X118">
            <v>5.5</v>
          </cell>
          <cell r="Y118">
            <v>5.5</v>
          </cell>
          <cell r="Z118">
            <v>5.5</v>
          </cell>
          <cell r="AA118">
            <v>5.5</v>
          </cell>
          <cell r="AB118">
            <v>5.5</v>
          </cell>
          <cell r="AC118">
            <v>5.5</v>
          </cell>
          <cell r="AD118">
            <v>5.5</v>
          </cell>
          <cell r="AE118">
            <v>5.5</v>
          </cell>
          <cell r="AF118">
            <v>5.5</v>
          </cell>
          <cell r="AG118">
            <v>5.5</v>
          </cell>
          <cell r="AH118">
            <v>3.75</v>
          </cell>
          <cell r="AI118">
            <v>3.75</v>
          </cell>
          <cell r="AJ118">
            <v>3.75</v>
          </cell>
          <cell r="AK118">
            <v>3.75</v>
          </cell>
          <cell r="AL118">
            <v>3.75</v>
          </cell>
          <cell r="AM118">
            <v>3.75</v>
          </cell>
          <cell r="AN118">
            <v>3.75</v>
          </cell>
          <cell r="AO118">
            <v>3.75</v>
          </cell>
          <cell r="AP118">
            <v>3.75</v>
          </cell>
          <cell r="AQ118">
            <v>3.75</v>
          </cell>
          <cell r="AR118">
            <v>3.75</v>
          </cell>
          <cell r="AS118">
            <v>2.7E-2</v>
          </cell>
          <cell r="AT118">
            <v>8000</v>
          </cell>
          <cell r="AU118">
            <v>216</v>
          </cell>
          <cell r="AV118">
            <v>4.6300000000000001E-2</v>
          </cell>
          <cell r="AW118">
            <v>4.6300000000000001E-2</v>
          </cell>
          <cell r="AX118">
            <v>4.6300000000000001E-2</v>
          </cell>
          <cell r="AY118">
            <v>4.6300000000000001E-2</v>
          </cell>
          <cell r="AZ118">
            <v>4.6300000000000001E-2</v>
          </cell>
          <cell r="BA118">
            <v>4.6300000000000001E-2</v>
          </cell>
          <cell r="BB118">
            <v>4.6300000000000001E-2</v>
          </cell>
          <cell r="BC118">
            <v>4.6300000000000001E-2</v>
          </cell>
          <cell r="BD118">
            <v>4.6300000000000001E-2</v>
          </cell>
          <cell r="BE118">
            <v>4.6300000000000001E-2</v>
          </cell>
          <cell r="BF118">
            <v>4.6300000000000001E-2</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9</v>
          </cell>
          <cell r="CO118">
            <v>4.4711538461538458</v>
          </cell>
          <cell r="CP118">
            <v>4.4711538461538458</v>
          </cell>
          <cell r="CQ118">
            <v>4.4711538461538458</v>
          </cell>
          <cell r="CR118">
            <v>4.4711538461538458</v>
          </cell>
          <cell r="CS118">
            <v>4.4711538461538458</v>
          </cell>
          <cell r="CT118">
            <v>4.4711538461538458</v>
          </cell>
          <cell r="CU118">
            <v>4.4711538461538458</v>
          </cell>
          <cell r="CV118">
            <v>4.4711538461538458</v>
          </cell>
          <cell r="CW118">
            <v>4.4711538461538458</v>
          </cell>
          <cell r="CX118">
            <v>4.4711538461538458</v>
          </cell>
          <cell r="CY118">
            <v>4.4711538461538458</v>
          </cell>
          <cell r="CZ118">
            <v>4.6300000000000001E-2</v>
          </cell>
          <cell r="DA118">
            <v>4.6300000000000001E-2</v>
          </cell>
          <cell r="DB118">
            <v>4.6300000000000001E-2</v>
          </cell>
          <cell r="DC118">
            <v>4.6300000000000001E-2</v>
          </cell>
          <cell r="DD118">
            <v>4.6300000000000001E-2</v>
          </cell>
          <cell r="DE118">
            <v>4.6300000000000001E-2</v>
          </cell>
          <cell r="DF118">
            <v>4.6300000000000001E-2</v>
          </cell>
          <cell r="DG118">
            <v>4.6300000000000001E-2</v>
          </cell>
          <cell r="DH118">
            <v>4.6300000000000001E-2</v>
          </cell>
          <cell r="DI118">
            <v>4.6300000000000001E-2</v>
          </cell>
          <cell r="DJ118">
            <v>4.6300000000000001E-2</v>
          </cell>
        </row>
        <row r="119">
          <cell r="C119">
            <v>4050</v>
          </cell>
          <cell r="D119">
            <v>9015</v>
          </cell>
          <cell r="E119" t="str">
            <v>Transportation Automotive Worker</v>
          </cell>
          <cell r="G119" t="str">
            <v>CBA2</v>
          </cell>
          <cell r="H119" t="str">
            <v>RFP CBA</v>
          </cell>
          <cell r="I119">
            <v>47528</v>
          </cell>
          <cell r="J119">
            <v>22.85</v>
          </cell>
          <cell r="K119">
            <v>3.75</v>
          </cell>
          <cell r="L119">
            <v>22.85</v>
          </cell>
          <cell r="M119">
            <v>22.85</v>
          </cell>
          <cell r="N119">
            <v>22.85</v>
          </cell>
          <cell r="O119">
            <v>22.85</v>
          </cell>
          <cell r="P119">
            <v>22.85</v>
          </cell>
          <cell r="Q119">
            <v>22.85</v>
          </cell>
          <cell r="R119">
            <v>22.85</v>
          </cell>
          <cell r="S119">
            <v>22.85</v>
          </cell>
          <cell r="T119">
            <v>22.85</v>
          </cell>
          <cell r="U119">
            <v>22.85</v>
          </cell>
          <cell r="V119">
            <v>22.85</v>
          </cell>
          <cell r="W119">
            <v>5.5</v>
          </cell>
          <cell r="X119">
            <v>5.5</v>
          </cell>
          <cell r="Y119">
            <v>5.5</v>
          </cell>
          <cell r="Z119">
            <v>5.5</v>
          </cell>
          <cell r="AA119">
            <v>5.5</v>
          </cell>
          <cell r="AB119">
            <v>5.5</v>
          </cell>
          <cell r="AC119">
            <v>5.5</v>
          </cell>
          <cell r="AD119">
            <v>5.5</v>
          </cell>
          <cell r="AE119">
            <v>5.5</v>
          </cell>
          <cell r="AF119">
            <v>5.5</v>
          </cell>
          <cell r="AG119">
            <v>5.5</v>
          </cell>
          <cell r="AH119">
            <v>3.75</v>
          </cell>
          <cell r="AI119">
            <v>3.75</v>
          </cell>
          <cell r="AJ119">
            <v>3.75</v>
          </cell>
          <cell r="AK119">
            <v>3.75</v>
          </cell>
          <cell r="AL119">
            <v>3.75</v>
          </cell>
          <cell r="AM119">
            <v>3.75</v>
          </cell>
          <cell r="AN119">
            <v>3.75</v>
          </cell>
          <cell r="AO119">
            <v>3.75</v>
          </cell>
          <cell r="AP119">
            <v>3.75</v>
          </cell>
          <cell r="AQ119">
            <v>3.75</v>
          </cell>
          <cell r="AR119">
            <v>3.75</v>
          </cell>
          <cell r="AS119">
            <v>2.7E-2</v>
          </cell>
          <cell r="AT119">
            <v>8000</v>
          </cell>
          <cell r="AU119">
            <v>216</v>
          </cell>
          <cell r="AV119">
            <v>4.6300000000000001E-2</v>
          </cell>
          <cell r="AW119">
            <v>4.6300000000000001E-2</v>
          </cell>
          <cell r="AX119">
            <v>4.6300000000000001E-2</v>
          </cell>
          <cell r="AY119">
            <v>4.6300000000000001E-2</v>
          </cell>
          <cell r="AZ119">
            <v>4.6300000000000001E-2</v>
          </cell>
          <cell r="BA119">
            <v>4.6300000000000001E-2</v>
          </cell>
          <cell r="BB119">
            <v>4.6300000000000001E-2</v>
          </cell>
          <cell r="BC119">
            <v>4.6300000000000001E-2</v>
          </cell>
          <cell r="BD119">
            <v>4.6300000000000001E-2</v>
          </cell>
          <cell r="BE119">
            <v>4.6300000000000001E-2</v>
          </cell>
          <cell r="BF119">
            <v>4.6300000000000001E-2</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9</v>
          </cell>
          <cell r="CO119">
            <v>4.4711538461538458</v>
          </cell>
          <cell r="CP119">
            <v>4.4711538461538458</v>
          </cell>
          <cell r="CQ119">
            <v>4.4711538461538458</v>
          </cell>
          <cell r="CR119">
            <v>4.4711538461538458</v>
          </cell>
          <cell r="CS119">
            <v>4.4711538461538458</v>
          </cell>
          <cell r="CT119">
            <v>4.4711538461538458</v>
          </cell>
          <cell r="CU119">
            <v>4.4711538461538458</v>
          </cell>
          <cell r="CV119">
            <v>4.4711538461538458</v>
          </cell>
          <cell r="CW119">
            <v>4.4711538461538458</v>
          </cell>
          <cell r="CX119">
            <v>4.4711538461538458</v>
          </cell>
          <cell r="CY119">
            <v>4.4711538461538458</v>
          </cell>
          <cell r="CZ119">
            <v>4.6300000000000001E-2</v>
          </cell>
          <cell r="DA119">
            <v>4.6300000000000001E-2</v>
          </cell>
          <cell r="DB119">
            <v>4.6300000000000001E-2</v>
          </cell>
          <cell r="DC119">
            <v>4.6300000000000001E-2</v>
          </cell>
          <cell r="DD119">
            <v>4.6300000000000001E-2</v>
          </cell>
          <cell r="DE119">
            <v>4.6300000000000001E-2</v>
          </cell>
          <cell r="DF119">
            <v>4.6300000000000001E-2</v>
          </cell>
          <cell r="DG119">
            <v>4.6300000000000001E-2</v>
          </cell>
          <cell r="DH119">
            <v>4.6300000000000001E-2</v>
          </cell>
          <cell r="DI119">
            <v>4.6300000000000001E-2</v>
          </cell>
          <cell r="DJ119">
            <v>4.6300000000000001E-2</v>
          </cell>
        </row>
        <row r="120">
          <cell r="C120">
            <v>4055</v>
          </cell>
          <cell r="D120">
            <v>9015</v>
          </cell>
          <cell r="E120" t="str">
            <v>Transportation Dispatcher/Controller</v>
          </cell>
          <cell r="G120" t="str">
            <v>CBA2</v>
          </cell>
          <cell r="H120" t="str">
            <v>RFP CBA</v>
          </cell>
          <cell r="I120">
            <v>45177.599999999999</v>
          </cell>
          <cell r="J120">
            <v>21.72</v>
          </cell>
          <cell r="K120">
            <v>3.75</v>
          </cell>
          <cell r="L120">
            <v>21.72</v>
          </cell>
          <cell r="M120">
            <v>21.72</v>
          </cell>
          <cell r="N120">
            <v>21.72</v>
          </cell>
          <cell r="O120">
            <v>21.72</v>
          </cell>
          <cell r="P120">
            <v>21.72</v>
          </cell>
          <cell r="Q120">
            <v>21.72</v>
          </cell>
          <cell r="R120">
            <v>21.72</v>
          </cell>
          <cell r="S120">
            <v>21.72</v>
          </cell>
          <cell r="T120">
            <v>21.72</v>
          </cell>
          <cell r="U120">
            <v>21.72</v>
          </cell>
          <cell r="V120">
            <v>21.72</v>
          </cell>
          <cell r="W120">
            <v>5.5</v>
          </cell>
          <cell r="X120">
            <v>5.5</v>
          </cell>
          <cell r="Y120">
            <v>5.5</v>
          </cell>
          <cell r="Z120">
            <v>5.5</v>
          </cell>
          <cell r="AA120">
            <v>5.5</v>
          </cell>
          <cell r="AB120">
            <v>5.5</v>
          </cell>
          <cell r="AC120">
            <v>5.5</v>
          </cell>
          <cell r="AD120">
            <v>5.5</v>
          </cell>
          <cell r="AE120">
            <v>5.5</v>
          </cell>
          <cell r="AF120">
            <v>5.5</v>
          </cell>
          <cell r="AG120">
            <v>5.5</v>
          </cell>
          <cell r="AH120">
            <v>3.75</v>
          </cell>
          <cell r="AI120">
            <v>3.75</v>
          </cell>
          <cell r="AJ120">
            <v>3.75</v>
          </cell>
          <cell r="AK120">
            <v>3.75</v>
          </cell>
          <cell r="AL120">
            <v>3.75</v>
          </cell>
          <cell r="AM120">
            <v>3.75</v>
          </cell>
          <cell r="AN120">
            <v>3.75</v>
          </cell>
          <cell r="AO120">
            <v>3.75</v>
          </cell>
          <cell r="AP120">
            <v>3.75</v>
          </cell>
          <cell r="AQ120">
            <v>3.75</v>
          </cell>
          <cell r="AR120">
            <v>3.75</v>
          </cell>
          <cell r="AS120">
            <v>2.7E-2</v>
          </cell>
          <cell r="AT120">
            <v>8000</v>
          </cell>
          <cell r="AU120">
            <v>216</v>
          </cell>
          <cell r="AV120">
            <v>4.6300000000000001E-2</v>
          </cell>
          <cell r="AW120">
            <v>4.6300000000000001E-2</v>
          </cell>
          <cell r="AX120">
            <v>4.6300000000000001E-2</v>
          </cell>
          <cell r="AY120">
            <v>4.6300000000000001E-2</v>
          </cell>
          <cell r="AZ120">
            <v>4.6300000000000001E-2</v>
          </cell>
          <cell r="BA120">
            <v>4.6300000000000001E-2</v>
          </cell>
          <cell r="BB120">
            <v>4.6300000000000001E-2</v>
          </cell>
          <cell r="BC120">
            <v>4.6300000000000001E-2</v>
          </cell>
          <cell r="BD120">
            <v>4.6300000000000001E-2</v>
          </cell>
          <cell r="BE120">
            <v>4.6300000000000001E-2</v>
          </cell>
          <cell r="BF120">
            <v>4.6300000000000001E-2</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9</v>
          </cell>
          <cell r="CO120">
            <v>4.4711538461538458</v>
          </cell>
          <cell r="CP120">
            <v>4.4711538461538458</v>
          </cell>
          <cell r="CQ120">
            <v>4.4711538461538458</v>
          </cell>
          <cell r="CR120">
            <v>4.4711538461538458</v>
          </cell>
          <cell r="CS120">
            <v>4.4711538461538458</v>
          </cell>
          <cell r="CT120">
            <v>4.4711538461538458</v>
          </cell>
          <cell r="CU120">
            <v>4.4711538461538458</v>
          </cell>
          <cell r="CV120">
            <v>4.4711538461538458</v>
          </cell>
          <cell r="CW120">
            <v>4.4711538461538458</v>
          </cell>
          <cell r="CX120">
            <v>4.4711538461538458</v>
          </cell>
          <cell r="CY120">
            <v>4.4711538461538458</v>
          </cell>
          <cell r="CZ120">
            <v>4.6300000000000001E-2</v>
          </cell>
          <cell r="DA120">
            <v>4.6300000000000001E-2</v>
          </cell>
          <cell r="DB120">
            <v>4.6300000000000001E-2</v>
          </cell>
          <cell r="DC120">
            <v>4.6300000000000001E-2</v>
          </cell>
          <cell r="DD120">
            <v>4.6300000000000001E-2</v>
          </cell>
          <cell r="DE120">
            <v>4.6300000000000001E-2</v>
          </cell>
          <cell r="DF120">
            <v>4.6300000000000001E-2</v>
          </cell>
          <cell r="DG120">
            <v>4.6300000000000001E-2</v>
          </cell>
          <cell r="DH120">
            <v>4.6300000000000001E-2</v>
          </cell>
          <cell r="DI120">
            <v>4.6300000000000001E-2</v>
          </cell>
          <cell r="DJ120">
            <v>4.6300000000000001E-2</v>
          </cell>
        </row>
        <row r="121">
          <cell r="C121">
            <v>4060</v>
          </cell>
          <cell r="D121">
            <v>9015</v>
          </cell>
          <cell r="E121" t="str">
            <v>Transportation Test Examiner</v>
          </cell>
          <cell r="G121" t="str">
            <v>CBA2</v>
          </cell>
          <cell r="H121" t="str">
            <v>RFP CBA</v>
          </cell>
          <cell r="I121">
            <v>45177.599999999999</v>
          </cell>
          <cell r="J121">
            <v>21.72</v>
          </cell>
          <cell r="K121">
            <v>3.75</v>
          </cell>
          <cell r="L121">
            <v>21.72</v>
          </cell>
          <cell r="M121">
            <v>21.72</v>
          </cell>
          <cell r="N121">
            <v>21.72</v>
          </cell>
          <cell r="O121">
            <v>21.72</v>
          </cell>
          <cell r="P121">
            <v>21.72</v>
          </cell>
          <cell r="Q121">
            <v>21.72</v>
          </cell>
          <cell r="R121">
            <v>21.72</v>
          </cell>
          <cell r="S121">
            <v>21.72</v>
          </cell>
          <cell r="T121">
            <v>21.72</v>
          </cell>
          <cell r="U121">
            <v>21.72</v>
          </cell>
          <cell r="V121">
            <v>21.72</v>
          </cell>
          <cell r="W121">
            <v>5.5</v>
          </cell>
          <cell r="X121">
            <v>5.5</v>
          </cell>
          <cell r="Y121">
            <v>5.5</v>
          </cell>
          <cell r="Z121">
            <v>5.5</v>
          </cell>
          <cell r="AA121">
            <v>5.5</v>
          </cell>
          <cell r="AB121">
            <v>5.5</v>
          </cell>
          <cell r="AC121">
            <v>5.5</v>
          </cell>
          <cell r="AD121">
            <v>5.5</v>
          </cell>
          <cell r="AE121">
            <v>5.5</v>
          </cell>
          <cell r="AF121">
            <v>5.5</v>
          </cell>
          <cell r="AG121">
            <v>5.5</v>
          </cell>
          <cell r="AH121">
            <v>3.75</v>
          </cell>
          <cell r="AI121">
            <v>3.75</v>
          </cell>
          <cell r="AJ121">
            <v>3.75</v>
          </cell>
          <cell r="AK121">
            <v>3.75</v>
          </cell>
          <cell r="AL121">
            <v>3.75</v>
          </cell>
          <cell r="AM121">
            <v>3.75</v>
          </cell>
          <cell r="AN121">
            <v>3.75</v>
          </cell>
          <cell r="AO121">
            <v>3.75</v>
          </cell>
          <cell r="AP121">
            <v>3.75</v>
          </cell>
          <cell r="AQ121">
            <v>3.75</v>
          </cell>
          <cell r="AR121">
            <v>3.75</v>
          </cell>
          <cell r="AS121">
            <v>2.7E-2</v>
          </cell>
          <cell r="AT121">
            <v>8000</v>
          </cell>
          <cell r="AU121">
            <v>216</v>
          </cell>
          <cell r="AV121">
            <v>4.6300000000000001E-2</v>
          </cell>
          <cell r="AW121">
            <v>4.6300000000000001E-2</v>
          </cell>
          <cell r="AX121">
            <v>4.6300000000000001E-2</v>
          </cell>
          <cell r="AY121">
            <v>4.6300000000000001E-2</v>
          </cell>
          <cell r="AZ121">
            <v>4.6300000000000001E-2</v>
          </cell>
          <cell r="BA121">
            <v>4.6300000000000001E-2</v>
          </cell>
          <cell r="BB121">
            <v>4.6300000000000001E-2</v>
          </cell>
          <cell r="BC121">
            <v>4.6300000000000001E-2</v>
          </cell>
          <cell r="BD121">
            <v>4.6300000000000001E-2</v>
          </cell>
          <cell r="BE121">
            <v>4.6300000000000001E-2</v>
          </cell>
          <cell r="BF121">
            <v>4.6300000000000001E-2</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9</v>
          </cell>
          <cell r="CO121">
            <v>4.4711538461538458</v>
          </cell>
          <cell r="CP121">
            <v>4.4711538461538458</v>
          </cell>
          <cell r="CQ121">
            <v>4.4711538461538458</v>
          </cell>
          <cell r="CR121">
            <v>4.4711538461538458</v>
          </cell>
          <cell r="CS121">
            <v>4.4711538461538458</v>
          </cell>
          <cell r="CT121">
            <v>4.4711538461538458</v>
          </cell>
          <cell r="CU121">
            <v>4.4711538461538458</v>
          </cell>
          <cell r="CV121">
            <v>4.4711538461538458</v>
          </cell>
          <cell r="CW121">
            <v>4.4711538461538458</v>
          </cell>
          <cell r="CX121">
            <v>4.4711538461538458</v>
          </cell>
          <cell r="CY121">
            <v>4.4711538461538458</v>
          </cell>
          <cell r="CZ121">
            <v>4.6300000000000001E-2</v>
          </cell>
          <cell r="DA121">
            <v>4.6300000000000001E-2</v>
          </cell>
          <cell r="DB121">
            <v>4.6300000000000001E-2</v>
          </cell>
          <cell r="DC121">
            <v>4.6300000000000001E-2</v>
          </cell>
          <cell r="DD121">
            <v>4.6300000000000001E-2</v>
          </cell>
          <cell r="DE121">
            <v>4.6300000000000001E-2</v>
          </cell>
          <cell r="DF121">
            <v>4.6300000000000001E-2</v>
          </cell>
          <cell r="DG121">
            <v>4.6300000000000001E-2</v>
          </cell>
          <cell r="DH121">
            <v>4.6300000000000001E-2</v>
          </cell>
          <cell r="DI121">
            <v>4.6300000000000001E-2</v>
          </cell>
          <cell r="DJ121">
            <v>4.6300000000000001E-2</v>
          </cell>
        </row>
        <row r="122">
          <cell r="C122">
            <v>4065</v>
          </cell>
          <cell r="D122">
            <v>9015</v>
          </cell>
          <cell r="E122" t="str">
            <v>Transportation Laborer</v>
          </cell>
          <cell r="G122" t="str">
            <v>CBA2</v>
          </cell>
          <cell r="H122" t="str">
            <v>RFP CBA</v>
          </cell>
          <cell r="I122">
            <v>29993.599999999999</v>
          </cell>
          <cell r="J122">
            <v>14.42</v>
          </cell>
          <cell r="K122">
            <v>3.75</v>
          </cell>
          <cell r="L122">
            <v>14.42</v>
          </cell>
          <cell r="M122">
            <v>14.42</v>
          </cell>
          <cell r="N122">
            <v>14.42</v>
          </cell>
          <cell r="O122">
            <v>14.42</v>
          </cell>
          <cell r="P122">
            <v>14.42</v>
          </cell>
          <cell r="Q122">
            <v>14.42</v>
          </cell>
          <cell r="R122">
            <v>14.42</v>
          </cell>
          <cell r="S122">
            <v>14.42</v>
          </cell>
          <cell r="T122">
            <v>14.42</v>
          </cell>
          <cell r="U122">
            <v>14.42</v>
          </cell>
          <cell r="V122">
            <v>14.42</v>
          </cell>
          <cell r="W122">
            <v>5.5</v>
          </cell>
          <cell r="X122">
            <v>5.5</v>
          </cell>
          <cell r="Y122">
            <v>5.5</v>
          </cell>
          <cell r="Z122">
            <v>5.5</v>
          </cell>
          <cell r="AA122">
            <v>5.5</v>
          </cell>
          <cell r="AB122">
            <v>5.5</v>
          </cell>
          <cell r="AC122">
            <v>5.5</v>
          </cell>
          <cell r="AD122">
            <v>5.5</v>
          </cell>
          <cell r="AE122">
            <v>5.5</v>
          </cell>
          <cell r="AF122">
            <v>5.5</v>
          </cell>
          <cell r="AG122">
            <v>5.5</v>
          </cell>
          <cell r="AH122">
            <v>3.75</v>
          </cell>
          <cell r="AI122">
            <v>3.75</v>
          </cell>
          <cell r="AJ122">
            <v>3.75</v>
          </cell>
          <cell r="AK122">
            <v>3.75</v>
          </cell>
          <cell r="AL122">
            <v>3.75</v>
          </cell>
          <cell r="AM122">
            <v>3.75</v>
          </cell>
          <cell r="AN122">
            <v>3.75</v>
          </cell>
          <cell r="AO122">
            <v>3.75</v>
          </cell>
          <cell r="AP122">
            <v>3.75</v>
          </cell>
          <cell r="AQ122">
            <v>3.75</v>
          </cell>
          <cell r="AR122">
            <v>3.75</v>
          </cell>
          <cell r="AS122">
            <v>2.7E-2</v>
          </cell>
          <cell r="AT122">
            <v>8000</v>
          </cell>
          <cell r="AU122">
            <v>216</v>
          </cell>
          <cell r="AV122">
            <v>4.6300000000000001E-2</v>
          </cell>
          <cell r="AW122">
            <v>4.6300000000000001E-2</v>
          </cell>
          <cell r="AX122">
            <v>4.6300000000000001E-2</v>
          </cell>
          <cell r="AY122">
            <v>4.6300000000000001E-2</v>
          </cell>
          <cell r="AZ122">
            <v>4.6300000000000001E-2</v>
          </cell>
          <cell r="BA122">
            <v>4.6300000000000001E-2</v>
          </cell>
          <cell r="BB122">
            <v>4.6300000000000001E-2</v>
          </cell>
          <cell r="BC122">
            <v>4.6300000000000001E-2</v>
          </cell>
          <cell r="BD122">
            <v>4.6300000000000001E-2</v>
          </cell>
          <cell r="BE122">
            <v>4.6300000000000001E-2</v>
          </cell>
          <cell r="BF122">
            <v>4.6300000000000001E-2</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9</v>
          </cell>
          <cell r="CO122">
            <v>4.4711538461538458</v>
          </cell>
          <cell r="CP122">
            <v>4.4711538461538458</v>
          </cell>
          <cell r="CQ122">
            <v>4.4711538461538458</v>
          </cell>
          <cell r="CR122">
            <v>4.4711538461538458</v>
          </cell>
          <cell r="CS122">
            <v>4.4711538461538458</v>
          </cell>
          <cell r="CT122">
            <v>4.4711538461538458</v>
          </cell>
          <cell r="CU122">
            <v>4.4711538461538458</v>
          </cell>
          <cell r="CV122">
            <v>4.4711538461538458</v>
          </cell>
          <cell r="CW122">
            <v>4.4711538461538458</v>
          </cell>
          <cell r="CX122">
            <v>4.4711538461538458</v>
          </cell>
          <cell r="CY122">
            <v>4.4711538461538458</v>
          </cell>
          <cell r="CZ122">
            <v>4.6300000000000001E-2</v>
          </cell>
          <cell r="DA122">
            <v>4.6300000000000001E-2</v>
          </cell>
          <cell r="DB122">
            <v>4.6300000000000001E-2</v>
          </cell>
          <cell r="DC122">
            <v>4.6300000000000001E-2</v>
          </cell>
          <cell r="DD122">
            <v>4.6300000000000001E-2</v>
          </cell>
          <cell r="DE122">
            <v>4.6300000000000001E-2</v>
          </cell>
          <cell r="DF122">
            <v>4.6300000000000001E-2</v>
          </cell>
          <cell r="DG122">
            <v>4.6300000000000001E-2</v>
          </cell>
          <cell r="DH122">
            <v>4.6300000000000001E-2</v>
          </cell>
          <cell r="DI122">
            <v>4.6300000000000001E-2</v>
          </cell>
          <cell r="DJ122">
            <v>4.6300000000000001E-2</v>
          </cell>
        </row>
        <row r="123">
          <cell r="C123">
            <v>4070</v>
          </cell>
          <cell r="D123">
            <v>9015</v>
          </cell>
          <cell r="E123" t="str">
            <v>Transportation Heavy Equipment Operator (Crane Operator)</v>
          </cell>
          <cell r="G123" t="str">
            <v>CBA2</v>
          </cell>
          <cell r="H123" t="str">
            <v>RFP CBA</v>
          </cell>
          <cell r="I123">
            <v>63481.599999999999</v>
          </cell>
          <cell r="J123">
            <v>30.52</v>
          </cell>
          <cell r="K123">
            <v>3.75</v>
          </cell>
          <cell r="L123">
            <v>30.52</v>
          </cell>
          <cell r="M123">
            <v>30.52</v>
          </cell>
          <cell r="N123">
            <v>30.52</v>
          </cell>
          <cell r="O123">
            <v>30.52</v>
          </cell>
          <cell r="P123">
            <v>30.52</v>
          </cell>
          <cell r="Q123">
            <v>30.52</v>
          </cell>
          <cell r="R123">
            <v>30.52</v>
          </cell>
          <cell r="S123">
            <v>30.52</v>
          </cell>
          <cell r="T123">
            <v>30.52</v>
          </cell>
          <cell r="U123">
            <v>30.52</v>
          </cell>
          <cell r="V123">
            <v>30.52</v>
          </cell>
          <cell r="W123">
            <v>5.5</v>
          </cell>
          <cell r="X123">
            <v>5.5</v>
          </cell>
          <cell r="Y123">
            <v>5.5</v>
          </cell>
          <cell r="Z123">
            <v>5.5</v>
          </cell>
          <cell r="AA123">
            <v>5.5</v>
          </cell>
          <cell r="AB123">
            <v>5.5</v>
          </cell>
          <cell r="AC123">
            <v>5.5</v>
          </cell>
          <cell r="AD123">
            <v>5.5</v>
          </cell>
          <cell r="AE123">
            <v>5.5</v>
          </cell>
          <cell r="AF123">
            <v>5.5</v>
          </cell>
          <cell r="AG123">
            <v>5.5</v>
          </cell>
          <cell r="AH123">
            <v>3.75</v>
          </cell>
          <cell r="AI123">
            <v>3.75</v>
          </cell>
          <cell r="AJ123">
            <v>3.75</v>
          </cell>
          <cell r="AK123">
            <v>3.75</v>
          </cell>
          <cell r="AL123">
            <v>3.75</v>
          </cell>
          <cell r="AM123">
            <v>3.75</v>
          </cell>
          <cell r="AN123">
            <v>3.75</v>
          </cell>
          <cell r="AO123">
            <v>3.75</v>
          </cell>
          <cell r="AP123">
            <v>3.75</v>
          </cell>
          <cell r="AQ123">
            <v>3.75</v>
          </cell>
          <cell r="AR123">
            <v>3.75</v>
          </cell>
          <cell r="AS123">
            <v>2.7E-2</v>
          </cell>
          <cell r="AT123">
            <v>8000</v>
          </cell>
          <cell r="AU123">
            <v>216</v>
          </cell>
          <cell r="AV123">
            <v>4.6300000000000001E-2</v>
          </cell>
          <cell r="AW123">
            <v>4.6300000000000001E-2</v>
          </cell>
          <cell r="AX123">
            <v>4.6300000000000001E-2</v>
          </cell>
          <cell r="AY123">
            <v>4.6300000000000001E-2</v>
          </cell>
          <cell r="AZ123">
            <v>4.6300000000000001E-2</v>
          </cell>
          <cell r="BA123">
            <v>4.6300000000000001E-2</v>
          </cell>
          <cell r="BB123">
            <v>4.6300000000000001E-2</v>
          </cell>
          <cell r="BC123">
            <v>4.6300000000000001E-2</v>
          </cell>
          <cell r="BD123">
            <v>4.6300000000000001E-2</v>
          </cell>
          <cell r="BE123">
            <v>4.6300000000000001E-2</v>
          </cell>
          <cell r="BF123">
            <v>4.6300000000000001E-2</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9</v>
          </cell>
          <cell r="CO123">
            <v>4.4711538461538458</v>
          </cell>
          <cell r="CP123">
            <v>4.4711538461538458</v>
          </cell>
          <cell r="CQ123">
            <v>4.4711538461538458</v>
          </cell>
          <cell r="CR123">
            <v>4.4711538461538458</v>
          </cell>
          <cell r="CS123">
            <v>4.4711538461538458</v>
          </cell>
          <cell r="CT123">
            <v>4.4711538461538458</v>
          </cell>
          <cell r="CU123">
            <v>4.4711538461538458</v>
          </cell>
          <cell r="CV123">
            <v>4.4711538461538458</v>
          </cell>
          <cell r="CW123">
            <v>4.4711538461538458</v>
          </cell>
          <cell r="CX123">
            <v>4.4711538461538458</v>
          </cell>
          <cell r="CY123">
            <v>4.4711538461538458</v>
          </cell>
          <cell r="CZ123">
            <v>4.6300000000000001E-2</v>
          </cell>
          <cell r="DA123">
            <v>4.6300000000000001E-2</v>
          </cell>
          <cell r="DB123">
            <v>4.6300000000000001E-2</v>
          </cell>
          <cell r="DC123">
            <v>4.6300000000000001E-2</v>
          </cell>
          <cell r="DD123">
            <v>4.6300000000000001E-2</v>
          </cell>
          <cell r="DE123">
            <v>4.6300000000000001E-2</v>
          </cell>
          <cell r="DF123">
            <v>4.6300000000000001E-2</v>
          </cell>
          <cell r="DG123">
            <v>4.6300000000000001E-2</v>
          </cell>
          <cell r="DH123">
            <v>4.6300000000000001E-2</v>
          </cell>
          <cell r="DI123">
            <v>4.6300000000000001E-2</v>
          </cell>
          <cell r="DJ123">
            <v>4.6300000000000001E-2</v>
          </cell>
        </row>
        <row r="124">
          <cell r="C124">
            <v>4075</v>
          </cell>
          <cell r="D124">
            <v>9015</v>
          </cell>
          <cell r="E124" t="str">
            <v>Transportation Rigger</v>
          </cell>
          <cell r="G124" t="str">
            <v>CBA2</v>
          </cell>
          <cell r="H124" t="str">
            <v>RFP CBA</v>
          </cell>
          <cell r="I124">
            <v>54849.599999999999</v>
          </cell>
          <cell r="J124">
            <v>26.37</v>
          </cell>
          <cell r="K124">
            <v>3.75</v>
          </cell>
          <cell r="L124">
            <v>26.37</v>
          </cell>
          <cell r="M124">
            <v>26.37</v>
          </cell>
          <cell r="N124">
            <v>26.37</v>
          </cell>
          <cell r="O124">
            <v>26.37</v>
          </cell>
          <cell r="P124">
            <v>26.37</v>
          </cell>
          <cell r="Q124">
            <v>26.37</v>
          </cell>
          <cell r="R124">
            <v>26.37</v>
          </cell>
          <cell r="S124">
            <v>26.37</v>
          </cell>
          <cell r="T124">
            <v>26.37</v>
          </cell>
          <cell r="U124">
            <v>26.37</v>
          </cell>
          <cell r="V124">
            <v>26.37</v>
          </cell>
          <cell r="W124">
            <v>5.5</v>
          </cell>
          <cell r="X124">
            <v>5.5</v>
          </cell>
          <cell r="Y124">
            <v>5.5</v>
          </cell>
          <cell r="Z124">
            <v>5.5</v>
          </cell>
          <cell r="AA124">
            <v>5.5</v>
          </cell>
          <cell r="AB124">
            <v>5.5</v>
          </cell>
          <cell r="AC124">
            <v>5.5</v>
          </cell>
          <cell r="AD124">
            <v>5.5</v>
          </cell>
          <cell r="AE124">
            <v>5.5</v>
          </cell>
          <cell r="AF124">
            <v>5.5</v>
          </cell>
          <cell r="AG124">
            <v>5.5</v>
          </cell>
          <cell r="AH124">
            <v>3.75</v>
          </cell>
          <cell r="AI124">
            <v>3.75</v>
          </cell>
          <cell r="AJ124">
            <v>3.75</v>
          </cell>
          <cell r="AK124">
            <v>3.75</v>
          </cell>
          <cell r="AL124">
            <v>3.75</v>
          </cell>
          <cell r="AM124">
            <v>3.75</v>
          </cell>
          <cell r="AN124">
            <v>3.75</v>
          </cell>
          <cell r="AO124">
            <v>3.75</v>
          </cell>
          <cell r="AP124">
            <v>3.75</v>
          </cell>
          <cell r="AQ124">
            <v>3.75</v>
          </cell>
          <cell r="AR124">
            <v>3.75</v>
          </cell>
          <cell r="AS124">
            <v>2.7E-2</v>
          </cell>
          <cell r="AT124">
            <v>8000</v>
          </cell>
          <cell r="AU124">
            <v>216</v>
          </cell>
          <cell r="AV124">
            <v>4.6300000000000001E-2</v>
          </cell>
          <cell r="AW124">
            <v>4.6300000000000001E-2</v>
          </cell>
          <cell r="AX124">
            <v>4.6300000000000001E-2</v>
          </cell>
          <cell r="AY124">
            <v>4.6300000000000001E-2</v>
          </cell>
          <cell r="AZ124">
            <v>4.6300000000000001E-2</v>
          </cell>
          <cell r="BA124">
            <v>4.6300000000000001E-2</v>
          </cell>
          <cell r="BB124">
            <v>4.6300000000000001E-2</v>
          </cell>
          <cell r="BC124">
            <v>4.6300000000000001E-2</v>
          </cell>
          <cell r="BD124">
            <v>4.6300000000000001E-2</v>
          </cell>
          <cell r="BE124">
            <v>4.6300000000000001E-2</v>
          </cell>
          <cell r="BF124">
            <v>4.6300000000000001E-2</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9</v>
          </cell>
          <cell r="CO124">
            <v>4.4711538461538458</v>
          </cell>
          <cell r="CP124">
            <v>4.4711538461538458</v>
          </cell>
          <cell r="CQ124">
            <v>4.4711538461538458</v>
          </cell>
          <cell r="CR124">
            <v>4.4711538461538458</v>
          </cell>
          <cell r="CS124">
            <v>4.4711538461538458</v>
          </cell>
          <cell r="CT124">
            <v>4.4711538461538458</v>
          </cell>
          <cell r="CU124">
            <v>4.4711538461538458</v>
          </cell>
          <cell r="CV124">
            <v>4.4711538461538458</v>
          </cell>
          <cell r="CW124">
            <v>4.4711538461538458</v>
          </cell>
          <cell r="CX124">
            <v>4.4711538461538458</v>
          </cell>
          <cell r="CY124">
            <v>4.4711538461538458</v>
          </cell>
          <cell r="CZ124">
            <v>4.6300000000000001E-2</v>
          </cell>
          <cell r="DA124">
            <v>4.6300000000000001E-2</v>
          </cell>
          <cell r="DB124">
            <v>4.6300000000000001E-2</v>
          </cell>
          <cell r="DC124">
            <v>4.6300000000000001E-2</v>
          </cell>
          <cell r="DD124">
            <v>4.6300000000000001E-2</v>
          </cell>
          <cell r="DE124">
            <v>4.6300000000000001E-2</v>
          </cell>
          <cell r="DF124">
            <v>4.6300000000000001E-2</v>
          </cell>
          <cell r="DG124">
            <v>4.6300000000000001E-2</v>
          </cell>
          <cell r="DH124">
            <v>4.6300000000000001E-2</v>
          </cell>
          <cell r="DI124">
            <v>4.6300000000000001E-2</v>
          </cell>
          <cell r="DJ124">
            <v>4.6300000000000001E-2</v>
          </cell>
        </row>
        <row r="125">
          <cell r="C125">
            <v>4080</v>
          </cell>
          <cell r="D125">
            <v>9015</v>
          </cell>
          <cell r="E125" t="str">
            <v>Transportation Crane/Rigger Team Leader</v>
          </cell>
          <cell r="G125" t="str">
            <v>CBA2</v>
          </cell>
          <cell r="H125" t="str">
            <v>RFP CBA</v>
          </cell>
          <cell r="I125">
            <v>71614.399999999994</v>
          </cell>
          <cell r="J125">
            <v>34.43</v>
          </cell>
          <cell r="K125">
            <v>3.75</v>
          </cell>
          <cell r="L125">
            <v>34.43</v>
          </cell>
          <cell r="M125">
            <v>34.43</v>
          </cell>
          <cell r="N125">
            <v>34.43</v>
          </cell>
          <cell r="O125">
            <v>34.43</v>
          </cell>
          <cell r="P125">
            <v>34.43</v>
          </cell>
          <cell r="Q125">
            <v>34.43</v>
          </cell>
          <cell r="R125">
            <v>34.43</v>
          </cell>
          <cell r="S125">
            <v>34.43</v>
          </cell>
          <cell r="T125">
            <v>34.43</v>
          </cell>
          <cell r="U125">
            <v>34.43</v>
          </cell>
          <cell r="V125">
            <v>34.43</v>
          </cell>
          <cell r="W125">
            <v>5.5</v>
          </cell>
          <cell r="X125">
            <v>5.5</v>
          </cell>
          <cell r="Y125">
            <v>5.5</v>
          </cell>
          <cell r="Z125">
            <v>5.5</v>
          </cell>
          <cell r="AA125">
            <v>5.5</v>
          </cell>
          <cell r="AB125">
            <v>5.5</v>
          </cell>
          <cell r="AC125">
            <v>5.5</v>
          </cell>
          <cell r="AD125">
            <v>5.5</v>
          </cell>
          <cell r="AE125">
            <v>5.5</v>
          </cell>
          <cell r="AF125">
            <v>5.5</v>
          </cell>
          <cell r="AG125">
            <v>5.5</v>
          </cell>
          <cell r="AH125">
            <v>3.75</v>
          </cell>
          <cell r="AI125">
            <v>3.75</v>
          </cell>
          <cell r="AJ125">
            <v>3.75</v>
          </cell>
          <cell r="AK125">
            <v>3.75</v>
          </cell>
          <cell r="AL125">
            <v>3.75</v>
          </cell>
          <cell r="AM125">
            <v>3.75</v>
          </cell>
          <cell r="AN125">
            <v>3.75</v>
          </cell>
          <cell r="AO125">
            <v>3.75</v>
          </cell>
          <cell r="AP125">
            <v>3.75</v>
          </cell>
          <cell r="AQ125">
            <v>3.75</v>
          </cell>
          <cell r="AR125">
            <v>3.75</v>
          </cell>
          <cell r="AS125">
            <v>2.7E-2</v>
          </cell>
          <cell r="AT125">
            <v>8000</v>
          </cell>
          <cell r="AU125">
            <v>216</v>
          </cell>
          <cell r="AV125">
            <v>4.6300000000000001E-2</v>
          </cell>
          <cell r="AW125">
            <v>4.6300000000000001E-2</v>
          </cell>
          <cell r="AX125">
            <v>4.6300000000000001E-2</v>
          </cell>
          <cell r="AY125">
            <v>4.6300000000000001E-2</v>
          </cell>
          <cell r="AZ125">
            <v>4.6300000000000001E-2</v>
          </cell>
          <cell r="BA125">
            <v>4.6300000000000001E-2</v>
          </cell>
          <cell r="BB125">
            <v>4.6300000000000001E-2</v>
          </cell>
          <cell r="BC125">
            <v>4.6300000000000001E-2</v>
          </cell>
          <cell r="BD125">
            <v>4.6300000000000001E-2</v>
          </cell>
          <cell r="BE125">
            <v>4.6300000000000001E-2</v>
          </cell>
          <cell r="BF125">
            <v>4.6300000000000001E-2</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9</v>
          </cell>
          <cell r="CO125">
            <v>4.4711538461538458</v>
          </cell>
          <cell r="CP125">
            <v>4.4711538461538458</v>
          </cell>
          <cell r="CQ125">
            <v>4.4711538461538458</v>
          </cell>
          <cell r="CR125">
            <v>4.4711538461538458</v>
          </cell>
          <cell r="CS125">
            <v>4.4711538461538458</v>
          </cell>
          <cell r="CT125">
            <v>4.4711538461538458</v>
          </cell>
          <cell r="CU125">
            <v>4.4711538461538458</v>
          </cell>
          <cell r="CV125">
            <v>4.4711538461538458</v>
          </cell>
          <cell r="CW125">
            <v>4.4711538461538458</v>
          </cell>
          <cell r="CX125">
            <v>4.4711538461538458</v>
          </cell>
          <cell r="CY125">
            <v>4.4711538461538458</v>
          </cell>
          <cell r="CZ125">
            <v>4.6300000000000001E-2</v>
          </cell>
          <cell r="DA125">
            <v>4.6300000000000001E-2</v>
          </cell>
          <cell r="DB125">
            <v>4.6300000000000001E-2</v>
          </cell>
          <cell r="DC125">
            <v>4.6300000000000001E-2</v>
          </cell>
          <cell r="DD125">
            <v>4.6300000000000001E-2</v>
          </cell>
          <cell r="DE125">
            <v>4.6300000000000001E-2</v>
          </cell>
          <cell r="DF125">
            <v>4.6300000000000001E-2</v>
          </cell>
          <cell r="DG125">
            <v>4.6300000000000001E-2</v>
          </cell>
          <cell r="DH125">
            <v>4.6300000000000001E-2</v>
          </cell>
          <cell r="DI125">
            <v>4.6300000000000001E-2</v>
          </cell>
          <cell r="DJ125">
            <v>4.6300000000000001E-2</v>
          </cell>
        </row>
        <row r="126">
          <cell r="C126">
            <v>4085</v>
          </cell>
          <cell r="D126">
            <v>9015</v>
          </cell>
          <cell r="G126" t="str">
            <v>CBA2</v>
          </cell>
          <cell r="H126" t="str">
            <v>RFP CBA</v>
          </cell>
          <cell r="I126">
            <v>0</v>
          </cell>
          <cell r="J126">
            <v>0</v>
          </cell>
          <cell r="K126">
            <v>3.75</v>
          </cell>
          <cell r="L126">
            <v>0</v>
          </cell>
          <cell r="M126">
            <v>0</v>
          </cell>
          <cell r="N126">
            <v>0</v>
          </cell>
          <cell r="O126">
            <v>0</v>
          </cell>
          <cell r="P126">
            <v>0</v>
          </cell>
          <cell r="Q126">
            <v>0</v>
          </cell>
          <cell r="R126">
            <v>0</v>
          </cell>
          <cell r="S126">
            <v>0</v>
          </cell>
          <cell r="T126">
            <v>0</v>
          </cell>
          <cell r="U126">
            <v>0</v>
          </cell>
          <cell r="V126">
            <v>0</v>
          </cell>
          <cell r="W126">
            <v>5.5</v>
          </cell>
          <cell r="X126">
            <v>5.5</v>
          </cell>
          <cell r="Y126">
            <v>5.5</v>
          </cell>
          <cell r="Z126">
            <v>5.5</v>
          </cell>
          <cell r="AA126">
            <v>5.5</v>
          </cell>
          <cell r="AB126">
            <v>5.5</v>
          </cell>
          <cell r="AC126">
            <v>5.5</v>
          </cell>
          <cell r="AD126">
            <v>5.5</v>
          </cell>
          <cell r="AE126">
            <v>5.5</v>
          </cell>
          <cell r="AF126">
            <v>5.5</v>
          </cell>
          <cell r="AG126">
            <v>5.5</v>
          </cell>
          <cell r="AH126">
            <v>3.75</v>
          </cell>
          <cell r="AI126">
            <v>3.75</v>
          </cell>
          <cell r="AJ126">
            <v>3.75</v>
          </cell>
          <cell r="AK126">
            <v>3.75</v>
          </cell>
          <cell r="AL126">
            <v>3.75</v>
          </cell>
          <cell r="AM126">
            <v>3.75</v>
          </cell>
          <cell r="AN126">
            <v>3.75</v>
          </cell>
          <cell r="AO126">
            <v>3.75</v>
          </cell>
          <cell r="AP126">
            <v>3.75</v>
          </cell>
          <cell r="AQ126">
            <v>3.75</v>
          </cell>
          <cell r="AR126">
            <v>3.75</v>
          </cell>
          <cell r="AS126">
            <v>2.7E-2</v>
          </cell>
          <cell r="AT126">
            <v>8000</v>
          </cell>
          <cell r="AU126">
            <v>216</v>
          </cell>
          <cell r="AV126">
            <v>4.6300000000000001E-2</v>
          </cell>
          <cell r="AW126">
            <v>4.6300000000000001E-2</v>
          </cell>
          <cell r="AX126">
            <v>4.6300000000000001E-2</v>
          </cell>
          <cell r="AY126">
            <v>4.6300000000000001E-2</v>
          </cell>
          <cell r="AZ126">
            <v>4.6300000000000001E-2</v>
          </cell>
          <cell r="BA126">
            <v>4.6300000000000001E-2</v>
          </cell>
          <cell r="BB126">
            <v>4.6300000000000001E-2</v>
          </cell>
          <cell r="BC126">
            <v>4.6300000000000001E-2</v>
          </cell>
          <cell r="BD126">
            <v>4.6300000000000001E-2</v>
          </cell>
          <cell r="BE126">
            <v>4.6300000000000001E-2</v>
          </cell>
          <cell r="BF126">
            <v>4.6300000000000001E-2</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9</v>
          </cell>
          <cell r="CO126">
            <v>4.4711538461538458</v>
          </cell>
          <cell r="CP126">
            <v>4.4711538461538458</v>
          </cell>
          <cell r="CQ126">
            <v>4.4711538461538458</v>
          </cell>
          <cell r="CR126">
            <v>4.4711538461538458</v>
          </cell>
          <cell r="CS126">
            <v>4.4711538461538458</v>
          </cell>
          <cell r="CT126">
            <v>4.4711538461538458</v>
          </cell>
          <cell r="CU126">
            <v>4.4711538461538458</v>
          </cell>
          <cell r="CV126">
            <v>4.4711538461538458</v>
          </cell>
          <cell r="CW126">
            <v>4.4711538461538458</v>
          </cell>
          <cell r="CX126">
            <v>4.4711538461538458</v>
          </cell>
          <cell r="CY126">
            <v>4.4711538461538458</v>
          </cell>
          <cell r="CZ126">
            <v>4.6300000000000001E-2</v>
          </cell>
          <cell r="DA126">
            <v>4.6300000000000001E-2</v>
          </cell>
          <cell r="DB126">
            <v>4.6300000000000001E-2</v>
          </cell>
          <cell r="DC126">
            <v>4.6300000000000001E-2</v>
          </cell>
          <cell r="DD126">
            <v>4.6300000000000001E-2</v>
          </cell>
          <cell r="DE126">
            <v>4.6300000000000001E-2</v>
          </cell>
          <cell r="DF126">
            <v>4.6300000000000001E-2</v>
          </cell>
          <cell r="DG126">
            <v>4.6300000000000001E-2</v>
          </cell>
          <cell r="DH126">
            <v>4.6300000000000001E-2</v>
          </cell>
          <cell r="DI126">
            <v>4.6300000000000001E-2</v>
          </cell>
          <cell r="DJ126">
            <v>4.6300000000000001E-2</v>
          </cell>
        </row>
        <row r="127">
          <cell r="C127">
            <v>4090</v>
          </cell>
          <cell r="D127">
            <v>9015</v>
          </cell>
        </row>
        <row r="131">
          <cell r="C131" t="str">
            <v>Collective Bargaining Agreement (#3) - GCR</v>
          </cell>
        </row>
        <row r="133">
          <cell r="C133">
            <v>5000</v>
          </cell>
          <cell r="D133">
            <v>9015</v>
          </cell>
          <cell r="E133" t="str">
            <v>Carpenter</v>
          </cell>
          <cell r="G133" t="str">
            <v>CBA2</v>
          </cell>
          <cell r="H133" t="str">
            <v>RFP CBA</v>
          </cell>
          <cell r="I133">
            <v>0</v>
          </cell>
          <cell r="J133">
            <v>0</v>
          </cell>
          <cell r="K133">
            <v>7.55</v>
          </cell>
          <cell r="L133">
            <v>0</v>
          </cell>
          <cell r="M133">
            <v>0</v>
          </cell>
          <cell r="N133">
            <v>0</v>
          </cell>
          <cell r="O133">
            <v>0</v>
          </cell>
          <cell r="P133">
            <v>0</v>
          </cell>
          <cell r="Q133">
            <v>0</v>
          </cell>
          <cell r="R133">
            <v>0</v>
          </cell>
          <cell r="S133">
            <v>0</v>
          </cell>
          <cell r="T133">
            <v>0</v>
          </cell>
          <cell r="U133">
            <v>0</v>
          </cell>
          <cell r="V133">
            <v>0</v>
          </cell>
          <cell r="W133">
            <v>5.5</v>
          </cell>
          <cell r="X133">
            <v>5.5</v>
          </cell>
          <cell r="Y133">
            <v>5.5</v>
          </cell>
          <cell r="Z133">
            <v>5.5</v>
          </cell>
          <cell r="AA133">
            <v>5.5</v>
          </cell>
          <cell r="AB133">
            <v>5.5</v>
          </cell>
          <cell r="AC133">
            <v>5.5</v>
          </cell>
          <cell r="AD133">
            <v>5.5</v>
          </cell>
          <cell r="AE133">
            <v>5.5</v>
          </cell>
          <cell r="AF133">
            <v>5.5</v>
          </cell>
          <cell r="AG133">
            <v>5.5</v>
          </cell>
          <cell r="AH133">
            <v>7.55</v>
          </cell>
          <cell r="AI133">
            <v>7.55</v>
          </cell>
          <cell r="AJ133">
            <v>7.55</v>
          </cell>
          <cell r="AK133">
            <v>7.55</v>
          </cell>
          <cell r="AL133">
            <v>7.55</v>
          </cell>
          <cell r="AM133">
            <v>7.55</v>
          </cell>
          <cell r="AN133">
            <v>7.55</v>
          </cell>
          <cell r="AO133">
            <v>7.55</v>
          </cell>
          <cell r="AP133">
            <v>7.55</v>
          </cell>
          <cell r="AQ133">
            <v>7.55</v>
          </cell>
          <cell r="AR133">
            <v>7.55</v>
          </cell>
          <cell r="AS133">
            <v>2.7E-2</v>
          </cell>
          <cell r="AT133">
            <v>8000</v>
          </cell>
          <cell r="AU133">
            <v>216</v>
          </cell>
          <cell r="AV133">
            <v>4.6300000000000001E-2</v>
          </cell>
          <cell r="AW133">
            <v>4.6300000000000001E-2</v>
          </cell>
          <cell r="AX133">
            <v>4.6300000000000001E-2</v>
          </cell>
          <cell r="AY133">
            <v>4.6300000000000001E-2</v>
          </cell>
          <cell r="AZ133">
            <v>4.6300000000000001E-2</v>
          </cell>
          <cell r="BA133">
            <v>4.6300000000000001E-2</v>
          </cell>
          <cell r="BB133">
            <v>4.6300000000000001E-2</v>
          </cell>
          <cell r="BC133">
            <v>4.6300000000000001E-2</v>
          </cell>
          <cell r="BD133">
            <v>4.6300000000000001E-2</v>
          </cell>
          <cell r="BE133">
            <v>4.6300000000000001E-2</v>
          </cell>
          <cell r="BF133">
            <v>4.6300000000000001E-2</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O133">
            <v>5.5</v>
          </cell>
          <cell r="CP133">
            <v>5.5</v>
          </cell>
          <cell r="CQ133">
            <v>5.5</v>
          </cell>
          <cell r="CR133">
            <v>5.5</v>
          </cell>
          <cell r="CS133">
            <v>5.5</v>
          </cell>
          <cell r="CT133">
            <v>5.5</v>
          </cell>
          <cell r="CU133">
            <v>5.5</v>
          </cell>
          <cell r="CV133">
            <v>5.5</v>
          </cell>
          <cell r="CW133">
            <v>5.5</v>
          </cell>
          <cell r="CX133">
            <v>5.5</v>
          </cell>
          <cell r="CY133">
            <v>5.5</v>
          </cell>
          <cell r="CZ133">
            <v>4.6300000000000001E-2</v>
          </cell>
          <cell r="DA133">
            <v>4.6300000000000001E-2</v>
          </cell>
          <cell r="DB133">
            <v>4.6300000000000001E-2</v>
          </cell>
          <cell r="DC133">
            <v>4.6300000000000001E-2</v>
          </cell>
          <cell r="DD133">
            <v>4.6300000000000001E-2</v>
          </cell>
          <cell r="DE133">
            <v>4.6300000000000001E-2</v>
          </cell>
          <cell r="DF133">
            <v>4.6300000000000001E-2</v>
          </cell>
          <cell r="DG133">
            <v>4.6300000000000001E-2</v>
          </cell>
          <cell r="DH133">
            <v>4.6300000000000001E-2</v>
          </cell>
          <cell r="DI133">
            <v>4.6300000000000001E-2</v>
          </cell>
          <cell r="DJ133">
            <v>4.6300000000000001E-2</v>
          </cell>
        </row>
        <row r="134">
          <cell r="C134">
            <v>5005</v>
          </cell>
          <cell r="D134">
            <v>9015</v>
          </cell>
          <cell r="E134" t="str">
            <v>General Maintenance Worker</v>
          </cell>
          <cell r="G134" t="str">
            <v>CBA2</v>
          </cell>
          <cell r="H134" t="str">
            <v>RFP CBA</v>
          </cell>
          <cell r="I134">
            <v>0</v>
          </cell>
          <cell r="J134">
            <v>0</v>
          </cell>
          <cell r="K134">
            <v>7.55</v>
          </cell>
          <cell r="L134">
            <v>0</v>
          </cell>
          <cell r="M134">
            <v>0</v>
          </cell>
          <cell r="N134">
            <v>0</v>
          </cell>
          <cell r="O134">
            <v>0</v>
          </cell>
          <cell r="P134">
            <v>0</v>
          </cell>
          <cell r="Q134">
            <v>0</v>
          </cell>
          <cell r="R134">
            <v>0</v>
          </cell>
          <cell r="S134">
            <v>0</v>
          </cell>
          <cell r="T134">
            <v>0</v>
          </cell>
          <cell r="U134">
            <v>0</v>
          </cell>
          <cell r="V134">
            <v>0</v>
          </cell>
          <cell r="W134">
            <v>5.5</v>
          </cell>
          <cell r="X134">
            <v>5.5</v>
          </cell>
          <cell r="Y134">
            <v>5.5</v>
          </cell>
          <cell r="Z134">
            <v>5.5</v>
          </cell>
          <cell r="AA134">
            <v>5.5</v>
          </cell>
          <cell r="AB134">
            <v>5.5</v>
          </cell>
          <cell r="AC134">
            <v>5.5</v>
          </cell>
          <cell r="AD134">
            <v>5.5</v>
          </cell>
          <cell r="AE134">
            <v>5.5</v>
          </cell>
          <cell r="AF134">
            <v>5.5</v>
          </cell>
          <cell r="AG134">
            <v>5.5</v>
          </cell>
          <cell r="AH134">
            <v>7.55</v>
          </cell>
          <cell r="AI134">
            <v>7.55</v>
          </cell>
          <cell r="AJ134">
            <v>7.55</v>
          </cell>
          <cell r="AK134">
            <v>7.55</v>
          </cell>
          <cell r="AL134">
            <v>7.55</v>
          </cell>
          <cell r="AM134">
            <v>7.55</v>
          </cell>
          <cell r="AN134">
            <v>7.55</v>
          </cell>
          <cell r="AO134">
            <v>7.55</v>
          </cell>
          <cell r="AP134">
            <v>7.55</v>
          </cell>
          <cell r="AQ134">
            <v>7.55</v>
          </cell>
          <cell r="AR134">
            <v>7.55</v>
          </cell>
          <cell r="AS134">
            <v>2.7E-2</v>
          </cell>
          <cell r="AT134">
            <v>8000</v>
          </cell>
          <cell r="AU134">
            <v>216</v>
          </cell>
          <cell r="AV134">
            <v>4.6300000000000001E-2</v>
          </cell>
          <cell r="AW134">
            <v>4.6300000000000001E-2</v>
          </cell>
          <cell r="AX134">
            <v>4.6300000000000001E-2</v>
          </cell>
          <cell r="AY134">
            <v>4.6300000000000001E-2</v>
          </cell>
          <cell r="AZ134">
            <v>4.6300000000000001E-2</v>
          </cell>
          <cell r="BA134">
            <v>4.6300000000000001E-2</v>
          </cell>
          <cell r="BB134">
            <v>4.6300000000000001E-2</v>
          </cell>
          <cell r="BC134">
            <v>4.6300000000000001E-2</v>
          </cell>
          <cell r="BD134">
            <v>4.6300000000000001E-2</v>
          </cell>
          <cell r="BE134">
            <v>4.6300000000000001E-2</v>
          </cell>
          <cell r="BF134">
            <v>4.6300000000000001E-2</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O134">
            <v>5.5</v>
          </cell>
          <cell r="CP134">
            <v>5.5</v>
          </cell>
          <cell r="CQ134">
            <v>5.5</v>
          </cell>
          <cell r="CR134">
            <v>5.5</v>
          </cell>
          <cell r="CS134">
            <v>5.5</v>
          </cell>
          <cell r="CT134">
            <v>5.5</v>
          </cell>
          <cell r="CU134">
            <v>5.5</v>
          </cell>
          <cell r="CV134">
            <v>5.5</v>
          </cell>
          <cell r="CW134">
            <v>5.5</v>
          </cell>
          <cell r="CX134">
            <v>5.5</v>
          </cell>
          <cell r="CY134">
            <v>5.5</v>
          </cell>
          <cell r="CZ134">
            <v>4.6300000000000001E-2</v>
          </cell>
          <cell r="DA134">
            <v>4.6300000000000001E-2</v>
          </cell>
          <cell r="DB134">
            <v>4.6300000000000001E-2</v>
          </cell>
          <cell r="DC134">
            <v>4.6300000000000001E-2</v>
          </cell>
          <cell r="DD134">
            <v>4.6300000000000001E-2</v>
          </cell>
          <cell r="DE134">
            <v>4.6300000000000001E-2</v>
          </cell>
          <cell r="DF134">
            <v>4.6300000000000001E-2</v>
          </cell>
          <cell r="DG134">
            <v>4.6300000000000001E-2</v>
          </cell>
          <cell r="DH134">
            <v>4.6300000000000001E-2</v>
          </cell>
          <cell r="DI134">
            <v>4.6300000000000001E-2</v>
          </cell>
          <cell r="DJ134">
            <v>4.6300000000000001E-2</v>
          </cell>
        </row>
        <row r="135">
          <cell r="C135">
            <v>5010</v>
          </cell>
          <cell r="D135">
            <v>9015</v>
          </cell>
          <cell r="E135" t="str">
            <v>Lead Pay Premium</v>
          </cell>
          <cell r="G135" t="str">
            <v>CBA2</v>
          </cell>
          <cell r="H135" t="str">
            <v>RFP CBA</v>
          </cell>
          <cell r="I135">
            <v>0</v>
          </cell>
          <cell r="J135">
            <v>0</v>
          </cell>
          <cell r="K135">
            <v>7.55</v>
          </cell>
          <cell r="L135">
            <v>0</v>
          </cell>
          <cell r="M135">
            <v>0</v>
          </cell>
          <cell r="N135">
            <v>0</v>
          </cell>
          <cell r="O135">
            <v>0</v>
          </cell>
          <cell r="P135">
            <v>0</v>
          </cell>
          <cell r="Q135">
            <v>0</v>
          </cell>
          <cell r="R135">
            <v>0</v>
          </cell>
          <cell r="S135">
            <v>0</v>
          </cell>
          <cell r="T135">
            <v>0</v>
          </cell>
          <cell r="U135">
            <v>0</v>
          </cell>
          <cell r="V135">
            <v>0</v>
          </cell>
          <cell r="W135">
            <v>5.5</v>
          </cell>
          <cell r="X135">
            <v>5.5</v>
          </cell>
          <cell r="Y135">
            <v>5.5</v>
          </cell>
          <cell r="Z135">
            <v>5.5</v>
          </cell>
          <cell r="AA135">
            <v>5.5</v>
          </cell>
          <cell r="AB135">
            <v>5.5</v>
          </cell>
          <cell r="AC135">
            <v>5.5</v>
          </cell>
          <cell r="AD135">
            <v>5.5</v>
          </cell>
          <cell r="AE135">
            <v>5.5</v>
          </cell>
          <cell r="AF135">
            <v>5.5</v>
          </cell>
          <cell r="AG135">
            <v>5.5</v>
          </cell>
          <cell r="AH135">
            <v>7.55</v>
          </cell>
          <cell r="AI135">
            <v>7.55</v>
          </cell>
          <cell r="AJ135">
            <v>7.55</v>
          </cell>
          <cell r="AK135">
            <v>7.55</v>
          </cell>
          <cell r="AL135">
            <v>7.55</v>
          </cell>
          <cell r="AM135">
            <v>7.55</v>
          </cell>
          <cell r="AN135">
            <v>7.55</v>
          </cell>
          <cell r="AO135">
            <v>7.55</v>
          </cell>
          <cell r="AP135">
            <v>7.55</v>
          </cell>
          <cell r="AQ135">
            <v>7.55</v>
          </cell>
          <cell r="AR135">
            <v>7.55</v>
          </cell>
          <cell r="AS135">
            <v>2.7E-2</v>
          </cell>
          <cell r="AT135">
            <v>8000</v>
          </cell>
          <cell r="AU135">
            <v>216</v>
          </cell>
          <cell r="AV135">
            <v>4.6300000000000001E-2</v>
          </cell>
          <cell r="AW135">
            <v>4.6300000000000001E-2</v>
          </cell>
          <cell r="AX135">
            <v>4.6300000000000001E-2</v>
          </cell>
          <cell r="AY135">
            <v>4.6300000000000001E-2</v>
          </cell>
          <cell r="AZ135">
            <v>4.6300000000000001E-2</v>
          </cell>
          <cell r="BA135">
            <v>4.6300000000000001E-2</v>
          </cell>
          <cell r="BB135">
            <v>4.6300000000000001E-2</v>
          </cell>
          <cell r="BC135">
            <v>4.6300000000000001E-2</v>
          </cell>
          <cell r="BD135">
            <v>4.6300000000000001E-2</v>
          </cell>
          <cell r="BE135">
            <v>4.6300000000000001E-2</v>
          </cell>
          <cell r="BF135">
            <v>4.6300000000000001E-2</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O135">
            <v>5.5</v>
          </cell>
          <cell r="CP135">
            <v>5.5</v>
          </cell>
          <cell r="CQ135">
            <v>5.5</v>
          </cell>
          <cell r="CR135">
            <v>5.5</v>
          </cell>
          <cell r="CS135">
            <v>5.5</v>
          </cell>
          <cell r="CT135">
            <v>5.5</v>
          </cell>
          <cell r="CU135">
            <v>5.5</v>
          </cell>
          <cell r="CV135">
            <v>5.5</v>
          </cell>
          <cell r="CW135">
            <v>5.5</v>
          </cell>
          <cell r="CX135">
            <v>5.5</v>
          </cell>
          <cell r="CY135">
            <v>5.5</v>
          </cell>
          <cell r="CZ135">
            <v>4.6300000000000001E-2</v>
          </cell>
          <cell r="DA135">
            <v>4.6300000000000001E-2</v>
          </cell>
          <cell r="DB135">
            <v>4.6300000000000001E-2</v>
          </cell>
          <cell r="DC135">
            <v>4.6300000000000001E-2</v>
          </cell>
          <cell r="DD135">
            <v>4.6300000000000001E-2</v>
          </cell>
          <cell r="DE135">
            <v>4.6300000000000001E-2</v>
          </cell>
          <cell r="DF135">
            <v>4.6300000000000001E-2</v>
          </cell>
          <cell r="DG135">
            <v>4.6300000000000001E-2</v>
          </cell>
          <cell r="DH135">
            <v>4.6300000000000001E-2</v>
          </cell>
          <cell r="DI135">
            <v>4.6300000000000001E-2</v>
          </cell>
          <cell r="DJ135">
            <v>4.6300000000000001E-2</v>
          </cell>
        </row>
        <row r="142">
          <cell r="C142" t="str">
            <v>Reimbursable Labor Rates</v>
          </cell>
        </row>
        <row r="144">
          <cell r="C144">
            <v>6000</v>
          </cell>
          <cell r="D144">
            <v>9015</v>
          </cell>
          <cell r="E144" t="str">
            <v>General Laborer</v>
          </cell>
          <cell r="F144" t="str">
            <v>DBA - DC2 - Laborer Skilled</v>
          </cell>
          <cell r="G144" t="str">
            <v>CBA1</v>
          </cell>
          <cell r="I144">
            <v>62275.199999999997</v>
          </cell>
          <cell r="J144">
            <v>29.939999999999998</v>
          </cell>
          <cell r="K144">
            <v>0</v>
          </cell>
          <cell r="L144">
            <v>29.939999999999998</v>
          </cell>
          <cell r="M144">
            <v>29.939999999999998</v>
          </cell>
          <cell r="N144">
            <v>29.939999999999998</v>
          </cell>
          <cell r="O144">
            <v>29.939999999999998</v>
          </cell>
          <cell r="P144">
            <v>29.939999999999998</v>
          </cell>
          <cell r="Q144">
            <v>29.939999999999998</v>
          </cell>
          <cell r="R144">
            <v>29.939999999999998</v>
          </cell>
          <cell r="S144">
            <v>29.939999999999998</v>
          </cell>
          <cell r="T144">
            <v>29.939999999999998</v>
          </cell>
          <cell r="U144">
            <v>29.939999999999998</v>
          </cell>
          <cell r="V144">
            <v>29.939999999999998</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2.7E-2</v>
          </cell>
          <cell r="AT144">
            <v>8000</v>
          </cell>
          <cell r="AU144">
            <v>216</v>
          </cell>
          <cell r="AV144">
            <v>4.6300000000000001E-2</v>
          </cell>
          <cell r="AW144">
            <v>4.6300000000000001E-2</v>
          </cell>
          <cell r="AX144">
            <v>4.6300000000000001E-2</v>
          </cell>
          <cell r="AY144">
            <v>4.6300000000000001E-2</v>
          </cell>
          <cell r="AZ144">
            <v>4.6300000000000001E-2</v>
          </cell>
          <cell r="BA144">
            <v>4.6300000000000001E-2</v>
          </cell>
          <cell r="BB144">
            <v>4.6300000000000001E-2</v>
          </cell>
          <cell r="BC144">
            <v>4.6300000000000001E-2</v>
          </cell>
          <cell r="BD144">
            <v>4.6300000000000001E-2</v>
          </cell>
          <cell r="BE144">
            <v>4.6300000000000001E-2</v>
          </cell>
          <cell r="BF144">
            <v>4.6300000000000001E-2</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O144">
            <v>0</v>
          </cell>
          <cell r="CP144">
            <v>0</v>
          </cell>
          <cell r="CQ144">
            <v>0</v>
          </cell>
          <cell r="CR144">
            <v>0</v>
          </cell>
          <cell r="CS144">
            <v>0</v>
          </cell>
          <cell r="CT144">
            <v>0</v>
          </cell>
          <cell r="CU144">
            <v>0</v>
          </cell>
          <cell r="CV144">
            <v>0</v>
          </cell>
          <cell r="CW144">
            <v>0</v>
          </cell>
          <cell r="CX144">
            <v>0</v>
          </cell>
          <cell r="CY144">
            <v>0</v>
          </cell>
          <cell r="CZ144">
            <v>4.6300000000000001E-2</v>
          </cell>
          <cell r="DA144">
            <v>4.6300000000000001E-2</v>
          </cell>
          <cell r="DB144">
            <v>4.6300000000000001E-2</v>
          </cell>
          <cell r="DC144">
            <v>4.6300000000000001E-2</v>
          </cell>
          <cell r="DD144">
            <v>4.6300000000000001E-2</v>
          </cell>
          <cell r="DE144">
            <v>4.6300000000000001E-2</v>
          </cell>
          <cell r="DF144">
            <v>4.6300000000000001E-2</v>
          </cell>
          <cell r="DG144">
            <v>4.6300000000000001E-2</v>
          </cell>
          <cell r="DH144">
            <v>4.6300000000000001E-2</v>
          </cell>
          <cell r="DI144">
            <v>4.6300000000000001E-2</v>
          </cell>
          <cell r="DJ144">
            <v>4.6300000000000001E-2</v>
          </cell>
        </row>
        <row r="145">
          <cell r="C145">
            <v>6005</v>
          </cell>
          <cell r="D145">
            <v>9015</v>
          </cell>
          <cell r="E145" t="str">
            <v>General Maintenance Worker</v>
          </cell>
          <cell r="F145" t="str">
            <v>General Maint. Worker - CBA</v>
          </cell>
          <cell r="G145" t="str">
            <v>CBA1</v>
          </cell>
          <cell r="I145">
            <v>57720</v>
          </cell>
          <cell r="J145">
            <v>27.75</v>
          </cell>
          <cell r="K145">
            <v>1.7</v>
          </cell>
          <cell r="L145">
            <v>27.75</v>
          </cell>
          <cell r="M145">
            <v>27.75</v>
          </cell>
          <cell r="N145">
            <v>27.95</v>
          </cell>
          <cell r="O145">
            <v>27.95</v>
          </cell>
          <cell r="P145">
            <v>27.95</v>
          </cell>
          <cell r="Q145">
            <v>27.95</v>
          </cell>
          <cell r="R145">
            <v>27.95</v>
          </cell>
          <cell r="S145">
            <v>27.95</v>
          </cell>
          <cell r="T145">
            <v>27.95</v>
          </cell>
          <cell r="U145">
            <v>27.95</v>
          </cell>
          <cell r="V145">
            <v>27.95</v>
          </cell>
          <cell r="W145">
            <v>0</v>
          </cell>
          <cell r="X145">
            <v>7.49</v>
          </cell>
          <cell r="Y145">
            <v>7.49</v>
          </cell>
          <cell r="Z145">
            <v>7.49</v>
          </cell>
          <cell r="AA145">
            <v>7.49</v>
          </cell>
          <cell r="AB145">
            <v>7.49</v>
          </cell>
          <cell r="AC145">
            <v>7.49</v>
          </cell>
          <cell r="AD145">
            <v>7.49</v>
          </cell>
          <cell r="AE145">
            <v>7.49</v>
          </cell>
          <cell r="AF145">
            <v>7.49</v>
          </cell>
          <cell r="AG145">
            <v>7.49</v>
          </cell>
          <cell r="AH145">
            <v>1.7</v>
          </cell>
          <cell r="AI145">
            <v>1.7</v>
          </cell>
          <cell r="AJ145">
            <v>1.7</v>
          </cell>
          <cell r="AK145">
            <v>1.7</v>
          </cell>
          <cell r="AL145">
            <v>1.7</v>
          </cell>
          <cell r="AM145">
            <v>1.7</v>
          </cell>
          <cell r="AN145">
            <v>1.7</v>
          </cell>
          <cell r="AO145">
            <v>1.7</v>
          </cell>
          <cell r="AP145">
            <v>1.7</v>
          </cell>
          <cell r="AQ145">
            <v>1.7</v>
          </cell>
          <cell r="AR145">
            <v>1.7</v>
          </cell>
          <cell r="AS145">
            <v>2.7E-2</v>
          </cell>
          <cell r="AT145">
            <v>8000</v>
          </cell>
          <cell r="AU145">
            <v>216</v>
          </cell>
          <cell r="AV145">
            <v>4.6300000000000001E-2</v>
          </cell>
          <cell r="AW145">
            <v>4.6300000000000001E-2</v>
          </cell>
          <cell r="AX145">
            <v>4.6300000000000001E-2</v>
          </cell>
          <cell r="AY145">
            <v>4.6300000000000001E-2</v>
          </cell>
          <cell r="AZ145">
            <v>4.6300000000000001E-2</v>
          </cell>
          <cell r="BA145">
            <v>4.6300000000000001E-2</v>
          </cell>
          <cell r="BB145">
            <v>4.6300000000000001E-2</v>
          </cell>
          <cell r="BC145">
            <v>4.6300000000000001E-2</v>
          </cell>
          <cell r="BD145">
            <v>4.6300000000000001E-2</v>
          </cell>
          <cell r="BE145">
            <v>4.6300000000000001E-2</v>
          </cell>
          <cell r="BF145">
            <v>4.6300000000000001E-2</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O145">
            <v>0</v>
          </cell>
          <cell r="CP145">
            <v>7.49</v>
          </cell>
          <cell r="CQ145">
            <v>7.49</v>
          </cell>
          <cell r="CR145">
            <v>7.49</v>
          </cell>
          <cell r="CS145">
            <v>7.49</v>
          </cell>
          <cell r="CT145">
            <v>7.49</v>
          </cell>
          <cell r="CU145">
            <v>7.49</v>
          </cell>
          <cell r="CV145">
            <v>7.49</v>
          </cell>
          <cell r="CW145">
            <v>7.49</v>
          </cell>
          <cell r="CX145">
            <v>7.49</v>
          </cell>
          <cell r="CY145">
            <v>7.49</v>
          </cell>
          <cell r="CZ145">
            <v>4.6300000000000001E-2</v>
          </cell>
          <cell r="DA145">
            <v>4.6300000000000001E-2</v>
          </cell>
          <cell r="DB145">
            <v>4.6300000000000001E-2</v>
          </cell>
          <cell r="DC145">
            <v>4.6300000000000001E-2</v>
          </cell>
          <cell r="DD145">
            <v>4.6300000000000001E-2</v>
          </cell>
          <cell r="DE145">
            <v>4.6300000000000001E-2</v>
          </cell>
          <cell r="DF145">
            <v>4.6300000000000001E-2</v>
          </cell>
          <cell r="DG145">
            <v>4.6300000000000001E-2</v>
          </cell>
          <cell r="DH145">
            <v>4.6300000000000001E-2</v>
          </cell>
          <cell r="DI145">
            <v>4.6300000000000001E-2</v>
          </cell>
          <cell r="DJ145">
            <v>4.6300000000000001E-2</v>
          </cell>
        </row>
        <row r="146">
          <cell r="C146">
            <v>6010</v>
          </cell>
          <cell r="D146">
            <v>9015</v>
          </cell>
          <cell r="E146" t="str">
            <v>Heavy Equipment Operator</v>
          </cell>
          <cell r="G146" t="str">
            <v>CBA1</v>
          </cell>
          <cell r="I146">
            <v>47652.800000000003</v>
          </cell>
          <cell r="J146">
            <v>22.91</v>
          </cell>
          <cell r="K146">
            <v>4.2699999999999996</v>
          </cell>
          <cell r="L146">
            <v>22.91</v>
          </cell>
          <cell r="M146">
            <v>22.91</v>
          </cell>
          <cell r="N146">
            <v>22.91</v>
          </cell>
          <cell r="O146">
            <v>22.91</v>
          </cell>
          <cell r="P146">
            <v>22.91</v>
          </cell>
          <cell r="Q146">
            <v>22.91</v>
          </cell>
          <cell r="R146">
            <v>22.91</v>
          </cell>
          <cell r="S146">
            <v>22.91</v>
          </cell>
          <cell r="T146">
            <v>22.91</v>
          </cell>
          <cell r="U146">
            <v>22.91</v>
          </cell>
          <cell r="V146">
            <v>22.91</v>
          </cell>
          <cell r="W146">
            <v>0</v>
          </cell>
          <cell r="X146">
            <v>0</v>
          </cell>
          <cell r="Y146">
            <v>0</v>
          </cell>
          <cell r="Z146">
            <v>0</v>
          </cell>
          <cell r="AA146">
            <v>0</v>
          </cell>
          <cell r="AB146">
            <v>0</v>
          </cell>
          <cell r="AC146">
            <v>0</v>
          </cell>
          <cell r="AD146">
            <v>0</v>
          </cell>
          <cell r="AE146">
            <v>0</v>
          </cell>
          <cell r="AF146">
            <v>0</v>
          </cell>
          <cell r="AG146">
            <v>0</v>
          </cell>
          <cell r="AH146">
            <v>4.2699999999999996</v>
          </cell>
          <cell r="AI146">
            <v>4.2699999999999996</v>
          </cell>
          <cell r="AJ146">
            <v>4.2699999999999996</v>
          </cell>
          <cell r="AK146">
            <v>4.2699999999999996</v>
          </cell>
          <cell r="AL146">
            <v>4.2699999999999996</v>
          </cell>
          <cell r="AM146">
            <v>4.2699999999999996</v>
          </cell>
          <cell r="AN146">
            <v>4.2699999999999996</v>
          </cell>
          <cell r="AO146">
            <v>4.2699999999999996</v>
          </cell>
          <cell r="AP146">
            <v>4.2699999999999996</v>
          </cell>
          <cell r="AQ146">
            <v>4.2699999999999996</v>
          </cell>
          <cell r="AR146">
            <v>4.2699999999999996</v>
          </cell>
          <cell r="AS146">
            <v>2.7E-2</v>
          </cell>
          <cell r="AT146">
            <v>8000</v>
          </cell>
          <cell r="AU146">
            <v>216</v>
          </cell>
          <cell r="AV146">
            <v>4.6300000000000001E-2</v>
          </cell>
          <cell r="AW146">
            <v>4.6300000000000001E-2</v>
          </cell>
          <cell r="AX146">
            <v>4.6300000000000001E-2</v>
          </cell>
          <cell r="AY146">
            <v>4.6300000000000001E-2</v>
          </cell>
          <cell r="AZ146">
            <v>4.6300000000000001E-2</v>
          </cell>
          <cell r="BA146">
            <v>4.6300000000000001E-2</v>
          </cell>
          <cell r="BB146">
            <v>4.6300000000000001E-2</v>
          </cell>
          <cell r="BC146">
            <v>4.6300000000000001E-2</v>
          </cell>
          <cell r="BD146">
            <v>4.6300000000000001E-2</v>
          </cell>
          <cell r="BE146">
            <v>4.6300000000000001E-2</v>
          </cell>
          <cell r="BF146">
            <v>4.6300000000000001E-2</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O146">
            <v>0</v>
          </cell>
          <cell r="CP146">
            <v>0</v>
          </cell>
          <cell r="CQ146">
            <v>0</v>
          </cell>
          <cell r="CR146">
            <v>0</v>
          </cell>
          <cell r="CS146">
            <v>0</v>
          </cell>
          <cell r="CT146">
            <v>0</v>
          </cell>
          <cell r="CU146">
            <v>0</v>
          </cell>
          <cell r="CV146">
            <v>0</v>
          </cell>
          <cell r="CW146">
            <v>0</v>
          </cell>
          <cell r="CX146">
            <v>0</v>
          </cell>
          <cell r="CY146">
            <v>0</v>
          </cell>
          <cell r="CZ146">
            <v>4.6300000000000001E-2</v>
          </cell>
          <cell r="DA146">
            <v>4.6300000000000001E-2</v>
          </cell>
          <cell r="DB146">
            <v>4.6300000000000001E-2</v>
          </cell>
          <cell r="DC146">
            <v>4.6300000000000001E-2</v>
          </cell>
          <cell r="DD146">
            <v>4.6300000000000001E-2</v>
          </cell>
          <cell r="DE146">
            <v>4.6300000000000001E-2</v>
          </cell>
          <cell r="DF146">
            <v>4.6300000000000001E-2</v>
          </cell>
          <cell r="DG146">
            <v>4.6300000000000001E-2</v>
          </cell>
          <cell r="DH146">
            <v>4.6300000000000001E-2</v>
          </cell>
          <cell r="DI146">
            <v>4.6300000000000001E-2</v>
          </cell>
          <cell r="DJ146">
            <v>4.6300000000000001E-2</v>
          </cell>
        </row>
        <row r="147">
          <cell r="C147">
            <v>6015</v>
          </cell>
          <cell r="D147">
            <v>9015</v>
          </cell>
          <cell r="E147" t="str">
            <v>Carpenter</v>
          </cell>
          <cell r="F147" t="str">
            <v>DBA - DC2 - Carpenter</v>
          </cell>
          <cell r="G147" t="str">
            <v>CBA1</v>
          </cell>
          <cell r="I147">
            <v>85841.599999999991</v>
          </cell>
          <cell r="J147">
            <v>41.269999999999996</v>
          </cell>
          <cell r="K147">
            <v>0</v>
          </cell>
          <cell r="L147">
            <v>41.269999999999996</v>
          </cell>
          <cell r="M147">
            <v>41.269999999999996</v>
          </cell>
          <cell r="N147">
            <v>41.269999999999996</v>
          </cell>
          <cell r="O147">
            <v>41.269999999999996</v>
          </cell>
          <cell r="P147">
            <v>41.269999999999996</v>
          </cell>
          <cell r="Q147">
            <v>41.269999999999996</v>
          </cell>
          <cell r="R147">
            <v>41.269999999999996</v>
          </cell>
          <cell r="S147">
            <v>41.269999999999996</v>
          </cell>
          <cell r="T147">
            <v>41.269999999999996</v>
          </cell>
          <cell r="U147">
            <v>41.269999999999996</v>
          </cell>
          <cell r="V147">
            <v>41.269999999999996</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2.7E-2</v>
          </cell>
          <cell r="AT147">
            <v>8000</v>
          </cell>
          <cell r="AU147">
            <v>216</v>
          </cell>
          <cell r="AV147">
            <v>4.6300000000000001E-2</v>
          </cell>
          <cell r="AW147">
            <v>4.6300000000000001E-2</v>
          </cell>
          <cell r="AX147">
            <v>4.6300000000000001E-2</v>
          </cell>
          <cell r="AY147">
            <v>4.6300000000000001E-2</v>
          </cell>
          <cell r="AZ147">
            <v>4.6300000000000001E-2</v>
          </cell>
          <cell r="BA147">
            <v>4.6300000000000001E-2</v>
          </cell>
          <cell r="BB147">
            <v>4.6300000000000001E-2</v>
          </cell>
          <cell r="BC147">
            <v>4.6300000000000001E-2</v>
          </cell>
          <cell r="BD147">
            <v>4.6300000000000001E-2</v>
          </cell>
          <cell r="BE147">
            <v>4.6300000000000001E-2</v>
          </cell>
          <cell r="BF147">
            <v>4.6300000000000001E-2</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O147">
            <v>0</v>
          </cell>
          <cell r="CP147">
            <v>0</v>
          </cell>
          <cell r="CQ147">
            <v>0</v>
          </cell>
          <cell r="CR147">
            <v>0</v>
          </cell>
          <cell r="CS147">
            <v>0</v>
          </cell>
          <cell r="CT147">
            <v>0</v>
          </cell>
          <cell r="CU147">
            <v>0</v>
          </cell>
          <cell r="CV147">
            <v>0</v>
          </cell>
          <cell r="CW147">
            <v>0</v>
          </cell>
          <cell r="CX147">
            <v>0</v>
          </cell>
          <cell r="CY147">
            <v>0</v>
          </cell>
          <cell r="CZ147">
            <v>4.6300000000000001E-2</v>
          </cell>
          <cell r="DA147">
            <v>4.6300000000000001E-2</v>
          </cell>
          <cell r="DB147">
            <v>4.6300000000000001E-2</v>
          </cell>
          <cell r="DC147">
            <v>4.6300000000000001E-2</v>
          </cell>
          <cell r="DD147">
            <v>4.6300000000000001E-2</v>
          </cell>
          <cell r="DE147">
            <v>4.6300000000000001E-2</v>
          </cell>
          <cell r="DF147">
            <v>4.6300000000000001E-2</v>
          </cell>
          <cell r="DG147">
            <v>4.6300000000000001E-2</v>
          </cell>
          <cell r="DH147">
            <v>4.6300000000000001E-2</v>
          </cell>
          <cell r="DI147">
            <v>4.6300000000000001E-2</v>
          </cell>
          <cell r="DJ147">
            <v>4.6300000000000001E-2</v>
          </cell>
        </row>
        <row r="148">
          <cell r="C148">
            <v>6020</v>
          </cell>
          <cell r="D148">
            <v>9015</v>
          </cell>
          <cell r="E148" t="str">
            <v>Carpenter's Helper</v>
          </cell>
          <cell r="G148" t="str">
            <v>CBA1</v>
          </cell>
          <cell r="I148">
            <v>76419.199999999983</v>
          </cell>
          <cell r="J148">
            <v>36.739999999999995</v>
          </cell>
          <cell r="K148">
            <v>0</v>
          </cell>
          <cell r="L148">
            <v>36.739999999999995</v>
          </cell>
          <cell r="M148">
            <v>36.739999999999995</v>
          </cell>
          <cell r="N148">
            <v>36.739999999999995</v>
          </cell>
          <cell r="O148">
            <v>36.739999999999995</v>
          </cell>
          <cell r="P148">
            <v>36.739999999999995</v>
          </cell>
          <cell r="Q148">
            <v>36.739999999999995</v>
          </cell>
          <cell r="R148">
            <v>36.739999999999995</v>
          </cell>
          <cell r="S148">
            <v>36.739999999999995</v>
          </cell>
          <cell r="T148">
            <v>36.739999999999995</v>
          </cell>
          <cell r="U148">
            <v>36.739999999999995</v>
          </cell>
          <cell r="V148">
            <v>36.739999999999995</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2.7E-2</v>
          </cell>
          <cell r="AT148">
            <v>8000</v>
          </cell>
          <cell r="AU148">
            <v>216</v>
          </cell>
          <cell r="AV148">
            <v>4.6300000000000001E-2</v>
          </cell>
          <cell r="AW148">
            <v>4.6300000000000001E-2</v>
          </cell>
          <cell r="AX148">
            <v>4.6300000000000001E-2</v>
          </cell>
          <cell r="AY148">
            <v>4.6300000000000001E-2</v>
          </cell>
          <cell r="AZ148">
            <v>4.6300000000000001E-2</v>
          </cell>
          <cell r="BA148">
            <v>4.6300000000000001E-2</v>
          </cell>
          <cell r="BB148">
            <v>4.6300000000000001E-2</v>
          </cell>
          <cell r="BC148">
            <v>4.6300000000000001E-2</v>
          </cell>
          <cell r="BD148">
            <v>4.6300000000000001E-2</v>
          </cell>
          <cell r="BE148">
            <v>4.6300000000000001E-2</v>
          </cell>
          <cell r="BF148">
            <v>4.6300000000000001E-2</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O148">
            <v>0</v>
          </cell>
          <cell r="CP148">
            <v>0</v>
          </cell>
          <cell r="CQ148">
            <v>0</v>
          </cell>
          <cell r="CR148">
            <v>0</v>
          </cell>
          <cell r="CS148">
            <v>0</v>
          </cell>
          <cell r="CT148">
            <v>0</v>
          </cell>
          <cell r="CU148">
            <v>0</v>
          </cell>
          <cell r="CV148">
            <v>0</v>
          </cell>
          <cell r="CW148">
            <v>0</v>
          </cell>
          <cell r="CX148">
            <v>0</v>
          </cell>
          <cell r="CY148">
            <v>0</v>
          </cell>
          <cell r="CZ148">
            <v>4.6300000000000001E-2</v>
          </cell>
          <cell r="DA148">
            <v>4.6300000000000001E-2</v>
          </cell>
          <cell r="DB148">
            <v>4.6300000000000001E-2</v>
          </cell>
          <cell r="DC148">
            <v>4.6300000000000001E-2</v>
          </cell>
          <cell r="DD148">
            <v>4.6300000000000001E-2</v>
          </cell>
          <cell r="DE148">
            <v>4.6300000000000001E-2</v>
          </cell>
          <cell r="DF148">
            <v>4.6300000000000001E-2</v>
          </cell>
          <cell r="DG148">
            <v>4.6300000000000001E-2</v>
          </cell>
          <cell r="DH148">
            <v>4.6300000000000001E-2</v>
          </cell>
          <cell r="DI148">
            <v>4.6300000000000001E-2</v>
          </cell>
          <cell r="DJ148">
            <v>4.6300000000000001E-2</v>
          </cell>
        </row>
        <row r="149">
          <cell r="C149">
            <v>6025</v>
          </cell>
          <cell r="D149">
            <v>9015</v>
          </cell>
          <cell r="E149" t="str">
            <v>Concrete Finisher</v>
          </cell>
          <cell r="F149" t="str">
            <v>DBA - DC2 - Cement Mason/Concrete Finisher</v>
          </cell>
          <cell r="G149" t="str">
            <v>CBA1</v>
          </cell>
          <cell r="I149">
            <v>76460.800000000003</v>
          </cell>
          <cell r="J149">
            <v>36.76</v>
          </cell>
          <cell r="K149">
            <v>0</v>
          </cell>
          <cell r="L149">
            <v>36.76</v>
          </cell>
          <cell r="M149">
            <v>36.76</v>
          </cell>
          <cell r="N149">
            <v>36.76</v>
          </cell>
          <cell r="O149">
            <v>36.76</v>
          </cell>
          <cell r="P149">
            <v>36.76</v>
          </cell>
          <cell r="Q149">
            <v>36.76</v>
          </cell>
          <cell r="R149">
            <v>36.76</v>
          </cell>
          <cell r="S149">
            <v>36.76</v>
          </cell>
          <cell r="T149">
            <v>36.76</v>
          </cell>
          <cell r="U149">
            <v>36.76</v>
          </cell>
          <cell r="V149">
            <v>36.76</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2.7E-2</v>
          </cell>
          <cell r="AT149">
            <v>8000</v>
          </cell>
          <cell r="AU149">
            <v>216</v>
          </cell>
          <cell r="AV149">
            <v>4.6300000000000001E-2</v>
          </cell>
          <cell r="AW149">
            <v>4.6300000000000001E-2</v>
          </cell>
          <cell r="AX149">
            <v>4.6300000000000001E-2</v>
          </cell>
          <cell r="AY149">
            <v>4.6300000000000001E-2</v>
          </cell>
          <cell r="AZ149">
            <v>4.6300000000000001E-2</v>
          </cell>
          <cell r="BA149">
            <v>4.6300000000000001E-2</v>
          </cell>
          <cell r="BB149">
            <v>4.6300000000000001E-2</v>
          </cell>
          <cell r="BC149">
            <v>4.6300000000000001E-2</v>
          </cell>
          <cell r="BD149">
            <v>4.6300000000000001E-2</v>
          </cell>
          <cell r="BE149">
            <v>4.6300000000000001E-2</v>
          </cell>
          <cell r="BF149">
            <v>4.6300000000000001E-2</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O149">
            <v>0</v>
          </cell>
          <cell r="CP149">
            <v>0</v>
          </cell>
          <cell r="CQ149">
            <v>0</v>
          </cell>
          <cell r="CR149">
            <v>0</v>
          </cell>
          <cell r="CS149">
            <v>0</v>
          </cell>
          <cell r="CT149">
            <v>0</v>
          </cell>
          <cell r="CU149">
            <v>0</v>
          </cell>
          <cell r="CV149">
            <v>0</v>
          </cell>
          <cell r="CW149">
            <v>0</v>
          </cell>
          <cell r="CX149">
            <v>0</v>
          </cell>
          <cell r="CY149">
            <v>0</v>
          </cell>
          <cell r="CZ149">
            <v>4.6300000000000001E-2</v>
          </cell>
          <cell r="DA149">
            <v>4.6300000000000001E-2</v>
          </cell>
          <cell r="DB149">
            <v>4.6300000000000001E-2</v>
          </cell>
          <cell r="DC149">
            <v>4.6300000000000001E-2</v>
          </cell>
          <cell r="DD149">
            <v>4.6300000000000001E-2</v>
          </cell>
          <cell r="DE149">
            <v>4.6300000000000001E-2</v>
          </cell>
          <cell r="DF149">
            <v>4.6300000000000001E-2</v>
          </cell>
          <cell r="DG149">
            <v>4.6300000000000001E-2</v>
          </cell>
          <cell r="DH149">
            <v>4.6300000000000001E-2</v>
          </cell>
          <cell r="DI149">
            <v>4.6300000000000001E-2</v>
          </cell>
          <cell r="DJ149">
            <v>4.6300000000000001E-2</v>
          </cell>
        </row>
        <row r="150">
          <cell r="C150">
            <v>6030</v>
          </cell>
          <cell r="D150">
            <v>9015</v>
          </cell>
          <cell r="E150" t="str">
            <v>Concrete Finisher Helper</v>
          </cell>
          <cell r="G150" t="str">
            <v>CBA1</v>
          </cell>
          <cell r="I150">
            <v>55827.199999999997</v>
          </cell>
          <cell r="J150">
            <v>26.84</v>
          </cell>
          <cell r="K150">
            <v>1.7</v>
          </cell>
          <cell r="L150">
            <v>26.84</v>
          </cell>
          <cell r="M150">
            <v>26.84</v>
          </cell>
          <cell r="N150">
            <v>27.04</v>
          </cell>
          <cell r="O150">
            <v>27.04</v>
          </cell>
          <cell r="P150">
            <v>27.04</v>
          </cell>
          <cell r="Q150">
            <v>27.04</v>
          </cell>
          <cell r="R150">
            <v>27.04</v>
          </cell>
          <cell r="S150">
            <v>27.04</v>
          </cell>
          <cell r="T150">
            <v>27.04</v>
          </cell>
          <cell r="U150">
            <v>27.04</v>
          </cell>
          <cell r="V150">
            <v>27.04</v>
          </cell>
          <cell r="W150">
            <v>0</v>
          </cell>
          <cell r="X150">
            <v>7.49</v>
          </cell>
          <cell r="Y150">
            <v>7.49</v>
          </cell>
          <cell r="Z150">
            <v>7.49</v>
          </cell>
          <cell r="AA150">
            <v>7.49</v>
          </cell>
          <cell r="AB150">
            <v>7.49</v>
          </cell>
          <cell r="AC150">
            <v>7.49</v>
          </cell>
          <cell r="AD150">
            <v>7.49</v>
          </cell>
          <cell r="AE150">
            <v>7.49</v>
          </cell>
          <cell r="AF150">
            <v>7.49</v>
          </cell>
          <cell r="AG150">
            <v>7.49</v>
          </cell>
          <cell r="AH150">
            <v>1.7</v>
          </cell>
          <cell r="AI150">
            <v>1.7</v>
          </cell>
          <cell r="AJ150">
            <v>1.7</v>
          </cell>
          <cell r="AK150">
            <v>1.7</v>
          </cell>
          <cell r="AL150">
            <v>1.7</v>
          </cell>
          <cell r="AM150">
            <v>1.7</v>
          </cell>
          <cell r="AN150">
            <v>1.7</v>
          </cell>
          <cell r="AO150">
            <v>1.7</v>
          </cell>
          <cell r="AP150">
            <v>1.7</v>
          </cell>
          <cell r="AQ150">
            <v>1.7</v>
          </cell>
          <cell r="AR150">
            <v>1.7</v>
          </cell>
          <cell r="AS150">
            <v>2.7E-2</v>
          </cell>
          <cell r="AT150">
            <v>8000</v>
          </cell>
          <cell r="AU150">
            <v>216</v>
          </cell>
          <cell r="AV150">
            <v>4.6300000000000001E-2</v>
          </cell>
          <cell r="AW150">
            <v>4.6300000000000001E-2</v>
          </cell>
          <cell r="AX150">
            <v>4.6300000000000001E-2</v>
          </cell>
          <cell r="AY150">
            <v>4.6300000000000001E-2</v>
          </cell>
          <cell r="AZ150">
            <v>4.6300000000000001E-2</v>
          </cell>
          <cell r="BA150">
            <v>4.6300000000000001E-2</v>
          </cell>
          <cell r="BB150">
            <v>4.6300000000000001E-2</v>
          </cell>
          <cell r="BC150">
            <v>4.6300000000000001E-2</v>
          </cell>
          <cell r="BD150">
            <v>4.6300000000000001E-2</v>
          </cell>
          <cell r="BE150">
            <v>4.6300000000000001E-2</v>
          </cell>
          <cell r="BF150">
            <v>4.6300000000000001E-2</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O150">
            <v>0</v>
          </cell>
          <cell r="CP150">
            <v>7.49</v>
          </cell>
          <cell r="CQ150">
            <v>7.49</v>
          </cell>
          <cell r="CR150">
            <v>7.49</v>
          </cell>
          <cell r="CS150">
            <v>7.49</v>
          </cell>
          <cell r="CT150">
            <v>7.49</v>
          </cell>
          <cell r="CU150">
            <v>7.49</v>
          </cell>
          <cell r="CV150">
            <v>7.49</v>
          </cell>
          <cell r="CW150">
            <v>7.49</v>
          </cell>
          <cell r="CX150">
            <v>7.49</v>
          </cell>
          <cell r="CY150">
            <v>7.49</v>
          </cell>
          <cell r="CZ150">
            <v>4.6300000000000001E-2</v>
          </cell>
          <cell r="DA150">
            <v>4.6300000000000001E-2</v>
          </cell>
          <cell r="DB150">
            <v>4.6300000000000001E-2</v>
          </cell>
          <cell r="DC150">
            <v>4.6300000000000001E-2</v>
          </cell>
          <cell r="DD150">
            <v>4.6300000000000001E-2</v>
          </cell>
          <cell r="DE150">
            <v>4.6300000000000001E-2</v>
          </cell>
          <cell r="DF150">
            <v>4.6300000000000001E-2</v>
          </cell>
          <cell r="DG150">
            <v>4.6300000000000001E-2</v>
          </cell>
          <cell r="DH150">
            <v>4.6300000000000001E-2</v>
          </cell>
          <cell r="DI150">
            <v>4.6300000000000001E-2</v>
          </cell>
          <cell r="DJ150">
            <v>4.6300000000000001E-2</v>
          </cell>
        </row>
        <row r="151">
          <cell r="C151">
            <v>6035</v>
          </cell>
          <cell r="D151">
            <v>9015</v>
          </cell>
          <cell r="E151" t="str">
            <v>Painter</v>
          </cell>
          <cell r="F151" t="str">
            <v>DBA - DC2 - Painter</v>
          </cell>
          <cell r="G151" t="str">
            <v>CBA1</v>
          </cell>
          <cell r="I151">
            <v>70595.199999999997</v>
          </cell>
          <cell r="J151">
            <v>33.94</v>
          </cell>
          <cell r="K151">
            <v>0</v>
          </cell>
          <cell r="L151">
            <v>33.94</v>
          </cell>
          <cell r="M151">
            <v>33.94</v>
          </cell>
          <cell r="N151">
            <v>33.94</v>
          </cell>
          <cell r="O151">
            <v>33.94</v>
          </cell>
          <cell r="P151">
            <v>33.94</v>
          </cell>
          <cell r="Q151">
            <v>33.94</v>
          </cell>
          <cell r="R151">
            <v>33.94</v>
          </cell>
          <cell r="S151">
            <v>33.94</v>
          </cell>
          <cell r="T151">
            <v>33.94</v>
          </cell>
          <cell r="U151">
            <v>33.94</v>
          </cell>
          <cell r="V151">
            <v>33.94</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2.7E-2</v>
          </cell>
          <cell r="AT151">
            <v>8000</v>
          </cell>
          <cell r="AU151">
            <v>216</v>
          </cell>
          <cell r="AV151">
            <v>4.6300000000000001E-2</v>
          </cell>
          <cell r="AW151">
            <v>4.6300000000000001E-2</v>
          </cell>
          <cell r="AX151">
            <v>4.6300000000000001E-2</v>
          </cell>
          <cell r="AY151">
            <v>4.6300000000000001E-2</v>
          </cell>
          <cell r="AZ151">
            <v>4.6300000000000001E-2</v>
          </cell>
          <cell r="BA151">
            <v>4.6300000000000001E-2</v>
          </cell>
          <cell r="BB151">
            <v>4.6300000000000001E-2</v>
          </cell>
          <cell r="BC151">
            <v>4.6300000000000001E-2</v>
          </cell>
          <cell r="BD151">
            <v>4.6300000000000001E-2</v>
          </cell>
          <cell r="BE151">
            <v>4.6300000000000001E-2</v>
          </cell>
          <cell r="BF151">
            <v>4.6300000000000001E-2</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O151">
            <v>0</v>
          </cell>
          <cell r="CP151">
            <v>0</v>
          </cell>
          <cell r="CQ151">
            <v>0</v>
          </cell>
          <cell r="CR151">
            <v>0</v>
          </cell>
          <cell r="CS151">
            <v>0</v>
          </cell>
          <cell r="CT151">
            <v>0</v>
          </cell>
          <cell r="CU151">
            <v>0</v>
          </cell>
          <cell r="CV151">
            <v>0</v>
          </cell>
          <cell r="CW151">
            <v>0</v>
          </cell>
          <cell r="CX151">
            <v>0</v>
          </cell>
          <cell r="CY151">
            <v>0</v>
          </cell>
          <cell r="CZ151">
            <v>4.6300000000000001E-2</v>
          </cell>
          <cell r="DA151">
            <v>4.6300000000000001E-2</v>
          </cell>
          <cell r="DB151">
            <v>4.6300000000000001E-2</v>
          </cell>
          <cell r="DC151">
            <v>4.6300000000000001E-2</v>
          </cell>
          <cell r="DD151">
            <v>4.6300000000000001E-2</v>
          </cell>
          <cell r="DE151">
            <v>4.6300000000000001E-2</v>
          </cell>
          <cell r="DF151">
            <v>4.6300000000000001E-2</v>
          </cell>
          <cell r="DG151">
            <v>4.6300000000000001E-2</v>
          </cell>
          <cell r="DH151">
            <v>4.6300000000000001E-2</v>
          </cell>
          <cell r="DI151">
            <v>4.6300000000000001E-2</v>
          </cell>
          <cell r="DJ151">
            <v>4.6300000000000001E-2</v>
          </cell>
        </row>
        <row r="152">
          <cell r="C152">
            <v>6040</v>
          </cell>
          <cell r="D152">
            <v>9015</v>
          </cell>
          <cell r="E152" t="str">
            <v>Painter's Helper</v>
          </cell>
          <cell r="F152" t="str">
            <v>Maint. Helper - CBA</v>
          </cell>
          <cell r="G152" t="str">
            <v>CBA1</v>
          </cell>
          <cell r="I152">
            <v>66019.199999999997</v>
          </cell>
          <cell r="J152">
            <v>31.74</v>
          </cell>
          <cell r="K152">
            <v>1.7</v>
          </cell>
          <cell r="L152">
            <v>31.74</v>
          </cell>
          <cell r="M152">
            <v>31.74</v>
          </cell>
          <cell r="N152">
            <v>31.94</v>
          </cell>
          <cell r="O152">
            <v>31.94</v>
          </cell>
          <cell r="P152">
            <v>31.94</v>
          </cell>
          <cell r="Q152">
            <v>31.94</v>
          </cell>
          <cell r="R152">
            <v>31.94</v>
          </cell>
          <cell r="S152">
            <v>31.94</v>
          </cell>
          <cell r="T152">
            <v>31.94</v>
          </cell>
          <cell r="U152">
            <v>31.94</v>
          </cell>
          <cell r="V152">
            <v>31.94</v>
          </cell>
          <cell r="W152">
            <v>0</v>
          </cell>
          <cell r="X152">
            <v>7.49</v>
          </cell>
          <cell r="Y152">
            <v>7.49</v>
          </cell>
          <cell r="Z152">
            <v>7.49</v>
          </cell>
          <cell r="AA152">
            <v>7.49</v>
          </cell>
          <cell r="AB152">
            <v>7.49</v>
          </cell>
          <cell r="AC152">
            <v>7.49</v>
          </cell>
          <cell r="AD152">
            <v>7.49</v>
          </cell>
          <cell r="AE152">
            <v>7.49</v>
          </cell>
          <cell r="AF152">
            <v>7.49</v>
          </cell>
          <cell r="AG152">
            <v>7.49</v>
          </cell>
          <cell r="AH152">
            <v>1.7</v>
          </cell>
          <cell r="AI152">
            <v>1.7</v>
          </cell>
          <cell r="AJ152">
            <v>1.7</v>
          </cell>
          <cell r="AK152">
            <v>1.7</v>
          </cell>
          <cell r="AL152">
            <v>1.7</v>
          </cell>
          <cell r="AM152">
            <v>1.7</v>
          </cell>
          <cell r="AN152">
            <v>1.7</v>
          </cell>
          <cell r="AO152">
            <v>1.7</v>
          </cell>
          <cell r="AP152">
            <v>1.7</v>
          </cell>
          <cell r="AQ152">
            <v>1.7</v>
          </cell>
          <cell r="AR152">
            <v>1.7</v>
          </cell>
          <cell r="AS152">
            <v>2.7E-2</v>
          </cell>
          <cell r="AT152">
            <v>8000</v>
          </cell>
          <cell r="AU152">
            <v>216</v>
          </cell>
          <cell r="AV152">
            <v>4.6300000000000001E-2</v>
          </cell>
          <cell r="AW152">
            <v>4.6300000000000001E-2</v>
          </cell>
          <cell r="AX152">
            <v>4.6300000000000001E-2</v>
          </cell>
          <cell r="AY152">
            <v>4.6300000000000001E-2</v>
          </cell>
          <cell r="AZ152">
            <v>4.6300000000000001E-2</v>
          </cell>
          <cell r="BA152">
            <v>4.6300000000000001E-2</v>
          </cell>
          <cell r="BB152">
            <v>4.6300000000000001E-2</v>
          </cell>
          <cell r="BC152">
            <v>4.6300000000000001E-2</v>
          </cell>
          <cell r="BD152">
            <v>4.6300000000000001E-2</v>
          </cell>
          <cell r="BE152">
            <v>4.6300000000000001E-2</v>
          </cell>
          <cell r="BF152">
            <v>4.6300000000000001E-2</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O152">
            <v>0</v>
          </cell>
          <cell r="CP152">
            <v>7.49</v>
          </cell>
          <cell r="CQ152">
            <v>7.49</v>
          </cell>
          <cell r="CR152">
            <v>7.49</v>
          </cell>
          <cell r="CS152">
            <v>7.49</v>
          </cell>
          <cell r="CT152">
            <v>7.49</v>
          </cell>
          <cell r="CU152">
            <v>7.49</v>
          </cell>
          <cell r="CV152">
            <v>7.49</v>
          </cell>
          <cell r="CW152">
            <v>7.49</v>
          </cell>
          <cell r="CX152">
            <v>7.49</v>
          </cell>
          <cell r="CY152">
            <v>7.49</v>
          </cell>
          <cell r="CZ152">
            <v>4.6300000000000001E-2</v>
          </cell>
          <cell r="DA152">
            <v>4.6300000000000001E-2</v>
          </cell>
          <cell r="DB152">
            <v>4.6300000000000001E-2</v>
          </cell>
          <cell r="DC152">
            <v>4.6300000000000001E-2</v>
          </cell>
          <cell r="DD152">
            <v>4.6300000000000001E-2</v>
          </cell>
          <cell r="DE152">
            <v>4.6300000000000001E-2</v>
          </cell>
          <cell r="DF152">
            <v>4.6300000000000001E-2</v>
          </cell>
          <cell r="DG152">
            <v>4.6300000000000001E-2</v>
          </cell>
          <cell r="DH152">
            <v>4.6300000000000001E-2</v>
          </cell>
          <cell r="DI152">
            <v>4.6300000000000001E-2</v>
          </cell>
          <cell r="DJ152">
            <v>4.6300000000000001E-2</v>
          </cell>
        </row>
        <row r="153">
          <cell r="C153">
            <v>6045</v>
          </cell>
          <cell r="D153">
            <v>9015</v>
          </cell>
          <cell r="E153" t="str">
            <v>HVAC Lead</v>
          </cell>
          <cell r="F153" t="str">
            <v>HVAC Lead - CBA</v>
          </cell>
          <cell r="G153" t="str">
            <v>CBA1</v>
          </cell>
          <cell r="I153">
            <v>62920</v>
          </cell>
          <cell r="J153">
            <v>30.25</v>
          </cell>
          <cell r="K153">
            <v>1.7</v>
          </cell>
          <cell r="L153">
            <v>30.25</v>
          </cell>
          <cell r="M153">
            <v>30.25</v>
          </cell>
          <cell r="N153">
            <v>30.45</v>
          </cell>
          <cell r="O153">
            <v>30.45</v>
          </cell>
          <cell r="P153">
            <v>30.45</v>
          </cell>
          <cell r="Q153">
            <v>30.45</v>
          </cell>
          <cell r="R153">
            <v>30.45</v>
          </cell>
          <cell r="S153">
            <v>30.45</v>
          </cell>
          <cell r="T153">
            <v>30.45</v>
          </cell>
          <cell r="U153">
            <v>30.45</v>
          </cell>
          <cell r="V153">
            <v>30.45</v>
          </cell>
          <cell r="W153">
            <v>0</v>
          </cell>
          <cell r="X153">
            <v>7.49</v>
          </cell>
          <cell r="Y153">
            <v>7.49</v>
          </cell>
          <cell r="Z153">
            <v>7.49</v>
          </cell>
          <cell r="AA153">
            <v>7.49</v>
          </cell>
          <cell r="AB153">
            <v>7.49</v>
          </cell>
          <cell r="AC153">
            <v>7.49</v>
          </cell>
          <cell r="AD153">
            <v>7.49</v>
          </cell>
          <cell r="AE153">
            <v>7.49</v>
          </cell>
          <cell r="AF153">
            <v>7.49</v>
          </cell>
          <cell r="AG153">
            <v>7.49</v>
          </cell>
          <cell r="AH153">
            <v>1.7</v>
          </cell>
          <cell r="AI153">
            <v>1.7</v>
          </cell>
          <cell r="AJ153">
            <v>1.7</v>
          </cell>
          <cell r="AK153">
            <v>1.7</v>
          </cell>
          <cell r="AL153">
            <v>1.7</v>
          </cell>
          <cell r="AM153">
            <v>1.7</v>
          </cell>
          <cell r="AN153">
            <v>1.7</v>
          </cell>
          <cell r="AO153">
            <v>1.7</v>
          </cell>
          <cell r="AP153">
            <v>1.7</v>
          </cell>
          <cell r="AQ153">
            <v>1.7</v>
          </cell>
          <cell r="AR153">
            <v>1.7</v>
          </cell>
          <cell r="AS153">
            <v>2.7E-2</v>
          </cell>
          <cell r="AT153">
            <v>8000</v>
          </cell>
          <cell r="AU153">
            <v>216</v>
          </cell>
          <cell r="AV153">
            <v>4.6300000000000001E-2</v>
          </cell>
          <cell r="AW153">
            <v>4.6300000000000001E-2</v>
          </cell>
          <cell r="AX153">
            <v>4.6300000000000001E-2</v>
          </cell>
          <cell r="AY153">
            <v>4.6300000000000001E-2</v>
          </cell>
          <cell r="AZ153">
            <v>4.6300000000000001E-2</v>
          </cell>
          <cell r="BA153">
            <v>4.6300000000000001E-2</v>
          </cell>
          <cell r="BB153">
            <v>4.6300000000000001E-2</v>
          </cell>
          <cell r="BC153">
            <v>4.6300000000000001E-2</v>
          </cell>
          <cell r="BD153">
            <v>4.6300000000000001E-2</v>
          </cell>
          <cell r="BE153">
            <v>4.6300000000000001E-2</v>
          </cell>
          <cell r="BF153">
            <v>4.6300000000000001E-2</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O153">
            <v>0</v>
          </cell>
          <cell r="CP153">
            <v>7.49</v>
          </cell>
          <cell r="CQ153">
            <v>7.49</v>
          </cell>
          <cell r="CR153">
            <v>7.49</v>
          </cell>
          <cell r="CS153">
            <v>7.49</v>
          </cell>
          <cell r="CT153">
            <v>7.49</v>
          </cell>
          <cell r="CU153">
            <v>7.49</v>
          </cell>
          <cell r="CV153">
            <v>7.49</v>
          </cell>
          <cell r="CW153">
            <v>7.49</v>
          </cell>
          <cell r="CX153">
            <v>7.49</v>
          </cell>
          <cell r="CY153">
            <v>7.49</v>
          </cell>
          <cell r="CZ153">
            <v>4.6300000000000001E-2</v>
          </cell>
          <cell r="DA153">
            <v>4.6300000000000001E-2</v>
          </cell>
          <cell r="DB153">
            <v>4.6300000000000001E-2</v>
          </cell>
          <cell r="DC153">
            <v>4.6300000000000001E-2</v>
          </cell>
          <cell r="DD153">
            <v>4.6300000000000001E-2</v>
          </cell>
          <cell r="DE153">
            <v>4.6300000000000001E-2</v>
          </cell>
          <cell r="DF153">
            <v>4.6300000000000001E-2</v>
          </cell>
          <cell r="DG153">
            <v>4.6300000000000001E-2</v>
          </cell>
          <cell r="DH153">
            <v>4.6300000000000001E-2</v>
          </cell>
          <cell r="DI153">
            <v>4.6300000000000001E-2</v>
          </cell>
          <cell r="DJ153">
            <v>4.6300000000000001E-2</v>
          </cell>
        </row>
        <row r="154">
          <cell r="C154">
            <v>6050</v>
          </cell>
          <cell r="D154">
            <v>9015</v>
          </cell>
          <cell r="E154" t="str">
            <v>HVAC Journeyman Mechanic</v>
          </cell>
          <cell r="F154" t="str">
            <v>HVAC/Engineer - CBA</v>
          </cell>
          <cell r="G154" t="str">
            <v>CBA1</v>
          </cell>
          <cell r="I154">
            <v>56118.400000000001</v>
          </cell>
          <cell r="J154">
            <v>26.98</v>
          </cell>
          <cell r="K154">
            <v>1.7</v>
          </cell>
          <cell r="L154">
            <v>26.98</v>
          </cell>
          <cell r="M154">
            <v>26.98</v>
          </cell>
          <cell r="N154">
            <v>27.18</v>
          </cell>
          <cell r="O154">
            <v>27.18</v>
          </cell>
          <cell r="P154">
            <v>27.18</v>
          </cell>
          <cell r="Q154">
            <v>27.18</v>
          </cell>
          <cell r="R154">
            <v>27.18</v>
          </cell>
          <cell r="S154">
            <v>27.18</v>
          </cell>
          <cell r="T154">
            <v>27.18</v>
          </cell>
          <cell r="U154">
            <v>27.18</v>
          </cell>
          <cell r="V154">
            <v>27.18</v>
          </cell>
          <cell r="W154">
            <v>0</v>
          </cell>
          <cell r="X154">
            <v>7.49</v>
          </cell>
          <cell r="Y154">
            <v>7.49</v>
          </cell>
          <cell r="Z154">
            <v>7.49</v>
          </cell>
          <cell r="AA154">
            <v>7.49</v>
          </cell>
          <cell r="AB154">
            <v>7.49</v>
          </cell>
          <cell r="AC154">
            <v>7.49</v>
          </cell>
          <cell r="AD154">
            <v>7.49</v>
          </cell>
          <cell r="AE154">
            <v>7.49</v>
          </cell>
          <cell r="AF154">
            <v>7.49</v>
          </cell>
          <cell r="AG154">
            <v>7.49</v>
          </cell>
          <cell r="AH154">
            <v>1.7</v>
          </cell>
          <cell r="AI154">
            <v>1.7</v>
          </cell>
          <cell r="AJ154">
            <v>1.7</v>
          </cell>
          <cell r="AK154">
            <v>1.7</v>
          </cell>
          <cell r="AL154">
            <v>1.7</v>
          </cell>
          <cell r="AM154">
            <v>1.7</v>
          </cell>
          <cell r="AN154">
            <v>1.7</v>
          </cell>
          <cell r="AO154">
            <v>1.7</v>
          </cell>
          <cell r="AP154">
            <v>1.7</v>
          </cell>
          <cell r="AQ154">
            <v>1.7</v>
          </cell>
          <cell r="AR154">
            <v>1.7</v>
          </cell>
          <cell r="AS154">
            <v>2.7E-2</v>
          </cell>
          <cell r="AT154">
            <v>8000</v>
          </cell>
          <cell r="AU154">
            <v>216</v>
          </cell>
          <cell r="AV154">
            <v>4.6300000000000001E-2</v>
          </cell>
          <cell r="AW154">
            <v>4.6300000000000001E-2</v>
          </cell>
          <cell r="AX154">
            <v>4.6300000000000001E-2</v>
          </cell>
          <cell r="AY154">
            <v>4.6300000000000001E-2</v>
          </cell>
          <cell r="AZ154">
            <v>4.6300000000000001E-2</v>
          </cell>
          <cell r="BA154">
            <v>4.6300000000000001E-2</v>
          </cell>
          <cell r="BB154">
            <v>4.6300000000000001E-2</v>
          </cell>
          <cell r="BC154">
            <v>4.6300000000000001E-2</v>
          </cell>
          <cell r="BD154">
            <v>4.6300000000000001E-2</v>
          </cell>
          <cell r="BE154">
            <v>4.6300000000000001E-2</v>
          </cell>
          <cell r="BF154">
            <v>4.6300000000000001E-2</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O154">
            <v>0</v>
          </cell>
          <cell r="CP154">
            <v>7.49</v>
          </cell>
          <cell r="CQ154">
            <v>7.49</v>
          </cell>
          <cell r="CR154">
            <v>7.49</v>
          </cell>
          <cell r="CS154">
            <v>7.49</v>
          </cell>
          <cell r="CT154">
            <v>7.49</v>
          </cell>
          <cell r="CU154">
            <v>7.49</v>
          </cell>
          <cell r="CV154">
            <v>7.49</v>
          </cell>
          <cell r="CW154">
            <v>7.49</v>
          </cell>
          <cell r="CX154">
            <v>7.49</v>
          </cell>
          <cell r="CY154">
            <v>7.49</v>
          </cell>
          <cell r="CZ154">
            <v>4.6300000000000001E-2</v>
          </cell>
          <cell r="DA154">
            <v>4.6300000000000001E-2</v>
          </cell>
          <cell r="DB154">
            <v>4.6300000000000001E-2</v>
          </cell>
          <cell r="DC154">
            <v>4.6300000000000001E-2</v>
          </cell>
          <cell r="DD154">
            <v>4.6300000000000001E-2</v>
          </cell>
          <cell r="DE154">
            <v>4.6300000000000001E-2</v>
          </cell>
          <cell r="DF154">
            <v>4.6300000000000001E-2</v>
          </cell>
          <cell r="DG154">
            <v>4.6300000000000001E-2</v>
          </cell>
          <cell r="DH154">
            <v>4.6300000000000001E-2</v>
          </cell>
          <cell r="DI154">
            <v>4.6300000000000001E-2</v>
          </cell>
          <cell r="DJ154">
            <v>4.6300000000000001E-2</v>
          </cell>
        </row>
        <row r="155">
          <cell r="C155">
            <v>6055</v>
          </cell>
          <cell r="D155">
            <v>9015</v>
          </cell>
          <cell r="E155" t="str">
            <v>HVAC Mechanic Apprentice</v>
          </cell>
          <cell r="F155" t="str">
            <v>HVAC/Engineer - CBA @ 85%</v>
          </cell>
          <cell r="G155" t="str">
            <v>CBA1</v>
          </cell>
          <cell r="I155">
            <v>47700.639999999999</v>
          </cell>
          <cell r="J155">
            <v>22.933</v>
          </cell>
          <cell r="K155">
            <v>1.7</v>
          </cell>
          <cell r="L155">
            <v>22.933</v>
          </cell>
          <cell r="M155">
            <v>22.933</v>
          </cell>
          <cell r="N155">
            <v>22.933</v>
          </cell>
          <cell r="O155">
            <v>22.933</v>
          </cell>
          <cell r="P155">
            <v>22.933</v>
          </cell>
          <cell r="Q155">
            <v>22.933</v>
          </cell>
          <cell r="R155">
            <v>22.933</v>
          </cell>
          <cell r="S155">
            <v>22.933</v>
          </cell>
          <cell r="T155">
            <v>22.933</v>
          </cell>
          <cell r="U155">
            <v>22.933</v>
          </cell>
          <cell r="V155">
            <v>22.933</v>
          </cell>
          <cell r="W155">
            <v>0</v>
          </cell>
          <cell r="X155">
            <v>0</v>
          </cell>
          <cell r="Y155">
            <v>0</v>
          </cell>
          <cell r="Z155">
            <v>0</v>
          </cell>
          <cell r="AA155">
            <v>0</v>
          </cell>
          <cell r="AB155">
            <v>0</v>
          </cell>
          <cell r="AC155">
            <v>0</v>
          </cell>
          <cell r="AD155">
            <v>0</v>
          </cell>
          <cell r="AE155">
            <v>0</v>
          </cell>
          <cell r="AF155">
            <v>0</v>
          </cell>
          <cell r="AG155">
            <v>0</v>
          </cell>
          <cell r="AH155">
            <v>1.7</v>
          </cell>
          <cell r="AI155">
            <v>1.7</v>
          </cell>
          <cell r="AJ155">
            <v>1.7</v>
          </cell>
          <cell r="AK155">
            <v>1.7</v>
          </cell>
          <cell r="AL155">
            <v>1.7</v>
          </cell>
          <cell r="AM155">
            <v>1.7</v>
          </cell>
          <cell r="AN155">
            <v>1.7</v>
          </cell>
          <cell r="AO155">
            <v>1.7</v>
          </cell>
          <cell r="AP155">
            <v>1.7</v>
          </cell>
          <cell r="AQ155">
            <v>1.7</v>
          </cell>
          <cell r="AR155">
            <v>1.7</v>
          </cell>
          <cell r="AS155">
            <v>2.7E-2</v>
          </cell>
          <cell r="AT155">
            <v>8000</v>
          </cell>
          <cell r="AU155">
            <v>216</v>
          </cell>
          <cell r="AV155">
            <v>4.6300000000000001E-2</v>
          </cell>
          <cell r="AW155">
            <v>4.6300000000000001E-2</v>
          </cell>
          <cell r="AX155">
            <v>4.6300000000000001E-2</v>
          </cell>
          <cell r="AY155">
            <v>4.6300000000000001E-2</v>
          </cell>
          <cell r="AZ155">
            <v>4.6300000000000001E-2</v>
          </cell>
          <cell r="BA155">
            <v>4.6300000000000001E-2</v>
          </cell>
          <cell r="BB155">
            <v>4.6300000000000001E-2</v>
          </cell>
          <cell r="BC155">
            <v>4.6300000000000001E-2</v>
          </cell>
          <cell r="BD155">
            <v>4.6300000000000001E-2</v>
          </cell>
          <cell r="BE155">
            <v>4.6300000000000001E-2</v>
          </cell>
          <cell r="BF155">
            <v>4.6300000000000001E-2</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O155">
            <v>0</v>
          </cell>
          <cell r="CP155">
            <v>0</v>
          </cell>
          <cell r="CQ155">
            <v>0</v>
          </cell>
          <cell r="CR155">
            <v>0</v>
          </cell>
          <cell r="CS155">
            <v>0</v>
          </cell>
          <cell r="CT155">
            <v>0</v>
          </cell>
          <cell r="CU155">
            <v>0</v>
          </cell>
          <cell r="CV155">
            <v>0</v>
          </cell>
          <cell r="CW155">
            <v>0</v>
          </cell>
          <cell r="CX155">
            <v>0</v>
          </cell>
          <cell r="CY155">
            <v>0</v>
          </cell>
          <cell r="CZ155">
            <v>4.6300000000000001E-2</v>
          </cell>
          <cell r="DA155">
            <v>4.6300000000000001E-2</v>
          </cell>
          <cell r="DB155">
            <v>4.6300000000000001E-2</v>
          </cell>
          <cell r="DC155">
            <v>4.6300000000000001E-2</v>
          </cell>
          <cell r="DD155">
            <v>4.6300000000000001E-2</v>
          </cell>
          <cell r="DE155">
            <v>4.6300000000000001E-2</v>
          </cell>
          <cell r="DF155">
            <v>4.6300000000000001E-2</v>
          </cell>
          <cell r="DG155">
            <v>4.6300000000000001E-2</v>
          </cell>
          <cell r="DH155">
            <v>4.6300000000000001E-2</v>
          </cell>
          <cell r="DI155">
            <v>4.6300000000000001E-2</v>
          </cell>
          <cell r="DJ155">
            <v>4.6300000000000001E-2</v>
          </cell>
        </row>
        <row r="156">
          <cell r="C156">
            <v>6060</v>
          </cell>
          <cell r="D156">
            <v>9015</v>
          </cell>
          <cell r="E156" t="str">
            <v>Pipe Fitter/Welder Master</v>
          </cell>
          <cell r="F156" t="str">
            <v>DBA - DC2 - Pipefitter</v>
          </cell>
          <cell r="G156" t="str">
            <v>CBA1</v>
          </cell>
          <cell r="I156">
            <v>122428.8</v>
          </cell>
          <cell r="J156">
            <v>58.86</v>
          </cell>
          <cell r="K156">
            <v>0</v>
          </cell>
          <cell r="L156">
            <v>58.86</v>
          </cell>
          <cell r="M156">
            <v>58.86</v>
          </cell>
          <cell r="N156">
            <v>58.86</v>
          </cell>
          <cell r="O156">
            <v>58.86</v>
          </cell>
          <cell r="P156">
            <v>58.86</v>
          </cell>
          <cell r="Q156">
            <v>58.86</v>
          </cell>
          <cell r="R156">
            <v>58.86</v>
          </cell>
          <cell r="S156">
            <v>58.86</v>
          </cell>
          <cell r="T156">
            <v>58.86</v>
          </cell>
          <cell r="U156">
            <v>58.86</v>
          </cell>
          <cell r="V156">
            <v>58.86</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2.7E-2</v>
          </cell>
          <cell r="AT156">
            <v>8000</v>
          </cell>
          <cell r="AU156">
            <v>216</v>
          </cell>
          <cell r="AV156">
            <v>4.6300000000000001E-2</v>
          </cell>
          <cell r="AW156">
            <v>4.6300000000000001E-2</v>
          </cell>
          <cell r="AX156">
            <v>4.6300000000000001E-2</v>
          </cell>
          <cell r="AY156">
            <v>4.6300000000000001E-2</v>
          </cell>
          <cell r="AZ156">
            <v>4.6300000000000001E-2</v>
          </cell>
          <cell r="BA156">
            <v>4.6300000000000001E-2</v>
          </cell>
          <cell r="BB156">
            <v>4.6300000000000001E-2</v>
          </cell>
          <cell r="BC156">
            <v>4.6300000000000001E-2</v>
          </cell>
          <cell r="BD156">
            <v>4.6300000000000001E-2</v>
          </cell>
          <cell r="BE156">
            <v>4.6300000000000001E-2</v>
          </cell>
          <cell r="BF156">
            <v>4.6300000000000001E-2</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O156">
            <v>0</v>
          </cell>
          <cell r="CP156">
            <v>0</v>
          </cell>
          <cell r="CQ156">
            <v>0</v>
          </cell>
          <cell r="CR156">
            <v>0</v>
          </cell>
          <cell r="CS156">
            <v>0</v>
          </cell>
          <cell r="CT156">
            <v>0</v>
          </cell>
          <cell r="CU156">
            <v>0</v>
          </cell>
          <cell r="CV156">
            <v>0</v>
          </cell>
          <cell r="CW156">
            <v>0</v>
          </cell>
          <cell r="CX156">
            <v>0</v>
          </cell>
          <cell r="CY156">
            <v>0</v>
          </cell>
          <cell r="CZ156">
            <v>4.6300000000000001E-2</v>
          </cell>
          <cell r="DA156">
            <v>4.6300000000000001E-2</v>
          </cell>
          <cell r="DB156">
            <v>4.6300000000000001E-2</v>
          </cell>
          <cell r="DC156">
            <v>4.6300000000000001E-2</v>
          </cell>
          <cell r="DD156">
            <v>4.6300000000000001E-2</v>
          </cell>
          <cell r="DE156">
            <v>4.6300000000000001E-2</v>
          </cell>
          <cell r="DF156">
            <v>4.6300000000000001E-2</v>
          </cell>
          <cell r="DG156">
            <v>4.6300000000000001E-2</v>
          </cell>
          <cell r="DH156">
            <v>4.6300000000000001E-2</v>
          </cell>
          <cell r="DI156">
            <v>4.6300000000000001E-2</v>
          </cell>
          <cell r="DJ156">
            <v>4.6300000000000001E-2</v>
          </cell>
        </row>
        <row r="157">
          <cell r="C157">
            <v>6065</v>
          </cell>
          <cell r="D157">
            <v>9015</v>
          </cell>
          <cell r="E157" t="str">
            <v>Pipe Fitter/Welder Apprentice</v>
          </cell>
          <cell r="F157" t="str">
            <v>85% of DBA - DC2 - Pipefitter</v>
          </cell>
          <cell r="G157" t="str">
            <v>CBA1</v>
          </cell>
          <cell r="I157">
            <v>104064.48</v>
          </cell>
          <cell r="J157">
            <v>50.030999999999999</v>
          </cell>
          <cell r="K157">
            <v>0</v>
          </cell>
          <cell r="L157">
            <v>50.030999999999999</v>
          </cell>
          <cell r="M157">
            <v>50.030999999999999</v>
          </cell>
          <cell r="N157">
            <v>50.030999999999999</v>
          </cell>
          <cell r="O157">
            <v>50.030999999999999</v>
          </cell>
          <cell r="P157">
            <v>50.030999999999999</v>
          </cell>
          <cell r="Q157">
            <v>50.030999999999999</v>
          </cell>
          <cell r="R157">
            <v>50.030999999999999</v>
          </cell>
          <cell r="S157">
            <v>50.030999999999999</v>
          </cell>
          <cell r="T157">
            <v>50.030999999999999</v>
          </cell>
          <cell r="U157">
            <v>50.030999999999999</v>
          </cell>
          <cell r="V157">
            <v>50.030999999999999</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2.7E-2</v>
          </cell>
          <cell r="AT157">
            <v>8000</v>
          </cell>
          <cell r="AU157">
            <v>216</v>
          </cell>
          <cell r="AV157">
            <v>4.6300000000000001E-2</v>
          </cell>
          <cell r="AW157">
            <v>4.6300000000000001E-2</v>
          </cell>
          <cell r="AX157">
            <v>4.6300000000000001E-2</v>
          </cell>
          <cell r="AY157">
            <v>4.6300000000000001E-2</v>
          </cell>
          <cell r="AZ157">
            <v>4.6300000000000001E-2</v>
          </cell>
          <cell r="BA157">
            <v>4.6300000000000001E-2</v>
          </cell>
          <cell r="BB157">
            <v>4.6300000000000001E-2</v>
          </cell>
          <cell r="BC157">
            <v>4.6300000000000001E-2</v>
          </cell>
          <cell r="BD157">
            <v>4.6300000000000001E-2</v>
          </cell>
          <cell r="BE157">
            <v>4.6300000000000001E-2</v>
          </cell>
          <cell r="BF157">
            <v>4.6300000000000001E-2</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O157">
            <v>0</v>
          </cell>
          <cell r="CP157">
            <v>0</v>
          </cell>
          <cell r="CQ157">
            <v>0</v>
          </cell>
          <cell r="CR157">
            <v>0</v>
          </cell>
          <cell r="CS157">
            <v>0</v>
          </cell>
          <cell r="CT157">
            <v>0</v>
          </cell>
          <cell r="CU157">
            <v>0</v>
          </cell>
          <cell r="CV157">
            <v>0</v>
          </cell>
          <cell r="CW157">
            <v>0</v>
          </cell>
          <cell r="CX157">
            <v>0</v>
          </cell>
          <cell r="CY157">
            <v>0</v>
          </cell>
          <cell r="CZ157">
            <v>4.6300000000000001E-2</v>
          </cell>
          <cell r="DA157">
            <v>4.6300000000000001E-2</v>
          </cell>
          <cell r="DB157">
            <v>4.6300000000000001E-2</v>
          </cell>
          <cell r="DC157">
            <v>4.6300000000000001E-2</v>
          </cell>
          <cell r="DD157">
            <v>4.6300000000000001E-2</v>
          </cell>
          <cell r="DE157">
            <v>4.6300000000000001E-2</v>
          </cell>
          <cell r="DF157">
            <v>4.6300000000000001E-2</v>
          </cell>
          <cell r="DG157">
            <v>4.6300000000000001E-2</v>
          </cell>
          <cell r="DH157">
            <v>4.6300000000000001E-2</v>
          </cell>
          <cell r="DI157">
            <v>4.6300000000000001E-2</v>
          </cell>
          <cell r="DJ157">
            <v>4.6300000000000001E-2</v>
          </cell>
        </row>
        <row r="158">
          <cell r="C158">
            <v>6070</v>
          </cell>
          <cell r="D158">
            <v>9015</v>
          </cell>
          <cell r="E158" t="str">
            <v>Electrician, Master</v>
          </cell>
          <cell r="F158" t="str">
            <v>Subcontract Rate (Total Facilities)</v>
          </cell>
          <cell r="G158" t="str">
            <v>CBA1</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2.7E-2</v>
          </cell>
          <cell r="AT158">
            <v>8000</v>
          </cell>
          <cell r="AU158">
            <v>216</v>
          </cell>
          <cell r="AV158">
            <v>4.6300000000000001E-2</v>
          </cell>
          <cell r="AW158">
            <v>4.6300000000000001E-2</v>
          </cell>
          <cell r="AX158">
            <v>4.6300000000000001E-2</v>
          </cell>
          <cell r="AY158">
            <v>4.6300000000000001E-2</v>
          </cell>
          <cell r="AZ158">
            <v>4.6300000000000001E-2</v>
          </cell>
          <cell r="BA158">
            <v>4.6300000000000001E-2</v>
          </cell>
          <cell r="BB158">
            <v>4.6300000000000001E-2</v>
          </cell>
          <cell r="BC158">
            <v>4.6300000000000001E-2</v>
          </cell>
          <cell r="BD158">
            <v>4.6300000000000001E-2</v>
          </cell>
          <cell r="BE158">
            <v>4.6300000000000001E-2</v>
          </cell>
          <cell r="BF158">
            <v>4.6300000000000001E-2</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O158">
            <v>0</v>
          </cell>
          <cell r="CP158">
            <v>0</v>
          </cell>
          <cell r="CQ158">
            <v>0</v>
          </cell>
          <cell r="CR158">
            <v>0</v>
          </cell>
          <cell r="CS158">
            <v>0</v>
          </cell>
          <cell r="CT158">
            <v>0</v>
          </cell>
          <cell r="CU158">
            <v>0</v>
          </cell>
          <cell r="CV158">
            <v>0</v>
          </cell>
          <cell r="CW158">
            <v>0</v>
          </cell>
          <cell r="CX158">
            <v>0</v>
          </cell>
          <cell r="CY158">
            <v>0</v>
          </cell>
          <cell r="CZ158">
            <v>4.6300000000000001E-2</v>
          </cell>
          <cell r="DA158">
            <v>4.6300000000000001E-2</v>
          </cell>
          <cell r="DB158">
            <v>4.6300000000000001E-2</v>
          </cell>
          <cell r="DC158">
            <v>4.6300000000000001E-2</v>
          </cell>
          <cell r="DD158">
            <v>4.6300000000000001E-2</v>
          </cell>
          <cell r="DE158">
            <v>4.6300000000000001E-2</v>
          </cell>
          <cell r="DF158">
            <v>4.6300000000000001E-2</v>
          </cell>
          <cell r="DG158">
            <v>4.6300000000000001E-2</v>
          </cell>
          <cell r="DH158">
            <v>4.6300000000000001E-2</v>
          </cell>
          <cell r="DI158">
            <v>4.6300000000000001E-2</v>
          </cell>
          <cell r="DJ158">
            <v>4.6300000000000001E-2</v>
          </cell>
        </row>
        <row r="159">
          <cell r="C159">
            <v>6075</v>
          </cell>
          <cell r="D159">
            <v>9015</v>
          </cell>
          <cell r="E159" t="str">
            <v>Electrician, Journeyman</v>
          </cell>
          <cell r="F159" t="str">
            <v>DBA - DC2 - Electrician</v>
          </cell>
          <cell r="G159" t="str">
            <v>CBA1</v>
          </cell>
          <cell r="I159">
            <v>120494.39999999999</v>
          </cell>
          <cell r="J159">
            <v>57.93</v>
          </cell>
          <cell r="K159">
            <v>0</v>
          </cell>
          <cell r="L159">
            <v>57.93</v>
          </cell>
          <cell r="M159">
            <v>57.93</v>
          </cell>
          <cell r="N159">
            <v>57.93</v>
          </cell>
          <cell r="O159">
            <v>57.93</v>
          </cell>
          <cell r="P159">
            <v>57.93</v>
          </cell>
          <cell r="Q159">
            <v>57.93</v>
          </cell>
          <cell r="R159">
            <v>57.93</v>
          </cell>
          <cell r="S159">
            <v>57.93</v>
          </cell>
          <cell r="T159">
            <v>57.93</v>
          </cell>
          <cell r="U159">
            <v>57.93</v>
          </cell>
          <cell r="V159">
            <v>57.93</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2.7E-2</v>
          </cell>
          <cell r="AT159">
            <v>8000</v>
          </cell>
          <cell r="AU159">
            <v>216</v>
          </cell>
          <cell r="AV159">
            <v>4.6300000000000001E-2</v>
          </cell>
          <cell r="AW159">
            <v>4.6300000000000001E-2</v>
          </cell>
          <cell r="AX159">
            <v>4.6300000000000001E-2</v>
          </cell>
          <cell r="AY159">
            <v>4.6300000000000001E-2</v>
          </cell>
          <cell r="AZ159">
            <v>4.6300000000000001E-2</v>
          </cell>
          <cell r="BA159">
            <v>4.6300000000000001E-2</v>
          </cell>
          <cell r="BB159">
            <v>4.6300000000000001E-2</v>
          </cell>
          <cell r="BC159">
            <v>4.6300000000000001E-2</v>
          </cell>
          <cell r="BD159">
            <v>4.6300000000000001E-2</v>
          </cell>
          <cell r="BE159">
            <v>4.6300000000000001E-2</v>
          </cell>
          <cell r="BF159">
            <v>4.6300000000000001E-2</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O159">
            <v>0</v>
          </cell>
          <cell r="CP159">
            <v>0</v>
          </cell>
          <cell r="CQ159">
            <v>0</v>
          </cell>
          <cell r="CR159">
            <v>0</v>
          </cell>
          <cell r="CS159">
            <v>0</v>
          </cell>
          <cell r="CT159">
            <v>0</v>
          </cell>
          <cell r="CU159">
            <v>0</v>
          </cell>
          <cell r="CV159">
            <v>0</v>
          </cell>
          <cell r="CW159">
            <v>0</v>
          </cell>
          <cell r="CX159">
            <v>0</v>
          </cell>
          <cell r="CY159">
            <v>0</v>
          </cell>
          <cell r="CZ159">
            <v>4.6300000000000001E-2</v>
          </cell>
          <cell r="DA159">
            <v>4.6300000000000001E-2</v>
          </cell>
          <cell r="DB159">
            <v>4.6300000000000001E-2</v>
          </cell>
          <cell r="DC159">
            <v>4.6300000000000001E-2</v>
          </cell>
          <cell r="DD159">
            <v>4.6300000000000001E-2</v>
          </cell>
          <cell r="DE159">
            <v>4.6300000000000001E-2</v>
          </cell>
          <cell r="DF159">
            <v>4.6300000000000001E-2</v>
          </cell>
          <cell r="DG159">
            <v>4.6300000000000001E-2</v>
          </cell>
          <cell r="DH159">
            <v>4.6300000000000001E-2</v>
          </cell>
          <cell r="DI159">
            <v>4.6300000000000001E-2</v>
          </cell>
          <cell r="DJ159">
            <v>4.6300000000000001E-2</v>
          </cell>
        </row>
        <row r="160">
          <cell r="C160">
            <v>6080</v>
          </cell>
          <cell r="D160">
            <v>9015</v>
          </cell>
          <cell r="E160" t="str">
            <v>Electrician, Apprentice</v>
          </cell>
          <cell r="F160" t="str">
            <v>85% of DBA - DC2 - Electrician</v>
          </cell>
          <cell r="G160" t="str">
            <v>CBA1</v>
          </cell>
          <cell r="I160">
            <v>102420.23999999999</v>
          </cell>
          <cell r="J160">
            <v>49.240499999999997</v>
          </cell>
          <cell r="K160">
            <v>0</v>
          </cell>
          <cell r="L160">
            <v>49.240499999999997</v>
          </cell>
          <cell r="M160">
            <v>49.240499999999997</v>
          </cell>
          <cell r="N160">
            <v>49.240499999999997</v>
          </cell>
          <cell r="O160">
            <v>49.240499999999997</v>
          </cell>
          <cell r="P160">
            <v>49.240499999999997</v>
          </cell>
          <cell r="Q160">
            <v>49.240499999999997</v>
          </cell>
          <cell r="R160">
            <v>49.240499999999997</v>
          </cell>
          <cell r="S160">
            <v>49.240499999999997</v>
          </cell>
          <cell r="T160">
            <v>49.240499999999997</v>
          </cell>
          <cell r="U160">
            <v>49.240499999999997</v>
          </cell>
          <cell r="V160">
            <v>49.240499999999997</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2.7E-2</v>
          </cell>
          <cell r="AT160">
            <v>8000</v>
          </cell>
          <cell r="AU160">
            <v>216</v>
          </cell>
          <cell r="AV160">
            <v>4.6300000000000001E-2</v>
          </cell>
          <cell r="AW160">
            <v>4.6300000000000001E-2</v>
          </cell>
          <cell r="AX160">
            <v>4.6300000000000001E-2</v>
          </cell>
          <cell r="AY160">
            <v>4.6300000000000001E-2</v>
          </cell>
          <cell r="AZ160">
            <v>4.6300000000000001E-2</v>
          </cell>
          <cell r="BA160">
            <v>4.6300000000000001E-2</v>
          </cell>
          <cell r="BB160">
            <v>4.6300000000000001E-2</v>
          </cell>
          <cell r="BC160">
            <v>4.6300000000000001E-2</v>
          </cell>
          <cell r="BD160">
            <v>4.6300000000000001E-2</v>
          </cell>
          <cell r="BE160">
            <v>4.6300000000000001E-2</v>
          </cell>
          <cell r="BF160">
            <v>4.6300000000000001E-2</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O160">
            <v>0</v>
          </cell>
          <cell r="CP160">
            <v>0</v>
          </cell>
          <cell r="CQ160">
            <v>0</v>
          </cell>
          <cell r="CR160">
            <v>0</v>
          </cell>
          <cell r="CS160">
            <v>0</v>
          </cell>
          <cell r="CT160">
            <v>0</v>
          </cell>
          <cell r="CU160">
            <v>0</v>
          </cell>
          <cell r="CV160">
            <v>0</v>
          </cell>
          <cell r="CW160">
            <v>0</v>
          </cell>
          <cell r="CX160">
            <v>0</v>
          </cell>
          <cell r="CY160">
            <v>0</v>
          </cell>
          <cell r="CZ160">
            <v>4.6300000000000001E-2</v>
          </cell>
          <cell r="DA160">
            <v>4.6300000000000001E-2</v>
          </cell>
          <cell r="DB160">
            <v>4.6300000000000001E-2</v>
          </cell>
          <cell r="DC160">
            <v>4.6300000000000001E-2</v>
          </cell>
          <cell r="DD160">
            <v>4.6300000000000001E-2</v>
          </cell>
          <cell r="DE160">
            <v>4.6300000000000001E-2</v>
          </cell>
          <cell r="DF160">
            <v>4.6300000000000001E-2</v>
          </cell>
          <cell r="DG160">
            <v>4.6300000000000001E-2</v>
          </cell>
          <cell r="DH160">
            <v>4.6300000000000001E-2</v>
          </cell>
          <cell r="DI160">
            <v>4.6300000000000001E-2</v>
          </cell>
          <cell r="DJ160">
            <v>4.6300000000000001E-2</v>
          </cell>
        </row>
        <row r="161">
          <cell r="C161">
            <v>6085</v>
          </cell>
          <cell r="D161">
            <v>9015</v>
          </cell>
          <cell r="E161" t="str">
            <v>Instrumentation and Controls Technician, NICET Level IV</v>
          </cell>
          <cell r="F161" t="str">
            <v>Subcontractor - Simplex Rate</v>
          </cell>
          <cell r="G161" t="str">
            <v>CBA1</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2.7E-2</v>
          </cell>
          <cell r="AT161">
            <v>8000</v>
          </cell>
          <cell r="AU161">
            <v>216</v>
          </cell>
          <cell r="AV161">
            <v>4.6300000000000001E-2</v>
          </cell>
          <cell r="AW161">
            <v>4.6300000000000001E-2</v>
          </cell>
          <cell r="AX161">
            <v>4.6300000000000001E-2</v>
          </cell>
          <cell r="AY161">
            <v>4.6300000000000001E-2</v>
          </cell>
          <cell r="AZ161">
            <v>4.6300000000000001E-2</v>
          </cell>
          <cell r="BA161">
            <v>4.6300000000000001E-2</v>
          </cell>
          <cell r="BB161">
            <v>4.6300000000000001E-2</v>
          </cell>
          <cell r="BC161">
            <v>4.6300000000000001E-2</v>
          </cell>
          <cell r="BD161">
            <v>4.6300000000000001E-2</v>
          </cell>
          <cell r="BE161">
            <v>4.6300000000000001E-2</v>
          </cell>
          <cell r="BF161">
            <v>4.6300000000000001E-2</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O161">
            <v>0</v>
          </cell>
          <cell r="CP161">
            <v>0</v>
          </cell>
          <cell r="CQ161">
            <v>0</v>
          </cell>
          <cell r="CR161">
            <v>0</v>
          </cell>
          <cell r="CS161">
            <v>0</v>
          </cell>
          <cell r="CT161">
            <v>0</v>
          </cell>
          <cell r="CU161">
            <v>0</v>
          </cell>
          <cell r="CV161">
            <v>0</v>
          </cell>
          <cell r="CW161">
            <v>0</v>
          </cell>
          <cell r="CX161">
            <v>0</v>
          </cell>
          <cell r="CY161">
            <v>0</v>
          </cell>
          <cell r="CZ161">
            <v>4.6300000000000001E-2</v>
          </cell>
          <cell r="DA161">
            <v>4.6300000000000001E-2</v>
          </cell>
          <cell r="DB161">
            <v>4.6300000000000001E-2</v>
          </cell>
          <cell r="DC161">
            <v>4.6300000000000001E-2</v>
          </cell>
          <cell r="DD161">
            <v>4.6300000000000001E-2</v>
          </cell>
          <cell r="DE161">
            <v>4.6300000000000001E-2</v>
          </cell>
          <cell r="DF161">
            <v>4.6300000000000001E-2</v>
          </cell>
          <cell r="DG161">
            <v>4.6300000000000001E-2</v>
          </cell>
          <cell r="DH161">
            <v>4.6300000000000001E-2</v>
          </cell>
          <cell r="DI161">
            <v>4.6300000000000001E-2</v>
          </cell>
          <cell r="DJ161">
            <v>4.6300000000000001E-2</v>
          </cell>
        </row>
        <row r="162">
          <cell r="C162">
            <v>6090</v>
          </cell>
          <cell r="D162">
            <v>9015</v>
          </cell>
          <cell r="E162" t="str">
            <v>Instrumentation and Controls Technician, NICET Level III</v>
          </cell>
          <cell r="F162" t="str">
            <v>Subcontractor - Simplex Rate</v>
          </cell>
          <cell r="G162" t="str">
            <v>CBA1</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2.7E-2</v>
          </cell>
          <cell r="AT162">
            <v>8000</v>
          </cell>
          <cell r="AU162">
            <v>216</v>
          </cell>
          <cell r="AV162">
            <v>4.6300000000000001E-2</v>
          </cell>
          <cell r="AW162">
            <v>4.6300000000000001E-2</v>
          </cell>
          <cell r="AX162">
            <v>4.6300000000000001E-2</v>
          </cell>
          <cell r="AY162">
            <v>4.6300000000000001E-2</v>
          </cell>
          <cell r="AZ162">
            <v>4.6300000000000001E-2</v>
          </cell>
          <cell r="BA162">
            <v>4.6300000000000001E-2</v>
          </cell>
          <cell r="BB162">
            <v>4.6300000000000001E-2</v>
          </cell>
          <cell r="BC162">
            <v>4.6300000000000001E-2</v>
          </cell>
          <cell r="BD162">
            <v>4.6300000000000001E-2</v>
          </cell>
          <cell r="BE162">
            <v>4.6300000000000001E-2</v>
          </cell>
          <cell r="BF162">
            <v>4.6300000000000001E-2</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O162">
            <v>0</v>
          </cell>
          <cell r="CP162">
            <v>0</v>
          </cell>
          <cell r="CQ162">
            <v>0</v>
          </cell>
          <cell r="CR162">
            <v>0</v>
          </cell>
          <cell r="CS162">
            <v>0</v>
          </cell>
          <cell r="CT162">
            <v>0</v>
          </cell>
          <cell r="CU162">
            <v>0</v>
          </cell>
          <cell r="CV162">
            <v>0</v>
          </cell>
          <cell r="CW162">
            <v>0</v>
          </cell>
          <cell r="CX162">
            <v>0</v>
          </cell>
          <cell r="CY162">
            <v>0</v>
          </cell>
          <cell r="CZ162">
            <v>4.6300000000000001E-2</v>
          </cell>
          <cell r="DA162">
            <v>4.6300000000000001E-2</v>
          </cell>
          <cell r="DB162">
            <v>4.6300000000000001E-2</v>
          </cell>
          <cell r="DC162">
            <v>4.6300000000000001E-2</v>
          </cell>
          <cell r="DD162">
            <v>4.6300000000000001E-2</v>
          </cell>
          <cell r="DE162">
            <v>4.6300000000000001E-2</v>
          </cell>
          <cell r="DF162">
            <v>4.6300000000000001E-2</v>
          </cell>
          <cell r="DG162">
            <v>4.6300000000000001E-2</v>
          </cell>
          <cell r="DH162">
            <v>4.6300000000000001E-2</v>
          </cell>
          <cell r="DI162">
            <v>4.6300000000000001E-2</v>
          </cell>
          <cell r="DJ162">
            <v>4.6300000000000001E-2</v>
          </cell>
        </row>
        <row r="163">
          <cell r="C163">
            <v>6095</v>
          </cell>
          <cell r="D163">
            <v>9015</v>
          </cell>
          <cell r="E163" t="str">
            <v>Plumber, Master</v>
          </cell>
          <cell r="F163" t="str">
            <v>Plumber Lead, CBA</v>
          </cell>
          <cell r="G163" t="str">
            <v>CBA1</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2.7E-2</v>
          </cell>
          <cell r="AT163">
            <v>8000</v>
          </cell>
          <cell r="AU163">
            <v>216</v>
          </cell>
          <cell r="AV163">
            <v>4.6300000000000001E-2</v>
          </cell>
          <cell r="AW163">
            <v>4.6300000000000001E-2</v>
          </cell>
          <cell r="AX163">
            <v>4.6300000000000001E-2</v>
          </cell>
          <cell r="AY163">
            <v>4.6300000000000001E-2</v>
          </cell>
          <cell r="AZ163">
            <v>4.6300000000000001E-2</v>
          </cell>
          <cell r="BA163">
            <v>4.6300000000000001E-2</v>
          </cell>
          <cell r="BB163">
            <v>4.6300000000000001E-2</v>
          </cell>
          <cell r="BC163">
            <v>4.6300000000000001E-2</v>
          </cell>
          <cell r="BD163">
            <v>4.6300000000000001E-2</v>
          </cell>
          <cell r="BE163">
            <v>4.6300000000000001E-2</v>
          </cell>
          <cell r="BF163">
            <v>4.6300000000000001E-2</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O163">
            <v>0</v>
          </cell>
          <cell r="CP163">
            <v>0</v>
          </cell>
          <cell r="CQ163">
            <v>0</v>
          </cell>
          <cell r="CR163">
            <v>0</v>
          </cell>
          <cell r="CS163">
            <v>0</v>
          </cell>
          <cell r="CT163">
            <v>0</v>
          </cell>
          <cell r="CU163">
            <v>0</v>
          </cell>
          <cell r="CV163">
            <v>0</v>
          </cell>
          <cell r="CW163">
            <v>0</v>
          </cell>
          <cell r="CX163">
            <v>0</v>
          </cell>
          <cell r="CY163">
            <v>0</v>
          </cell>
          <cell r="CZ163">
            <v>4.6300000000000001E-2</v>
          </cell>
          <cell r="DA163">
            <v>4.6300000000000001E-2</v>
          </cell>
          <cell r="DB163">
            <v>4.6300000000000001E-2</v>
          </cell>
          <cell r="DC163">
            <v>4.6300000000000001E-2</v>
          </cell>
          <cell r="DD163">
            <v>4.6300000000000001E-2</v>
          </cell>
          <cell r="DE163">
            <v>4.6300000000000001E-2</v>
          </cell>
          <cell r="DF163">
            <v>4.6300000000000001E-2</v>
          </cell>
          <cell r="DG163">
            <v>4.6300000000000001E-2</v>
          </cell>
          <cell r="DH163">
            <v>4.6300000000000001E-2</v>
          </cell>
          <cell r="DI163">
            <v>4.6300000000000001E-2</v>
          </cell>
          <cell r="DJ163">
            <v>4.6300000000000001E-2</v>
          </cell>
        </row>
        <row r="164">
          <cell r="C164">
            <v>6100</v>
          </cell>
          <cell r="D164">
            <v>9015</v>
          </cell>
          <cell r="E164" t="str">
            <v>Plumber, Journeyman</v>
          </cell>
          <cell r="F164" t="str">
            <v>DBA - DC2 - Plumber</v>
          </cell>
          <cell r="G164" t="str">
            <v>CBA1</v>
          </cell>
          <cell r="I164">
            <v>117041.60000000001</v>
          </cell>
          <cell r="J164">
            <v>56.27</v>
          </cell>
          <cell r="K164">
            <v>0</v>
          </cell>
          <cell r="L164">
            <v>56.27</v>
          </cell>
          <cell r="M164">
            <v>56.27</v>
          </cell>
          <cell r="N164">
            <v>56.27</v>
          </cell>
          <cell r="O164">
            <v>56.27</v>
          </cell>
          <cell r="P164">
            <v>56.27</v>
          </cell>
          <cell r="Q164">
            <v>56.27</v>
          </cell>
          <cell r="R164">
            <v>56.27</v>
          </cell>
          <cell r="S164">
            <v>56.27</v>
          </cell>
          <cell r="T164">
            <v>56.27</v>
          </cell>
          <cell r="U164">
            <v>56.27</v>
          </cell>
          <cell r="V164">
            <v>56.27</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2.7E-2</v>
          </cell>
          <cell r="AT164">
            <v>8000</v>
          </cell>
          <cell r="AU164">
            <v>216</v>
          </cell>
          <cell r="AV164">
            <v>4.6300000000000001E-2</v>
          </cell>
          <cell r="AW164">
            <v>4.6300000000000001E-2</v>
          </cell>
          <cell r="AX164">
            <v>4.6300000000000001E-2</v>
          </cell>
          <cell r="AY164">
            <v>4.6300000000000001E-2</v>
          </cell>
          <cell r="AZ164">
            <v>4.6300000000000001E-2</v>
          </cell>
          <cell r="BA164">
            <v>4.6300000000000001E-2</v>
          </cell>
          <cell r="BB164">
            <v>4.6300000000000001E-2</v>
          </cell>
          <cell r="BC164">
            <v>4.6300000000000001E-2</v>
          </cell>
          <cell r="BD164">
            <v>4.6300000000000001E-2</v>
          </cell>
          <cell r="BE164">
            <v>4.6300000000000001E-2</v>
          </cell>
          <cell r="BF164">
            <v>4.6300000000000001E-2</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O164">
            <v>0</v>
          </cell>
          <cell r="CP164">
            <v>0</v>
          </cell>
          <cell r="CQ164">
            <v>0</v>
          </cell>
          <cell r="CR164">
            <v>0</v>
          </cell>
          <cell r="CS164">
            <v>0</v>
          </cell>
          <cell r="CT164">
            <v>0</v>
          </cell>
          <cell r="CU164">
            <v>0</v>
          </cell>
          <cell r="CV164">
            <v>0</v>
          </cell>
          <cell r="CW164">
            <v>0</v>
          </cell>
          <cell r="CX164">
            <v>0</v>
          </cell>
          <cell r="CY164">
            <v>0</v>
          </cell>
          <cell r="CZ164">
            <v>4.6300000000000001E-2</v>
          </cell>
          <cell r="DA164">
            <v>4.6300000000000001E-2</v>
          </cell>
          <cell r="DB164">
            <v>4.6300000000000001E-2</v>
          </cell>
          <cell r="DC164">
            <v>4.6300000000000001E-2</v>
          </cell>
          <cell r="DD164">
            <v>4.6300000000000001E-2</v>
          </cell>
          <cell r="DE164">
            <v>4.6300000000000001E-2</v>
          </cell>
          <cell r="DF164">
            <v>4.6300000000000001E-2</v>
          </cell>
          <cell r="DG164">
            <v>4.6300000000000001E-2</v>
          </cell>
          <cell r="DH164">
            <v>4.6300000000000001E-2</v>
          </cell>
          <cell r="DI164">
            <v>4.6300000000000001E-2</v>
          </cell>
          <cell r="DJ164">
            <v>4.6300000000000001E-2</v>
          </cell>
        </row>
        <row r="165">
          <cell r="C165">
            <v>6105</v>
          </cell>
          <cell r="D165">
            <v>9015</v>
          </cell>
          <cell r="E165" t="str">
            <v>Plumber, Apprentice</v>
          </cell>
          <cell r="F165" t="str">
            <v>85% of DBA - DC2 - Plumber</v>
          </cell>
          <cell r="G165" t="str">
            <v>CBA1</v>
          </cell>
          <cell r="I165">
            <v>99485.36</v>
          </cell>
          <cell r="J165">
            <v>47.829500000000003</v>
          </cell>
          <cell r="K165">
            <v>0</v>
          </cell>
          <cell r="L165">
            <v>47.829500000000003</v>
          </cell>
          <cell r="M165">
            <v>47.829500000000003</v>
          </cell>
          <cell r="N165">
            <v>47.829500000000003</v>
          </cell>
          <cell r="O165">
            <v>47.829500000000003</v>
          </cell>
          <cell r="P165">
            <v>47.829500000000003</v>
          </cell>
          <cell r="Q165">
            <v>47.829500000000003</v>
          </cell>
          <cell r="R165">
            <v>47.829500000000003</v>
          </cell>
          <cell r="S165">
            <v>47.829500000000003</v>
          </cell>
          <cell r="T165">
            <v>47.829500000000003</v>
          </cell>
          <cell r="U165">
            <v>47.829500000000003</v>
          </cell>
          <cell r="V165">
            <v>47.829500000000003</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2.7E-2</v>
          </cell>
          <cell r="AT165">
            <v>8000</v>
          </cell>
          <cell r="AU165">
            <v>216</v>
          </cell>
          <cell r="AV165">
            <v>4.6300000000000001E-2</v>
          </cell>
          <cell r="AW165">
            <v>4.6300000000000001E-2</v>
          </cell>
          <cell r="AX165">
            <v>4.6300000000000001E-2</v>
          </cell>
          <cell r="AY165">
            <v>4.6300000000000001E-2</v>
          </cell>
          <cell r="AZ165">
            <v>4.6300000000000001E-2</v>
          </cell>
          <cell r="BA165">
            <v>4.6300000000000001E-2</v>
          </cell>
          <cell r="BB165">
            <v>4.6300000000000001E-2</v>
          </cell>
          <cell r="BC165">
            <v>4.6300000000000001E-2</v>
          </cell>
          <cell r="BD165">
            <v>4.6300000000000001E-2</v>
          </cell>
          <cell r="BE165">
            <v>4.6300000000000001E-2</v>
          </cell>
          <cell r="BF165">
            <v>4.6300000000000001E-2</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O165">
            <v>0</v>
          </cell>
          <cell r="CP165">
            <v>0</v>
          </cell>
          <cell r="CQ165">
            <v>0</v>
          </cell>
          <cell r="CR165">
            <v>0</v>
          </cell>
          <cell r="CS165">
            <v>0</v>
          </cell>
          <cell r="CT165">
            <v>0</v>
          </cell>
          <cell r="CU165">
            <v>0</v>
          </cell>
          <cell r="CV165">
            <v>0</v>
          </cell>
          <cell r="CW165">
            <v>0</v>
          </cell>
          <cell r="CX165">
            <v>0</v>
          </cell>
          <cell r="CY165">
            <v>0</v>
          </cell>
          <cell r="CZ165">
            <v>4.6300000000000001E-2</v>
          </cell>
          <cell r="DA165">
            <v>4.6300000000000001E-2</v>
          </cell>
          <cell r="DB165">
            <v>4.6300000000000001E-2</v>
          </cell>
          <cell r="DC165">
            <v>4.6300000000000001E-2</v>
          </cell>
          <cell r="DD165">
            <v>4.6300000000000001E-2</v>
          </cell>
          <cell r="DE165">
            <v>4.6300000000000001E-2</v>
          </cell>
          <cell r="DF165">
            <v>4.6300000000000001E-2</v>
          </cell>
          <cell r="DG165">
            <v>4.6300000000000001E-2</v>
          </cell>
          <cell r="DH165">
            <v>4.6300000000000001E-2</v>
          </cell>
          <cell r="DI165">
            <v>4.6300000000000001E-2</v>
          </cell>
          <cell r="DJ165">
            <v>4.6300000000000001E-2</v>
          </cell>
        </row>
        <row r="166">
          <cell r="C166">
            <v>6110</v>
          </cell>
          <cell r="D166">
            <v>9015</v>
          </cell>
          <cell r="E166" t="str">
            <v>Class VI Waterworks Operator</v>
          </cell>
          <cell r="G166" t="str">
            <v>CBA1</v>
          </cell>
          <cell r="I166">
            <v>54371.200000000004</v>
          </cell>
          <cell r="J166">
            <v>26.14</v>
          </cell>
          <cell r="K166">
            <v>4.38</v>
          </cell>
          <cell r="L166">
            <v>26.14</v>
          </cell>
          <cell r="M166">
            <v>26.14</v>
          </cell>
          <cell r="N166">
            <v>26.14</v>
          </cell>
          <cell r="O166">
            <v>26.14</v>
          </cell>
          <cell r="P166">
            <v>26.14</v>
          </cell>
          <cell r="Q166">
            <v>26.14</v>
          </cell>
          <cell r="R166">
            <v>26.14</v>
          </cell>
          <cell r="S166">
            <v>26.14</v>
          </cell>
          <cell r="T166">
            <v>26.14</v>
          </cell>
          <cell r="U166">
            <v>26.14</v>
          </cell>
          <cell r="V166">
            <v>26.14</v>
          </cell>
          <cell r="W166">
            <v>0</v>
          </cell>
          <cell r="X166">
            <v>7.49</v>
          </cell>
          <cell r="Y166">
            <v>7.49</v>
          </cell>
          <cell r="Z166">
            <v>7.49</v>
          </cell>
          <cell r="AA166">
            <v>7.49</v>
          </cell>
          <cell r="AB166">
            <v>7.49</v>
          </cell>
          <cell r="AC166">
            <v>7.49</v>
          </cell>
          <cell r="AD166">
            <v>7.49</v>
          </cell>
          <cell r="AE166">
            <v>7.49</v>
          </cell>
          <cell r="AF166">
            <v>7.49</v>
          </cell>
          <cell r="AG166">
            <v>7.49</v>
          </cell>
          <cell r="AH166">
            <v>4.38</v>
          </cell>
          <cell r="AI166">
            <v>1.7</v>
          </cell>
          <cell r="AJ166">
            <v>1.7</v>
          </cell>
          <cell r="AK166">
            <v>1.7</v>
          </cell>
          <cell r="AL166">
            <v>1.7</v>
          </cell>
          <cell r="AM166">
            <v>1.7</v>
          </cell>
          <cell r="AN166">
            <v>1.7</v>
          </cell>
          <cell r="AO166">
            <v>1.7</v>
          </cell>
          <cell r="AP166">
            <v>1.7</v>
          </cell>
          <cell r="AQ166">
            <v>1.7</v>
          </cell>
          <cell r="AR166">
            <v>1.7</v>
          </cell>
          <cell r="AS166">
            <v>2.7E-2</v>
          </cell>
          <cell r="AT166">
            <v>8000</v>
          </cell>
          <cell r="AU166">
            <v>216</v>
          </cell>
          <cell r="AV166">
            <v>4.6300000000000001E-2</v>
          </cell>
          <cell r="AW166">
            <v>4.6300000000000001E-2</v>
          </cell>
          <cell r="AX166">
            <v>4.6300000000000001E-2</v>
          </cell>
          <cell r="AY166">
            <v>4.6300000000000001E-2</v>
          </cell>
          <cell r="AZ166">
            <v>4.6300000000000001E-2</v>
          </cell>
          <cell r="BA166">
            <v>4.6300000000000001E-2</v>
          </cell>
          <cell r="BB166">
            <v>4.6300000000000001E-2</v>
          </cell>
          <cell r="BC166">
            <v>4.6300000000000001E-2</v>
          </cell>
          <cell r="BD166">
            <v>4.6300000000000001E-2</v>
          </cell>
          <cell r="BE166">
            <v>4.6300000000000001E-2</v>
          </cell>
          <cell r="BF166">
            <v>4.6300000000000001E-2</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O166">
            <v>0</v>
          </cell>
          <cell r="CP166">
            <v>7.49</v>
          </cell>
          <cell r="CQ166">
            <v>7.49</v>
          </cell>
          <cell r="CR166">
            <v>7.49</v>
          </cell>
          <cell r="CS166">
            <v>7.49</v>
          </cell>
          <cell r="CT166">
            <v>7.49</v>
          </cell>
          <cell r="CU166">
            <v>7.49</v>
          </cell>
          <cell r="CV166">
            <v>7.49</v>
          </cell>
          <cell r="CW166">
            <v>7.49</v>
          </cell>
          <cell r="CX166">
            <v>7.49</v>
          </cell>
          <cell r="CY166">
            <v>7.49</v>
          </cell>
          <cell r="CZ166">
            <v>4.6300000000000001E-2</v>
          </cell>
          <cell r="DA166">
            <v>4.6300000000000001E-2</v>
          </cell>
          <cell r="DB166">
            <v>4.6300000000000001E-2</v>
          </cell>
          <cell r="DC166">
            <v>4.6300000000000001E-2</v>
          </cell>
          <cell r="DD166">
            <v>4.6300000000000001E-2</v>
          </cell>
          <cell r="DE166">
            <v>4.6300000000000001E-2</v>
          </cell>
          <cell r="DF166">
            <v>4.6300000000000001E-2</v>
          </cell>
          <cell r="DG166">
            <v>4.6300000000000001E-2</v>
          </cell>
          <cell r="DH166">
            <v>4.6300000000000001E-2</v>
          </cell>
          <cell r="DI166">
            <v>4.6300000000000001E-2</v>
          </cell>
          <cell r="DJ166">
            <v>4.6300000000000001E-2</v>
          </cell>
        </row>
        <row r="167">
          <cell r="C167">
            <v>6115</v>
          </cell>
          <cell r="D167">
            <v>9015</v>
          </cell>
          <cell r="E167" t="str">
            <v>Locksmith</v>
          </cell>
          <cell r="F167" t="str">
            <v>Subcontract - Diebold</v>
          </cell>
          <cell r="G167" t="str">
            <v>CBA1</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2.7E-2</v>
          </cell>
          <cell r="AT167">
            <v>8000</v>
          </cell>
          <cell r="AU167">
            <v>216</v>
          </cell>
          <cell r="AV167">
            <v>4.6300000000000001E-2</v>
          </cell>
          <cell r="AW167">
            <v>4.6300000000000001E-2</v>
          </cell>
          <cell r="AX167">
            <v>4.6300000000000001E-2</v>
          </cell>
          <cell r="AY167">
            <v>4.6300000000000001E-2</v>
          </cell>
          <cell r="AZ167">
            <v>4.6300000000000001E-2</v>
          </cell>
          <cell r="BA167">
            <v>4.6300000000000001E-2</v>
          </cell>
          <cell r="BB167">
            <v>4.6300000000000001E-2</v>
          </cell>
          <cell r="BC167">
            <v>4.6300000000000001E-2</v>
          </cell>
          <cell r="BD167">
            <v>4.6300000000000001E-2</v>
          </cell>
          <cell r="BE167">
            <v>4.6300000000000001E-2</v>
          </cell>
          <cell r="BF167">
            <v>4.6300000000000001E-2</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O167">
            <v>0</v>
          </cell>
          <cell r="CP167">
            <v>0</v>
          </cell>
          <cell r="CQ167">
            <v>0</v>
          </cell>
          <cell r="CR167">
            <v>0</v>
          </cell>
          <cell r="CS167">
            <v>0</v>
          </cell>
          <cell r="CT167">
            <v>0</v>
          </cell>
          <cell r="CU167">
            <v>0</v>
          </cell>
          <cell r="CV167">
            <v>0</v>
          </cell>
          <cell r="CW167">
            <v>0</v>
          </cell>
          <cell r="CX167">
            <v>0</v>
          </cell>
          <cell r="CY167">
            <v>0</v>
          </cell>
          <cell r="CZ167">
            <v>4.6300000000000001E-2</v>
          </cell>
          <cell r="DA167">
            <v>4.6300000000000001E-2</v>
          </cell>
          <cell r="DB167">
            <v>4.6300000000000001E-2</v>
          </cell>
          <cell r="DC167">
            <v>4.6300000000000001E-2</v>
          </cell>
          <cell r="DD167">
            <v>4.6300000000000001E-2</v>
          </cell>
          <cell r="DE167">
            <v>4.6300000000000001E-2</v>
          </cell>
          <cell r="DF167">
            <v>4.6300000000000001E-2</v>
          </cell>
          <cell r="DG167">
            <v>4.6300000000000001E-2</v>
          </cell>
          <cell r="DH167">
            <v>4.6300000000000001E-2</v>
          </cell>
          <cell r="DI167">
            <v>4.6300000000000001E-2</v>
          </cell>
          <cell r="DJ167">
            <v>4.6300000000000001E-2</v>
          </cell>
        </row>
        <row r="168">
          <cell r="C168">
            <v>6120</v>
          </cell>
          <cell r="D168">
            <v>9015</v>
          </cell>
          <cell r="E168" t="str">
            <v>Maintenance Mechanic</v>
          </cell>
          <cell r="G168" t="str">
            <v>CBA1</v>
          </cell>
          <cell r="I168">
            <v>57720</v>
          </cell>
          <cell r="J168">
            <v>27.75</v>
          </cell>
          <cell r="K168">
            <v>1.7</v>
          </cell>
          <cell r="L168">
            <v>27.75</v>
          </cell>
          <cell r="M168">
            <v>27.75</v>
          </cell>
          <cell r="N168">
            <v>27.95</v>
          </cell>
          <cell r="O168">
            <v>27.95</v>
          </cell>
          <cell r="P168">
            <v>27.95</v>
          </cell>
          <cell r="Q168">
            <v>27.95</v>
          </cell>
          <cell r="R168">
            <v>27.95</v>
          </cell>
          <cell r="S168">
            <v>27.95</v>
          </cell>
          <cell r="T168">
            <v>27.95</v>
          </cell>
          <cell r="U168">
            <v>27.95</v>
          </cell>
          <cell r="V168">
            <v>27.95</v>
          </cell>
          <cell r="W168">
            <v>0</v>
          </cell>
          <cell r="X168">
            <v>7.49</v>
          </cell>
          <cell r="Y168">
            <v>7.49</v>
          </cell>
          <cell r="Z168">
            <v>7.49</v>
          </cell>
          <cell r="AA168">
            <v>7.49</v>
          </cell>
          <cell r="AB168">
            <v>7.49</v>
          </cell>
          <cell r="AC168">
            <v>7.49</v>
          </cell>
          <cell r="AD168">
            <v>7.49</v>
          </cell>
          <cell r="AE168">
            <v>7.49</v>
          </cell>
          <cell r="AF168">
            <v>7.49</v>
          </cell>
          <cell r="AG168">
            <v>7.49</v>
          </cell>
          <cell r="AH168">
            <v>1.7</v>
          </cell>
          <cell r="AI168">
            <v>1.7</v>
          </cell>
          <cell r="AJ168">
            <v>1.7</v>
          </cell>
          <cell r="AK168">
            <v>1.7</v>
          </cell>
          <cell r="AL168">
            <v>1.7</v>
          </cell>
          <cell r="AM168">
            <v>1.7</v>
          </cell>
          <cell r="AN168">
            <v>1.7</v>
          </cell>
          <cell r="AO168">
            <v>1.7</v>
          </cell>
          <cell r="AP168">
            <v>1.7</v>
          </cell>
          <cell r="AQ168">
            <v>1.7</v>
          </cell>
          <cell r="AR168">
            <v>1.7</v>
          </cell>
          <cell r="AS168">
            <v>2.7E-2</v>
          </cell>
          <cell r="AT168">
            <v>8000</v>
          </cell>
          <cell r="AU168">
            <v>216</v>
          </cell>
          <cell r="AV168">
            <v>4.6300000000000001E-2</v>
          </cell>
          <cell r="AW168">
            <v>4.6300000000000001E-2</v>
          </cell>
          <cell r="AX168">
            <v>4.6300000000000001E-2</v>
          </cell>
          <cell r="AY168">
            <v>4.6300000000000001E-2</v>
          </cell>
          <cell r="AZ168">
            <v>4.6300000000000001E-2</v>
          </cell>
          <cell r="BA168">
            <v>4.6300000000000001E-2</v>
          </cell>
          <cell r="BB168">
            <v>4.6300000000000001E-2</v>
          </cell>
          <cell r="BC168">
            <v>4.6300000000000001E-2</v>
          </cell>
          <cell r="BD168">
            <v>4.6300000000000001E-2</v>
          </cell>
          <cell r="BE168">
            <v>4.6300000000000001E-2</v>
          </cell>
          <cell r="BF168">
            <v>4.6300000000000001E-2</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O168">
            <v>0</v>
          </cell>
          <cell r="CP168">
            <v>7.49</v>
          </cell>
          <cell r="CQ168">
            <v>7.49</v>
          </cell>
          <cell r="CR168">
            <v>7.49</v>
          </cell>
          <cell r="CS168">
            <v>7.49</v>
          </cell>
          <cell r="CT168">
            <v>7.49</v>
          </cell>
          <cell r="CU168">
            <v>7.49</v>
          </cell>
          <cell r="CV168">
            <v>7.49</v>
          </cell>
          <cell r="CW168">
            <v>7.49</v>
          </cell>
          <cell r="CX168">
            <v>7.49</v>
          </cell>
          <cell r="CY168">
            <v>7.49</v>
          </cell>
          <cell r="CZ168">
            <v>4.6300000000000001E-2</v>
          </cell>
          <cell r="DA168">
            <v>4.6300000000000001E-2</v>
          </cell>
          <cell r="DB168">
            <v>4.6300000000000001E-2</v>
          </cell>
          <cell r="DC168">
            <v>4.6300000000000001E-2</v>
          </cell>
          <cell r="DD168">
            <v>4.6300000000000001E-2</v>
          </cell>
          <cell r="DE168">
            <v>4.6300000000000001E-2</v>
          </cell>
          <cell r="DF168">
            <v>4.6300000000000001E-2</v>
          </cell>
          <cell r="DG168">
            <v>4.6300000000000001E-2</v>
          </cell>
          <cell r="DH168">
            <v>4.6300000000000001E-2</v>
          </cell>
          <cell r="DI168">
            <v>4.6300000000000001E-2</v>
          </cell>
          <cell r="DJ168">
            <v>4.6300000000000001E-2</v>
          </cell>
        </row>
        <row r="169">
          <cell r="C169">
            <v>6125</v>
          </cell>
          <cell r="D169">
            <v>9015</v>
          </cell>
          <cell r="E169" t="str">
            <v>Sheet Metal Mechanic</v>
          </cell>
          <cell r="F169" t="str">
            <v>DBA - DC2 - Sheetmetal Worker</v>
          </cell>
          <cell r="G169" t="str">
            <v>CBA1</v>
          </cell>
          <cell r="I169">
            <v>117644.8</v>
          </cell>
          <cell r="J169">
            <v>56.56</v>
          </cell>
          <cell r="K169">
            <v>0</v>
          </cell>
          <cell r="L169">
            <v>56.56</v>
          </cell>
          <cell r="M169">
            <v>56.56</v>
          </cell>
          <cell r="N169">
            <v>56.56</v>
          </cell>
          <cell r="O169">
            <v>56.56</v>
          </cell>
          <cell r="P169">
            <v>56.56</v>
          </cell>
          <cell r="Q169">
            <v>56.56</v>
          </cell>
          <cell r="R169">
            <v>56.56</v>
          </cell>
          <cell r="S169">
            <v>56.56</v>
          </cell>
          <cell r="T169">
            <v>56.56</v>
          </cell>
          <cell r="U169">
            <v>56.56</v>
          </cell>
          <cell r="V169">
            <v>56.56</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2.7E-2</v>
          </cell>
          <cell r="AT169">
            <v>8000</v>
          </cell>
          <cell r="AU169">
            <v>216</v>
          </cell>
          <cell r="AV169">
            <v>4.6300000000000001E-2</v>
          </cell>
          <cell r="AW169">
            <v>4.6300000000000001E-2</v>
          </cell>
          <cell r="AX169">
            <v>4.6300000000000001E-2</v>
          </cell>
          <cell r="AY169">
            <v>4.6300000000000001E-2</v>
          </cell>
          <cell r="AZ169">
            <v>4.6300000000000001E-2</v>
          </cell>
          <cell r="BA169">
            <v>4.6300000000000001E-2</v>
          </cell>
          <cell r="BB169">
            <v>4.6300000000000001E-2</v>
          </cell>
          <cell r="BC169">
            <v>4.6300000000000001E-2</v>
          </cell>
          <cell r="BD169">
            <v>4.6300000000000001E-2</v>
          </cell>
          <cell r="BE169">
            <v>4.6300000000000001E-2</v>
          </cell>
          <cell r="BF169">
            <v>4.6300000000000001E-2</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O169">
            <v>0</v>
          </cell>
          <cell r="CP169">
            <v>0</v>
          </cell>
          <cell r="CQ169">
            <v>0</v>
          </cell>
          <cell r="CR169">
            <v>0</v>
          </cell>
          <cell r="CS169">
            <v>0</v>
          </cell>
          <cell r="CT169">
            <v>0</v>
          </cell>
          <cell r="CU169">
            <v>0</v>
          </cell>
          <cell r="CV169">
            <v>0</v>
          </cell>
          <cell r="CW169">
            <v>0</v>
          </cell>
          <cell r="CX169">
            <v>0</v>
          </cell>
          <cell r="CY169">
            <v>0</v>
          </cell>
          <cell r="CZ169">
            <v>4.6300000000000001E-2</v>
          </cell>
          <cell r="DA169">
            <v>4.6300000000000001E-2</v>
          </cell>
          <cell r="DB169">
            <v>4.6300000000000001E-2</v>
          </cell>
          <cell r="DC169">
            <v>4.6300000000000001E-2</v>
          </cell>
          <cell r="DD169">
            <v>4.6300000000000001E-2</v>
          </cell>
          <cell r="DE169">
            <v>4.6300000000000001E-2</v>
          </cell>
          <cell r="DF169">
            <v>4.6300000000000001E-2</v>
          </cell>
          <cell r="DG169">
            <v>4.6300000000000001E-2</v>
          </cell>
          <cell r="DH169">
            <v>4.6300000000000001E-2</v>
          </cell>
          <cell r="DI169">
            <v>4.6300000000000001E-2</v>
          </cell>
          <cell r="DJ169">
            <v>4.6300000000000001E-2</v>
          </cell>
        </row>
        <row r="170">
          <cell r="C170">
            <v>6130</v>
          </cell>
          <cell r="D170">
            <v>9015</v>
          </cell>
          <cell r="E170" t="str">
            <v>Project Manager</v>
          </cell>
          <cell r="F170" t="str">
            <v>On-Site Project Manager Rate</v>
          </cell>
          <cell r="G170" t="str">
            <v>Exempt</v>
          </cell>
          <cell r="I170">
            <v>160726.12</v>
          </cell>
          <cell r="J170">
            <v>77.272173076923082</v>
          </cell>
          <cell r="K170">
            <v>2.5000000000000001E-2</v>
          </cell>
          <cell r="L170">
            <v>77.272173076923082</v>
          </cell>
          <cell r="M170">
            <v>77.272173076923082</v>
          </cell>
          <cell r="N170">
            <v>78.840798190384618</v>
          </cell>
          <cell r="O170">
            <v>80.441266393649428</v>
          </cell>
          <cell r="P170">
            <v>82.074224101440507</v>
          </cell>
          <cell r="Q170">
            <v>83.740330850699749</v>
          </cell>
          <cell r="R170">
            <v>85.440259566968948</v>
          </cell>
          <cell r="S170">
            <v>87.174696836178413</v>
          </cell>
          <cell r="T170">
            <v>88.944343181952831</v>
          </cell>
          <cell r="U170">
            <v>90.749913348546471</v>
          </cell>
          <cell r="V170">
            <v>92.655661528865934</v>
          </cell>
          <cell r="W170">
            <v>4.75</v>
          </cell>
          <cell r="X170">
            <v>4.75</v>
          </cell>
          <cell r="Y170">
            <v>4.9874999999999998</v>
          </cell>
          <cell r="Z170">
            <v>5.2368750000000004</v>
          </cell>
          <cell r="AA170">
            <v>5.498718750000001</v>
          </cell>
          <cell r="AB170">
            <v>5.7736546875000014</v>
          </cell>
          <cell r="AC170">
            <v>6.0623374218750019</v>
          </cell>
          <cell r="AD170">
            <v>6.3654542929687521</v>
          </cell>
          <cell r="AE170">
            <v>6.6837270076171897</v>
          </cell>
          <cell r="AF170">
            <v>7.0179133579980499</v>
          </cell>
          <cell r="AG170">
            <v>7.3688090258979528</v>
          </cell>
          <cell r="AH170">
            <v>2.5000000000000001E-2</v>
          </cell>
          <cell r="AI170">
            <v>2.5000000000000001E-2</v>
          </cell>
          <cell r="AJ170">
            <v>2.5524999999999999E-2</v>
          </cell>
          <cell r="AK170">
            <v>2.6061024999999998E-2</v>
          </cell>
          <cell r="AL170">
            <v>2.6608306524999997E-2</v>
          </cell>
          <cell r="AM170">
            <v>2.7167080962024994E-2</v>
          </cell>
          <cell r="AN170">
            <v>2.7737589662227516E-2</v>
          </cell>
          <cell r="AO170">
            <v>2.832007904513429E-2</v>
          </cell>
          <cell r="AP170">
            <v>2.8914800705082108E-2</v>
          </cell>
          <cell r="AQ170">
            <v>2.9522011519888831E-2</v>
          </cell>
          <cell r="AR170">
            <v>3.0141973761806492E-2</v>
          </cell>
          <cell r="AS170">
            <v>2.7E-2</v>
          </cell>
          <cell r="AT170">
            <v>8000</v>
          </cell>
          <cell r="AU170">
            <v>216</v>
          </cell>
          <cell r="AV170">
            <v>4.6300000000000001E-2</v>
          </cell>
          <cell r="AW170">
            <v>4.6300000000000001E-2</v>
          </cell>
          <cell r="AX170">
            <v>4.6531499999999996E-2</v>
          </cell>
          <cell r="AY170">
            <v>4.6764157499999993E-2</v>
          </cell>
          <cell r="AZ170">
            <v>4.6997978287499992E-2</v>
          </cell>
          <cell r="BA170">
            <v>4.723296817893749E-2</v>
          </cell>
          <cell r="BB170">
            <v>4.7469133019832174E-2</v>
          </cell>
          <cell r="BC170">
            <v>4.770647868493133E-2</v>
          </cell>
          <cell r="BD170">
            <v>4.7945011078355984E-2</v>
          </cell>
          <cell r="BE170">
            <v>4.7945011078355984E-2</v>
          </cell>
          <cell r="BF170">
            <v>4.7945011078355984E-2</v>
          </cell>
          <cell r="BG170">
            <v>337.52485199999995</v>
          </cell>
          <cell r="BH170">
            <v>337.52485199999995</v>
          </cell>
          <cell r="BI170">
            <v>354.40109459999996</v>
          </cell>
          <cell r="BJ170">
            <v>372.12114932999998</v>
          </cell>
          <cell r="BK170">
            <v>390.72720679650001</v>
          </cell>
          <cell r="BL170">
            <v>410.26356713632504</v>
          </cell>
          <cell r="BM170">
            <v>430.77674549314133</v>
          </cell>
          <cell r="BN170">
            <v>452.31558276779845</v>
          </cell>
          <cell r="BO170">
            <v>474.93136190618839</v>
          </cell>
          <cell r="BP170">
            <v>498.67793000149783</v>
          </cell>
          <cell r="BQ170">
            <v>523.61182650157275</v>
          </cell>
          <cell r="BR170">
            <v>33.72</v>
          </cell>
          <cell r="BS170">
            <v>33.72</v>
          </cell>
          <cell r="BT170">
            <v>34.428119999999993</v>
          </cell>
          <cell r="BU170">
            <v>35.151110519999989</v>
          </cell>
          <cell r="BV170">
            <v>35.889283840919987</v>
          </cell>
          <cell r="BW170">
            <v>36.642958801579304</v>
          </cell>
          <cell r="BX170">
            <v>37.412460936412465</v>
          </cell>
          <cell r="BY170">
            <v>38.198122616077121</v>
          </cell>
          <cell r="BZ170">
            <v>39.000283191014738</v>
          </cell>
          <cell r="CA170">
            <v>39.819289138026043</v>
          </cell>
          <cell r="CB170">
            <v>40.655494209924584</v>
          </cell>
          <cell r="CC170">
            <v>165.54790359999998</v>
          </cell>
          <cell r="CD170">
            <v>165.54790359999998</v>
          </cell>
          <cell r="CE170">
            <v>173.82529878</v>
          </cell>
          <cell r="CF170">
            <v>182.516563719</v>
          </cell>
          <cell r="CG170">
            <v>191.64239190495002</v>
          </cell>
          <cell r="CH170">
            <v>201.22451150019754</v>
          </cell>
          <cell r="CI170">
            <v>211.28573707520744</v>
          </cell>
          <cell r="CJ170">
            <v>221.85002392896783</v>
          </cell>
          <cell r="CK170">
            <v>232.94252512541624</v>
          </cell>
          <cell r="CL170">
            <v>244.58965138168705</v>
          </cell>
          <cell r="CM170">
            <v>256.8191339507714</v>
          </cell>
          <cell r="CO170">
            <v>4.75</v>
          </cell>
          <cell r="CP170">
            <v>4.75</v>
          </cell>
          <cell r="CQ170">
            <v>4.9874999999999998</v>
          </cell>
          <cell r="CR170">
            <v>5.2368750000000004</v>
          </cell>
          <cell r="CS170">
            <v>5.498718750000001</v>
          </cell>
          <cell r="CT170">
            <v>5.7736546875000014</v>
          </cell>
          <cell r="CU170">
            <v>6.0623374218750019</v>
          </cell>
          <cell r="CV170">
            <v>6.3654542929687521</v>
          </cell>
          <cell r="CW170">
            <v>6.6837270076171897</v>
          </cell>
          <cell r="CX170">
            <v>7.0179133579980499</v>
          </cell>
          <cell r="CY170">
            <v>7.3688090258979528</v>
          </cell>
          <cell r="CZ170">
            <v>4.6300000000000001E-2</v>
          </cell>
          <cell r="DA170">
            <v>4.6300000000000001E-2</v>
          </cell>
          <cell r="DB170">
            <v>4.6531499999999996E-2</v>
          </cell>
          <cell r="DC170">
            <v>4.6764157499999993E-2</v>
          </cell>
          <cell r="DD170">
            <v>4.6997978287499992E-2</v>
          </cell>
          <cell r="DE170">
            <v>4.723296817893749E-2</v>
          </cell>
          <cell r="DF170">
            <v>4.7469133019832174E-2</v>
          </cell>
          <cell r="DG170">
            <v>4.770647868493133E-2</v>
          </cell>
          <cell r="DH170">
            <v>4.7945011078355984E-2</v>
          </cell>
          <cell r="DI170">
            <v>4.7945011078355984E-2</v>
          </cell>
          <cell r="DJ170">
            <v>4.7945011078355984E-2</v>
          </cell>
        </row>
        <row r="171">
          <cell r="C171">
            <v>6135</v>
          </cell>
          <cell r="D171">
            <v>9015</v>
          </cell>
          <cell r="E171" t="str">
            <v>CAFM Technician</v>
          </cell>
          <cell r="F171" t="str">
            <v>Sr. Analyst CAD (JLL Internal)</v>
          </cell>
          <cell r="G171" t="str">
            <v>Exempt</v>
          </cell>
          <cell r="I171">
            <v>73100</v>
          </cell>
          <cell r="J171">
            <v>35.144230769230766</v>
          </cell>
          <cell r="K171">
            <v>2.5000000000000001E-2</v>
          </cell>
          <cell r="L171">
            <v>35.144230769230766</v>
          </cell>
          <cell r="M171">
            <v>35.144230769230766</v>
          </cell>
          <cell r="N171">
            <v>35.857658653846151</v>
          </cell>
          <cell r="O171">
            <v>36.585569124519225</v>
          </cell>
          <cell r="P171">
            <v>37.328256177746965</v>
          </cell>
          <cell r="Q171">
            <v>38.086019778155226</v>
          </cell>
          <cell r="R171">
            <v>38.859165979651777</v>
          </cell>
          <cell r="S171">
            <v>39.648007049038711</v>
          </cell>
          <cell r="T171">
            <v>40.452861592134198</v>
          </cell>
          <cell r="U171">
            <v>41.274054682454519</v>
          </cell>
          <cell r="V171">
            <v>42.140809830786061</v>
          </cell>
          <cell r="W171">
            <v>4.75</v>
          </cell>
          <cell r="X171">
            <v>4.75</v>
          </cell>
          <cell r="Y171">
            <v>4.9874999999999998</v>
          </cell>
          <cell r="Z171">
            <v>5.2368750000000004</v>
          </cell>
          <cell r="AA171">
            <v>5.498718750000001</v>
          </cell>
          <cell r="AB171">
            <v>5.7736546875000014</v>
          </cell>
          <cell r="AC171">
            <v>6.0623374218750019</v>
          </cell>
          <cell r="AD171">
            <v>6.3654542929687521</v>
          </cell>
          <cell r="AE171">
            <v>6.6837270076171897</v>
          </cell>
          <cell r="AF171">
            <v>7.0179133579980499</v>
          </cell>
          <cell r="AG171">
            <v>7.3688090258979528</v>
          </cell>
          <cell r="AH171">
            <v>2.5000000000000001E-2</v>
          </cell>
          <cell r="AI171">
            <v>2.5000000000000001E-2</v>
          </cell>
          <cell r="AJ171">
            <v>2.5524999999999999E-2</v>
          </cell>
          <cell r="AK171">
            <v>2.6061024999999998E-2</v>
          </cell>
          <cell r="AL171">
            <v>2.6608306524999997E-2</v>
          </cell>
          <cell r="AM171">
            <v>2.7167080962024994E-2</v>
          </cell>
          <cell r="AN171">
            <v>2.7737589662227516E-2</v>
          </cell>
          <cell r="AO171">
            <v>2.832007904513429E-2</v>
          </cell>
          <cell r="AP171">
            <v>2.8914800705082108E-2</v>
          </cell>
          <cell r="AQ171">
            <v>2.9522011519888831E-2</v>
          </cell>
          <cell r="AR171">
            <v>3.0141973761806492E-2</v>
          </cell>
          <cell r="AS171">
            <v>2.7E-2</v>
          </cell>
          <cell r="AT171">
            <v>8000</v>
          </cell>
          <cell r="AU171">
            <v>216</v>
          </cell>
          <cell r="AV171">
            <v>4.6300000000000001E-2</v>
          </cell>
          <cell r="AW171">
            <v>4.6300000000000001E-2</v>
          </cell>
          <cell r="AX171">
            <v>4.6531499999999996E-2</v>
          </cell>
          <cell r="AY171">
            <v>4.6764157499999993E-2</v>
          </cell>
          <cell r="AZ171">
            <v>4.6997978287499992E-2</v>
          </cell>
          <cell r="BA171">
            <v>4.723296817893749E-2</v>
          </cell>
          <cell r="BB171">
            <v>4.7469133019832174E-2</v>
          </cell>
          <cell r="BC171">
            <v>4.770647868493133E-2</v>
          </cell>
          <cell r="BD171">
            <v>4.7945011078355984E-2</v>
          </cell>
          <cell r="BE171">
            <v>4.7945011078355984E-2</v>
          </cell>
          <cell r="BF171">
            <v>4.7945011078355984E-2</v>
          </cell>
          <cell r="BG171">
            <v>153.51</v>
          </cell>
          <cell r="BH171">
            <v>153.51</v>
          </cell>
          <cell r="BI171">
            <v>161.18549999999999</v>
          </cell>
          <cell r="BJ171">
            <v>169.244775</v>
          </cell>
          <cell r="BK171">
            <v>177.70701375000002</v>
          </cell>
          <cell r="BL171">
            <v>186.59236443750004</v>
          </cell>
          <cell r="BM171">
            <v>195.92198265937506</v>
          </cell>
          <cell r="BN171">
            <v>205.71808179234381</v>
          </cell>
          <cell r="BO171">
            <v>216.003985881961</v>
          </cell>
          <cell r="BP171">
            <v>226.80418517605906</v>
          </cell>
          <cell r="BQ171">
            <v>238.14439443486202</v>
          </cell>
          <cell r="BR171">
            <v>33.72</v>
          </cell>
          <cell r="BS171">
            <v>33.72</v>
          </cell>
          <cell r="BT171">
            <v>34.428119999999993</v>
          </cell>
          <cell r="BU171">
            <v>35.151110519999989</v>
          </cell>
          <cell r="BV171">
            <v>35.889283840919987</v>
          </cell>
          <cell r="BW171">
            <v>36.642958801579304</v>
          </cell>
          <cell r="BX171">
            <v>37.412460936412465</v>
          </cell>
          <cell r="BY171">
            <v>38.198122616077121</v>
          </cell>
          <cell r="BZ171">
            <v>39.000283191014738</v>
          </cell>
          <cell r="CA171">
            <v>39.819289138026043</v>
          </cell>
          <cell r="CB171">
            <v>40.655494209924584</v>
          </cell>
          <cell r="CC171">
            <v>75.292999999999992</v>
          </cell>
          <cell r="CD171">
            <v>75.292999999999992</v>
          </cell>
          <cell r="CE171">
            <v>79.057649999999995</v>
          </cell>
          <cell r="CF171">
            <v>83.010532499999997</v>
          </cell>
          <cell r="CG171">
            <v>87.161059124999994</v>
          </cell>
          <cell r="CH171">
            <v>91.51911208125</v>
          </cell>
          <cell r="CI171">
            <v>96.0950676853125</v>
          </cell>
          <cell r="CJ171">
            <v>100.89982106957812</v>
          </cell>
          <cell r="CK171">
            <v>105.94481212305703</v>
          </cell>
          <cell r="CL171">
            <v>111.24205272920989</v>
          </cell>
          <cell r="CM171">
            <v>116.80415536567038</v>
          </cell>
          <cell r="CO171">
            <v>4.75</v>
          </cell>
          <cell r="CP171">
            <v>4.75</v>
          </cell>
          <cell r="CQ171">
            <v>4.9874999999999998</v>
          </cell>
          <cell r="CR171">
            <v>5.2368750000000004</v>
          </cell>
          <cell r="CS171">
            <v>5.498718750000001</v>
          </cell>
          <cell r="CT171">
            <v>5.7736546875000014</v>
          </cell>
          <cell r="CU171">
            <v>6.0623374218750019</v>
          </cell>
          <cell r="CV171">
            <v>6.3654542929687521</v>
          </cell>
          <cell r="CW171">
            <v>6.6837270076171897</v>
          </cell>
          <cell r="CX171">
            <v>7.0179133579980499</v>
          </cell>
          <cell r="CY171">
            <v>7.3688090258979528</v>
          </cell>
          <cell r="CZ171">
            <v>4.6300000000000001E-2</v>
          </cell>
          <cell r="DA171">
            <v>4.6300000000000001E-2</v>
          </cell>
          <cell r="DB171">
            <v>4.6531499999999996E-2</v>
          </cell>
          <cell r="DC171">
            <v>4.6764157499999993E-2</v>
          </cell>
          <cell r="DD171">
            <v>4.6997978287499992E-2</v>
          </cell>
          <cell r="DE171">
            <v>4.723296817893749E-2</v>
          </cell>
          <cell r="DF171">
            <v>4.7469133019832174E-2</v>
          </cell>
          <cell r="DG171">
            <v>4.770647868493133E-2</v>
          </cell>
          <cell r="DH171">
            <v>4.7945011078355984E-2</v>
          </cell>
          <cell r="DI171">
            <v>4.7945011078355984E-2</v>
          </cell>
          <cell r="DJ171">
            <v>4.7945011078355984E-2</v>
          </cell>
        </row>
      </sheetData>
      <sheetData sheetId="44" refreshError="1"/>
      <sheetData sheetId="45" refreshError="1"/>
      <sheetData sheetId="46" refreshError="1"/>
      <sheetData sheetId="47" refreshError="1">
        <row r="5">
          <cell r="M5">
            <v>1</v>
          </cell>
          <cell r="N5" t="str">
            <v>HVAC</v>
          </cell>
          <cell r="O5">
            <v>2254.1439999999998</v>
          </cell>
        </row>
        <row r="6">
          <cell r="M6">
            <v>2</v>
          </cell>
          <cell r="N6" t="str">
            <v>Carpenter</v>
          </cell>
          <cell r="O6">
            <v>505.76799999999997</v>
          </cell>
        </row>
        <row r="7">
          <cell r="M7">
            <v>3</v>
          </cell>
          <cell r="N7" t="str">
            <v>Electrician</v>
          </cell>
          <cell r="O7">
            <v>4408.7839999999997</v>
          </cell>
        </row>
        <row r="8">
          <cell r="M8">
            <v>4</v>
          </cell>
          <cell r="N8" t="str">
            <v>Maintenance</v>
          </cell>
          <cell r="O8">
            <v>795.35200000000009</v>
          </cell>
        </row>
        <row r="9">
          <cell r="M9">
            <v>5</v>
          </cell>
          <cell r="N9" t="str">
            <v>Plumber</v>
          </cell>
          <cell r="O9">
            <v>878.85599999999988</v>
          </cell>
        </row>
        <row r="10">
          <cell r="M10">
            <v>6</v>
          </cell>
          <cell r="N10" t="str">
            <v>Painter</v>
          </cell>
          <cell r="O10">
            <v>350.4559999999999</v>
          </cell>
        </row>
        <row r="11">
          <cell r="M11">
            <v>7</v>
          </cell>
          <cell r="N11" t="str">
            <v>Warehouse</v>
          </cell>
          <cell r="O11">
            <v>150.584</v>
          </cell>
        </row>
        <row r="12">
          <cell r="M12">
            <v>8</v>
          </cell>
          <cell r="N12" t="str">
            <v>Locksmith</v>
          </cell>
          <cell r="O12">
            <v>479.22399999999999</v>
          </cell>
        </row>
        <row r="13">
          <cell r="M13">
            <v>9</v>
          </cell>
          <cell r="N13" t="str">
            <v>BSVE</v>
          </cell>
          <cell r="O13">
            <v>150</v>
          </cell>
        </row>
      </sheetData>
      <sheetData sheetId="48" refreshError="1"/>
      <sheetData sheetId="49" refreshError="1"/>
      <sheetData sheetId="50" refreshError="1"/>
      <sheetData sheetId="5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
      <sheetName val="Lists"/>
    </sheetNames>
    <sheetDataSet>
      <sheetData sheetId="0" refreshError="1"/>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icial Master Inventory"/>
      <sheetName val="Sheet1"/>
      <sheetName val="Picklists"/>
      <sheetName val="P307_CATEGORY"/>
    </sheetNames>
    <sheetDataSet>
      <sheetData sheetId="0" refreshError="1"/>
      <sheetData sheetId="1" refreshError="1"/>
      <sheetData sheetId="2">
        <row r="2">
          <cell r="B2" t="str">
            <v>Diesel Electric</v>
          </cell>
          <cell r="E2" t="str">
            <v>Active</v>
          </cell>
          <cell r="G2" t="str">
            <v>ABB Power T&amp;D</v>
          </cell>
        </row>
        <row r="3">
          <cell r="B3" t="str">
            <v>Diesel Hydraulic</v>
          </cell>
          <cell r="E3" t="str">
            <v>Inactive</v>
          </cell>
          <cell r="G3" t="str">
            <v>Abell-Howe [CM]</v>
          </cell>
        </row>
        <row r="4">
          <cell r="B4" t="str">
            <v>Pneumatic</v>
          </cell>
          <cell r="E4" t="str">
            <v>Removed</v>
          </cell>
          <cell r="G4" t="str">
            <v>ACCOLIFT [ACCO]</v>
          </cell>
        </row>
        <row r="5">
          <cell r="B5" t="str">
            <v>Hydraulic</v>
          </cell>
          <cell r="E5" t="str">
            <v>Unknown</v>
          </cell>
          <cell r="G5" t="str">
            <v>ACE</v>
          </cell>
        </row>
        <row r="6">
          <cell r="B6" t="str">
            <v>Electric</v>
          </cell>
          <cell r="G6" t="str">
            <v>Advance Crane Technologies</v>
          </cell>
        </row>
        <row r="7">
          <cell r="B7" t="str">
            <v>Manual</v>
          </cell>
          <cell r="G7" t="str">
            <v>Advanced Automation Technologies (AAT) [Advanced Crane Technologies]</v>
          </cell>
        </row>
        <row r="8">
          <cell r="G8" t="str">
            <v>Air Technical Industries</v>
          </cell>
        </row>
        <row r="9">
          <cell r="G9" t="str">
            <v>Alliance Machine</v>
          </cell>
        </row>
        <row r="10">
          <cell r="G10" t="str">
            <v>Allied Crane</v>
          </cell>
        </row>
        <row r="11">
          <cell r="G11" t="str">
            <v>Altec</v>
          </cell>
        </row>
        <row r="12">
          <cell r="G12" t="str">
            <v>AmClyde [NOV]</v>
          </cell>
        </row>
        <row r="13">
          <cell r="G13" t="str">
            <v>American Crane</v>
          </cell>
        </row>
        <row r="14">
          <cell r="G14" t="str">
            <v>American Crane &amp; Equipment Corp (ACECO)</v>
          </cell>
        </row>
        <row r="15">
          <cell r="G15" t="str">
            <v>American Crane Inc</v>
          </cell>
        </row>
        <row r="16">
          <cell r="G16" t="str">
            <v xml:space="preserve">American Equipment </v>
          </cell>
        </row>
        <row r="17">
          <cell r="G17" t="str">
            <v>American Gage</v>
          </cell>
        </row>
        <row r="18">
          <cell r="G18" t="str">
            <v>American Hoist [Terex]</v>
          </cell>
        </row>
        <row r="19">
          <cell r="G19" t="str">
            <v>American Industrial Corp</v>
          </cell>
        </row>
        <row r="20">
          <cell r="G20" t="str">
            <v>American Monorail of California</v>
          </cell>
        </row>
        <row r="21">
          <cell r="G21" t="str">
            <v>Appleton Marine</v>
          </cell>
        </row>
        <row r="22">
          <cell r="G22" t="str">
            <v>ARCO</v>
          </cell>
        </row>
        <row r="23">
          <cell r="G23" t="str">
            <v>Asher/RO</v>
          </cell>
        </row>
        <row r="24">
          <cell r="G24" t="str">
            <v>AUSIO</v>
          </cell>
        </row>
        <row r="25">
          <cell r="G25" t="str">
            <v>Austin Western</v>
          </cell>
        </row>
        <row r="26">
          <cell r="G26" t="str">
            <v>Auto Crane</v>
          </cell>
        </row>
        <row r="27">
          <cell r="G27" t="str">
            <v>Avondale</v>
          </cell>
        </row>
        <row r="28">
          <cell r="G28" t="str">
            <v>Ayers-USA</v>
          </cell>
        </row>
        <row r="29">
          <cell r="G29" t="str">
            <v>Azpeitia</v>
          </cell>
        </row>
        <row r="30">
          <cell r="G30" t="str">
            <v>B.I. Brooks &amp; Sons</v>
          </cell>
        </row>
        <row r="31">
          <cell r="G31" t="str">
            <v>Bay Area Crane</v>
          </cell>
        </row>
        <row r="32">
          <cell r="G32" t="str">
            <v>Bay Machinery</v>
          </cell>
        </row>
        <row r="33">
          <cell r="G33" t="str">
            <v>BE Wallace</v>
          </cell>
        </row>
        <row r="34">
          <cell r="G34" t="str">
            <v>Bedford Crane</v>
          </cell>
        </row>
        <row r="35">
          <cell r="G35" t="str">
            <v>Beebe</v>
          </cell>
        </row>
        <row r="36">
          <cell r="G36" t="str">
            <v>Black Bear</v>
          </cell>
        </row>
        <row r="37">
          <cell r="G37" t="str">
            <v>Bluegrass Crane</v>
          </cell>
        </row>
        <row r="38">
          <cell r="G38" t="str">
            <v>Boland</v>
          </cell>
        </row>
        <row r="39">
          <cell r="G39" t="str">
            <v>Bonfanti</v>
          </cell>
        </row>
        <row r="40">
          <cell r="G40" t="str">
            <v>Box Car</v>
          </cell>
        </row>
        <row r="41">
          <cell r="G41" t="str">
            <v>Broderson</v>
          </cell>
        </row>
        <row r="42">
          <cell r="G42" t="str">
            <v>Browning [Konecranes]</v>
          </cell>
        </row>
        <row r="43">
          <cell r="G43" t="str">
            <v>Budgit [CM]</v>
          </cell>
        </row>
        <row r="44">
          <cell r="G44" t="str">
            <v>Caldwell</v>
          </cell>
        </row>
        <row r="45">
          <cell r="G45" t="str">
            <v>Capital Material</v>
          </cell>
        </row>
        <row r="46">
          <cell r="G46" t="str">
            <v>Cargomaster</v>
          </cell>
        </row>
        <row r="47">
          <cell r="G47" t="str">
            <v>Carter Iron</v>
          </cell>
        </row>
        <row r="48">
          <cell r="G48" t="str">
            <v>Cascade</v>
          </cell>
        </row>
        <row r="49">
          <cell r="G49" t="str">
            <v>Caterpillar</v>
          </cell>
        </row>
        <row r="50">
          <cell r="G50" t="str">
            <v>CHECO  (Canadian Overhead Handling) [Konecranes]</v>
          </cell>
        </row>
        <row r="51">
          <cell r="G51" t="str">
            <v>Chesapeake Iron Works</v>
          </cell>
        </row>
        <row r="52">
          <cell r="G52" t="str">
            <v>Chester Hoist [CM]</v>
          </cell>
        </row>
        <row r="53">
          <cell r="G53" t="str">
            <v>Chicago</v>
          </cell>
        </row>
        <row r="54">
          <cell r="G54" t="str">
            <v>Chicago Bridge &amp; Iron</v>
          </cell>
        </row>
        <row r="55">
          <cell r="G55" t="str">
            <v>Chicago Pneumatic</v>
          </cell>
        </row>
        <row r="56">
          <cell r="G56" t="str">
            <v>Chisholm Moore [CM]</v>
          </cell>
        </row>
        <row r="57">
          <cell r="G57" t="str">
            <v>Cleveland Beacon [Mazzella]</v>
          </cell>
        </row>
        <row r="58">
          <cell r="G58" t="str">
            <v>Cleveland Tramrail [Gorbel]</v>
          </cell>
        </row>
        <row r="59">
          <cell r="G59" t="str">
            <v>CM [Columbus McKinnon]</v>
          </cell>
        </row>
        <row r="60">
          <cell r="G60" t="str">
            <v>CMI</v>
          </cell>
        </row>
        <row r="61">
          <cell r="G61" t="str">
            <v>CNM</v>
          </cell>
        </row>
        <row r="62">
          <cell r="G62" t="str">
            <v>Coastal</v>
          </cell>
        </row>
        <row r="63">
          <cell r="G63" t="str">
            <v>Coffing [CM]</v>
          </cell>
        </row>
        <row r="64">
          <cell r="G64" t="str">
            <v>Columbia</v>
          </cell>
        </row>
        <row r="65">
          <cell r="G65" t="str">
            <v>Conco</v>
          </cell>
        </row>
        <row r="66">
          <cell r="G66" t="str">
            <v>Consolidated</v>
          </cell>
        </row>
        <row r="67">
          <cell r="G67" t="str">
            <v>Contrx</v>
          </cell>
        </row>
        <row r="68">
          <cell r="G68" t="str">
            <v>Cormach</v>
          </cell>
        </row>
        <row r="69">
          <cell r="G69" t="str">
            <v>Coto</v>
          </cell>
        </row>
        <row r="70">
          <cell r="G70" t="str">
            <v>Cougar Bay</v>
          </cell>
        </row>
        <row r="71">
          <cell r="G71" t="str">
            <v>Craft</v>
          </cell>
        </row>
        <row r="72">
          <cell r="G72" t="str">
            <v>Crane Bld Inc</v>
          </cell>
        </row>
        <row r="73">
          <cell r="G73" t="str">
            <v>Crane Technologies</v>
          </cell>
        </row>
        <row r="74">
          <cell r="G74" t="str">
            <v>CraneVeyor</v>
          </cell>
        </row>
        <row r="75">
          <cell r="G75" t="str">
            <v>CTS Engineering</v>
          </cell>
        </row>
        <row r="76">
          <cell r="G76" t="str">
            <v>Cummins</v>
          </cell>
        </row>
        <row r="77">
          <cell r="G77" t="str">
            <v>Cyclops</v>
          </cell>
        </row>
        <row r="78">
          <cell r="G78" t="str">
            <v>David Round</v>
          </cell>
        </row>
        <row r="79">
          <cell r="G79" t="str">
            <v>Davies</v>
          </cell>
        </row>
        <row r="80">
          <cell r="G80" t="str">
            <v>Dayton</v>
          </cell>
        </row>
        <row r="81">
          <cell r="G81" t="str">
            <v>Dean Research</v>
          </cell>
        </row>
        <row r="82">
          <cell r="G82" t="str">
            <v>Dearborn</v>
          </cell>
        </row>
        <row r="83">
          <cell r="G83" t="str">
            <v>DEMAG [Terex]</v>
          </cell>
        </row>
        <row r="84">
          <cell r="G84" t="str">
            <v>Deshazo</v>
          </cell>
        </row>
        <row r="85">
          <cell r="G85" t="str">
            <v>Detroit</v>
          </cell>
        </row>
        <row r="86">
          <cell r="G86" t="str">
            <v>Detroit Hoist</v>
          </cell>
        </row>
        <row r="87">
          <cell r="G87" t="str">
            <v>Donati</v>
          </cell>
        </row>
        <row r="88">
          <cell r="G88" t="str">
            <v>Doosan</v>
          </cell>
        </row>
        <row r="89">
          <cell r="G89" t="str">
            <v>Dravo</v>
          </cell>
        </row>
        <row r="90">
          <cell r="G90" t="str">
            <v>Dresser [GE]</v>
          </cell>
        </row>
        <row r="91">
          <cell r="G91" t="str">
            <v>Dressor</v>
          </cell>
        </row>
        <row r="92">
          <cell r="G92" t="str">
            <v>Drott</v>
          </cell>
        </row>
        <row r="93">
          <cell r="G93" t="str">
            <v>Duff Norton [CM]</v>
          </cell>
        </row>
        <row r="94">
          <cell r="G94" t="str">
            <v>Dutton-Lainson</v>
          </cell>
        </row>
        <row r="95">
          <cell r="G95" t="str">
            <v>Dwight-Foote [Konecranes]</v>
          </cell>
        </row>
        <row r="96">
          <cell r="G96" t="str">
            <v>Eaton</v>
          </cell>
        </row>
        <row r="97">
          <cell r="G97" t="str">
            <v>Ederer [PaR Systems]</v>
          </cell>
        </row>
        <row r="98">
          <cell r="G98" t="str">
            <v>Electrolift</v>
          </cell>
        </row>
        <row r="99">
          <cell r="G99" t="str">
            <v>Elephants</v>
          </cell>
        </row>
        <row r="100">
          <cell r="G100" t="str">
            <v>Elift</v>
          </cell>
        </row>
        <row r="101">
          <cell r="G101" t="str">
            <v>Elliott</v>
          </cell>
        </row>
        <row r="102">
          <cell r="G102" t="str">
            <v>Entwistle</v>
          </cell>
        </row>
        <row r="103">
          <cell r="G103" t="str">
            <v>Equipment Fabricators</v>
          </cell>
        </row>
        <row r="104">
          <cell r="G104" t="str">
            <v>Euclid [Konecranes]</v>
          </cell>
        </row>
        <row r="105">
          <cell r="G105" t="str">
            <v>F. T.  Crowe [Konecranes]</v>
          </cell>
        </row>
        <row r="106">
          <cell r="G106" t="str">
            <v>FMC [Link-Belt]</v>
          </cell>
        </row>
        <row r="107">
          <cell r="G107" t="str">
            <v>Foley</v>
          </cell>
        </row>
        <row r="108">
          <cell r="G108" t="str">
            <v>Ford</v>
          </cell>
        </row>
        <row r="109">
          <cell r="G109" t="str">
            <v>Freeland</v>
          </cell>
        </row>
        <row r="110">
          <cell r="G110" t="str">
            <v>Fremont</v>
          </cell>
        </row>
        <row r="111">
          <cell r="G111" t="str">
            <v>Fremont Foundry &amp; Machine Company</v>
          </cell>
        </row>
        <row r="112">
          <cell r="G112" t="str">
            <v>Frontier</v>
          </cell>
        </row>
        <row r="113">
          <cell r="G113" t="str">
            <v>FS Industries</v>
          </cell>
        </row>
        <row r="114">
          <cell r="G114" t="str">
            <v>FSI Crane &amp; Hoist</v>
          </cell>
        </row>
        <row r="115">
          <cell r="G115" t="str">
            <v>Fulton</v>
          </cell>
        </row>
        <row r="116">
          <cell r="G116" t="str">
            <v>Furukawa</v>
          </cell>
        </row>
        <row r="117">
          <cell r="G117" t="str">
            <v>Gaffey [ACE Industries]</v>
          </cell>
        </row>
        <row r="118">
          <cell r="G118" t="str">
            <v>Galion</v>
          </cell>
        </row>
        <row r="119">
          <cell r="G119" t="str">
            <v>Gardner-Denver</v>
          </cell>
        </row>
        <row r="120">
          <cell r="G120" t="str">
            <v>GEMCO</v>
          </cell>
        </row>
        <row r="121">
          <cell r="G121" t="str">
            <v>General Conveyor, Inc</v>
          </cell>
        </row>
        <row r="122">
          <cell r="G122" t="str">
            <v>GIS</v>
          </cell>
        </row>
        <row r="123">
          <cell r="G123" t="str">
            <v>Global</v>
          </cell>
        </row>
        <row r="124">
          <cell r="G124" t="str">
            <v>Gorbel</v>
          </cell>
        </row>
        <row r="125">
          <cell r="G125" t="str">
            <v>Grove [Manitowoc]</v>
          </cell>
        </row>
        <row r="126">
          <cell r="G126" t="str">
            <v>GW King</v>
          </cell>
        </row>
        <row r="127">
          <cell r="G127" t="str">
            <v>Halter Marine</v>
          </cell>
        </row>
        <row r="128">
          <cell r="G128" t="str">
            <v>Harrington [Kito]</v>
          </cell>
        </row>
        <row r="129">
          <cell r="G129" t="str">
            <v>HECO-Pacific Manufacturering</v>
          </cell>
        </row>
        <row r="130">
          <cell r="G130" t="str">
            <v>Heyl &amp; Patterson</v>
          </cell>
        </row>
        <row r="131">
          <cell r="G131" t="str">
            <v>HIAB</v>
          </cell>
        </row>
        <row r="132">
          <cell r="G132" t="str">
            <v>Hitachi</v>
          </cell>
        </row>
        <row r="133">
          <cell r="G133" t="str">
            <v>Hydra Pro [Rapp]</v>
          </cell>
        </row>
        <row r="134">
          <cell r="G134" t="str">
            <v>Hydropower</v>
          </cell>
        </row>
        <row r="135">
          <cell r="G135" t="str">
            <v>IMPSA</v>
          </cell>
        </row>
        <row r="136">
          <cell r="G136" t="str">
            <v>IMS (Integrated Machinery Solutions)</v>
          </cell>
        </row>
        <row r="137">
          <cell r="G137" t="str">
            <v>IMT [Oshkosh]</v>
          </cell>
        </row>
        <row r="138">
          <cell r="G138" t="str">
            <v>Ingersoll-Rand</v>
          </cell>
        </row>
        <row r="139">
          <cell r="G139" t="str">
            <v>IPAC</v>
          </cell>
        </row>
        <row r="140">
          <cell r="G140" t="str">
            <v>Ishikawajima Heavy Industries</v>
          </cell>
        </row>
        <row r="141">
          <cell r="G141" t="str">
            <v>J. Herbert</v>
          </cell>
        </row>
        <row r="142">
          <cell r="G142" t="str">
            <v>J.D. Neuhaus</v>
          </cell>
        </row>
        <row r="143">
          <cell r="G143" t="str">
            <v>Jeamar Winch</v>
          </cell>
        </row>
        <row r="144">
          <cell r="G144" t="str">
            <v>Jekko</v>
          </cell>
        </row>
        <row r="145">
          <cell r="G145" t="str">
            <v>Jet</v>
          </cell>
        </row>
        <row r="146">
          <cell r="G146" t="str">
            <v>JLG [Oshkosh]</v>
          </cell>
        </row>
        <row r="147">
          <cell r="G147" t="str">
            <v>John Deere</v>
          </cell>
        </row>
        <row r="148">
          <cell r="G148" t="str">
            <v>Jomac</v>
          </cell>
        </row>
        <row r="149">
          <cell r="G149" t="str">
            <v>Judson Pacific</v>
          </cell>
        </row>
        <row r="150">
          <cell r="G150" t="str">
            <v>Kalmar</v>
          </cell>
        </row>
        <row r="151">
          <cell r="G151" t="str">
            <v>Kamiuchi</v>
          </cell>
        </row>
        <row r="152">
          <cell r="G152" t="str">
            <v>Kanlift</v>
          </cell>
        </row>
        <row r="153">
          <cell r="G153" t="str">
            <v>Kato</v>
          </cell>
        </row>
        <row r="154">
          <cell r="G154" t="str">
            <v>Keller</v>
          </cell>
        </row>
        <row r="155">
          <cell r="G155" t="str">
            <v>Kellerin</v>
          </cell>
        </row>
        <row r="156">
          <cell r="G156" t="str">
            <v>Kito</v>
          </cell>
        </row>
        <row r="157">
          <cell r="G157" t="str">
            <v>Kobelco</v>
          </cell>
        </row>
        <row r="158">
          <cell r="G158" t="str">
            <v>Kocks Krane</v>
          </cell>
        </row>
        <row r="159">
          <cell r="G159" t="str">
            <v>Kodak</v>
          </cell>
        </row>
        <row r="160">
          <cell r="G160" t="str">
            <v>Koehring [Terex]</v>
          </cell>
        </row>
        <row r="161">
          <cell r="G161" t="str">
            <v>Komatsu</v>
          </cell>
        </row>
        <row r="162">
          <cell r="G162" t="str">
            <v>Konecranes</v>
          </cell>
        </row>
        <row r="163">
          <cell r="G163" t="str">
            <v>Kranco [Konecranes]</v>
          </cell>
        </row>
        <row r="164">
          <cell r="G164" t="str">
            <v>Krupp</v>
          </cell>
        </row>
        <row r="165">
          <cell r="G165" t="str">
            <v>Lansdale</v>
          </cell>
        </row>
        <row r="166">
          <cell r="G166" t="str">
            <v>Lenard Burke</v>
          </cell>
        </row>
        <row r="167">
          <cell r="G167" t="str">
            <v>LeTourneau</v>
          </cell>
        </row>
        <row r="168">
          <cell r="G168" t="str">
            <v>Liebherr</v>
          </cell>
        </row>
        <row r="169">
          <cell r="G169" t="str">
            <v>LIFT TECH</v>
          </cell>
        </row>
        <row r="170">
          <cell r="G170" t="str">
            <v>Lift-All</v>
          </cell>
        </row>
        <row r="171">
          <cell r="G171" t="str">
            <v>Liftmoore</v>
          </cell>
        </row>
        <row r="172">
          <cell r="G172" t="str">
            <v>Link-Belt</v>
          </cell>
        </row>
        <row r="173">
          <cell r="G173" t="str">
            <v>Little Mule [CM]</v>
          </cell>
        </row>
        <row r="174">
          <cell r="G174" t="str">
            <v>Loadrunner</v>
          </cell>
        </row>
        <row r="175">
          <cell r="G175" t="str">
            <v>Locatelli</v>
          </cell>
        </row>
        <row r="176">
          <cell r="G176" t="str">
            <v>Lorain [Terex]</v>
          </cell>
        </row>
        <row r="177">
          <cell r="G177" t="str">
            <v>Louden [ACCO]</v>
          </cell>
        </row>
        <row r="178">
          <cell r="G178" t="str">
            <v>Luna</v>
          </cell>
        </row>
        <row r="179">
          <cell r="G179" t="str">
            <v>M.A.N.</v>
          </cell>
        </row>
        <row r="180">
          <cell r="G180" t="str">
            <v>MacGregor</v>
          </cell>
        </row>
        <row r="181">
          <cell r="G181" t="str">
            <v>Maintainer</v>
          </cell>
        </row>
        <row r="182">
          <cell r="G182" t="str">
            <v>Maitland</v>
          </cell>
        </row>
        <row r="183">
          <cell r="G183" t="str">
            <v>Manitowoc</v>
          </cell>
        </row>
        <row r="184">
          <cell r="G184" t="str">
            <v>Manning, Maxwell &amp; Moore (Dresser)</v>
          </cell>
        </row>
        <row r="185">
          <cell r="G185" t="str">
            <v>Marine Travelift</v>
          </cell>
        </row>
        <row r="186">
          <cell r="G186" t="str">
            <v>Mazzella</v>
          </cell>
        </row>
        <row r="187">
          <cell r="G187" t="str">
            <v>McCullum</v>
          </cell>
        </row>
        <row r="188">
          <cell r="G188" t="str">
            <v>McLean</v>
          </cell>
        </row>
        <row r="189">
          <cell r="G189" t="str">
            <v>Meidensha</v>
          </cell>
        </row>
        <row r="190">
          <cell r="G190" t="str">
            <v>Meldan</v>
          </cell>
        </row>
        <row r="191">
          <cell r="G191" t="str">
            <v>Mercedes</v>
          </cell>
        </row>
        <row r="192">
          <cell r="G192" t="str">
            <v>Metals of VA</v>
          </cell>
        </row>
        <row r="193">
          <cell r="G193" t="str">
            <v>Michigan (Crane Technologies)</v>
          </cell>
        </row>
        <row r="194">
          <cell r="G194" t="str">
            <v>Mid-Atlantic Crane</v>
          </cell>
        </row>
        <row r="195">
          <cell r="G195" t="str">
            <v>Milwaukee</v>
          </cell>
        </row>
        <row r="196">
          <cell r="G196" t="str">
            <v>Mitsubishi</v>
          </cell>
        </row>
        <row r="197">
          <cell r="G197" t="str">
            <v>Moffett [Konecranes]</v>
          </cell>
        </row>
        <row r="198">
          <cell r="G198" t="str">
            <v>Morgan</v>
          </cell>
        </row>
        <row r="199">
          <cell r="G199" t="str">
            <v>Morris Material Handling [Konecranes]</v>
          </cell>
        </row>
        <row r="200">
          <cell r="G200" t="str">
            <v>Motivation</v>
          </cell>
        </row>
        <row r="201">
          <cell r="G201" t="str">
            <v>MTL</v>
          </cell>
        </row>
        <row r="202">
          <cell r="G202" t="str">
            <v>Munck [Konecranes]</v>
          </cell>
        </row>
        <row r="203">
          <cell r="G203" t="str">
            <v>Mussell</v>
          </cell>
        </row>
        <row r="204">
          <cell r="G204" t="str">
            <v>My-te</v>
          </cell>
        </row>
        <row r="205">
          <cell r="G205" t="str">
            <v>NAI (Dearborn)</v>
          </cell>
        </row>
        <row r="206">
          <cell r="G206" t="str">
            <v>National Crane [Manitowoc]</v>
          </cell>
        </row>
        <row r="207">
          <cell r="G207" t="str">
            <v>National Crane Service</v>
          </cell>
        </row>
        <row r="208">
          <cell r="G208" t="str">
            <v>Newell</v>
          </cell>
        </row>
        <row r="209">
          <cell r="G209" t="str">
            <v>Nihon</v>
          </cell>
        </row>
        <row r="210">
          <cell r="G210" t="str">
            <v>Niles [Konecranes]</v>
          </cell>
        </row>
        <row r="211">
          <cell r="G211" t="str">
            <v>Nippon</v>
          </cell>
        </row>
        <row r="212">
          <cell r="G212" t="str">
            <v>North Penn Iron</v>
          </cell>
        </row>
        <row r="213">
          <cell r="G213" t="str">
            <v>Northern [Konecranes]</v>
          </cell>
        </row>
        <row r="214">
          <cell r="G214" t="str">
            <v>Northwest</v>
          </cell>
        </row>
        <row r="215">
          <cell r="G215" t="str">
            <v>Northwestern</v>
          </cell>
        </row>
        <row r="216">
          <cell r="G216" t="str">
            <v>NOV (National Offshore Varco)</v>
          </cell>
        </row>
        <row r="217">
          <cell r="G217" t="str">
            <v>Ogawa</v>
          </cell>
        </row>
        <row r="218">
          <cell r="G218" t="str">
            <v>Olaberria [GH]</v>
          </cell>
        </row>
        <row r="219">
          <cell r="G219" t="str">
            <v>Oldenberg Lake Shore</v>
          </cell>
        </row>
        <row r="220">
          <cell r="G220" t="str">
            <v>OMI</v>
          </cell>
        </row>
        <row r="221">
          <cell r="G221" t="str">
            <v>OMIS</v>
          </cell>
        </row>
        <row r="222">
          <cell r="G222" t="str">
            <v>Oshkosh</v>
          </cell>
        </row>
        <row r="223">
          <cell r="G223" t="str">
            <v>P&amp;H (Pawling &amp; Harnischfeger) [Konecranes]</v>
          </cell>
        </row>
        <row r="224">
          <cell r="G224" t="str">
            <v>PACO</v>
          </cell>
        </row>
        <row r="225">
          <cell r="G225" t="str">
            <v>Palfinger</v>
          </cell>
        </row>
        <row r="226">
          <cell r="G226" t="str">
            <v>PCM</v>
          </cell>
        </row>
        <row r="227">
          <cell r="G227" t="str">
            <v>PECO</v>
          </cell>
        </row>
        <row r="228">
          <cell r="G228" t="str">
            <v>Pettibone</v>
          </cell>
        </row>
        <row r="229">
          <cell r="G229" t="str">
            <v>Philadelphia Tramrail</v>
          </cell>
        </row>
        <row r="230">
          <cell r="G230" t="str">
            <v>Piedmont</v>
          </cell>
        </row>
        <row r="231">
          <cell r="G231" t="str">
            <v>Pointer Willamette</v>
          </cell>
        </row>
        <row r="232">
          <cell r="G232" t="str">
            <v>Potain [Manitowoc]</v>
          </cell>
        </row>
        <row r="233">
          <cell r="G233" t="str">
            <v>Potain Poclain Manutention (PPM) [Terex]</v>
          </cell>
        </row>
        <row r="234">
          <cell r="G234" t="str">
            <v>Product Equip Co</v>
          </cell>
        </row>
        <row r="235">
          <cell r="G235" t="str">
            <v>PROFI [J.D. Neuhaus]</v>
          </cell>
        </row>
        <row r="236">
          <cell r="G236" t="str">
            <v>Progressive [Mazzella]</v>
          </cell>
        </row>
        <row r="237">
          <cell r="G237" t="str">
            <v>Puget Sound Crane</v>
          </cell>
        </row>
        <row r="238">
          <cell r="G238" t="str">
            <v>Pulllift</v>
          </cell>
        </row>
        <row r="239">
          <cell r="G239" t="str">
            <v>Putzmeister</v>
          </cell>
        </row>
        <row r="240">
          <cell r="G240" t="str">
            <v>QMC</v>
          </cell>
        </row>
        <row r="241">
          <cell r="G241" t="str">
            <v>R&amp;M (Robbins &amp; Myers) [Konecranes]</v>
          </cell>
        </row>
        <row r="242">
          <cell r="G242" t="str">
            <v>R.W.M</v>
          </cell>
        </row>
        <row r="243">
          <cell r="G243" t="str">
            <v>Reading</v>
          </cell>
        </row>
        <row r="244">
          <cell r="G244" t="str">
            <v>Reliable Crane</v>
          </cell>
        </row>
        <row r="245">
          <cell r="G245" t="str">
            <v>Renault</v>
          </cell>
        </row>
        <row r="246">
          <cell r="G246" t="str">
            <v>Rightway</v>
          </cell>
        </row>
        <row r="247">
          <cell r="G247" t="str">
            <v>Rolls Royce</v>
          </cell>
        </row>
        <row r="248">
          <cell r="G248" t="str">
            <v>Samsung</v>
          </cell>
        </row>
        <row r="249">
          <cell r="G249" t="str">
            <v>Saturn</v>
          </cell>
        </row>
        <row r="250">
          <cell r="G250" t="str">
            <v>Seattle Crane</v>
          </cell>
        </row>
        <row r="251">
          <cell r="G251" t="str">
            <v>Seneca</v>
          </cell>
        </row>
        <row r="252">
          <cell r="G252" t="str">
            <v>Shaw-Box [CM]</v>
          </cell>
        </row>
        <row r="253">
          <cell r="G253" t="str">
            <v>Shepard Niles [Konecranes]</v>
          </cell>
        </row>
        <row r="254">
          <cell r="G254" t="str">
            <v>Shinmaywa</v>
          </cell>
        </row>
        <row r="255">
          <cell r="G255" t="str">
            <v>Shinn Fu</v>
          </cell>
        </row>
        <row r="256">
          <cell r="G256" t="str">
            <v>Shupper-Brickle</v>
          </cell>
        </row>
        <row r="257">
          <cell r="G257" t="str">
            <v>Shuttlelift</v>
          </cell>
        </row>
        <row r="258">
          <cell r="G258" t="str">
            <v>Simon-RO [Terex]</v>
          </cell>
        </row>
        <row r="259">
          <cell r="G259" t="str">
            <v>Sky Hook</v>
          </cell>
        </row>
        <row r="260">
          <cell r="G260" t="str">
            <v>Skytrak</v>
          </cell>
        </row>
        <row r="261">
          <cell r="G261" t="str">
            <v>SMK</v>
          </cell>
        </row>
        <row r="262">
          <cell r="G262" t="str">
            <v>Somatex</v>
          </cell>
        </row>
        <row r="263">
          <cell r="G263" t="str">
            <v>Southeastern Crane</v>
          </cell>
        </row>
        <row r="264">
          <cell r="G264" t="str">
            <v>Southwestern</v>
          </cell>
        </row>
        <row r="265">
          <cell r="G265" t="str">
            <v>Spanco</v>
          </cell>
        </row>
        <row r="266">
          <cell r="G266" t="str">
            <v>Specialty Motors Manufacturing</v>
          </cell>
        </row>
        <row r="267">
          <cell r="G267" t="str">
            <v>Spencer</v>
          </cell>
        </row>
        <row r="268">
          <cell r="G268" t="str">
            <v>SSI(USA)</v>
          </cell>
        </row>
        <row r="269">
          <cell r="G269" t="str">
            <v>Stahl</v>
          </cell>
        </row>
        <row r="270">
          <cell r="G270" t="str">
            <v>Stanley</v>
          </cell>
        </row>
        <row r="271">
          <cell r="G271" t="str">
            <v>Stanspec [American Crane &amp; Hoist]</v>
          </cell>
        </row>
        <row r="272">
          <cell r="G272" t="str">
            <v>Star Iron Works [PaR Systems]</v>
          </cell>
        </row>
        <row r="273">
          <cell r="G273" t="str">
            <v>Starr and Company, Inc</v>
          </cell>
        </row>
        <row r="274">
          <cell r="G274" t="str">
            <v>Stellar</v>
          </cell>
        </row>
        <row r="275">
          <cell r="G275" t="str">
            <v>Sterling</v>
          </cell>
        </row>
        <row r="276">
          <cell r="G276" t="str">
            <v>Stewart Engineering and Equipment Co. [Konecranes]</v>
          </cell>
        </row>
        <row r="277">
          <cell r="G277" t="str">
            <v>Sumitomo</v>
          </cell>
        </row>
        <row r="278">
          <cell r="G278" t="str">
            <v>Survival Systems Inc</v>
          </cell>
        </row>
        <row r="279">
          <cell r="G279" t="str">
            <v>T&amp;M</v>
          </cell>
        </row>
        <row r="280">
          <cell r="G280" t="str">
            <v>Tadano Faun</v>
          </cell>
        </row>
        <row r="281">
          <cell r="G281" t="str">
            <v>TC/American</v>
          </cell>
        </row>
        <row r="282">
          <cell r="G282" t="str">
            <v>Therm</v>
          </cell>
        </row>
        <row r="283">
          <cell r="G283" t="str">
            <v>Thermmach</v>
          </cell>
        </row>
        <row r="284">
          <cell r="G284" t="str">
            <v>Thern</v>
          </cell>
        </row>
        <row r="285">
          <cell r="G285" t="str">
            <v>Thor</v>
          </cell>
        </row>
        <row r="286">
          <cell r="G286" t="str">
            <v>Total Crane Systems</v>
          </cell>
        </row>
        <row r="287">
          <cell r="G287" t="str">
            <v>Toyohoist</v>
          </cell>
        </row>
        <row r="288">
          <cell r="G288" t="str">
            <v>Trademark</v>
          </cell>
        </row>
        <row r="289">
          <cell r="G289" t="str">
            <v>Tralift [Tractel)</v>
          </cell>
        </row>
        <row r="290">
          <cell r="G290" t="str">
            <v>Twin City</v>
          </cell>
        </row>
        <row r="291">
          <cell r="G291" t="str">
            <v>Unic [Furukawa]</v>
          </cell>
        </row>
        <row r="292">
          <cell r="G292" t="str">
            <v>Unified Industries</v>
          </cell>
        </row>
        <row r="293">
          <cell r="G293" t="str">
            <v>Universal</v>
          </cell>
        </row>
        <row r="294">
          <cell r="G294" t="str">
            <v>US Crane</v>
          </cell>
        </row>
        <row r="295">
          <cell r="G295" t="str">
            <v>Venturo</v>
          </cell>
        </row>
        <row r="296">
          <cell r="G296" t="str">
            <v>Verlinde [Konecranes]</v>
          </cell>
        </row>
        <row r="297">
          <cell r="G297" t="str">
            <v>Verne</v>
          </cell>
        </row>
        <row r="298">
          <cell r="G298" t="str">
            <v>Vernon Corp</v>
          </cell>
        </row>
        <row r="299">
          <cell r="G299" t="str">
            <v>Vestdavit</v>
          </cell>
        </row>
        <row r="300">
          <cell r="G300" t="str">
            <v>Vestil</v>
          </cell>
        </row>
        <row r="301">
          <cell r="G301" t="str">
            <v>Victor Browning [Konecranes]</v>
          </cell>
        </row>
        <row r="302">
          <cell r="G302" t="str">
            <v>Virginia [Foley]</v>
          </cell>
        </row>
        <row r="303">
          <cell r="G303" t="str">
            <v>Volvo</v>
          </cell>
        </row>
        <row r="304">
          <cell r="G304" t="str">
            <v>Volvo Hydraulics</v>
          </cell>
        </row>
        <row r="305">
          <cell r="G305" t="str">
            <v>W.O. Grubb</v>
          </cell>
        </row>
        <row r="306">
          <cell r="G306" t="str">
            <v>Wallace</v>
          </cell>
        </row>
        <row r="307">
          <cell r="G307" t="str">
            <v>Walter Dankas</v>
          </cell>
        </row>
        <row r="308">
          <cell r="G308" t="str">
            <v>Washington Crane and Hoist</v>
          </cell>
        </row>
        <row r="309">
          <cell r="G309" t="str">
            <v>Washington Iron Works [PaR Systems]</v>
          </cell>
        </row>
        <row r="310">
          <cell r="G310" t="str">
            <v>Wazee</v>
          </cell>
        </row>
        <row r="311">
          <cell r="G311" t="str">
            <v>Wellman</v>
          </cell>
        </row>
        <row r="312">
          <cell r="G312" t="str">
            <v>Wells Engineering</v>
          </cell>
        </row>
        <row r="313">
          <cell r="G313" t="str">
            <v>Wesco Industries</v>
          </cell>
        </row>
        <row r="314">
          <cell r="G314" t="str">
            <v>Westinghouse</v>
          </cell>
        </row>
        <row r="315">
          <cell r="G315" t="str">
            <v>Westmont</v>
          </cell>
        </row>
        <row r="316">
          <cell r="G316" t="str">
            <v>Westward</v>
          </cell>
        </row>
        <row r="317">
          <cell r="G317" t="str">
            <v>WHECO</v>
          </cell>
        </row>
        <row r="318">
          <cell r="G318" t="str">
            <v>Whiting</v>
          </cell>
        </row>
        <row r="319">
          <cell r="G319" t="str">
            <v>WHM Tool Group (Walter Meier)</v>
          </cell>
        </row>
        <row r="320">
          <cell r="G320" t="str">
            <v>Wiggins Lift</v>
          </cell>
        </row>
        <row r="321">
          <cell r="G321" t="str">
            <v>Willamette</v>
          </cell>
        </row>
        <row r="322">
          <cell r="G322" t="str">
            <v>Wright (ACCO)</v>
          </cell>
        </row>
        <row r="323">
          <cell r="G323" t="str">
            <v>XCMG</v>
          </cell>
        </row>
        <row r="324">
          <cell r="G324" t="str">
            <v>Xuchou</v>
          </cell>
        </row>
        <row r="325">
          <cell r="G325" t="str">
            <v>Yale &amp; Towne</v>
          </cell>
        </row>
        <row r="326">
          <cell r="G326" t="str">
            <v>Yale [CM]</v>
          </cell>
        </row>
        <row r="327">
          <cell r="G327" t="str">
            <v>York</v>
          </cell>
        </row>
        <row r="328">
          <cell r="G328" t="str">
            <v>Yuba</v>
          </cell>
        </row>
        <row r="329">
          <cell r="G329" t="str">
            <v>Zenar</v>
          </cell>
        </row>
        <row r="330">
          <cell r="G330" t="str">
            <v>Zimmerman (Ingersoll Rand)</v>
          </cell>
        </row>
        <row r="331">
          <cell r="G331" t="str">
            <v>Zojirushi (Elephants)</v>
          </cell>
        </row>
      </sheetData>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ctional"/>
      <sheetName val="Gedas UK EUR"/>
      <sheetName val="Gedas UK GBP"/>
      <sheetName val="Tabelle3"/>
    </sheetNames>
    <sheetDataSet>
      <sheetData sheetId="0" refreshError="1"/>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ctional"/>
      <sheetName val="160000 HEADCOUNT TOTAL"/>
      <sheetName val="519999 REVENUE   INCOME"/>
      <sheetName val="559999 CONTRIBUTION"/>
      <sheetName val="ZAB1  - in % of revenue income"/>
      <sheetName val="569999 Fixed costs"/>
      <sheetName val="560499 Development costs Softwa"/>
      <sheetName val="G4 Other costs adjustments"/>
      <sheetName val="G8 Contingencies"/>
      <sheetName val="599999 OPERATING RESULT"/>
      <sheetName val="ZAB2  - in % of revenue income"/>
      <sheetName val="609999 Result subsidiaries"/>
      <sheetName val="618999 Interest result"/>
      <sheetName val="629999 Other financial result"/>
      <sheetName val="639999 RESULT BEFORE TAXES"/>
      <sheetName val="ZAB3  - in % of revenue income"/>
      <sheetName val="659999 RESULT AFTER TAXES"/>
      <sheetName val="CFG Cash flow operating activit"/>
      <sheetName val="CFI Investing activities"/>
      <sheetName val="NCF Netto-Cash-flow "/>
      <sheetName val="CFF Financing activities"/>
      <sheetName val="LIQ1 Cash at end of year "/>
      <sheetName val="LIQ6 Oth liquidity and given lo"/>
      <sheetName val="LIQ7 Gross Liquidity"/>
      <sheetName val="LIQ4 Borrowings"/>
      <sheetName val="LIQ5 Net-liquidity"/>
      <sheetName val="349999  Inventories Gross"/>
      <sheetName val="Key4 RoA"/>
      <sheetName val="ZFD4 Return on equity before ta"/>
      <sheetName val="ZFD5 Return on equity after tax"/>
      <sheetName val="ZFD7 Equity ratio"/>
      <sheetName val="ZAB4 Equity Fixed assets ratio"/>
      <sheetName val="ZAB5 Level of investments"/>
      <sheetName val="ZAB Debt-equity-ratio"/>
      <sheetName val="Tabelle1"/>
      <sheetName val="Tabelle2"/>
      <sheetName val="Tabelle3"/>
      <sheetName val="Tabelle4"/>
      <sheetName val="Tabelle5"/>
      <sheetName val="Tabelle6"/>
      <sheetName val="Tabelle7"/>
      <sheetName val="Tabelle8"/>
      <sheetName val="Tabelle9"/>
      <sheetName val="Tabelle10"/>
      <sheetName val="Tabelle11"/>
      <sheetName val="Tabelle12"/>
      <sheetName val="Tabelle13"/>
      <sheetName val="Tabelle14"/>
      <sheetName val="Tabelle15"/>
      <sheetName val="Tabelle16"/>
      <sheetName val="Tabelle17"/>
      <sheetName val="Tabelle18"/>
      <sheetName val="Tabelle19"/>
      <sheetName val="Tabelle20"/>
      <sheetName val="Tabelle21"/>
      <sheetName val="Tabelle22"/>
      <sheetName val="Tabelle23"/>
      <sheetName val="Tabelle24"/>
      <sheetName val="Tabelle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Data"/>
      <sheetName val="L1_L2 Percentile"/>
      <sheetName val="Database Fields"/>
      <sheetName val="Analyst Tab"/>
      <sheetName val="Client Names"/>
      <sheetName val="Calculator"/>
      <sheetName val="SIMON Input Sheet"/>
      <sheetName val="Metric Inputs"/>
      <sheetName val="Tasks Lists"/>
      <sheetName val="Inputs"/>
      <sheetName val="Executive Price Summary"/>
      <sheetName val="PCR - Executive Price Summary"/>
      <sheetName val="Profit Summary"/>
      <sheetName val="Profit Analysis-Base Period"/>
      <sheetName val="Profit Analysis-Option Period 1"/>
      <sheetName val="Profit Analysis-Option Period 2"/>
      <sheetName val="Profit Analysis-Option Period 3"/>
      <sheetName val="Profit Analysis-Option Period 4"/>
      <sheetName val="Booz Allen Labor"/>
      <sheetName val="Sub Labor"/>
      <sheetName val="MultSchedInput"/>
      <sheetName val="Labor Rates"/>
      <sheetName val="Schedules"/>
      <sheetName val="Travel"/>
      <sheetName val="ODCs"/>
      <sheetName val="Indirects"/>
      <sheetName val="Reference"/>
      <sheetName val="Charge Number Structu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nnRidge acros yrs"/>
      <sheetName val="Lists"/>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V GRE-50A after cash accrl"/>
      <sheetName val="JV GRE-50 after cash accrl"/>
      <sheetName val="OPM 15 - Petty Cash 3230 SSA"/>
      <sheetName val="JV 107 Misc"/>
      <sheetName val="JV 106 Misc"/>
      <sheetName val="JV OPM-7c Inv Pymt reclass"/>
      <sheetName val="JV OPM-7b Inv Pymt"/>
      <sheetName val="JV OPM-42 SubK Accr"/>
      <sheetName val="JV OH-8"/>
      <sheetName val="OPM-111 613a Trf"/>
      <sheetName val="JV OPM-6a Inv Subm"/>
      <sheetName val="JV 105  Misc"/>
      <sheetName val="JV 102 Misc"/>
      <sheetName val="JV OPM-6 Sales Invoices"/>
      <sheetName val="JV 101 Misc"/>
      <sheetName val="JV OPM-7a Inv Pymt"/>
      <sheetName val="JV VM 11E Mgr Bonus Accr"/>
      <sheetName val="JV OH-02 Annual Bonus Accr"/>
      <sheetName val="JV 103 Bank Charges"/>
      <sheetName val="JV OPM-02 Labor Accr"/>
      <sheetName val="JV GRE-04  Liability Ins"/>
      <sheetName val="JV GRE-05  Liability Ins"/>
      <sheetName val="PG-10 Labor Accrual"/>
      <sheetName val="GRE-10"/>
      <sheetName val="JV GRE-02a Labor Accr"/>
      <sheetName val="JV VM-07 Inv Pymts"/>
      <sheetName val="JV VM 10 Correction"/>
      <sheetName val="JV VM 11D Mgr Bonus Accr"/>
      <sheetName val="JV VM-11A Inv Pymts"/>
      <sheetName val="JV VM 11 ODC CORR"/>
      <sheetName val="JV VM 11 ODC"/>
      <sheetName val="JV VM 11 ODC CORR 1"/>
      <sheetName val="JV GRE-05 CORR"/>
      <sheetName val="JV VM-07A INV PMT"/>
      <sheetName val="JV VM 11 Sales"/>
      <sheetName val="JV VM 10A Sales"/>
      <sheetName val="JV 104 Misc reversed"/>
      <sheetName val="JV NC-02 Labor Accr"/>
      <sheetName val="JV VM 11 ODC CORR 2"/>
      <sheetName val="JV VM-10B Sales"/>
      <sheetName val="JV Current List "/>
      <sheetName val="JV VM-01 Labor Accr"/>
      <sheetName val="JV VM 11B Accrued Sales"/>
      <sheetName val="OPM 15C - Petty Cash 3230 SnR"/>
      <sheetName val="JV OPM-6b Inv Subm"/>
      <sheetName val="OPM-110 NTE Trf"/>
      <sheetName val="JV OPM-02A Misc"/>
      <sheetName val="JV GRE-05a  Liability Ins"/>
      <sheetName val="JV VM 11C Sales (2)"/>
      <sheetName val="JV VM 11E Inv"/>
      <sheetName val="JV OPM-7c Inv Pymt"/>
      <sheetName val="JV VM 11B"/>
      <sheetName val="JV VM 11a  Sales Accrued"/>
      <sheetName val="JV TRF 02"/>
      <sheetName val="JV 105B PY Fringes"/>
      <sheetName val="JV VM-3 ODC Adv"/>
      <sheetName val="JV VM-3B ODC Adv"/>
      <sheetName val="JV VM-3A ODC Adv"/>
      <sheetName val="JV IDIQ-10 IDIQ OH IACS"/>
      <sheetName val="JV OPM-02c Misc"/>
      <sheetName val="JV GRE-YE30 Clear PXX Bal YE"/>
      <sheetName val="JV GRE-03 Yr End Vac Accr"/>
      <sheetName val="JV OPM-02b Misc"/>
      <sheetName val="JV GRE-12A Audit Fee Accr"/>
      <sheetName val="JV GRE-02aREV Labor Accr"/>
      <sheetName val="JV GRE-12 Audit Fee Accr"/>
      <sheetName val="JV - WO-01 Write-Offs"/>
      <sheetName val="JV OH-8A"/>
      <sheetName val="JV VM-3D"/>
      <sheetName val="JV VM-3C REV1"/>
      <sheetName val="JV VM-3C REV"/>
      <sheetName val="JV VM-3c "/>
      <sheetName val="JV VM-3B"/>
      <sheetName val="JV GRE-06 Sales Invoices"/>
      <sheetName val="JV NRL-02a Labor Accr"/>
      <sheetName val="VOID JV OPM-11 Mgmt Reserve"/>
      <sheetName val="JV VM-3A Rev ODC Adv"/>
      <sheetName val="JV 105 Misc"/>
      <sheetName val="JV GRE-7 Inv Pymt"/>
      <sheetName val="JV OPM-6 Sales Inv"/>
      <sheetName val="JV IDIQ-10 A OH IACS"/>
      <sheetName val="JV GRE-06a Sales Invoices"/>
      <sheetName val="JV VM 11C Sales"/>
      <sheetName val="KOS-112"/>
      <sheetName val="FA-01 Asset Disposal"/>
      <sheetName val="JV GRE-03a 2006 Vac Liab"/>
      <sheetName val="JV GRE-11 Loan pymt"/>
      <sheetName val="JV NC 6 Inv Subm"/>
      <sheetName val="JV TAX-104 Tax Entries"/>
      <sheetName val="JV TAX 105 CIT MIT adjs"/>
      <sheetName val="JV VM 07 G&amp;A"/>
      <sheetName val="NC-15 SEM"/>
      <sheetName val="PG-15 Polygone P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imes New Roman">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2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3.v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4.vml"/></Relationships>
</file>

<file path=xl/worksheets/_rels/sheet3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7"/>
  <sheetViews>
    <sheetView topLeftCell="A13" workbookViewId="0">
      <selection activeCell="C22" sqref="C22"/>
    </sheetView>
  </sheetViews>
  <sheetFormatPr defaultColWidth="8.7109375" defaultRowHeight="12.75"/>
  <cols>
    <col min="1" max="1" width="126" style="175" customWidth="1"/>
    <col min="2" max="2" width="8.7109375" style="175"/>
    <col min="3" max="3" width="101" style="175" customWidth="1"/>
    <col min="4" max="4" width="14.28515625" style="175" bestFit="1" customWidth="1"/>
    <col min="5" max="16384" width="8.7109375" style="175"/>
  </cols>
  <sheetData>
    <row r="1" spans="1:2" ht="13.5" thickBot="1">
      <c r="A1" s="234" t="s">
        <v>29</v>
      </c>
      <c r="B1" s="56"/>
    </row>
    <row r="2" spans="1:2">
      <c r="A2" s="233" t="s">
        <v>0</v>
      </c>
      <c r="B2" s="56"/>
    </row>
    <row r="3" spans="1:2">
      <c r="A3" s="188" t="s">
        <v>1</v>
      </c>
      <c r="B3" s="56"/>
    </row>
    <row r="4" spans="1:2">
      <c r="A4" s="232" t="s">
        <v>30</v>
      </c>
      <c r="B4" s="56"/>
    </row>
    <row r="5" spans="1:2">
      <c r="A5" s="180" t="s">
        <v>31</v>
      </c>
      <c r="B5" s="56"/>
    </row>
    <row r="6" spans="1:2">
      <c r="A6" s="231" t="s">
        <v>32</v>
      </c>
      <c r="B6" s="56"/>
    </row>
    <row r="7" spans="1:2">
      <c r="A7" s="231" t="s">
        <v>33</v>
      </c>
      <c r="B7" s="56"/>
    </row>
    <row r="8" spans="1:2">
      <c r="A8" s="230" t="s">
        <v>34</v>
      </c>
      <c r="B8" s="56"/>
    </row>
    <row r="9" spans="1:2">
      <c r="A9" s="230" t="s">
        <v>35</v>
      </c>
      <c r="B9" s="56"/>
    </row>
    <row r="10" spans="1:2">
      <c r="A10" s="230" t="s">
        <v>36</v>
      </c>
      <c r="B10" s="56"/>
    </row>
    <row r="11" spans="1:2">
      <c r="A11" s="206" t="s">
        <v>2</v>
      </c>
      <c r="B11" s="56"/>
    </row>
    <row r="12" spans="1:2">
      <c r="A12" s="229" t="s">
        <v>37</v>
      </c>
      <c r="B12" s="56"/>
    </row>
    <row r="13" spans="1:2">
      <c r="A13" s="228" t="s">
        <v>38</v>
      </c>
      <c r="B13" s="56"/>
    </row>
    <row r="14" spans="1:2">
      <c r="A14" s="227" t="s">
        <v>39</v>
      </c>
      <c r="B14" s="56"/>
    </row>
    <row r="15" spans="1:2">
      <c r="A15" s="224" t="s">
        <v>1</v>
      </c>
      <c r="B15" s="56"/>
    </row>
    <row r="16" spans="1:2">
      <c r="A16" s="226" t="s">
        <v>5</v>
      </c>
      <c r="B16" s="56"/>
    </row>
    <row r="17" spans="1:4">
      <c r="A17" s="225" t="s">
        <v>4</v>
      </c>
      <c r="B17" s="56"/>
    </row>
    <row r="18" spans="1:4">
      <c r="A18" s="224" t="s">
        <v>40</v>
      </c>
      <c r="B18" s="56"/>
    </row>
    <row r="19" spans="1:4">
      <c r="A19" s="224" t="s">
        <v>1</v>
      </c>
      <c r="B19" s="56"/>
      <c r="C19" s="222"/>
      <c r="D19" s="222"/>
    </row>
    <row r="20" spans="1:4">
      <c r="A20" s="226" t="s">
        <v>41</v>
      </c>
      <c r="B20" s="56"/>
    </row>
    <row r="21" spans="1:4">
      <c r="A21" s="225" t="s">
        <v>6</v>
      </c>
      <c r="B21" s="56"/>
    </row>
    <row r="22" spans="1:4">
      <c r="A22" s="224" t="s">
        <v>42</v>
      </c>
      <c r="B22" s="56"/>
    </row>
    <row r="23" spans="1:4">
      <c r="A23" s="223" t="s">
        <v>43</v>
      </c>
      <c r="B23" s="56"/>
    </row>
    <row r="24" spans="1:4">
      <c r="A24" s="188" t="s">
        <v>44</v>
      </c>
      <c r="B24" s="56"/>
    </row>
    <row r="25" spans="1:4">
      <c r="A25" s="206" t="s">
        <v>45</v>
      </c>
      <c r="B25" s="56"/>
    </row>
    <row r="26" spans="1:4" s="177" customFormat="1">
      <c r="A26" s="192" t="s">
        <v>46</v>
      </c>
      <c r="B26" s="208"/>
    </row>
    <row r="27" spans="1:4" s="177" customFormat="1">
      <c r="A27" s="185" t="s">
        <v>47</v>
      </c>
      <c r="B27" s="208"/>
    </row>
    <row r="28" spans="1:4" s="177" customFormat="1">
      <c r="A28" s="180" t="s">
        <v>48</v>
      </c>
      <c r="B28" s="208"/>
    </row>
    <row r="29" spans="1:4" s="177" customFormat="1">
      <c r="A29" s="180" t="s">
        <v>49</v>
      </c>
      <c r="B29" s="208"/>
    </row>
    <row r="30" spans="1:4" s="177" customFormat="1">
      <c r="A30" s="192" t="s">
        <v>50</v>
      </c>
      <c r="B30" s="208"/>
    </row>
    <row r="31" spans="1:4" s="177" customFormat="1">
      <c r="A31" s="185" t="s">
        <v>47</v>
      </c>
      <c r="B31" s="208"/>
    </row>
    <row r="32" spans="1:4" s="177" customFormat="1">
      <c r="A32" s="180" t="s">
        <v>48</v>
      </c>
      <c r="B32" s="208"/>
    </row>
    <row r="33" spans="1:2" s="177" customFormat="1">
      <c r="A33" s="192" t="s">
        <v>51</v>
      </c>
      <c r="B33" s="208"/>
    </row>
    <row r="34" spans="1:2" s="177" customFormat="1">
      <c r="A34" s="185" t="s">
        <v>47</v>
      </c>
      <c r="B34" s="208"/>
    </row>
    <row r="35" spans="1:2" s="177" customFormat="1">
      <c r="A35" s="180" t="s">
        <v>48</v>
      </c>
      <c r="B35" s="208"/>
    </row>
    <row r="36" spans="1:2" s="177" customFormat="1">
      <c r="A36" s="180" t="s">
        <v>49</v>
      </c>
      <c r="B36" s="208"/>
    </row>
    <row r="37" spans="1:2" s="177" customFormat="1">
      <c r="A37" s="180" t="s">
        <v>52</v>
      </c>
      <c r="B37" s="208"/>
    </row>
    <row r="38" spans="1:2" s="177" customFormat="1">
      <c r="A38" s="180" t="s">
        <v>53</v>
      </c>
      <c r="B38" s="208"/>
    </row>
    <row r="39" spans="1:2" s="177" customFormat="1">
      <c r="A39" s="180" t="s">
        <v>54</v>
      </c>
      <c r="B39" s="208" t="s">
        <v>27</v>
      </c>
    </row>
    <row r="40" spans="1:2" s="177" customFormat="1">
      <c r="A40" s="180" t="s">
        <v>55</v>
      </c>
      <c r="B40" s="208" t="s">
        <v>27</v>
      </c>
    </row>
    <row r="41" spans="1:2">
      <c r="A41" s="206" t="s">
        <v>56</v>
      </c>
      <c r="B41" s="56"/>
    </row>
    <row r="42" spans="1:2">
      <c r="A42" s="192" t="s">
        <v>57</v>
      </c>
      <c r="B42" s="56"/>
    </row>
    <row r="43" spans="1:2">
      <c r="A43" s="188" t="s">
        <v>58</v>
      </c>
      <c r="B43" s="56"/>
    </row>
    <row r="44" spans="1:2">
      <c r="A44" s="187" t="s">
        <v>7</v>
      </c>
      <c r="B44" s="56"/>
    </row>
    <row r="45" spans="1:2">
      <c r="A45" s="185" t="s">
        <v>59</v>
      </c>
      <c r="B45" s="56"/>
    </row>
    <row r="46" spans="1:2">
      <c r="A46" s="186" t="s">
        <v>60</v>
      </c>
      <c r="B46" s="56"/>
    </row>
    <row r="47" spans="1:2">
      <c r="A47" s="185" t="s">
        <v>61</v>
      </c>
      <c r="B47" s="56"/>
    </row>
    <row r="48" spans="1:2">
      <c r="A48" s="221" t="s">
        <v>62</v>
      </c>
      <c r="B48" s="56"/>
    </row>
    <row r="49" spans="1:5">
      <c r="A49" s="220" t="s">
        <v>7</v>
      </c>
      <c r="B49" s="56"/>
    </row>
    <row r="50" spans="1:5">
      <c r="A50" s="183" t="s">
        <v>63</v>
      </c>
      <c r="B50" s="56"/>
    </row>
    <row r="51" spans="1:5">
      <c r="A51" s="186" t="s">
        <v>64</v>
      </c>
      <c r="B51" s="56"/>
    </row>
    <row r="52" spans="1:5">
      <c r="A52" s="185" t="s">
        <v>61</v>
      </c>
      <c r="B52" s="56"/>
      <c r="C52" s="222"/>
      <c r="D52" s="222"/>
      <c r="E52" s="222"/>
    </row>
    <row r="53" spans="1:5">
      <c r="A53" s="183" t="s">
        <v>65</v>
      </c>
      <c r="B53" s="56"/>
    </row>
    <row r="54" spans="1:5">
      <c r="A54" s="182" t="s">
        <v>48</v>
      </c>
      <c r="B54" s="56"/>
    </row>
    <row r="55" spans="1:5">
      <c r="A55" s="221" t="s">
        <v>66</v>
      </c>
      <c r="B55" s="56"/>
    </row>
    <row r="56" spans="1:5">
      <c r="A56" s="220" t="s">
        <v>7</v>
      </c>
      <c r="B56" s="56"/>
    </row>
    <row r="57" spans="1:5">
      <c r="A57" s="183" t="s">
        <v>67</v>
      </c>
      <c r="B57" s="56"/>
    </row>
    <row r="58" spans="1:5">
      <c r="A58" s="186" t="s">
        <v>68</v>
      </c>
      <c r="B58" s="56"/>
    </row>
    <row r="59" spans="1:5">
      <c r="A59" s="185" t="s">
        <v>61</v>
      </c>
      <c r="B59" s="56"/>
    </row>
    <row r="60" spans="1:5">
      <c r="A60" s="185" t="s">
        <v>65</v>
      </c>
      <c r="B60" s="56"/>
    </row>
    <row r="61" spans="1:5">
      <c r="A61" s="180" t="s">
        <v>48</v>
      </c>
      <c r="C61" s="217"/>
    </row>
    <row r="62" spans="1:5">
      <c r="A62" s="192" t="s">
        <v>69</v>
      </c>
    </row>
    <row r="63" spans="1:5">
      <c r="A63" s="185" t="s">
        <v>47</v>
      </c>
    </row>
    <row r="64" spans="1:5">
      <c r="A64" s="180" t="s">
        <v>48</v>
      </c>
    </row>
    <row r="65" spans="1:3">
      <c r="A65" s="180" t="s">
        <v>49</v>
      </c>
    </row>
    <row r="66" spans="1:3" s="177" customFormat="1">
      <c r="A66" s="180" t="s">
        <v>70</v>
      </c>
    </row>
    <row r="67" spans="1:3" s="177" customFormat="1">
      <c r="A67" s="180" t="s">
        <v>71</v>
      </c>
    </row>
    <row r="68" spans="1:3" s="177" customFormat="1">
      <c r="A68" s="180" t="s">
        <v>72</v>
      </c>
    </row>
    <row r="69" spans="1:3">
      <c r="A69" s="180" t="s">
        <v>73</v>
      </c>
    </row>
    <row r="70" spans="1:3">
      <c r="A70" s="180" t="s">
        <v>74</v>
      </c>
    </row>
    <row r="71" spans="1:3">
      <c r="A71" s="180" t="s">
        <v>75</v>
      </c>
    </row>
    <row r="72" spans="1:3">
      <c r="A72" s="180" t="s">
        <v>76</v>
      </c>
    </row>
    <row r="73" spans="1:3" s="177" customFormat="1">
      <c r="A73" s="180" t="s">
        <v>77</v>
      </c>
    </row>
    <row r="74" spans="1:3" s="177" customFormat="1">
      <c r="A74" s="180" t="s">
        <v>78</v>
      </c>
    </row>
    <row r="75" spans="1:3" s="177" customFormat="1">
      <c r="A75" s="180" t="s">
        <v>79</v>
      </c>
    </row>
    <row r="76" spans="1:3" s="177" customFormat="1">
      <c r="A76" s="180" t="s">
        <v>80</v>
      </c>
      <c r="C76" s="217"/>
    </row>
    <row r="77" spans="1:3" s="177" customFormat="1">
      <c r="A77" s="180" t="s">
        <v>81</v>
      </c>
      <c r="C77" s="217"/>
    </row>
    <row r="78" spans="1:3" s="177" customFormat="1">
      <c r="A78" s="180" t="s">
        <v>82</v>
      </c>
      <c r="B78" s="208"/>
    </row>
    <row r="79" spans="1:3" s="177" customFormat="1">
      <c r="A79" s="180" t="s">
        <v>83</v>
      </c>
      <c r="B79" s="208"/>
    </row>
    <row r="80" spans="1:3" s="177" customFormat="1">
      <c r="A80" s="180" t="s">
        <v>84</v>
      </c>
      <c r="B80" s="208"/>
    </row>
    <row r="81" spans="1:2" s="177" customFormat="1">
      <c r="A81" s="180" t="s">
        <v>85</v>
      </c>
      <c r="B81" s="208"/>
    </row>
    <row r="82" spans="1:2" s="177" customFormat="1">
      <c r="A82" s="180" t="s">
        <v>86</v>
      </c>
      <c r="B82" s="208"/>
    </row>
    <row r="83" spans="1:2" s="177" customFormat="1">
      <c r="A83" s="192" t="s">
        <v>87</v>
      </c>
      <c r="B83" s="208"/>
    </row>
    <row r="84" spans="1:2" s="177" customFormat="1">
      <c r="A84" s="185" t="s">
        <v>47</v>
      </c>
      <c r="B84" s="208"/>
    </row>
    <row r="85" spans="1:2">
      <c r="A85" s="180" t="s">
        <v>48</v>
      </c>
      <c r="B85" s="56"/>
    </row>
    <row r="86" spans="1:2">
      <c r="A86" s="180" t="s">
        <v>49</v>
      </c>
      <c r="B86" s="56"/>
    </row>
    <row r="87" spans="1:2">
      <c r="A87" s="180" t="s">
        <v>88</v>
      </c>
      <c r="B87" s="56"/>
    </row>
    <row r="88" spans="1:2">
      <c r="A88" s="180" t="s">
        <v>89</v>
      </c>
      <c r="B88" s="204"/>
    </row>
    <row r="89" spans="1:2">
      <c r="A89" s="180" t="s">
        <v>90</v>
      </c>
      <c r="B89" s="204"/>
    </row>
    <row r="90" spans="1:2" s="177" customFormat="1">
      <c r="A90" s="192" t="s">
        <v>91</v>
      </c>
      <c r="B90" s="208"/>
    </row>
    <row r="91" spans="1:2">
      <c r="A91" s="219" t="s">
        <v>92</v>
      </c>
      <c r="B91" s="56"/>
    </row>
    <row r="92" spans="1:2">
      <c r="A92" s="218" t="s">
        <v>93</v>
      </c>
      <c r="B92" s="56"/>
    </row>
    <row r="93" spans="1:2" s="177" customFormat="1">
      <c r="A93" s="185" t="s">
        <v>47</v>
      </c>
      <c r="B93" s="208"/>
    </row>
    <row r="94" spans="1:2" s="177" customFormat="1">
      <c r="A94" s="180" t="s">
        <v>48</v>
      </c>
      <c r="B94" s="208"/>
    </row>
    <row r="95" spans="1:2">
      <c r="A95" s="180" t="s">
        <v>49</v>
      </c>
      <c r="B95" s="204"/>
    </row>
    <row r="96" spans="1:2">
      <c r="A96" s="180" t="s">
        <v>94</v>
      </c>
      <c r="B96" s="56"/>
    </row>
    <row r="97" spans="1:3">
      <c r="A97" s="180" t="s">
        <v>71</v>
      </c>
      <c r="C97" s="217"/>
    </row>
    <row r="98" spans="1:3">
      <c r="A98" s="180" t="s">
        <v>90</v>
      </c>
      <c r="C98" s="217"/>
    </row>
    <row r="99" spans="1:3">
      <c r="A99" s="180" t="s">
        <v>86</v>
      </c>
      <c r="C99" s="217"/>
    </row>
    <row r="100" spans="1:3" s="177" customFormat="1">
      <c r="A100" s="192" t="s">
        <v>95</v>
      </c>
      <c r="B100" s="208"/>
    </row>
    <row r="101" spans="1:3" s="177" customFormat="1">
      <c r="A101" s="185" t="s">
        <v>47</v>
      </c>
      <c r="B101" s="208"/>
    </row>
    <row r="102" spans="1:3" s="177" customFormat="1">
      <c r="A102" s="180" t="s">
        <v>48</v>
      </c>
      <c r="B102" s="208"/>
    </row>
    <row r="103" spans="1:3">
      <c r="A103" s="180" t="s">
        <v>49</v>
      </c>
    </row>
    <row r="104" spans="1:3">
      <c r="A104" s="180" t="s">
        <v>96</v>
      </c>
    </row>
    <row r="105" spans="1:3">
      <c r="A105" s="180" t="s">
        <v>97</v>
      </c>
    </row>
    <row r="106" spans="1:3">
      <c r="A106" s="180" t="s">
        <v>98</v>
      </c>
    </row>
    <row r="107" spans="1:3">
      <c r="A107" s="180" t="s">
        <v>99</v>
      </c>
    </row>
    <row r="108" spans="1:3">
      <c r="A108" s="180" t="s">
        <v>100</v>
      </c>
    </row>
    <row r="109" spans="1:3">
      <c r="A109" s="180" t="s">
        <v>101</v>
      </c>
    </row>
    <row r="110" spans="1:3">
      <c r="A110" s="180" t="s">
        <v>102</v>
      </c>
    </row>
    <row r="111" spans="1:3">
      <c r="A111" s="180" t="s">
        <v>103</v>
      </c>
    </row>
    <row r="112" spans="1:3">
      <c r="A112" s="180" t="s">
        <v>104</v>
      </c>
    </row>
    <row r="113" spans="1:2" ht="13.5" customHeight="1">
      <c r="A113" s="180" t="s">
        <v>105</v>
      </c>
    </row>
    <row r="114" spans="1:2" ht="12.75" customHeight="1">
      <c r="A114" s="180" t="s">
        <v>106</v>
      </c>
    </row>
    <row r="115" spans="1:2">
      <c r="A115" s="206" t="s">
        <v>107</v>
      </c>
    </row>
    <row r="116" spans="1:2">
      <c r="A116" s="185" t="s">
        <v>47</v>
      </c>
    </row>
    <row r="117" spans="1:2" ht="13.5" customHeight="1">
      <c r="A117" s="180" t="s">
        <v>48</v>
      </c>
    </row>
    <row r="118" spans="1:2">
      <c r="A118" s="180" t="s">
        <v>49</v>
      </c>
    </row>
    <row r="119" spans="1:2">
      <c r="A119" s="180" t="s">
        <v>108</v>
      </c>
      <c r="B119" s="204"/>
    </row>
    <row r="120" spans="1:2">
      <c r="A120" s="180" t="s">
        <v>109</v>
      </c>
      <c r="B120" s="204"/>
    </row>
    <row r="121" spans="1:2">
      <c r="A121" s="180" t="s">
        <v>110</v>
      </c>
      <c r="B121" s="204"/>
    </row>
    <row r="122" spans="1:2">
      <c r="A122" s="180" t="s">
        <v>111</v>
      </c>
      <c r="B122" s="204"/>
    </row>
    <row r="123" spans="1:2">
      <c r="A123" s="180" t="s">
        <v>112</v>
      </c>
      <c r="B123" s="204"/>
    </row>
    <row r="124" spans="1:2">
      <c r="A124" s="180" t="s">
        <v>113</v>
      </c>
      <c r="B124" s="204"/>
    </row>
    <row r="125" spans="1:2">
      <c r="A125" s="180" t="s">
        <v>114</v>
      </c>
      <c r="B125" s="204"/>
    </row>
    <row r="126" spans="1:2" ht="13.5" customHeight="1">
      <c r="A126" s="180" t="s">
        <v>115</v>
      </c>
      <c r="B126" s="216"/>
    </row>
    <row r="127" spans="1:2">
      <c r="A127" s="203" t="s">
        <v>116</v>
      </c>
    </row>
    <row r="128" spans="1:2" ht="13.5" customHeight="1">
      <c r="A128" s="202" t="s">
        <v>117</v>
      </c>
    </row>
    <row r="129" spans="1:3">
      <c r="A129" s="197" t="s">
        <v>118</v>
      </c>
    </row>
    <row r="130" spans="1:3">
      <c r="A130" s="198" t="s">
        <v>119</v>
      </c>
    </row>
    <row r="131" spans="1:3">
      <c r="A131" s="197" t="s">
        <v>120</v>
      </c>
    </row>
    <row r="132" spans="1:3">
      <c r="A132" s="215" t="s">
        <v>121</v>
      </c>
    </row>
    <row r="133" spans="1:3">
      <c r="A133" s="197" t="s">
        <v>122</v>
      </c>
      <c r="C133" s="213"/>
    </row>
    <row r="134" spans="1:3" s="213" customFormat="1">
      <c r="A134" s="198" t="s">
        <v>123</v>
      </c>
      <c r="C134" s="175"/>
    </row>
    <row r="135" spans="1:3">
      <c r="A135" s="197" t="s">
        <v>124</v>
      </c>
    </row>
    <row r="136" spans="1:3" ht="17.25" customHeight="1">
      <c r="A136" s="198" t="s">
        <v>125</v>
      </c>
    </row>
    <row r="137" spans="1:3">
      <c r="A137" s="197" t="s">
        <v>126</v>
      </c>
    </row>
    <row r="138" spans="1:3">
      <c r="A138" s="198" t="s">
        <v>127</v>
      </c>
    </row>
    <row r="139" spans="1:3" ht="17.25" customHeight="1">
      <c r="A139" s="197" t="s">
        <v>128</v>
      </c>
      <c r="C139" s="213"/>
    </row>
    <row r="140" spans="1:3" s="213" customFormat="1" ht="12.75" customHeight="1">
      <c r="A140" s="215" t="s">
        <v>121</v>
      </c>
      <c r="C140" s="175"/>
    </row>
    <row r="141" spans="1:3">
      <c r="A141" s="197" t="s">
        <v>129</v>
      </c>
    </row>
    <row r="142" spans="1:3">
      <c r="A142" s="198" t="s">
        <v>123</v>
      </c>
    </row>
    <row r="143" spans="1:3">
      <c r="A143" s="197" t="s">
        <v>130</v>
      </c>
    </row>
    <row r="144" spans="1:3">
      <c r="A144" s="198" t="s">
        <v>125</v>
      </c>
    </row>
    <row r="145" spans="1:3">
      <c r="A145" s="197" t="s">
        <v>131</v>
      </c>
    </row>
    <row r="146" spans="1:3">
      <c r="A146" s="196" t="s">
        <v>132</v>
      </c>
    </row>
    <row r="147" spans="1:3" ht="25.5">
      <c r="A147" s="199" t="s">
        <v>133</v>
      </c>
      <c r="B147" s="56"/>
      <c r="C147" s="213"/>
    </row>
    <row r="148" spans="1:3" s="213" customFormat="1">
      <c r="A148" s="197" t="s">
        <v>134</v>
      </c>
      <c r="B148" s="214"/>
      <c r="C148" s="175"/>
    </row>
    <row r="149" spans="1:3">
      <c r="A149" s="196" t="s">
        <v>135</v>
      </c>
      <c r="B149" s="56"/>
    </row>
    <row r="150" spans="1:3">
      <c r="A150" s="195" t="s">
        <v>1</v>
      </c>
      <c r="B150" s="56"/>
    </row>
    <row r="151" spans="1:3">
      <c r="A151" s="194" t="s">
        <v>3</v>
      </c>
      <c r="B151" s="56"/>
    </row>
    <row r="152" spans="1:3" s="177" customFormat="1">
      <c r="A152" s="197" t="s">
        <v>136</v>
      </c>
      <c r="B152" s="208"/>
    </row>
    <row r="153" spans="1:3" s="177" customFormat="1">
      <c r="A153" s="198" t="s">
        <v>137</v>
      </c>
      <c r="B153" s="208"/>
    </row>
    <row r="154" spans="1:3" s="177" customFormat="1">
      <c r="A154" s="195" t="s">
        <v>1</v>
      </c>
      <c r="B154" s="208"/>
    </row>
    <row r="155" spans="1:3" s="177" customFormat="1">
      <c r="A155" s="194" t="s">
        <v>5</v>
      </c>
      <c r="B155" s="208"/>
      <c r="C155" s="212"/>
    </row>
    <row r="156" spans="1:3" s="177" customFormat="1">
      <c r="A156" s="197" t="s">
        <v>138</v>
      </c>
      <c r="B156" s="208"/>
    </row>
    <row r="157" spans="1:3" s="177" customFormat="1">
      <c r="A157" s="196" t="s">
        <v>139</v>
      </c>
      <c r="B157" s="208"/>
    </row>
    <row r="158" spans="1:3" s="177" customFormat="1">
      <c r="A158" s="195" t="s">
        <v>1</v>
      </c>
      <c r="B158" s="208"/>
    </row>
    <row r="159" spans="1:3" s="177" customFormat="1">
      <c r="A159" s="194" t="s">
        <v>5</v>
      </c>
      <c r="B159" s="208"/>
    </row>
    <row r="160" spans="1:3" s="177" customFormat="1">
      <c r="A160" s="211" t="s">
        <v>140</v>
      </c>
      <c r="B160" s="208"/>
    </row>
    <row r="161" spans="1:2">
      <c r="A161" s="210" t="s">
        <v>141</v>
      </c>
      <c r="B161" s="56"/>
    </row>
    <row r="162" spans="1:2" ht="14.25" customHeight="1">
      <c r="A162" s="209" t="s">
        <v>142</v>
      </c>
      <c r="B162" s="56"/>
    </row>
    <row r="163" spans="1:2" ht="12.75" customHeight="1">
      <c r="A163" s="209" t="s">
        <v>143</v>
      </c>
      <c r="B163" s="56"/>
    </row>
    <row r="164" spans="1:2">
      <c r="A164" s="210" t="s">
        <v>144</v>
      </c>
      <c r="B164" s="56"/>
    </row>
    <row r="165" spans="1:2" s="177" customFormat="1" ht="15" customHeight="1">
      <c r="A165" s="209" t="s">
        <v>145</v>
      </c>
      <c r="B165" s="208"/>
    </row>
    <row r="166" spans="1:2" s="177" customFormat="1">
      <c r="A166" s="197" t="s">
        <v>146</v>
      </c>
      <c r="B166" s="208"/>
    </row>
    <row r="167" spans="1:2" s="177" customFormat="1">
      <c r="A167" s="198" t="s">
        <v>147</v>
      </c>
      <c r="B167" s="208"/>
    </row>
    <row r="168" spans="1:2">
      <c r="A168" s="197" t="s">
        <v>131</v>
      </c>
      <c r="B168" s="56"/>
    </row>
    <row r="169" spans="1:2">
      <c r="A169" s="196" t="s">
        <v>132</v>
      </c>
      <c r="B169" s="56"/>
    </row>
    <row r="170" spans="1:2" ht="12" customHeight="1">
      <c r="A170" s="199" t="s">
        <v>133</v>
      </c>
      <c r="B170" s="56"/>
    </row>
    <row r="171" spans="1:2">
      <c r="A171" s="197" t="s">
        <v>134</v>
      </c>
      <c r="B171" s="56"/>
    </row>
    <row r="172" spans="1:2" s="177" customFormat="1">
      <c r="A172" s="196" t="s">
        <v>135</v>
      </c>
      <c r="B172" s="208"/>
    </row>
    <row r="173" spans="1:2">
      <c r="A173" s="195" t="s">
        <v>1</v>
      </c>
      <c r="B173" s="56"/>
    </row>
    <row r="174" spans="1:2">
      <c r="A174" s="194" t="s">
        <v>3</v>
      </c>
      <c r="B174" s="56"/>
    </row>
    <row r="175" spans="1:2" ht="14.25" customHeight="1">
      <c r="A175" s="197" t="s">
        <v>136</v>
      </c>
      <c r="B175" s="56"/>
    </row>
    <row r="176" spans="1:2" ht="12.75" customHeight="1">
      <c r="A176" s="198" t="s">
        <v>137</v>
      </c>
      <c r="B176" s="56"/>
    </row>
    <row r="177" spans="1:2" s="177" customFormat="1">
      <c r="A177" s="195" t="s">
        <v>1</v>
      </c>
      <c r="B177" s="208"/>
    </row>
    <row r="178" spans="1:2" s="177" customFormat="1">
      <c r="A178" s="194" t="s">
        <v>5</v>
      </c>
      <c r="B178" s="208"/>
    </row>
    <row r="179" spans="1:2" s="177" customFormat="1">
      <c r="A179" s="197" t="s">
        <v>138</v>
      </c>
      <c r="B179" s="208"/>
    </row>
    <row r="180" spans="1:2" s="177" customFormat="1">
      <c r="A180" s="196" t="s">
        <v>139</v>
      </c>
      <c r="B180" s="208"/>
    </row>
    <row r="181" spans="1:2">
      <c r="A181" s="195" t="s">
        <v>1</v>
      </c>
    </row>
    <row r="182" spans="1:2">
      <c r="A182" s="194" t="s">
        <v>5</v>
      </c>
    </row>
    <row r="183" spans="1:2">
      <c r="A183" s="206" t="s">
        <v>148</v>
      </c>
    </row>
    <row r="184" spans="1:2">
      <c r="A184" s="185" t="s">
        <v>47</v>
      </c>
    </row>
    <row r="185" spans="1:2" ht="14.25" customHeight="1">
      <c r="A185" s="180" t="s">
        <v>48</v>
      </c>
    </row>
    <row r="186" spans="1:2" ht="14.25" customHeight="1">
      <c r="A186" s="180" t="s">
        <v>149</v>
      </c>
    </row>
    <row r="187" spans="1:2" ht="12" customHeight="1">
      <c r="A187" s="180" t="s">
        <v>49</v>
      </c>
    </row>
    <row r="188" spans="1:2">
      <c r="A188" s="180" t="s">
        <v>150</v>
      </c>
    </row>
    <row r="189" spans="1:2" ht="12.75" customHeight="1">
      <c r="A189" s="180" t="s">
        <v>151</v>
      </c>
    </row>
    <row r="190" spans="1:2">
      <c r="A190" s="180" t="s">
        <v>152</v>
      </c>
    </row>
    <row r="191" spans="1:2">
      <c r="A191" s="180" t="s">
        <v>153</v>
      </c>
    </row>
    <row r="192" spans="1:2">
      <c r="A192" s="180" t="s">
        <v>154</v>
      </c>
    </row>
    <row r="193" spans="1:2">
      <c r="A193" s="180" t="s">
        <v>155</v>
      </c>
    </row>
    <row r="194" spans="1:2">
      <c r="A194" s="180" t="s">
        <v>156</v>
      </c>
    </row>
    <row r="195" spans="1:2">
      <c r="A195" s="180" t="s">
        <v>157</v>
      </c>
    </row>
    <row r="196" spans="1:2">
      <c r="A196" s="180" t="s">
        <v>158</v>
      </c>
    </row>
    <row r="197" spans="1:2" ht="12" customHeight="1">
      <c r="A197" s="180" t="s">
        <v>159</v>
      </c>
    </row>
    <row r="198" spans="1:2">
      <c r="A198" s="180" t="s">
        <v>160</v>
      </c>
    </row>
    <row r="199" spans="1:2">
      <c r="A199" s="206" t="s">
        <v>161</v>
      </c>
    </row>
    <row r="200" spans="1:2">
      <c r="A200" s="185" t="s">
        <v>47</v>
      </c>
    </row>
    <row r="201" spans="1:2">
      <c r="A201" s="180" t="s">
        <v>48</v>
      </c>
    </row>
    <row r="202" spans="1:2" ht="14.25" customHeight="1">
      <c r="A202" s="180" t="s">
        <v>149</v>
      </c>
    </row>
    <row r="203" spans="1:2">
      <c r="A203" s="180" t="s">
        <v>49</v>
      </c>
    </row>
    <row r="204" spans="1:2">
      <c r="A204" s="180" t="s">
        <v>162</v>
      </c>
      <c r="B204" s="204"/>
    </row>
    <row r="205" spans="1:2">
      <c r="A205" s="180" t="s">
        <v>163</v>
      </c>
      <c r="B205" s="204"/>
    </row>
    <row r="206" spans="1:2">
      <c r="A206" s="180" t="s">
        <v>164</v>
      </c>
      <c r="B206" s="204"/>
    </row>
    <row r="207" spans="1:2">
      <c r="A207" s="180" t="s">
        <v>165</v>
      </c>
      <c r="B207" s="204"/>
    </row>
    <row r="208" spans="1:2">
      <c r="A208" s="180" t="s">
        <v>166</v>
      </c>
      <c r="B208" s="204"/>
    </row>
    <row r="209" spans="1:2">
      <c r="A209" s="206" t="s">
        <v>167</v>
      </c>
    </row>
    <row r="210" spans="1:2">
      <c r="A210" s="185" t="s">
        <v>47</v>
      </c>
    </row>
    <row r="211" spans="1:2">
      <c r="A211" s="180" t="s">
        <v>48</v>
      </c>
    </row>
    <row r="212" spans="1:2">
      <c r="A212" s="180" t="s">
        <v>49</v>
      </c>
    </row>
    <row r="213" spans="1:2">
      <c r="A213" s="207" t="s">
        <v>168</v>
      </c>
    </row>
    <row r="214" spans="1:2">
      <c r="A214" s="207" t="s">
        <v>169</v>
      </c>
    </row>
    <row r="215" spans="1:2">
      <c r="A215" s="206" t="s">
        <v>170</v>
      </c>
    </row>
    <row r="216" spans="1:2">
      <c r="A216" s="185" t="s">
        <v>47</v>
      </c>
    </row>
    <row r="217" spans="1:2">
      <c r="A217" s="180" t="s">
        <v>48</v>
      </c>
    </row>
    <row r="218" spans="1:2">
      <c r="A218" s="180" t="s">
        <v>49</v>
      </c>
    </row>
    <row r="219" spans="1:2">
      <c r="A219" s="180" t="s">
        <v>171</v>
      </c>
      <c r="B219" s="205"/>
    </row>
    <row r="220" spans="1:2">
      <c r="A220" s="180" t="s">
        <v>172</v>
      </c>
      <c r="B220" s="205"/>
    </row>
    <row r="221" spans="1:2">
      <c r="A221" s="180" t="s">
        <v>173</v>
      </c>
      <c r="B221" s="205"/>
    </row>
    <row r="222" spans="1:2" s="177" customFormat="1">
      <c r="A222" s="180" t="s">
        <v>174</v>
      </c>
      <c r="B222" s="205"/>
    </row>
    <row r="223" spans="1:2" s="177" customFormat="1">
      <c r="A223" s="180" t="s">
        <v>175</v>
      </c>
      <c r="B223" s="205"/>
    </row>
    <row r="224" spans="1:2">
      <c r="A224" s="180" t="s">
        <v>176</v>
      </c>
      <c r="B224" s="205"/>
    </row>
    <row r="225" spans="1:2">
      <c r="A225" s="180" t="s">
        <v>177</v>
      </c>
      <c r="B225" s="204"/>
    </row>
    <row r="226" spans="1:2">
      <c r="A226" s="180" t="s">
        <v>178</v>
      </c>
      <c r="B226" s="204"/>
    </row>
    <row r="227" spans="1:2">
      <c r="A227" s="203" t="s">
        <v>179</v>
      </c>
    </row>
    <row r="228" spans="1:2">
      <c r="A228" s="202" t="s">
        <v>117</v>
      </c>
    </row>
    <row r="229" spans="1:2">
      <c r="A229" s="197" t="s">
        <v>118</v>
      </c>
    </row>
    <row r="230" spans="1:2">
      <c r="A230" s="198" t="s">
        <v>180</v>
      </c>
    </row>
    <row r="231" spans="1:2">
      <c r="A231" s="197" t="s">
        <v>120</v>
      </c>
    </row>
    <row r="232" spans="1:2">
      <c r="A232" s="198" t="s">
        <v>181</v>
      </c>
    </row>
    <row r="233" spans="1:2">
      <c r="A233" s="201" t="s">
        <v>1</v>
      </c>
    </row>
    <row r="234" spans="1:2">
      <c r="A234" s="200" t="s">
        <v>182</v>
      </c>
    </row>
    <row r="235" spans="1:2">
      <c r="A235" s="197" t="s">
        <v>122</v>
      </c>
    </row>
    <row r="236" spans="1:2">
      <c r="A236" s="198" t="s">
        <v>183</v>
      </c>
    </row>
    <row r="237" spans="1:2">
      <c r="A237" s="197" t="s">
        <v>124</v>
      </c>
    </row>
    <row r="238" spans="1:2" s="177" customFormat="1">
      <c r="A238" s="198" t="s">
        <v>184</v>
      </c>
    </row>
    <row r="239" spans="1:2" s="177" customFormat="1">
      <c r="A239" s="197" t="s">
        <v>126</v>
      </c>
    </row>
    <row r="240" spans="1:2" s="177" customFormat="1">
      <c r="A240" s="198" t="s">
        <v>185</v>
      </c>
    </row>
    <row r="241" spans="1:1" s="177" customFormat="1">
      <c r="A241" s="197" t="s">
        <v>128</v>
      </c>
    </row>
    <row r="242" spans="1:1">
      <c r="A242" s="198" t="s">
        <v>186</v>
      </c>
    </row>
    <row r="243" spans="1:1">
      <c r="A243" s="201" t="s">
        <v>1</v>
      </c>
    </row>
    <row r="244" spans="1:1">
      <c r="A244" s="200" t="s">
        <v>182</v>
      </c>
    </row>
    <row r="245" spans="1:1">
      <c r="A245" s="197" t="s">
        <v>129</v>
      </c>
    </row>
    <row r="246" spans="1:1" s="177" customFormat="1">
      <c r="A246" s="198" t="s">
        <v>187</v>
      </c>
    </row>
    <row r="247" spans="1:1" s="177" customFormat="1">
      <c r="A247" s="197" t="s">
        <v>130</v>
      </c>
    </row>
    <row r="248" spans="1:1">
      <c r="A248" s="198" t="s">
        <v>188</v>
      </c>
    </row>
    <row r="249" spans="1:1">
      <c r="A249" s="197" t="s">
        <v>131</v>
      </c>
    </row>
    <row r="250" spans="1:1">
      <c r="A250" s="196" t="s">
        <v>132</v>
      </c>
    </row>
    <row r="251" spans="1:1" ht="25.5">
      <c r="A251" s="199" t="s">
        <v>189</v>
      </c>
    </row>
    <row r="252" spans="1:1">
      <c r="A252" s="197" t="s">
        <v>134</v>
      </c>
    </row>
    <row r="253" spans="1:1">
      <c r="A253" s="196" t="s">
        <v>190</v>
      </c>
    </row>
    <row r="254" spans="1:1">
      <c r="A254" s="195" t="s">
        <v>1</v>
      </c>
    </row>
    <row r="255" spans="1:1">
      <c r="A255" s="194" t="s">
        <v>3</v>
      </c>
    </row>
    <row r="256" spans="1:1">
      <c r="A256" s="197" t="s">
        <v>136</v>
      </c>
    </row>
    <row r="257" spans="1:1">
      <c r="A257" s="198" t="s">
        <v>137</v>
      </c>
    </row>
    <row r="258" spans="1:1">
      <c r="A258" s="195" t="s">
        <v>1</v>
      </c>
    </row>
    <row r="259" spans="1:1">
      <c r="A259" s="194" t="s">
        <v>5</v>
      </c>
    </row>
    <row r="260" spans="1:1">
      <c r="A260" s="197" t="s">
        <v>138</v>
      </c>
    </row>
    <row r="261" spans="1:1">
      <c r="A261" s="196" t="s">
        <v>139</v>
      </c>
    </row>
    <row r="262" spans="1:1">
      <c r="A262" s="195" t="s">
        <v>1</v>
      </c>
    </row>
    <row r="263" spans="1:1">
      <c r="A263" s="194" t="s">
        <v>5</v>
      </c>
    </row>
    <row r="264" spans="1:1">
      <c r="A264" s="193" t="s">
        <v>191</v>
      </c>
    </row>
    <row r="265" spans="1:1">
      <c r="A265" s="192" t="s">
        <v>192</v>
      </c>
    </row>
    <row r="266" spans="1:1">
      <c r="A266" s="188" t="s">
        <v>58</v>
      </c>
    </row>
    <row r="267" spans="1:1">
      <c r="A267" s="187" t="s">
        <v>7</v>
      </c>
    </row>
    <row r="268" spans="1:1">
      <c r="A268" s="185" t="s">
        <v>193</v>
      </c>
    </row>
    <row r="269" spans="1:1">
      <c r="A269" s="190" t="s">
        <v>194</v>
      </c>
    </row>
    <row r="270" spans="1:1">
      <c r="A270" s="189" t="s">
        <v>195</v>
      </c>
    </row>
    <row r="271" spans="1:1">
      <c r="A271" s="191" t="s">
        <v>196</v>
      </c>
    </row>
    <row r="272" spans="1:1">
      <c r="A272" s="188" t="s">
        <v>197</v>
      </c>
    </row>
    <row r="273" spans="1:1">
      <c r="A273" s="187" t="s">
        <v>7</v>
      </c>
    </row>
    <row r="274" spans="1:1">
      <c r="A274" s="185" t="s">
        <v>198</v>
      </c>
    </row>
    <row r="275" spans="1:1">
      <c r="A275" s="190" t="s">
        <v>199</v>
      </c>
    </row>
    <row r="276" spans="1:1">
      <c r="A276" s="189" t="s">
        <v>200</v>
      </c>
    </row>
    <row r="277" spans="1:1">
      <c r="A277" s="184" t="s">
        <v>201</v>
      </c>
    </row>
    <row r="278" spans="1:1">
      <c r="A278" s="185" t="s">
        <v>65</v>
      </c>
    </row>
    <row r="279" spans="1:1">
      <c r="A279" s="180" t="s">
        <v>48</v>
      </c>
    </row>
    <row r="280" spans="1:1">
      <c r="A280" s="188" t="s">
        <v>202</v>
      </c>
    </row>
    <row r="281" spans="1:1">
      <c r="A281" s="187" t="s">
        <v>7</v>
      </c>
    </row>
    <row r="282" spans="1:1">
      <c r="A282" s="185" t="s">
        <v>203</v>
      </c>
    </row>
    <row r="283" spans="1:1" s="177" customFormat="1">
      <c r="A283" s="186" t="s">
        <v>204</v>
      </c>
    </row>
    <row r="284" spans="1:1">
      <c r="A284" s="185" t="s">
        <v>205</v>
      </c>
    </row>
    <row r="285" spans="1:1">
      <c r="A285" s="184" t="s">
        <v>206</v>
      </c>
    </row>
    <row r="286" spans="1:1">
      <c r="A286" s="183" t="s">
        <v>47</v>
      </c>
    </row>
    <row r="287" spans="1:1">
      <c r="A287" s="182" t="s">
        <v>48</v>
      </c>
    </row>
    <row r="288" spans="1:1">
      <c r="A288" s="182" t="s">
        <v>49</v>
      </c>
    </row>
    <row r="289" spans="1:2">
      <c r="A289" s="180" t="s">
        <v>207</v>
      </c>
      <c r="B289" s="181"/>
    </row>
    <row r="290" spans="1:2">
      <c r="A290" s="180" t="s">
        <v>208</v>
      </c>
      <c r="B290" s="179"/>
    </row>
    <row r="291" spans="1:2">
      <c r="A291" s="180" t="s">
        <v>209</v>
      </c>
      <c r="B291" s="179"/>
    </row>
    <row r="292" spans="1:2">
      <c r="A292" s="180" t="s">
        <v>210</v>
      </c>
      <c r="B292" s="179"/>
    </row>
    <row r="293" spans="1:2">
      <c r="A293" s="180" t="s">
        <v>211</v>
      </c>
      <c r="B293" s="181"/>
    </row>
    <row r="294" spans="1:2">
      <c r="A294" s="180" t="s">
        <v>212</v>
      </c>
      <c r="B294" s="181"/>
    </row>
    <row r="295" spans="1:2">
      <c r="A295" s="180" t="s">
        <v>213</v>
      </c>
      <c r="B295" s="181"/>
    </row>
    <row r="296" spans="1:2">
      <c r="A296" s="180" t="s">
        <v>214</v>
      </c>
      <c r="B296" s="181"/>
    </row>
    <row r="297" spans="1:2">
      <c r="A297" s="180" t="s">
        <v>215</v>
      </c>
      <c r="B297" s="179"/>
    </row>
    <row r="298" spans="1:2">
      <c r="A298" s="180" t="s">
        <v>216</v>
      </c>
      <c r="B298" s="179"/>
    </row>
    <row r="299" spans="1:2">
      <c r="A299" s="180" t="s">
        <v>217</v>
      </c>
      <c r="B299" s="179"/>
    </row>
    <row r="300" spans="1:2">
      <c r="A300" s="180" t="s">
        <v>218</v>
      </c>
      <c r="B300" s="179"/>
    </row>
    <row r="301" spans="1:2">
      <c r="A301" s="206" t="s">
        <v>219</v>
      </c>
    </row>
    <row r="302" spans="1:2">
      <c r="A302" s="185" t="s">
        <v>47</v>
      </c>
    </row>
    <row r="303" spans="1:2">
      <c r="A303" s="180" t="s">
        <v>48</v>
      </c>
    </row>
    <row r="304" spans="1:2">
      <c r="A304" s="180" t="s">
        <v>49</v>
      </c>
    </row>
    <row r="305" spans="1:1" s="178" customFormat="1">
      <c r="A305" s="207" t="s">
        <v>220</v>
      </c>
    </row>
    <row r="306" spans="1:1">
      <c r="A306" s="206" t="s">
        <v>221</v>
      </c>
    </row>
    <row r="307" spans="1:1">
      <c r="A307" s="185" t="s">
        <v>47</v>
      </c>
    </row>
    <row r="308" spans="1:1">
      <c r="A308" s="180" t="s">
        <v>48</v>
      </c>
    </row>
    <row r="309" spans="1:1">
      <c r="A309" s="180" t="s">
        <v>49</v>
      </c>
    </row>
    <row r="310" spans="1:1">
      <c r="A310" s="207" t="s">
        <v>222</v>
      </c>
    </row>
    <row r="311" spans="1:1">
      <c r="A311" s="250" t="s">
        <v>223</v>
      </c>
    </row>
    <row r="312" spans="1:1">
      <c r="A312" s="203" t="s">
        <v>224</v>
      </c>
    </row>
    <row r="313" spans="1:1">
      <c r="A313" s="202" t="s">
        <v>117</v>
      </c>
    </row>
    <row r="314" spans="1:1">
      <c r="A314" s="197" t="s">
        <v>118</v>
      </c>
    </row>
    <row r="315" spans="1:1">
      <c r="A315" s="198" t="s">
        <v>225</v>
      </c>
    </row>
    <row r="316" spans="1:1">
      <c r="A316" s="197" t="s">
        <v>120</v>
      </c>
    </row>
    <row r="317" spans="1:1">
      <c r="A317" s="215" t="s">
        <v>226</v>
      </c>
    </row>
    <row r="318" spans="1:1">
      <c r="A318" s="197" t="s">
        <v>122</v>
      </c>
    </row>
    <row r="319" spans="1:1" s="177" customFormat="1">
      <c r="A319" s="198" t="s">
        <v>227</v>
      </c>
    </row>
    <row r="320" spans="1:1" s="177" customFormat="1">
      <c r="A320" s="197" t="s">
        <v>124</v>
      </c>
    </row>
    <row r="321" spans="1:1" s="177" customFormat="1">
      <c r="A321" s="198" t="s">
        <v>228</v>
      </c>
    </row>
    <row r="322" spans="1:1" s="177" customFormat="1">
      <c r="A322" s="197" t="s">
        <v>131</v>
      </c>
    </row>
    <row r="323" spans="1:1" s="177" customFormat="1">
      <c r="A323" s="196" t="s">
        <v>132</v>
      </c>
    </row>
    <row r="324" spans="1:1" s="177" customFormat="1" ht="25.5">
      <c r="A324" s="199" t="s">
        <v>133</v>
      </c>
    </row>
    <row r="325" spans="1:1">
      <c r="A325" s="197" t="s">
        <v>134</v>
      </c>
    </row>
    <row r="326" spans="1:1">
      <c r="A326" s="196" t="s">
        <v>135</v>
      </c>
    </row>
    <row r="327" spans="1:1">
      <c r="A327" s="195" t="s">
        <v>1</v>
      </c>
    </row>
    <row r="328" spans="1:1">
      <c r="A328" s="194" t="s">
        <v>3</v>
      </c>
    </row>
    <row r="329" spans="1:1">
      <c r="A329" s="197" t="s">
        <v>136</v>
      </c>
    </row>
    <row r="330" spans="1:1">
      <c r="A330" s="198" t="s">
        <v>137</v>
      </c>
    </row>
    <row r="331" spans="1:1">
      <c r="A331" s="195" t="s">
        <v>1</v>
      </c>
    </row>
    <row r="332" spans="1:1">
      <c r="A332" s="194" t="s">
        <v>5</v>
      </c>
    </row>
    <row r="333" spans="1:1">
      <c r="A333" s="197" t="s">
        <v>138</v>
      </c>
    </row>
    <row r="334" spans="1:1">
      <c r="A334" s="196" t="s">
        <v>139</v>
      </c>
    </row>
    <row r="335" spans="1:1">
      <c r="A335" s="195" t="s">
        <v>1</v>
      </c>
    </row>
    <row r="336" spans="1:1">
      <c r="A336" s="194" t="s">
        <v>5</v>
      </c>
    </row>
    <row r="337" spans="1:1">
      <c r="A337" s="206" t="s">
        <v>229</v>
      </c>
    </row>
    <row r="338" spans="1:1">
      <c r="A338" s="185" t="s">
        <v>47</v>
      </c>
    </row>
    <row r="339" spans="1:1">
      <c r="A339" s="180" t="s">
        <v>48</v>
      </c>
    </row>
    <row r="340" spans="1:1">
      <c r="A340" s="180" t="s">
        <v>49</v>
      </c>
    </row>
    <row r="341" spans="1:1">
      <c r="A341" s="207" t="s">
        <v>230</v>
      </c>
    </row>
    <row r="342" spans="1:1">
      <c r="A342" s="207" t="s">
        <v>231</v>
      </c>
    </row>
    <row r="343" spans="1:1">
      <c r="A343" s="207" t="s">
        <v>232</v>
      </c>
    </row>
    <row r="344" spans="1:1">
      <c r="A344" s="207" t="s">
        <v>233</v>
      </c>
    </row>
    <row r="345" spans="1:1">
      <c r="A345" s="203" t="s">
        <v>234</v>
      </c>
    </row>
    <row r="346" spans="1:1">
      <c r="A346" s="251" t="s">
        <v>0</v>
      </c>
    </row>
    <row r="347" spans="1:1">
      <c r="A347" s="252" t="s">
        <v>235</v>
      </c>
    </row>
    <row r="348" spans="1:1">
      <c r="A348" s="253" t="s">
        <v>236</v>
      </c>
    </row>
    <row r="349" spans="1:1">
      <c r="A349" s="198" t="s">
        <v>1</v>
      </c>
    </row>
    <row r="350" spans="1:1">
      <c r="A350" s="254" t="s">
        <v>237</v>
      </c>
    </row>
    <row r="351" spans="1:1">
      <c r="A351" s="255" t="s">
        <v>229</v>
      </c>
    </row>
    <row r="352" spans="1:1">
      <c r="A352" s="202" t="s">
        <v>117</v>
      </c>
    </row>
    <row r="353" spans="1:1">
      <c r="A353" s="197" t="s">
        <v>118</v>
      </c>
    </row>
    <row r="354" spans="1:1">
      <c r="A354" s="198" t="s">
        <v>238</v>
      </c>
    </row>
    <row r="355" spans="1:1">
      <c r="A355" s="197" t="s">
        <v>120</v>
      </c>
    </row>
    <row r="356" spans="1:1">
      <c r="A356" s="215" t="s">
        <v>239</v>
      </c>
    </row>
    <row r="357" spans="1:1">
      <c r="A357" s="197" t="s">
        <v>122</v>
      </c>
    </row>
    <row r="358" spans="1:1">
      <c r="A358" s="198" t="s">
        <v>227</v>
      </c>
    </row>
    <row r="359" spans="1:1">
      <c r="A359" s="197" t="s">
        <v>124</v>
      </c>
    </row>
    <row r="360" spans="1:1">
      <c r="A360" s="198" t="s">
        <v>228</v>
      </c>
    </row>
    <row r="361" spans="1:1">
      <c r="A361" s="197" t="s">
        <v>126</v>
      </c>
    </row>
    <row r="362" spans="1:1">
      <c r="A362" s="198" t="s">
        <v>240</v>
      </c>
    </row>
    <row r="363" spans="1:1">
      <c r="A363" s="197" t="s">
        <v>128</v>
      </c>
    </row>
    <row r="364" spans="1:1">
      <c r="A364" s="215" t="s">
        <v>239</v>
      </c>
    </row>
    <row r="365" spans="1:1">
      <c r="A365" s="197" t="s">
        <v>129</v>
      </c>
    </row>
    <row r="366" spans="1:1">
      <c r="A366" s="198" t="s">
        <v>227</v>
      </c>
    </row>
    <row r="367" spans="1:1">
      <c r="A367" s="197" t="s">
        <v>130</v>
      </c>
    </row>
    <row r="368" spans="1:1">
      <c r="A368" s="198" t="s">
        <v>228</v>
      </c>
    </row>
    <row r="369" spans="1:1">
      <c r="A369" s="197" t="s">
        <v>131</v>
      </c>
    </row>
    <row r="370" spans="1:1">
      <c r="A370" s="196" t="s">
        <v>132</v>
      </c>
    </row>
    <row r="371" spans="1:1" ht="25.5">
      <c r="A371" s="199" t="s">
        <v>133</v>
      </c>
    </row>
    <row r="372" spans="1:1">
      <c r="A372" s="197" t="s">
        <v>134</v>
      </c>
    </row>
    <row r="373" spans="1:1">
      <c r="A373" s="196" t="s">
        <v>135</v>
      </c>
    </row>
    <row r="374" spans="1:1">
      <c r="A374" s="195" t="s">
        <v>1</v>
      </c>
    </row>
    <row r="375" spans="1:1">
      <c r="A375" s="194" t="s">
        <v>3</v>
      </c>
    </row>
    <row r="376" spans="1:1">
      <c r="A376" s="197" t="s">
        <v>136</v>
      </c>
    </row>
    <row r="377" spans="1:1">
      <c r="A377" s="198" t="s">
        <v>137</v>
      </c>
    </row>
    <row r="378" spans="1:1">
      <c r="A378" s="195" t="s">
        <v>1</v>
      </c>
    </row>
    <row r="379" spans="1:1">
      <c r="A379" s="194" t="s">
        <v>5</v>
      </c>
    </row>
    <row r="380" spans="1:1">
      <c r="A380" s="197" t="s">
        <v>138</v>
      </c>
    </row>
    <row r="381" spans="1:1">
      <c r="A381" s="196" t="s">
        <v>139</v>
      </c>
    </row>
    <row r="382" spans="1:1">
      <c r="A382" s="195" t="s">
        <v>1</v>
      </c>
    </row>
    <row r="383" spans="1:1">
      <c r="A383" s="194" t="s">
        <v>5</v>
      </c>
    </row>
    <row r="384" spans="1:1">
      <c r="A384" s="206" t="s">
        <v>241</v>
      </c>
    </row>
    <row r="385" spans="1:2">
      <c r="A385" s="185" t="s">
        <v>47</v>
      </c>
    </row>
    <row r="386" spans="1:2">
      <c r="A386" s="180" t="s">
        <v>48</v>
      </c>
    </row>
    <row r="387" spans="1:2">
      <c r="A387" s="180" t="s">
        <v>49</v>
      </c>
    </row>
    <row r="388" spans="1:2">
      <c r="A388" s="207" t="s">
        <v>242</v>
      </c>
      <c r="B388" s="204"/>
    </row>
    <row r="389" spans="1:2">
      <c r="A389" s="207" t="s">
        <v>243</v>
      </c>
      <c r="B389" s="204"/>
    </row>
    <row r="390" spans="1:2">
      <c r="A390" s="207" t="s">
        <v>244</v>
      </c>
      <c r="B390" s="204"/>
    </row>
    <row r="391" spans="1:2">
      <c r="A391" s="207" t="s">
        <v>245</v>
      </c>
      <c r="B391" s="204"/>
    </row>
    <row r="392" spans="1:2">
      <c r="A392" s="207" t="s">
        <v>246</v>
      </c>
      <c r="B392" s="204"/>
    </row>
    <row r="393" spans="1:2">
      <c r="A393" s="207" t="s">
        <v>247</v>
      </c>
      <c r="B393" s="204"/>
    </row>
    <row r="394" spans="1:2">
      <c r="A394" s="207" t="s">
        <v>248</v>
      </c>
      <c r="B394" s="204"/>
    </row>
    <row r="395" spans="1:2">
      <c r="A395" s="207" t="s">
        <v>249</v>
      </c>
      <c r="B395" s="204"/>
    </row>
    <row r="396" spans="1:2">
      <c r="A396" s="207" t="s">
        <v>250</v>
      </c>
      <c r="B396" s="204"/>
    </row>
    <row r="397" spans="1:2">
      <c r="A397" s="207" t="s">
        <v>251</v>
      </c>
      <c r="B397" s="204"/>
    </row>
    <row r="398" spans="1:2">
      <c r="A398" s="207" t="s">
        <v>252</v>
      </c>
      <c r="B398" s="204"/>
    </row>
    <row r="399" spans="1:2">
      <c r="A399" s="207" t="s">
        <v>253</v>
      </c>
      <c r="B399" s="204"/>
    </row>
    <row r="400" spans="1:2">
      <c r="A400" s="186" t="s">
        <v>254</v>
      </c>
    </row>
    <row r="401" spans="1:1">
      <c r="A401" s="186" t="s">
        <v>255</v>
      </c>
    </row>
    <row r="402" spans="1:1">
      <c r="A402" s="186" t="s">
        <v>256</v>
      </c>
    </row>
    <row r="403" spans="1:1">
      <c r="A403" s="186" t="s">
        <v>257</v>
      </c>
    </row>
    <row r="404" spans="1:1">
      <c r="A404" s="186" t="s">
        <v>258</v>
      </c>
    </row>
    <row r="405" spans="1:1">
      <c r="A405" s="186" t="s">
        <v>259</v>
      </c>
    </row>
    <row r="406" spans="1:1">
      <c r="A406" s="186" t="s">
        <v>260</v>
      </c>
    </row>
    <row r="407" spans="1:1">
      <c r="A407" s="186" t="s">
        <v>261</v>
      </c>
    </row>
    <row r="408" spans="1:1">
      <c r="A408" s="186" t="s">
        <v>262</v>
      </c>
    </row>
    <row r="409" spans="1:1">
      <c r="A409" s="206" t="s">
        <v>263</v>
      </c>
    </row>
    <row r="410" spans="1:1">
      <c r="A410" s="185" t="s">
        <v>47</v>
      </c>
    </row>
    <row r="411" spans="1:1">
      <c r="A411" s="180" t="s">
        <v>48</v>
      </c>
    </row>
    <row r="412" spans="1:1">
      <c r="A412" s="180" t="s">
        <v>49</v>
      </c>
    </row>
    <row r="413" spans="1:1">
      <c r="A413" s="207" t="s">
        <v>264</v>
      </c>
    </row>
    <row r="414" spans="1:1">
      <c r="A414" s="207" t="s">
        <v>265</v>
      </c>
    </row>
    <row r="415" spans="1:1">
      <c r="A415" s="207" t="s">
        <v>266</v>
      </c>
    </row>
    <row r="416" spans="1:1">
      <c r="A416" s="207" t="s">
        <v>267</v>
      </c>
    </row>
    <row r="417" spans="1:2">
      <c r="A417" s="207" t="s">
        <v>268</v>
      </c>
    </row>
    <row r="418" spans="1:2">
      <c r="A418" s="207" t="s">
        <v>269</v>
      </c>
    </row>
    <row r="419" spans="1:2">
      <c r="A419" s="207" t="s">
        <v>270</v>
      </c>
    </row>
    <row r="420" spans="1:2">
      <c r="A420" s="207" t="s">
        <v>271</v>
      </c>
    </row>
    <row r="421" spans="1:2">
      <c r="A421" s="207" t="s">
        <v>272</v>
      </c>
    </row>
    <row r="422" spans="1:2">
      <c r="A422" s="207"/>
    </row>
    <row r="423" spans="1:2">
      <c r="A423" s="207"/>
      <c r="B423" s="204"/>
    </row>
    <row r="424" spans="1:2">
      <c r="A424" s="207"/>
      <c r="B424" s="204"/>
    </row>
    <row r="425" spans="1:2">
      <c r="A425" s="186" t="s">
        <v>254</v>
      </c>
    </row>
    <row r="426" spans="1:2">
      <c r="A426" s="256"/>
    </row>
    <row r="427" spans="1:2">
      <c r="A427" s="257" t="s">
        <v>24</v>
      </c>
    </row>
    <row r="428" spans="1:2">
      <c r="A428" s="258"/>
    </row>
    <row r="429" spans="1:2">
      <c r="A429" s="259" t="s">
        <v>273</v>
      </c>
    </row>
    <row r="430" spans="1:2">
      <c r="A430" s="260" t="s">
        <v>274</v>
      </c>
    </row>
    <row r="431" spans="1:2">
      <c r="A431" s="260" t="s">
        <v>275</v>
      </c>
    </row>
    <row r="432" spans="1:2">
      <c r="A432" s="260" t="s">
        <v>276</v>
      </c>
    </row>
    <row r="433" spans="1:1">
      <c r="A433" s="260" t="s">
        <v>25</v>
      </c>
    </row>
    <row r="434" spans="1:1">
      <c r="A434" s="260" t="s">
        <v>26</v>
      </c>
    </row>
    <row r="435" spans="1:1">
      <c r="A435" s="260" t="s">
        <v>277</v>
      </c>
    </row>
    <row r="436" spans="1:1">
      <c r="A436" s="260" t="s">
        <v>278</v>
      </c>
    </row>
    <row r="437" spans="1:1">
      <c r="A437" s="176"/>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5"/>
  <sheetViews>
    <sheetView tabSelected="1" workbookViewId="0">
      <selection activeCell="I4" sqref="I4"/>
    </sheetView>
  </sheetViews>
  <sheetFormatPr defaultColWidth="9.140625" defaultRowHeight="12.75"/>
  <cols>
    <col min="1" max="1" width="25.5703125" style="21" customWidth="1"/>
    <col min="2" max="2" width="19.42578125" style="21" customWidth="1"/>
    <col min="3" max="3" width="20.7109375" style="21" customWidth="1"/>
    <col min="4" max="4" width="29.42578125" style="21" customWidth="1"/>
    <col min="5" max="5" width="7.140625" style="21" customWidth="1"/>
    <col min="6" max="6" width="9.5703125" style="269" customWidth="1"/>
    <col min="7" max="7" width="17.140625" style="45" customWidth="1"/>
    <col min="8" max="8" width="10.28515625" style="36" customWidth="1"/>
    <col min="9" max="9" width="69.85546875" style="301" customWidth="1"/>
    <col min="10" max="10" width="10.5703125" style="272" customWidth="1"/>
    <col min="11" max="11" width="12.140625" style="272" customWidth="1"/>
    <col min="12" max="12" width="13.28515625" style="272" customWidth="1"/>
    <col min="13" max="13" width="9.140625" style="21"/>
    <col min="14" max="14" width="9.140625" style="21" customWidth="1"/>
    <col min="15" max="16384" width="9.140625" style="21"/>
  </cols>
  <sheetData>
    <row r="1" spans="1:13" ht="12" customHeight="1">
      <c r="C1" s="302"/>
      <c r="D1" s="303"/>
      <c r="E1" s="303"/>
      <c r="F1" s="303"/>
      <c r="G1" s="303"/>
      <c r="H1" s="303"/>
      <c r="I1" s="303"/>
      <c r="J1" s="303"/>
    </row>
    <row r="2" spans="1:13" ht="12" customHeight="1">
      <c r="C2" s="302" t="s">
        <v>1170</v>
      </c>
      <c r="D2" s="303"/>
      <c r="E2" s="303"/>
      <c r="F2" s="303"/>
      <c r="G2" s="303"/>
      <c r="H2" s="303"/>
      <c r="I2" s="303"/>
      <c r="J2" s="303"/>
    </row>
    <row r="3" spans="1:13" ht="12" customHeight="1">
      <c r="C3" s="304" t="s">
        <v>1135</v>
      </c>
      <c r="D3" s="303"/>
      <c r="E3" s="303"/>
      <c r="F3" s="303"/>
      <c r="G3" s="303"/>
      <c r="H3" s="303"/>
      <c r="I3" s="303"/>
      <c r="J3" s="303"/>
    </row>
    <row r="4" spans="1:13" ht="12" customHeight="1">
      <c r="C4" s="60" t="s">
        <v>1132</v>
      </c>
      <c r="D4" s="60"/>
      <c r="E4" s="60"/>
      <c r="F4" s="264"/>
      <c r="G4" s="54"/>
      <c r="H4" s="264"/>
      <c r="I4" s="294"/>
      <c r="J4" s="268"/>
    </row>
    <row r="5" spans="1:13" ht="12" customHeight="1">
      <c r="C5" s="58" t="s">
        <v>282</v>
      </c>
      <c r="D5" s="59"/>
      <c r="E5" s="59"/>
      <c r="F5" s="265"/>
      <c r="G5" s="292"/>
      <c r="H5" s="265"/>
      <c r="I5" s="295"/>
      <c r="J5" s="268"/>
    </row>
    <row r="6" spans="1:13" ht="12" customHeight="1" thickBot="1">
      <c r="C6" s="57" t="s">
        <v>1166</v>
      </c>
      <c r="D6" s="57"/>
      <c r="E6" s="57"/>
      <c r="F6" s="266"/>
      <c r="G6" s="52"/>
      <c r="H6" s="266"/>
      <c r="I6" s="296"/>
      <c r="J6" s="273"/>
      <c r="K6" s="274"/>
    </row>
    <row r="7" spans="1:13" ht="138.6" customHeight="1" thickBot="1">
      <c r="A7" s="126" t="s">
        <v>1004</v>
      </c>
      <c r="B7" s="126" t="s">
        <v>1005</v>
      </c>
      <c r="C7" s="126" t="s">
        <v>284</v>
      </c>
      <c r="D7" s="126" t="s">
        <v>285</v>
      </c>
      <c r="E7" s="126" t="s">
        <v>286</v>
      </c>
      <c r="F7" s="169" t="s">
        <v>287</v>
      </c>
      <c r="G7" s="126" t="s">
        <v>288</v>
      </c>
      <c r="H7" s="169" t="s">
        <v>289</v>
      </c>
      <c r="I7" s="293" t="s">
        <v>28</v>
      </c>
      <c r="J7" s="275" t="s">
        <v>290</v>
      </c>
      <c r="K7" s="275" t="s">
        <v>1137</v>
      </c>
      <c r="L7" s="275" t="s">
        <v>1138</v>
      </c>
    </row>
    <row r="8" spans="1:13" s="271" customFormat="1" ht="12" customHeight="1">
      <c r="A8" s="127" t="s">
        <v>537</v>
      </c>
      <c r="B8" s="127" t="s">
        <v>294</v>
      </c>
      <c r="C8" s="129" t="s">
        <v>295</v>
      </c>
      <c r="D8" s="129" t="s">
        <v>296</v>
      </c>
      <c r="E8" s="130" t="s">
        <v>297</v>
      </c>
      <c r="F8" s="267" t="s">
        <v>298</v>
      </c>
      <c r="G8" s="135" t="s">
        <v>990</v>
      </c>
      <c r="H8" s="130">
        <v>3.1</v>
      </c>
      <c r="I8" s="297" t="s">
        <v>296</v>
      </c>
      <c r="J8" s="276"/>
      <c r="K8" s="278"/>
      <c r="L8" s="279"/>
      <c r="M8" s="291"/>
    </row>
    <row r="9" spans="1:13" s="48" customFormat="1" ht="12" customHeight="1">
      <c r="A9" s="127" t="s">
        <v>537</v>
      </c>
      <c r="B9" s="127" t="s">
        <v>294</v>
      </c>
      <c r="C9" s="129" t="s">
        <v>295</v>
      </c>
      <c r="D9" s="127" t="s">
        <v>9</v>
      </c>
      <c r="E9" s="130" t="s">
        <v>297</v>
      </c>
      <c r="F9" s="267" t="s">
        <v>1000</v>
      </c>
      <c r="G9" s="135" t="s">
        <v>990</v>
      </c>
      <c r="H9" s="130">
        <v>3.2</v>
      </c>
      <c r="I9" s="298" t="s">
        <v>304</v>
      </c>
      <c r="J9" s="276"/>
      <c r="K9" s="280"/>
      <c r="L9" s="277"/>
      <c r="M9" s="291"/>
    </row>
    <row r="10" spans="1:13" s="48" customFormat="1" ht="12" customHeight="1">
      <c r="A10" s="134" t="s">
        <v>537</v>
      </c>
      <c r="B10" s="134" t="s">
        <v>306</v>
      </c>
      <c r="C10" s="129" t="s">
        <v>307</v>
      </c>
      <c r="D10" s="129" t="s">
        <v>9</v>
      </c>
      <c r="E10" s="130" t="s">
        <v>297</v>
      </c>
      <c r="F10" s="267" t="s">
        <v>1015</v>
      </c>
      <c r="G10" s="130">
        <v>1501000</v>
      </c>
      <c r="H10" s="130">
        <v>3.1</v>
      </c>
      <c r="I10" s="297" t="s">
        <v>310</v>
      </c>
      <c r="J10" s="281"/>
      <c r="K10" s="280"/>
      <c r="L10" s="277"/>
      <c r="M10" s="291"/>
    </row>
    <row r="11" spans="1:13" s="48" customFormat="1" ht="12" customHeight="1">
      <c r="A11" s="134" t="s">
        <v>537</v>
      </c>
      <c r="B11" s="134" t="s">
        <v>306</v>
      </c>
      <c r="C11" s="129" t="s">
        <v>307</v>
      </c>
      <c r="D11" s="129" t="s">
        <v>9</v>
      </c>
      <c r="E11" s="130" t="s">
        <v>297</v>
      </c>
      <c r="F11" s="267" t="s">
        <v>1016</v>
      </c>
      <c r="G11" s="130">
        <v>1501000</v>
      </c>
      <c r="H11" s="130">
        <v>3.2</v>
      </c>
      <c r="I11" s="297" t="s">
        <v>312</v>
      </c>
      <c r="J11" s="281"/>
      <c r="K11" s="280"/>
      <c r="L11" s="277"/>
      <c r="M11" s="291"/>
    </row>
    <row r="12" spans="1:13" s="48" customFormat="1" ht="12" customHeight="1">
      <c r="A12" s="134" t="s">
        <v>537</v>
      </c>
      <c r="B12" s="134" t="s">
        <v>306</v>
      </c>
      <c r="C12" s="129" t="s">
        <v>307</v>
      </c>
      <c r="D12" s="129" t="s">
        <v>9</v>
      </c>
      <c r="E12" s="130" t="s">
        <v>297</v>
      </c>
      <c r="F12" s="267" t="s">
        <v>1017</v>
      </c>
      <c r="G12" s="130">
        <v>1501000</v>
      </c>
      <c r="H12" s="130">
        <v>3.3</v>
      </c>
      <c r="I12" s="297" t="s">
        <v>314</v>
      </c>
      <c r="J12" s="281"/>
      <c r="K12" s="280"/>
      <c r="L12" s="277"/>
      <c r="M12" s="291"/>
    </row>
    <row r="13" spans="1:13" s="48" customFormat="1" ht="12" customHeight="1">
      <c r="A13" s="134" t="s">
        <v>537</v>
      </c>
      <c r="B13" s="134" t="s">
        <v>1143</v>
      </c>
      <c r="C13" s="129" t="s">
        <v>316</v>
      </c>
      <c r="D13" s="129" t="s">
        <v>317</v>
      </c>
      <c r="E13" s="130" t="s">
        <v>297</v>
      </c>
      <c r="F13" s="267" t="s">
        <v>1018</v>
      </c>
      <c r="G13" s="130">
        <v>1502000</v>
      </c>
      <c r="H13" s="267">
        <v>3.1</v>
      </c>
      <c r="I13" s="297" t="s">
        <v>991</v>
      </c>
      <c r="J13" s="282"/>
      <c r="K13" s="280"/>
      <c r="L13" s="277"/>
      <c r="M13" s="291"/>
    </row>
    <row r="14" spans="1:13" s="48" customFormat="1" ht="12" customHeight="1">
      <c r="A14" s="134" t="s">
        <v>537</v>
      </c>
      <c r="B14" s="134" t="s">
        <v>1143</v>
      </c>
      <c r="C14" s="129" t="s">
        <v>316</v>
      </c>
      <c r="D14" s="129" t="s">
        <v>9</v>
      </c>
      <c r="E14" s="130" t="s">
        <v>297</v>
      </c>
      <c r="F14" s="267" t="s">
        <v>1014</v>
      </c>
      <c r="G14" s="130">
        <v>1502000</v>
      </c>
      <c r="H14" s="267">
        <v>3.2</v>
      </c>
      <c r="I14" s="297" t="s">
        <v>1001</v>
      </c>
      <c r="J14" s="282"/>
      <c r="K14" s="280"/>
      <c r="L14" s="277"/>
      <c r="M14" s="291"/>
    </row>
    <row r="15" spans="1:13" s="48" customFormat="1" ht="12" customHeight="1">
      <c r="A15" s="134" t="s">
        <v>537</v>
      </c>
      <c r="B15" s="134" t="s">
        <v>1143</v>
      </c>
      <c r="C15" s="129" t="s">
        <v>316</v>
      </c>
      <c r="D15" s="129" t="s">
        <v>319</v>
      </c>
      <c r="E15" s="130" t="s">
        <v>297</v>
      </c>
      <c r="F15" s="267" t="s">
        <v>1012</v>
      </c>
      <c r="G15" s="130">
        <v>1502000</v>
      </c>
      <c r="H15" s="267" t="s">
        <v>320</v>
      </c>
      <c r="I15" s="297" t="s">
        <v>321</v>
      </c>
      <c r="J15" s="283"/>
      <c r="K15" s="280"/>
      <c r="L15" s="277"/>
      <c r="M15" s="291"/>
    </row>
    <row r="16" spans="1:13" s="48" customFormat="1" ht="12" customHeight="1">
      <c r="A16" s="134" t="s">
        <v>537</v>
      </c>
      <c r="B16" s="134" t="s">
        <v>1143</v>
      </c>
      <c r="C16" s="129" t="s">
        <v>316</v>
      </c>
      <c r="D16" s="129" t="s">
        <v>319</v>
      </c>
      <c r="E16" s="130" t="s">
        <v>297</v>
      </c>
      <c r="F16" s="267" t="s">
        <v>1023</v>
      </c>
      <c r="G16" s="130">
        <v>1502000</v>
      </c>
      <c r="H16" s="267" t="s">
        <v>322</v>
      </c>
      <c r="I16" s="297" t="s">
        <v>323</v>
      </c>
      <c r="J16" s="283"/>
      <c r="K16" s="280"/>
      <c r="L16" s="277"/>
      <c r="M16" s="291"/>
    </row>
    <row r="17" spans="1:13" s="48" customFormat="1" ht="12" customHeight="1">
      <c r="A17" s="134" t="s">
        <v>537</v>
      </c>
      <c r="B17" s="134" t="s">
        <v>1143</v>
      </c>
      <c r="C17" s="129" t="s">
        <v>316</v>
      </c>
      <c r="D17" s="129" t="s">
        <v>319</v>
      </c>
      <c r="E17" s="130" t="s">
        <v>297</v>
      </c>
      <c r="F17" s="267" t="s">
        <v>1024</v>
      </c>
      <c r="G17" s="130">
        <v>1502000</v>
      </c>
      <c r="H17" s="267" t="s">
        <v>324</v>
      </c>
      <c r="I17" s="297" t="s">
        <v>325</v>
      </c>
      <c r="J17" s="283"/>
      <c r="K17" s="280"/>
      <c r="L17" s="277"/>
      <c r="M17" s="291"/>
    </row>
    <row r="18" spans="1:13" s="48" customFormat="1" ht="12" customHeight="1">
      <c r="A18" s="134" t="s">
        <v>537</v>
      </c>
      <c r="B18" s="134" t="s">
        <v>1143</v>
      </c>
      <c r="C18" s="129" t="s">
        <v>316</v>
      </c>
      <c r="D18" s="129" t="s">
        <v>319</v>
      </c>
      <c r="E18" s="130" t="s">
        <v>297</v>
      </c>
      <c r="F18" s="267" t="s">
        <v>1022</v>
      </c>
      <c r="G18" s="130">
        <v>1502000</v>
      </c>
      <c r="H18" s="267" t="s">
        <v>326</v>
      </c>
      <c r="I18" s="297" t="s">
        <v>327</v>
      </c>
      <c r="J18" s="283"/>
      <c r="K18" s="280"/>
      <c r="L18" s="277"/>
      <c r="M18" s="291"/>
    </row>
    <row r="19" spans="1:13" s="48" customFormat="1" ht="12" customHeight="1">
      <c r="A19" s="134" t="s">
        <v>537</v>
      </c>
      <c r="B19" s="134" t="s">
        <v>1143</v>
      </c>
      <c r="C19" s="129" t="s">
        <v>316</v>
      </c>
      <c r="D19" s="129" t="s">
        <v>319</v>
      </c>
      <c r="E19" s="130" t="s">
        <v>297</v>
      </c>
      <c r="F19" s="267" t="s">
        <v>1025</v>
      </c>
      <c r="G19" s="130">
        <v>1502000</v>
      </c>
      <c r="H19" s="267" t="s">
        <v>328</v>
      </c>
      <c r="I19" s="297" t="s">
        <v>329</v>
      </c>
      <c r="J19" s="283"/>
      <c r="K19" s="280"/>
      <c r="L19" s="277"/>
      <c r="M19" s="291"/>
    </row>
    <row r="20" spans="1:13" s="48" customFormat="1" ht="12" customHeight="1">
      <c r="A20" s="134" t="s">
        <v>537</v>
      </c>
      <c r="B20" s="134" t="s">
        <v>1143</v>
      </c>
      <c r="C20" s="129" t="s">
        <v>316</v>
      </c>
      <c r="D20" s="129" t="s">
        <v>319</v>
      </c>
      <c r="E20" s="130" t="s">
        <v>297</v>
      </c>
      <c r="F20" s="267" t="s">
        <v>1019</v>
      </c>
      <c r="G20" s="130">
        <v>1502000</v>
      </c>
      <c r="H20" s="267" t="s">
        <v>330</v>
      </c>
      <c r="I20" s="297" t="s">
        <v>331</v>
      </c>
      <c r="J20" s="283"/>
      <c r="K20" s="280"/>
      <c r="L20" s="277"/>
      <c r="M20" s="291"/>
    </row>
    <row r="21" spans="1:13" s="48" customFormat="1" ht="12" customHeight="1">
      <c r="A21" s="134" t="s">
        <v>537</v>
      </c>
      <c r="B21" s="134" t="s">
        <v>1143</v>
      </c>
      <c r="C21" s="129" t="s">
        <v>316</v>
      </c>
      <c r="D21" s="129" t="s">
        <v>319</v>
      </c>
      <c r="E21" s="130" t="s">
        <v>297</v>
      </c>
      <c r="F21" s="267" t="s">
        <v>1026</v>
      </c>
      <c r="G21" s="130">
        <v>1502000</v>
      </c>
      <c r="H21" s="267" t="s">
        <v>332</v>
      </c>
      <c r="I21" s="297" t="s">
        <v>333</v>
      </c>
      <c r="J21" s="283"/>
      <c r="K21" s="280"/>
      <c r="L21" s="277"/>
      <c r="M21" s="291"/>
    </row>
    <row r="22" spans="1:13" s="48" customFormat="1" ht="12" customHeight="1">
      <c r="A22" s="134" t="s">
        <v>537</v>
      </c>
      <c r="B22" s="134" t="s">
        <v>1143</v>
      </c>
      <c r="C22" s="129" t="s">
        <v>316</v>
      </c>
      <c r="D22" s="129" t="s">
        <v>319</v>
      </c>
      <c r="E22" s="130" t="s">
        <v>297</v>
      </c>
      <c r="F22" s="267" t="s">
        <v>1027</v>
      </c>
      <c r="G22" s="130">
        <v>1502000</v>
      </c>
      <c r="H22" s="267" t="s">
        <v>334</v>
      </c>
      <c r="I22" s="297" t="s">
        <v>335</v>
      </c>
      <c r="J22" s="283"/>
      <c r="K22" s="280"/>
      <c r="L22" s="277"/>
      <c r="M22" s="291"/>
    </row>
    <row r="23" spans="1:13" s="48" customFormat="1" ht="12" customHeight="1">
      <c r="A23" s="134" t="s">
        <v>537</v>
      </c>
      <c r="B23" s="134" t="s">
        <v>1143</v>
      </c>
      <c r="C23" s="129" t="s">
        <v>316</v>
      </c>
      <c r="D23" s="129" t="s">
        <v>319</v>
      </c>
      <c r="E23" s="130" t="s">
        <v>297</v>
      </c>
      <c r="F23" s="267" t="s">
        <v>1029</v>
      </c>
      <c r="G23" s="130">
        <v>1502000</v>
      </c>
      <c r="H23" s="267" t="s">
        <v>336</v>
      </c>
      <c r="I23" s="297" t="s">
        <v>337</v>
      </c>
      <c r="J23" s="283"/>
      <c r="K23" s="280"/>
      <c r="L23" s="277"/>
      <c r="M23" s="291"/>
    </row>
    <row r="24" spans="1:13" s="125" customFormat="1" ht="12" customHeight="1">
      <c r="A24" s="134" t="s">
        <v>537</v>
      </c>
      <c r="B24" s="134" t="s">
        <v>1143</v>
      </c>
      <c r="C24" s="129" t="s">
        <v>316</v>
      </c>
      <c r="D24" s="129" t="s">
        <v>319</v>
      </c>
      <c r="E24" s="130" t="s">
        <v>297</v>
      </c>
      <c r="F24" s="267" t="s">
        <v>1013</v>
      </c>
      <c r="G24" s="133">
        <v>1502000</v>
      </c>
      <c r="H24" s="267" t="s">
        <v>338</v>
      </c>
      <c r="I24" s="297" t="s">
        <v>339</v>
      </c>
      <c r="J24" s="283"/>
      <c r="K24" s="280"/>
      <c r="L24" s="277"/>
      <c r="M24" s="291"/>
    </row>
    <row r="25" spans="1:13" s="48" customFormat="1" ht="12" customHeight="1">
      <c r="A25" s="134" t="s">
        <v>537</v>
      </c>
      <c r="B25" s="134" t="s">
        <v>1143</v>
      </c>
      <c r="C25" s="129" t="s">
        <v>316</v>
      </c>
      <c r="D25" s="129" t="s">
        <v>319</v>
      </c>
      <c r="E25" s="130" t="s">
        <v>297</v>
      </c>
      <c r="F25" s="267" t="s">
        <v>1011</v>
      </c>
      <c r="G25" s="130">
        <v>1502000</v>
      </c>
      <c r="H25" s="267" t="s">
        <v>340</v>
      </c>
      <c r="I25" s="297" t="s">
        <v>1139</v>
      </c>
      <c r="J25" s="283"/>
      <c r="K25" s="280"/>
      <c r="L25" s="277"/>
      <c r="M25" s="291"/>
    </row>
    <row r="26" spans="1:13" s="48" customFormat="1" ht="13.5" customHeight="1">
      <c r="A26" s="134" t="s">
        <v>537</v>
      </c>
      <c r="B26" s="134" t="s">
        <v>1143</v>
      </c>
      <c r="C26" s="129" t="s">
        <v>316</v>
      </c>
      <c r="D26" s="129" t="s">
        <v>319</v>
      </c>
      <c r="E26" s="130" t="s">
        <v>297</v>
      </c>
      <c r="F26" s="267" t="s">
        <v>1021</v>
      </c>
      <c r="G26" s="130">
        <v>1502000</v>
      </c>
      <c r="H26" s="267" t="s">
        <v>341</v>
      </c>
      <c r="I26" s="297" t="s">
        <v>342</v>
      </c>
      <c r="J26" s="283"/>
      <c r="K26" s="280"/>
      <c r="L26" s="277"/>
      <c r="M26" s="291"/>
    </row>
    <row r="27" spans="1:13" s="48" customFormat="1" ht="12" customHeight="1">
      <c r="A27" s="134" t="s">
        <v>537</v>
      </c>
      <c r="B27" s="134" t="s">
        <v>1143</v>
      </c>
      <c r="C27" s="129" t="s">
        <v>316</v>
      </c>
      <c r="D27" s="129" t="s">
        <v>319</v>
      </c>
      <c r="E27" s="130" t="s">
        <v>297</v>
      </c>
      <c r="F27" s="267" t="s">
        <v>1020</v>
      </c>
      <c r="G27" s="130">
        <v>1502000</v>
      </c>
      <c r="H27" s="267" t="s">
        <v>343</v>
      </c>
      <c r="I27" s="297" t="s">
        <v>344</v>
      </c>
      <c r="J27" s="283"/>
      <c r="K27" s="280"/>
      <c r="L27" s="277"/>
      <c r="M27" s="291"/>
    </row>
    <row r="28" spans="1:13" s="48" customFormat="1" ht="12" customHeight="1">
      <c r="A28" s="134" t="s">
        <v>537</v>
      </c>
      <c r="B28" s="134" t="s">
        <v>1143</v>
      </c>
      <c r="C28" s="129" t="s">
        <v>316</v>
      </c>
      <c r="D28" s="129" t="s">
        <v>319</v>
      </c>
      <c r="E28" s="130" t="s">
        <v>297</v>
      </c>
      <c r="F28" s="267" t="s">
        <v>1030</v>
      </c>
      <c r="G28" s="130">
        <v>1502000</v>
      </c>
      <c r="H28" s="267" t="s">
        <v>994</v>
      </c>
      <c r="I28" s="297" t="s">
        <v>995</v>
      </c>
      <c r="J28" s="283"/>
      <c r="K28" s="280"/>
      <c r="L28" s="277"/>
      <c r="M28" s="291"/>
    </row>
    <row r="29" spans="1:13" s="48" customFormat="1" ht="12" customHeight="1">
      <c r="A29" s="134" t="s">
        <v>537</v>
      </c>
      <c r="B29" s="134" t="s">
        <v>1143</v>
      </c>
      <c r="C29" s="129" t="s">
        <v>316</v>
      </c>
      <c r="D29" s="129" t="s">
        <v>345</v>
      </c>
      <c r="E29" s="130" t="s">
        <v>297</v>
      </c>
      <c r="F29" s="267" t="s">
        <v>1031</v>
      </c>
      <c r="G29" s="130">
        <v>1502000</v>
      </c>
      <c r="H29" s="267" t="s">
        <v>346</v>
      </c>
      <c r="I29" s="297" t="s">
        <v>347</v>
      </c>
      <c r="J29" s="283"/>
      <c r="K29" s="280"/>
      <c r="L29" s="277"/>
      <c r="M29" s="291"/>
    </row>
    <row r="30" spans="1:13" s="48" customFormat="1" ht="12" customHeight="1">
      <c r="A30" s="134" t="s">
        <v>537</v>
      </c>
      <c r="B30" s="134" t="s">
        <v>1143</v>
      </c>
      <c r="C30" s="129" t="s">
        <v>316</v>
      </c>
      <c r="D30" s="129" t="s">
        <v>345</v>
      </c>
      <c r="E30" s="130" t="s">
        <v>297</v>
      </c>
      <c r="F30" s="267" t="s">
        <v>1028</v>
      </c>
      <c r="G30" s="130">
        <v>1502000</v>
      </c>
      <c r="H30" s="267" t="s">
        <v>348</v>
      </c>
      <c r="I30" s="297" t="s">
        <v>349</v>
      </c>
      <c r="J30" s="283"/>
      <c r="K30" s="280"/>
      <c r="L30" s="277"/>
      <c r="M30" s="291"/>
    </row>
    <row r="31" spans="1:13" s="48" customFormat="1" ht="12" customHeight="1">
      <c r="A31" s="134" t="s">
        <v>537</v>
      </c>
      <c r="B31" s="134" t="s">
        <v>1143</v>
      </c>
      <c r="C31" s="129" t="s">
        <v>316</v>
      </c>
      <c r="D31" s="129" t="s">
        <v>345</v>
      </c>
      <c r="E31" s="130" t="s">
        <v>297</v>
      </c>
      <c r="F31" s="267" t="s">
        <v>1032</v>
      </c>
      <c r="G31" s="130">
        <v>1502000</v>
      </c>
      <c r="H31" s="267" t="s">
        <v>350</v>
      </c>
      <c r="I31" s="297" t="s">
        <v>351</v>
      </c>
      <c r="J31" s="283"/>
      <c r="K31" s="280"/>
      <c r="L31" s="277"/>
      <c r="M31" s="291"/>
    </row>
    <row r="32" spans="1:13" s="48" customFormat="1" ht="12" customHeight="1">
      <c r="A32" s="134" t="s">
        <v>537</v>
      </c>
      <c r="B32" s="134" t="s">
        <v>1143</v>
      </c>
      <c r="C32" s="129" t="s">
        <v>316</v>
      </c>
      <c r="D32" s="129" t="s">
        <v>345</v>
      </c>
      <c r="E32" s="130" t="s">
        <v>297</v>
      </c>
      <c r="F32" s="267" t="s">
        <v>1033</v>
      </c>
      <c r="G32" s="130">
        <v>1502000</v>
      </c>
      <c r="H32" s="267" t="s">
        <v>352</v>
      </c>
      <c r="I32" s="297" t="s">
        <v>342</v>
      </c>
      <c r="J32" s="283"/>
      <c r="K32" s="280"/>
      <c r="L32" s="277"/>
      <c r="M32" s="291"/>
    </row>
    <row r="33" spans="1:13" s="48" customFormat="1" ht="12" customHeight="1">
      <c r="A33" s="134" t="s">
        <v>537</v>
      </c>
      <c r="B33" s="134" t="s">
        <v>1143</v>
      </c>
      <c r="C33" s="129" t="s">
        <v>316</v>
      </c>
      <c r="D33" s="129" t="s">
        <v>345</v>
      </c>
      <c r="E33" s="130" t="s">
        <v>297</v>
      </c>
      <c r="F33" s="267" t="s">
        <v>1034</v>
      </c>
      <c r="G33" s="130">
        <v>1502000</v>
      </c>
      <c r="H33" s="267" t="s">
        <v>353</v>
      </c>
      <c r="I33" s="297" t="s">
        <v>344</v>
      </c>
      <c r="J33" s="283"/>
      <c r="K33" s="280"/>
      <c r="L33" s="277"/>
      <c r="M33" s="291"/>
    </row>
    <row r="34" spans="1:13" s="48" customFormat="1" ht="12" customHeight="1">
      <c r="A34" s="134" t="s">
        <v>537</v>
      </c>
      <c r="B34" s="134" t="s">
        <v>1143</v>
      </c>
      <c r="C34" s="129" t="s">
        <v>316</v>
      </c>
      <c r="D34" s="129" t="s">
        <v>345</v>
      </c>
      <c r="E34" s="130" t="s">
        <v>297</v>
      </c>
      <c r="F34" s="267" t="s">
        <v>1035</v>
      </c>
      <c r="G34" s="130">
        <v>1502000</v>
      </c>
      <c r="H34" s="267" t="s">
        <v>996</v>
      </c>
      <c r="I34" s="297" t="s">
        <v>995</v>
      </c>
      <c r="J34" s="283"/>
      <c r="K34" s="280"/>
      <c r="L34" s="277"/>
    </row>
    <row r="35" spans="1:13" s="48" customFormat="1" ht="12" customHeight="1">
      <c r="A35" s="134" t="s">
        <v>537</v>
      </c>
      <c r="B35" s="134" t="s">
        <v>1143</v>
      </c>
      <c r="C35" s="129" t="s">
        <v>316</v>
      </c>
      <c r="D35" s="129" t="s">
        <v>354</v>
      </c>
      <c r="E35" s="130" t="s">
        <v>297</v>
      </c>
      <c r="F35" s="267" t="s">
        <v>1036</v>
      </c>
      <c r="G35" s="130">
        <v>1502000</v>
      </c>
      <c r="H35" s="267" t="s">
        <v>1147</v>
      </c>
      <c r="I35" s="297" t="s">
        <v>1148</v>
      </c>
      <c r="J35" s="283"/>
      <c r="K35" s="280"/>
      <c r="L35" s="277"/>
    </row>
    <row r="36" spans="1:13" s="48" customFormat="1" ht="12" customHeight="1">
      <c r="A36" s="134" t="s">
        <v>537</v>
      </c>
      <c r="B36" s="134" t="s">
        <v>1143</v>
      </c>
      <c r="C36" s="129" t="s">
        <v>316</v>
      </c>
      <c r="D36" s="129" t="s">
        <v>354</v>
      </c>
      <c r="E36" s="130" t="s">
        <v>297</v>
      </c>
      <c r="F36" s="267" t="s">
        <v>1037</v>
      </c>
      <c r="G36" s="130">
        <v>1502000</v>
      </c>
      <c r="H36" s="267" t="s">
        <v>356</v>
      </c>
      <c r="I36" s="297" t="s">
        <v>357</v>
      </c>
      <c r="J36" s="283"/>
      <c r="K36" s="280"/>
      <c r="L36" s="277"/>
    </row>
    <row r="37" spans="1:13" s="48" customFormat="1" ht="12" customHeight="1">
      <c r="A37" s="134" t="s">
        <v>537</v>
      </c>
      <c r="B37" s="134" t="s">
        <v>1143</v>
      </c>
      <c r="C37" s="129" t="s">
        <v>316</v>
      </c>
      <c r="D37" s="129" t="s">
        <v>354</v>
      </c>
      <c r="E37" s="130" t="s">
        <v>297</v>
      </c>
      <c r="F37" s="267" t="s">
        <v>1038</v>
      </c>
      <c r="G37" s="130">
        <v>1502000</v>
      </c>
      <c r="H37" s="267" t="s">
        <v>358</v>
      </c>
      <c r="I37" s="297" t="s">
        <v>359</v>
      </c>
      <c r="J37" s="283"/>
      <c r="K37" s="280"/>
      <c r="L37" s="277"/>
    </row>
    <row r="38" spans="1:13" s="78" customFormat="1" ht="12" customHeight="1">
      <c r="A38" s="134" t="s">
        <v>537</v>
      </c>
      <c r="B38" s="134" t="s">
        <v>1143</v>
      </c>
      <c r="C38" s="129" t="s">
        <v>316</v>
      </c>
      <c r="D38" s="129" t="s">
        <v>354</v>
      </c>
      <c r="E38" s="130" t="s">
        <v>297</v>
      </c>
      <c r="F38" s="267" t="s">
        <v>1039</v>
      </c>
      <c r="G38" s="130">
        <v>1502000</v>
      </c>
      <c r="H38" s="267" t="s">
        <v>360</v>
      </c>
      <c r="I38" s="297" t="s">
        <v>361</v>
      </c>
      <c r="J38" s="283"/>
      <c r="K38" s="280"/>
      <c r="L38" s="277"/>
    </row>
    <row r="39" spans="1:13" s="48" customFormat="1" ht="12" customHeight="1">
      <c r="A39" s="134" t="s">
        <v>537</v>
      </c>
      <c r="B39" s="134" t="s">
        <v>1143</v>
      </c>
      <c r="C39" s="129" t="s">
        <v>316</v>
      </c>
      <c r="D39" s="129" t="s">
        <v>354</v>
      </c>
      <c r="E39" s="130" t="s">
        <v>297</v>
      </c>
      <c r="F39" s="267" t="s">
        <v>1040</v>
      </c>
      <c r="G39" s="130">
        <v>1502000</v>
      </c>
      <c r="H39" s="267" t="s">
        <v>362</v>
      </c>
      <c r="I39" s="297" t="s">
        <v>363</v>
      </c>
      <c r="J39" s="283"/>
      <c r="K39" s="280"/>
      <c r="L39" s="277"/>
    </row>
    <row r="40" spans="1:13" s="48" customFormat="1" ht="12" customHeight="1">
      <c r="A40" s="134" t="s">
        <v>537</v>
      </c>
      <c r="B40" s="134" t="s">
        <v>1143</v>
      </c>
      <c r="C40" s="129" t="s">
        <v>316</v>
      </c>
      <c r="D40" s="129" t="s">
        <v>354</v>
      </c>
      <c r="E40" s="130" t="s">
        <v>297</v>
      </c>
      <c r="F40" s="267" t="s">
        <v>1041</v>
      </c>
      <c r="G40" s="130">
        <v>1502000</v>
      </c>
      <c r="H40" s="267" t="s">
        <v>364</v>
      </c>
      <c r="I40" s="297" t="s">
        <v>365</v>
      </c>
      <c r="J40" s="283"/>
      <c r="K40" s="280"/>
      <c r="L40" s="277"/>
    </row>
    <row r="41" spans="1:13" s="48" customFormat="1" ht="12" customHeight="1">
      <c r="A41" s="134" t="s">
        <v>537</v>
      </c>
      <c r="B41" s="134" t="s">
        <v>1143</v>
      </c>
      <c r="C41" s="129" t="s">
        <v>316</v>
      </c>
      <c r="D41" s="129" t="s">
        <v>354</v>
      </c>
      <c r="E41" s="130" t="s">
        <v>297</v>
      </c>
      <c r="F41" s="267" t="s">
        <v>1042</v>
      </c>
      <c r="G41" s="130">
        <v>1502000</v>
      </c>
      <c r="H41" s="267" t="s">
        <v>366</v>
      </c>
      <c r="I41" s="297" t="s">
        <v>367</v>
      </c>
      <c r="J41" s="283"/>
      <c r="K41" s="280"/>
      <c r="L41" s="277"/>
    </row>
    <row r="42" spans="1:13" s="48" customFormat="1" ht="12" customHeight="1">
      <c r="A42" s="134" t="s">
        <v>537</v>
      </c>
      <c r="B42" s="134" t="s">
        <v>1143</v>
      </c>
      <c r="C42" s="129" t="s">
        <v>316</v>
      </c>
      <c r="D42" s="129" t="s">
        <v>354</v>
      </c>
      <c r="E42" s="130" t="s">
        <v>297</v>
      </c>
      <c r="F42" s="267" t="s">
        <v>1043</v>
      </c>
      <c r="G42" s="130">
        <v>1502000</v>
      </c>
      <c r="H42" s="267" t="s">
        <v>368</v>
      </c>
      <c r="I42" s="297" t="s">
        <v>369</v>
      </c>
      <c r="J42" s="283"/>
      <c r="K42" s="280"/>
      <c r="L42" s="277"/>
    </row>
    <row r="43" spans="1:13" s="48" customFormat="1" ht="12" customHeight="1">
      <c r="A43" s="134" t="s">
        <v>537</v>
      </c>
      <c r="B43" s="134" t="s">
        <v>1143</v>
      </c>
      <c r="C43" s="129" t="s">
        <v>316</v>
      </c>
      <c r="D43" s="129" t="s">
        <v>370</v>
      </c>
      <c r="E43" s="130" t="s">
        <v>297</v>
      </c>
      <c r="F43" s="267" t="s">
        <v>1044</v>
      </c>
      <c r="G43" s="130">
        <v>1503040</v>
      </c>
      <c r="H43" s="130">
        <v>3.1</v>
      </c>
      <c r="I43" s="297" t="s">
        <v>10</v>
      </c>
      <c r="J43" s="276"/>
      <c r="K43" s="280"/>
      <c r="L43" s="277"/>
    </row>
    <row r="44" spans="1:13" s="48" customFormat="1" ht="12" customHeight="1">
      <c r="A44" s="134" t="s">
        <v>537</v>
      </c>
      <c r="B44" s="134" t="s">
        <v>1143</v>
      </c>
      <c r="C44" s="129" t="s">
        <v>316</v>
      </c>
      <c r="D44" s="129" t="s">
        <v>370</v>
      </c>
      <c r="E44" s="130" t="s">
        <v>297</v>
      </c>
      <c r="F44" s="267" t="s">
        <v>1045</v>
      </c>
      <c r="G44" s="130">
        <v>1503040</v>
      </c>
      <c r="H44" s="130">
        <v>3.2</v>
      </c>
      <c r="I44" s="297" t="s">
        <v>371</v>
      </c>
      <c r="J44" s="276"/>
      <c r="K44" s="280"/>
      <c r="L44" s="277"/>
    </row>
    <row r="45" spans="1:13" s="48" customFormat="1" ht="12" customHeight="1">
      <c r="A45" s="134" t="s">
        <v>537</v>
      </c>
      <c r="B45" s="134" t="s">
        <v>372</v>
      </c>
      <c r="C45" s="129" t="s">
        <v>316</v>
      </c>
      <c r="D45" s="129" t="s">
        <v>370</v>
      </c>
      <c r="E45" s="130" t="s">
        <v>297</v>
      </c>
      <c r="F45" s="267" t="s">
        <v>1046</v>
      </c>
      <c r="G45" s="130">
        <v>1503040</v>
      </c>
      <c r="H45" s="130">
        <v>3.3</v>
      </c>
      <c r="I45" s="297" t="s">
        <v>867</v>
      </c>
      <c r="J45" s="276"/>
      <c r="K45" s="280"/>
      <c r="L45" s="277"/>
    </row>
    <row r="46" spans="1:13" s="48" customFormat="1" ht="12" customHeight="1">
      <c r="A46" s="134" t="s">
        <v>537</v>
      </c>
      <c r="B46" s="134" t="s">
        <v>373</v>
      </c>
      <c r="C46" s="129" t="s">
        <v>374</v>
      </c>
      <c r="D46" s="129" t="s">
        <v>375</v>
      </c>
      <c r="E46" s="130" t="s">
        <v>297</v>
      </c>
      <c r="F46" s="267" t="s">
        <v>1047</v>
      </c>
      <c r="G46" s="130">
        <v>1601000</v>
      </c>
      <c r="H46" s="130">
        <v>3.1</v>
      </c>
      <c r="I46" s="297" t="s">
        <v>375</v>
      </c>
      <c r="J46" s="283"/>
      <c r="K46" s="280"/>
      <c r="L46" s="277"/>
    </row>
    <row r="47" spans="1:13" s="48" customFormat="1" ht="12" customHeight="1">
      <c r="A47" s="134" t="s">
        <v>537</v>
      </c>
      <c r="B47" s="134" t="s">
        <v>373</v>
      </c>
      <c r="C47" s="129" t="s">
        <v>374</v>
      </c>
      <c r="D47" s="129" t="s">
        <v>9</v>
      </c>
      <c r="E47" s="130" t="s">
        <v>297</v>
      </c>
      <c r="F47" s="267" t="s">
        <v>1048</v>
      </c>
      <c r="G47" s="130">
        <v>1601000</v>
      </c>
      <c r="H47" s="130">
        <v>3.2</v>
      </c>
      <c r="I47" s="297" t="s">
        <v>15</v>
      </c>
      <c r="J47" s="283"/>
      <c r="K47" s="280"/>
      <c r="L47" s="277"/>
    </row>
    <row r="48" spans="1:13" s="48" customFormat="1" ht="12" customHeight="1">
      <c r="A48" s="134" t="s">
        <v>537</v>
      </c>
      <c r="B48" s="134" t="s">
        <v>373</v>
      </c>
      <c r="C48" s="129" t="s">
        <v>374</v>
      </c>
      <c r="D48" s="129" t="s">
        <v>9</v>
      </c>
      <c r="E48" s="130" t="s">
        <v>297</v>
      </c>
      <c r="F48" s="267" t="s">
        <v>1049</v>
      </c>
      <c r="G48" s="130">
        <v>1601000</v>
      </c>
      <c r="H48" s="130">
        <v>3.3</v>
      </c>
      <c r="I48" s="297" t="s">
        <v>377</v>
      </c>
      <c r="J48" s="283"/>
      <c r="K48" s="280"/>
      <c r="L48" s="277"/>
    </row>
    <row r="49" spans="1:12" s="48" customFormat="1" ht="12" customHeight="1">
      <c r="A49" s="134" t="s">
        <v>537</v>
      </c>
      <c r="B49" s="134" t="s">
        <v>373</v>
      </c>
      <c r="C49" s="129" t="s">
        <v>374</v>
      </c>
      <c r="D49" s="129" t="s">
        <v>9</v>
      </c>
      <c r="E49" s="130" t="s">
        <v>297</v>
      </c>
      <c r="F49" s="267" t="s">
        <v>1050</v>
      </c>
      <c r="G49" s="130">
        <v>1601000</v>
      </c>
      <c r="H49" s="130">
        <v>3.4</v>
      </c>
      <c r="I49" s="297" t="s">
        <v>310</v>
      </c>
      <c r="J49" s="283"/>
      <c r="K49" s="280"/>
      <c r="L49" s="277"/>
    </row>
    <row r="50" spans="1:12" s="48" customFormat="1" ht="12" customHeight="1">
      <c r="A50" s="134" t="s">
        <v>537</v>
      </c>
      <c r="B50" s="134" t="s">
        <v>373</v>
      </c>
      <c r="C50" s="129" t="s">
        <v>378</v>
      </c>
      <c r="D50" s="129" t="s">
        <v>9</v>
      </c>
      <c r="E50" s="130" t="s">
        <v>297</v>
      </c>
      <c r="F50" s="267" t="s">
        <v>1051</v>
      </c>
      <c r="G50" s="130">
        <v>1602000</v>
      </c>
      <c r="H50" s="130">
        <v>3.1</v>
      </c>
      <c r="I50" s="297" t="s">
        <v>379</v>
      </c>
      <c r="J50" s="276"/>
      <c r="K50" s="280"/>
      <c r="L50" s="277"/>
    </row>
    <row r="51" spans="1:12" s="48" customFormat="1" ht="12" customHeight="1">
      <c r="A51" s="134" t="s">
        <v>537</v>
      </c>
      <c r="B51" s="134" t="s">
        <v>315</v>
      </c>
      <c r="C51" s="129" t="s">
        <v>378</v>
      </c>
      <c r="D51" s="129" t="s">
        <v>317</v>
      </c>
      <c r="E51" s="130" t="s">
        <v>297</v>
      </c>
      <c r="F51" s="267" t="s">
        <v>1052</v>
      </c>
      <c r="G51" s="133">
        <v>1602000</v>
      </c>
      <c r="H51" s="130">
        <v>3.2</v>
      </c>
      <c r="I51" s="297" t="s">
        <v>991</v>
      </c>
      <c r="J51" s="282"/>
      <c r="K51" s="280"/>
      <c r="L51" s="277"/>
    </row>
    <row r="52" spans="1:12" s="48" customFormat="1" ht="12" customHeight="1">
      <c r="A52" s="134" t="s">
        <v>537</v>
      </c>
      <c r="B52" s="134" t="s">
        <v>315</v>
      </c>
      <c r="C52" s="129" t="s">
        <v>378</v>
      </c>
      <c r="D52" s="129" t="s">
        <v>9</v>
      </c>
      <c r="E52" s="130" t="s">
        <v>297</v>
      </c>
      <c r="F52" s="267" t="s">
        <v>1053</v>
      </c>
      <c r="G52" s="130">
        <v>1602000</v>
      </c>
      <c r="H52" s="130">
        <v>3.3</v>
      </c>
      <c r="I52" s="297" t="s">
        <v>371</v>
      </c>
      <c r="J52" s="276"/>
      <c r="K52" s="280"/>
      <c r="L52" s="277"/>
    </row>
    <row r="53" spans="1:12" s="78" customFormat="1" ht="12" customHeight="1">
      <c r="A53" s="134" t="s">
        <v>537</v>
      </c>
      <c r="B53" s="134" t="s">
        <v>373</v>
      </c>
      <c r="C53" s="129" t="s">
        <v>378</v>
      </c>
      <c r="D53" s="129" t="s">
        <v>354</v>
      </c>
      <c r="E53" s="130" t="s">
        <v>297</v>
      </c>
      <c r="F53" s="267" t="s">
        <v>1054</v>
      </c>
      <c r="G53" s="130">
        <v>1602000</v>
      </c>
      <c r="H53" s="130">
        <v>3.4</v>
      </c>
      <c r="I53" s="297" t="s">
        <v>383</v>
      </c>
      <c r="J53" s="276"/>
      <c r="K53" s="280"/>
      <c r="L53" s="277"/>
    </row>
    <row r="54" spans="1:12" s="125" customFormat="1" ht="12" customHeight="1">
      <c r="A54" s="134" t="s">
        <v>537</v>
      </c>
      <c r="B54" s="134" t="s">
        <v>373</v>
      </c>
      <c r="C54" s="129" t="s">
        <v>378</v>
      </c>
      <c r="D54" s="129" t="s">
        <v>354</v>
      </c>
      <c r="E54" s="130" t="s">
        <v>297</v>
      </c>
      <c r="F54" s="267" t="s">
        <v>1055</v>
      </c>
      <c r="G54" s="133">
        <v>1602000</v>
      </c>
      <c r="H54" s="133">
        <v>3.5</v>
      </c>
      <c r="I54" s="297" t="s">
        <v>384</v>
      </c>
      <c r="J54" s="276"/>
      <c r="K54" s="280"/>
      <c r="L54" s="277"/>
    </row>
    <row r="55" spans="1:12" s="48" customFormat="1" ht="12" customHeight="1">
      <c r="A55" s="134" t="s">
        <v>537</v>
      </c>
      <c r="B55" s="134" t="s">
        <v>385</v>
      </c>
      <c r="C55" s="129" t="s">
        <v>386</v>
      </c>
      <c r="D55" s="129" t="s">
        <v>11</v>
      </c>
      <c r="E55" s="130" t="s">
        <v>297</v>
      </c>
      <c r="F55" s="267" t="s">
        <v>1056</v>
      </c>
      <c r="G55" s="130">
        <v>1700000</v>
      </c>
      <c r="H55" s="130" t="s">
        <v>299</v>
      </c>
      <c r="I55" s="297" t="s">
        <v>387</v>
      </c>
      <c r="J55" s="282"/>
      <c r="K55" s="280"/>
      <c r="L55" s="277"/>
    </row>
    <row r="56" spans="1:12" s="48" customFormat="1" ht="12" customHeight="1">
      <c r="A56" s="134" t="s">
        <v>537</v>
      </c>
      <c r="B56" s="134" t="s">
        <v>385</v>
      </c>
      <c r="C56" s="129" t="s">
        <v>386</v>
      </c>
      <c r="D56" s="129" t="s">
        <v>11</v>
      </c>
      <c r="E56" s="130" t="s">
        <v>297</v>
      </c>
      <c r="F56" s="267" t="s">
        <v>1057</v>
      </c>
      <c r="G56" s="130">
        <v>1700000</v>
      </c>
      <c r="H56" s="130" t="s">
        <v>302</v>
      </c>
      <c r="I56" s="297" t="s">
        <v>388</v>
      </c>
      <c r="J56" s="282"/>
      <c r="K56" s="280"/>
      <c r="L56" s="277"/>
    </row>
    <row r="57" spans="1:12" s="48" customFormat="1" ht="12" customHeight="1">
      <c r="A57" s="134" t="s">
        <v>537</v>
      </c>
      <c r="B57" s="134" t="s">
        <v>385</v>
      </c>
      <c r="C57" s="129" t="s">
        <v>386</v>
      </c>
      <c r="D57" s="129" t="s">
        <v>17</v>
      </c>
      <c r="E57" s="130" t="s">
        <v>297</v>
      </c>
      <c r="F57" s="267" t="s">
        <v>1058</v>
      </c>
      <c r="G57" s="130">
        <v>1700000</v>
      </c>
      <c r="H57" s="130" t="s">
        <v>380</v>
      </c>
      <c r="I57" s="297" t="s">
        <v>389</v>
      </c>
      <c r="J57" s="282"/>
      <c r="K57" s="280"/>
      <c r="L57" s="277"/>
    </row>
    <row r="58" spans="1:12" s="48" customFormat="1" ht="12" customHeight="1">
      <c r="A58" s="134" t="s">
        <v>537</v>
      </c>
      <c r="B58" s="134" t="s">
        <v>385</v>
      </c>
      <c r="C58" s="129" t="s">
        <v>386</v>
      </c>
      <c r="D58" s="129" t="s">
        <v>17</v>
      </c>
      <c r="E58" s="130" t="s">
        <v>297</v>
      </c>
      <c r="F58" s="267" t="s">
        <v>1059</v>
      </c>
      <c r="G58" s="130">
        <v>1700000</v>
      </c>
      <c r="H58" s="130" t="s">
        <v>381</v>
      </c>
      <c r="I58" s="297" t="s">
        <v>1140</v>
      </c>
      <c r="J58" s="282"/>
      <c r="K58" s="280"/>
      <c r="L58" s="277"/>
    </row>
    <row r="59" spans="1:12" s="48" customFormat="1" ht="12" customHeight="1">
      <c r="A59" s="134" t="s">
        <v>537</v>
      </c>
      <c r="B59" s="134" t="s">
        <v>385</v>
      </c>
      <c r="C59" s="129" t="s">
        <v>386</v>
      </c>
      <c r="D59" s="129" t="s">
        <v>390</v>
      </c>
      <c r="E59" s="130" t="s">
        <v>297</v>
      </c>
      <c r="F59" s="267" t="s">
        <v>1060</v>
      </c>
      <c r="G59" s="135">
        <v>1700000</v>
      </c>
      <c r="H59" s="130" t="s">
        <v>391</v>
      </c>
      <c r="I59" s="297" t="s">
        <v>392</v>
      </c>
      <c r="J59" s="282"/>
      <c r="K59" s="280"/>
      <c r="L59" s="277"/>
    </row>
    <row r="60" spans="1:12" s="48" customFormat="1" ht="12" customHeight="1">
      <c r="A60" s="134" t="s">
        <v>537</v>
      </c>
      <c r="B60" s="134" t="s">
        <v>385</v>
      </c>
      <c r="C60" s="129" t="s">
        <v>386</v>
      </c>
      <c r="D60" s="129" t="s">
        <v>393</v>
      </c>
      <c r="E60" s="130" t="s">
        <v>297</v>
      </c>
      <c r="F60" s="267" t="s">
        <v>1061</v>
      </c>
      <c r="G60" s="135">
        <v>1700000</v>
      </c>
      <c r="H60" s="130" t="s">
        <v>394</v>
      </c>
      <c r="I60" s="297" t="s">
        <v>395</v>
      </c>
      <c r="J60" s="282"/>
      <c r="K60" s="280"/>
      <c r="L60" s="277"/>
    </row>
    <row r="61" spans="1:12" s="48" customFormat="1" ht="12" customHeight="1">
      <c r="A61" s="134" t="s">
        <v>537</v>
      </c>
      <c r="B61" s="134" t="s">
        <v>385</v>
      </c>
      <c r="C61" s="129" t="s">
        <v>386</v>
      </c>
      <c r="D61" s="129" t="s">
        <v>393</v>
      </c>
      <c r="E61" s="130" t="s">
        <v>297</v>
      </c>
      <c r="F61" s="267" t="s">
        <v>1062</v>
      </c>
      <c r="G61" s="135">
        <v>1700000</v>
      </c>
      <c r="H61" s="130" t="s">
        <v>396</v>
      </c>
      <c r="I61" s="297" t="s">
        <v>397</v>
      </c>
      <c r="J61" s="282"/>
      <c r="K61" s="280"/>
      <c r="L61" s="277"/>
    </row>
    <row r="62" spans="1:12" s="48" customFormat="1" ht="12" customHeight="1">
      <c r="A62" s="134" t="s">
        <v>537</v>
      </c>
      <c r="B62" s="134" t="s">
        <v>385</v>
      </c>
      <c r="C62" s="129" t="s">
        <v>386</v>
      </c>
      <c r="D62" s="129" t="s">
        <v>393</v>
      </c>
      <c r="E62" s="130" t="s">
        <v>297</v>
      </c>
      <c r="F62" s="267" t="s">
        <v>1063</v>
      </c>
      <c r="G62" s="135" t="s">
        <v>398</v>
      </c>
      <c r="H62" s="130" t="s">
        <v>399</v>
      </c>
      <c r="I62" s="297" t="s">
        <v>400</v>
      </c>
      <c r="J62" s="282"/>
      <c r="K62" s="280"/>
      <c r="L62" s="277"/>
    </row>
    <row r="63" spans="1:12" s="48" customFormat="1" ht="12" customHeight="1">
      <c r="A63" s="134" t="s">
        <v>537</v>
      </c>
      <c r="B63" s="134" t="s">
        <v>385</v>
      </c>
      <c r="C63" s="129" t="s">
        <v>386</v>
      </c>
      <c r="D63" s="129" t="s">
        <v>393</v>
      </c>
      <c r="E63" s="130" t="s">
        <v>297</v>
      </c>
      <c r="F63" s="267" t="s">
        <v>1064</v>
      </c>
      <c r="G63" s="135">
        <v>1700000</v>
      </c>
      <c r="H63" s="130" t="s">
        <v>401</v>
      </c>
      <c r="I63" s="297" t="s">
        <v>402</v>
      </c>
      <c r="J63" s="282"/>
      <c r="K63" s="280"/>
      <c r="L63" s="277"/>
    </row>
    <row r="64" spans="1:12" s="48" customFormat="1" ht="12" customHeight="1">
      <c r="A64" s="134" t="s">
        <v>537</v>
      </c>
      <c r="B64" s="134" t="s">
        <v>385</v>
      </c>
      <c r="C64" s="129" t="s">
        <v>386</v>
      </c>
      <c r="D64" s="129" t="s">
        <v>393</v>
      </c>
      <c r="E64" s="130" t="s">
        <v>297</v>
      </c>
      <c r="F64" s="267" t="s">
        <v>1065</v>
      </c>
      <c r="G64" s="135">
        <v>1700000</v>
      </c>
      <c r="H64" s="130" t="s">
        <v>322</v>
      </c>
      <c r="I64" s="297" t="s">
        <v>403</v>
      </c>
      <c r="J64" s="284"/>
      <c r="K64" s="280"/>
      <c r="L64" s="277"/>
    </row>
    <row r="65" spans="1:12" s="48" customFormat="1" ht="12" customHeight="1">
      <c r="A65" s="134" t="s">
        <v>537</v>
      </c>
      <c r="B65" s="134" t="s">
        <v>406</v>
      </c>
      <c r="C65" s="129" t="s">
        <v>404</v>
      </c>
      <c r="D65" s="129" t="s">
        <v>9</v>
      </c>
      <c r="E65" s="130" t="s">
        <v>297</v>
      </c>
      <c r="F65" s="267" t="s">
        <v>1066</v>
      </c>
      <c r="G65" s="135" t="s">
        <v>405</v>
      </c>
      <c r="H65" s="130">
        <v>3.1</v>
      </c>
      <c r="I65" s="297" t="s">
        <v>19</v>
      </c>
      <c r="J65" s="276"/>
      <c r="K65" s="280"/>
      <c r="L65" s="277"/>
    </row>
    <row r="66" spans="1:12" s="48" customFormat="1" ht="12" customHeight="1">
      <c r="A66" s="134" t="s">
        <v>537</v>
      </c>
      <c r="B66" s="134" t="s">
        <v>406</v>
      </c>
      <c r="C66" s="129" t="s">
        <v>404</v>
      </c>
      <c r="D66" s="129" t="s">
        <v>9</v>
      </c>
      <c r="E66" s="130" t="s">
        <v>297</v>
      </c>
      <c r="F66" s="267" t="s">
        <v>1067</v>
      </c>
      <c r="G66" s="135" t="s">
        <v>405</v>
      </c>
      <c r="H66" s="130">
        <v>3.2</v>
      </c>
      <c r="I66" s="297" t="s">
        <v>20</v>
      </c>
      <c r="J66" s="276"/>
      <c r="K66" s="280"/>
      <c r="L66" s="277"/>
    </row>
    <row r="67" spans="1:12" s="48" customFormat="1" ht="12" customHeight="1">
      <c r="A67" s="134" t="s">
        <v>537</v>
      </c>
      <c r="B67" s="134" t="s">
        <v>406</v>
      </c>
      <c r="C67" s="129" t="s">
        <v>404</v>
      </c>
      <c r="D67" s="129" t="s">
        <v>9</v>
      </c>
      <c r="E67" s="130" t="s">
        <v>297</v>
      </c>
      <c r="F67" s="267" t="s">
        <v>1068</v>
      </c>
      <c r="G67" s="135" t="s">
        <v>405</v>
      </c>
      <c r="H67" s="130">
        <v>3.3</v>
      </c>
      <c r="I67" s="297" t="s">
        <v>21</v>
      </c>
      <c r="J67" s="276"/>
      <c r="K67" s="280"/>
      <c r="L67" s="277"/>
    </row>
    <row r="68" spans="1:12" s="48" customFormat="1" ht="12" customHeight="1">
      <c r="A68" s="134" t="s">
        <v>537</v>
      </c>
      <c r="B68" s="127" t="s">
        <v>1142</v>
      </c>
      <c r="C68" s="129" t="s">
        <v>316</v>
      </c>
      <c r="D68" s="129" t="s">
        <v>317</v>
      </c>
      <c r="E68" s="130" t="s">
        <v>297</v>
      </c>
      <c r="F68" s="267" t="s">
        <v>1069</v>
      </c>
      <c r="G68" s="130">
        <v>1502000</v>
      </c>
      <c r="H68" s="267">
        <v>3.1</v>
      </c>
      <c r="I68" s="297" t="s">
        <v>991</v>
      </c>
      <c r="J68" s="282"/>
      <c r="K68" s="280"/>
      <c r="L68" s="277"/>
    </row>
    <row r="69" spans="1:12" s="125" customFormat="1" ht="12" customHeight="1">
      <c r="A69" s="134" t="s">
        <v>537</v>
      </c>
      <c r="B69" s="127" t="s">
        <v>1142</v>
      </c>
      <c r="C69" s="129" t="s">
        <v>316</v>
      </c>
      <c r="D69" s="129" t="s">
        <v>319</v>
      </c>
      <c r="E69" s="130" t="s">
        <v>297</v>
      </c>
      <c r="F69" s="267" t="s">
        <v>1070</v>
      </c>
      <c r="G69" s="130">
        <v>1502000</v>
      </c>
      <c r="H69" s="267" t="s">
        <v>324</v>
      </c>
      <c r="I69" s="297" t="s">
        <v>325</v>
      </c>
      <c r="J69" s="283"/>
      <c r="K69" s="280"/>
      <c r="L69" s="277"/>
    </row>
    <row r="70" spans="1:12" s="48" customFormat="1" ht="12" customHeight="1">
      <c r="A70" s="134" t="s">
        <v>537</v>
      </c>
      <c r="B70" s="127" t="s">
        <v>1142</v>
      </c>
      <c r="C70" s="127" t="s">
        <v>316</v>
      </c>
      <c r="D70" s="129" t="s">
        <v>319</v>
      </c>
      <c r="E70" s="130" t="s">
        <v>297</v>
      </c>
      <c r="F70" s="267" t="s">
        <v>1071</v>
      </c>
      <c r="G70" s="130">
        <v>1502000</v>
      </c>
      <c r="H70" s="267" t="s">
        <v>330</v>
      </c>
      <c r="I70" s="297" t="s">
        <v>331</v>
      </c>
      <c r="J70" s="283"/>
      <c r="K70" s="280"/>
      <c r="L70" s="277"/>
    </row>
    <row r="71" spans="1:12" s="78" customFormat="1" ht="12" customHeight="1">
      <c r="A71" s="134" t="s">
        <v>537</v>
      </c>
      <c r="B71" s="127" t="s">
        <v>1142</v>
      </c>
      <c r="C71" s="129" t="s">
        <v>316</v>
      </c>
      <c r="D71" s="129" t="s">
        <v>319</v>
      </c>
      <c r="E71" s="130" t="s">
        <v>297</v>
      </c>
      <c r="F71" s="267" t="s">
        <v>1072</v>
      </c>
      <c r="G71" s="130">
        <v>1502000</v>
      </c>
      <c r="H71" s="267" t="s">
        <v>336</v>
      </c>
      <c r="I71" s="297" t="s">
        <v>337</v>
      </c>
      <c r="J71" s="283"/>
      <c r="K71" s="280"/>
      <c r="L71" s="277"/>
    </row>
    <row r="72" spans="1:12" s="48" customFormat="1" ht="12" customHeight="1">
      <c r="A72" s="134" t="s">
        <v>537</v>
      </c>
      <c r="B72" s="127" t="s">
        <v>1142</v>
      </c>
      <c r="C72" s="129" t="s">
        <v>316</v>
      </c>
      <c r="D72" s="129" t="s">
        <v>345</v>
      </c>
      <c r="E72" s="130" t="s">
        <v>297</v>
      </c>
      <c r="F72" s="267" t="s">
        <v>1073</v>
      </c>
      <c r="G72" s="130">
        <v>1502000</v>
      </c>
      <c r="H72" s="267" t="s">
        <v>346</v>
      </c>
      <c r="I72" s="297" t="s">
        <v>347</v>
      </c>
      <c r="J72" s="283"/>
      <c r="K72" s="280"/>
      <c r="L72" s="277"/>
    </row>
    <row r="73" spans="1:12" s="48" customFormat="1" ht="12" customHeight="1">
      <c r="A73" s="134" t="s">
        <v>537</v>
      </c>
      <c r="B73" s="127" t="s">
        <v>1142</v>
      </c>
      <c r="C73" s="129" t="s">
        <v>316</v>
      </c>
      <c r="D73" s="129" t="s">
        <v>345</v>
      </c>
      <c r="E73" s="130" t="s">
        <v>297</v>
      </c>
      <c r="F73" s="267" t="s">
        <v>1074</v>
      </c>
      <c r="G73" s="130">
        <v>1502000</v>
      </c>
      <c r="H73" s="267" t="s">
        <v>348</v>
      </c>
      <c r="I73" s="297" t="s">
        <v>349</v>
      </c>
      <c r="J73" s="283"/>
      <c r="K73" s="280"/>
      <c r="L73" s="277"/>
    </row>
    <row r="74" spans="1:12" s="125" customFormat="1" ht="12" customHeight="1">
      <c r="A74" s="134" t="s">
        <v>537</v>
      </c>
      <c r="B74" s="127" t="s">
        <v>1142</v>
      </c>
      <c r="C74" s="129" t="s">
        <v>316</v>
      </c>
      <c r="D74" s="129" t="s">
        <v>354</v>
      </c>
      <c r="E74" s="130" t="s">
        <v>297</v>
      </c>
      <c r="F74" s="267" t="s">
        <v>1075</v>
      </c>
      <c r="G74" s="130">
        <v>1502000</v>
      </c>
      <c r="H74" s="267" t="s">
        <v>1147</v>
      </c>
      <c r="I74" s="297" t="s">
        <v>1148</v>
      </c>
      <c r="J74" s="283"/>
      <c r="K74" s="280"/>
      <c r="L74" s="277"/>
    </row>
    <row r="75" spans="1:12" s="125" customFormat="1" ht="12" customHeight="1">
      <c r="A75" s="134" t="s">
        <v>537</v>
      </c>
      <c r="B75" s="127" t="s">
        <v>1142</v>
      </c>
      <c r="C75" s="129" t="s">
        <v>316</v>
      </c>
      <c r="D75" s="129" t="s">
        <v>354</v>
      </c>
      <c r="E75" s="130" t="s">
        <v>297</v>
      </c>
      <c r="F75" s="267" t="s">
        <v>1076</v>
      </c>
      <c r="G75" s="130">
        <v>1502000</v>
      </c>
      <c r="H75" s="267" t="s">
        <v>356</v>
      </c>
      <c r="I75" s="297" t="s">
        <v>357</v>
      </c>
      <c r="J75" s="283"/>
      <c r="K75" s="280"/>
      <c r="L75" s="277"/>
    </row>
    <row r="76" spans="1:12" s="78" customFormat="1" ht="12" customHeight="1">
      <c r="A76" s="134" t="s">
        <v>537</v>
      </c>
      <c r="B76" s="127" t="s">
        <v>1142</v>
      </c>
      <c r="C76" s="129" t="s">
        <v>316</v>
      </c>
      <c r="D76" s="129" t="s">
        <v>354</v>
      </c>
      <c r="E76" s="130" t="s">
        <v>297</v>
      </c>
      <c r="F76" s="267" t="s">
        <v>1077</v>
      </c>
      <c r="G76" s="130">
        <v>1502000</v>
      </c>
      <c r="H76" s="267" t="s">
        <v>364</v>
      </c>
      <c r="I76" s="297" t="s">
        <v>365</v>
      </c>
      <c r="J76" s="283"/>
      <c r="K76" s="280"/>
      <c r="L76" s="277"/>
    </row>
    <row r="77" spans="1:12" s="78" customFormat="1" ht="12" customHeight="1">
      <c r="A77" s="134" t="s">
        <v>537</v>
      </c>
      <c r="B77" s="127" t="s">
        <v>1142</v>
      </c>
      <c r="C77" s="129" t="s">
        <v>316</v>
      </c>
      <c r="D77" s="129" t="s">
        <v>354</v>
      </c>
      <c r="E77" s="130" t="s">
        <v>297</v>
      </c>
      <c r="F77" s="267" t="s">
        <v>1078</v>
      </c>
      <c r="G77" s="130">
        <v>1502000</v>
      </c>
      <c r="H77" s="267" t="s">
        <v>366</v>
      </c>
      <c r="I77" s="297" t="s">
        <v>367</v>
      </c>
      <c r="J77" s="283"/>
      <c r="K77" s="280"/>
      <c r="L77" s="277"/>
    </row>
    <row r="78" spans="1:12" s="48" customFormat="1" ht="12" customHeight="1">
      <c r="A78" s="134" t="s">
        <v>537</v>
      </c>
      <c r="B78" s="127" t="s">
        <v>1142</v>
      </c>
      <c r="C78" s="129" t="s">
        <v>316</v>
      </c>
      <c r="D78" s="129" t="s">
        <v>354</v>
      </c>
      <c r="E78" s="130" t="s">
        <v>297</v>
      </c>
      <c r="F78" s="267" t="s">
        <v>1079</v>
      </c>
      <c r="G78" s="130">
        <v>1502000</v>
      </c>
      <c r="H78" s="267" t="s">
        <v>418</v>
      </c>
      <c r="I78" s="297" t="s">
        <v>419</v>
      </c>
      <c r="J78" s="282"/>
      <c r="K78" s="280"/>
      <c r="L78" s="277"/>
    </row>
    <row r="79" spans="1:12" s="48" customFormat="1" ht="12" customHeight="1">
      <c r="A79" s="134" t="s">
        <v>537</v>
      </c>
      <c r="B79" s="127" t="s">
        <v>1142</v>
      </c>
      <c r="C79" s="129" t="s">
        <v>316</v>
      </c>
      <c r="D79" s="129" t="s">
        <v>354</v>
      </c>
      <c r="E79" s="130" t="s">
        <v>297</v>
      </c>
      <c r="F79" s="267" t="s">
        <v>1080</v>
      </c>
      <c r="G79" s="130">
        <v>1502000</v>
      </c>
      <c r="H79" s="267" t="s">
        <v>421</v>
      </c>
      <c r="I79" s="297" t="s">
        <v>422</v>
      </c>
      <c r="J79" s="283"/>
      <c r="K79" s="280"/>
      <c r="L79" s="277"/>
    </row>
    <row r="80" spans="1:12" s="48" customFormat="1" ht="12" customHeight="1">
      <c r="A80" s="134" t="s">
        <v>537</v>
      </c>
      <c r="B80" s="134" t="s">
        <v>726</v>
      </c>
      <c r="C80" s="127" t="s">
        <v>423</v>
      </c>
      <c r="D80" s="129" t="s">
        <v>319</v>
      </c>
      <c r="E80" s="130" t="s">
        <v>297</v>
      </c>
      <c r="F80" s="267" t="s">
        <v>1081</v>
      </c>
      <c r="G80" s="130">
        <v>1502000</v>
      </c>
      <c r="H80" s="267" t="s">
        <v>336</v>
      </c>
      <c r="I80" s="297" t="s">
        <v>337</v>
      </c>
      <c r="J80" s="283"/>
      <c r="K80" s="280"/>
      <c r="L80" s="277"/>
    </row>
    <row r="81" spans="1:12" s="48" customFormat="1" ht="12" customHeight="1">
      <c r="A81" s="134" t="s">
        <v>537</v>
      </c>
      <c r="B81" s="134" t="s">
        <v>726</v>
      </c>
      <c r="C81" s="127" t="s">
        <v>316</v>
      </c>
      <c r="D81" s="129" t="s">
        <v>319</v>
      </c>
      <c r="E81" s="130" t="s">
        <v>297</v>
      </c>
      <c r="F81" s="267" t="s">
        <v>1082</v>
      </c>
      <c r="G81" s="130">
        <v>1502000</v>
      </c>
      <c r="H81" s="267" t="s">
        <v>330</v>
      </c>
      <c r="I81" s="297" t="s">
        <v>331</v>
      </c>
      <c r="J81" s="283"/>
      <c r="K81" s="280"/>
      <c r="L81" s="277"/>
    </row>
    <row r="82" spans="1:12" s="48" customFormat="1" ht="12" customHeight="1">
      <c r="A82" s="134" t="s">
        <v>537</v>
      </c>
      <c r="B82" s="127" t="s">
        <v>1144</v>
      </c>
      <c r="C82" s="127" t="s">
        <v>316</v>
      </c>
      <c r="D82" s="129" t="s">
        <v>319</v>
      </c>
      <c r="E82" s="130" t="s">
        <v>297</v>
      </c>
      <c r="F82" s="267" t="s">
        <v>1083</v>
      </c>
      <c r="G82" s="130">
        <v>1502000</v>
      </c>
      <c r="H82" s="267" t="s">
        <v>328</v>
      </c>
      <c r="I82" s="297" t="s">
        <v>329</v>
      </c>
      <c r="J82" s="283"/>
      <c r="K82" s="280"/>
      <c r="L82" s="277"/>
    </row>
    <row r="83" spans="1:12" s="48" customFormat="1" ht="12" customHeight="1">
      <c r="A83" s="134" t="s">
        <v>537</v>
      </c>
      <c r="B83" s="127" t="s">
        <v>1144</v>
      </c>
      <c r="C83" s="127" t="s">
        <v>316</v>
      </c>
      <c r="D83" s="129" t="s">
        <v>319</v>
      </c>
      <c r="E83" s="130" t="s">
        <v>297</v>
      </c>
      <c r="F83" s="267" t="s">
        <v>1136</v>
      </c>
      <c r="G83" s="130">
        <v>1502000</v>
      </c>
      <c r="H83" s="267" t="s">
        <v>330</v>
      </c>
      <c r="I83" s="297" t="s">
        <v>331</v>
      </c>
      <c r="J83" s="283"/>
      <c r="K83" s="280"/>
      <c r="L83" s="277"/>
    </row>
    <row r="84" spans="1:12" s="48" customFormat="1" ht="12" customHeight="1">
      <c r="A84" s="134" t="s">
        <v>537</v>
      </c>
      <c r="B84" s="127" t="s">
        <v>1144</v>
      </c>
      <c r="C84" s="127" t="s">
        <v>316</v>
      </c>
      <c r="D84" s="129" t="s">
        <v>319</v>
      </c>
      <c r="E84" s="130" t="s">
        <v>297</v>
      </c>
      <c r="F84" s="267" t="s">
        <v>1145</v>
      </c>
      <c r="G84" s="130">
        <v>1502000</v>
      </c>
      <c r="H84" s="267" t="s">
        <v>336</v>
      </c>
      <c r="I84" s="297" t="s">
        <v>337</v>
      </c>
      <c r="J84" s="283"/>
      <c r="K84" s="280"/>
      <c r="L84" s="277"/>
    </row>
    <row r="85" spans="1:12" s="48" customFormat="1" ht="12" customHeight="1">
      <c r="A85" s="134" t="s">
        <v>537</v>
      </c>
      <c r="B85" s="127" t="s">
        <v>1144</v>
      </c>
      <c r="C85" s="127" t="s">
        <v>316</v>
      </c>
      <c r="D85" s="129" t="s">
        <v>345</v>
      </c>
      <c r="E85" s="130" t="s">
        <v>297</v>
      </c>
      <c r="F85" s="267" t="s">
        <v>1146</v>
      </c>
      <c r="G85" s="130">
        <v>1502000</v>
      </c>
      <c r="H85" s="130" t="s">
        <v>346</v>
      </c>
      <c r="I85" s="297" t="s">
        <v>347</v>
      </c>
      <c r="J85" s="283"/>
      <c r="K85" s="280"/>
      <c r="L85" s="277"/>
    </row>
    <row r="86" spans="1:12" s="48" customFormat="1" ht="12" customHeight="1">
      <c r="A86" s="127" t="s">
        <v>426</v>
      </c>
      <c r="B86" s="127" t="s">
        <v>426</v>
      </c>
      <c r="C86" s="129" t="s">
        <v>386</v>
      </c>
      <c r="D86" s="129" t="s">
        <v>18</v>
      </c>
      <c r="E86" s="130" t="s">
        <v>308</v>
      </c>
      <c r="F86" s="267" t="s">
        <v>309</v>
      </c>
      <c r="G86" s="135">
        <v>1700000</v>
      </c>
      <c r="H86" s="130" t="s">
        <v>394</v>
      </c>
      <c r="I86" s="299" t="s">
        <v>395</v>
      </c>
      <c r="J86" s="282"/>
      <c r="K86" s="280"/>
      <c r="L86" s="277"/>
    </row>
    <row r="87" spans="1:12" s="48" customFormat="1" ht="12" customHeight="1">
      <c r="A87" s="127" t="s">
        <v>426</v>
      </c>
      <c r="B87" s="127" t="s">
        <v>426</v>
      </c>
      <c r="C87" s="129" t="s">
        <v>386</v>
      </c>
      <c r="D87" s="129" t="s">
        <v>18</v>
      </c>
      <c r="E87" s="130" t="s">
        <v>308</v>
      </c>
      <c r="F87" s="267" t="s">
        <v>311</v>
      </c>
      <c r="G87" s="135">
        <v>1700000</v>
      </c>
      <c r="H87" s="130" t="s">
        <v>399</v>
      </c>
      <c r="I87" s="299" t="s">
        <v>400</v>
      </c>
      <c r="J87" s="282"/>
      <c r="K87" s="280"/>
      <c r="L87" s="277"/>
    </row>
    <row r="88" spans="1:12" s="48" customFormat="1" ht="12" customHeight="1">
      <c r="A88" s="127" t="s">
        <v>426</v>
      </c>
      <c r="B88" s="127" t="s">
        <v>426</v>
      </c>
      <c r="C88" s="129" t="s">
        <v>404</v>
      </c>
      <c r="D88" s="129" t="s">
        <v>9</v>
      </c>
      <c r="E88" s="130" t="s">
        <v>308</v>
      </c>
      <c r="F88" s="267" t="s">
        <v>313</v>
      </c>
      <c r="G88" s="135" t="s">
        <v>405</v>
      </c>
      <c r="H88" s="130">
        <v>3.2</v>
      </c>
      <c r="I88" s="299" t="s">
        <v>20</v>
      </c>
      <c r="J88" s="276"/>
      <c r="K88" s="280"/>
      <c r="L88" s="277"/>
    </row>
    <row r="89" spans="1:12" s="48" customFormat="1" ht="12" customHeight="1">
      <c r="A89" s="127" t="s">
        <v>431</v>
      </c>
      <c r="B89" s="127" t="s">
        <v>431</v>
      </c>
      <c r="C89" s="127" t="s">
        <v>307</v>
      </c>
      <c r="D89" s="270" t="s">
        <v>9</v>
      </c>
      <c r="E89" s="130" t="s">
        <v>407</v>
      </c>
      <c r="F89" s="267" t="s">
        <v>1002</v>
      </c>
      <c r="G89" s="130" t="s">
        <v>434</v>
      </c>
      <c r="H89" s="130" t="s">
        <v>435</v>
      </c>
      <c r="I89" s="297" t="s">
        <v>436</v>
      </c>
      <c r="J89" s="283"/>
      <c r="K89" s="280"/>
      <c r="L89" s="277"/>
    </row>
    <row r="90" spans="1:12" s="48" customFormat="1" ht="12" customHeight="1">
      <c r="A90" s="127" t="s">
        <v>431</v>
      </c>
      <c r="B90" s="127" t="s">
        <v>431</v>
      </c>
      <c r="C90" s="127" t="s">
        <v>437</v>
      </c>
      <c r="D90" s="129" t="s">
        <v>317</v>
      </c>
      <c r="E90" s="130" t="s">
        <v>407</v>
      </c>
      <c r="F90" s="267" t="s">
        <v>408</v>
      </c>
      <c r="G90" s="130" t="s">
        <v>438</v>
      </c>
      <c r="H90" s="130">
        <v>3.1</v>
      </c>
      <c r="I90" s="297" t="s">
        <v>991</v>
      </c>
      <c r="J90" s="283"/>
      <c r="K90" s="280"/>
      <c r="L90" s="277"/>
    </row>
    <row r="91" spans="1:12" s="48" customFormat="1" ht="12" customHeight="1">
      <c r="A91" s="127" t="s">
        <v>431</v>
      </c>
      <c r="B91" s="127" t="s">
        <v>431</v>
      </c>
      <c r="C91" s="127" t="s">
        <v>437</v>
      </c>
      <c r="D91" s="127" t="s">
        <v>9</v>
      </c>
      <c r="E91" s="130" t="s">
        <v>407</v>
      </c>
      <c r="F91" s="267" t="s">
        <v>1003</v>
      </c>
      <c r="G91" s="130" t="s">
        <v>438</v>
      </c>
      <c r="H91" s="130">
        <v>3.2</v>
      </c>
      <c r="I91" s="297" t="s">
        <v>1134</v>
      </c>
      <c r="J91" s="282"/>
      <c r="K91" s="280"/>
      <c r="L91" s="277"/>
    </row>
    <row r="92" spans="1:12" s="48" customFormat="1" ht="12" customHeight="1">
      <c r="A92" s="127" t="s">
        <v>431</v>
      </c>
      <c r="B92" s="127" t="s">
        <v>431</v>
      </c>
      <c r="C92" s="127" t="s">
        <v>437</v>
      </c>
      <c r="D92" s="129" t="s">
        <v>319</v>
      </c>
      <c r="E92" s="130" t="s">
        <v>407</v>
      </c>
      <c r="F92" s="267" t="s">
        <v>1149</v>
      </c>
      <c r="G92" s="130" t="s">
        <v>438</v>
      </c>
      <c r="H92" s="130" t="s">
        <v>320</v>
      </c>
      <c r="I92" s="297" t="s">
        <v>323</v>
      </c>
      <c r="J92" s="283"/>
      <c r="K92" s="280"/>
      <c r="L92" s="277"/>
    </row>
    <row r="93" spans="1:12" s="48" customFormat="1" ht="12" customHeight="1">
      <c r="A93" s="127" t="s">
        <v>431</v>
      </c>
      <c r="B93" s="127" t="s">
        <v>431</v>
      </c>
      <c r="C93" s="127" t="s">
        <v>437</v>
      </c>
      <c r="D93" s="129" t="s">
        <v>319</v>
      </c>
      <c r="E93" s="130" t="s">
        <v>407</v>
      </c>
      <c r="F93" s="267" t="s">
        <v>409</v>
      </c>
      <c r="G93" s="130" t="s">
        <v>438</v>
      </c>
      <c r="H93" s="130" t="s">
        <v>322</v>
      </c>
      <c r="I93" s="297" t="s">
        <v>442</v>
      </c>
      <c r="J93" s="283"/>
      <c r="K93" s="280"/>
      <c r="L93" s="277"/>
    </row>
    <row r="94" spans="1:12" s="48" customFormat="1" ht="12" customHeight="1">
      <c r="A94" s="127" t="s">
        <v>431</v>
      </c>
      <c r="B94" s="127" t="s">
        <v>431</v>
      </c>
      <c r="C94" s="127" t="s">
        <v>437</v>
      </c>
      <c r="D94" s="129" t="s">
        <v>319</v>
      </c>
      <c r="E94" s="130" t="s">
        <v>407</v>
      </c>
      <c r="F94" s="267" t="s">
        <v>410</v>
      </c>
      <c r="G94" s="130" t="s">
        <v>438</v>
      </c>
      <c r="H94" s="130" t="s">
        <v>324</v>
      </c>
      <c r="I94" s="297" t="s">
        <v>327</v>
      </c>
      <c r="J94" s="283"/>
      <c r="K94" s="280"/>
      <c r="L94" s="277"/>
    </row>
    <row r="95" spans="1:12" s="48" customFormat="1" ht="12" customHeight="1">
      <c r="A95" s="127" t="s">
        <v>431</v>
      </c>
      <c r="B95" s="127" t="s">
        <v>431</v>
      </c>
      <c r="C95" s="127" t="s">
        <v>437</v>
      </c>
      <c r="D95" s="129" t="s">
        <v>319</v>
      </c>
      <c r="E95" s="130" t="s">
        <v>407</v>
      </c>
      <c r="F95" s="267" t="s">
        <v>411</v>
      </c>
      <c r="G95" s="130" t="s">
        <v>438</v>
      </c>
      <c r="H95" s="130" t="s">
        <v>326</v>
      </c>
      <c r="I95" s="297" t="s">
        <v>445</v>
      </c>
      <c r="J95" s="283"/>
      <c r="K95" s="280"/>
      <c r="L95" s="277"/>
    </row>
    <row r="96" spans="1:12" s="48" customFormat="1" ht="12" customHeight="1">
      <c r="A96" s="127" t="s">
        <v>431</v>
      </c>
      <c r="B96" s="127" t="s">
        <v>431</v>
      </c>
      <c r="C96" s="127" t="s">
        <v>437</v>
      </c>
      <c r="D96" s="129" t="s">
        <v>319</v>
      </c>
      <c r="E96" s="130" t="s">
        <v>407</v>
      </c>
      <c r="F96" s="267" t="s">
        <v>412</v>
      </c>
      <c r="G96" s="130" t="s">
        <v>438</v>
      </c>
      <c r="H96" s="130" t="s">
        <v>328</v>
      </c>
      <c r="I96" s="297" t="s">
        <v>331</v>
      </c>
      <c r="J96" s="283"/>
      <c r="K96" s="280"/>
      <c r="L96" s="277"/>
    </row>
    <row r="97" spans="1:12" s="48" customFormat="1" ht="12" customHeight="1">
      <c r="A97" s="127" t="s">
        <v>431</v>
      </c>
      <c r="B97" s="127" t="s">
        <v>431</v>
      </c>
      <c r="C97" s="127" t="s">
        <v>437</v>
      </c>
      <c r="D97" s="129" t="s">
        <v>319</v>
      </c>
      <c r="E97" s="130" t="s">
        <v>407</v>
      </c>
      <c r="F97" s="267" t="s">
        <v>413</v>
      </c>
      <c r="G97" s="130" t="s">
        <v>438</v>
      </c>
      <c r="H97" s="130" t="s">
        <v>330</v>
      </c>
      <c r="I97" s="297" t="s">
        <v>447</v>
      </c>
      <c r="J97" s="283"/>
      <c r="K97" s="280"/>
      <c r="L97" s="277"/>
    </row>
    <row r="98" spans="1:12" s="48" customFormat="1" ht="12" customHeight="1">
      <c r="A98" s="127" t="s">
        <v>431</v>
      </c>
      <c r="B98" s="127" t="s">
        <v>431</v>
      </c>
      <c r="C98" s="127" t="s">
        <v>437</v>
      </c>
      <c r="D98" s="129" t="s">
        <v>319</v>
      </c>
      <c r="E98" s="130" t="s">
        <v>407</v>
      </c>
      <c r="F98" s="267" t="s">
        <v>414</v>
      </c>
      <c r="G98" s="130" t="s">
        <v>438</v>
      </c>
      <c r="H98" s="130" t="s">
        <v>332</v>
      </c>
      <c r="I98" s="297" t="s">
        <v>448</v>
      </c>
      <c r="J98" s="283"/>
      <c r="K98" s="280"/>
      <c r="L98" s="277"/>
    </row>
    <row r="99" spans="1:12" s="48" customFormat="1" ht="12" customHeight="1">
      <c r="A99" s="127" t="s">
        <v>431</v>
      </c>
      <c r="B99" s="127" t="s">
        <v>431</v>
      </c>
      <c r="C99" s="127" t="s">
        <v>437</v>
      </c>
      <c r="D99" s="129" t="s">
        <v>319</v>
      </c>
      <c r="E99" s="130" t="s">
        <v>407</v>
      </c>
      <c r="F99" s="267" t="s">
        <v>415</v>
      </c>
      <c r="G99" s="130" t="s">
        <v>438</v>
      </c>
      <c r="H99" s="130" t="s">
        <v>334</v>
      </c>
      <c r="I99" s="297" t="s">
        <v>342</v>
      </c>
      <c r="J99" s="283"/>
      <c r="K99" s="280"/>
      <c r="L99" s="277"/>
    </row>
    <row r="100" spans="1:12" s="48" customFormat="1" ht="12" customHeight="1">
      <c r="A100" s="127" t="s">
        <v>431</v>
      </c>
      <c r="B100" s="127" t="s">
        <v>431</v>
      </c>
      <c r="C100" s="127" t="s">
        <v>437</v>
      </c>
      <c r="D100" s="129" t="s">
        <v>12</v>
      </c>
      <c r="E100" s="130" t="s">
        <v>407</v>
      </c>
      <c r="F100" s="267" t="s">
        <v>416</v>
      </c>
      <c r="G100" s="130" t="s">
        <v>438</v>
      </c>
      <c r="H100" s="130" t="s">
        <v>346</v>
      </c>
      <c r="I100" s="297" t="s">
        <v>449</v>
      </c>
      <c r="J100" s="283"/>
      <c r="K100" s="280"/>
      <c r="L100" s="277"/>
    </row>
    <row r="101" spans="1:12" s="48" customFormat="1" ht="12" customHeight="1">
      <c r="A101" s="127" t="s">
        <v>431</v>
      </c>
      <c r="B101" s="127" t="s">
        <v>431</v>
      </c>
      <c r="C101" s="127" t="s">
        <v>437</v>
      </c>
      <c r="D101" s="129" t="s">
        <v>12</v>
      </c>
      <c r="E101" s="130" t="s">
        <v>407</v>
      </c>
      <c r="F101" s="267" t="s">
        <v>417</v>
      </c>
      <c r="G101" s="130" t="s">
        <v>438</v>
      </c>
      <c r="H101" s="130" t="s">
        <v>348</v>
      </c>
      <c r="I101" s="297" t="s">
        <v>450</v>
      </c>
      <c r="J101" s="283"/>
      <c r="K101" s="280"/>
      <c r="L101" s="277"/>
    </row>
    <row r="102" spans="1:12" s="48" customFormat="1" ht="12" customHeight="1">
      <c r="A102" s="127" t="s">
        <v>431</v>
      </c>
      <c r="B102" s="127" t="s">
        <v>431</v>
      </c>
      <c r="C102" s="127" t="s">
        <v>437</v>
      </c>
      <c r="D102" s="129" t="s">
        <v>12</v>
      </c>
      <c r="E102" s="130" t="s">
        <v>407</v>
      </c>
      <c r="F102" s="267" t="s">
        <v>420</v>
      </c>
      <c r="G102" s="130" t="s">
        <v>438</v>
      </c>
      <c r="H102" s="130" t="s">
        <v>350</v>
      </c>
      <c r="I102" s="297" t="s">
        <v>337</v>
      </c>
      <c r="J102" s="283"/>
      <c r="K102" s="280"/>
      <c r="L102" s="277"/>
    </row>
    <row r="103" spans="1:12" s="48" customFormat="1" ht="12" customHeight="1">
      <c r="A103" s="127" t="s">
        <v>431</v>
      </c>
      <c r="B103" s="127" t="s">
        <v>431</v>
      </c>
      <c r="C103" s="127" t="s">
        <v>437</v>
      </c>
      <c r="D103" s="129" t="s">
        <v>12</v>
      </c>
      <c r="E103" s="130" t="s">
        <v>407</v>
      </c>
      <c r="F103" s="267" t="s">
        <v>1006</v>
      </c>
      <c r="G103" s="130" t="s">
        <v>438</v>
      </c>
      <c r="H103" s="130" t="s">
        <v>352</v>
      </c>
      <c r="I103" s="297" t="s">
        <v>451</v>
      </c>
      <c r="J103" s="283"/>
      <c r="K103" s="280"/>
      <c r="L103" s="277"/>
    </row>
    <row r="104" spans="1:12" s="48" customFormat="1" ht="12" customHeight="1">
      <c r="A104" s="127" t="s">
        <v>431</v>
      </c>
      <c r="B104" s="127" t="s">
        <v>431</v>
      </c>
      <c r="C104" s="127" t="s">
        <v>437</v>
      </c>
      <c r="D104" s="129" t="s">
        <v>12</v>
      </c>
      <c r="E104" s="130" t="s">
        <v>407</v>
      </c>
      <c r="F104" s="267" t="s">
        <v>1007</v>
      </c>
      <c r="G104" s="130" t="s">
        <v>438</v>
      </c>
      <c r="H104" s="130" t="s">
        <v>353</v>
      </c>
      <c r="I104" s="297" t="s">
        <v>452</v>
      </c>
      <c r="J104" s="283"/>
      <c r="K104" s="280"/>
      <c r="L104" s="277"/>
    </row>
    <row r="105" spans="1:12" s="48" customFormat="1" ht="12" customHeight="1">
      <c r="A105" s="127" t="s">
        <v>431</v>
      </c>
      <c r="B105" s="127" t="s">
        <v>431</v>
      </c>
      <c r="C105" s="127" t="s">
        <v>437</v>
      </c>
      <c r="D105" s="129" t="s">
        <v>345</v>
      </c>
      <c r="E105" s="130" t="s">
        <v>407</v>
      </c>
      <c r="F105" s="267" t="s">
        <v>1010</v>
      </c>
      <c r="G105" s="130" t="s">
        <v>438</v>
      </c>
      <c r="H105" s="130" t="s">
        <v>355</v>
      </c>
      <c r="I105" s="297" t="s">
        <v>347</v>
      </c>
      <c r="J105" s="283"/>
      <c r="K105" s="280"/>
      <c r="L105" s="277"/>
    </row>
    <row r="106" spans="1:12" s="48" customFormat="1" ht="12" customHeight="1">
      <c r="A106" s="127" t="s">
        <v>431</v>
      </c>
      <c r="B106" s="127" t="s">
        <v>431</v>
      </c>
      <c r="C106" s="127" t="s">
        <v>437</v>
      </c>
      <c r="D106" s="129" t="s">
        <v>345</v>
      </c>
      <c r="E106" s="130" t="s">
        <v>407</v>
      </c>
      <c r="F106" s="267" t="s">
        <v>1008</v>
      </c>
      <c r="G106" s="130" t="s">
        <v>438</v>
      </c>
      <c r="H106" s="130" t="s">
        <v>356</v>
      </c>
      <c r="I106" s="297" t="s">
        <v>349</v>
      </c>
      <c r="J106" s="283"/>
      <c r="K106" s="280"/>
      <c r="L106" s="277"/>
    </row>
    <row r="107" spans="1:12" s="48" customFormat="1" ht="12" customHeight="1">
      <c r="A107" s="127" t="s">
        <v>431</v>
      </c>
      <c r="B107" s="127" t="s">
        <v>431</v>
      </c>
      <c r="C107" s="127" t="s">
        <v>437</v>
      </c>
      <c r="D107" s="129" t="s">
        <v>345</v>
      </c>
      <c r="E107" s="130" t="s">
        <v>407</v>
      </c>
      <c r="F107" s="267" t="s">
        <v>1084</v>
      </c>
      <c r="G107" s="130" t="s">
        <v>438</v>
      </c>
      <c r="H107" s="130" t="s">
        <v>418</v>
      </c>
      <c r="I107" s="297" t="s">
        <v>452</v>
      </c>
      <c r="J107" s="283"/>
      <c r="K107" s="280"/>
      <c r="L107" s="277"/>
    </row>
    <row r="108" spans="1:12" s="48" customFormat="1" ht="12" customHeight="1">
      <c r="A108" s="127" t="s">
        <v>431</v>
      </c>
      <c r="B108" s="127" t="s">
        <v>431</v>
      </c>
      <c r="C108" s="127" t="s">
        <v>437</v>
      </c>
      <c r="D108" s="129" t="s">
        <v>345</v>
      </c>
      <c r="E108" s="130" t="s">
        <v>407</v>
      </c>
      <c r="F108" s="267" t="s">
        <v>1085</v>
      </c>
      <c r="G108" s="130" t="s">
        <v>438</v>
      </c>
      <c r="H108" s="130" t="s">
        <v>358</v>
      </c>
      <c r="I108" s="297" t="s">
        <v>453</v>
      </c>
      <c r="J108" s="283"/>
      <c r="K108" s="280"/>
      <c r="L108" s="277"/>
    </row>
    <row r="109" spans="1:12" s="48" customFormat="1" ht="12" customHeight="1">
      <c r="A109" s="127" t="s">
        <v>431</v>
      </c>
      <c r="B109" s="127" t="s">
        <v>431</v>
      </c>
      <c r="C109" s="127" t="s">
        <v>437</v>
      </c>
      <c r="D109" s="129" t="s">
        <v>345</v>
      </c>
      <c r="E109" s="130" t="s">
        <v>407</v>
      </c>
      <c r="F109" s="267" t="s">
        <v>1086</v>
      </c>
      <c r="G109" s="130" t="s">
        <v>438</v>
      </c>
      <c r="H109" s="130" t="s">
        <v>360</v>
      </c>
      <c r="I109" s="297" t="s">
        <v>342</v>
      </c>
      <c r="J109" s="283"/>
      <c r="K109" s="280"/>
      <c r="L109" s="277"/>
    </row>
    <row r="110" spans="1:12" s="48" customFormat="1" ht="12" customHeight="1">
      <c r="A110" s="127" t="s">
        <v>431</v>
      </c>
      <c r="B110" s="127" t="s">
        <v>431</v>
      </c>
      <c r="C110" s="127" t="s">
        <v>437</v>
      </c>
      <c r="D110" s="129" t="s">
        <v>354</v>
      </c>
      <c r="E110" s="130" t="s">
        <v>407</v>
      </c>
      <c r="F110" s="267" t="s">
        <v>1087</v>
      </c>
      <c r="G110" s="130" t="s">
        <v>438</v>
      </c>
      <c r="H110" s="130" t="s">
        <v>454</v>
      </c>
      <c r="I110" s="297" t="s">
        <v>455</v>
      </c>
      <c r="J110" s="283"/>
      <c r="K110" s="280"/>
      <c r="L110" s="277"/>
    </row>
    <row r="111" spans="1:12" s="48" customFormat="1" ht="12" customHeight="1">
      <c r="A111" s="127" t="s">
        <v>431</v>
      </c>
      <c r="B111" s="127" t="s">
        <v>431</v>
      </c>
      <c r="C111" s="127" t="s">
        <v>437</v>
      </c>
      <c r="D111" s="129" t="s">
        <v>354</v>
      </c>
      <c r="E111" s="130" t="s">
        <v>407</v>
      </c>
      <c r="F111" s="267" t="s">
        <v>1088</v>
      </c>
      <c r="G111" s="130" t="s">
        <v>438</v>
      </c>
      <c r="H111" s="130" t="s">
        <v>456</v>
      </c>
      <c r="I111" s="297" t="s">
        <v>457</v>
      </c>
      <c r="J111" s="283"/>
      <c r="K111" s="280"/>
      <c r="L111" s="277"/>
    </row>
    <row r="112" spans="1:12" s="48" customFormat="1" ht="12" customHeight="1">
      <c r="A112" s="127" t="s">
        <v>431</v>
      </c>
      <c r="B112" s="127" t="s">
        <v>431</v>
      </c>
      <c r="C112" s="127" t="s">
        <v>437</v>
      </c>
      <c r="D112" s="129" t="s">
        <v>354</v>
      </c>
      <c r="E112" s="130" t="s">
        <v>407</v>
      </c>
      <c r="F112" s="267" t="s">
        <v>1089</v>
      </c>
      <c r="G112" s="130" t="s">
        <v>438</v>
      </c>
      <c r="H112" s="130" t="s">
        <v>458</v>
      </c>
      <c r="I112" s="297" t="s">
        <v>459</v>
      </c>
      <c r="J112" s="283"/>
      <c r="K112" s="280"/>
      <c r="L112" s="277"/>
    </row>
    <row r="113" spans="1:12" s="48" customFormat="1" ht="12" customHeight="1">
      <c r="A113" s="127" t="s">
        <v>431</v>
      </c>
      <c r="B113" s="127" t="s">
        <v>431</v>
      </c>
      <c r="C113" s="127" t="s">
        <v>437</v>
      </c>
      <c r="D113" s="129" t="s">
        <v>354</v>
      </c>
      <c r="E113" s="130" t="s">
        <v>407</v>
      </c>
      <c r="F113" s="267" t="s">
        <v>1090</v>
      </c>
      <c r="G113" s="130" t="s">
        <v>438</v>
      </c>
      <c r="H113" s="130" t="s">
        <v>460</v>
      </c>
      <c r="I113" s="297" t="s">
        <v>461</v>
      </c>
      <c r="J113" s="283"/>
      <c r="K113" s="280"/>
      <c r="L113" s="277"/>
    </row>
    <row r="114" spans="1:12" s="48" customFormat="1" ht="12" customHeight="1">
      <c r="A114" s="127" t="s">
        <v>431</v>
      </c>
      <c r="B114" s="127" t="s">
        <v>431</v>
      </c>
      <c r="C114" s="127" t="s">
        <v>437</v>
      </c>
      <c r="D114" s="129" t="s">
        <v>354</v>
      </c>
      <c r="E114" s="130" t="s">
        <v>407</v>
      </c>
      <c r="F114" s="267" t="s">
        <v>1091</v>
      </c>
      <c r="G114" s="130" t="s">
        <v>438</v>
      </c>
      <c r="H114" s="130" t="s">
        <v>462</v>
      </c>
      <c r="I114" s="297" t="s">
        <v>463</v>
      </c>
      <c r="J114" s="283"/>
      <c r="K114" s="280"/>
      <c r="L114" s="277"/>
    </row>
    <row r="115" spans="1:12" s="48" customFormat="1" ht="12" customHeight="1">
      <c r="A115" s="127" t="s">
        <v>431</v>
      </c>
      <c r="B115" s="127" t="s">
        <v>431</v>
      </c>
      <c r="C115" s="127" t="s">
        <v>437</v>
      </c>
      <c r="D115" s="129" t="s">
        <v>354</v>
      </c>
      <c r="E115" s="130" t="s">
        <v>407</v>
      </c>
      <c r="F115" s="267" t="s">
        <v>1092</v>
      </c>
      <c r="G115" s="130" t="s">
        <v>438</v>
      </c>
      <c r="H115" s="130" t="s">
        <v>464</v>
      </c>
      <c r="I115" s="297" t="s">
        <v>993</v>
      </c>
      <c r="J115" s="283"/>
      <c r="K115" s="280"/>
      <c r="L115" s="277"/>
    </row>
    <row r="116" spans="1:12" s="48" customFormat="1" ht="12" customHeight="1">
      <c r="A116" s="127" t="s">
        <v>431</v>
      </c>
      <c r="B116" s="127" t="s">
        <v>431</v>
      </c>
      <c r="C116" s="127" t="s">
        <v>437</v>
      </c>
      <c r="D116" s="129" t="s">
        <v>354</v>
      </c>
      <c r="E116" s="130" t="s">
        <v>407</v>
      </c>
      <c r="F116" s="267" t="s">
        <v>1093</v>
      </c>
      <c r="G116" s="130" t="s">
        <v>438</v>
      </c>
      <c r="H116" s="130" t="s">
        <v>465</v>
      </c>
      <c r="I116" s="297" t="s">
        <v>468</v>
      </c>
      <c r="J116" s="283"/>
      <c r="K116" s="280"/>
      <c r="L116" s="277"/>
    </row>
    <row r="117" spans="1:12" s="48" customFormat="1" ht="12" customHeight="1">
      <c r="A117" s="127" t="s">
        <v>431</v>
      </c>
      <c r="B117" s="127" t="s">
        <v>431</v>
      </c>
      <c r="C117" s="127" t="s">
        <v>437</v>
      </c>
      <c r="D117" s="129" t="s">
        <v>354</v>
      </c>
      <c r="E117" s="130" t="s">
        <v>407</v>
      </c>
      <c r="F117" s="267" t="s">
        <v>1094</v>
      </c>
      <c r="G117" s="130" t="s">
        <v>438</v>
      </c>
      <c r="H117" s="130" t="s">
        <v>467</v>
      </c>
      <c r="I117" s="297" t="s">
        <v>466</v>
      </c>
      <c r="J117" s="283"/>
      <c r="K117" s="280"/>
      <c r="L117" s="277"/>
    </row>
    <row r="118" spans="1:12" s="48" customFormat="1" ht="12" customHeight="1">
      <c r="A118" s="127" t="s">
        <v>431</v>
      </c>
      <c r="B118" s="127" t="s">
        <v>431</v>
      </c>
      <c r="C118" s="127" t="s">
        <v>437</v>
      </c>
      <c r="D118" s="129" t="s">
        <v>354</v>
      </c>
      <c r="E118" s="130" t="s">
        <v>407</v>
      </c>
      <c r="F118" s="267" t="s">
        <v>1095</v>
      </c>
      <c r="G118" s="130" t="s">
        <v>438</v>
      </c>
      <c r="H118" s="130" t="s">
        <v>469</v>
      </c>
      <c r="I118" s="297" t="s">
        <v>470</v>
      </c>
      <c r="J118" s="283"/>
      <c r="K118" s="280"/>
      <c r="L118" s="277"/>
    </row>
    <row r="119" spans="1:12" s="48" customFormat="1" ht="12" customHeight="1">
      <c r="A119" s="127" t="s">
        <v>431</v>
      </c>
      <c r="B119" s="127" t="s">
        <v>431</v>
      </c>
      <c r="C119" s="127" t="s">
        <v>437</v>
      </c>
      <c r="D119" s="129" t="s">
        <v>354</v>
      </c>
      <c r="E119" s="130" t="s">
        <v>407</v>
      </c>
      <c r="F119" s="267" t="s">
        <v>1096</v>
      </c>
      <c r="G119" s="130" t="s">
        <v>438</v>
      </c>
      <c r="H119" s="130" t="s">
        <v>471</v>
      </c>
      <c r="I119" s="297" t="s">
        <v>361</v>
      </c>
      <c r="J119" s="283"/>
      <c r="K119" s="280"/>
      <c r="L119" s="277"/>
    </row>
    <row r="120" spans="1:12" s="48" customFormat="1" ht="12" customHeight="1">
      <c r="A120" s="127" t="s">
        <v>431</v>
      </c>
      <c r="B120" s="127" t="s">
        <v>431</v>
      </c>
      <c r="C120" s="129" t="s">
        <v>472</v>
      </c>
      <c r="D120" s="129" t="s">
        <v>9</v>
      </c>
      <c r="E120" s="130" t="s">
        <v>407</v>
      </c>
      <c r="F120" s="267" t="s">
        <v>1097</v>
      </c>
      <c r="G120" s="130" t="s">
        <v>473</v>
      </c>
      <c r="H120" s="130">
        <v>3.1</v>
      </c>
      <c r="I120" s="297" t="s">
        <v>474</v>
      </c>
      <c r="J120" s="283"/>
      <c r="K120" s="286"/>
      <c r="L120" s="285"/>
    </row>
    <row r="121" spans="1:12" s="48" customFormat="1" ht="12" customHeight="1">
      <c r="A121" s="127" t="s">
        <v>431</v>
      </c>
      <c r="B121" s="127" t="s">
        <v>431</v>
      </c>
      <c r="C121" s="129" t="s">
        <v>472</v>
      </c>
      <c r="D121" s="129" t="s">
        <v>9</v>
      </c>
      <c r="E121" s="130" t="s">
        <v>407</v>
      </c>
      <c r="F121" s="267" t="s">
        <v>1098</v>
      </c>
      <c r="G121" s="130" t="s">
        <v>473</v>
      </c>
      <c r="H121" s="130">
        <v>3.2</v>
      </c>
      <c r="I121" s="297" t="s">
        <v>475</v>
      </c>
      <c r="J121" s="287"/>
      <c r="K121" s="286"/>
      <c r="L121" s="285"/>
    </row>
    <row r="122" spans="1:12" s="48" customFormat="1" ht="12" customHeight="1">
      <c r="A122" s="127" t="s">
        <v>431</v>
      </c>
      <c r="B122" s="127" t="s">
        <v>431</v>
      </c>
      <c r="C122" s="129" t="s">
        <v>476</v>
      </c>
      <c r="D122" s="127" t="s">
        <v>9</v>
      </c>
      <c r="E122" s="130" t="s">
        <v>407</v>
      </c>
      <c r="F122" s="267" t="s">
        <v>1099</v>
      </c>
      <c r="G122" s="130" t="s">
        <v>477</v>
      </c>
      <c r="H122" s="130">
        <v>3.1</v>
      </c>
      <c r="I122" s="297" t="s">
        <v>478</v>
      </c>
      <c r="J122" s="283"/>
      <c r="K122" s="280"/>
      <c r="L122" s="277"/>
    </row>
    <row r="123" spans="1:12" s="48" customFormat="1" ht="12" customHeight="1">
      <c r="A123" s="127" t="s">
        <v>431</v>
      </c>
      <c r="B123" s="127" t="s">
        <v>431</v>
      </c>
      <c r="C123" s="129" t="s">
        <v>476</v>
      </c>
      <c r="D123" s="127" t="s">
        <v>9</v>
      </c>
      <c r="E123" s="130" t="s">
        <v>407</v>
      </c>
      <c r="F123" s="267" t="s">
        <v>1100</v>
      </c>
      <c r="G123" s="130" t="s">
        <v>477</v>
      </c>
      <c r="H123" s="130">
        <v>3.2</v>
      </c>
      <c r="I123" s="297" t="s">
        <v>479</v>
      </c>
      <c r="J123" s="283"/>
      <c r="K123" s="280"/>
      <c r="L123" s="277"/>
    </row>
    <row r="124" spans="1:12" s="48" customFormat="1" ht="12" customHeight="1">
      <c r="A124" s="127" t="s">
        <v>431</v>
      </c>
      <c r="B124" s="127" t="s">
        <v>431</v>
      </c>
      <c r="C124" s="129" t="s">
        <v>476</v>
      </c>
      <c r="D124" s="127" t="s">
        <v>9</v>
      </c>
      <c r="E124" s="130" t="s">
        <v>407</v>
      </c>
      <c r="F124" s="267" t="s">
        <v>1101</v>
      </c>
      <c r="G124" s="130" t="s">
        <v>477</v>
      </c>
      <c r="H124" s="130">
        <v>3.3</v>
      </c>
      <c r="I124" s="297" t="s">
        <v>8</v>
      </c>
      <c r="J124" s="283"/>
      <c r="K124" s="280"/>
      <c r="L124" s="277"/>
    </row>
    <row r="125" spans="1:12" s="48" customFormat="1" ht="12" customHeight="1">
      <c r="A125" s="127" t="s">
        <v>431</v>
      </c>
      <c r="B125" s="127" t="s">
        <v>431</v>
      </c>
      <c r="C125" s="129" t="s">
        <v>480</v>
      </c>
      <c r="D125" s="127" t="s">
        <v>9</v>
      </c>
      <c r="E125" s="130" t="s">
        <v>407</v>
      </c>
      <c r="F125" s="267" t="s">
        <v>1102</v>
      </c>
      <c r="G125" s="130" t="s">
        <v>481</v>
      </c>
      <c r="H125" s="130">
        <v>3</v>
      </c>
      <c r="I125" s="297" t="s">
        <v>992</v>
      </c>
      <c r="J125" s="283"/>
      <c r="K125" s="280"/>
      <c r="L125" s="277"/>
    </row>
    <row r="126" spans="1:12" s="48" customFormat="1" ht="12" customHeight="1">
      <c r="A126" s="127" t="s">
        <v>431</v>
      </c>
      <c r="B126" s="127" t="s">
        <v>431</v>
      </c>
      <c r="C126" s="129" t="s">
        <v>482</v>
      </c>
      <c r="D126" s="127" t="s">
        <v>9</v>
      </c>
      <c r="E126" s="130" t="s">
        <v>407</v>
      </c>
      <c r="F126" s="267" t="s">
        <v>1103</v>
      </c>
      <c r="G126" s="130" t="s">
        <v>483</v>
      </c>
      <c r="H126" s="130">
        <v>3.1</v>
      </c>
      <c r="I126" s="297" t="s">
        <v>13</v>
      </c>
      <c r="J126" s="288"/>
      <c r="K126" s="289"/>
      <c r="L126" s="277"/>
    </row>
    <row r="127" spans="1:12" s="48" customFormat="1" ht="12" customHeight="1">
      <c r="A127" s="127" t="s">
        <v>431</v>
      </c>
      <c r="B127" s="127" t="s">
        <v>431</v>
      </c>
      <c r="C127" s="129" t="s">
        <v>482</v>
      </c>
      <c r="D127" s="127" t="s">
        <v>9</v>
      </c>
      <c r="E127" s="130" t="s">
        <v>407</v>
      </c>
      <c r="F127" s="267" t="s">
        <v>1104</v>
      </c>
      <c r="G127" s="130" t="s">
        <v>483</v>
      </c>
      <c r="H127" s="130">
        <v>3.2</v>
      </c>
      <c r="I127" s="297" t="s">
        <v>484</v>
      </c>
      <c r="J127" s="288"/>
      <c r="K127" s="289"/>
      <c r="L127" s="277"/>
    </row>
    <row r="128" spans="1:12" s="48" customFormat="1" ht="12" customHeight="1">
      <c r="A128" s="127" t="s">
        <v>431</v>
      </c>
      <c r="B128" s="127" t="s">
        <v>431</v>
      </c>
      <c r="C128" s="129" t="s">
        <v>482</v>
      </c>
      <c r="D128" s="127" t="s">
        <v>9</v>
      </c>
      <c r="E128" s="130" t="s">
        <v>407</v>
      </c>
      <c r="F128" s="267" t="s">
        <v>1105</v>
      </c>
      <c r="G128" s="130" t="s">
        <v>483</v>
      </c>
      <c r="H128" s="130">
        <v>3.3</v>
      </c>
      <c r="I128" s="297" t="s">
        <v>14</v>
      </c>
      <c r="J128" s="288"/>
      <c r="K128" s="289"/>
      <c r="L128" s="277"/>
    </row>
    <row r="129" spans="1:12" s="48" customFormat="1" ht="12" customHeight="1">
      <c r="A129" s="127" t="s">
        <v>431</v>
      </c>
      <c r="B129" s="127" t="s">
        <v>431</v>
      </c>
      <c r="C129" s="129" t="s">
        <v>482</v>
      </c>
      <c r="D129" s="127" t="s">
        <v>9</v>
      </c>
      <c r="E129" s="130" t="s">
        <v>407</v>
      </c>
      <c r="F129" s="267" t="s">
        <v>1106</v>
      </c>
      <c r="G129" s="130" t="s">
        <v>483</v>
      </c>
      <c r="H129" s="130">
        <v>3.4</v>
      </c>
      <c r="I129" s="297" t="s">
        <v>997</v>
      </c>
      <c r="J129" s="283"/>
      <c r="K129" s="280"/>
      <c r="L129" s="277"/>
    </row>
    <row r="130" spans="1:12" s="48" customFormat="1" ht="12" customHeight="1">
      <c r="A130" s="127" t="s">
        <v>431</v>
      </c>
      <c r="B130" s="127" t="s">
        <v>431</v>
      </c>
      <c r="C130" s="129" t="s">
        <v>482</v>
      </c>
      <c r="D130" s="127" t="s">
        <v>9</v>
      </c>
      <c r="E130" s="130" t="s">
        <v>407</v>
      </c>
      <c r="F130" s="267" t="s">
        <v>1107</v>
      </c>
      <c r="G130" s="130" t="s">
        <v>483</v>
      </c>
      <c r="H130" s="130">
        <v>3.5</v>
      </c>
      <c r="I130" s="297" t="s">
        <v>485</v>
      </c>
      <c r="J130" s="288"/>
      <c r="K130" s="289"/>
      <c r="L130" s="277"/>
    </row>
    <row r="131" spans="1:12" s="48" customFormat="1" ht="12" customHeight="1">
      <c r="A131" s="127" t="s">
        <v>431</v>
      </c>
      <c r="B131" s="127" t="s">
        <v>431</v>
      </c>
      <c r="C131" s="129" t="s">
        <v>486</v>
      </c>
      <c r="D131" s="127" t="s">
        <v>9</v>
      </c>
      <c r="E131" s="130" t="s">
        <v>407</v>
      </c>
      <c r="F131" s="267" t="s">
        <v>1108</v>
      </c>
      <c r="G131" s="130" t="s">
        <v>487</v>
      </c>
      <c r="H131" s="130">
        <v>3.1</v>
      </c>
      <c r="I131" s="297" t="s">
        <v>22</v>
      </c>
      <c r="J131" s="283"/>
      <c r="K131" s="280"/>
      <c r="L131" s="277"/>
    </row>
    <row r="132" spans="1:12" s="48" customFormat="1" ht="12" customHeight="1">
      <c r="A132" s="127" t="s">
        <v>431</v>
      </c>
      <c r="B132" s="127" t="s">
        <v>431</v>
      </c>
      <c r="C132" s="129" t="s">
        <v>486</v>
      </c>
      <c r="D132" s="127" t="s">
        <v>9</v>
      </c>
      <c r="E132" s="130" t="s">
        <v>407</v>
      </c>
      <c r="F132" s="267" t="s">
        <v>1109</v>
      </c>
      <c r="G132" s="130" t="s">
        <v>487</v>
      </c>
      <c r="H132" s="130">
        <v>3.2</v>
      </c>
      <c r="I132" s="299" t="s">
        <v>20</v>
      </c>
      <c r="J132" s="283"/>
      <c r="K132" s="280"/>
      <c r="L132" s="277"/>
    </row>
    <row r="133" spans="1:12" s="48" customFormat="1" ht="12" customHeight="1">
      <c r="A133" s="127" t="s">
        <v>431</v>
      </c>
      <c r="B133" s="127" t="s">
        <v>431</v>
      </c>
      <c r="C133" s="129" t="s">
        <v>486</v>
      </c>
      <c r="D133" s="127" t="s">
        <v>9</v>
      </c>
      <c r="E133" s="130" t="s">
        <v>407</v>
      </c>
      <c r="F133" s="267" t="s">
        <v>1110</v>
      </c>
      <c r="G133" s="130" t="s">
        <v>487</v>
      </c>
      <c r="H133" s="130">
        <v>3.3</v>
      </c>
      <c r="I133" s="299" t="s">
        <v>488</v>
      </c>
      <c r="J133" s="283"/>
      <c r="K133" s="280"/>
      <c r="L133" s="277"/>
    </row>
    <row r="134" spans="1:12" s="48" customFormat="1" ht="12" customHeight="1">
      <c r="A134" s="127" t="s">
        <v>431</v>
      </c>
      <c r="B134" s="127" t="s">
        <v>431</v>
      </c>
      <c r="C134" s="129" t="s">
        <v>486</v>
      </c>
      <c r="D134" s="127" t="s">
        <v>9</v>
      </c>
      <c r="E134" s="130" t="s">
        <v>407</v>
      </c>
      <c r="F134" s="267" t="s">
        <v>1111</v>
      </c>
      <c r="G134" s="130" t="s">
        <v>487</v>
      </c>
      <c r="H134" s="130">
        <v>3.4</v>
      </c>
      <c r="I134" s="299" t="s">
        <v>23</v>
      </c>
      <c r="J134" s="283"/>
      <c r="K134" s="280"/>
      <c r="L134" s="277"/>
    </row>
    <row r="135" spans="1:12" s="48" customFormat="1" ht="12" customHeight="1">
      <c r="A135" s="127" t="s">
        <v>431</v>
      </c>
      <c r="B135" s="127" t="s">
        <v>431</v>
      </c>
      <c r="C135" s="129" t="s">
        <v>486</v>
      </c>
      <c r="D135" s="127" t="s">
        <v>9</v>
      </c>
      <c r="E135" s="130" t="s">
        <v>407</v>
      </c>
      <c r="F135" s="267" t="s">
        <v>1112</v>
      </c>
      <c r="G135" s="130" t="s">
        <v>487</v>
      </c>
      <c r="H135" s="130">
        <v>3.5</v>
      </c>
      <c r="I135" s="299" t="s">
        <v>21</v>
      </c>
      <c r="J135" s="283"/>
      <c r="K135" s="280"/>
      <c r="L135" s="277"/>
    </row>
    <row r="136" spans="1:12" s="125" customFormat="1" ht="12.6" customHeight="1">
      <c r="A136" s="127" t="s">
        <v>431</v>
      </c>
      <c r="B136" s="127" t="s">
        <v>431</v>
      </c>
      <c r="C136" s="129" t="s">
        <v>486</v>
      </c>
      <c r="D136" s="127" t="s">
        <v>9</v>
      </c>
      <c r="E136" s="130" t="s">
        <v>407</v>
      </c>
      <c r="F136" s="267" t="s">
        <v>1113</v>
      </c>
      <c r="G136" s="133" t="s">
        <v>487</v>
      </c>
      <c r="H136" s="133">
        <v>3.6</v>
      </c>
      <c r="I136" s="299" t="s">
        <v>1141</v>
      </c>
      <c r="J136" s="283"/>
      <c r="K136" s="280"/>
      <c r="L136" s="277"/>
    </row>
    <row r="137" spans="1:12" s="48" customFormat="1" ht="12" customHeight="1">
      <c r="A137" s="127" t="s">
        <v>489</v>
      </c>
      <c r="B137" s="127" t="s">
        <v>489</v>
      </c>
      <c r="C137" s="127" t="s">
        <v>316</v>
      </c>
      <c r="D137" s="129" t="s">
        <v>319</v>
      </c>
      <c r="E137" s="130" t="s">
        <v>424</v>
      </c>
      <c r="F137" s="267" t="s">
        <v>425</v>
      </c>
      <c r="G137" s="130">
        <v>1502000</v>
      </c>
      <c r="H137" s="267" t="s">
        <v>338</v>
      </c>
      <c r="I137" s="297" t="s">
        <v>339</v>
      </c>
      <c r="J137" s="283"/>
      <c r="K137" s="280"/>
      <c r="L137" s="277"/>
    </row>
    <row r="138" spans="1:12" s="48" customFormat="1" ht="12" customHeight="1">
      <c r="A138" s="127" t="s">
        <v>492</v>
      </c>
      <c r="B138" s="127" t="s">
        <v>492</v>
      </c>
      <c r="C138" s="127" t="s">
        <v>316</v>
      </c>
      <c r="D138" s="129" t="s">
        <v>317</v>
      </c>
      <c r="E138" s="130" t="s">
        <v>427</v>
      </c>
      <c r="F138" s="267" t="s">
        <v>428</v>
      </c>
      <c r="G138" s="130">
        <v>1502000</v>
      </c>
      <c r="H138" s="267">
        <v>3.1</v>
      </c>
      <c r="I138" s="297" t="s">
        <v>991</v>
      </c>
      <c r="J138" s="283"/>
      <c r="K138" s="280"/>
      <c r="L138" s="277"/>
    </row>
    <row r="139" spans="1:12" s="48" customFormat="1" ht="12" customHeight="1">
      <c r="A139" s="127" t="s">
        <v>492</v>
      </c>
      <c r="B139" s="127" t="s">
        <v>492</v>
      </c>
      <c r="C139" s="127" t="s">
        <v>316</v>
      </c>
      <c r="D139" s="127" t="s">
        <v>9</v>
      </c>
      <c r="E139" s="130" t="s">
        <v>427</v>
      </c>
      <c r="F139" s="267" t="s">
        <v>429</v>
      </c>
      <c r="G139" s="130">
        <v>1502000</v>
      </c>
      <c r="H139" s="267">
        <v>3.2</v>
      </c>
      <c r="I139" s="297" t="s">
        <v>1001</v>
      </c>
      <c r="J139" s="283"/>
      <c r="K139" s="280"/>
      <c r="L139" s="277"/>
    </row>
    <row r="140" spans="1:12" s="48" customFormat="1" ht="12" customHeight="1">
      <c r="A140" s="127" t="s">
        <v>492</v>
      </c>
      <c r="B140" s="127" t="s">
        <v>492</v>
      </c>
      <c r="C140" s="129" t="s">
        <v>386</v>
      </c>
      <c r="D140" s="129" t="s">
        <v>18</v>
      </c>
      <c r="E140" s="130" t="s">
        <v>427</v>
      </c>
      <c r="F140" s="267" t="s">
        <v>430</v>
      </c>
      <c r="G140" s="130">
        <v>1700000</v>
      </c>
      <c r="H140" s="130" t="s">
        <v>394</v>
      </c>
      <c r="I140" s="299" t="s">
        <v>395</v>
      </c>
      <c r="J140" s="283"/>
      <c r="K140" s="280"/>
      <c r="L140" s="277"/>
    </row>
    <row r="141" spans="1:12" s="48" customFormat="1" ht="12" customHeight="1">
      <c r="A141" s="127" t="s">
        <v>492</v>
      </c>
      <c r="B141" s="127" t="s">
        <v>492</v>
      </c>
      <c r="C141" s="129" t="s">
        <v>386</v>
      </c>
      <c r="D141" s="129" t="s">
        <v>18</v>
      </c>
      <c r="E141" s="130" t="s">
        <v>427</v>
      </c>
      <c r="F141" s="267" t="s">
        <v>1114</v>
      </c>
      <c r="G141" s="130">
        <v>1700000</v>
      </c>
      <c r="H141" s="130" t="s">
        <v>399</v>
      </c>
      <c r="I141" s="299" t="s">
        <v>400</v>
      </c>
      <c r="J141" s="283"/>
      <c r="K141" s="280"/>
      <c r="L141" s="277"/>
    </row>
    <row r="142" spans="1:12" s="48" customFormat="1" ht="12" customHeight="1">
      <c r="A142" s="127" t="s">
        <v>498</v>
      </c>
      <c r="B142" s="127" t="s">
        <v>498</v>
      </c>
      <c r="C142" s="127" t="s">
        <v>316</v>
      </c>
      <c r="D142" s="129" t="s">
        <v>317</v>
      </c>
      <c r="E142" s="130" t="s">
        <v>432</v>
      </c>
      <c r="F142" s="267" t="s">
        <v>433</v>
      </c>
      <c r="G142" s="130">
        <v>1502000</v>
      </c>
      <c r="H142" s="267">
        <v>3.1</v>
      </c>
      <c r="I142" s="297" t="s">
        <v>991</v>
      </c>
      <c r="J142" s="282"/>
      <c r="K142" s="280"/>
      <c r="L142" s="277"/>
    </row>
    <row r="143" spans="1:12" s="48" customFormat="1" ht="12" customHeight="1">
      <c r="A143" s="127" t="s">
        <v>498</v>
      </c>
      <c r="B143" s="127" t="s">
        <v>498</v>
      </c>
      <c r="C143" s="129" t="s">
        <v>316</v>
      </c>
      <c r="D143" s="129" t="s">
        <v>9</v>
      </c>
      <c r="E143" s="130" t="s">
        <v>432</v>
      </c>
      <c r="F143" s="267" t="s">
        <v>1115</v>
      </c>
      <c r="G143" s="130">
        <v>1502000</v>
      </c>
      <c r="H143" s="267">
        <v>3.2</v>
      </c>
      <c r="I143" s="297" t="s">
        <v>1001</v>
      </c>
      <c r="J143" s="282"/>
      <c r="K143" s="280"/>
      <c r="L143" s="277"/>
    </row>
    <row r="144" spans="1:12" s="48" customFormat="1" ht="12" customHeight="1">
      <c r="A144" s="127" t="s">
        <v>498</v>
      </c>
      <c r="B144" s="127" t="s">
        <v>498</v>
      </c>
      <c r="C144" s="127" t="s">
        <v>316</v>
      </c>
      <c r="D144" s="129" t="s">
        <v>319</v>
      </c>
      <c r="E144" s="130" t="s">
        <v>432</v>
      </c>
      <c r="F144" s="267" t="s">
        <v>1116</v>
      </c>
      <c r="G144" s="130">
        <v>1502000</v>
      </c>
      <c r="H144" s="267" t="s">
        <v>328</v>
      </c>
      <c r="I144" s="297" t="s">
        <v>329</v>
      </c>
      <c r="J144" s="283"/>
      <c r="K144" s="280"/>
      <c r="L144" s="277"/>
    </row>
    <row r="145" spans="1:12" s="125" customFormat="1" ht="12" customHeight="1">
      <c r="A145" s="127" t="s">
        <v>498</v>
      </c>
      <c r="B145" s="127" t="s">
        <v>498</v>
      </c>
      <c r="C145" s="127" t="s">
        <v>316</v>
      </c>
      <c r="D145" s="129" t="s">
        <v>319</v>
      </c>
      <c r="E145" s="130" t="s">
        <v>432</v>
      </c>
      <c r="F145" s="267" t="s">
        <v>439</v>
      </c>
      <c r="G145" s="130">
        <v>1502000</v>
      </c>
      <c r="H145" s="267" t="s">
        <v>330</v>
      </c>
      <c r="I145" s="297" t="s">
        <v>331</v>
      </c>
      <c r="J145" s="283"/>
      <c r="K145" s="280"/>
      <c r="L145" s="277"/>
    </row>
    <row r="146" spans="1:12" s="78" customFormat="1" ht="12" customHeight="1">
      <c r="A146" s="127" t="s">
        <v>498</v>
      </c>
      <c r="B146" s="127" t="s">
        <v>498</v>
      </c>
      <c r="C146" s="127" t="s">
        <v>316</v>
      </c>
      <c r="D146" s="129" t="s">
        <v>319</v>
      </c>
      <c r="E146" s="130" t="s">
        <v>432</v>
      </c>
      <c r="F146" s="267" t="s">
        <v>998</v>
      </c>
      <c r="G146" s="130">
        <v>1502000</v>
      </c>
      <c r="H146" s="267" t="s">
        <v>336</v>
      </c>
      <c r="I146" s="297" t="s">
        <v>337</v>
      </c>
      <c r="J146" s="283"/>
      <c r="K146" s="280"/>
      <c r="L146" s="277"/>
    </row>
    <row r="147" spans="1:12" s="48" customFormat="1" ht="12" customHeight="1">
      <c r="A147" s="127" t="s">
        <v>498</v>
      </c>
      <c r="B147" s="127" t="s">
        <v>498</v>
      </c>
      <c r="C147" s="127" t="s">
        <v>316</v>
      </c>
      <c r="D147" s="129" t="s">
        <v>319</v>
      </c>
      <c r="E147" s="130" t="s">
        <v>432</v>
      </c>
      <c r="F147" s="267" t="s">
        <v>999</v>
      </c>
      <c r="G147" s="130">
        <v>1502000</v>
      </c>
      <c r="H147" s="267" t="s">
        <v>338</v>
      </c>
      <c r="I147" s="297" t="s">
        <v>339</v>
      </c>
      <c r="J147" s="283"/>
      <c r="K147" s="280"/>
      <c r="L147" s="277"/>
    </row>
    <row r="148" spans="1:12" s="48" customFormat="1" ht="12" customHeight="1">
      <c r="A148" s="127" t="s">
        <v>498</v>
      </c>
      <c r="B148" s="127" t="s">
        <v>498</v>
      </c>
      <c r="C148" s="129" t="s">
        <v>386</v>
      </c>
      <c r="D148" s="127" t="s">
        <v>18</v>
      </c>
      <c r="E148" s="130" t="s">
        <v>432</v>
      </c>
      <c r="F148" s="267" t="s">
        <v>440</v>
      </c>
      <c r="G148" s="130">
        <v>1700000</v>
      </c>
      <c r="H148" s="130" t="s">
        <v>394</v>
      </c>
      <c r="I148" s="299" t="s">
        <v>395</v>
      </c>
      <c r="J148" s="282"/>
      <c r="K148" s="280"/>
      <c r="L148" s="277"/>
    </row>
    <row r="149" spans="1:12" s="125" customFormat="1" ht="12" customHeight="1">
      <c r="A149" s="127" t="s">
        <v>498</v>
      </c>
      <c r="B149" s="127" t="s">
        <v>498</v>
      </c>
      <c r="C149" s="129" t="s">
        <v>386</v>
      </c>
      <c r="D149" s="127" t="s">
        <v>18</v>
      </c>
      <c r="E149" s="130" t="s">
        <v>432</v>
      </c>
      <c r="F149" s="267" t="s">
        <v>441</v>
      </c>
      <c r="G149" s="130">
        <v>1700000</v>
      </c>
      <c r="H149" s="133" t="s">
        <v>399</v>
      </c>
      <c r="I149" s="299" t="s">
        <v>400</v>
      </c>
      <c r="J149" s="282"/>
      <c r="K149" s="280"/>
      <c r="L149" s="277"/>
    </row>
    <row r="150" spans="1:12" s="48" customFormat="1" ht="12" customHeight="1">
      <c r="A150" s="127" t="s">
        <v>498</v>
      </c>
      <c r="B150" s="127" t="s">
        <v>498</v>
      </c>
      <c r="C150" s="127" t="s">
        <v>316</v>
      </c>
      <c r="D150" s="129" t="s">
        <v>317</v>
      </c>
      <c r="E150" s="130" t="s">
        <v>432</v>
      </c>
      <c r="F150" s="267" t="s">
        <v>443</v>
      </c>
      <c r="G150" s="130">
        <v>1502000</v>
      </c>
      <c r="H150" s="267">
        <v>3.1</v>
      </c>
      <c r="I150" s="297" t="s">
        <v>991</v>
      </c>
      <c r="J150" s="282"/>
      <c r="K150" s="280"/>
      <c r="L150" s="277"/>
    </row>
    <row r="151" spans="1:12" s="48" customFormat="1" ht="12" customHeight="1">
      <c r="A151" s="127" t="s">
        <v>498</v>
      </c>
      <c r="B151" s="127" t="s">
        <v>498</v>
      </c>
      <c r="C151" s="127" t="s">
        <v>316</v>
      </c>
      <c r="D151" s="129" t="s">
        <v>319</v>
      </c>
      <c r="E151" s="130" t="s">
        <v>432</v>
      </c>
      <c r="F151" s="267" t="s">
        <v>444</v>
      </c>
      <c r="G151" s="130">
        <v>1502000</v>
      </c>
      <c r="H151" s="267" t="s">
        <v>326</v>
      </c>
      <c r="I151" s="297" t="s">
        <v>327</v>
      </c>
      <c r="J151" s="283"/>
      <c r="K151" s="280"/>
      <c r="L151" s="277"/>
    </row>
    <row r="152" spans="1:12" s="48" customFormat="1" ht="12" customHeight="1">
      <c r="A152" s="127" t="s">
        <v>498</v>
      </c>
      <c r="B152" s="127" t="s">
        <v>498</v>
      </c>
      <c r="C152" s="127" t="s">
        <v>316</v>
      </c>
      <c r="D152" s="129" t="s">
        <v>345</v>
      </c>
      <c r="E152" s="130" t="s">
        <v>432</v>
      </c>
      <c r="F152" s="267" t="s">
        <v>446</v>
      </c>
      <c r="G152" s="130">
        <v>1502000</v>
      </c>
      <c r="H152" s="267" t="s">
        <v>348</v>
      </c>
      <c r="I152" s="297" t="s">
        <v>349</v>
      </c>
      <c r="J152" s="283"/>
      <c r="K152" s="280"/>
      <c r="L152" s="277"/>
    </row>
    <row r="153" spans="1:12" s="48" customFormat="1" ht="12" customHeight="1">
      <c r="A153" s="127" t="s">
        <v>504</v>
      </c>
      <c r="B153" s="127" t="s">
        <v>504</v>
      </c>
      <c r="C153" s="127" t="s">
        <v>316</v>
      </c>
      <c r="D153" s="129" t="s">
        <v>317</v>
      </c>
      <c r="E153" s="130" t="s">
        <v>490</v>
      </c>
      <c r="F153" s="267" t="s">
        <v>491</v>
      </c>
      <c r="G153" s="130">
        <v>1502000</v>
      </c>
      <c r="H153" s="267">
        <v>3.1</v>
      </c>
      <c r="I153" s="297" t="s">
        <v>991</v>
      </c>
      <c r="J153" s="282"/>
      <c r="K153" s="280"/>
      <c r="L153" s="277"/>
    </row>
    <row r="154" spans="1:12" s="48" customFormat="1" ht="12" customHeight="1">
      <c r="A154" s="127" t="s">
        <v>504</v>
      </c>
      <c r="B154" s="127" t="s">
        <v>504</v>
      </c>
      <c r="C154" s="127" t="s">
        <v>316</v>
      </c>
      <c r="D154" s="129" t="s">
        <v>319</v>
      </c>
      <c r="E154" s="130" t="s">
        <v>490</v>
      </c>
      <c r="F154" s="267" t="s">
        <v>1117</v>
      </c>
      <c r="G154" s="130">
        <v>1502000</v>
      </c>
      <c r="H154" s="267" t="s">
        <v>322</v>
      </c>
      <c r="I154" s="297" t="s">
        <v>323</v>
      </c>
      <c r="J154" s="283"/>
      <c r="K154" s="280"/>
      <c r="L154" s="277"/>
    </row>
    <row r="155" spans="1:12" s="48" customFormat="1" ht="12" customHeight="1">
      <c r="A155" s="127" t="s">
        <v>557</v>
      </c>
      <c r="B155" s="127" t="s">
        <v>557</v>
      </c>
      <c r="C155" s="127" t="s">
        <v>316</v>
      </c>
      <c r="D155" s="129" t="s">
        <v>317</v>
      </c>
      <c r="E155" s="130" t="s">
        <v>493</v>
      </c>
      <c r="F155" s="267" t="s">
        <v>1118</v>
      </c>
      <c r="G155" s="130">
        <v>1502000</v>
      </c>
      <c r="H155" s="267">
        <v>3.1</v>
      </c>
      <c r="I155" s="297" t="s">
        <v>991</v>
      </c>
      <c r="J155" s="282"/>
      <c r="K155" s="280"/>
      <c r="L155" s="277"/>
    </row>
    <row r="156" spans="1:12" s="48" customFormat="1" ht="12" customHeight="1">
      <c r="A156" s="127" t="s">
        <v>557</v>
      </c>
      <c r="B156" s="127" t="s">
        <v>557</v>
      </c>
      <c r="C156" s="129" t="s">
        <v>316</v>
      </c>
      <c r="D156" s="129" t="s">
        <v>9</v>
      </c>
      <c r="E156" s="130" t="s">
        <v>493</v>
      </c>
      <c r="F156" s="267" t="s">
        <v>1119</v>
      </c>
      <c r="G156" s="130">
        <v>1502000</v>
      </c>
      <c r="H156" s="267">
        <v>3.2</v>
      </c>
      <c r="I156" s="297" t="s">
        <v>1001</v>
      </c>
      <c r="J156" s="282"/>
      <c r="K156" s="280"/>
      <c r="L156" s="277"/>
    </row>
    <row r="157" spans="1:12" s="48" customFormat="1" ht="12" customHeight="1">
      <c r="A157" s="127" t="s">
        <v>557</v>
      </c>
      <c r="B157" s="127" t="s">
        <v>557</v>
      </c>
      <c r="C157" s="129" t="s">
        <v>316</v>
      </c>
      <c r="D157" s="129" t="s">
        <v>319</v>
      </c>
      <c r="E157" s="130" t="s">
        <v>493</v>
      </c>
      <c r="F157" s="267" t="s">
        <v>494</v>
      </c>
      <c r="G157" s="130">
        <v>1502000</v>
      </c>
      <c r="H157" s="267" t="s">
        <v>324</v>
      </c>
      <c r="I157" s="297" t="s">
        <v>325</v>
      </c>
      <c r="J157" s="283"/>
      <c r="K157" s="280"/>
      <c r="L157" s="277"/>
    </row>
    <row r="158" spans="1:12" s="48" customFormat="1" ht="12" customHeight="1">
      <c r="A158" s="127" t="s">
        <v>557</v>
      </c>
      <c r="B158" s="127" t="s">
        <v>557</v>
      </c>
      <c r="C158" s="129" t="s">
        <v>316</v>
      </c>
      <c r="D158" s="129" t="s">
        <v>319</v>
      </c>
      <c r="E158" s="130" t="s">
        <v>493</v>
      </c>
      <c r="F158" s="267" t="s">
        <v>1150</v>
      </c>
      <c r="G158" s="130">
        <v>1502000</v>
      </c>
      <c r="H158" s="267" t="s">
        <v>326</v>
      </c>
      <c r="I158" s="297" t="s">
        <v>327</v>
      </c>
      <c r="J158" s="283"/>
      <c r="K158" s="280"/>
      <c r="L158" s="277"/>
    </row>
    <row r="159" spans="1:12" s="48" customFormat="1" ht="12" customHeight="1">
      <c r="A159" s="127" t="s">
        <v>557</v>
      </c>
      <c r="B159" s="127" t="s">
        <v>557</v>
      </c>
      <c r="C159" s="129" t="s">
        <v>316</v>
      </c>
      <c r="D159" s="129" t="s">
        <v>319</v>
      </c>
      <c r="E159" s="130" t="s">
        <v>493</v>
      </c>
      <c r="F159" s="267" t="s">
        <v>1151</v>
      </c>
      <c r="G159" s="130">
        <v>1502000</v>
      </c>
      <c r="H159" s="267" t="s">
        <v>328</v>
      </c>
      <c r="I159" s="297" t="s">
        <v>329</v>
      </c>
      <c r="J159" s="283"/>
      <c r="K159" s="280"/>
      <c r="L159" s="277"/>
    </row>
    <row r="160" spans="1:12" s="48" customFormat="1" ht="12" customHeight="1">
      <c r="A160" s="127" t="s">
        <v>557</v>
      </c>
      <c r="B160" s="127" t="s">
        <v>557</v>
      </c>
      <c r="C160" s="129" t="s">
        <v>316</v>
      </c>
      <c r="D160" s="129" t="s">
        <v>319</v>
      </c>
      <c r="E160" s="130" t="s">
        <v>493</v>
      </c>
      <c r="F160" s="267" t="s">
        <v>1157</v>
      </c>
      <c r="G160" s="130">
        <v>1502000</v>
      </c>
      <c r="H160" s="267" t="s">
        <v>336</v>
      </c>
      <c r="I160" s="297" t="s">
        <v>337</v>
      </c>
      <c r="J160" s="283"/>
      <c r="K160" s="280"/>
      <c r="L160" s="277"/>
    </row>
    <row r="161" spans="1:12" s="48" customFormat="1" ht="12" customHeight="1">
      <c r="A161" s="127" t="s">
        <v>557</v>
      </c>
      <c r="B161" s="127" t="s">
        <v>557</v>
      </c>
      <c r="C161" s="127" t="s">
        <v>316</v>
      </c>
      <c r="D161" s="129" t="s">
        <v>319</v>
      </c>
      <c r="E161" s="130" t="s">
        <v>493</v>
      </c>
      <c r="F161" s="267" t="s">
        <v>1152</v>
      </c>
      <c r="G161" s="130">
        <v>1502000</v>
      </c>
      <c r="H161" s="267" t="s">
        <v>338</v>
      </c>
      <c r="I161" s="297" t="s">
        <v>339</v>
      </c>
      <c r="J161" s="283"/>
      <c r="K161" s="280"/>
      <c r="L161" s="277"/>
    </row>
    <row r="162" spans="1:12" s="48" customFormat="1" ht="12" customHeight="1">
      <c r="A162" s="127" t="s">
        <v>557</v>
      </c>
      <c r="B162" s="127" t="s">
        <v>557</v>
      </c>
      <c r="C162" s="129" t="s">
        <v>316</v>
      </c>
      <c r="D162" s="129" t="s">
        <v>319</v>
      </c>
      <c r="E162" s="130" t="s">
        <v>493</v>
      </c>
      <c r="F162" s="267" t="s">
        <v>1153</v>
      </c>
      <c r="G162" s="130">
        <v>1502000</v>
      </c>
      <c r="H162" s="267" t="s">
        <v>340</v>
      </c>
      <c r="I162" s="297" t="s">
        <v>1139</v>
      </c>
      <c r="J162" s="283"/>
      <c r="K162" s="280"/>
      <c r="L162" s="277"/>
    </row>
    <row r="163" spans="1:12" s="48" customFormat="1" ht="12" customHeight="1">
      <c r="A163" s="127" t="s">
        <v>557</v>
      </c>
      <c r="B163" s="127" t="s">
        <v>557</v>
      </c>
      <c r="C163" s="129" t="s">
        <v>316</v>
      </c>
      <c r="D163" s="129" t="s">
        <v>345</v>
      </c>
      <c r="E163" s="130" t="s">
        <v>493</v>
      </c>
      <c r="F163" s="267" t="s">
        <v>1154</v>
      </c>
      <c r="G163" s="130">
        <v>1502000</v>
      </c>
      <c r="H163" s="267" t="s">
        <v>346</v>
      </c>
      <c r="I163" s="297" t="s">
        <v>347</v>
      </c>
      <c r="J163" s="283"/>
      <c r="K163" s="280"/>
      <c r="L163" s="277"/>
    </row>
    <row r="164" spans="1:12" s="48" customFormat="1" ht="12" customHeight="1">
      <c r="A164" s="127" t="s">
        <v>557</v>
      </c>
      <c r="B164" s="127" t="s">
        <v>557</v>
      </c>
      <c r="C164" s="129" t="s">
        <v>316</v>
      </c>
      <c r="D164" s="129" t="s">
        <v>345</v>
      </c>
      <c r="E164" s="130" t="s">
        <v>493</v>
      </c>
      <c r="F164" s="267" t="s">
        <v>1155</v>
      </c>
      <c r="G164" s="130">
        <v>1502000</v>
      </c>
      <c r="H164" s="267" t="s">
        <v>348</v>
      </c>
      <c r="I164" s="297" t="s">
        <v>349</v>
      </c>
      <c r="J164" s="283"/>
      <c r="K164" s="280"/>
      <c r="L164" s="277"/>
    </row>
    <row r="165" spans="1:12" s="48" customFormat="1" ht="12" customHeight="1">
      <c r="A165" s="127" t="s">
        <v>557</v>
      </c>
      <c r="B165" s="127" t="s">
        <v>557</v>
      </c>
      <c r="C165" s="129" t="s">
        <v>316</v>
      </c>
      <c r="D165" s="129" t="s">
        <v>354</v>
      </c>
      <c r="E165" s="130" t="s">
        <v>493</v>
      </c>
      <c r="F165" s="267" t="s">
        <v>1156</v>
      </c>
      <c r="G165" s="130">
        <v>1502000</v>
      </c>
      <c r="H165" s="267" t="s">
        <v>356</v>
      </c>
      <c r="I165" s="297" t="s">
        <v>357</v>
      </c>
      <c r="J165" s="283"/>
      <c r="K165" s="280"/>
      <c r="L165" s="277"/>
    </row>
    <row r="166" spans="1:12" s="48" customFormat="1" ht="12" customHeight="1">
      <c r="A166" s="127" t="s">
        <v>557</v>
      </c>
      <c r="B166" s="127" t="s">
        <v>557</v>
      </c>
      <c r="C166" s="129" t="s">
        <v>316</v>
      </c>
      <c r="D166" s="129" t="s">
        <v>354</v>
      </c>
      <c r="E166" s="130" t="s">
        <v>493</v>
      </c>
      <c r="F166" s="267" t="s">
        <v>1158</v>
      </c>
      <c r="G166" s="130">
        <v>1502000</v>
      </c>
      <c r="H166" s="267" t="s">
        <v>364</v>
      </c>
      <c r="I166" s="297" t="s">
        <v>365</v>
      </c>
      <c r="J166" s="283"/>
      <c r="K166" s="280"/>
      <c r="L166" s="277"/>
    </row>
    <row r="167" spans="1:12" s="48" customFormat="1" ht="12" customHeight="1">
      <c r="A167" s="129" t="s">
        <v>511</v>
      </c>
      <c r="B167" s="129" t="s">
        <v>511</v>
      </c>
      <c r="C167" s="129" t="s">
        <v>316</v>
      </c>
      <c r="D167" s="129" t="s">
        <v>317</v>
      </c>
      <c r="E167" s="130" t="s">
        <v>495</v>
      </c>
      <c r="F167" s="267" t="s">
        <v>1120</v>
      </c>
      <c r="G167" s="130">
        <v>1502000</v>
      </c>
      <c r="H167" s="267">
        <v>3.1</v>
      </c>
      <c r="I167" s="297" t="s">
        <v>991</v>
      </c>
      <c r="J167" s="282"/>
      <c r="K167" s="280"/>
      <c r="L167" s="277"/>
    </row>
    <row r="168" spans="1:12" s="48" customFormat="1" ht="12" customHeight="1">
      <c r="A168" s="129" t="s">
        <v>511</v>
      </c>
      <c r="B168" s="129" t="s">
        <v>511</v>
      </c>
      <c r="C168" s="129" t="s">
        <v>386</v>
      </c>
      <c r="D168" s="129" t="s">
        <v>18</v>
      </c>
      <c r="E168" s="130" t="s">
        <v>495</v>
      </c>
      <c r="F168" s="267" t="s">
        <v>1121</v>
      </c>
      <c r="G168" s="135">
        <v>1700000</v>
      </c>
      <c r="H168" s="130" t="s">
        <v>394</v>
      </c>
      <c r="I168" s="299" t="s">
        <v>395</v>
      </c>
      <c r="J168" s="282"/>
      <c r="K168" s="280"/>
      <c r="L168" s="277"/>
    </row>
    <row r="169" spans="1:12" s="48" customFormat="1" ht="12" customHeight="1">
      <c r="A169" s="129" t="s">
        <v>511</v>
      </c>
      <c r="B169" s="129" t="s">
        <v>511</v>
      </c>
      <c r="C169" s="129" t="s">
        <v>386</v>
      </c>
      <c r="D169" s="129" t="s">
        <v>18</v>
      </c>
      <c r="E169" s="130" t="s">
        <v>495</v>
      </c>
      <c r="F169" s="267" t="s">
        <v>496</v>
      </c>
      <c r="G169" s="135">
        <v>1700000</v>
      </c>
      <c r="H169" s="130" t="s">
        <v>399</v>
      </c>
      <c r="I169" s="299" t="s">
        <v>400</v>
      </c>
      <c r="J169" s="282"/>
      <c r="K169" s="280"/>
      <c r="L169" s="277"/>
    </row>
    <row r="170" spans="1:12" s="48" customFormat="1" ht="12" customHeight="1">
      <c r="A170" s="129" t="s">
        <v>511</v>
      </c>
      <c r="B170" s="129" t="s">
        <v>511</v>
      </c>
      <c r="C170" s="129" t="s">
        <v>386</v>
      </c>
      <c r="D170" s="129" t="s">
        <v>18</v>
      </c>
      <c r="E170" s="130" t="s">
        <v>495</v>
      </c>
      <c r="F170" s="267" t="s">
        <v>1159</v>
      </c>
      <c r="G170" s="135">
        <v>1700000</v>
      </c>
      <c r="H170" s="130" t="s">
        <v>401</v>
      </c>
      <c r="I170" s="297" t="s">
        <v>402</v>
      </c>
      <c r="J170" s="282"/>
      <c r="K170" s="280"/>
      <c r="L170" s="277"/>
    </row>
    <row r="171" spans="1:12" s="48" customFormat="1" ht="12" customHeight="1">
      <c r="A171" s="134" t="s">
        <v>514</v>
      </c>
      <c r="B171" s="134" t="s">
        <v>514</v>
      </c>
      <c r="C171" s="129" t="s">
        <v>386</v>
      </c>
      <c r="D171" s="129" t="s">
        <v>18</v>
      </c>
      <c r="E171" s="130" t="s">
        <v>499</v>
      </c>
      <c r="F171" s="267" t="s">
        <v>1122</v>
      </c>
      <c r="G171" s="135">
        <v>1700000</v>
      </c>
      <c r="H171" s="130" t="s">
        <v>396</v>
      </c>
      <c r="I171" s="299" t="s">
        <v>397</v>
      </c>
      <c r="J171" s="282"/>
      <c r="K171" s="280"/>
      <c r="L171" s="277"/>
    </row>
    <row r="172" spans="1:12" s="48" customFormat="1" ht="12" customHeight="1">
      <c r="A172" s="134" t="s">
        <v>514</v>
      </c>
      <c r="B172" s="134" t="s">
        <v>514</v>
      </c>
      <c r="C172" s="129" t="s">
        <v>386</v>
      </c>
      <c r="D172" s="129" t="s">
        <v>18</v>
      </c>
      <c r="E172" s="130" t="s">
        <v>499</v>
      </c>
      <c r="F172" s="267" t="s">
        <v>1123</v>
      </c>
      <c r="G172" s="135">
        <v>1700000</v>
      </c>
      <c r="H172" s="130" t="s">
        <v>399</v>
      </c>
      <c r="I172" s="299" t="s">
        <v>400</v>
      </c>
      <c r="J172" s="282"/>
      <c r="K172" s="280"/>
      <c r="L172" s="277"/>
    </row>
    <row r="173" spans="1:12" s="48" customFormat="1" ht="12" customHeight="1">
      <c r="A173" s="127" t="s">
        <v>515</v>
      </c>
      <c r="B173" s="127" t="s">
        <v>515</v>
      </c>
      <c r="C173" s="127" t="s">
        <v>316</v>
      </c>
      <c r="D173" s="129" t="s">
        <v>317</v>
      </c>
      <c r="E173" s="130" t="s">
        <v>1009</v>
      </c>
      <c r="F173" s="267" t="s">
        <v>1124</v>
      </c>
      <c r="G173" s="130">
        <v>1502000</v>
      </c>
      <c r="H173" s="267">
        <v>3.1</v>
      </c>
      <c r="I173" s="297" t="s">
        <v>991</v>
      </c>
      <c r="J173" s="282"/>
      <c r="K173" s="280"/>
      <c r="L173" s="277"/>
    </row>
    <row r="174" spans="1:12" s="48" customFormat="1" ht="12" customHeight="1">
      <c r="A174" s="127" t="s">
        <v>515</v>
      </c>
      <c r="B174" s="127" t="s">
        <v>515</v>
      </c>
      <c r="C174" s="127" t="s">
        <v>316</v>
      </c>
      <c r="D174" s="129" t="s">
        <v>319</v>
      </c>
      <c r="E174" s="130" t="s">
        <v>1009</v>
      </c>
      <c r="F174" s="267" t="s">
        <v>1125</v>
      </c>
      <c r="G174" s="130">
        <v>1502000</v>
      </c>
      <c r="H174" s="267" t="s">
        <v>324</v>
      </c>
      <c r="I174" s="297" t="s">
        <v>325</v>
      </c>
      <c r="J174" s="283"/>
      <c r="K174" s="280"/>
      <c r="L174" s="277"/>
    </row>
    <row r="175" spans="1:12" s="48" customFormat="1" ht="12" customHeight="1">
      <c r="A175" s="127" t="s">
        <v>515</v>
      </c>
      <c r="B175" s="127" t="s">
        <v>515</v>
      </c>
      <c r="C175" s="127" t="s">
        <v>316</v>
      </c>
      <c r="D175" s="129" t="s">
        <v>319</v>
      </c>
      <c r="E175" s="130" t="s">
        <v>1009</v>
      </c>
      <c r="F175" s="267" t="s">
        <v>500</v>
      </c>
      <c r="G175" s="130">
        <v>1502000</v>
      </c>
      <c r="H175" s="267" t="s">
        <v>330</v>
      </c>
      <c r="I175" s="297" t="s">
        <v>331</v>
      </c>
      <c r="J175" s="283"/>
      <c r="K175" s="280"/>
      <c r="L175" s="277"/>
    </row>
    <row r="176" spans="1:12" s="48" customFormat="1" ht="12" customHeight="1">
      <c r="A176" s="127" t="s">
        <v>515</v>
      </c>
      <c r="B176" s="127" t="s">
        <v>515</v>
      </c>
      <c r="C176" s="127" t="s">
        <v>316</v>
      </c>
      <c r="D176" s="129" t="s">
        <v>319</v>
      </c>
      <c r="E176" s="130" t="s">
        <v>1009</v>
      </c>
      <c r="F176" s="267" t="s">
        <v>1126</v>
      </c>
      <c r="G176" s="130">
        <v>1502000</v>
      </c>
      <c r="H176" s="267" t="s">
        <v>336</v>
      </c>
      <c r="I176" s="297" t="s">
        <v>337</v>
      </c>
      <c r="J176" s="283"/>
      <c r="K176" s="280"/>
      <c r="L176" s="277"/>
    </row>
    <row r="177" spans="1:12" s="48" customFormat="1" ht="12" customHeight="1">
      <c r="A177" s="127" t="s">
        <v>515</v>
      </c>
      <c r="B177" s="127" t="s">
        <v>515</v>
      </c>
      <c r="C177" s="127" t="s">
        <v>316</v>
      </c>
      <c r="D177" s="129" t="s">
        <v>319</v>
      </c>
      <c r="E177" s="130" t="s">
        <v>1009</v>
      </c>
      <c r="F177" s="267" t="s">
        <v>1160</v>
      </c>
      <c r="G177" s="130">
        <v>1502000</v>
      </c>
      <c r="H177" s="267" t="s">
        <v>341</v>
      </c>
      <c r="I177" s="297" t="s">
        <v>342</v>
      </c>
      <c r="J177" s="283"/>
      <c r="K177" s="280"/>
      <c r="L177" s="277"/>
    </row>
    <row r="178" spans="1:12" s="48" customFormat="1" ht="12" customHeight="1">
      <c r="A178" s="127" t="s">
        <v>515</v>
      </c>
      <c r="B178" s="127" t="s">
        <v>515</v>
      </c>
      <c r="C178" s="127" t="s">
        <v>316</v>
      </c>
      <c r="D178" s="127" t="s">
        <v>345</v>
      </c>
      <c r="E178" s="130" t="s">
        <v>1009</v>
      </c>
      <c r="F178" s="267" t="s">
        <v>1161</v>
      </c>
      <c r="G178" s="130">
        <v>1502000</v>
      </c>
      <c r="H178" s="267" t="s">
        <v>346</v>
      </c>
      <c r="I178" s="297" t="s">
        <v>347</v>
      </c>
      <c r="J178" s="283"/>
      <c r="K178" s="280"/>
      <c r="L178" s="277"/>
    </row>
    <row r="179" spans="1:12" s="48" customFormat="1" ht="12" customHeight="1">
      <c r="A179" s="127" t="s">
        <v>515</v>
      </c>
      <c r="B179" s="127" t="s">
        <v>515</v>
      </c>
      <c r="C179" s="127" t="s">
        <v>316</v>
      </c>
      <c r="D179" s="127" t="s">
        <v>345</v>
      </c>
      <c r="E179" s="130" t="s">
        <v>1009</v>
      </c>
      <c r="F179" s="267" t="s">
        <v>1162</v>
      </c>
      <c r="G179" s="130">
        <v>1502000</v>
      </c>
      <c r="H179" s="267" t="s">
        <v>352</v>
      </c>
      <c r="I179" s="297" t="s">
        <v>342</v>
      </c>
      <c r="J179" s="283"/>
      <c r="K179" s="280"/>
      <c r="L179" s="277"/>
    </row>
    <row r="180" spans="1:12" s="48" customFormat="1" ht="12" customHeight="1">
      <c r="A180" s="127" t="s">
        <v>516</v>
      </c>
      <c r="B180" s="127" t="s">
        <v>516</v>
      </c>
      <c r="C180" s="127" t="s">
        <v>316</v>
      </c>
      <c r="D180" s="129" t="s">
        <v>319</v>
      </c>
      <c r="E180" s="130" t="s">
        <v>501</v>
      </c>
      <c r="F180" s="267" t="s">
        <v>502</v>
      </c>
      <c r="G180" s="130">
        <v>1502000</v>
      </c>
      <c r="H180" s="267" t="s">
        <v>322</v>
      </c>
      <c r="I180" s="297" t="s">
        <v>323</v>
      </c>
      <c r="J180" s="283"/>
      <c r="K180" s="280"/>
      <c r="L180" s="277"/>
    </row>
    <row r="181" spans="1:12" s="48" customFormat="1" ht="12" customHeight="1">
      <c r="A181" s="127" t="s">
        <v>516</v>
      </c>
      <c r="B181" s="127" t="s">
        <v>516</v>
      </c>
      <c r="C181" s="129" t="s">
        <v>316</v>
      </c>
      <c r="D181" s="129" t="s">
        <v>319</v>
      </c>
      <c r="E181" s="130" t="s">
        <v>501</v>
      </c>
      <c r="F181" s="267" t="s">
        <v>503</v>
      </c>
      <c r="G181" s="130">
        <v>1502000</v>
      </c>
      <c r="H181" s="267" t="s">
        <v>336</v>
      </c>
      <c r="I181" s="297" t="s">
        <v>337</v>
      </c>
      <c r="J181" s="283"/>
      <c r="K181" s="280"/>
      <c r="L181" s="277"/>
    </row>
    <row r="182" spans="1:12" s="48" customFormat="1" ht="12" customHeight="1">
      <c r="A182" s="127" t="s">
        <v>516</v>
      </c>
      <c r="B182" s="127" t="s">
        <v>516</v>
      </c>
      <c r="C182" s="127" t="s">
        <v>316</v>
      </c>
      <c r="D182" s="129" t="s">
        <v>319</v>
      </c>
      <c r="E182" s="130" t="s">
        <v>501</v>
      </c>
      <c r="F182" s="267" t="s">
        <v>1163</v>
      </c>
      <c r="G182" s="130">
        <v>1502000</v>
      </c>
      <c r="H182" s="267" t="s">
        <v>338</v>
      </c>
      <c r="I182" s="297" t="s">
        <v>339</v>
      </c>
      <c r="J182" s="283"/>
      <c r="K182" s="280"/>
      <c r="L182" s="277"/>
    </row>
    <row r="183" spans="1:12" s="78" customFormat="1" ht="12" customHeight="1">
      <c r="A183" s="127" t="s">
        <v>516</v>
      </c>
      <c r="B183" s="127" t="s">
        <v>516</v>
      </c>
      <c r="C183" s="129" t="s">
        <v>316</v>
      </c>
      <c r="D183" s="129" t="s">
        <v>354</v>
      </c>
      <c r="E183" s="130" t="s">
        <v>501</v>
      </c>
      <c r="F183" s="267" t="s">
        <v>1164</v>
      </c>
      <c r="G183" s="130">
        <v>1502000</v>
      </c>
      <c r="H183" s="267" t="s">
        <v>360</v>
      </c>
      <c r="I183" s="297" t="s">
        <v>361</v>
      </c>
      <c r="J183" s="283"/>
      <c r="K183" s="280"/>
      <c r="L183" s="277"/>
    </row>
    <row r="184" spans="1:12" s="48" customFormat="1" ht="12" customHeight="1">
      <c r="A184" s="127" t="s">
        <v>517</v>
      </c>
      <c r="B184" s="127" t="s">
        <v>517</v>
      </c>
      <c r="C184" s="127" t="s">
        <v>316</v>
      </c>
      <c r="D184" s="129" t="s">
        <v>319</v>
      </c>
      <c r="E184" s="130" t="s">
        <v>505</v>
      </c>
      <c r="F184" s="267" t="s">
        <v>1127</v>
      </c>
      <c r="G184" s="130">
        <v>1502000</v>
      </c>
      <c r="H184" s="267" t="s">
        <v>324</v>
      </c>
      <c r="I184" s="297" t="s">
        <v>325</v>
      </c>
      <c r="J184" s="283"/>
      <c r="K184" s="280"/>
      <c r="L184" s="277"/>
    </row>
    <row r="185" spans="1:12" s="48" customFormat="1" ht="12" customHeight="1">
      <c r="A185" s="127" t="s">
        <v>517</v>
      </c>
      <c r="B185" s="127" t="s">
        <v>517</v>
      </c>
      <c r="C185" s="129" t="s">
        <v>316</v>
      </c>
      <c r="D185" s="129" t="s">
        <v>319</v>
      </c>
      <c r="E185" s="130" t="s">
        <v>505</v>
      </c>
      <c r="F185" s="267" t="s">
        <v>1128</v>
      </c>
      <c r="G185" s="130">
        <v>1502000</v>
      </c>
      <c r="H185" s="267" t="s">
        <v>336</v>
      </c>
      <c r="I185" s="297" t="s">
        <v>337</v>
      </c>
      <c r="J185" s="283"/>
      <c r="K185" s="280"/>
      <c r="L185" s="277"/>
    </row>
    <row r="186" spans="1:12" s="48" customFormat="1" ht="12" customHeight="1">
      <c r="A186" s="127" t="s">
        <v>517</v>
      </c>
      <c r="B186" s="127" t="s">
        <v>517</v>
      </c>
      <c r="C186" s="129" t="s">
        <v>316</v>
      </c>
      <c r="D186" s="129" t="s">
        <v>319</v>
      </c>
      <c r="E186" s="130" t="s">
        <v>505</v>
      </c>
      <c r="F186" s="267" t="s">
        <v>506</v>
      </c>
      <c r="G186" s="130">
        <v>1502000</v>
      </c>
      <c r="H186" s="267" t="s">
        <v>341</v>
      </c>
      <c r="I186" s="297" t="s">
        <v>342</v>
      </c>
      <c r="J186" s="283"/>
      <c r="K186" s="280"/>
      <c r="L186" s="277"/>
    </row>
    <row r="187" spans="1:12" s="48" customFormat="1" ht="12" customHeight="1">
      <c r="A187" s="127" t="s">
        <v>517</v>
      </c>
      <c r="B187" s="127" t="s">
        <v>517</v>
      </c>
      <c r="C187" s="127" t="s">
        <v>316</v>
      </c>
      <c r="D187" s="127" t="s">
        <v>345</v>
      </c>
      <c r="E187" s="130" t="s">
        <v>505</v>
      </c>
      <c r="F187" s="267" t="s">
        <v>507</v>
      </c>
      <c r="G187" s="130">
        <v>1502000</v>
      </c>
      <c r="H187" s="267" t="s">
        <v>352</v>
      </c>
      <c r="I187" s="297" t="s">
        <v>342</v>
      </c>
      <c r="J187" s="283"/>
      <c r="K187" s="280"/>
      <c r="L187" s="277"/>
    </row>
    <row r="188" spans="1:12" s="48" customFormat="1" ht="12" customHeight="1">
      <c r="A188" s="127" t="s">
        <v>518</v>
      </c>
      <c r="B188" s="127" t="s">
        <v>518</v>
      </c>
      <c r="C188" s="127" t="s">
        <v>316</v>
      </c>
      <c r="D188" s="129" t="s">
        <v>319</v>
      </c>
      <c r="E188" s="130" t="s">
        <v>508</v>
      </c>
      <c r="F188" s="267" t="s">
        <v>1129</v>
      </c>
      <c r="G188" s="130">
        <v>1502000</v>
      </c>
      <c r="H188" s="267" t="s">
        <v>330</v>
      </c>
      <c r="I188" s="297" t="s">
        <v>331</v>
      </c>
      <c r="J188" s="283"/>
      <c r="K188" s="280"/>
      <c r="L188" s="277"/>
    </row>
    <row r="189" spans="1:12" s="48" customFormat="1" ht="12" customHeight="1">
      <c r="A189" s="127" t="s">
        <v>518</v>
      </c>
      <c r="B189" s="127" t="s">
        <v>518</v>
      </c>
      <c r="C189" s="129" t="s">
        <v>316</v>
      </c>
      <c r="D189" s="129" t="s">
        <v>319</v>
      </c>
      <c r="E189" s="130" t="s">
        <v>508</v>
      </c>
      <c r="F189" s="267" t="s">
        <v>1130</v>
      </c>
      <c r="G189" s="130">
        <v>1502000</v>
      </c>
      <c r="H189" s="267" t="s">
        <v>322</v>
      </c>
      <c r="I189" s="297" t="s">
        <v>323</v>
      </c>
      <c r="J189" s="283"/>
      <c r="K189" s="280"/>
      <c r="L189" s="277"/>
    </row>
    <row r="190" spans="1:12" s="48" customFormat="1" ht="12" customHeight="1">
      <c r="A190" s="127" t="s">
        <v>518</v>
      </c>
      <c r="B190" s="127" t="s">
        <v>518</v>
      </c>
      <c r="C190" s="129" t="s">
        <v>316</v>
      </c>
      <c r="D190" s="129" t="s">
        <v>319</v>
      </c>
      <c r="E190" s="130" t="s">
        <v>508</v>
      </c>
      <c r="F190" s="267" t="s">
        <v>509</v>
      </c>
      <c r="G190" s="130">
        <v>1502000</v>
      </c>
      <c r="H190" s="267" t="s">
        <v>336</v>
      </c>
      <c r="I190" s="297" t="s">
        <v>337</v>
      </c>
      <c r="J190" s="283"/>
      <c r="K190" s="280"/>
      <c r="L190" s="277"/>
    </row>
    <row r="191" spans="1:12" s="48" customFormat="1" ht="12" customHeight="1">
      <c r="A191" s="127" t="s">
        <v>518</v>
      </c>
      <c r="B191" s="127" t="s">
        <v>518</v>
      </c>
      <c r="C191" s="127" t="s">
        <v>316</v>
      </c>
      <c r="D191" s="129" t="s">
        <v>354</v>
      </c>
      <c r="E191" s="130" t="s">
        <v>508</v>
      </c>
      <c r="F191" s="267" t="s">
        <v>510</v>
      </c>
      <c r="G191" s="130">
        <v>1502000</v>
      </c>
      <c r="H191" s="267" t="s">
        <v>360</v>
      </c>
      <c r="I191" s="297" t="s">
        <v>361</v>
      </c>
      <c r="J191" s="283"/>
      <c r="K191" s="280"/>
      <c r="L191" s="277"/>
    </row>
    <row r="192" spans="1:12" s="48" customFormat="1" ht="12" customHeight="1">
      <c r="A192" s="127" t="s">
        <v>518</v>
      </c>
      <c r="B192" s="127" t="s">
        <v>518</v>
      </c>
      <c r="C192" s="129" t="s">
        <v>316</v>
      </c>
      <c r="D192" s="129" t="s">
        <v>319</v>
      </c>
      <c r="E192" s="130" t="s">
        <v>508</v>
      </c>
      <c r="F192" s="267" t="s">
        <v>1165</v>
      </c>
      <c r="G192" s="133">
        <v>1502000</v>
      </c>
      <c r="H192" s="267" t="s">
        <v>338</v>
      </c>
      <c r="I192" s="297" t="s">
        <v>339</v>
      </c>
      <c r="J192" s="283"/>
      <c r="K192" s="280"/>
      <c r="L192" s="277"/>
    </row>
    <row r="193" spans="1:12" ht="12" customHeight="1">
      <c r="A193" s="24"/>
      <c r="B193" s="24"/>
      <c r="C193" s="24"/>
      <c r="D193" s="24"/>
      <c r="E193" s="24"/>
      <c r="F193" s="268"/>
      <c r="G193" s="123"/>
      <c r="H193" s="124"/>
      <c r="I193" s="300" t="s">
        <v>519</v>
      </c>
      <c r="J193" s="290"/>
      <c r="K193" s="280"/>
      <c r="L193" s="277"/>
    </row>
    <row r="195" spans="1:12" ht="12" customHeight="1"/>
  </sheetData>
  <mergeCells count="3">
    <mergeCell ref="C1:J1"/>
    <mergeCell ref="C2:J2"/>
    <mergeCell ref="C3:J3"/>
  </mergeCells>
  <pageMargins left="0.7" right="0.7" top="0.75" bottom="0.75" header="0.3" footer="0.3"/>
  <ignoredErrors>
    <ignoredError sqref="G62:G67 G8:G9 G8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
  <sheetViews>
    <sheetView zoomScale="90" zoomScaleNormal="90" workbookViewId="0">
      <selection activeCell="E32" sqref="E32"/>
    </sheetView>
  </sheetViews>
  <sheetFormatPr defaultColWidth="9.140625" defaultRowHeight="12.75"/>
  <cols>
    <col min="1" max="1" width="10.85546875" style="21" customWidth="1"/>
    <col min="2" max="2" width="17.140625" style="21" customWidth="1"/>
    <col min="3" max="3" width="16.5703125" style="21" customWidth="1"/>
    <col min="4" max="4" width="9.140625" style="21"/>
    <col min="5" max="5" width="10.7109375" style="46" customWidth="1"/>
    <col min="6" max="6" width="10.7109375" style="45" customWidth="1"/>
    <col min="7" max="7" width="10.42578125" style="45" customWidth="1"/>
    <col min="8" max="8" width="53.140625" style="21" customWidth="1"/>
    <col min="9" max="10" width="9.140625" style="21"/>
    <col min="11" max="11" width="11.140625" style="21" customWidth="1"/>
    <col min="12" max="12" width="13.5703125" style="21" customWidth="1"/>
    <col min="13" max="16384" width="9.140625" style="21"/>
  </cols>
  <sheetData>
    <row r="1" spans="1:13" ht="15">
      <c r="B1" s="305" t="s">
        <v>279</v>
      </c>
      <c r="C1" s="306"/>
      <c r="D1" s="306"/>
      <c r="E1" s="306"/>
      <c r="F1" s="306"/>
      <c r="G1" s="306"/>
      <c r="H1" s="306"/>
    </row>
    <row r="2" spans="1:13" ht="15">
      <c r="B2" s="305" t="s">
        <v>280</v>
      </c>
      <c r="C2" s="306"/>
      <c r="D2" s="306"/>
      <c r="E2" s="306"/>
      <c r="F2" s="306"/>
      <c r="G2" s="306"/>
      <c r="H2" s="306"/>
    </row>
    <row r="3" spans="1:13" ht="15">
      <c r="B3" s="305" t="s">
        <v>1135</v>
      </c>
      <c r="C3" s="306"/>
      <c r="D3" s="306"/>
      <c r="E3" s="306"/>
      <c r="F3" s="306"/>
      <c r="G3" s="306"/>
      <c r="H3" s="306"/>
    </row>
    <row r="4" spans="1:13">
      <c r="B4" s="263"/>
      <c r="E4" s="55"/>
      <c r="F4" s="235"/>
      <c r="G4" s="235"/>
      <c r="H4" s="24"/>
    </row>
    <row r="5" spans="1:13">
      <c r="B5" s="263"/>
      <c r="E5" s="55"/>
      <c r="F5" s="235"/>
      <c r="G5" s="235"/>
      <c r="H5" s="24"/>
    </row>
    <row r="6" spans="1:13">
      <c r="B6" s="261" t="s">
        <v>1133</v>
      </c>
      <c r="C6" s="60"/>
      <c r="D6" s="60"/>
      <c r="E6" s="60"/>
      <c r="F6" s="54"/>
      <c r="G6" s="60"/>
      <c r="H6" s="60"/>
    </row>
    <row r="7" spans="1:13" ht="12.95" customHeight="1">
      <c r="B7" s="262" t="s">
        <v>282</v>
      </c>
      <c r="C7" s="59"/>
      <c r="D7" s="59"/>
      <c r="E7" s="58"/>
      <c r="F7" s="235"/>
      <c r="G7" s="58"/>
      <c r="H7" s="58"/>
    </row>
    <row r="8" spans="1:13" ht="13.5" thickBot="1">
      <c r="B8" s="64" t="s">
        <v>1167</v>
      </c>
      <c r="C8" s="62"/>
      <c r="D8" s="62"/>
      <c r="E8" s="62"/>
      <c r="F8" s="63"/>
      <c r="G8" s="62"/>
      <c r="H8" s="62"/>
    </row>
    <row r="9" spans="1:13" s="45" customFormat="1" ht="77.25" thickBot="1">
      <c r="A9" s="121" t="s">
        <v>283</v>
      </c>
      <c r="B9" s="121" t="s">
        <v>284</v>
      </c>
      <c r="C9" s="121" t="s">
        <v>285</v>
      </c>
      <c r="D9" s="121" t="s">
        <v>286</v>
      </c>
      <c r="E9" s="121" t="s">
        <v>287</v>
      </c>
      <c r="F9" s="121" t="s">
        <v>288</v>
      </c>
      <c r="G9" s="121" t="s">
        <v>289</v>
      </c>
      <c r="H9" s="122" t="s">
        <v>28</v>
      </c>
      <c r="I9" s="122" t="s">
        <v>291</v>
      </c>
      <c r="J9" s="122" t="s">
        <v>292</v>
      </c>
      <c r="K9" s="275" t="s">
        <v>290</v>
      </c>
      <c r="L9" s="275" t="s">
        <v>1137</v>
      </c>
      <c r="M9" s="275" t="s">
        <v>1138</v>
      </c>
    </row>
    <row r="10" spans="1:13" s="48" customFormat="1">
      <c r="A10" s="134" t="s">
        <v>373</v>
      </c>
      <c r="B10" s="129" t="s">
        <v>522</v>
      </c>
      <c r="C10" s="129" t="s">
        <v>376</v>
      </c>
      <c r="D10" s="130" t="s">
        <v>512</v>
      </c>
      <c r="E10" s="130" t="s">
        <v>1131</v>
      </c>
      <c r="F10" s="130">
        <v>1606000</v>
      </c>
      <c r="G10" s="130">
        <v>3.1</v>
      </c>
      <c r="H10" s="134" t="s">
        <v>16</v>
      </c>
      <c r="I10" s="130">
        <v>12</v>
      </c>
      <c r="J10" s="130" t="s">
        <v>305</v>
      </c>
      <c r="K10" s="276"/>
      <c r="L10" s="278"/>
      <c r="M10" s="279"/>
    </row>
    <row r="11" spans="1:13" s="48" customFormat="1">
      <c r="A11" s="134" t="s">
        <v>315</v>
      </c>
      <c r="B11" s="129" t="s">
        <v>522</v>
      </c>
      <c r="C11" s="129" t="s">
        <v>317</v>
      </c>
      <c r="D11" s="130" t="s">
        <v>512</v>
      </c>
      <c r="E11" s="130" t="s">
        <v>513</v>
      </c>
      <c r="F11" s="130">
        <v>1606000</v>
      </c>
      <c r="G11" s="130" t="s">
        <v>381</v>
      </c>
      <c r="H11" s="134" t="s">
        <v>317</v>
      </c>
      <c r="I11" s="136">
        <v>80</v>
      </c>
      <c r="J11" s="130" t="s">
        <v>301</v>
      </c>
      <c r="K11" s="276"/>
      <c r="L11" s="280"/>
      <c r="M11" s="277"/>
    </row>
    <row r="12" spans="1:13" s="48" customFormat="1">
      <c r="A12" s="134" t="s">
        <v>315</v>
      </c>
      <c r="B12" s="129" t="s">
        <v>522</v>
      </c>
      <c r="C12" s="129" t="s">
        <v>376</v>
      </c>
      <c r="D12" s="130" t="s">
        <v>512</v>
      </c>
      <c r="E12" s="130" t="s">
        <v>1168</v>
      </c>
      <c r="F12" s="130">
        <v>1606000</v>
      </c>
      <c r="G12" s="130">
        <v>3.3</v>
      </c>
      <c r="H12" s="134" t="s">
        <v>529</v>
      </c>
      <c r="I12" s="130">
        <v>12</v>
      </c>
      <c r="J12" s="130" t="s">
        <v>305</v>
      </c>
      <c r="K12" s="281"/>
      <c r="L12" s="280"/>
      <c r="M12" s="277"/>
    </row>
    <row r="13" spans="1:13" s="48" customFormat="1" ht="14.1" customHeight="1">
      <c r="A13" s="134" t="s">
        <v>373</v>
      </c>
      <c r="B13" s="129" t="s">
        <v>522</v>
      </c>
      <c r="C13" s="129" t="s">
        <v>376</v>
      </c>
      <c r="D13" s="130" t="s">
        <v>512</v>
      </c>
      <c r="E13" s="130" t="s">
        <v>1169</v>
      </c>
      <c r="F13" s="130">
        <v>1606000</v>
      </c>
      <c r="G13" s="130">
        <v>3.4</v>
      </c>
      <c r="H13" s="134" t="s">
        <v>531</v>
      </c>
      <c r="I13" s="130">
        <v>12</v>
      </c>
      <c r="J13" s="130" t="s">
        <v>305</v>
      </c>
      <c r="K13" s="281"/>
      <c r="L13" s="280"/>
      <c r="M13" s="277"/>
    </row>
    <row r="14" spans="1:13">
      <c r="H14" s="300" t="s">
        <v>519</v>
      </c>
      <c r="I14" s="290"/>
      <c r="J14" s="280"/>
      <c r="K14" s="277"/>
      <c r="L14" s="280"/>
      <c r="M14" s="277"/>
    </row>
  </sheetData>
  <mergeCells count="3">
    <mergeCell ref="B1:H1"/>
    <mergeCell ref="B2:H2"/>
    <mergeCell ref="B3:H3"/>
  </mergeCells>
  <pageMargins left="0.7" right="0.7" top="0.75" bottom="0.75" header="0.3" footer="0.3"/>
  <pageSetup fitToHeight="0" orientation="portrait" horizontalDpi="1200" verticalDpi="1200"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4"/>
  <sheetViews>
    <sheetView topLeftCell="A4" zoomScaleNormal="100" workbookViewId="0"/>
  </sheetViews>
  <sheetFormatPr defaultColWidth="9.140625" defaultRowHeight="12.75"/>
  <cols>
    <col min="1" max="1" width="16.7109375" style="21" customWidth="1"/>
    <col min="2" max="2" width="24.5703125" style="21" customWidth="1"/>
    <col min="3" max="3" width="32.85546875" style="21" customWidth="1"/>
    <col min="4" max="4" width="9.140625" style="21"/>
    <col min="5" max="5" width="10.7109375" style="46" customWidth="1"/>
    <col min="6" max="6" width="17" style="45" customWidth="1"/>
    <col min="7" max="7" width="14" style="45" customWidth="1"/>
    <col min="8" max="8" width="84.28515625" style="21" customWidth="1"/>
    <col min="9" max="10" width="12.7109375" style="45" customWidth="1"/>
    <col min="11" max="11" width="12.7109375" style="21" customWidth="1"/>
    <col min="12" max="12" width="21.28515625" style="21" bestFit="1" customWidth="1"/>
    <col min="13" max="16384" width="9.140625" style="21"/>
  </cols>
  <sheetData>
    <row r="1" spans="1:16" ht="15">
      <c r="B1" s="305" t="s">
        <v>279</v>
      </c>
      <c r="C1" s="306"/>
      <c r="D1" s="306"/>
      <c r="E1" s="306"/>
      <c r="F1" s="306"/>
      <c r="G1" s="306"/>
      <c r="H1" s="306"/>
      <c r="I1" s="306"/>
      <c r="J1" s="306"/>
      <c r="K1" s="306"/>
      <c r="L1" s="307"/>
    </row>
    <row r="2" spans="1:16" ht="15">
      <c r="B2" s="305" t="s">
        <v>280</v>
      </c>
      <c r="C2" s="306"/>
      <c r="D2" s="306"/>
      <c r="E2" s="306"/>
      <c r="F2" s="306"/>
      <c r="G2" s="306"/>
      <c r="H2" s="306"/>
      <c r="I2" s="306"/>
      <c r="J2" s="306"/>
      <c r="K2" s="306"/>
      <c r="L2" s="307"/>
    </row>
    <row r="3" spans="1:16" ht="15">
      <c r="B3" s="305" t="s">
        <v>281</v>
      </c>
      <c r="C3" s="306"/>
      <c r="D3" s="306"/>
      <c r="E3" s="306"/>
      <c r="F3" s="306"/>
      <c r="G3" s="306"/>
      <c r="H3" s="306"/>
      <c r="I3" s="306"/>
      <c r="J3" s="306"/>
      <c r="K3" s="306"/>
      <c r="L3" s="307"/>
    </row>
    <row r="4" spans="1:16">
      <c r="B4" s="263"/>
      <c r="E4" s="55"/>
      <c r="F4" s="235"/>
      <c r="G4" s="235"/>
      <c r="H4" s="24"/>
      <c r="I4" s="235"/>
      <c r="J4" s="235"/>
      <c r="K4" s="24"/>
      <c r="L4" s="53"/>
    </row>
    <row r="5" spans="1:16">
      <c r="B5" s="261" t="s">
        <v>520</v>
      </c>
      <c r="C5" s="60"/>
      <c r="D5" s="60"/>
      <c r="E5" s="60"/>
      <c r="F5" s="54"/>
      <c r="G5" s="60"/>
      <c r="H5" s="60"/>
      <c r="I5" s="60"/>
      <c r="L5" s="53"/>
    </row>
    <row r="6" spans="1:16" ht="12.95" customHeight="1">
      <c r="B6" s="262" t="s">
        <v>282</v>
      </c>
      <c r="C6" s="59"/>
      <c r="D6" s="59"/>
      <c r="E6" s="58"/>
      <c r="F6" s="235"/>
      <c r="G6" s="58"/>
      <c r="H6" s="58"/>
      <c r="I6" s="58"/>
      <c r="L6" s="53"/>
    </row>
    <row r="7" spans="1:16">
      <c r="B7" s="64" t="s">
        <v>521</v>
      </c>
      <c r="C7" s="62"/>
      <c r="D7" s="62"/>
      <c r="E7" s="62"/>
      <c r="F7" s="63"/>
      <c r="G7" s="62"/>
      <c r="H7" s="62"/>
      <c r="I7" s="61"/>
      <c r="L7" s="51"/>
    </row>
    <row r="8" spans="1:16" ht="25.5">
      <c r="A8" s="126" t="s">
        <v>283</v>
      </c>
      <c r="B8" s="126" t="s">
        <v>284</v>
      </c>
      <c r="C8" s="126" t="s">
        <v>285</v>
      </c>
      <c r="D8" s="126" t="s">
        <v>286</v>
      </c>
      <c r="E8" s="126" t="s">
        <v>287</v>
      </c>
      <c r="F8" s="126" t="s">
        <v>288</v>
      </c>
      <c r="G8" s="126" t="s">
        <v>289</v>
      </c>
      <c r="H8" s="138" t="s">
        <v>28</v>
      </c>
      <c r="I8" s="248" t="s">
        <v>291</v>
      </c>
      <c r="J8" s="248" t="s">
        <v>292</v>
      </c>
      <c r="K8" s="248" t="s">
        <v>293</v>
      </c>
      <c r="L8" s="248" t="s">
        <v>535</v>
      </c>
    </row>
    <row r="9" spans="1:16">
      <c r="A9" s="139" t="s">
        <v>373</v>
      </c>
      <c r="B9" s="128" t="s">
        <v>522</v>
      </c>
      <c r="C9" s="128" t="s">
        <v>376</v>
      </c>
      <c r="D9" s="131" t="s">
        <v>523</v>
      </c>
      <c r="E9" s="131" t="s">
        <v>524</v>
      </c>
      <c r="F9" s="130">
        <v>1606000</v>
      </c>
      <c r="G9" s="131">
        <v>3.1</v>
      </c>
      <c r="H9" s="140" t="s">
        <v>16</v>
      </c>
      <c r="I9" s="130">
        <v>12</v>
      </c>
      <c r="J9" s="131" t="s">
        <v>305</v>
      </c>
      <c r="K9" s="137"/>
      <c r="L9" s="137"/>
      <c r="M9" s="47"/>
      <c r="N9" s="47"/>
      <c r="O9" s="47"/>
      <c r="P9" s="47"/>
    </row>
    <row r="10" spans="1:16" s="48" customFormat="1">
      <c r="A10" s="134" t="s">
        <v>315</v>
      </c>
      <c r="B10" s="128" t="s">
        <v>522</v>
      </c>
      <c r="C10" s="129" t="s">
        <v>317</v>
      </c>
      <c r="D10" s="130" t="s">
        <v>523</v>
      </c>
      <c r="E10" s="130" t="s">
        <v>525</v>
      </c>
      <c r="F10" s="130">
        <v>1502000</v>
      </c>
      <c r="G10" s="130" t="s">
        <v>380</v>
      </c>
      <c r="H10" s="140" t="s">
        <v>318</v>
      </c>
      <c r="I10" s="130">
        <v>20</v>
      </c>
      <c r="J10" s="130" t="s">
        <v>301</v>
      </c>
      <c r="K10" s="137"/>
      <c r="L10" s="137"/>
      <c r="M10" s="49"/>
      <c r="N10" s="49"/>
      <c r="O10" s="49"/>
      <c r="P10" s="49"/>
    </row>
    <row r="11" spans="1:16" s="48" customFormat="1">
      <c r="A11" s="134" t="s">
        <v>315</v>
      </c>
      <c r="B11" s="128" t="s">
        <v>522</v>
      </c>
      <c r="C11" s="129" t="s">
        <v>317</v>
      </c>
      <c r="D11" s="130" t="s">
        <v>523</v>
      </c>
      <c r="E11" s="130" t="s">
        <v>526</v>
      </c>
      <c r="F11" s="130">
        <v>1502000</v>
      </c>
      <c r="G11" s="130" t="s">
        <v>381</v>
      </c>
      <c r="H11" s="140" t="s">
        <v>300</v>
      </c>
      <c r="I11" s="136">
        <v>10</v>
      </c>
      <c r="J11" s="130" t="s">
        <v>301</v>
      </c>
      <c r="K11" s="137"/>
      <c r="L11" s="137"/>
      <c r="M11" s="49"/>
      <c r="N11" s="49"/>
      <c r="O11" s="50"/>
      <c r="P11" s="49"/>
    </row>
    <row r="12" spans="1:16" s="48" customFormat="1">
      <c r="A12" s="134" t="s">
        <v>315</v>
      </c>
      <c r="B12" s="128" t="s">
        <v>522</v>
      </c>
      <c r="C12" s="129" t="s">
        <v>317</v>
      </c>
      <c r="D12" s="130" t="s">
        <v>523</v>
      </c>
      <c r="E12" s="130" t="s">
        <v>527</v>
      </c>
      <c r="F12" s="130">
        <v>1502000</v>
      </c>
      <c r="G12" s="130" t="s">
        <v>382</v>
      </c>
      <c r="H12" s="140" t="s">
        <v>303</v>
      </c>
      <c r="I12" s="136">
        <v>50</v>
      </c>
      <c r="J12" s="130" t="s">
        <v>301</v>
      </c>
      <c r="K12" s="137"/>
      <c r="L12" s="137"/>
      <c r="M12" s="49"/>
      <c r="N12" s="49"/>
      <c r="O12" s="49"/>
      <c r="P12" s="50"/>
    </row>
    <row r="13" spans="1:16">
      <c r="A13" s="139" t="s">
        <v>315</v>
      </c>
      <c r="B13" s="128" t="s">
        <v>522</v>
      </c>
      <c r="C13" s="128" t="s">
        <v>376</v>
      </c>
      <c r="D13" s="131" t="s">
        <v>523</v>
      </c>
      <c r="E13" s="131" t="s">
        <v>528</v>
      </c>
      <c r="F13" s="130">
        <v>1606000</v>
      </c>
      <c r="G13" s="131">
        <v>3.3</v>
      </c>
      <c r="H13" s="140" t="s">
        <v>529</v>
      </c>
      <c r="I13" s="130">
        <v>12</v>
      </c>
      <c r="J13" s="131" t="s">
        <v>305</v>
      </c>
      <c r="K13" s="137"/>
      <c r="L13" s="137"/>
      <c r="M13" s="47"/>
      <c r="N13" s="47"/>
      <c r="O13" s="47"/>
      <c r="P13" s="47"/>
    </row>
    <row r="14" spans="1:16" ht="14.1" customHeight="1">
      <c r="A14" s="139" t="s">
        <v>373</v>
      </c>
      <c r="B14" s="128" t="s">
        <v>522</v>
      </c>
      <c r="C14" s="128" t="s">
        <v>376</v>
      </c>
      <c r="D14" s="131" t="s">
        <v>523</v>
      </c>
      <c r="E14" s="131" t="s">
        <v>530</v>
      </c>
      <c r="F14" s="130">
        <v>1606000</v>
      </c>
      <c r="G14" s="131">
        <v>3.4</v>
      </c>
      <c r="H14" s="140" t="s">
        <v>531</v>
      </c>
      <c r="I14" s="130">
        <v>12</v>
      </c>
      <c r="J14" s="131" t="s">
        <v>305</v>
      </c>
      <c r="K14" s="137"/>
      <c r="L14" s="137"/>
      <c r="M14" s="47"/>
      <c r="N14" s="47"/>
      <c r="O14" s="47"/>
      <c r="P14" s="47"/>
    </row>
  </sheetData>
  <mergeCells count="3">
    <mergeCell ref="B1:L1"/>
    <mergeCell ref="B2:L2"/>
    <mergeCell ref="B3:L3"/>
  </mergeCells>
  <printOptions horizontalCentered="1"/>
  <pageMargins left="1" right="1" top="1" bottom="1" header="0.5" footer="0.5"/>
  <pageSetup scale="63" fitToHeight="0" orientation="landscape" r:id="rId1"/>
  <headerFooter>
    <oddFooter>&amp;L&amp;"Times New Roman,Regular"Volume 2
N69450-18-R-1800
&amp;C&amp;"Times New Roman,Regular"C-&amp;P
Use or disclosure of data contained on this sheet is subject to the restriction of the title page of this proposal&amp;R&amp;G</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workbookViewId="0"/>
  </sheetViews>
  <sheetFormatPr defaultRowHeight="1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workbookViewId="0"/>
  </sheetViews>
  <sheetFormatPr defaultRowHeight="1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defaultRowHeight="1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workbookViewId="0"/>
  </sheetViews>
  <sheetFormatPr defaultRowHeight="1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defaultRowHeight="1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
  <sheetViews>
    <sheetView workbookViewId="0"/>
  </sheetViews>
  <sheetFormatPr defaultRowHeight="1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
  <sheetViews>
    <sheetView workbookViewId="0"/>
  </sheetViews>
  <sheetFormatPr defaultRowHeight="1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
  <sheetViews>
    <sheetView workbookViewId="0"/>
  </sheetViews>
  <sheetFormatPr defaultRowHeight="1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topLeftCell="B1" workbookViewId="0"/>
  </sheetViews>
  <sheetFormatPr defaultRowHeight="1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Q266"/>
  <sheetViews>
    <sheetView topLeftCell="A16" zoomScaleNormal="100" workbookViewId="0">
      <selection activeCell="A27" sqref="A27:XFD27"/>
    </sheetView>
  </sheetViews>
  <sheetFormatPr defaultRowHeight="15"/>
  <cols>
    <col min="1" max="8" width="25.7109375" customWidth="1"/>
    <col min="9" max="9" width="18" customWidth="1"/>
  </cols>
  <sheetData>
    <row r="1" spans="1:17" ht="36" customHeight="1">
      <c r="A1" s="314" t="s">
        <v>547</v>
      </c>
      <c r="B1" s="315"/>
      <c r="C1" s="315"/>
      <c r="D1" s="315"/>
      <c r="E1" s="315"/>
      <c r="F1" s="316"/>
      <c r="G1" s="38"/>
      <c r="H1" s="38"/>
      <c r="I1" s="38"/>
      <c r="J1" s="38"/>
      <c r="K1" s="38"/>
      <c r="L1" s="38"/>
      <c r="M1" s="38"/>
      <c r="N1" s="38"/>
      <c r="O1" s="38"/>
      <c r="P1" s="38"/>
      <c r="Q1" s="38"/>
    </row>
    <row r="2" spans="1:17" ht="15.75" thickBot="1">
      <c r="A2" s="317" t="s">
        <v>450</v>
      </c>
      <c r="B2" s="318"/>
      <c r="C2" s="318"/>
      <c r="D2" s="318"/>
      <c r="E2" s="318"/>
      <c r="F2" s="319"/>
      <c r="G2" s="38"/>
      <c r="H2" s="38"/>
      <c r="I2" s="38"/>
      <c r="J2" s="38"/>
      <c r="K2" s="38"/>
      <c r="L2" s="38"/>
      <c r="M2" s="38"/>
      <c r="N2" s="38"/>
      <c r="O2" s="38"/>
      <c r="P2" s="38"/>
      <c r="Q2" s="38"/>
    </row>
    <row r="3" spans="1:17" ht="58.5" customHeight="1" thickBot="1">
      <c r="A3" s="320" t="s">
        <v>548</v>
      </c>
      <c r="B3" s="321"/>
      <c r="C3" s="321"/>
      <c r="D3" s="321"/>
      <c r="E3" s="321"/>
      <c r="F3" s="322"/>
      <c r="G3" s="38"/>
      <c r="H3" s="38"/>
      <c r="I3" s="38"/>
      <c r="J3" s="38"/>
      <c r="K3" s="38"/>
      <c r="L3" s="38"/>
      <c r="M3" s="38"/>
      <c r="N3" s="38"/>
      <c r="O3" s="38"/>
      <c r="P3" s="38"/>
      <c r="Q3" s="38"/>
    </row>
    <row r="4" spans="1:17" ht="39" thickBot="1">
      <c r="A4" s="241" t="s">
        <v>538</v>
      </c>
      <c r="B4" s="10" t="s">
        <v>539</v>
      </c>
      <c r="C4" s="10" t="s">
        <v>540</v>
      </c>
      <c r="D4" s="8" t="s">
        <v>28</v>
      </c>
      <c r="E4" s="10" t="s">
        <v>549</v>
      </c>
      <c r="F4" s="10" t="s">
        <v>550</v>
      </c>
      <c r="G4" s="247" t="s">
        <v>662</v>
      </c>
      <c r="H4" s="145" t="s">
        <v>663</v>
      </c>
      <c r="I4" s="146" t="s">
        <v>541</v>
      </c>
      <c r="J4" s="38"/>
      <c r="K4" s="38"/>
      <c r="L4" s="38"/>
      <c r="M4" s="38"/>
      <c r="N4" s="38"/>
      <c r="O4" s="38"/>
      <c r="P4" s="38"/>
      <c r="Q4" s="38"/>
    </row>
    <row r="5" spans="1:17" ht="15.75" thickBot="1">
      <c r="A5" s="311" t="s">
        <v>545</v>
      </c>
      <c r="B5" s="312"/>
      <c r="C5" s="312"/>
      <c r="D5" s="312"/>
      <c r="E5" s="312"/>
      <c r="F5" s="313"/>
      <c r="G5" s="38"/>
      <c r="H5" s="4"/>
      <c r="I5" s="38"/>
      <c r="J5" s="38"/>
      <c r="K5" s="38"/>
      <c r="L5" s="38"/>
      <c r="M5" s="38"/>
      <c r="N5" s="38"/>
      <c r="O5" s="38"/>
      <c r="P5" s="38"/>
      <c r="Q5" s="38"/>
    </row>
    <row r="6" spans="1:17" ht="26.25" thickBot="1">
      <c r="A6" s="67"/>
      <c r="B6" s="238" t="s">
        <v>558</v>
      </c>
      <c r="C6" s="236">
        <v>1</v>
      </c>
      <c r="D6" s="238" t="s">
        <v>559</v>
      </c>
      <c r="E6" s="238">
        <v>36688</v>
      </c>
      <c r="F6" s="6">
        <v>42396</v>
      </c>
      <c r="G6" s="38" t="s">
        <v>560</v>
      </c>
      <c r="H6" s="18">
        <v>3.641</v>
      </c>
      <c r="I6" s="38">
        <v>157</v>
      </c>
      <c r="J6" s="38"/>
      <c r="K6" s="38"/>
      <c r="L6" s="38"/>
      <c r="M6" s="38"/>
      <c r="N6" s="38"/>
      <c r="O6" s="38"/>
      <c r="P6" s="38"/>
      <c r="Q6" s="38"/>
    </row>
    <row r="7" spans="1:17" ht="39" thickBot="1">
      <c r="A7" s="67"/>
      <c r="B7" s="238" t="s">
        <v>558</v>
      </c>
      <c r="C7" s="236">
        <v>46</v>
      </c>
      <c r="D7" s="238" t="s">
        <v>561</v>
      </c>
      <c r="E7" s="238" t="s">
        <v>562</v>
      </c>
      <c r="F7" s="6">
        <v>42395</v>
      </c>
      <c r="G7" s="38" t="s">
        <v>560</v>
      </c>
      <c r="H7" s="18">
        <v>3.641</v>
      </c>
      <c r="I7" s="38">
        <v>157</v>
      </c>
      <c r="J7" s="38"/>
      <c r="K7" s="38"/>
      <c r="L7" s="38"/>
      <c r="M7" s="38"/>
      <c r="N7" s="38"/>
      <c r="O7" s="38"/>
      <c r="P7" s="38"/>
      <c r="Q7" s="38"/>
    </row>
    <row r="8" spans="1:17" ht="26.25" thickBot="1">
      <c r="A8" s="67"/>
      <c r="B8" s="238" t="s">
        <v>563</v>
      </c>
      <c r="C8" s="236" t="s">
        <v>564</v>
      </c>
      <c r="D8" s="238" t="s">
        <v>565</v>
      </c>
      <c r="E8" s="238">
        <v>864651</v>
      </c>
      <c r="F8" s="6">
        <v>42551</v>
      </c>
      <c r="G8" s="38" t="s">
        <v>560</v>
      </c>
      <c r="H8" s="18">
        <v>3.641</v>
      </c>
      <c r="I8" s="38">
        <v>157</v>
      </c>
      <c r="J8" s="38"/>
      <c r="K8" s="38"/>
      <c r="L8" s="38"/>
      <c r="M8" s="38"/>
      <c r="N8" s="38"/>
      <c r="O8" s="38"/>
      <c r="P8" s="38"/>
      <c r="Q8" s="38"/>
    </row>
    <row r="9" spans="1:17" ht="26.25" thickBot="1">
      <c r="A9" s="67"/>
      <c r="B9" s="238" t="s">
        <v>566</v>
      </c>
      <c r="C9" s="236" t="s">
        <v>567</v>
      </c>
      <c r="D9" s="238" t="s">
        <v>568</v>
      </c>
      <c r="E9" s="238" t="s">
        <v>569</v>
      </c>
      <c r="F9" s="6">
        <v>42551</v>
      </c>
      <c r="G9" s="38" t="s">
        <v>560</v>
      </c>
      <c r="H9" s="18">
        <v>3.641</v>
      </c>
      <c r="I9" s="38">
        <v>157</v>
      </c>
      <c r="J9" s="38"/>
      <c r="K9" s="38"/>
      <c r="L9" s="38"/>
      <c r="M9" s="38"/>
      <c r="N9" s="38"/>
      <c r="O9" s="38"/>
      <c r="P9" s="38"/>
      <c r="Q9" s="38"/>
    </row>
    <row r="10" spans="1:17" ht="26.25" thickBot="1">
      <c r="A10" s="67"/>
      <c r="B10" s="238" t="s">
        <v>570</v>
      </c>
      <c r="C10" s="236">
        <v>242</v>
      </c>
      <c r="D10" s="238" t="s">
        <v>571</v>
      </c>
      <c r="E10" s="238" t="s">
        <v>572</v>
      </c>
      <c r="F10" s="6">
        <v>42551</v>
      </c>
      <c r="G10" s="38" t="s">
        <v>560</v>
      </c>
      <c r="H10" s="18">
        <v>3.641</v>
      </c>
      <c r="I10" s="38">
        <v>157</v>
      </c>
      <c r="J10" s="38"/>
      <c r="K10" s="38"/>
      <c r="L10" s="38"/>
      <c r="M10" s="38"/>
      <c r="N10" s="38"/>
      <c r="O10" s="38"/>
      <c r="P10" s="38"/>
      <c r="Q10" s="38"/>
    </row>
    <row r="11" spans="1:17" ht="26.25" thickBot="1">
      <c r="A11" s="67"/>
      <c r="B11" s="238" t="s">
        <v>573</v>
      </c>
      <c r="C11" s="236">
        <v>298</v>
      </c>
      <c r="D11" s="238" t="s">
        <v>574</v>
      </c>
      <c r="E11" s="238">
        <v>60621468</v>
      </c>
      <c r="F11" s="6">
        <v>42532</v>
      </c>
      <c r="G11" s="38" t="s">
        <v>560</v>
      </c>
      <c r="H11" s="18">
        <v>3.641</v>
      </c>
      <c r="I11" s="38">
        <v>157</v>
      </c>
      <c r="J11" s="38"/>
      <c r="K11" s="38"/>
      <c r="L11" s="38"/>
      <c r="M11" s="38"/>
      <c r="N11" s="38"/>
      <c r="O11" s="38"/>
      <c r="P11" s="38"/>
      <c r="Q11" s="38"/>
    </row>
    <row r="12" spans="1:17" ht="26.25" thickBot="1">
      <c r="A12" s="67"/>
      <c r="B12" s="238" t="s">
        <v>573</v>
      </c>
      <c r="C12" s="236">
        <v>338</v>
      </c>
      <c r="D12" s="238" t="s">
        <v>575</v>
      </c>
      <c r="E12" s="238">
        <v>21452897</v>
      </c>
      <c r="F12" s="6">
        <v>42411</v>
      </c>
      <c r="G12" s="38" t="s">
        <v>560</v>
      </c>
      <c r="H12" s="18">
        <v>3.641</v>
      </c>
      <c r="I12" s="38">
        <v>157</v>
      </c>
      <c r="J12" s="38"/>
      <c r="K12" s="38"/>
      <c r="L12" s="38"/>
      <c r="M12" s="38"/>
      <c r="N12" s="38"/>
      <c r="O12" s="38"/>
      <c r="P12" s="38"/>
      <c r="Q12" s="38"/>
    </row>
    <row r="13" spans="1:17" ht="26.25" thickBot="1">
      <c r="A13" s="67"/>
      <c r="B13" s="238" t="s">
        <v>573</v>
      </c>
      <c r="C13" s="236">
        <v>338</v>
      </c>
      <c r="D13" s="238" t="s">
        <v>576</v>
      </c>
      <c r="E13" s="238" t="s">
        <v>577</v>
      </c>
      <c r="F13" s="236"/>
      <c r="G13" s="38" t="s">
        <v>560</v>
      </c>
      <c r="H13" s="18">
        <v>3.641</v>
      </c>
      <c r="I13" s="38">
        <v>157</v>
      </c>
      <c r="J13" s="38"/>
      <c r="K13" s="38"/>
      <c r="L13" s="38"/>
      <c r="M13" s="38"/>
      <c r="N13" s="38"/>
      <c r="O13" s="38"/>
      <c r="P13" s="38"/>
      <c r="Q13" s="38"/>
    </row>
    <row r="14" spans="1:17" ht="26.25" thickBot="1">
      <c r="A14" s="67"/>
      <c r="B14" s="238" t="s">
        <v>578</v>
      </c>
      <c r="C14" s="236" t="s">
        <v>579</v>
      </c>
      <c r="D14" s="238" t="s">
        <v>580</v>
      </c>
      <c r="E14" s="238">
        <v>705116417</v>
      </c>
      <c r="F14" s="6">
        <v>42395</v>
      </c>
      <c r="G14" s="38" t="s">
        <v>560</v>
      </c>
      <c r="H14" s="18">
        <v>3.641</v>
      </c>
      <c r="I14" s="38">
        <v>157</v>
      </c>
      <c r="J14" s="38"/>
      <c r="K14" s="38"/>
      <c r="L14" s="38"/>
      <c r="M14" s="38"/>
      <c r="N14" s="38"/>
      <c r="O14" s="38"/>
      <c r="P14" s="38"/>
      <c r="Q14" s="38"/>
    </row>
    <row r="15" spans="1:17" ht="26.25" thickBot="1">
      <c r="A15" s="67"/>
      <c r="B15" s="238" t="s">
        <v>578</v>
      </c>
      <c r="C15" s="236" t="s">
        <v>581</v>
      </c>
      <c r="D15" s="238" t="s">
        <v>580</v>
      </c>
      <c r="E15" s="238">
        <v>705116418</v>
      </c>
      <c r="F15" s="6">
        <v>42395</v>
      </c>
      <c r="G15" s="38" t="s">
        <v>560</v>
      </c>
      <c r="H15" s="18">
        <v>3.641</v>
      </c>
      <c r="I15" s="38">
        <v>157</v>
      </c>
      <c r="J15" s="38"/>
      <c r="K15" s="38"/>
      <c r="L15" s="38"/>
      <c r="M15" s="38"/>
      <c r="N15" s="38"/>
      <c r="O15" s="38"/>
      <c r="P15" s="38"/>
      <c r="Q15" s="38"/>
    </row>
    <row r="16" spans="1:17" ht="26.25" thickBot="1">
      <c r="A16" s="67"/>
      <c r="B16" s="238" t="s">
        <v>578</v>
      </c>
      <c r="C16" s="236" t="s">
        <v>582</v>
      </c>
      <c r="D16" s="238" t="s">
        <v>583</v>
      </c>
      <c r="E16" s="238" t="s">
        <v>584</v>
      </c>
      <c r="F16" s="6">
        <v>42395</v>
      </c>
      <c r="G16" s="38" t="s">
        <v>560</v>
      </c>
      <c r="H16" s="18">
        <v>3.641</v>
      </c>
      <c r="I16" s="38">
        <v>157</v>
      </c>
      <c r="J16" s="38"/>
      <c r="K16" s="38"/>
      <c r="L16" s="38"/>
      <c r="M16" s="38"/>
      <c r="N16" s="38"/>
      <c r="O16" s="38"/>
      <c r="P16" s="38"/>
      <c r="Q16" s="38"/>
    </row>
    <row r="17" spans="1:17" ht="26.25" thickBot="1">
      <c r="A17" s="67"/>
      <c r="B17" s="238" t="s">
        <v>578</v>
      </c>
      <c r="C17" s="236" t="s">
        <v>585</v>
      </c>
      <c r="D17" s="238" t="s">
        <v>586</v>
      </c>
      <c r="E17" s="238" t="s">
        <v>587</v>
      </c>
      <c r="F17" s="6">
        <v>42395</v>
      </c>
      <c r="G17" s="38" t="s">
        <v>560</v>
      </c>
      <c r="H17" s="18">
        <v>3.641</v>
      </c>
      <c r="I17" s="38">
        <v>157</v>
      </c>
      <c r="J17" s="38"/>
      <c r="K17" s="38"/>
      <c r="L17" s="38"/>
      <c r="M17" s="38"/>
      <c r="N17" s="38"/>
      <c r="O17" s="38"/>
      <c r="P17" s="38"/>
      <c r="Q17" s="38"/>
    </row>
    <row r="18" spans="1:17" ht="26.25" thickBot="1">
      <c r="A18" s="67"/>
      <c r="B18" s="238" t="s">
        <v>588</v>
      </c>
      <c r="C18" s="236" t="s">
        <v>589</v>
      </c>
      <c r="D18" s="238" t="s">
        <v>583</v>
      </c>
      <c r="E18" s="238" t="s">
        <v>590</v>
      </c>
      <c r="F18" s="6">
        <v>42395</v>
      </c>
      <c r="G18" s="38" t="s">
        <v>560</v>
      </c>
      <c r="H18" s="18">
        <v>3.641</v>
      </c>
      <c r="I18" s="38">
        <v>157</v>
      </c>
      <c r="J18" s="38"/>
      <c r="K18" s="38"/>
      <c r="L18" s="38"/>
      <c r="M18" s="38"/>
      <c r="N18" s="38"/>
      <c r="O18" s="38"/>
      <c r="P18" s="38"/>
      <c r="Q18" s="38"/>
    </row>
    <row r="19" spans="1:17" ht="39" thickBot="1">
      <c r="A19" s="67"/>
      <c r="B19" s="238" t="s">
        <v>591</v>
      </c>
      <c r="C19" s="236">
        <v>1391</v>
      </c>
      <c r="D19" s="238" t="s">
        <v>592</v>
      </c>
      <c r="E19" s="238" t="s">
        <v>593</v>
      </c>
      <c r="F19" s="6">
        <v>42298</v>
      </c>
      <c r="G19" s="38" t="s">
        <v>560</v>
      </c>
      <c r="H19" s="18">
        <v>3.641</v>
      </c>
      <c r="I19" s="38">
        <v>157</v>
      </c>
      <c r="J19" s="38"/>
      <c r="K19" s="38"/>
      <c r="L19" s="38"/>
      <c r="M19" s="38"/>
      <c r="N19" s="38"/>
      <c r="O19" s="38"/>
      <c r="P19" s="38"/>
      <c r="Q19" s="38"/>
    </row>
    <row r="20" spans="1:17" ht="39" thickBot="1">
      <c r="A20" s="67"/>
      <c r="B20" s="238" t="s">
        <v>591</v>
      </c>
      <c r="C20" s="236">
        <v>1391</v>
      </c>
      <c r="D20" s="238" t="s">
        <v>592</v>
      </c>
      <c r="E20" s="238" t="s">
        <v>594</v>
      </c>
      <c r="F20" s="6">
        <v>42298</v>
      </c>
      <c r="G20" s="38" t="s">
        <v>560</v>
      </c>
      <c r="H20" s="18">
        <v>3.641</v>
      </c>
      <c r="I20" s="38">
        <v>157</v>
      </c>
      <c r="J20" s="38"/>
      <c r="K20" s="38"/>
      <c r="L20" s="38"/>
      <c r="M20" s="38"/>
      <c r="N20" s="38"/>
      <c r="O20" s="38"/>
      <c r="P20" s="38"/>
      <c r="Q20" s="38"/>
    </row>
    <row r="21" spans="1:17" ht="39" thickBot="1">
      <c r="A21" s="67"/>
      <c r="B21" s="238" t="s">
        <v>595</v>
      </c>
      <c r="C21" s="236">
        <v>1391</v>
      </c>
      <c r="D21" s="238" t="s">
        <v>596</v>
      </c>
      <c r="E21" s="238">
        <v>1208344576</v>
      </c>
      <c r="F21" s="6">
        <v>42298</v>
      </c>
      <c r="G21" s="38" t="s">
        <v>560</v>
      </c>
      <c r="H21" s="18">
        <v>3.641</v>
      </c>
      <c r="I21" s="38">
        <v>157</v>
      </c>
      <c r="J21" s="38"/>
      <c r="K21" s="38"/>
      <c r="L21" s="38"/>
      <c r="M21" s="38"/>
      <c r="N21" s="38"/>
      <c r="O21" s="38"/>
      <c r="P21" s="38"/>
      <c r="Q21" s="38"/>
    </row>
    <row r="22" spans="1:17" ht="39" thickBot="1">
      <c r="A22" s="67"/>
      <c r="B22" s="238" t="s">
        <v>591</v>
      </c>
      <c r="C22" s="236">
        <v>1391</v>
      </c>
      <c r="D22" s="238" t="s">
        <v>597</v>
      </c>
      <c r="E22" s="238">
        <v>1208344574</v>
      </c>
      <c r="F22" s="6">
        <v>42298</v>
      </c>
      <c r="G22" s="38" t="s">
        <v>560</v>
      </c>
      <c r="H22" s="18">
        <v>3.641</v>
      </c>
      <c r="I22" s="38">
        <v>157</v>
      </c>
      <c r="J22" s="38"/>
      <c r="K22" s="38"/>
      <c r="L22" s="38"/>
      <c r="M22" s="38"/>
      <c r="N22" s="38"/>
      <c r="O22" s="38"/>
      <c r="P22" s="38"/>
      <c r="Q22" s="38"/>
    </row>
    <row r="23" spans="1:17" ht="39" thickBot="1">
      <c r="A23" s="67"/>
      <c r="B23" s="238" t="s">
        <v>591</v>
      </c>
      <c r="C23" s="236">
        <v>1391</v>
      </c>
      <c r="D23" s="238" t="s">
        <v>598</v>
      </c>
      <c r="E23" s="238">
        <v>1208344575</v>
      </c>
      <c r="F23" s="6">
        <v>42298</v>
      </c>
      <c r="G23" s="38" t="s">
        <v>560</v>
      </c>
      <c r="H23" s="18">
        <v>3.641</v>
      </c>
      <c r="I23" s="38">
        <v>157</v>
      </c>
      <c r="J23" s="38"/>
      <c r="K23" s="38"/>
      <c r="L23" s="38"/>
      <c r="M23" s="38"/>
      <c r="N23" s="38"/>
      <c r="O23" s="38"/>
      <c r="P23" s="38"/>
      <c r="Q23" s="38"/>
    </row>
    <row r="24" spans="1:17" ht="26.25" thickBot="1">
      <c r="A24" s="66"/>
      <c r="B24" s="238" t="s">
        <v>595</v>
      </c>
      <c r="C24" s="236">
        <v>1391</v>
      </c>
      <c r="D24" s="238" t="s">
        <v>599</v>
      </c>
      <c r="E24" s="238" t="s">
        <v>536</v>
      </c>
      <c r="F24" s="6">
        <v>42298</v>
      </c>
      <c r="G24" s="38" t="s">
        <v>560</v>
      </c>
      <c r="H24" s="18">
        <v>3.641</v>
      </c>
      <c r="I24" s="38">
        <v>157</v>
      </c>
      <c r="J24" s="38"/>
      <c r="K24" s="38"/>
      <c r="L24" s="38"/>
      <c r="M24" s="38"/>
      <c r="N24" s="38"/>
      <c r="O24" s="38"/>
      <c r="P24" s="38"/>
      <c r="Q24" s="38"/>
    </row>
    <row r="25" spans="1:17" ht="26.25" thickBot="1">
      <c r="A25" s="66"/>
      <c r="B25" s="238" t="s">
        <v>595</v>
      </c>
      <c r="C25" s="236">
        <v>1391</v>
      </c>
      <c r="D25" s="238" t="s">
        <v>599</v>
      </c>
      <c r="E25" s="238" t="s">
        <v>536</v>
      </c>
      <c r="F25" s="6">
        <v>42298</v>
      </c>
      <c r="G25" s="38" t="s">
        <v>560</v>
      </c>
      <c r="H25" s="18">
        <v>3.641</v>
      </c>
      <c r="I25" s="38">
        <v>157</v>
      </c>
      <c r="J25" s="38"/>
      <c r="K25" s="38"/>
      <c r="L25" s="38"/>
      <c r="M25" s="38"/>
      <c r="N25" s="38"/>
      <c r="O25" s="38"/>
      <c r="P25" s="38"/>
      <c r="Q25" s="38"/>
    </row>
    <row r="26" spans="1:17" ht="39" thickBot="1">
      <c r="A26" s="66"/>
      <c r="B26" s="238" t="s">
        <v>558</v>
      </c>
      <c r="C26" s="236" t="s">
        <v>600</v>
      </c>
      <c r="D26" s="238" t="s">
        <v>601</v>
      </c>
      <c r="E26" s="238" t="s">
        <v>602</v>
      </c>
      <c r="F26" s="236" t="s">
        <v>536</v>
      </c>
      <c r="G26" s="38" t="s">
        <v>560</v>
      </c>
      <c r="H26" s="18">
        <v>3.641</v>
      </c>
      <c r="I26" s="38">
        <v>157</v>
      </c>
      <c r="J26" s="38"/>
      <c r="K26" s="38"/>
      <c r="L26" s="38"/>
      <c r="M26" s="38"/>
      <c r="N26" s="38"/>
      <c r="O26" s="38"/>
      <c r="P26" s="38"/>
      <c r="Q26" s="38"/>
    </row>
    <row r="27" spans="1:17" ht="39" thickBot="1">
      <c r="A27" s="66"/>
      <c r="B27" s="238" t="s">
        <v>558</v>
      </c>
      <c r="C27" s="236" t="s">
        <v>603</v>
      </c>
      <c r="D27" s="238" t="s">
        <v>604</v>
      </c>
      <c r="E27" s="238" t="s">
        <v>605</v>
      </c>
      <c r="F27" s="236" t="s">
        <v>536</v>
      </c>
      <c r="G27" s="38" t="s">
        <v>560</v>
      </c>
      <c r="H27" s="18">
        <v>3.641</v>
      </c>
      <c r="I27" s="38">
        <v>157</v>
      </c>
      <c r="J27" s="38"/>
      <c r="K27" s="38"/>
      <c r="L27" s="38"/>
      <c r="M27" s="38"/>
      <c r="N27" s="38"/>
      <c r="O27" s="38"/>
      <c r="P27" s="38"/>
      <c r="Q27" s="38"/>
    </row>
    <row r="28" spans="1:17" ht="39" thickBot="1">
      <c r="A28" s="66"/>
      <c r="B28" s="238" t="s">
        <v>606</v>
      </c>
      <c r="C28" s="236">
        <v>1552</v>
      </c>
      <c r="D28" s="238" t="s">
        <v>607</v>
      </c>
      <c r="E28" s="238">
        <v>640828869</v>
      </c>
      <c r="F28" s="236" t="s">
        <v>536</v>
      </c>
      <c r="G28" s="38" t="s">
        <v>560</v>
      </c>
      <c r="H28" s="18">
        <v>3.641</v>
      </c>
      <c r="I28" s="38">
        <v>157</v>
      </c>
      <c r="J28" s="38"/>
      <c r="K28" s="38"/>
      <c r="L28" s="38"/>
      <c r="M28" s="38"/>
      <c r="N28" s="38"/>
      <c r="O28" s="38"/>
      <c r="P28" s="38"/>
      <c r="Q28" s="38"/>
    </row>
    <row r="29" spans="1:17" ht="39" thickBot="1">
      <c r="A29" s="66"/>
      <c r="B29" s="238" t="s">
        <v>608</v>
      </c>
      <c r="C29" s="236">
        <v>1552</v>
      </c>
      <c r="D29" s="238" t="s">
        <v>607</v>
      </c>
      <c r="E29" s="238">
        <v>240828865</v>
      </c>
      <c r="F29" s="236" t="s">
        <v>536</v>
      </c>
      <c r="G29" s="38" t="s">
        <v>560</v>
      </c>
      <c r="H29" s="18">
        <v>3.641</v>
      </c>
      <c r="I29" s="38">
        <v>157</v>
      </c>
      <c r="J29" s="38"/>
      <c r="K29" s="38"/>
      <c r="L29" s="38"/>
      <c r="M29" s="38"/>
      <c r="N29" s="38"/>
      <c r="O29" s="38"/>
      <c r="P29" s="38"/>
      <c r="Q29" s="38"/>
    </row>
    <row r="30" spans="1:17" ht="26.25" thickBot="1">
      <c r="A30" s="66"/>
      <c r="B30" s="238" t="s">
        <v>609</v>
      </c>
      <c r="C30" s="236">
        <v>1553</v>
      </c>
      <c r="D30" s="238" t="s">
        <v>610</v>
      </c>
      <c r="E30" s="238">
        <v>64082858</v>
      </c>
      <c r="F30" s="6">
        <v>41968</v>
      </c>
      <c r="G30" s="38" t="s">
        <v>560</v>
      </c>
      <c r="H30" s="18">
        <v>3.641</v>
      </c>
      <c r="I30" s="38">
        <v>157</v>
      </c>
      <c r="J30" s="38"/>
      <c r="K30" s="38"/>
      <c r="L30" s="38"/>
      <c r="M30" s="38"/>
      <c r="N30" s="38"/>
      <c r="O30" s="38"/>
      <c r="P30" s="38"/>
      <c r="Q30" s="38"/>
    </row>
    <row r="31" spans="1:17" ht="26.25" thickBot="1">
      <c r="A31" s="66"/>
      <c r="B31" s="238" t="s">
        <v>609</v>
      </c>
      <c r="C31" s="236">
        <v>1554</v>
      </c>
      <c r="D31" s="238" t="s">
        <v>611</v>
      </c>
      <c r="E31" s="238">
        <v>64082859</v>
      </c>
      <c r="F31" s="6">
        <v>42417</v>
      </c>
      <c r="G31" s="38" t="s">
        <v>560</v>
      </c>
      <c r="H31" s="18">
        <v>3.641</v>
      </c>
      <c r="I31" s="38">
        <v>157</v>
      </c>
      <c r="J31" s="38"/>
      <c r="K31" s="38"/>
      <c r="L31" s="38"/>
      <c r="M31" s="38"/>
      <c r="N31" s="38"/>
      <c r="O31" s="38"/>
      <c r="P31" s="38"/>
      <c r="Q31" s="38"/>
    </row>
    <row r="32" spans="1:17" ht="39" thickBot="1">
      <c r="A32" s="66"/>
      <c r="B32" s="238" t="s">
        <v>551</v>
      </c>
      <c r="C32" s="236">
        <v>1585</v>
      </c>
      <c r="D32" s="238" t="s">
        <v>612</v>
      </c>
      <c r="E32" s="238">
        <v>710130171</v>
      </c>
      <c r="F32" s="6">
        <v>42394</v>
      </c>
      <c r="G32" s="38" t="s">
        <v>560</v>
      </c>
      <c r="H32" s="18">
        <v>3.641</v>
      </c>
      <c r="I32" s="38">
        <v>157</v>
      </c>
      <c r="J32" s="38"/>
      <c r="K32" s="38"/>
      <c r="L32" s="38"/>
      <c r="M32" s="38"/>
      <c r="N32" s="38"/>
      <c r="O32" s="38"/>
      <c r="P32" s="38"/>
      <c r="Q32" s="38"/>
    </row>
    <row r="33" spans="1:17" ht="39" thickBot="1">
      <c r="A33" s="66"/>
      <c r="B33" s="238" t="s">
        <v>551</v>
      </c>
      <c r="C33" s="236">
        <v>1585</v>
      </c>
      <c r="D33" s="238" t="s">
        <v>612</v>
      </c>
      <c r="E33" s="238">
        <v>710130172</v>
      </c>
      <c r="F33" s="6">
        <v>42400</v>
      </c>
      <c r="G33" s="38" t="s">
        <v>560</v>
      </c>
      <c r="H33" s="18">
        <v>3.641</v>
      </c>
      <c r="I33" s="38">
        <v>157</v>
      </c>
      <c r="J33" s="38"/>
      <c r="K33" s="38"/>
      <c r="L33" s="38"/>
      <c r="M33" s="38"/>
      <c r="N33" s="38"/>
      <c r="O33" s="38"/>
      <c r="P33" s="38"/>
      <c r="Q33" s="38"/>
    </row>
    <row r="34" spans="1:17" ht="26.25" thickBot="1">
      <c r="A34" s="66"/>
      <c r="B34" s="238" t="s">
        <v>551</v>
      </c>
      <c r="C34" s="236">
        <v>1585</v>
      </c>
      <c r="D34" s="238" t="s">
        <v>613</v>
      </c>
      <c r="E34" s="238" t="s">
        <v>614</v>
      </c>
      <c r="F34" s="6">
        <v>42394</v>
      </c>
      <c r="G34" s="38" t="s">
        <v>560</v>
      </c>
      <c r="H34" s="18">
        <v>3.641</v>
      </c>
      <c r="I34" s="38">
        <v>157</v>
      </c>
      <c r="J34" s="38"/>
      <c r="K34" s="38"/>
      <c r="L34" s="38"/>
      <c r="M34" s="38"/>
      <c r="N34" s="38"/>
      <c r="O34" s="38"/>
      <c r="P34" s="38"/>
      <c r="Q34" s="38"/>
    </row>
    <row r="35" spans="1:17" ht="26.25" thickBot="1">
      <c r="A35" s="66"/>
      <c r="B35" s="238" t="s">
        <v>551</v>
      </c>
      <c r="C35" s="236">
        <v>1586</v>
      </c>
      <c r="D35" s="238" t="s">
        <v>615</v>
      </c>
      <c r="E35" s="238" t="s">
        <v>616</v>
      </c>
      <c r="F35" s="6">
        <v>42184</v>
      </c>
      <c r="G35" s="38" t="s">
        <v>560</v>
      </c>
      <c r="H35" s="18">
        <v>3.641</v>
      </c>
      <c r="I35" s="38">
        <v>157</v>
      </c>
      <c r="J35" s="38"/>
      <c r="K35" s="38"/>
      <c r="L35" s="38"/>
      <c r="M35" s="38"/>
      <c r="N35" s="38"/>
      <c r="O35" s="38"/>
      <c r="P35" s="38"/>
      <c r="Q35" s="38"/>
    </row>
    <row r="36" spans="1:17" ht="39" thickBot="1">
      <c r="A36" s="66"/>
      <c r="B36" s="238" t="s">
        <v>551</v>
      </c>
      <c r="C36" s="236">
        <v>1587</v>
      </c>
      <c r="D36" s="238" t="s">
        <v>617</v>
      </c>
      <c r="E36" s="238" t="s">
        <v>618</v>
      </c>
      <c r="F36" s="6">
        <v>42398</v>
      </c>
      <c r="G36" s="38" t="s">
        <v>560</v>
      </c>
      <c r="H36" s="18">
        <v>3.641</v>
      </c>
      <c r="I36" s="38">
        <v>157</v>
      </c>
      <c r="J36" s="38"/>
      <c r="K36" s="38"/>
      <c r="L36" s="38"/>
      <c r="M36" s="38"/>
      <c r="N36" s="38"/>
      <c r="O36" s="38"/>
      <c r="P36" s="38"/>
      <c r="Q36" s="38"/>
    </row>
    <row r="37" spans="1:17" ht="26.25" thickBot="1">
      <c r="A37" s="66"/>
      <c r="B37" s="238" t="s">
        <v>551</v>
      </c>
      <c r="C37" s="236">
        <v>1587</v>
      </c>
      <c r="D37" s="238" t="s">
        <v>619</v>
      </c>
      <c r="E37" s="238" t="s">
        <v>620</v>
      </c>
      <c r="F37" s="6">
        <v>42184</v>
      </c>
      <c r="G37" s="38" t="s">
        <v>560</v>
      </c>
      <c r="H37" s="18">
        <v>3.641</v>
      </c>
      <c r="I37" s="38">
        <v>157</v>
      </c>
      <c r="J37" s="38"/>
      <c r="K37" s="38"/>
      <c r="L37" s="38"/>
      <c r="M37" s="38"/>
      <c r="N37" s="38"/>
      <c r="O37" s="38"/>
      <c r="P37" s="38"/>
      <c r="Q37" s="38"/>
    </row>
    <row r="38" spans="1:17" ht="39" thickBot="1">
      <c r="A38" s="66"/>
      <c r="B38" s="238" t="s">
        <v>621</v>
      </c>
      <c r="C38" s="236">
        <v>1842</v>
      </c>
      <c r="D38" s="238" t="s">
        <v>622</v>
      </c>
      <c r="E38" s="238" t="s">
        <v>623</v>
      </c>
      <c r="F38" s="6">
        <v>40326</v>
      </c>
      <c r="G38" s="38" t="s">
        <v>560</v>
      </c>
      <c r="H38" s="18">
        <v>3.641</v>
      </c>
      <c r="I38" s="38">
        <v>157</v>
      </c>
      <c r="J38" s="38"/>
      <c r="K38" s="38"/>
      <c r="L38" s="38"/>
      <c r="M38" s="38"/>
      <c r="N38" s="38"/>
      <c r="O38" s="38"/>
      <c r="P38" s="38"/>
      <c r="Q38" s="38"/>
    </row>
    <row r="39" spans="1:17" ht="39" thickBot="1">
      <c r="A39" s="66"/>
      <c r="B39" s="238" t="s">
        <v>621</v>
      </c>
      <c r="C39" s="236">
        <v>1842</v>
      </c>
      <c r="D39" s="238" t="s">
        <v>624</v>
      </c>
      <c r="E39" s="238" t="s">
        <v>625</v>
      </c>
      <c r="F39" s="6">
        <v>40326</v>
      </c>
      <c r="G39" s="38" t="s">
        <v>560</v>
      </c>
      <c r="H39" s="18">
        <v>3.641</v>
      </c>
      <c r="I39" s="38">
        <v>157</v>
      </c>
      <c r="J39" s="38"/>
      <c r="K39" s="38"/>
      <c r="L39" s="38"/>
      <c r="M39" s="38"/>
      <c r="N39" s="38"/>
      <c r="O39" s="38"/>
      <c r="P39" s="38"/>
      <c r="Q39" s="38"/>
    </row>
    <row r="40" spans="1:17" ht="26.25" thickBot="1">
      <c r="A40" s="66"/>
      <c r="B40" s="238" t="s">
        <v>626</v>
      </c>
      <c r="C40" s="236" t="s">
        <v>627</v>
      </c>
      <c r="D40" s="238" t="s">
        <v>628</v>
      </c>
      <c r="E40" s="238">
        <v>79379605</v>
      </c>
      <c r="F40" s="6">
        <v>42429</v>
      </c>
      <c r="G40" s="38" t="s">
        <v>560</v>
      </c>
      <c r="H40" s="18">
        <v>3.641</v>
      </c>
      <c r="I40" s="38">
        <v>157</v>
      </c>
      <c r="J40" s="38"/>
      <c r="K40" s="38"/>
      <c r="L40" s="38"/>
      <c r="M40" s="38"/>
      <c r="N40" s="38"/>
      <c r="O40" s="38"/>
      <c r="P40" s="38"/>
      <c r="Q40" s="38"/>
    </row>
    <row r="41" spans="1:17" ht="26.25" thickBot="1">
      <c r="A41" s="66"/>
      <c r="B41" s="238" t="s">
        <v>626</v>
      </c>
      <c r="C41" s="236" t="s">
        <v>629</v>
      </c>
      <c r="D41" s="238" t="s">
        <v>628</v>
      </c>
      <c r="E41" s="238">
        <v>7937605</v>
      </c>
      <c r="F41" s="6">
        <v>42412</v>
      </c>
      <c r="G41" s="38" t="s">
        <v>560</v>
      </c>
      <c r="H41" s="18">
        <v>3.641</v>
      </c>
      <c r="I41" s="38">
        <v>157</v>
      </c>
      <c r="J41" s="38"/>
      <c r="K41" s="38"/>
      <c r="L41" s="38"/>
      <c r="M41" s="38"/>
      <c r="N41" s="38"/>
      <c r="O41" s="38"/>
      <c r="P41" s="38"/>
      <c r="Q41" s="38"/>
    </row>
    <row r="42" spans="1:17" ht="39" thickBot="1">
      <c r="A42" s="66"/>
      <c r="B42" s="238" t="s">
        <v>630</v>
      </c>
      <c r="C42" s="236">
        <v>1960</v>
      </c>
      <c r="D42" s="238" t="s">
        <v>631</v>
      </c>
      <c r="E42" s="238" t="s">
        <v>632</v>
      </c>
      <c r="F42" s="236" t="s">
        <v>536</v>
      </c>
      <c r="G42" s="38" t="s">
        <v>560</v>
      </c>
      <c r="H42" s="18">
        <v>3.641</v>
      </c>
      <c r="I42" s="38">
        <v>157</v>
      </c>
      <c r="J42" s="38"/>
      <c r="K42" s="38"/>
      <c r="L42" s="38"/>
      <c r="M42" s="38"/>
      <c r="N42" s="38"/>
      <c r="O42" s="38"/>
      <c r="P42" s="38"/>
      <c r="Q42" s="38"/>
    </row>
    <row r="43" spans="1:17" ht="39" thickBot="1">
      <c r="A43" s="66"/>
      <c r="B43" s="238" t="s">
        <v>630</v>
      </c>
      <c r="C43" s="236">
        <v>1960</v>
      </c>
      <c r="D43" s="238" t="s">
        <v>631</v>
      </c>
      <c r="E43" s="238" t="s">
        <v>633</v>
      </c>
      <c r="F43" s="236" t="s">
        <v>536</v>
      </c>
      <c r="G43" s="38" t="s">
        <v>560</v>
      </c>
      <c r="H43" s="18">
        <v>3.641</v>
      </c>
      <c r="I43" s="38">
        <v>157</v>
      </c>
      <c r="J43" s="38"/>
      <c r="K43" s="38"/>
      <c r="L43" s="38"/>
      <c r="M43" s="38"/>
      <c r="N43" s="38"/>
      <c r="O43" s="38"/>
      <c r="P43" s="38"/>
      <c r="Q43" s="38"/>
    </row>
    <row r="44" spans="1:17" ht="39" thickBot="1">
      <c r="A44" s="66"/>
      <c r="B44" s="238" t="s">
        <v>630</v>
      </c>
      <c r="C44" s="236">
        <v>1960</v>
      </c>
      <c r="D44" s="238" t="s">
        <v>634</v>
      </c>
      <c r="E44" s="238" t="s">
        <v>635</v>
      </c>
      <c r="F44" s="236" t="s">
        <v>536</v>
      </c>
      <c r="G44" s="38" t="s">
        <v>560</v>
      </c>
      <c r="H44" s="18">
        <v>3.641</v>
      </c>
      <c r="I44" s="38">
        <v>157</v>
      </c>
      <c r="J44" s="38"/>
      <c r="K44" s="38"/>
      <c r="L44" s="38"/>
      <c r="M44" s="38"/>
      <c r="N44" s="38"/>
      <c r="O44" s="38"/>
      <c r="P44" s="38"/>
      <c r="Q44" s="38"/>
    </row>
    <row r="45" spans="1:17" ht="39" thickBot="1">
      <c r="A45" s="66"/>
      <c r="B45" s="238" t="s">
        <v>636</v>
      </c>
      <c r="C45" s="236">
        <v>1980</v>
      </c>
      <c r="D45" s="238" t="s">
        <v>637</v>
      </c>
      <c r="E45" s="238" t="s">
        <v>638</v>
      </c>
      <c r="F45" s="236" t="s">
        <v>536</v>
      </c>
      <c r="G45" s="38" t="s">
        <v>560</v>
      </c>
      <c r="H45" s="18">
        <v>3.641</v>
      </c>
      <c r="I45" s="38">
        <v>157</v>
      </c>
      <c r="J45" s="38"/>
      <c r="K45" s="38"/>
      <c r="L45" s="38"/>
      <c r="M45" s="38"/>
      <c r="N45" s="38"/>
      <c r="O45" s="38"/>
      <c r="P45" s="38"/>
      <c r="Q45" s="38"/>
    </row>
    <row r="46" spans="1:17" ht="39" thickBot="1">
      <c r="A46" s="66"/>
      <c r="B46" s="238" t="s">
        <v>639</v>
      </c>
      <c r="C46" s="236">
        <v>1981</v>
      </c>
      <c r="D46" s="238" t="s">
        <v>640</v>
      </c>
      <c r="E46" s="238" t="s">
        <v>641</v>
      </c>
      <c r="F46" s="236" t="s">
        <v>536</v>
      </c>
      <c r="G46" s="38" t="s">
        <v>560</v>
      </c>
      <c r="H46" s="18">
        <v>3.641</v>
      </c>
      <c r="I46" s="38">
        <v>157</v>
      </c>
      <c r="J46" s="38"/>
      <c r="K46" s="38"/>
      <c r="L46" s="38"/>
      <c r="M46" s="38"/>
      <c r="N46" s="38"/>
      <c r="O46" s="38"/>
      <c r="P46" s="38"/>
      <c r="Q46" s="38"/>
    </row>
    <row r="47" spans="1:17" ht="39" thickBot="1">
      <c r="A47" s="66"/>
      <c r="B47" s="238" t="s">
        <v>639</v>
      </c>
      <c r="C47" s="236">
        <v>1981</v>
      </c>
      <c r="D47" s="238" t="s">
        <v>642</v>
      </c>
      <c r="E47" s="238" t="s">
        <v>643</v>
      </c>
      <c r="F47" s="236" t="s">
        <v>536</v>
      </c>
      <c r="G47" s="38" t="s">
        <v>560</v>
      </c>
      <c r="H47" s="18">
        <v>3.641</v>
      </c>
      <c r="I47" s="38">
        <v>157</v>
      </c>
      <c r="J47" s="38"/>
      <c r="K47" s="38"/>
      <c r="L47" s="38"/>
      <c r="M47" s="38"/>
      <c r="N47" s="38"/>
      <c r="O47" s="38"/>
      <c r="P47" s="38"/>
      <c r="Q47" s="38"/>
    </row>
    <row r="48" spans="1:17" ht="39" thickBot="1">
      <c r="A48" s="66"/>
      <c r="B48" s="238" t="s">
        <v>644</v>
      </c>
      <c r="C48" s="236">
        <v>2104</v>
      </c>
      <c r="D48" s="238" t="s">
        <v>645</v>
      </c>
      <c r="E48" s="238" t="s">
        <v>646</v>
      </c>
      <c r="F48" s="6">
        <v>42185</v>
      </c>
      <c r="G48" s="38" t="s">
        <v>560</v>
      </c>
      <c r="H48" s="18">
        <v>3.641</v>
      </c>
      <c r="I48" s="38">
        <v>157</v>
      </c>
      <c r="J48" s="38"/>
      <c r="K48" s="38"/>
      <c r="L48" s="38"/>
      <c r="M48" s="38"/>
      <c r="N48" s="38"/>
      <c r="O48" s="38"/>
      <c r="P48" s="38"/>
      <c r="Q48" s="38"/>
    </row>
    <row r="49" spans="1:17" ht="39" thickBot="1">
      <c r="A49" s="66"/>
      <c r="B49" s="238" t="s">
        <v>644</v>
      </c>
      <c r="C49" s="236">
        <v>2104</v>
      </c>
      <c r="D49" s="238" t="s">
        <v>645</v>
      </c>
      <c r="E49" s="238" t="s">
        <v>647</v>
      </c>
      <c r="F49" s="6">
        <v>42185</v>
      </c>
      <c r="G49" s="38" t="s">
        <v>560</v>
      </c>
      <c r="H49" s="18">
        <v>3.641</v>
      </c>
      <c r="I49" s="38">
        <v>157</v>
      </c>
      <c r="J49" s="38"/>
      <c r="K49" s="38"/>
      <c r="L49" s="38"/>
      <c r="M49" s="38"/>
      <c r="N49" s="38"/>
      <c r="O49" s="38"/>
      <c r="P49" s="38"/>
      <c r="Q49" s="38"/>
    </row>
    <row r="50" spans="1:17" ht="39" thickBot="1">
      <c r="A50" s="66"/>
      <c r="B50" s="238" t="s">
        <v>644</v>
      </c>
      <c r="C50" s="236">
        <v>2104</v>
      </c>
      <c r="D50" s="238" t="s">
        <v>648</v>
      </c>
      <c r="E50" s="238" t="s">
        <v>649</v>
      </c>
      <c r="F50" s="6">
        <v>42527</v>
      </c>
      <c r="G50" s="38" t="s">
        <v>560</v>
      </c>
      <c r="H50" s="18">
        <v>3.641</v>
      </c>
      <c r="I50" s="38">
        <v>157</v>
      </c>
      <c r="J50" s="38"/>
      <c r="K50" s="38"/>
      <c r="L50" s="38"/>
      <c r="M50" s="38"/>
      <c r="N50" s="38"/>
      <c r="O50" s="38"/>
      <c r="P50" s="38"/>
      <c r="Q50" s="38"/>
    </row>
    <row r="51" spans="1:17" ht="39" thickBot="1">
      <c r="A51" s="66"/>
      <c r="B51" s="238" t="s">
        <v>644</v>
      </c>
      <c r="C51" s="236">
        <v>2104</v>
      </c>
      <c r="D51" s="238" t="s">
        <v>650</v>
      </c>
      <c r="E51" s="238" t="s">
        <v>651</v>
      </c>
      <c r="F51" s="6">
        <v>42527</v>
      </c>
      <c r="G51" s="38" t="s">
        <v>560</v>
      </c>
      <c r="H51" s="18">
        <v>3.641</v>
      </c>
      <c r="I51" s="38">
        <v>157</v>
      </c>
      <c r="J51" s="38"/>
      <c r="K51" s="38"/>
      <c r="L51" s="38"/>
      <c r="M51" s="38"/>
      <c r="N51" s="38"/>
      <c r="O51" s="38"/>
      <c r="P51" s="38"/>
      <c r="Q51" s="38"/>
    </row>
    <row r="52" spans="1:17" ht="26.25" thickBot="1">
      <c r="A52" s="66"/>
      <c r="B52" s="238" t="s">
        <v>551</v>
      </c>
      <c r="C52" s="236">
        <v>2105</v>
      </c>
      <c r="D52" s="238" t="s">
        <v>652</v>
      </c>
      <c r="E52" s="238" t="s">
        <v>653</v>
      </c>
      <c r="F52" s="6">
        <v>42551</v>
      </c>
      <c r="G52" s="38" t="s">
        <v>560</v>
      </c>
      <c r="H52" s="18">
        <v>3.641</v>
      </c>
      <c r="I52" s="38">
        <v>157</v>
      </c>
      <c r="J52" s="38"/>
      <c r="K52" s="38"/>
      <c r="L52" s="38"/>
      <c r="M52" s="38"/>
      <c r="N52" s="38"/>
      <c r="O52" s="38"/>
      <c r="P52" s="38"/>
      <c r="Q52" s="38"/>
    </row>
    <row r="53" spans="1:17" ht="39" thickBot="1">
      <c r="A53" s="66"/>
      <c r="B53" s="238" t="s">
        <v>551</v>
      </c>
      <c r="C53" s="236">
        <v>2105</v>
      </c>
      <c r="D53" s="238" t="s">
        <v>654</v>
      </c>
      <c r="E53" s="238">
        <v>65093775</v>
      </c>
      <c r="F53" s="6">
        <v>40510</v>
      </c>
      <c r="G53" s="38" t="s">
        <v>560</v>
      </c>
      <c r="H53" s="18">
        <v>3.641</v>
      </c>
      <c r="I53" s="38">
        <v>157</v>
      </c>
      <c r="J53" s="38"/>
      <c r="K53" s="38"/>
      <c r="L53" s="38"/>
      <c r="M53" s="38"/>
      <c r="N53" s="38"/>
      <c r="O53" s="38"/>
      <c r="P53" s="38"/>
      <c r="Q53" s="38"/>
    </row>
    <row r="54" spans="1:17" ht="39" thickBot="1">
      <c r="A54" s="66"/>
      <c r="B54" s="238" t="s">
        <v>551</v>
      </c>
      <c r="C54" s="236">
        <v>2105</v>
      </c>
      <c r="D54" s="238" t="s">
        <v>654</v>
      </c>
      <c r="E54" s="238">
        <v>65093776</v>
      </c>
      <c r="F54" s="6">
        <v>42395</v>
      </c>
      <c r="G54" s="38" t="s">
        <v>560</v>
      </c>
      <c r="H54" s="18">
        <v>3.641</v>
      </c>
      <c r="I54" s="38">
        <v>157</v>
      </c>
      <c r="J54" s="38"/>
      <c r="K54" s="38"/>
      <c r="L54" s="38"/>
      <c r="M54" s="38"/>
      <c r="N54" s="38"/>
      <c r="O54" s="38"/>
      <c r="P54" s="38"/>
      <c r="Q54" s="38"/>
    </row>
    <row r="55" spans="1:17" ht="39" thickBot="1">
      <c r="A55" s="66"/>
      <c r="B55" s="238" t="s">
        <v>551</v>
      </c>
      <c r="C55" s="236">
        <v>2234</v>
      </c>
      <c r="D55" s="238" t="s">
        <v>655</v>
      </c>
      <c r="E55" s="238">
        <v>40704958</v>
      </c>
      <c r="F55" s="6">
        <v>42165</v>
      </c>
      <c r="G55" s="38" t="s">
        <v>560</v>
      </c>
      <c r="H55" s="18">
        <v>3.641</v>
      </c>
      <c r="I55" s="38">
        <v>157</v>
      </c>
      <c r="J55" s="38"/>
      <c r="K55" s="38"/>
      <c r="L55" s="38"/>
      <c r="M55" s="38"/>
      <c r="N55" s="38"/>
      <c r="O55" s="38"/>
      <c r="P55" s="38"/>
      <c r="Q55" s="38"/>
    </row>
    <row r="56" spans="1:17" ht="39" thickBot="1">
      <c r="A56" s="66"/>
      <c r="B56" s="238" t="s">
        <v>656</v>
      </c>
      <c r="C56" s="236">
        <v>2287</v>
      </c>
      <c r="D56" s="238" t="s">
        <v>657</v>
      </c>
      <c r="E56" s="238">
        <v>249866</v>
      </c>
      <c r="F56" s="6">
        <v>42398</v>
      </c>
      <c r="G56" s="38" t="s">
        <v>560</v>
      </c>
      <c r="H56" s="18">
        <v>3.641</v>
      </c>
      <c r="I56" s="38">
        <v>157</v>
      </c>
      <c r="J56" s="38"/>
      <c r="K56" s="38"/>
      <c r="L56" s="38"/>
      <c r="M56" s="38"/>
      <c r="N56" s="38"/>
      <c r="O56" s="38"/>
      <c r="P56" s="38"/>
      <c r="Q56" s="38"/>
    </row>
    <row r="57" spans="1:17" ht="39" thickBot="1">
      <c r="A57" s="66"/>
      <c r="B57" s="238" t="s">
        <v>656</v>
      </c>
      <c r="C57" s="236">
        <v>2287</v>
      </c>
      <c r="D57" s="238" t="s">
        <v>658</v>
      </c>
      <c r="E57" s="238">
        <v>160464</v>
      </c>
      <c r="F57" s="6">
        <v>42398</v>
      </c>
      <c r="G57" s="38" t="s">
        <v>560</v>
      </c>
      <c r="H57" s="18">
        <v>3.641</v>
      </c>
      <c r="I57" s="38">
        <v>157</v>
      </c>
      <c r="J57" s="38"/>
      <c r="K57" s="38"/>
      <c r="L57" s="38"/>
      <c r="M57" s="38"/>
      <c r="N57" s="38"/>
      <c r="O57" s="38"/>
      <c r="P57" s="38"/>
      <c r="Q57" s="38"/>
    </row>
    <row r="58" spans="1:17" ht="26.25" thickBot="1">
      <c r="A58" s="66"/>
      <c r="B58" s="7" t="s">
        <v>659</v>
      </c>
      <c r="C58" s="236">
        <v>2480</v>
      </c>
      <c r="D58" s="238" t="s">
        <v>660</v>
      </c>
      <c r="E58" s="238">
        <v>515139918</v>
      </c>
      <c r="F58" s="6">
        <v>42285</v>
      </c>
      <c r="G58" s="38" t="s">
        <v>560</v>
      </c>
      <c r="H58" s="18">
        <v>3.641</v>
      </c>
      <c r="I58" s="38">
        <v>157</v>
      </c>
      <c r="J58" s="38"/>
      <c r="K58" s="38"/>
      <c r="L58" s="38"/>
      <c r="M58" s="38"/>
      <c r="N58" s="38"/>
      <c r="O58" s="38"/>
      <c r="P58" s="38"/>
      <c r="Q58" s="38"/>
    </row>
    <row r="59" spans="1:17" ht="15.75" thickBot="1">
      <c r="A59" s="311" t="s">
        <v>661</v>
      </c>
      <c r="B59" s="312"/>
      <c r="C59" s="312"/>
      <c r="D59" s="312"/>
      <c r="E59" s="312"/>
      <c r="F59" s="313"/>
      <c r="G59" s="38"/>
      <c r="H59" s="28"/>
      <c r="I59" s="38"/>
      <c r="J59" s="38"/>
      <c r="K59" s="38"/>
      <c r="L59" s="38"/>
      <c r="M59" s="38"/>
      <c r="N59" s="38"/>
      <c r="O59" s="38"/>
      <c r="P59" s="38"/>
      <c r="Q59" s="38"/>
    </row>
    <row r="60" spans="1:17" ht="26.25" thickBot="1">
      <c r="A60" s="66"/>
      <c r="B60" s="238" t="s">
        <v>554</v>
      </c>
      <c r="C60" s="236">
        <v>1488</v>
      </c>
      <c r="D60" s="238" t="s">
        <v>555</v>
      </c>
      <c r="E60" s="238" t="s">
        <v>556</v>
      </c>
      <c r="F60" s="6">
        <v>42395</v>
      </c>
      <c r="G60" s="38" t="s">
        <v>560</v>
      </c>
      <c r="H60" s="18">
        <v>3.641</v>
      </c>
      <c r="I60" s="38">
        <v>157</v>
      </c>
      <c r="J60" s="38"/>
      <c r="K60" s="38"/>
      <c r="L60" s="38"/>
      <c r="M60" s="38"/>
      <c r="N60" s="38"/>
      <c r="O60" s="38"/>
      <c r="P60" s="38"/>
      <c r="Q60" s="38"/>
    </row>
    <row r="61" spans="1:17">
      <c r="A61" s="38"/>
      <c r="B61" s="38"/>
      <c r="C61" s="38"/>
      <c r="D61" s="38"/>
      <c r="E61" s="38"/>
      <c r="F61" s="38"/>
      <c r="G61" s="38"/>
      <c r="H61" s="26"/>
      <c r="I61" s="38"/>
      <c r="J61" s="38"/>
      <c r="K61" s="38"/>
      <c r="L61" s="38"/>
      <c r="M61" s="38"/>
      <c r="N61" s="38"/>
      <c r="O61" s="38"/>
      <c r="P61" s="38"/>
      <c r="Q61" s="38"/>
    </row>
    <row r="62" spans="1:17" ht="15.75" thickBot="1">
      <c r="A62" s="38"/>
      <c r="B62" s="38"/>
      <c r="C62" s="38"/>
      <c r="D62" s="38"/>
      <c r="E62" s="38"/>
      <c r="F62" s="38"/>
      <c r="G62" s="38"/>
      <c r="H62" s="26"/>
      <c r="I62" s="38"/>
      <c r="J62" s="38"/>
      <c r="K62" s="38"/>
      <c r="L62" s="38"/>
      <c r="M62" s="38"/>
      <c r="N62" s="38"/>
      <c r="O62" s="38"/>
      <c r="P62" s="38"/>
      <c r="Q62" s="38"/>
    </row>
    <row r="63" spans="1:17">
      <c r="A63" s="314" t="s">
        <v>664</v>
      </c>
      <c r="B63" s="315"/>
      <c r="C63" s="315"/>
      <c r="D63" s="315"/>
      <c r="E63" s="315"/>
      <c r="F63" s="316"/>
      <c r="G63" s="38"/>
      <c r="H63" s="26"/>
      <c r="I63" s="38"/>
      <c r="J63" s="38"/>
      <c r="K63" s="38"/>
      <c r="L63" s="38"/>
      <c r="M63" s="38"/>
      <c r="N63" s="38"/>
      <c r="O63" s="38"/>
      <c r="P63" s="38"/>
      <c r="Q63" s="38"/>
    </row>
    <row r="64" spans="1:17">
      <c r="A64" s="317" t="s">
        <v>448</v>
      </c>
      <c r="B64" s="318"/>
      <c r="C64" s="318"/>
      <c r="D64" s="318"/>
      <c r="E64" s="318"/>
      <c r="F64" s="319"/>
      <c r="G64" s="38"/>
      <c r="H64" s="38"/>
      <c r="I64" s="38"/>
      <c r="J64" s="38"/>
      <c r="K64" s="38"/>
      <c r="L64" s="38"/>
      <c r="M64" s="38"/>
      <c r="N64" s="38"/>
      <c r="O64" s="38"/>
      <c r="P64" s="38"/>
      <c r="Q64" s="38"/>
    </row>
    <row r="65" spans="1:17" ht="15.75" thickBot="1">
      <c r="A65" s="323"/>
      <c r="B65" s="324"/>
      <c r="C65" s="324"/>
      <c r="D65" s="324"/>
      <c r="E65" s="324"/>
      <c r="F65" s="325"/>
      <c r="G65" s="38"/>
      <c r="H65" s="38"/>
      <c r="I65" s="38"/>
      <c r="J65" s="38"/>
      <c r="K65" s="38"/>
      <c r="L65" s="38"/>
      <c r="M65" s="38"/>
      <c r="N65" s="38"/>
      <c r="O65" s="38"/>
      <c r="P65" s="38"/>
      <c r="Q65" s="38"/>
    </row>
    <row r="66" spans="1:17" ht="51.75" customHeight="1" thickBot="1">
      <c r="A66" s="326" t="s">
        <v>665</v>
      </c>
      <c r="B66" s="327"/>
      <c r="C66" s="327"/>
      <c r="D66" s="327"/>
      <c r="E66" s="327"/>
      <c r="F66" s="328"/>
      <c r="G66" s="38"/>
      <c r="H66" s="38"/>
      <c r="I66" s="38"/>
      <c r="J66" s="38"/>
      <c r="K66" s="38"/>
      <c r="L66" s="38"/>
      <c r="M66" s="38"/>
      <c r="N66" s="38"/>
      <c r="O66" s="38"/>
      <c r="P66" s="38"/>
      <c r="Q66" s="38"/>
    </row>
    <row r="67" spans="1:17" ht="39" thickBot="1">
      <c r="A67" s="241" t="s">
        <v>538</v>
      </c>
      <c r="B67" s="10" t="s">
        <v>539</v>
      </c>
      <c r="C67" s="10" t="s">
        <v>540</v>
      </c>
      <c r="D67" s="8" t="s">
        <v>28</v>
      </c>
      <c r="E67" s="10" t="s">
        <v>549</v>
      </c>
      <c r="F67" s="10" t="s">
        <v>550</v>
      </c>
      <c r="G67" s="147" t="s">
        <v>532</v>
      </c>
      <c r="H67" s="145" t="s">
        <v>663</v>
      </c>
      <c r="I67" s="146" t="s">
        <v>541</v>
      </c>
      <c r="J67" s="38"/>
      <c r="K67" s="38"/>
      <c r="L67" s="38"/>
      <c r="M67" s="38"/>
      <c r="N67" s="38"/>
      <c r="O67" s="38"/>
      <c r="P67" s="38"/>
      <c r="Q67" s="38"/>
    </row>
    <row r="68" spans="1:17" ht="15.75" thickBot="1">
      <c r="A68" s="311" t="s">
        <v>545</v>
      </c>
      <c r="B68" s="312"/>
      <c r="C68" s="312"/>
      <c r="D68" s="312"/>
      <c r="E68" s="312"/>
      <c r="F68" s="313"/>
      <c r="G68" s="38"/>
      <c r="H68" s="38"/>
      <c r="I68" s="38"/>
      <c r="J68" s="38"/>
      <c r="K68" s="38"/>
      <c r="L68" s="38"/>
      <c r="M68" s="38"/>
      <c r="N68" s="38"/>
      <c r="O68" s="38"/>
      <c r="P68" s="38"/>
      <c r="Q68" s="38"/>
    </row>
    <row r="69" spans="1:17" ht="15.75" thickBot="1">
      <c r="A69" s="66"/>
      <c r="B69" s="238" t="s">
        <v>639</v>
      </c>
      <c r="C69" s="236">
        <v>1</v>
      </c>
      <c r="D69" s="238" t="s">
        <v>666</v>
      </c>
      <c r="E69" s="236">
        <v>145000</v>
      </c>
      <c r="F69" s="6">
        <v>42297</v>
      </c>
      <c r="G69" s="39" t="s">
        <v>667</v>
      </c>
      <c r="H69" s="38">
        <v>0.753</v>
      </c>
      <c r="I69" s="20">
        <v>43</v>
      </c>
      <c r="J69" s="38"/>
      <c r="K69" s="38"/>
      <c r="L69" s="38"/>
      <c r="M69" s="38"/>
      <c r="N69" s="38"/>
      <c r="O69" s="38"/>
      <c r="P69" s="38"/>
      <c r="Q69" s="38"/>
    </row>
    <row r="70" spans="1:17" ht="15.75" thickBot="1">
      <c r="A70" s="66"/>
      <c r="B70" s="238" t="s">
        <v>668</v>
      </c>
      <c r="C70" s="236">
        <v>265</v>
      </c>
      <c r="D70" s="238" t="s">
        <v>669</v>
      </c>
      <c r="E70" s="236" t="s">
        <v>670</v>
      </c>
      <c r="F70" s="6">
        <v>42290</v>
      </c>
      <c r="G70" s="39" t="s">
        <v>667</v>
      </c>
      <c r="H70" s="38">
        <v>0.753</v>
      </c>
      <c r="I70" s="20">
        <v>43</v>
      </c>
      <c r="J70" s="38"/>
      <c r="K70" s="38"/>
      <c r="L70" s="38"/>
      <c r="M70" s="38"/>
      <c r="N70" s="38"/>
      <c r="O70" s="38"/>
      <c r="P70" s="38"/>
      <c r="Q70" s="38"/>
    </row>
    <row r="71" spans="1:17" ht="15.75" thickBot="1">
      <c r="A71" s="66"/>
      <c r="B71" s="238" t="s">
        <v>671</v>
      </c>
      <c r="C71" s="236">
        <v>265</v>
      </c>
      <c r="D71" s="238" t="s">
        <v>666</v>
      </c>
      <c r="E71" s="236" t="s">
        <v>672</v>
      </c>
      <c r="F71" s="6">
        <v>42290</v>
      </c>
      <c r="G71" s="39" t="s">
        <v>667</v>
      </c>
      <c r="H71" s="38">
        <v>0.753</v>
      </c>
      <c r="I71" s="20">
        <v>43</v>
      </c>
      <c r="J71" s="38"/>
      <c r="K71" s="38"/>
      <c r="L71" s="38"/>
      <c r="M71" s="38"/>
      <c r="N71" s="38"/>
      <c r="O71" s="38"/>
      <c r="P71" s="38"/>
      <c r="Q71" s="38"/>
    </row>
    <row r="72" spans="1:17" ht="15.75" thickBot="1">
      <c r="A72" s="66"/>
      <c r="B72" s="238"/>
      <c r="C72" s="236">
        <v>349</v>
      </c>
      <c r="D72" s="238" t="s">
        <v>673</v>
      </c>
      <c r="E72" s="236">
        <v>848461</v>
      </c>
      <c r="F72" s="6">
        <v>42297</v>
      </c>
      <c r="G72" s="39" t="s">
        <v>667</v>
      </c>
      <c r="H72" s="38">
        <v>0.753</v>
      </c>
      <c r="I72" s="20">
        <v>43</v>
      </c>
      <c r="J72" s="38"/>
      <c r="K72" s="38"/>
      <c r="L72" s="38"/>
      <c r="M72" s="38"/>
      <c r="N72" s="38"/>
      <c r="O72" s="38"/>
      <c r="P72" s="38"/>
      <c r="Q72" s="38"/>
    </row>
    <row r="73" spans="1:17" ht="15.75" thickBot="1">
      <c r="A73" s="66"/>
      <c r="B73" s="238" t="s">
        <v>674</v>
      </c>
      <c r="C73" s="236">
        <v>351</v>
      </c>
      <c r="D73" s="238" t="s">
        <v>666</v>
      </c>
      <c r="E73" s="236">
        <v>435052</v>
      </c>
      <c r="F73" s="6">
        <v>42395</v>
      </c>
      <c r="G73" s="39" t="s">
        <v>667</v>
      </c>
      <c r="H73" s="38">
        <v>0.753</v>
      </c>
      <c r="I73" s="20">
        <v>43</v>
      </c>
      <c r="J73" s="38"/>
      <c r="K73" s="38"/>
      <c r="L73" s="38"/>
      <c r="M73" s="38"/>
      <c r="N73" s="38"/>
      <c r="O73" s="38"/>
      <c r="P73" s="38"/>
      <c r="Q73" s="38"/>
    </row>
    <row r="74" spans="1:17" ht="15.75" thickBot="1">
      <c r="A74" s="66"/>
      <c r="B74" s="238" t="s">
        <v>675</v>
      </c>
      <c r="C74" s="236">
        <v>365</v>
      </c>
      <c r="D74" s="238" t="s">
        <v>666</v>
      </c>
      <c r="E74" s="236">
        <v>605096</v>
      </c>
      <c r="F74" s="6">
        <v>42394</v>
      </c>
      <c r="G74" s="39" t="s">
        <v>667</v>
      </c>
      <c r="H74" s="38">
        <v>0.753</v>
      </c>
      <c r="I74" s="20">
        <v>43</v>
      </c>
      <c r="J74" s="38"/>
      <c r="K74" s="38"/>
      <c r="L74" s="38"/>
      <c r="M74" s="38"/>
      <c r="N74" s="38"/>
      <c r="O74" s="38"/>
      <c r="P74" s="38"/>
      <c r="Q74" s="38"/>
    </row>
    <row r="75" spans="1:17" ht="15.75" thickBot="1">
      <c r="A75" s="66"/>
      <c r="B75" s="238" t="s">
        <v>676</v>
      </c>
      <c r="C75" s="236">
        <v>392</v>
      </c>
      <c r="D75" s="238" t="s">
        <v>677</v>
      </c>
      <c r="E75" s="236">
        <v>520588</v>
      </c>
      <c r="F75" s="6">
        <v>42290</v>
      </c>
      <c r="G75" s="39" t="s">
        <v>667</v>
      </c>
      <c r="H75" s="38">
        <v>0.753</v>
      </c>
      <c r="I75" s="20">
        <v>43</v>
      </c>
      <c r="J75" s="38"/>
      <c r="K75" s="38"/>
      <c r="L75" s="38"/>
      <c r="M75" s="38"/>
      <c r="N75" s="38"/>
      <c r="O75" s="38"/>
      <c r="P75" s="38"/>
      <c r="Q75" s="38"/>
    </row>
    <row r="76" spans="1:17" ht="15.75" thickBot="1">
      <c r="A76" s="66"/>
      <c r="B76" s="238" t="s">
        <v>678</v>
      </c>
      <c r="C76" s="236">
        <v>414</v>
      </c>
      <c r="D76" s="238" t="s">
        <v>666</v>
      </c>
      <c r="E76" s="236">
        <v>416304</v>
      </c>
      <c r="F76" s="6">
        <v>41655</v>
      </c>
      <c r="G76" s="39" t="s">
        <v>667</v>
      </c>
      <c r="H76" s="38">
        <v>0.753</v>
      </c>
      <c r="I76" s="20">
        <v>43</v>
      </c>
      <c r="J76" s="38"/>
      <c r="K76" s="38"/>
      <c r="L76" s="38"/>
      <c r="M76" s="38"/>
      <c r="N76" s="38"/>
      <c r="O76" s="38"/>
      <c r="P76" s="38"/>
      <c r="Q76" s="38"/>
    </row>
    <row r="77" spans="1:17" ht="15.75" thickBot="1">
      <c r="A77" s="66"/>
      <c r="B77" s="238" t="s">
        <v>679</v>
      </c>
      <c r="C77" s="236">
        <v>436</v>
      </c>
      <c r="D77" s="238" t="s">
        <v>677</v>
      </c>
      <c r="E77" s="236">
        <v>157625</v>
      </c>
      <c r="F77" s="6">
        <v>41711</v>
      </c>
      <c r="G77" s="39" t="s">
        <v>667</v>
      </c>
      <c r="H77" s="38">
        <v>0.753</v>
      </c>
      <c r="I77" s="20">
        <v>43</v>
      </c>
      <c r="J77" s="38"/>
      <c r="K77" s="38"/>
      <c r="L77" s="38"/>
      <c r="M77" s="38"/>
      <c r="N77" s="38"/>
      <c r="O77" s="38"/>
      <c r="P77" s="38"/>
      <c r="Q77" s="38"/>
    </row>
    <row r="78" spans="1:17" ht="15.75" thickBot="1">
      <c r="A78" s="66"/>
      <c r="B78" s="238" t="s">
        <v>680</v>
      </c>
      <c r="C78" s="236">
        <v>1241</v>
      </c>
      <c r="D78" s="238" t="s">
        <v>681</v>
      </c>
      <c r="E78" s="236">
        <v>451294</v>
      </c>
      <c r="F78" s="6">
        <v>41919</v>
      </c>
      <c r="G78" s="39" t="s">
        <v>667</v>
      </c>
      <c r="H78" s="38">
        <v>0.753</v>
      </c>
      <c r="I78" s="20">
        <v>43</v>
      </c>
      <c r="J78" s="38"/>
      <c r="K78" s="38"/>
      <c r="L78" s="38"/>
      <c r="M78" s="38"/>
      <c r="N78" s="38"/>
      <c r="O78" s="38"/>
      <c r="P78" s="38"/>
      <c r="Q78" s="38"/>
    </row>
    <row r="79" spans="1:17" ht="15.75" thickBot="1">
      <c r="A79" s="66"/>
      <c r="B79" s="238" t="s">
        <v>680</v>
      </c>
      <c r="C79" s="236">
        <v>1241</v>
      </c>
      <c r="D79" s="238" t="s">
        <v>682</v>
      </c>
      <c r="E79" s="236">
        <v>164698</v>
      </c>
      <c r="F79" s="6">
        <v>41919</v>
      </c>
      <c r="G79" s="39" t="s">
        <v>667</v>
      </c>
      <c r="H79" s="38">
        <v>0.753</v>
      </c>
      <c r="I79" s="20">
        <v>43</v>
      </c>
      <c r="J79" s="38"/>
      <c r="K79" s="38"/>
      <c r="L79" s="38"/>
      <c r="M79" s="38"/>
      <c r="N79" s="38"/>
      <c r="O79" s="38"/>
      <c r="P79" s="38"/>
      <c r="Q79" s="38"/>
    </row>
    <row r="80" spans="1:17" ht="15.75" thickBot="1">
      <c r="A80" s="66"/>
      <c r="B80" s="238" t="s">
        <v>683</v>
      </c>
      <c r="C80" s="236">
        <v>1338</v>
      </c>
      <c r="D80" s="238" t="s">
        <v>684</v>
      </c>
      <c r="E80" s="236">
        <v>174</v>
      </c>
      <c r="F80" s="6">
        <v>42290</v>
      </c>
      <c r="G80" s="39" t="s">
        <v>667</v>
      </c>
      <c r="H80" s="38">
        <v>0.753</v>
      </c>
      <c r="I80" s="20">
        <v>43</v>
      </c>
      <c r="J80" s="38"/>
      <c r="K80" s="38"/>
      <c r="L80" s="38"/>
      <c r="M80" s="38"/>
      <c r="N80" s="38"/>
      <c r="O80" s="38"/>
      <c r="P80" s="38"/>
      <c r="Q80" s="38"/>
    </row>
    <row r="81" spans="1:17" ht="26.25" thickBot="1">
      <c r="A81" s="66"/>
      <c r="B81" s="238" t="s">
        <v>685</v>
      </c>
      <c r="C81" s="236">
        <v>1343</v>
      </c>
      <c r="D81" s="238" t="s">
        <v>666</v>
      </c>
      <c r="E81" s="236">
        <v>513159</v>
      </c>
      <c r="F81" s="6">
        <v>42304</v>
      </c>
      <c r="G81" s="39" t="s">
        <v>667</v>
      </c>
      <c r="H81" s="38">
        <v>0.753</v>
      </c>
      <c r="I81" s="20">
        <v>43</v>
      </c>
      <c r="J81" s="38"/>
      <c r="K81" s="38"/>
      <c r="L81" s="38"/>
      <c r="M81" s="38"/>
      <c r="N81" s="38"/>
      <c r="O81" s="38"/>
      <c r="P81" s="38"/>
      <c r="Q81" s="38"/>
    </row>
    <row r="82" spans="1:17" ht="15.75" thickBot="1">
      <c r="A82" s="66"/>
      <c r="B82" s="238" t="s">
        <v>686</v>
      </c>
      <c r="C82" s="236">
        <v>1349</v>
      </c>
      <c r="D82" s="238" t="s">
        <v>687</v>
      </c>
      <c r="E82" s="236">
        <v>73262</v>
      </c>
      <c r="F82" s="6">
        <v>41919</v>
      </c>
      <c r="G82" s="39" t="s">
        <v>667</v>
      </c>
      <c r="H82" s="38">
        <v>0.753</v>
      </c>
      <c r="I82" s="20">
        <v>43</v>
      </c>
      <c r="J82" s="38"/>
      <c r="K82" s="38"/>
      <c r="L82" s="38"/>
      <c r="M82" s="38"/>
      <c r="N82" s="38"/>
      <c r="O82" s="38"/>
      <c r="P82" s="38"/>
      <c r="Q82" s="38"/>
    </row>
    <row r="83" spans="1:17" ht="26.25" thickBot="1">
      <c r="A83" s="66"/>
      <c r="B83" s="238" t="s">
        <v>688</v>
      </c>
      <c r="C83" s="236">
        <v>1380</v>
      </c>
      <c r="D83" s="238" t="s">
        <v>681</v>
      </c>
      <c r="E83" s="236">
        <v>851645</v>
      </c>
      <c r="F83" s="6">
        <v>41656</v>
      </c>
      <c r="G83" s="39" t="s">
        <v>667</v>
      </c>
      <c r="H83" s="38">
        <v>0.753</v>
      </c>
      <c r="I83" s="20">
        <v>43</v>
      </c>
      <c r="J83" s="38"/>
      <c r="K83" s="38"/>
      <c r="L83" s="38"/>
      <c r="M83" s="38"/>
      <c r="N83" s="38"/>
      <c r="O83" s="38"/>
      <c r="P83" s="38"/>
      <c r="Q83" s="38"/>
    </row>
    <row r="84" spans="1:17" ht="15.75" thickBot="1">
      <c r="A84" s="66"/>
      <c r="B84" s="238" t="s">
        <v>689</v>
      </c>
      <c r="C84" s="236">
        <v>1388</v>
      </c>
      <c r="D84" s="238" t="s">
        <v>666</v>
      </c>
      <c r="E84" s="236">
        <v>144896</v>
      </c>
      <c r="F84" s="6">
        <v>41712</v>
      </c>
      <c r="G84" s="39" t="s">
        <v>667</v>
      </c>
      <c r="H84" s="38">
        <v>0.753</v>
      </c>
      <c r="I84" s="20">
        <v>43</v>
      </c>
      <c r="J84" s="38"/>
      <c r="K84" s="38"/>
      <c r="L84" s="38"/>
      <c r="M84" s="38"/>
      <c r="N84" s="38"/>
      <c r="O84" s="38"/>
      <c r="P84" s="38"/>
      <c r="Q84" s="38"/>
    </row>
    <row r="85" spans="1:17" ht="15.75" thickBot="1">
      <c r="A85" s="66"/>
      <c r="B85" s="238" t="s">
        <v>690</v>
      </c>
      <c r="C85" s="236">
        <v>1471</v>
      </c>
      <c r="D85" s="238" t="s">
        <v>691</v>
      </c>
      <c r="E85" s="236">
        <v>54</v>
      </c>
      <c r="F85" s="6">
        <v>42291</v>
      </c>
      <c r="G85" s="39" t="s">
        <v>667</v>
      </c>
      <c r="H85" s="38">
        <v>0.753</v>
      </c>
      <c r="I85" s="20">
        <v>43</v>
      </c>
      <c r="J85" s="38"/>
      <c r="K85" s="38"/>
      <c r="L85" s="38"/>
      <c r="M85" s="38"/>
      <c r="N85" s="38"/>
      <c r="O85" s="38"/>
      <c r="P85" s="38"/>
      <c r="Q85" s="38"/>
    </row>
    <row r="86" spans="1:17" ht="15.75" thickBot="1">
      <c r="A86" s="66"/>
      <c r="B86" s="238" t="s">
        <v>692</v>
      </c>
      <c r="C86" s="236">
        <v>1517</v>
      </c>
      <c r="D86" s="238" t="s">
        <v>677</v>
      </c>
      <c r="E86" s="236">
        <v>79691</v>
      </c>
      <c r="F86" s="6">
        <v>41711</v>
      </c>
      <c r="G86" s="39" t="s">
        <v>667</v>
      </c>
      <c r="H86" s="38">
        <v>0.753</v>
      </c>
      <c r="I86" s="20">
        <v>43</v>
      </c>
      <c r="J86" s="38"/>
      <c r="K86" s="38"/>
      <c r="L86" s="38"/>
      <c r="M86" s="38"/>
      <c r="N86" s="38"/>
      <c r="O86" s="38"/>
      <c r="P86" s="38"/>
      <c r="Q86" s="38"/>
    </row>
    <row r="87" spans="1:17" ht="15.75" thickBot="1">
      <c r="A87" s="66"/>
      <c r="B87" s="238" t="s">
        <v>693</v>
      </c>
      <c r="C87" s="236">
        <v>1517</v>
      </c>
      <c r="D87" s="238" t="s">
        <v>684</v>
      </c>
      <c r="E87" s="236">
        <v>184</v>
      </c>
      <c r="F87" s="6">
        <v>41712</v>
      </c>
      <c r="G87" s="39" t="s">
        <v>667</v>
      </c>
      <c r="H87" s="38">
        <v>0.753</v>
      </c>
      <c r="I87" s="20">
        <v>43</v>
      </c>
      <c r="J87" s="38"/>
      <c r="K87" s="38"/>
      <c r="L87" s="38"/>
      <c r="M87" s="38"/>
      <c r="N87" s="38"/>
      <c r="O87" s="38"/>
      <c r="P87" s="38"/>
      <c r="Q87" s="38"/>
    </row>
    <row r="88" spans="1:17" ht="15.75" thickBot="1">
      <c r="A88" s="66"/>
      <c r="B88" s="238" t="s">
        <v>694</v>
      </c>
      <c r="C88" s="236">
        <v>1552</v>
      </c>
      <c r="D88" s="238" t="s">
        <v>687</v>
      </c>
      <c r="E88" s="236">
        <v>4966</v>
      </c>
      <c r="F88" s="6">
        <v>41712</v>
      </c>
      <c r="G88" s="39" t="s">
        <v>667</v>
      </c>
      <c r="H88" s="38">
        <v>0.753</v>
      </c>
      <c r="I88" s="20">
        <v>43</v>
      </c>
      <c r="J88" s="38"/>
      <c r="K88" s="38"/>
      <c r="L88" s="38"/>
      <c r="M88" s="38"/>
      <c r="N88" s="38"/>
      <c r="O88" s="38"/>
      <c r="P88" s="38"/>
      <c r="Q88" s="38"/>
    </row>
    <row r="89" spans="1:17" ht="15.75" thickBot="1">
      <c r="A89" s="66"/>
      <c r="B89" s="238" t="s">
        <v>694</v>
      </c>
      <c r="C89" s="236">
        <v>1552</v>
      </c>
      <c r="D89" s="238" t="s">
        <v>687</v>
      </c>
      <c r="E89" s="236">
        <v>4967</v>
      </c>
      <c r="F89" s="6">
        <v>41712</v>
      </c>
      <c r="G89" s="39" t="s">
        <v>667</v>
      </c>
      <c r="H89" s="38">
        <v>0.753</v>
      </c>
      <c r="I89" s="20">
        <v>43</v>
      </c>
      <c r="J89" s="38"/>
      <c r="K89" s="38"/>
      <c r="L89" s="38"/>
      <c r="M89" s="38"/>
      <c r="N89" s="38"/>
      <c r="O89" s="38"/>
      <c r="P89" s="38"/>
      <c r="Q89" s="38"/>
    </row>
    <row r="90" spans="1:17" ht="15.75" thickBot="1">
      <c r="A90" s="66"/>
      <c r="B90" s="238" t="s">
        <v>695</v>
      </c>
      <c r="C90" s="236">
        <v>1553</v>
      </c>
      <c r="D90" s="238" t="s">
        <v>666</v>
      </c>
      <c r="E90" s="236">
        <v>122528</v>
      </c>
      <c r="F90" s="6">
        <v>42396</v>
      </c>
      <c r="G90" s="39" t="s">
        <v>667</v>
      </c>
      <c r="H90" s="38">
        <v>0.753</v>
      </c>
      <c r="I90" s="20">
        <v>43</v>
      </c>
      <c r="J90" s="38"/>
      <c r="K90" s="38"/>
      <c r="L90" s="38"/>
      <c r="M90" s="38"/>
      <c r="N90" s="38"/>
      <c r="O90" s="38"/>
      <c r="P90" s="38"/>
      <c r="Q90" s="38"/>
    </row>
    <row r="91" spans="1:17" ht="15.75" thickBot="1">
      <c r="A91" s="66"/>
      <c r="B91" s="238" t="s">
        <v>695</v>
      </c>
      <c r="C91" s="236">
        <v>1553</v>
      </c>
      <c r="D91" s="238" t="s">
        <v>666</v>
      </c>
      <c r="E91" s="236">
        <v>48270</v>
      </c>
      <c r="F91" s="6">
        <v>42396</v>
      </c>
      <c r="G91" s="39" t="s">
        <v>667</v>
      </c>
      <c r="H91" s="38">
        <v>0.753</v>
      </c>
      <c r="I91" s="20">
        <v>43</v>
      </c>
      <c r="J91" s="38"/>
      <c r="K91" s="38"/>
      <c r="L91" s="38"/>
      <c r="M91" s="38"/>
      <c r="N91" s="38"/>
      <c r="O91" s="38"/>
      <c r="P91" s="38"/>
      <c r="Q91" s="38"/>
    </row>
    <row r="92" spans="1:17" ht="15.75" thickBot="1">
      <c r="A92" s="66"/>
      <c r="B92" s="238" t="s">
        <v>696</v>
      </c>
      <c r="C92" s="236">
        <v>1555</v>
      </c>
      <c r="D92" s="238" t="s">
        <v>666</v>
      </c>
      <c r="E92" s="236">
        <v>822979</v>
      </c>
      <c r="F92" s="6">
        <v>42290</v>
      </c>
      <c r="G92" s="39" t="s">
        <v>667</v>
      </c>
      <c r="H92" s="38">
        <v>0.753</v>
      </c>
      <c r="I92" s="20">
        <v>43</v>
      </c>
      <c r="J92" s="38"/>
      <c r="K92" s="38"/>
      <c r="L92" s="38"/>
      <c r="M92" s="38"/>
      <c r="N92" s="38"/>
      <c r="O92" s="38"/>
      <c r="P92" s="38"/>
      <c r="Q92" s="38"/>
    </row>
    <row r="93" spans="1:17" ht="15.75" thickBot="1">
      <c r="A93" s="66"/>
      <c r="B93" s="238" t="s">
        <v>697</v>
      </c>
      <c r="C93" s="236">
        <v>1555</v>
      </c>
      <c r="D93" s="238" t="s">
        <v>666</v>
      </c>
      <c r="E93" s="236">
        <v>115401</v>
      </c>
      <c r="F93" s="6">
        <v>42290</v>
      </c>
      <c r="G93" s="39" t="s">
        <v>667</v>
      </c>
      <c r="H93" s="38">
        <v>0.753</v>
      </c>
      <c r="I93" s="20">
        <v>43</v>
      </c>
      <c r="J93" s="38"/>
      <c r="K93" s="38"/>
      <c r="L93" s="38"/>
      <c r="M93" s="38"/>
      <c r="N93" s="38"/>
      <c r="O93" s="38"/>
      <c r="P93" s="38"/>
      <c r="Q93" s="38"/>
    </row>
    <row r="94" spans="1:17" ht="15.75" thickBot="1">
      <c r="A94" s="66"/>
      <c r="B94" s="238" t="s">
        <v>698</v>
      </c>
      <c r="C94" s="236">
        <v>1585</v>
      </c>
      <c r="D94" s="238" t="s">
        <v>666</v>
      </c>
      <c r="E94" s="236">
        <v>124179</v>
      </c>
      <c r="F94" s="6">
        <v>41233</v>
      </c>
      <c r="G94" s="39" t="s">
        <v>667</v>
      </c>
      <c r="H94" s="38">
        <v>0.753</v>
      </c>
      <c r="I94" s="20">
        <v>43</v>
      </c>
      <c r="J94" s="38"/>
      <c r="K94" s="38"/>
      <c r="L94" s="38"/>
      <c r="M94" s="38"/>
      <c r="N94" s="38"/>
      <c r="O94" s="38"/>
      <c r="P94" s="38"/>
      <c r="Q94" s="38"/>
    </row>
    <row r="95" spans="1:17" ht="15.75" thickBot="1">
      <c r="A95" s="66"/>
      <c r="B95" s="238" t="s">
        <v>699</v>
      </c>
      <c r="C95" s="236">
        <v>1586</v>
      </c>
      <c r="D95" s="238" t="s">
        <v>700</v>
      </c>
      <c r="E95" s="236">
        <v>124173</v>
      </c>
      <c r="F95" s="6">
        <v>42396</v>
      </c>
      <c r="G95" s="39" t="s">
        <v>667</v>
      </c>
      <c r="H95" s="38">
        <v>0.753</v>
      </c>
      <c r="I95" s="20">
        <v>43</v>
      </c>
      <c r="J95" s="38"/>
      <c r="K95" s="38"/>
      <c r="L95" s="38"/>
      <c r="M95" s="38"/>
      <c r="N95" s="38"/>
      <c r="O95" s="38"/>
      <c r="P95" s="38"/>
      <c r="Q95" s="38"/>
    </row>
    <row r="96" spans="1:17" ht="15.75" thickBot="1">
      <c r="A96" s="66"/>
      <c r="B96" s="238" t="s">
        <v>699</v>
      </c>
      <c r="C96" s="236">
        <v>1587</v>
      </c>
      <c r="D96" s="238" t="s">
        <v>666</v>
      </c>
      <c r="E96" s="236">
        <v>124172</v>
      </c>
      <c r="F96" s="6">
        <v>41233</v>
      </c>
      <c r="G96" s="39" t="s">
        <v>667</v>
      </c>
      <c r="H96" s="38">
        <v>0.753</v>
      </c>
      <c r="I96" s="20">
        <v>43</v>
      </c>
      <c r="J96" s="38"/>
      <c r="K96" s="38"/>
      <c r="L96" s="38"/>
      <c r="M96" s="38"/>
      <c r="N96" s="38"/>
      <c r="O96" s="38"/>
      <c r="P96" s="38"/>
      <c r="Q96" s="38"/>
    </row>
    <row r="97" spans="1:17" ht="15.75" thickBot="1">
      <c r="A97" s="66"/>
      <c r="B97" s="238" t="s">
        <v>701</v>
      </c>
      <c r="C97" s="236">
        <v>1600</v>
      </c>
      <c r="D97" s="238" t="s">
        <v>666</v>
      </c>
      <c r="E97" s="236">
        <v>301298</v>
      </c>
      <c r="F97" s="6">
        <v>42291</v>
      </c>
      <c r="G97" s="39" t="s">
        <v>667</v>
      </c>
      <c r="H97" s="38">
        <v>0.753</v>
      </c>
      <c r="I97" s="20">
        <v>43</v>
      </c>
      <c r="J97" s="38"/>
      <c r="K97" s="38"/>
      <c r="L97" s="38"/>
      <c r="M97" s="38"/>
      <c r="N97" s="38"/>
      <c r="O97" s="38"/>
      <c r="P97" s="38"/>
      <c r="Q97" s="38"/>
    </row>
    <row r="98" spans="1:17" ht="15.75" thickBot="1">
      <c r="A98" s="66"/>
      <c r="B98" s="238" t="s">
        <v>701</v>
      </c>
      <c r="C98" s="236">
        <v>1600</v>
      </c>
      <c r="D98" s="238" t="s">
        <v>666</v>
      </c>
      <c r="E98" s="236">
        <v>301299</v>
      </c>
      <c r="F98" s="6">
        <v>42291</v>
      </c>
      <c r="G98" s="39" t="s">
        <v>667</v>
      </c>
      <c r="H98" s="38">
        <v>0.753</v>
      </c>
      <c r="I98" s="20">
        <v>43</v>
      </c>
      <c r="J98" s="38"/>
      <c r="K98" s="38"/>
      <c r="L98" s="38"/>
      <c r="M98" s="38"/>
      <c r="N98" s="38"/>
      <c r="O98" s="38"/>
      <c r="P98" s="38"/>
      <c r="Q98" s="38"/>
    </row>
    <row r="99" spans="1:17" ht="15.75" thickBot="1">
      <c r="A99" s="66"/>
      <c r="B99" s="238"/>
      <c r="C99" s="236">
        <v>1609</v>
      </c>
      <c r="D99" s="238" t="s">
        <v>666</v>
      </c>
      <c r="E99" s="236">
        <v>27286</v>
      </c>
      <c r="F99" s="6">
        <v>42297</v>
      </c>
      <c r="G99" s="39" t="s">
        <v>667</v>
      </c>
      <c r="H99" s="38">
        <v>0.753</v>
      </c>
      <c r="I99" s="20">
        <v>43</v>
      </c>
      <c r="J99" s="38"/>
      <c r="K99" s="38"/>
      <c r="L99" s="38"/>
      <c r="M99" s="38"/>
      <c r="N99" s="38"/>
      <c r="O99" s="38"/>
      <c r="P99" s="38"/>
      <c r="Q99" s="38"/>
    </row>
    <row r="100" spans="1:17" ht="15.75" thickBot="1">
      <c r="A100" s="66"/>
      <c r="B100" s="238" t="s">
        <v>702</v>
      </c>
      <c r="C100" s="236">
        <v>1613</v>
      </c>
      <c r="D100" s="238" t="s">
        <v>687</v>
      </c>
      <c r="E100" s="236">
        <v>44443</v>
      </c>
      <c r="F100" s="6">
        <v>42290</v>
      </c>
      <c r="G100" s="39" t="s">
        <v>667</v>
      </c>
      <c r="H100" s="38">
        <v>0.753</v>
      </c>
      <c r="I100" s="20">
        <v>43</v>
      </c>
      <c r="J100" s="38"/>
      <c r="K100" s="38"/>
      <c r="L100" s="38"/>
      <c r="M100" s="38"/>
      <c r="N100" s="38"/>
      <c r="O100" s="38"/>
      <c r="P100" s="38"/>
      <c r="Q100" s="38"/>
    </row>
    <row r="101" spans="1:17" ht="15.75" thickBot="1">
      <c r="A101" s="66"/>
      <c r="B101" s="238" t="s">
        <v>702</v>
      </c>
      <c r="C101" s="236">
        <v>1613</v>
      </c>
      <c r="D101" s="238" t="s">
        <v>703</v>
      </c>
      <c r="E101" s="236" t="s">
        <v>704</v>
      </c>
      <c r="F101" s="6">
        <v>42290</v>
      </c>
      <c r="G101" s="39" t="s">
        <v>667</v>
      </c>
      <c r="H101" s="38">
        <v>0.753</v>
      </c>
      <c r="I101" s="20">
        <v>43</v>
      </c>
      <c r="J101" s="38"/>
      <c r="K101" s="38"/>
      <c r="L101" s="38"/>
      <c r="M101" s="38"/>
      <c r="N101" s="38"/>
      <c r="O101" s="38"/>
      <c r="P101" s="38"/>
      <c r="Q101" s="38"/>
    </row>
    <row r="102" spans="1:17" ht="15.75" thickBot="1">
      <c r="A102" s="66"/>
      <c r="B102" s="238" t="s">
        <v>705</v>
      </c>
      <c r="C102" s="236">
        <v>1805</v>
      </c>
      <c r="D102" s="238" t="s">
        <v>673</v>
      </c>
      <c r="E102" s="236">
        <v>708999</v>
      </c>
      <c r="F102" s="6">
        <v>42291</v>
      </c>
      <c r="G102" s="39" t="s">
        <v>667</v>
      </c>
      <c r="H102" s="38">
        <v>0.753</v>
      </c>
      <c r="I102" s="20">
        <v>43</v>
      </c>
      <c r="J102" s="38"/>
      <c r="K102" s="38"/>
      <c r="L102" s="38"/>
      <c r="M102" s="38"/>
      <c r="N102" s="38"/>
      <c r="O102" s="38"/>
      <c r="P102" s="38"/>
      <c r="Q102" s="38"/>
    </row>
    <row r="103" spans="1:17" ht="15.75" thickBot="1">
      <c r="A103" s="66"/>
      <c r="B103" s="238" t="s">
        <v>705</v>
      </c>
      <c r="C103" s="236">
        <v>1805</v>
      </c>
      <c r="D103" s="238" t="s">
        <v>706</v>
      </c>
      <c r="E103" s="236">
        <v>11864</v>
      </c>
      <c r="F103" s="6">
        <v>42284</v>
      </c>
      <c r="G103" s="39" t="s">
        <v>667</v>
      </c>
      <c r="H103" s="38">
        <v>0.753</v>
      </c>
      <c r="I103" s="20">
        <v>43</v>
      </c>
      <c r="J103" s="38"/>
      <c r="K103" s="38"/>
      <c r="L103" s="38"/>
      <c r="M103" s="38"/>
      <c r="N103" s="38"/>
      <c r="O103" s="38"/>
      <c r="P103" s="38"/>
      <c r="Q103" s="38"/>
    </row>
    <row r="104" spans="1:17" ht="15.75" thickBot="1">
      <c r="A104" s="66"/>
      <c r="B104" s="238"/>
      <c r="C104" s="236">
        <v>1842</v>
      </c>
      <c r="D104" s="238" t="s">
        <v>707</v>
      </c>
      <c r="E104" s="236">
        <v>408438</v>
      </c>
      <c r="F104" s="6">
        <v>41989</v>
      </c>
      <c r="G104" s="39" t="s">
        <v>667</v>
      </c>
      <c r="H104" s="38">
        <v>0.753</v>
      </c>
      <c r="I104" s="20">
        <v>43</v>
      </c>
      <c r="J104" s="38"/>
      <c r="K104" s="38"/>
      <c r="L104" s="38"/>
      <c r="M104" s="38"/>
      <c r="N104" s="38"/>
      <c r="O104" s="38"/>
      <c r="P104" s="38"/>
      <c r="Q104" s="38"/>
    </row>
    <row r="105" spans="1:17" ht="26.25" thickBot="1">
      <c r="A105" s="66"/>
      <c r="B105" s="238"/>
      <c r="C105" s="236">
        <v>1906</v>
      </c>
      <c r="D105" s="238" t="s">
        <v>708</v>
      </c>
      <c r="E105" s="236">
        <v>4385</v>
      </c>
      <c r="F105" s="6">
        <v>41919</v>
      </c>
      <c r="G105" s="39" t="s">
        <v>667</v>
      </c>
      <c r="H105" s="38">
        <v>0.753</v>
      </c>
      <c r="I105" s="20">
        <v>43</v>
      </c>
      <c r="J105" s="38"/>
      <c r="K105" s="38"/>
      <c r="L105" s="38"/>
      <c r="M105" s="38"/>
      <c r="N105" s="38"/>
      <c r="O105" s="38"/>
      <c r="P105" s="38"/>
      <c r="Q105" s="38"/>
    </row>
    <row r="106" spans="1:17" ht="15.75" thickBot="1">
      <c r="A106" s="66"/>
      <c r="B106" s="238"/>
      <c r="C106" s="236">
        <v>1960</v>
      </c>
      <c r="D106" s="238" t="s">
        <v>687</v>
      </c>
      <c r="E106" s="236">
        <v>55032</v>
      </c>
      <c r="F106" s="6">
        <v>42297</v>
      </c>
      <c r="G106" s="39" t="s">
        <v>667</v>
      </c>
      <c r="H106" s="38">
        <v>0.753</v>
      </c>
      <c r="I106" s="20">
        <v>43</v>
      </c>
      <c r="J106" s="38"/>
      <c r="K106" s="38"/>
      <c r="L106" s="38"/>
      <c r="M106" s="38"/>
      <c r="N106" s="38"/>
      <c r="O106" s="38"/>
      <c r="P106" s="38"/>
      <c r="Q106" s="38"/>
    </row>
    <row r="107" spans="1:17" ht="15.75" thickBot="1">
      <c r="A107" s="66"/>
      <c r="B107" s="238"/>
      <c r="C107" s="236">
        <v>1965</v>
      </c>
      <c r="D107" s="238" t="s">
        <v>666</v>
      </c>
      <c r="E107" s="236">
        <v>118756</v>
      </c>
      <c r="F107" s="6">
        <v>42304</v>
      </c>
      <c r="G107" s="39" t="s">
        <v>667</v>
      </c>
      <c r="H107" s="38">
        <v>0.753</v>
      </c>
      <c r="I107" s="20">
        <v>43</v>
      </c>
      <c r="J107" s="38"/>
      <c r="K107" s="38"/>
      <c r="L107" s="38"/>
      <c r="M107" s="38"/>
      <c r="N107" s="38"/>
      <c r="O107" s="38"/>
      <c r="P107" s="38"/>
      <c r="Q107" s="38"/>
    </row>
    <row r="108" spans="1:17" ht="15.75" thickBot="1">
      <c r="A108" s="66"/>
      <c r="B108" s="238" t="s">
        <v>709</v>
      </c>
      <c r="C108" s="236">
        <v>2085</v>
      </c>
      <c r="D108" s="238" t="s">
        <v>710</v>
      </c>
      <c r="E108" s="236">
        <v>179498</v>
      </c>
      <c r="F108" s="6">
        <v>42304</v>
      </c>
      <c r="G108" s="39" t="s">
        <v>667</v>
      </c>
      <c r="H108" s="38">
        <v>0.753</v>
      </c>
      <c r="I108" s="20">
        <v>43</v>
      </c>
      <c r="J108" s="38"/>
      <c r="K108" s="38"/>
      <c r="L108" s="38"/>
      <c r="M108" s="38"/>
      <c r="N108" s="38"/>
      <c r="O108" s="38"/>
      <c r="P108" s="38"/>
      <c r="Q108" s="38"/>
    </row>
    <row r="109" spans="1:17" ht="15.75" thickBot="1">
      <c r="A109" s="66"/>
      <c r="B109" s="238"/>
      <c r="C109" s="236">
        <v>2000</v>
      </c>
      <c r="D109" s="238" t="s">
        <v>669</v>
      </c>
      <c r="E109" s="236">
        <v>120306</v>
      </c>
      <c r="F109" s="6">
        <v>42284</v>
      </c>
      <c r="G109" s="39" t="s">
        <v>667</v>
      </c>
      <c r="H109" s="38">
        <v>0.753</v>
      </c>
      <c r="I109" s="20">
        <v>43</v>
      </c>
      <c r="J109" s="38"/>
      <c r="K109" s="38"/>
      <c r="L109" s="38"/>
      <c r="M109" s="38"/>
      <c r="N109" s="38"/>
      <c r="O109" s="38"/>
      <c r="P109" s="38"/>
      <c r="Q109" s="38"/>
    </row>
    <row r="110" spans="1:17" ht="15.75" thickBot="1">
      <c r="A110" s="66"/>
      <c r="B110" s="238"/>
      <c r="C110" s="236">
        <v>2001</v>
      </c>
      <c r="D110" s="238" t="s">
        <v>669</v>
      </c>
      <c r="E110" s="236">
        <v>120307</v>
      </c>
      <c r="F110" s="6">
        <v>42284</v>
      </c>
      <c r="G110" s="39" t="s">
        <v>667</v>
      </c>
      <c r="H110" s="38">
        <v>0.753</v>
      </c>
      <c r="I110" s="20">
        <v>43</v>
      </c>
      <c r="J110" s="38"/>
      <c r="K110" s="38"/>
      <c r="L110" s="38"/>
      <c r="M110" s="38"/>
      <c r="N110" s="38"/>
      <c r="O110" s="38"/>
      <c r="P110" s="38"/>
      <c r="Q110" s="38"/>
    </row>
    <row r="111" spans="1:17" ht="15.75" thickBot="1">
      <c r="A111" s="66"/>
      <c r="B111" s="238"/>
      <c r="C111" s="236">
        <v>2078</v>
      </c>
      <c r="D111" s="238" t="s">
        <v>666</v>
      </c>
      <c r="E111" s="236">
        <v>1220359</v>
      </c>
      <c r="F111" s="6">
        <v>41919</v>
      </c>
      <c r="G111" s="39" t="s">
        <v>667</v>
      </c>
      <c r="H111" s="38">
        <v>0.753</v>
      </c>
      <c r="I111" s="20">
        <v>43</v>
      </c>
      <c r="J111" s="38"/>
      <c r="K111" s="38"/>
      <c r="L111" s="38"/>
      <c r="M111" s="38"/>
      <c r="N111" s="38"/>
      <c r="O111" s="38"/>
      <c r="P111" s="38"/>
      <c r="Q111" s="38"/>
    </row>
    <row r="112" spans="1:17" ht="15.75" thickBot="1">
      <c r="A112" s="66"/>
      <c r="B112" s="238"/>
      <c r="C112" s="236">
        <v>2085</v>
      </c>
      <c r="D112" s="238" t="s">
        <v>710</v>
      </c>
      <c r="E112" s="236">
        <v>179498</v>
      </c>
      <c r="F112" s="6">
        <v>42304</v>
      </c>
      <c r="G112" s="39" t="s">
        <v>667</v>
      </c>
      <c r="H112" s="38">
        <v>0.753</v>
      </c>
      <c r="I112" s="20">
        <v>43</v>
      </c>
      <c r="J112" s="38"/>
      <c r="K112" s="38"/>
      <c r="L112" s="38"/>
      <c r="M112" s="38"/>
      <c r="N112" s="38"/>
      <c r="O112" s="38"/>
      <c r="P112" s="38"/>
      <c r="Q112" s="38"/>
    </row>
    <row r="113" spans="1:17" ht="15.75" thickBot="1">
      <c r="A113" s="66"/>
      <c r="B113" s="238" t="s">
        <v>639</v>
      </c>
      <c r="C113" s="236">
        <v>2104</v>
      </c>
      <c r="D113" s="238" t="s">
        <v>711</v>
      </c>
      <c r="E113" s="236">
        <v>156504</v>
      </c>
      <c r="F113" s="6">
        <v>41711</v>
      </c>
      <c r="G113" s="39" t="s">
        <v>667</v>
      </c>
      <c r="H113" s="38">
        <v>0.753</v>
      </c>
      <c r="I113" s="20">
        <v>43</v>
      </c>
      <c r="J113" s="38"/>
      <c r="K113" s="38"/>
      <c r="L113" s="38"/>
      <c r="M113" s="38"/>
      <c r="N113" s="38"/>
      <c r="O113" s="38"/>
      <c r="P113" s="38"/>
      <c r="Q113" s="38"/>
    </row>
    <row r="114" spans="1:17" ht="15.75" thickBot="1">
      <c r="A114" s="66"/>
      <c r="B114" s="238"/>
      <c r="C114" s="236">
        <v>2104</v>
      </c>
      <c r="D114" s="238" t="s">
        <v>666</v>
      </c>
      <c r="E114" s="236">
        <v>38822</v>
      </c>
      <c r="F114" s="6">
        <v>41712</v>
      </c>
      <c r="G114" s="39" t="s">
        <v>667</v>
      </c>
      <c r="H114" s="38">
        <v>0.753</v>
      </c>
      <c r="I114" s="20">
        <v>43</v>
      </c>
      <c r="J114" s="38"/>
      <c r="K114" s="38"/>
      <c r="L114" s="38"/>
      <c r="M114" s="38"/>
      <c r="N114" s="38"/>
      <c r="O114" s="38"/>
      <c r="P114" s="38"/>
      <c r="Q114" s="38"/>
    </row>
    <row r="115" spans="1:17" ht="26.25" thickBot="1">
      <c r="A115" s="66"/>
      <c r="B115" s="238"/>
      <c r="C115" s="236">
        <v>5090</v>
      </c>
      <c r="D115" s="238" t="s">
        <v>712</v>
      </c>
      <c r="E115" s="236">
        <v>1647178</v>
      </c>
      <c r="F115" s="6">
        <v>41507</v>
      </c>
      <c r="G115" s="39" t="s">
        <v>667</v>
      </c>
      <c r="H115" s="38">
        <v>0.753</v>
      </c>
      <c r="I115" s="20">
        <v>43</v>
      </c>
      <c r="J115" s="38"/>
      <c r="K115" s="38"/>
      <c r="L115" s="38"/>
      <c r="M115" s="38"/>
      <c r="N115" s="38"/>
      <c r="O115" s="38"/>
      <c r="P115" s="38"/>
      <c r="Q115" s="38"/>
    </row>
    <row r="116" spans="1:17" ht="15.75" thickBot="1">
      <c r="A116" s="311" t="s">
        <v>713</v>
      </c>
      <c r="B116" s="312"/>
      <c r="C116" s="312"/>
      <c r="D116" s="312"/>
      <c r="E116" s="312"/>
      <c r="F116" s="313"/>
      <c r="G116" s="38"/>
      <c r="H116" s="38"/>
      <c r="I116" s="20"/>
      <c r="J116" s="38"/>
      <c r="K116" s="38"/>
      <c r="L116" s="38"/>
      <c r="M116" s="38"/>
      <c r="N116" s="38"/>
      <c r="O116" s="38"/>
      <c r="P116" s="38"/>
      <c r="Q116" s="38"/>
    </row>
    <row r="117" spans="1:17" ht="15.75" thickBot="1">
      <c r="A117" s="66"/>
      <c r="B117" s="238" t="s">
        <v>386</v>
      </c>
      <c r="C117" s="236">
        <v>25</v>
      </c>
      <c r="D117" s="238" t="s">
        <v>707</v>
      </c>
      <c r="E117" s="236">
        <v>446902</v>
      </c>
      <c r="F117" s="6">
        <v>42290</v>
      </c>
      <c r="G117" s="39" t="s">
        <v>667</v>
      </c>
      <c r="H117" s="38">
        <v>0.753</v>
      </c>
      <c r="I117" s="20">
        <v>43</v>
      </c>
      <c r="J117" s="38"/>
      <c r="K117" s="38"/>
      <c r="L117" s="38"/>
      <c r="M117" s="38"/>
      <c r="N117" s="38"/>
      <c r="O117" s="38"/>
      <c r="P117" s="38"/>
      <c r="Q117" s="38"/>
    </row>
    <row r="118" spans="1:17" ht="15.75" thickBot="1">
      <c r="A118" s="66"/>
      <c r="B118" s="238"/>
      <c r="C118" s="236">
        <v>38</v>
      </c>
      <c r="D118" s="238" t="s">
        <v>673</v>
      </c>
      <c r="E118" s="236">
        <v>841618</v>
      </c>
      <c r="F118" s="6">
        <v>41655</v>
      </c>
      <c r="G118" s="39" t="s">
        <v>667</v>
      </c>
      <c r="H118" s="38">
        <v>0.753</v>
      </c>
      <c r="I118" s="20">
        <v>43</v>
      </c>
      <c r="J118" s="38"/>
      <c r="K118" s="38"/>
      <c r="L118" s="38"/>
      <c r="M118" s="38"/>
      <c r="N118" s="38"/>
      <c r="O118" s="38"/>
      <c r="P118" s="38"/>
      <c r="Q118" s="38"/>
    </row>
    <row r="119" spans="1:17" ht="15.75" thickBot="1">
      <c r="A119" s="66"/>
      <c r="B119" s="238" t="s">
        <v>714</v>
      </c>
      <c r="C119" s="236">
        <v>234</v>
      </c>
      <c r="D119" s="238" t="s">
        <v>703</v>
      </c>
      <c r="E119" s="236">
        <v>372124</v>
      </c>
      <c r="F119" s="6">
        <v>42290</v>
      </c>
      <c r="G119" s="39" t="s">
        <v>667</v>
      </c>
      <c r="H119" s="38">
        <v>0.753</v>
      </c>
      <c r="I119" s="20">
        <v>43</v>
      </c>
      <c r="J119" s="38"/>
      <c r="K119" s="38"/>
      <c r="L119" s="38"/>
      <c r="M119" s="38"/>
      <c r="N119" s="38"/>
      <c r="O119" s="38"/>
      <c r="P119" s="38"/>
      <c r="Q119" s="38"/>
    </row>
    <row r="120" spans="1:17" ht="15.75" thickBot="1">
      <c r="A120" s="311" t="s">
        <v>661</v>
      </c>
      <c r="B120" s="312"/>
      <c r="C120" s="312"/>
      <c r="D120" s="312"/>
      <c r="E120" s="312"/>
      <c r="F120" s="313"/>
      <c r="G120" s="38"/>
      <c r="H120" s="38"/>
      <c r="I120" s="20"/>
      <c r="J120" s="38"/>
      <c r="K120" s="38"/>
      <c r="L120" s="38"/>
      <c r="M120" s="38"/>
      <c r="N120" s="38"/>
      <c r="O120" s="38"/>
      <c r="P120" s="38"/>
      <c r="Q120" s="38"/>
    </row>
    <row r="121" spans="1:17" ht="15.75" thickBot="1">
      <c r="A121" s="66"/>
      <c r="B121" s="238" t="s">
        <v>715</v>
      </c>
      <c r="C121" s="236">
        <v>1488</v>
      </c>
      <c r="D121" s="238" t="s">
        <v>666</v>
      </c>
      <c r="E121" s="236">
        <v>143581</v>
      </c>
      <c r="F121" s="6">
        <v>42522</v>
      </c>
      <c r="G121" s="39" t="s">
        <v>667</v>
      </c>
      <c r="H121" s="38">
        <v>0.753</v>
      </c>
      <c r="I121" s="20">
        <v>43</v>
      </c>
      <c r="J121" s="38"/>
      <c r="K121" s="38"/>
      <c r="L121" s="38"/>
      <c r="M121" s="38"/>
      <c r="N121" s="38"/>
      <c r="O121" s="38"/>
      <c r="P121" s="38"/>
      <c r="Q121" s="38"/>
    </row>
    <row r="122" spans="1:17" ht="15.75" thickBot="1">
      <c r="A122" s="66"/>
      <c r="B122" s="238" t="s">
        <v>715</v>
      </c>
      <c r="C122" s="236">
        <v>1488</v>
      </c>
      <c r="D122" s="238" t="s">
        <v>666</v>
      </c>
      <c r="E122" s="236">
        <v>983471</v>
      </c>
      <c r="F122" s="6">
        <v>41061</v>
      </c>
      <c r="G122" s="39" t="s">
        <v>667</v>
      </c>
      <c r="H122" s="38">
        <v>0.753</v>
      </c>
      <c r="I122" s="20">
        <v>43</v>
      </c>
      <c r="J122" s="38"/>
      <c r="K122" s="38"/>
      <c r="L122" s="38"/>
      <c r="M122" s="38"/>
      <c r="N122" s="38"/>
      <c r="O122" s="38"/>
      <c r="P122" s="38"/>
      <c r="Q122" s="38"/>
    </row>
    <row r="123" spans="1:17" ht="15.75" thickBot="1">
      <c r="A123" s="66"/>
      <c r="B123" s="238" t="s">
        <v>715</v>
      </c>
      <c r="C123" s="236">
        <v>1488</v>
      </c>
      <c r="D123" s="238" t="s">
        <v>687</v>
      </c>
      <c r="E123" s="236">
        <v>244382</v>
      </c>
      <c r="F123" s="6">
        <v>41061</v>
      </c>
      <c r="G123" s="39" t="s">
        <v>667</v>
      </c>
      <c r="H123" s="38">
        <v>0.753</v>
      </c>
      <c r="I123" s="20">
        <v>43</v>
      </c>
      <c r="J123" s="38"/>
      <c r="K123" s="38"/>
      <c r="L123" s="38"/>
      <c r="M123" s="38"/>
      <c r="N123" s="38"/>
      <c r="O123" s="38"/>
      <c r="P123" s="38"/>
      <c r="Q123" s="38"/>
    </row>
    <row r="124" spans="1:17" ht="15.75" thickBot="1">
      <c r="A124" s="66"/>
      <c r="B124" s="238" t="s">
        <v>716</v>
      </c>
      <c r="C124" s="236">
        <v>1488</v>
      </c>
      <c r="D124" s="238" t="s">
        <v>717</v>
      </c>
      <c r="E124" s="236">
        <v>421776</v>
      </c>
      <c r="F124" s="6">
        <v>41711</v>
      </c>
      <c r="G124" s="39" t="s">
        <v>667</v>
      </c>
      <c r="H124" s="38">
        <v>0.753</v>
      </c>
      <c r="I124" s="20">
        <v>43</v>
      </c>
      <c r="J124" s="38"/>
      <c r="K124" s="38"/>
      <c r="L124" s="38"/>
      <c r="M124" s="38"/>
      <c r="N124" s="38"/>
      <c r="O124" s="38"/>
      <c r="P124" s="38"/>
      <c r="Q124" s="38"/>
    </row>
    <row r="125" spans="1:17">
      <c r="A125" s="38"/>
      <c r="B125" s="38"/>
      <c r="C125" s="38"/>
      <c r="D125" s="38"/>
      <c r="E125" s="38"/>
      <c r="F125" s="38"/>
      <c r="G125" s="38"/>
      <c r="H125" s="38"/>
      <c r="I125" s="38"/>
      <c r="J125" s="38"/>
      <c r="K125" s="38"/>
      <c r="L125" s="38"/>
      <c r="M125" s="38"/>
      <c r="N125" s="38"/>
      <c r="O125" s="38"/>
      <c r="P125" s="38"/>
      <c r="Q125" s="38"/>
    </row>
    <row r="126" spans="1:17" ht="15.75" thickBot="1">
      <c r="A126" s="38"/>
      <c r="B126" s="38"/>
      <c r="C126" s="38"/>
      <c r="D126" s="38"/>
      <c r="E126" s="38"/>
      <c r="F126" s="38"/>
      <c r="G126" s="38"/>
      <c r="H126" s="38"/>
      <c r="I126" s="38"/>
      <c r="J126" s="38"/>
      <c r="K126" s="38"/>
      <c r="L126" s="38"/>
      <c r="M126" s="38"/>
      <c r="N126" s="38"/>
      <c r="O126" s="38"/>
      <c r="P126" s="38"/>
      <c r="Q126" s="38"/>
    </row>
    <row r="127" spans="1:17" ht="15.75" thickBot="1">
      <c r="A127" s="308" t="s">
        <v>718</v>
      </c>
      <c r="B127" s="309"/>
      <c r="C127" s="309"/>
      <c r="D127" s="309"/>
      <c r="E127" s="310"/>
      <c r="F127" s="29"/>
      <c r="G127" s="29"/>
      <c r="H127" s="29"/>
      <c r="I127" s="29"/>
      <c r="J127" s="38"/>
      <c r="K127" s="38"/>
      <c r="L127" s="38"/>
      <c r="M127" s="38"/>
      <c r="N127" s="38"/>
      <c r="O127" s="38"/>
      <c r="P127" s="38"/>
      <c r="Q127" s="38"/>
    </row>
    <row r="128" spans="1:17" ht="15.75" thickBot="1">
      <c r="A128" s="30"/>
      <c r="B128" s="31" t="s">
        <v>719</v>
      </c>
      <c r="C128" s="32">
        <v>1</v>
      </c>
      <c r="D128" s="33" t="s">
        <v>720</v>
      </c>
      <c r="E128" s="32">
        <v>1</v>
      </c>
      <c r="F128" s="29"/>
      <c r="G128" s="19" t="s">
        <v>667</v>
      </c>
      <c r="H128" s="29">
        <v>0.753</v>
      </c>
      <c r="I128" s="40">
        <v>43</v>
      </c>
      <c r="J128" s="38"/>
      <c r="K128" s="38"/>
      <c r="L128" s="38"/>
      <c r="M128" s="38"/>
      <c r="N128" s="38"/>
      <c r="O128" s="38"/>
      <c r="P128" s="38"/>
      <c r="Q128" s="38"/>
    </row>
    <row r="129" spans="1:17">
      <c r="A129" s="38"/>
      <c r="B129" s="38"/>
      <c r="C129" s="38"/>
      <c r="D129" s="38"/>
      <c r="E129" s="38"/>
      <c r="F129" s="38"/>
      <c r="G129" s="38"/>
      <c r="H129" s="38"/>
      <c r="I129" s="38"/>
      <c r="J129" s="38"/>
      <c r="K129" s="38"/>
      <c r="L129" s="38"/>
      <c r="M129" s="38"/>
      <c r="N129" s="38"/>
      <c r="O129" s="38"/>
      <c r="P129" s="38"/>
      <c r="Q129" s="38"/>
    </row>
    <row r="130" spans="1:17" ht="15.75" thickBot="1">
      <c r="A130" s="38"/>
      <c r="B130" s="38"/>
      <c r="C130" s="38"/>
      <c r="D130" s="38"/>
      <c r="E130" s="38"/>
      <c r="F130" s="38"/>
      <c r="G130" s="38"/>
      <c r="H130" s="38"/>
      <c r="I130" s="38"/>
      <c r="J130" s="38"/>
      <c r="K130" s="38"/>
      <c r="L130" s="38"/>
      <c r="M130" s="38"/>
      <c r="N130" s="38"/>
      <c r="O130" s="38"/>
      <c r="P130" s="38"/>
      <c r="Q130" s="38"/>
    </row>
    <row r="131" spans="1:17" ht="15.75" thickBot="1">
      <c r="A131" s="308" t="s">
        <v>546</v>
      </c>
      <c r="B131" s="309"/>
      <c r="C131" s="309"/>
      <c r="D131" s="309"/>
      <c r="E131" s="310"/>
      <c r="F131" s="38"/>
      <c r="G131" s="4"/>
      <c r="H131" s="4"/>
      <c r="I131" s="4"/>
      <c r="J131" s="38"/>
      <c r="K131" s="38"/>
      <c r="L131" s="38"/>
      <c r="M131" s="38"/>
      <c r="N131" s="38"/>
      <c r="O131" s="38"/>
      <c r="P131" s="38"/>
      <c r="Q131" s="38"/>
    </row>
    <row r="132" spans="1:17" ht="15.75" thickBot="1">
      <c r="A132" s="30"/>
      <c r="B132" s="31" t="s">
        <v>721</v>
      </c>
      <c r="C132" s="32">
        <v>37</v>
      </c>
      <c r="D132" s="33" t="s">
        <v>720</v>
      </c>
      <c r="E132" s="32">
        <v>1</v>
      </c>
      <c r="F132" s="29"/>
      <c r="G132" s="19" t="s">
        <v>667</v>
      </c>
      <c r="H132" s="29">
        <v>0.753</v>
      </c>
      <c r="I132" s="40">
        <v>43</v>
      </c>
      <c r="J132" s="38"/>
      <c r="K132" s="38"/>
      <c r="L132" s="38"/>
      <c r="M132" s="38"/>
      <c r="N132" s="38"/>
      <c r="O132" s="38"/>
      <c r="P132" s="38"/>
      <c r="Q132" s="38"/>
    </row>
    <row r="133" spans="1:17" ht="15.75" thickBot="1">
      <c r="A133" s="30"/>
      <c r="B133" s="31" t="s">
        <v>721</v>
      </c>
      <c r="C133" s="32">
        <v>55</v>
      </c>
      <c r="D133" s="33" t="s">
        <v>720</v>
      </c>
      <c r="E133" s="32">
        <v>1</v>
      </c>
      <c r="F133" s="29"/>
      <c r="G133" s="19" t="s">
        <v>667</v>
      </c>
      <c r="H133" s="29">
        <v>0.753</v>
      </c>
      <c r="I133" s="40">
        <v>43</v>
      </c>
      <c r="J133" s="38"/>
      <c r="K133" s="38"/>
      <c r="L133" s="38"/>
      <c r="M133" s="38"/>
      <c r="N133" s="38"/>
      <c r="O133" s="38"/>
      <c r="P133" s="38"/>
      <c r="Q133" s="38"/>
    </row>
    <row r="134" spans="1:17" ht="15.75" thickBot="1">
      <c r="A134" s="30"/>
      <c r="B134" s="31" t="s">
        <v>721</v>
      </c>
      <c r="C134" s="32">
        <v>104</v>
      </c>
      <c r="D134" s="33" t="s">
        <v>720</v>
      </c>
      <c r="E134" s="32">
        <v>1</v>
      </c>
      <c r="F134" s="29"/>
      <c r="G134" s="19" t="s">
        <v>667</v>
      </c>
      <c r="H134" s="29">
        <v>0.753</v>
      </c>
      <c r="I134" s="40">
        <v>43</v>
      </c>
      <c r="J134" s="38"/>
      <c r="K134" s="38"/>
      <c r="L134" s="38"/>
      <c r="M134" s="38"/>
      <c r="N134" s="38"/>
      <c r="O134" s="38"/>
      <c r="P134" s="38"/>
      <c r="Q134" s="38"/>
    </row>
    <row r="135" spans="1:17">
      <c r="A135" s="38"/>
      <c r="B135" s="38"/>
      <c r="C135" s="38"/>
      <c r="D135" s="38"/>
      <c r="E135" s="38"/>
      <c r="F135" s="38"/>
      <c r="G135" s="38"/>
      <c r="H135" s="38"/>
      <c r="I135" s="38"/>
      <c r="J135" s="38"/>
      <c r="K135" s="38"/>
      <c r="L135" s="38"/>
      <c r="M135" s="38"/>
      <c r="N135" s="38"/>
      <c r="O135" s="38"/>
      <c r="P135" s="38"/>
      <c r="Q135" s="38"/>
    </row>
    <row r="136" spans="1:17" ht="15.75" thickBot="1">
      <c r="A136" s="38"/>
      <c r="B136" s="38"/>
      <c r="C136" s="38"/>
      <c r="D136" s="38"/>
      <c r="E136" s="38"/>
      <c r="F136" s="38"/>
      <c r="G136" s="38"/>
      <c r="H136" s="38"/>
      <c r="I136" s="38"/>
      <c r="J136" s="38"/>
      <c r="K136" s="38"/>
      <c r="L136" s="38"/>
      <c r="M136" s="38"/>
      <c r="N136" s="38"/>
      <c r="O136" s="38"/>
      <c r="P136" s="38"/>
      <c r="Q136" s="38"/>
    </row>
    <row r="137" spans="1:17" ht="15.75" thickBot="1">
      <c r="A137" s="308" t="s">
        <v>722</v>
      </c>
      <c r="B137" s="309"/>
      <c r="C137" s="309"/>
      <c r="D137" s="309"/>
      <c r="E137" s="310"/>
      <c r="F137" s="19"/>
      <c r="G137" s="19"/>
      <c r="H137" s="19"/>
      <c r="I137" s="19"/>
      <c r="J137" s="38"/>
      <c r="K137" s="38"/>
      <c r="L137" s="38"/>
      <c r="M137" s="38"/>
      <c r="N137" s="38"/>
      <c r="O137" s="38"/>
      <c r="P137" s="38"/>
      <c r="Q137" s="38"/>
    </row>
    <row r="138" spans="1:17" ht="26.25" thickBot="1">
      <c r="A138" s="30"/>
      <c r="B138" s="31" t="s">
        <v>723</v>
      </c>
      <c r="C138" s="32" t="s">
        <v>724</v>
      </c>
      <c r="D138" s="33" t="s">
        <v>725</v>
      </c>
      <c r="E138" s="32">
        <v>1</v>
      </c>
      <c r="F138" s="19"/>
      <c r="G138" s="19" t="s">
        <v>667</v>
      </c>
      <c r="H138" s="19">
        <v>0.753</v>
      </c>
      <c r="I138" s="40">
        <v>43</v>
      </c>
      <c r="J138" s="38"/>
      <c r="K138" s="38"/>
      <c r="L138" s="38"/>
      <c r="M138" s="38"/>
      <c r="N138" s="38"/>
      <c r="O138" s="38"/>
      <c r="P138" s="38"/>
      <c r="Q138" s="38"/>
    </row>
    <row r="139" spans="1:17">
      <c r="A139" s="38"/>
      <c r="B139" s="38"/>
      <c r="C139" s="38"/>
      <c r="D139" s="38"/>
      <c r="E139" s="38"/>
      <c r="F139" s="38"/>
      <c r="G139" s="38"/>
      <c r="H139" s="38"/>
      <c r="I139" s="38"/>
      <c r="J139" s="38"/>
      <c r="K139" s="38"/>
      <c r="L139" s="38"/>
      <c r="M139" s="38"/>
      <c r="N139" s="38"/>
      <c r="O139" s="38"/>
      <c r="P139" s="38"/>
      <c r="Q139" s="38"/>
    </row>
    <row r="140" spans="1:17">
      <c r="A140" s="38"/>
      <c r="B140" s="38"/>
      <c r="C140" s="38"/>
      <c r="D140" s="38"/>
      <c r="E140" s="38"/>
      <c r="F140" s="38"/>
      <c r="G140" s="38"/>
      <c r="H140" s="38"/>
      <c r="I140" s="38"/>
      <c r="J140" s="38"/>
      <c r="K140" s="38"/>
      <c r="L140" s="38"/>
      <c r="M140" s="38"/>
      <c r="N140" s="38"/>
      <c r="O140" s="38"/>
      <c r="P140" s="38"/>
      <c r="Q140" s="38"/>
    </row>
    <row r="141" spans="1:17">
      <c r="A141" s="38"/>
      <c r="B141" s="38"/>
      <c r="C141" s="38"/>
      <c r="D141" s="38"/>
      <c r="E141" s="38"/>
      <c r="F141" s="38"/>
      <c r="G141" s="38"/>
      <c r="H141" s="38"/>
      <c r="I141" s="38"/>
      <c r="J141" s="38"/>
      <c r="K141" s="38"/>
      <c r="L141" s="38"/>
      <c r="M141" s="38"/>
      <c r="N141" s="38"/>
      <c r="O141" s="38"/>
      <c r="P141" s="38"/>
      <c r="Q141" s="38"/>
    </row>
    <row r="142" spans="1:17">
      <c r="A142" s="38"/>
      <c r="B142" s="38"/>
      <c r="C142" s="38"/>
      <c r="D142" s="38"/>
      <c r="E142" s="38"/>
      <c r="F142" s="38"/>
      <c r="G142" s="38"/>
      <c r="H142" s="38"/>
      <c r="I142" s="38"/>
      <c r="J142" s="38"/>
      <c r="K142" s="38"/>
      <c r="L142" s="38"/>
      <c r="M142" s="38"/>
      <c r="N142" s="38"/>
      <c r="O142" s="38"/>
      <c r="P142" s="38"/>
      <c r="Q142" s="38"/>
    </row>
    <row r="143" spans="1:17">
      <c r="A143" s="38"/>
      <c r="B143" s="38"/>
      <c r="C143" s="38"/>
      <c r="D143" s="38"/>
      <c r="E143" s="38"/>
      <c r="F143" s="38"/>
      <c r="G143" s="38"/>
      <c r="H143" s="38"/>
      <c r="I143" s="38"/>
      <c r="J143" s="38"/>
      <c r="K143" s="38"/>
      <c r="L143" s="38"/>
      <c r="M143" s="38"/>
      <c r="N143" s="38"/>
      <c r="O143" s="38"/>
      <c r="P143" s="38"/>
      <c r="Q143" s="38"/>
    </row>
    <row r="144" spans="1:17">
      <c r="A144" s="38"/>
      <c r="B144" s="38"/>
      <c r="C144" s="38"/>
      <c r="D144" s="38"/>
      <c r="E144" s="38"/>
      <c r="F144" s="38"/>
      <c r="G144" s="38"/>
      <c r="H144" s="38"/>
      <c r="I144" s="38"/>
      <c r="J144" s="38"/>
      <c r="K144" s="38"/>
      <c r="L144" s="38"/>
      <c r="M144" s="38"/>
      <c r="N144" s="38"/>
      <c r="O144" s="38"/>
      <c r="P144" s="38"/>
      <c r="Q144" s="38"/>
    </row>
    <row r="145" spans="1:17">
      <c r="A145" s="38"/>
      <c r="B145" s="38"/>
      <c r="C145" s="38"/>
      <c r="D145" s="38"/>
      <c r="E145" s="38"/>
      <c r="F145" s="38"/>
      <c r="G145" s="38"/>
      <c r="H145" s="38"/>
      <c r="I145" s="38"/>
      <c r="J145" s="38"/>
      <c r="K145" s="38"/>
      <c r="L145" s="38"/>
      <c r="M145" s="38"/>
      <c r="N145" s="38"/>
      <c r="O145" s="38"/>
      <c r="P145" s="38"/>
      <c r="Q145" s="38"/>
    </row>
    <row r="146" spans="1:17">
      <c r="A146" s="38"/>
      <c r="B146" s="38"/>
      <c r="C146" s="38"/>
      <c r="D146" s="38"/>
      <c r="E146" s="38"/>
      <c r="F146" s="38"/>
      <c r="G146" s="38"/>
      <c r="H146" s="38"/>
      <c r="I146" s="38"/>
      <c r="J146" s="38"/>
      <c r="K146" s="38"/>
      <c r="L146" s="38"/>
      <c r="M146" s="38"/>
      <c r="N146" s="38"/>
      <c r="O146" s="38"/>
      <c r="P146" s="38"/>
      <c r="Q146" s="38"/>
    </row>
    <row r="147" spans="1:17">
      <c r="A147" s="38"/>
      <c r="B147" s="38"/>
      <c r="C147" s="38"/>
      <c r="D147" s="38"/>
      <c r="E147" s="38"/>
      <c r="F147" s="38"/>
      <c r="G147" s="38"/>
      <c r="H147" s="38"/>
      <c r="I147" s="38"/>
      <c r="J147" s="38"/>
      <c r="K147" s="38"/>
      <c r="L147" s="38"/>
      <c r="M147" s="38"/>
      <c r="N147" s="38"/>
      <c r="O147" s="38"/>
      <c r="P147" s="38"/>
      <c r="Q147" s="38"/>
    </row>
    <row r="148" spans="1:17">
      <c r="A148" s="38"/>
      <c r="B148" s="38"/>
      <c r="C148" s="38"/>
      <c r="D148" s="38"/>
      <c r="E148" s="38"/>
      <c r="F148" s="38"/>
      <c r="G148" s="38"/>
      <c r="H148" s="38"/>
      <c r="I148" s="38"/>
      <c r="J148" s="38"/>
      <c r="K148" s="38"/>
      <c r="L148" s="38"/>
      <c r="M148" s="38"/>
      <c r="N148" s="38"/>
      <c r="O148" s="38"/>
      <c r="P148" s="38"/>
      <c r="Q148" s="38"/>
    </row>
    <row r="149" spans="1:17">
      <c r="A149" s="38"/>
      <c r="B149" s="38"/>
      <c r="C149" s="38"/>
      <c r="D149" s="38"/>
      <c r="E149" s="38"/>
      <c r="F149" s="38"/>
      <c r="G149" s="38"/>
      <c r="H149" s="38"/>
      <c r="I149" s="38"/>
      <c r="J149" s="38"/>
      <c r="K149" s="38"/>
      <c r="L149" s="38"/>
      <c r="M149" s="38"/>
      <c r="N149" s="38"/>
      <c r="O149" s="38"/>
      <c r="P149" s="38"/>
      <c r="Q149" s="38"/>
    </row>
    <row r="150" spans="1:17">
      <c r="A150" s="38"/>
      <c r="B150" s="38"/>
      <c r="C150" s="38"/>
      <c r="D150" s="38"/>
      <c r="E150" s="38"/>
      <c r="F150" s="38"/>
      <c r="G150" s="38"/>
      <c r="H150" s="38"/>
      <c r="I150" s="38"/>
      <c r="J150" s="38"/>
      <c r="K150" s="38"/>
      <c r="L150" s="38"/>
      <c r="M150" s="38"/>
      <c r="N150" s="38"/>
      <c r="O150" s="38"/>
      <c r="P150" s="38"/>
      <c r="Q150" s="38"/>
    </row>
    <row r="151" spans="1:17">
      <c r="A151" s="38"/>
      <c r="B151" s="38"/>
      <c r="C151" s="38"/>
      <c r="D151" s="38"/>
      <c r="E151" s="38"/>
      <c r="F151" s="38"/>
      <c r="G151" s="38"/>
      <c r="H151" s="38"/>
      <c r="I151" s="38"/>
      <c r="J151" s="38"/>
      <c r="K151" s="38"/>
      <c r="L151" s="38"/>
      <c r="M151" s="38"/>
      <c r="N151" s="38"/>
      <c r="O151" s="38"/>
      <c r="P151" s="38"/>
      <c r="Q151" s="38"/>
    </row>
    <row r="152" spans="1:17">
      <c r="A152" s="38"/>
      <c r="B152" s="38"/>
      <c r="C152" s="38"/>
      <c r="D152" s="38"/>
      <c r="E152" s="38"/>
      <c r="F152" s="38"/>
      <c r="G152" s="38"/>
      <c r="H152" s="38"/>
      <c r="I152" s="38"/>
      <c r="J152" s="38"/>
      <c r="K152" s="38"/>
      <c r="L152" s="38"/>
      <c r="M152" s="38"/>
      <c r="N152" s="38"/>
      <c r="O152" s="38"/>
      <c r="P152" s="38"/>
      <c r="Q152" s="38"/>
    </row>
    <row r="153" spans="1:17">
      <c r="A153" s="38"/>
      <c r="B153" s="38"/>
      <c r="C153" s="38"/>
      <c r="D153" s="38"/>
      <c r="E153" s="38"/>
      <c r="F153" s="38"/>
      <c r="G153" s="38"/>
      <c r="H153" s="38"/>
      <c r="I153" s="38"/>
      <c r="J153" s="38"/>
      <c r="K153" s="38"/>
      <c r="L153" s="38"/>
      <c r="M153" s="38"/>
      <c r="N153" s="38"/>
      <c r="O153" s="38"/>
      <c r="P153" s="38"/>
      <c r="Q153" s="38"/>
    </row>
    <row r="154" spans="1:17">
      <c r="A154" s="38"/>
      <c r="B154" s="38"/>
      <c r="C154" s="38"/>
      <c r="D154" s="38"/>
      <c r="E154" s="38"/>
      <c r="F154" s="38"/>
      <c r="G154" s="38"/>
      <c r="H154" s="38"/>
      <c r="I154" s="38"/>
      <c r="J154" s="38"/>
      <c r="K154" s="38"/>
      <c r="L154" s="38"/>
      <c r="M154" s="38"/>
      <c r="N154" s="38"/>
      <c r="O154" s="38"/>
      <c r="P154" s="38"/>
      <c r="Q154" s="38"/>
    </row>
    <row r="155" spans="1:17">
      <c r="A155" s="38"/>
      <c r="B155" s="38"/>
      <c r="C155" s="38"/>
      <c r="D155" s="38"/>
      <c r="E155" s="38"/>
      <c r="F155" s="38"/>
      <c r="G155" s="38"/>
      <c r="H155" s="38"/>
      <c r="I155" s="38"/>
      <c r="J155" s="38"/>
      <c r="K155" s="38"/>
      <c r="L155" s="38"/>
      <c r="M155" s="38"/>
      <c r="N155" s="38"/>
      <c r="O155" s="38"/>
      <c r="P155" s="38"/>
      <c r="Q155" s="38"/>
    </row>
    <row r="156" spans="1:17">
      <c r="A156" s="38"/>
      <c r="B156" s="38"/>
      <c r="C156" s="38"/>
      <c r="D156" s="38"/>
      <c r="E156" s="38"/>
      <c r="F156" s="38"/>
      <c r="G156" s="38"/>
      <c r="H156" s="38"/>
      <c r="I156" s="38"/>
      <c r="J156" s="38"/>
      <c r="K156" s="38"/>
      <c r="L156" s="38"/>
      <c r="M156" s="38"/>
      <c r="N156" s="38"/>
      <c r="O156" s="38"/>
      <c r="P156" s="38"/>
      <c r="Q156" s="38"/>
    </row>
    <row r="157" spans="1:17">
      <c r="A157" s="38"/>
      <c r="B157" s="38"/>
      <c r="C157" s="38"/>
      <c r="D157" s="38"/>
      <c r="E157" s="38"/>
      <c r="F157" s="38"/>
      <c r="G157" s="38"/>
      <c r="H157" s="38"/>
      <c r="I157" s="38"/>
      <c r="J157" s="38"/>
      <c r="K157" s="38"/>
      <c r="L157" s="38"/>
      <c r="M157" s="38"/>
      <c r="N157" s="38"/>
      <c r="O157" s="38"/>
      <c r="P157" s="38"/>
      <c r="Q157" s="38"/>
    </row>
    <row r="158" spans="1:17">
      <c r="A158" s="38"/>
      <c r="B158" s="38"/>
      <c r="C158" s="38"/>
      <c r="D158" s="38"/>
      <c r="E158" s="38"/>
      <c r="F158" s="38"/>
      <c r="G158" s="38"/>
      <c r="H158" s="38"/>
      <c r="I158" s="38"/>
      <c r="J158" s="38"/>
      <c r="K158" s="38"/>
      <c r="L158" s="38"/>
      <c r="M158" s="38"/>
      <c r="N158" s="38"/>
      <c r="O158" s="38"/>
      <c r="P158" s="38"/>
      <c r="Q158" s="38"/>
    </row>
    <row r="159" spans="1:17">
      <c r="A159" s="38"/>
      <c r="B159" s="38"/>
      <c r="C159" s="38"/>
      <c r="D159" s="38"/>
      <c r="E159" s="38"/>
      <c r="F159" s="38"/>
      <c r="G159" s="38"/>
      <c r="H159" s="38"/>
      <c r="I159" s="38"/>
      <c r="J159" s="38"/>
      <c r="K159" s="38"/>
      <c r="L159" s="38"/>
      <c r="M159" s="38"/>
      <c r="N159" s="38"/>
      <c r="O159" s="38"/>
      <c r="P159" s="38"/>
      <c r="Q159" s="38"/>
    </row>
    <row r="160" spans="1:17">
      <c r="A160" s="38"/>
      <c r="B160" s="38"/>
      <c r="C160" s="38"/>
      <c r="D160" s="38"/>
      <c r="E160" s="38"/>
      <c r="F160" s="38"/>
      <c r="G160" s="38"/>
      <c r="H160" s="38"/>
      <c r="I160" s="38"/>
      <c r="J160" s="38"/>
      <c r="K160" s="38"/>
      <c r="L160" s="38"/>
      <c r="M160" s="38"/>
      <c r="N160" s="38"/>
      <c r="O160" s="38"/>
      <c r="P160" s="38"/>
      <c r="Q160" s="38"/>
    </row>
    <row r="161" spans="1:17">
      <c r="A161" s="38"/>
      <c r="B161" s="38"/>
      <c r="C161" s="38"/>
      <c r="D161" s="38"/>
      <c r="E161" s="38"/>
      <c r="F161" s="38"/>
      <c r="G161" s="38"/>
      <c r="H161" s="38"/>
      <c r="I161" s="38"/>
      <c r="J161" s="38"/>
      <c r="K161" s="38"/>
      <c r="L161" s="38"/>
      <c r="M161" s="38"/>
      <c r="N161" s="38"/>
      <c r="O161" s="38"/>
      <c r="P161" s="38"/>
      <c r="Q161" s="38"/>
    </row>
    <row r="162" spans="1:17">
      <c r="A162" s="38"/>
      <c r="B162" s="38"/>
      <c r="C162" s="38"/>
      <c r="D162" s="38"/>
      <c r="E162" s="38"/>
      <c r="F162" s="38"/>
      <c r="G162" s="38"/>
      <c r="H162" s="38"/>
      <c r="I162" s="38"/>
      <c r="J162" s="38"/>
      <c r="K162" s="38"/>
      <c r="L162" s="38"/>
      <c r="M162" s="38"/>
      <c r="N162" s="38"/>
      <c r="O162" s="38"/>
      <c r="P162" s="38"/>
      <c r="Q162" s="38"/>
    </row>
    <row r="163" spans="1:17">
      <c r="A163" s="38"/>
      <c r="B163" s="38"/>
      <c r="C163" s="38"/>
      <c r="D163" s="38"/>
      <c r="E163" s="38"/>
      <c r="F163" s="38"/>
      <c r="G163" s="38"/>
      <c r="H163" s="38"/>
      <c r="I163" s="38"/>
      <c r="J163" s="38"/>
      <c r="K163" s="38"/>
      <c r="L163" s="38"/>
      <c r="M163" s="38"/>
      <c r="N163" s="38"/>
      <c r="O163" s="38"/>
      <c r="P163" s="38"/>
      <c r="Q163" s="38"/>
    </row>
    <row r="164" spans="1:17">
      <c r="A164" s="38"/>
      <c r="B164" s="38"/>
      <c r="C164" s="38"/>
      <c r="D164" s="38"/>
      <c r="E164" s="38"/>
      <c r="F164" s="38"/>
      <c r="G164" s="38"/>
      <c r="H164" s="38"/>
      <c r="I164" s="38"/>
      <c r="J164" s="38"/>
      <c r="K164" s="38"/>
      <c r="L164" s="38"/>
      <c r="M164" s="38"/>
      <c r="N164" s="38"/>
      <c r="O164" s="38"/>
      <c r="P164" s="38"/>
      <c r="Q164" s="38"/>
    </row>
    <row r="165" spans="1:17">
      <c r="A165" s="38"/>
      <c r="B165" s="38"/>
      <c r="C165" s="38"/>
      <c r="D165" s="38"/>
      <c r="E165" s="38"/>
      <c r="F165" s="38"/>
      <c r="G165" s="38"/>
      <c r="H165" s="38"/>
      <c r="I165" s="38"/>
      <c r="J165" s="38"/>
      <c r="K165" s="38"/>
      <c r="L165" s="38"/>
      <c r="M165" s="38"/>
      <c r="N165" s="38"/>
      <c r="O165" s="38"/>
      <c r="P165" s="38"/>
      <c r="Q165" s="38"/>
    </row>
    <row r="166" spans="1:17">
      <c r="A166" s="38"/>
      <c r="B166" s="38"/>
      <c r="C166" s="38"/>
      <c r="D166" s="38"/>
      <c r="E166" s="38"/>
      <c r="F166" s="38"/>
      <c r="G166" s="38"/>
      <c r="H166" s="38"/>
      <c r="I166" s="38"/>
      <c r="J166" s="38"/>
      <c r="K166" s="38"/>
      <c r="L166" s="38"/>
      <c r="M166" s="38"/>
      <c r="N166" s="38"/>
      <c r="O166" s="38"/>
      <c r="P166" s="38"/>
      <c r="Q166" s="38"/>
    </row>
    <row r="167" spans="1:17">
      <c r="A167" s="38"/>
      <c r="B167" s="38"/>
      <c r="C167" s="38"/>
      <c r="D167" s="38"/>
      <c r="E167" s="38"/>
      <c r="F167" s="38"/>
      <c r="G167" s="38"/>
      <c r="H167" s="38"/>
      <c r="I167" s="38"/>
      <c r="J167" s="38"/>
      <c r="K167" s="38"/>
      <c r="L167" s="38"/>
      <c r="M167" s="38"/>
      <c r="N167" s="38"/>
      <c r="O167" s="38"/>
      <c r="P167" s="38"/>
      <c r="Q167" s="38"/>
    </row>
    <row r="168" spans="1:17">
      <c r="A168" s="38"/>
      <c r="B168" s="38"/>
      <c r="C168" s="38"/>
      <c r="D168" s="38"/>
      <c r="E168" s="38"/>
      <c r="F168" s="38"/>
      <c r="G168" s="38"/>
      <c r="H168" s="38"/>
      <c r="I168" s="38"/>
      <c r="J168" s="38"/>
      <c r="K168" s="38"/>
      <c r="L168" s="38"/>
      <c r="M168" s="38"/>
      <c r="N168" s="38"/>
      <c r="O168" s="38"/>
      <c r="P168" s="38"/>
      <c r="Q168" s="38"/>
    </row>
    <row r="169" spans="1:17">
      <c r="A169" s="38"/>
      <c r="B169" s="38"/>
      <c r="C169" s="38"/>
      <c r="D169" s="38"/>
      <c r="E169" s="38"/>
      <c r="F169" s="38"/>
      <c r="G169" s="38"/>
      <c r="H169" s="38"/>
      <c r="I169" s="38"/>
      <c r="J169" s="38"/>
      <c r="K169" s="38"/>
      <c r="L169" s="38"/>
      <c r="M169" s="38"/>
      <c r="N169" s="38"/>
      <c r="O169" s="38"/>
      <c r="P169" s="38"/>
      <c r="Q169" s="38"/>
    </row>
    <row r="170" spans="1:17">
      <c r="A170" s="38"/>
      <c r="B170" s="38"/>
      <c r="C170" s="38"/>
      <c r="D170" s="38"/>
      <c r="E170" s="38"/>
      <c r="F170" s="38"/>
      <c r="G170" s="38"/>
      <c r="H170" s="38"/>
      <c r="I170" s="38"/>
      <c r="J170" s="38"/>
      <c r="K170" s="38"/>
      <c r="L170" s="38"/>
      <c r="M170" s="38"/>
      <c r="N170" s="38"/>
      <c r="O170" s="38"/>
      <c r="P170" s="38"/>
      <c r="Q170" s="38"/>
    </row>
    <row r="171" spans="1:17">
      <c r="A171" s="38"/>
      <c r="B171" s="38"/>
      <c r="C171" s="38"/>
      <c r="D171" s="38"/>
      <c r="E171" s="38"/>
      <c r="F171" s="38"/>
      <c r="G171" s="38"/>
      <c r="H171" s="38"/>
      <c r="I171" s="38"/>
      <c r="J171" s="38"/>
      <c r="K171" s="38"/>
      <c r="L171" s="38"/>
      <c r="M171" s="38"/>
      <c r="N171" s="38"/>
      <c r="O171" s="38"/>
      <c r="P171" s="38"/>
      <c r="Q171" s="38"/>
    </row>
    <row r="172" spans="1:17">
      <c r="A172" s="38"/>
      <c r="B172" s="38"/>
      <c r="C172" s="38"/>
      <c r="D172" s="38"/>
      <c r="E172" s="38"/>
      <c r="F172" s="38"/>
      <c r="G172" s="38"/>
      <c r="H172" s="38"/>
      <c r="I172" s="38"/>
      <c r="J172" s="38"/>
      <c r="K172" s="38"/>
      <c r="L172" s="38"/>
      <c r="M172" s="38"/>
      <c r="N172" s="38"/>
      <c r="O172" s="38"/>
      <c r="P172" s="38"/>
      <c r="Q172" s="38"/>
    </row>
    <row r="173" spans="1:17">
      <c r="A173" s="38"/>
      <c r="B173" s="38"/>
      <c r="C173" s="38"/>
      <c r="D173" s="38"/>
      <c r="E173" s="38"/>
      <c r="F173" s="38"/>
      <c r="G173" s="38"/>
      <c r="H173" s="38"/>
      <c r="I173" s="38"/>
      <c r="J173" s="38"/>
      <c r="K173" s="38"/>
      <c r="L173" s="38"/>
      <c r="M173" s="38"/>
      <c r="N173" s="38"/>
      <c r="O173" s="38"/>
      <c r="P173" s="38"/>
      <c r="Q173" s="38"/>
    </row>
    <row r="174" spans="1:17">
      <c r="A174" s="38"/>
      <c r="B174" s="38"/>
      <c r="C174" s="38"/>
      <c r="D174" s="38"/>
      <c r="E174" s="38"/>
      <c r="F174" s="38"/>
      <c r="G174" s="38"/>
      <c r="H174" s="38"/>
      <c r="I174" s="38"/>
      <c r="J174" s="38"/>
      <c r="K174" s="38"/>
      <c r="L174" s="38"/>
      <c r="M174" s="38"/>
      <c r="N174" s="38"/>
      <c r="O174" s="38"/>
      <c r="P174" s="38"/>
      <c r="Q174" s="38"/>
    </row>
    <row r="175" spans="1:17">
      <c r="A175" s="38"/>
      <c r="B175" s="38"/>
      <c r="C175" s="38"/>
      <c r="D175" s="38"/>
      <c r="E175" s="38"/>
      <c r="F175" s="38"/>
      <c r="G175" s="38"/>
      <c r="H175" s="38"/>
      <c r="I175" s="38"/>
      <c r="J175" s="38"/>
      <c r="K175" s="38"/>
      <c r="L175" s="38"/>
      <c r="M175" s="38"/>
      <c r="N175" s="38"/>
      <c r="O175" s="38"/>
      <c r="P175" s="38"/>
      <c r="Q175" s="38"/>
    </row>
    <row r="176" spans="1:17">
      <c r="A176" s="38"/>
      <c r="B176" s="38"/>
      <c r="C176" s="38"/>
      <c r="D176" s="38"/>
      <c r="E176" s="38"/>
      <c r="F176" s="38"/>
      <c r="G176" s="38"/>
      <c r="H176" s="38"/>
      <c r="I176" s="38"/>
      <c r="J176" s="38"/>
      <c r="K176" s="38"/>
      <c r="L176" s="38"/>
      <c r="M176" s="38"/>
      <c r="N176" s="38"/>
      <c r="O176" s="38"/>
      <c r="P176" s="38"/>
      <c r="Q176" s="38"/>
    </row>
    <row r="177" spans="1:17">
      <c r="A177" s="38"/>
      <c r="B177" s="38"/>
      <c r="C177" s="38"/>
      <c r="D177" s="38"/>
      <c r="E177" s="38"/>
      <c r="F177" s="38"/>
      <c r="G177" s="38"/>
      <c r="H177" s="38"/>
      <c r="I177" s="38"/>
      <c r="J177" s="38"/>
      <c r="K177" s="38"/>
      <c r="L177" s="38"/>
      <c r="M177" s="38"/>
      <c r="N177" s="38"/>
      <c r="O177" s="38"/>
      <c r="P177" s="38"/>
      <c r="Q177" s="38"/>
    </row>
    <row r="178" spans="1:17">
      <c r="A178" s="38"/>
      <c r="B178" s="38"/>
      <c r="C178" s="38"/>
      <c r="D178" s="38"/>
      <c r="E178" s="38"/>
      <c r="F178" s="38"/>
      <c r="G178" s="38"/>
      <c r="H178" s="38"/>
      <c r="I178" s="38"/>
      <c r="J178" s="38"/>
      <c r="K178" s="38"/>
      <c r="L178" s="38"/>
      <c r="M178" s="38"/>
      <c r="N178" s="38"/>
      <c r="O178" s="38"/>
      <c r="P178" s="38"/>
      <c r="Q178" s="38"/>
    </row>
    <row r="179" spans="1:17">
      <c r="A179" s="38"/>
      <c r="B179" s="38"/>
      <c r="C179" s="38"/>
      <c r="D179" s="38"/>
      <c r="E179" s="38"/>
      <c r="F179" s="38"/>
      <c r="G179" s="38"/>
      <c r="H179" s="38"/>
      <c r="I179" s="38"/>
      <c r="J179" s="38"/>
      <c r="K179" s="38"/>
      <c r="L179" s="38"/>
      <c r="M179" s="38"/>
      <c r="N179" s="38"/>
      <c r="O179" s="38"/>
      <c r="P179" s="38"/>
      <c r="Q179" s="38"/>
    </row>
    <row r="180" spans="1:17">
      <c r="A180" s="38"/>
      <c r="B180" s="38"/>
      <c r="C180" s="38"/>
      <c r="D180" s="38"/>
      <c r="E180" s="38"/>
      <c r="F180" s="38"/>
      <c r="G180" s="38"/>
      <c r="H180" s="38"/>
      <c r="I180" s="38"/>
      <c r="J180" s="38"/>
      <c r="K180" s="38"/>
      <c r="L180" s="38"/>
      <c r="M180" s="38"/>
      <c r="N180" s="38"/>
      <c r="O180" s="38"/>
      <c r="P180" s="38"/>
      <c r="Q180" s="38"/>
    </row>
    <row r="181" spans="1:17">
      <c r="A181" s="38"/>
      <c r="B181" s="38"/>
      <c r="C181" s="38"/>
      <c r="D181" s="38"/>
      <c r="E181" s="38"/>
      <c r="F181" s="38"/>
      <c r="G181" s="38"/>
      <c r="H181" s="38"/>
      <c r="I181" s="38"/>
      <c r="J181" s="38"/>
      <c r="K181" s="38"/>
      <c r="L181" s="38"/>
      <c r="M181" s="38"/>
      <c r="N181" s="38"/>
      <c r="O181" s="38"/>
      <c r="P181" s="38"/>
      <c r="Q181" s="38"/>
    </row>
    <row r="182" spans="1:17">
      <c r="A182" s="38"/>
      <c r="B182" s="38"/>
      <c r="C182" s="38"/>
      <c r="D182" s="38"/>
      <c r="E182" s="38"/>
      <c r="F182" s="38"/>
      <c r="G182" s="38"/>
      <c r="H182" s="38"/>
      <c r="I182" s="38"/>
      <c r="J182" s="38"/>
      <c r="K182" s="38"/>
      <c r="L182" s="38"/>
      <c r="M182" s="38"/>
      <c r="N182" s="38"/>
      <c r="O182" s="38"/>
      <c r="P182" s="38"/>
      <c r="Q182" s="38"/>
    </row>
    <row r="183" spans="1:17">
      <c r="A183" s="38"/>
      <c r="B183" s="38"/>
      <c r="C183" s="38"/>
      <c r="D183" s="38"/>
      <c r="E183" s="38"/>
      <c r="F183" s="38"/>
      <c r="G183" s="38"/>
      <c r="H183" s="38"/>
      <c r="I183" s="38"/>
      <c r="J183" s="38"/>
      <c r="K183" s="38"/>
      <c r="L183" s="38"/>
      <c r="M183" s="38"/>
      <c r="N183" s="38"/>
      <c r="O183" s="38"/>
      <c r="P183" s="38"/>
      <c r="Q183" s="38"/>
    </row>
    <row r="184" spans="1:17">
      <c r="A184" s="38"/>
      <c r="B184" s="38"/>
      <c r="C184" s="38"/>
      <c r="D184" s="38"/>
      <c r="E184" s="38"/>
      <c r="F184" s="38"/>
      <c r="G184" s="38"/>
      <c r="H184" s="38"/>
      <c r="I184" s="38"/>
      <c r="J184" s="38"/>
      <c r="K184" s="38"/>
      <c r="L184" s="38"/>
      <c r="M184" s="38"/>
      <c r="N184" s="38"/>
      <c r="O184" s="38"/>
      <c r="P184" s="38"/>
      <c r="Q184" s="38"/>
    </row>
    <row r="185" spans="1:17">
      <c r="A185" s="38"/>
      <c r="B185" s="38"/>
      <c r="C185" s="38"/>
      <c r="D185" s="38"/>
      <c r="E185" s="38"/>
      <c r="F185" s="38"/>
      <c r="G185" s="38"/>
      <c r="H185" s="38"/>
      <c r="I185" s="38"/>
      <c r="J185" s="38"/>
      <c r="K185" s="38"/>
      <c r="L185" s="38"/>
      <c r="M185" s="38"/>
      <c r="N185" s="38"/>
      <c r="O185" s="38"/>
      <c r="P185" s="38"/>
      <c r="Q185" s="38"/>
    </row>
    <row r="186" spans="1:17">
      <c r="A186" s="38"/>
      <c r="B186" s="38"/>
      <c r="C186" s="38"/>
      <c r="D186" s="38"/>
      <c r="E186" s="38"/>
      <c r="F186" s="38"/>
      <c r="G186" s="38"/>
      <c r="H186" s="38"/>
      <c r="I186" s="38"/>
      <c r="J186" s="38"/>
      <c r="K186" s="38"/>
      <c r="L186" s="38"/>
      <c r="M186" s="38"/>
      <c r="N186" s="38"/>
      <c r="O186" s="38"/>
      <c r="P186" s="38"/>
      <c r="Q186" s="38"/>
    </row>
    <row r="187" spans="1:17">
      <c r="A187" s="38"/>
      <c r="B187" s="38"/>
      <c r="C187" s="38"/>
      <c r="D187" s="38"/>
      <c r="E187" s="38"/>
      <c r="F187" s="38"/>
      <c r="G187" s="38"/>
      <c r="H187" s="38"/>
      <c r="I187" s="38"/>
      <c r="J187" s="38"/>
      <c r="K187" s="38"/>
      <c r="L187" s="38"/>
      <c r="M187" s="38"/>
      <c r="N187" s="38"/>
      <c r="O187" s="38"/>
      <c r="P187" s="38"/>
      <c r="Q187" s="38"/>
    </row>
    <row r="188" spans="1:17">
      <c r="A188" s="38"/>
      <c r="B188" s="38"/>
      <c r="C188" s="38"/>
      <c r="D188" s="38"/>
      <c r="E188" s="38"/>
      <c r="F188" s="38"/>
      <c r="G188" s="38"/>
      <c r="H188" s="38"/>
      <c r="I188" s="38"/>
      <c r="J188" s="38"/>
      <c r="K188" s="38"/>
      <c r="L188" s="38"/>
      <c r="M188" s="38"/>
      <c r="N188" s="38"/>
      <c r="O188" s="38"/>
      <c r="P188" s="38"/>
      <c r="Q188" s="38"/>
    </row>
    <row r="189" spans="1:17">
      <c r="A189" s="38"/>
      <c r="B189" s="38"/>
      <c r="C189" s="38"/>
      <c r="D189" s="38"/>
      <c r="E189" s="38"/>
      <c r="F189" s="38"/>
      <c r="G189" s="38"/>
      <c r="H189" s="38"/>
      <c r="I189" s="38"/>
      <c r="J189" s="38"/>
      <c r="K189" s="38"/>
      <c r="L189" s="38"/>
      <c r="M189" s="38"/>
      <c r="N189" s="38"/>
      <c r="O189" s="38"/>
      <c r="P189" s="38"/>
      <c r="Q189" s="38"/>
    </row>
    <row r="190" spans="1:17">
      <c r="A190" s="38"/>
      <c r="B190" s="38"/>
      <c r="C190" s="38"/>
      <c r="D190" s="38"/>
      <c r="E190" s="38"/>
      <c r="F190" s="38"/>
      <c r="G190" s="38"/>
      <c r="H190" s="38"/>
      <c r="I190" s="38"/>
      <c r="J190" s="38"/>
      <c r="K190" s="38"/>
      <c r="L190" s="38"/>
      <c r="M190" s="38"/>
      <c r="N190" s="38"/>
      <c r="O190" s="38"/>
      <c r="P190" s="38"/>
      <c r="Q190" s="38"/>
    </row>
    <row r="191" spans="1:17">
      <c r="A191" s="38"/>
      <c r="B191" s="38"/>
      <c r="C191" s="38"/>
      <c r="D191" s="38"/>
      <c r="E191" s="38"/>
      <c r="F191" s="38"/>
      <c r="G191" s="38"/>
      <c r="H191" s="38"/>
      <c r="I191" s="38"/>
      <c r="J191" s="38"/>
      <c r="K191" s="38"/>
      <c r="L191" s="38"/>
      <c r="M191" s="38"/>
      <c r="N191" s="38"/>
      <c r="O191" s="38"/>
      <c r="P191" s="38"/>
      <c r="Q191" s="38"/>
    </row>
    <row r="192" spans="1:17">
      <c r="A192" s="38"/>
      <c r="B192" s="38"/>
      <c r="C192" s="38"/>
      <c r="D192" s="38"/>
      <c r="E192" s="38"/>
      <c r="F192" s="38"/>
      <c r="G192" s="38"/>
      <c r="H192" s="38"/>
      <c r="I192" s="38"/>
      <c r="J192" s="38"/>
      <c r="K192" s="38"/>
      <c r="L192" s="38"/>
      <c r="M192" s="38"/>
      <c r="N192" s="38"/>
      <c r="O192" s="38"/>
      <c r="P192" s="38"/>
      <c r="Q192" s="38"/>
    </row>
    <row r="193" spans="1:17">
      <c r="A193" s="38"/>
      <c r="B193" s="38"/>
      <c r="C193" s="38"/>
      <c r="D193" s="38"/>
      <c r="E193" s="38"/>
      <c r="F193" s="38"/>
      <c r="G193" s="38"/>
      <c r="H193" s="38"/>
      <c r="I193" s="38"/>
      <c r="J193" s="38"/>
      <c r="K193" s="38"/>
      <c r="L193" s="38"/>
      <c r="M193" s="38"/>
      <c r="N193" s="38"/>
      <c r="O193" s="38"/>
      <c r="P193" s="38"/>
      <c r="Q193" s="38"/>
    </row>
    <row r="194" spans="1:17">
      <c r="A194" s="38"/>
      <c r="B194" s="38"/>
      <c r="C194" s="38"/>
      <c r="D194" s="38"/>
      <c r="E194" s="38"/>
      <c r="F194" s="38"/>
      <c r="G194" s="38"/>
      <c r="H194" s="38"/>
      <c r="I194" s="38"/>
      <c r="J194" s="38"/>
      <c r="K194" s="38"/>
      <c r="L194" s="38"/>
      <c r="M194" s="38"/>
      <c r="N194" s="38"/>
      <c r="O194" s="38"/>
      <c r="P194" s="38"/>
      <c r="Q194" s="38"/>
    </row>
    <row r="195" spans="1:17">
      <c r="A195" s="38"/>
      <c r="B195" s="38"/>
      <c r="C195" s="38"/>
      <c r="D195" s="38"/>
      <c r="E195" s="38"/>
      <c r="F195" s="38"/>
      <c r="G195" s="38"/>
      <c r="H195" s="38"/>
      <c r="I195" s="38"/>
      <c r="J195" s="38"/>
      <c r="K195" s="38"/>
      <c r="L195" s="38"/>
      <c r="M195" s="38"/>
      <c r="N195" s="38"/>
      <c r="O195" s="38"/>
      <c r="P195" s="38"/>
      <c r="Q195" s="38"/>
    </row>
    <row r="196" spans="1:17">
      <c r="A196" s="38"/>
      <c r="B196" s="38"/>
      <c r="C196" s="38"/>
      <c r="D196" s="38"/>
      <c r="E196" s="38"/>
      <c r="F196" s="38"/>
      <c r="G196" s="38"/>
      <c r="H196" s="38"/>
      <c r="I196" s="38"/>
      <c r="J196" s="38"/>
      <c r="K196" s="38"/>
      <c r="L196" s="38"/>
      <c r="M196" s="38"/>
      <c r="N196" s="38"/>
      <c r="O196" s="38"/>
      <c r="P196" s="38"/>
      <c r="Q196" s="38"/>
    </row>
    <row r="197" spans="1:17">
      <c r="A197" s="38"/>
      <c r="B197" s="38"/>
      <c r="C197" s="38"/>
      <c r="D197" s="38"/>
      <c r="E197" s="38"/>
      <c r="F197" s="38"/>
      <c r="G197" s="38"/>
      <c r="H197" s="38"/>
      <c r="I197" s="38"/>
      <c r="J197" s="38"/>
      <c r="K197" s="38"/>
      <c r="L197" s="38"/>
      <c r="M197" s="38"/>
      <c r="N197" s="38"/>
      <c r="O197" s="38"/>
      <c r="P197" s="38"/>
      <c r="Q197" s="38"/>
    </row>
    <row r="198" spans="1:17">
      <c r="A198" s="38"/>
      <c r="B198" s="38"/>
      <c r="C198" s="38"/>
      <c r="D198" s="38"/>
      <c r="E198" s="38"/>
      <c r="F198" s="38"/>
      <c r="G198" s="38"/>
      <c r="H198" s="38"/>
      <c r="I198" s="38"/>
      <c r="J198" s="38"/>
      <c r="K198" s="38"/>
      <c r="L198" s="38"/>
      <c r="M198" s="38"/>
      <c r="N198" s="38"/>
      <c r="O198" s="38"/>
      <c r="P198" s="38"/>
      <c r="Q198" s="38"/>
    </row>
    <row r="199" spans="1:17">
      <c r="A199" s="38"/>
      <c r="B199" s="38"/>
      <c r="C199" s="38"/>
      <c r="D199" s="38"/>
      <c r="E199" s="38"/>
      <c r="F199" s="38"/>
      <c r="G199" s="38"/>
      <c r="H199" s="38"/>
      <c r="I199" s="38"/>
      <c r="J199" s="38"/>
      <c r="K199" s="38"/>
      <c r="L199" s="38"/>
      <c r="M199" s="38"/>
      <c r="N199" s="38"/>
      <c r="O199" s="38"/>
      <c r="P199" s="38"/>
      <c r="Q199" s="38"/>
    </row>
    <row r="200" spans="1:17">
      <c r="A200" s="38"/>
      <c r="B200" s="38"/>
      <c r="C200" s="38"/>
      <c r="D200" s="38"/>
      <c r="E200" s="38"/>
      <c r="F200" s="38"/>
      <c r="G200" s="38"/>
      <c r="H200" s="38"/>
      <c r="I200" s="38"/>
      <c r="J200" s="38"/>
      <c r="K200" s="38"/>
      <c r="L200" s="38"/>
      <c r="M200" s="38"/>
      <c r="N200" s="38"/>
      <c r="O200" s="38"/>
      <c r="P200" s="38"/>
      <c r="Q200" s="38"/>
    </row>
    <row r="201" spans="1:17">
      <c r="A201" s="38"/>
      <c r="B201" s="38"/>
      <c r="C201" s="38"/>
      <c r="D201" s="38"/>
      <c r="E201" s="38"/>
      <c r="F201" s="38"/>
      <c r="G201" s="38"/>
      <c r="H201" s="38"/>
      <c r="I201" s="38"/>
      <c r="J201" s="38"/>
      <c r="K201" s="38"/>
      <c r="L201" s="38"/>
      <c r="M201" s="38"/>
      <c r="N201" s="38"/>
      <c r="O201" s="38"/>
      <c r="P201" s="38"/>
      <c r="Q201" s="38"/>
    </row>
    <row r="202" spans="1:17">
      <c r="A202" s="38"/>
      <c r="B202" s="38"/>
      <c r="C202" s="38"/>
      <c r="D202" s="38"/>
      <c r="E202" s="38"/>
      <c r="F202" s="38"/>
      <c r="G202" s="38"/>
      <c r="H202" s="38"/>
      <c r="I202" s="38"/>
      <c r="J202" s="38"/>
      <c r="K202" s="38"/>
      <c r="L202" s="38"/>
      <c r="M202" s="38"/>
      <c r="N202" s="38"/>
      <c r="O202" s="38"/>
      <c r="P202" s="38"/>
      <c r="Q202" s="38"/>
    </row>
    <row r="203" spans="1:17">
      <c r="A203" s="38"/>
      <c r="B203" s="38"/>
      <c r="C203" s="38"/>
      <c r="D203" s="38"/>
      <c r="E203" s="38"/>
      <c r="F203" s="38"/>
      <c r="G203" s="38"/>
      <c r="H203" s="38"/>
      <c r="I203" s="38"/>
      <c r="J203" s="38"/>
      <c r="K203" s="38"/>
      <c r="L203" s="38"/>
      <c r="M203" s="38"/>
      <c r="N203" s="38"/>
      <c r="O203" s="38"/>
      <c r="P203" s="38"/>
      <c r="Q203" s="38"/>
    </row>
    <row r="204" spans="1:17">
      <c r="A204" s="38"/>
      <c r="B204" s="38"/>
      <c r="C204" s="38"/>
      <c r="D204" s="38"/>
      <c r="E204" s="38"/>
      <c r="F204" s="38"/>
      <c r="G204" s="38"/>
      <c r="H204" s="38"/>
      <c r="I204" s="38"/>
      <c r="J204" s="38"/>
      <c r="K204" s="38"/>
      <c r="L204" s="38"/>
      <c r="M204" s="38"/>
      <c r="N204" s="38"/>
      <c r="O204" s="38"/>
      <c r="P204" s="38"/>
      <c r="Q204" s="38"/>
    </row>
    <row r="205" spans="1:17">
      <c r="A205" s="38"/>
      <c r="B205" s="38"/>
      <c r="C205" s="38"/>
      <c r="D205" s="38"/>
      <c r="E205" s="38"/>
      <c r="F205" s="38"/>
      <c r="G205" s="38"/>
      <c r="H205" s="38"/>
      <c r="I205" s="38"/>
      <c r="J205" s="38"/>
      <c r="K205" s="38"/>
      <c r="L205" s="38"/>
      <c r="M205" s="38"/>
      <c r="N205" s="38"/>
      <c r="O205" s="38"/>
      <c r="P205" s="38"/>
      <c r="Q205" s="38"/>
    </row>
    <row r="206" spans="1:17">
      <c r="A206" s="38"/>
      <c r="B206" s="38"/>
      <c r="C206" s="38"/>
      <c r="D206" s="38"/>
      <c r="E206" s="38"/>
      <c r="F206" s="38"/>
      <c r="G206" s="38"/>
      <c r="H206" s="38"/>
      <c r="I206" s="38"/>
      <c r="J206" s="38"/>
      <c r="K206" s="38"/>
      <c r="L206" s="38"/>
      <c r="M206" s="38"/>
      <c r="N206" s="38"/>
      <c r="O206" s="38"/>
      <c r="P206" s="38"/>
      <c r="Q206" s="38"/>
    </row>
    <row r="207" spans="1:17">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c r="A225" s="38"/>
      <c r="B225" s="38"/>
      <c r="C225" s="38"/>
      <c r="D225" s="38"/>
      <c r="E225" s="38"/>
      <c r="F225" s="38"/>
      <c r="G225" s="38"/>
      <c r="H225" s="38"/>
      <c r="I225" s="38"/>
      <c r="J225" s="38"/>
      <c r="K225" s="38"/>
      <c r="L225" s="38"/>
      <c r="M225" s="38"/>
      <c r="N225" s="38"/>
      <c r="O225" s="38"/>
      <c r="P225" s="38"/>
      <c r="Q225" s="38"/>
    </row>
    <row r="226" spans="1:17">
      <c r="A226" s="38"/>
      <c r="B226" s="38"/>
      <c r="C226" s="38"/>
      <c r="D226" s="38"/>
      <c r="E226" s="38"/>
      <c r="F226" s="38"/>
      <c r="G226" s="38"/>
      <c r="H226" s="38"/>
      <c r="I226" s="38"/>
      <c r="J226" s="38"/>
      <c r="K226" s="38"/>
      <c r="L226" s="38"/>
      <c r="M226" s="38"/>
      <c r="N226" s="38"/>
      <c r="O226" s="38"/>
      <c r="P226" s="38"/>
      <c r="Q226" s="38"/>
    </row>
    <row r="227" spans="1:17">
      <c r="A227" s="38"/>
      <c r="B227" s="38"/>
      <c r="C227" s="38"/>
      <c r="D227" s="38"/>
      <c r="E227" s="38"/>
      <c r="F227" s="38"/>
      <c r="G227" s="38"/>
      <c r="H227" s="38"/>
      <c r="I227" s="38"/>
      <c r="J227" s="38"/>
      <c r="K227" s="38"/>
      <c r="L227" s="38"/>
      <c r="M227" s="38"/>
      <c r="N227" s="38"/>
      <c r="O227" s="38"/>
      <c r="P227" s="38"/>
      <c r="Q227" s="38"/>
    </row>
    <row r="228" spans="1:17">
      <c r="A228" s="38"/>
      <c r="B228" s="38"/>
      <c r="C228" s="38"/>
      <c r="D228" s="38"/>
      <c r="E228" s="38"/>
      <c r="F228" s="38"/>
      <c r="G228" s="38"/>
      <c r="H228" s="38"/>
      <c r="I228" s="38"/>
      <c r="J228" s="38"/>
      <c r="K228" s="38"/>
      <c r="L228" s="38"/>
      <c r="M228" s="38"/>
      <c r="N228" s="38"/>
      <c r="O228" s="38"/>
      <c r="P228" s="38"/>
      <c r="Q228" s="38"/>
    </row>
    <row r="229" spans="1:17">
      <c r="A229" s="38"/>
      <c r="B229" s="38"/>
      <c r="C229" s="38"/>
      <c r="D229" s="38"/>
      <c r="E229" s="38"/>
      <c r="F229" s="38"/>
      <c r="G229" s="38"/>
      <c r="H229" s="38"/>
      <c r="I229" s="38"/>
      <c r="J229" s="38"/>
      <c r="K229" s="38"/>
      <c r="L229" s="38"/>
      <c r="M229" s="38"/>
      <c r="N229" s="38"/>
      <c r="O229" s="38"/>
      <c r="P229" s="38"/>
      <c r="Q229" s="38"/>
    </row>
    <row r="230" spans="1:17">
      <c r="A230" s="38"/>
      <c r="B230" s="38"/>
      <c r="C230" s="38"/>
      <c r="D230" s="38"/>
      <c r="E230" s="38"/>
      <c r="F230" s="38"/>
      <c r="G230" s="38"/>
      <c r="H230" s="38"/>
      <c r="I230" s="38"/>
      <c r="J230" s="38"/>
      <c r="K230" s="38"/>
      <c r="L230" s="38"/>
      <c r="M230" s="38"/>
      <c r="N230" s="38"/>
      <c r="O230" s="38"/>
      <c r="P230" s="38"/>
      <c r="Q230" s="38"/>
    </row>
    <row r="231" spans="1:17">
      <c r="A231" s="38"/>
      <c r="B231" s="38"/>
      <c r="C231" s="38"/>
      <c r="D231" s="38"/>
      <c r="E231" s="38"/>
      <c r="F231" s="38"/>
      <c r="G231" s="38"/>
      <c r="H231" s="38"/>
      <c r="I231" s="38"/>
      <c r="J231" s="38"/>
      <c r="K231" s="38"/>
      <c r="L231" s="38"/>
      <c r="M231" s="38"/>
      <c r="N231" s="38"/>
      <c r="O231" s="38"/>
      <c r="P231" s="38"/>
      <c r="Q231" s="38"/>
    </row>
    <row r="232" spans="1:17">
      <c r="A232" s="38"/>
      <c r="B232" s="38"/>
      <c r="C232" s="38"/>
      <c r="D232" s="38"/>
      <c r="E232" s="38"/>
      <c r="F232" s="38"/>
      <c r="G232" s="38"/>
      <c r="H232" s="38"/>
      <c r="I232" s="38"/>
      <c r="J232" s="38"/>
      <c r="K232" s="38"/>
      <c r="L232" s="38"/>
      <c r="M232" s="38"/>
      <c r="N232" s="38"/>
      <c r="O232" s="38"/>
      <c r="P232" s="38"/>
      <c r="Q232" s="38"/>
    </row>
    <row r="233" spans="1:17">
      <c r="A233" s="38"/>
      <c r="B233" s="38"/>
      <c r="C233" s="38"/>
      <c r="D233" s="38"/>
      <c r="E233" s="38"/>
      <c r="F233" s="38"/>
      <c r="G233" s="38"/>
      <c r="H233" s="38"/>
      <c r="I233" s="38"/>
      <c r="J233" s="38"/>
      <c r="K233" s="38"/>
      <c r="L233" s="38"/>
      <c r="M233" s="38"/>
      <c r="N233" s="38"/>
      <c r="O233" s="38"/>
      <c r="P233" s="38"/>
      <c r="Q233" s="38"/>
    </row>
    <row r="234" spans="1:17">
      <c r="A234" s="38"/>
      <c r="B234" s="38"/>
      <c r="C234" s="38"/>
      <c r="D234" s="38"/>
      <c r="E234" s="38"/>
      <c r="F234" s="38"/>
      <c r="G234" s="38"/>
      <c r="H234" s="38"/>
      <c r="I234" s="38"/>
      <c r="J234" s="38"/>
      <c r="K234" s="38"/>
      <c r="L234" s="38"/>
      <c r="M234" s="38"/>
      <c r="N234" s="38"/>
      <c r="O234" s="38"/>
      <c r="P234" s="38"/>
      <c r="Q234" s="38"/>
    </row>
    <row r="235" spans="1:17">
      <c r="A235" s="38"/>
      <c r="B235" s="38"/>
      <c r="C235" s="38"/>
      <c r="D235" s="38"/>
      <c r="E235" s="38"/>
      <c r="F235" s="38"/>
      <c r="G235" s="38"/>
      <c r="H235" s="38"/>
      <c r="I235" s="38"/>
      <c r="J235" s="38"/>
      <c r="K235" s="38"/>
      <c r="L235" s="38"/>
      <c r="M235" s="38"/>
      <c r="N235" s="38"/>
      <c r="O235" s="38"/>
      <c r="P235" s="38"/>
      <c r="Q235" s="38"/>
    </row>
    <row r="236" spans="1:17">
      <c r="A236" s="38"/>
      <c r="B236" s="38"/>
      <c r="C236" s="38"/>
      <c r="D236" s="38"/>
      <c r="E236" s="38"/>
      <c r="F236" s="38"/>
      <c r="G236" s="38"/>
      <c r="H236" s="38"/>
      <c r="I236" s="38"/>
      <c r="J236" s="38"/>
      <c r="K236" s="38"/>
      <c r="L236" s="38"/>
      <c r="M236" s="38"/>
      <c r="N236" s="38"/>
      <c r="O236" s="38"/>
      <c r="P236" s="38"/>
      <c r="Q236" s="38"/>
    </row>
    <row r="237" spans="1:17">
      <c r="A237" s="38"/>
      <c r="B237" s="38"/>
      <c r="C237" s="38"/>
      <c r="D237" s="38"/>
      <c r="E237" s="38"/>
      <c r="F237" s="38"/>
      <c r="G237" s="38"/>
      <c r="H237" s="38"/>
      <c r="I237" s="38"/>
      <c r="J237" s="38"/>
      <c r="K237" s="38"/>
      <c r="L237" s="38"/>
      <c r="M237" s="38"/>
      <c r="N237" s="38"/>
      <c r="O237" s="38"/>
      <c r="P237" s="38"/>
      <c r="Q237" s="38"/>
    </row>
    <row r="238" spans="1:17">
      <c r="A238" s="38"/>
      <c r="B238" s="38"/>
      <c r="C238" s="38"/>
      <c r="D238" s="38"/>
      <c r="E238" s="38"/>
      <c r="F238" s="38"/>
      <c r="G238" s="38"/>
      <c r="H238" s="38"/>
      <c r="I238" s="38"/>
      <c r="J238" s="38"/>
      <c r="K238" s="38"/>
      <c r="L238" s="38"/>
      <c r="M238" s="38"/>
      <c r="N238" s="38"/>
      <c r="O238" s="38"/>
      <c r="P238" s="38"/>
      <c r="Q238" s="38"/>
    </row>
    <row r="239" spans="1:17">
      <c r="A239" s="38"/>
      <c r="B239" s="38"/>
      <c r="C239" s="38"/>
      <c r="D239" s="38"/>
      <c r="E239" s="38"/>
      <c r="F239" s="38"/>
      <c r="G239" s="38"/>
      <c r="H239" s="38"/>
      <c r="I239" s="38"/>
      <c r="J239" s="38"/>
      <c r="K239" s="38"/>
      <c r="L239" s="38"/>
      <c r="M239" s="38"/>
      <c r="N239" s="38"/>
      <c r="O239" s="38"/>
      <c r="P239" s="38"/>
      <c r="Q239" s="38"/>
    </row>
    <row r="240" spans="1:17">
      <c r="A240" s="38"/>
      <c r="B240" s="38"/>
      <c r="C240" s="38"/>
      <c r="D240" s="38"/>
      <c r="E240" s="38"/>
      <c r="F240" s="38"/>
      <c r="G240" s="38"/>
      <c r="H240" s="38"/>
      <c r="I240" s="38"/>
      <c r="J240" s="38"/>
      <c r="K240" s="38"/>
      <c r="L240" s="38"/>
      <c r="M240" s="38"/>
      <c r="N240" s="38"/>
      <c r="O240" s="38"/>
      <c r="P240" s="38"/>
      <c r="Q240" s="38"/>
    </row>
    <row r="241" spans="1:17">
      <c r="A241" s="38"/>
      <c r="B241" s="38"/>
      <c r="C241" s="38"/>
      <c r="D241" s="38"/>
      <c r="E241" s="38"/>
      <c r="F241" s="38"/>
      <c r="G241" s="38"/>
      <c r="H241" s="38"/>
      <c r="I241" s="38"/>
      <c r="J241" s="38"/>
      <c r="K241" s="38"/>
      <c r="L241" s="38"/>
      <c r="M241" s="38"/>
      <c r="N241" s="38"/>
      <c r="O241" s="38"/>
      <c r="P241" s="38"/>
      <c r="Q241" s="38"/>
    </row>
    <row r="242" spans="1:17">
      <c r="A242" s="38"/>
      <c r="B242" s="38"/>
      <c r="C242" s="38"/>
      <c r="D242" s="38"/>
      <c r="E242" s="38"/>
      <c r="F242" s="38"/>
      <c r="G242" s="38"/>
      <c r="H242" s="38"/>
      <c r="I242" s="38"/>
      <c r="J242" s="38"/>
      <c r="K242" s="38"/>
      <c r="L242" s="38"/>
      <c r="M242" s="38"/>
      <c r="N242" s="38"/>
      <c r="O242" s="38"/>
      <c r="P242" s="38"/>
      <c r="Q242" s="38"/>
    </row>
    <row r="243" spans="1:17">
      <c r="A243" s="38"/>
      <c r="B243" s="38"/>
      <c r="C243" s="38"/>
      <c r="D243" s="38"/>
      <c r="E243" s="38"/>
      <c r="F243" s="38"/>
      <c r="G243" s="38"/>
      <c r="H243" s="38"/>
      <c r="I243" s="38"/>
      <c r="J243" s="38"/>
      <c r="K243" s="38"/>
      <c r="L243" s="38"/>
      <c r="M243" s="38"/>
      <c r="N243" s="38"/>
      <c r="O243" s="38"/>
      <c r="P243" s="38"/>
      <c r="Q243" s="38"/>
    </row>
    <row r="244" spans="1:17">
      <c r="A244" s="38"/>
      <c r="B244" s="38"/>
      <c r="C244" s="38"/>
      <c r="D244" s="38"/>
      <c r="E244" s="38"/>
      <c r="F244" s="38"/>
      <c r="G244" s="38"/>
      <c r="H244" s="38"/>
      <c r="I244" s="38"/>
      <c r="J244" s="38"/>
      <c r="K244" s="38"/>
      <c r="L244" s="38"/>
      <c r="M244" s="38"/>
      <c r="N244" s="38"/>
      <c r="O244" s="38"/>
      <c r="P244" s="38"/>
      <c r="Q244" s="38"/>
    </row>
    <row r="245" spans="1:17">
      <c r="A245" s="38"/>
      <c r="B245" s="38"/>
      <c r="C245" s="38"/>
      <c r="D245" s="38"/>
      <c r="E245" s="38"/>
      <c r="F245" s="38"/>
      <c r="G245" s="38"/>
      <c r="H245" s="38"/>
      <c r="I245" s="38"/>
      <c r="J245" s="38"/>
      <c r="K245" s="38"/>
      <c r="L245" s="38"/>
      <c r="M245" s="38"/>
      <c r="N245" s="38"/>
      <c r="O245" s="38"/>
      <c r="P245" s="38"/>
      <c r="Q245" s="38"/>
    </row>
    <row r="246" spans="1:17">
      <c r="A246" s="38"/>
      <c r="B246" s="38"/>
      <c r="C246" s="38"/>
      <c r="D246" s="38"/>
      <c r="E246" s="38"/>
      <c r="F246" s="38"/>
      <c r="G246" s="38"/>
      <c r="H246" s="38"/>
      <c r="I246" s="38"/>
      <c r="J246" s="38"/>
      <c r="K246" s="38"/>
      <c r="L246" s="38"/>
      <c r="M246" s="38"/>
      <c r="N246" s="38"/>
      <c r="O246" s="38"/>
      <c r="P246" s="38"/>
      <c r="Q246" s="38"/>
    </row>
    <row r="247" spans="1:17">
      <c r="A247" s="38"/>
      <c r="B247" s="38"/>
      <c r="C247" s="38"/>
      <c r="D247" s="38"/>
      <c r="E247" s="38"/>
      <c r="F247" s="38"/>
      <c r="G247" s="38"/>
      <c r="H247" s="38"/>
      <c r="I247" s="38"/>
      <c r="J247" s="38"/>
      <c r="K247" s="38"/>
      <c r="L247" s="38"/>
      <c r="M247" s="38"/>
      <c r="N247" s="38"/>
      <c r="O247" s="38"/>
      <c r="P247" s="38"/>
      <c r="Q247" s="38"/>
    </row>
    <row r="248" spans="1:17">
      <c r="A248" s="38"/>
      <c r="B248" s="38"/>
      <c r="C248" s="38"/>
      <c r="D248" s="38"/>
      <c r="E248" s="38"/>
      <c r="F248" s="38"/>
      <c r="G248" s="38"/>
      <c r="H248" s="38"/>
      <c r="I248" s="38"/>
      <c r="J248" s="38"/>
      <c r="K248" s="38"/>
      <c r="L248" s="38"/>
      <c r="M248" s="38"/>
      <c r="N248" s="38"/>
      <c r="O248" s="38"/>
      <c r="P248" s="38"/>
      <c r="Q248" s="38"/>
    </row>
    <row r="249" spans="1:17">
      <c r="A249" s="38"/>
      <c r="B249" s="38"/>
      <c r="C249" s="38"/>
      <c r="D249" s="38"/>
      <c r="E249" s="38"/>
      <c r="F249" s="38"/>
      <c r="G249" s="38"/>
      <c r="H249" s="38"/>
      <c r="I249" s="38"/>
      <c r="J249" s="38"/>
      <c r="K249" s="38"/>
      <c r="L249" s="38"/>
      <c r="M249" s="38"/>
      <c r="N249" s="38"/>
      <c r="O249" s="38"/>
      <c r="P249" s="38"/>
      <c r="Q249" s="38"/>
    </row>
    <row r="250" spans="1:17">
      <c r="A250" s="38"/>
      <c r="B250" s="38"/>
      <c r="C250" s="38"/>
      <c r="D250" s="38"/>
      <c r="E250" s="38"/>
      <c r="F250" s="38"/>
      <c r="G250" s="38"/>
      <c r="H250" s="38"/>
      <c r="I250" s="38"/>
      <c r="J250" s="38"/>
      <c r="K250" s="38"/>
      <c r="L250" s="38"/>
      <c r="M250" s="38"/>
      <c r="N250" s="38"/>
      <c r="O250" s="38"/>
      <c r="P250" s="38"/>
      <c r="Q250" s="38"/>
    </row>
    <row r="251" spans="1:17">
      <c r="A251" s="38"/>
      <c r="B251" s="38"/>
      <c r="C251" s="38"/>
      <c r="D251" s="38"/>
      <c r="E251" s="38"/>
      <c r="F251" s="38"/>
      <c r="G251" s="38"/>
      <c r="H251" s="38"/>
      <c r="I251" s="38"/>
      <c r="J251" s="38"/>
      <c r="K251" s="38"/>
      <c r="L251" s="38"/>
      <c r="M251" s="38"/>
      <c r="N251" s="38"/>
      <c r="O251" s="38"/>
      <c r="P251" s="38"/>
      <c r="Q251" s="38"/>
    </row>
    <row r="252" spans="1:17">
      <c r="A252" s="38"/>
      <c r="B252" s="38"/>
      <c r="C252" s="38"/>
      <c r="D252" s="38"/>
      <c r="E252" s="38"/>
      <c r="F252" s="38"/>
      <c r="G252" s="38"/>
      <c r="H252" s="38"/>
      <c r="I252" s="38"/>
      <c r="J252" s="38"/>
      <c r="K252" s="38"/>
      <c r="L252" s="38"/>
      <c r="M252" s="38"/>
      <c r="N252" s="38"/>
      <c r="O252" s="38"/>
      <c r="P252" s="38"/>
      <c r="Q252" s="38"/>
    </row>
    <row r="253" spans="1:17">
      <c r="A253" s="38"/>
      <c r="B253" s="38"/>
      <c r="C253" s="38"/>
      <c r="D253" s="38"/>
      <c r="E253" s="38"/>
      <c r="F253" s="38"/>
      <c r="G253" s="38"/>
      <c r="H253" s="38"/>
      <c r="I253" s="38"/>
      <c r="J253" s="38"/>
      <c r="K253" s="38"/>
      <c r="L253" s="38"/>
      <c r="M253" s="38"/>
      <c r="N253" s="38"/>
      <c r="O253" s="38"/>
      <c r="P253" s="38"/>
      <c r="Q253" s="38"/>
    </row>
    <row r="254" spans="1:17">
      <c r="A254" s="38"/>
      <c r="B254" s="38"/>
      <c r="C254" s="38"/>
      <c r="D254" s="38"/>
      <c r="E254" s="38"/>
      <c r="F254" s="38"/>
      <c r="G254" s="38"/>
      <c r="H254" s="38"/>
      <c r="I254" s="38"/>
      <c r="J254" s="38"/>
      <c r="K254" s="38"/>
      <c r="L254" s="38"/>
      <c r="M254" s="38"/>
      <c r="N254" s="38"/>
      <c r="O254" s="38"/>
      <c r="P254" s="38"/>
      <c r="Q254" s="38"/>
    </row>
    <row r="255" spans="1:17">
      <c r="A255" s="38"/>
      <c r="B255" s="38"/>
      <c r="C255" s="38"/>
      <c r="D255" s="38"/>
      <c r="E255" s="38"/>
      <c r="F255" s="38"/>
      <c r="G255" s="38"/>
      <c r="H255" s="38"/>
      <c r="I255" s="38"/>
      <c r="J255" s="38"/>
      <c r="K255" s="38"/>
      <c r="L255" s="38"/>
      <c r="M255" s="38"/>
      <c r="N255" s="38"/>
      <c r="O255" s="38"/>
      <c r="P255" s="38"/>
      <c r="Q255" s="38"/>
    </row>
    <row r="256" spans="1:17">
      <c r="A256" s="38"/>
      <c r="B256" s="38"/>
      <c r="C256" s="38"/>
      <c r="D256" s="38"/>
      <c r="E256" s="38"/>
      <c r="F256" s="38"/>
      <c r="G256" s="38"/>
      <c r="H256" s="38"/>
      <c r="I256" s="38"/>
      <c r="J256" s="38"/>
      <c r="K256" s="38"/>
      <c r="L256" s="38"/>
      <c r="M256" s="38"/>
      <c r="N256" s="38"/>
      <c r="O256" s="38"/>
      <c r="P256" s="38"/>
      <c r="Q256" s="38"/>
    </row>
    <row r="257" spans="1:17">
      <c r="A257" s="38"/>
      <c r="B257" s="38"/>
      <c r="C257" s="38"/>
      <c r="D257" s="38"/>
      <c r="E257" s="38"/>
      <c r="F257" s="38"/>
      <c r="G257" s="38"/>
      <c r="H257" s="38"/>
      <c r="I257" s="38"/>
      <c r="J257" s="38"/>
      <c r="K257" s="38"/>
      <c r="L257" s="38"/>
      <c r="M257" s="38"/>
      <c r="N257" s="38"/>
      <c r="O257" s="38"/>
      <c r="P257" s="38"/>
      <c r="Q257" s="38"/>
    </row>
    <row r="258" spans="1:17">
      <c r="A258" s="38"/>
      <c r="B258" s="38"/>
      <c r="C258" s="38"/>
      <c r="D258" s="38"/>
      <c r="E258" s="38"/>
      <c r="F258" s="38"/>
      <c r="G258" s="38"/>
      <c r="H258" s="38"/>
      <c r="I258" s="38"/>
      <c r="J258" s="38"/>
      <c r="K258" s="38"/>
      <c r="L258" s="38"/>
      <c r="M258" s="38"/>
      <c r="N258" s="38"/>
      <c r="O258" s="38"/>
      <c r="P258" s="38"/>
      <c r="Q258" s="38"/>
    </row>
    <row r="259" spans="1:17">
      <c r="A259" s="38"/>
      <c r="B259" s="38"/>
      <c r="C259" s="38"/>
      <c r="D259" s="38"/>
      <c r="E259" s="38"/>
      <c r="F259" s="38"/>
      <c r="G259" s="38"/>
      <c r="H259" s="38"/>
      <c r="I259" s="38"/>
      <c r="J259" s="38"/>
      <c r="K259" s="38"/>
      <c r="L259" s="38"/>
      <c r="M259" s="38"/>
      <c r="N259" s="38"/>
      <c r="O259" s="38"/>
      <c r="P259" s="38"/>
      <c r="Q259" s="38"/>
    </row>
    <row r="260" spans="1:17">
      <c r="A260" s="38"/>
      <c r="B260" s="38"/>
      <c r="C260" s="38"/>
      <c r="D260" s="38"/>
      <c r="E260" s="38"/>
      <c r="F260" s="38"/>
      <c r="G260" s="38"/>
      <c r="H260" s="38"/>
      <c r="I260" s="38"/>
      <c r="J260" s="38"/>
      <c r="K260" s="38"/>
      <c r="L260" s="38"/>
      <c r="M260" s="38"/>
      <c r="N260" s="38"/>
      <c r="O260" s="38"/>
      <c r="P260" s="38"/>
      <c r="Q260" s="38"/>
    </row>
    <row r="261" spans="1:17">
      <c r="A261" s="38"/>
      <c r="B261" s="38"/>
      <c r="C261" s="38"/>
      <c r="D261" s="38"/>
      <c r="E261" s="38"/>
      <c r="F261" s="38"/>
      <c r="G261" s="38"/>
      <c r="H261" s="38"/>
      <c r="I261" s="38"/>
      <c r="J261" s="38"/>
      <c r="K261" s="38"/>
      <c r="L261" s="38"/>
      <c r="M261" s="38"/>
      <c r="N261" s="38"/>
      <c r="O261" s="38"/>
      <c r="P261" s="38"/>
      <c r="Q261" s="38"/>
    </row>
    <row r="262" spans="1:17">
      <c r="A262" s="38"/>
      <c r="B262" s="38"/>
      <c r="C262" s="38"/>
      <c r="D262" s="38"/>
      <c r="E262" s="38"/>
      <c r="F262" s="38"/>
      <c r="G262" s="38"/>
      <c r="H262" s="38"/>
      <c r="I262" s="38"/>
      <c r="J262" s="38"/>
      <c r="K262" s="38"/>
      <c r="L262" s="38"/>
      <c r="M262" s="38"/>
      <c r="N262" s="38"/>
      <c r="O262" s="38"/>
      <c r="P262" s="38"/>
      <c r="Q262" s="38"/>
    </row>
    <row r="263" spans="1:17">
      <c r="A263" s="38"/>
      <c r="B263" s="38"/>
      <c r="C263" s="38"/>
      <c r="D263" s="38"/>
      <c r="E263" s="38"/>
      <c r="F263" s="38"/>
      <c r="G263" s="38"/>
      <c r="H263" s="38"/>
      <c r="I263" s="38"/>
      <c r="J263" s="38"/>
      <c r="K263" s="38"/>
      <c r="L263" s="38"/>
      <c r="M263" s="38"/>
      <c r="N263" s="38"/>
      <c r="O263" s="38"/>
      <c r="P263" s="38"/>
      <c r="Q263" s="38"/>
    </row>
    <row r="264" spans="1:17">
      <c r="A264" s="38"/>
      <c r="B264" s="38"/>
      <c r="C264" s="38"/>
      <c r="D264" s="38"/>
      <c r="E264" s="38"/>
      <c r="F264" s="38"/>
      <c r="G264" s="38"/>
      <c r="H264" s="38"/>
      <c r="I264" s="38"/>
      <c r="J264" s="38"/>
      <c r="K264" s="38"/>
      <c r="L264" s="38"/>
      <c r="M264" s="38"/>
      <c r="N264" s="38"/>
      <c r="O264" s="38"/>
      <c r="P264" s="38"/>
      <c r="Q264" s="38"/>
    </row>
    <row r="265" spans="1:17">
      <c r="A265" s="38"/>
      <c r="B265" s="38"/>
      <c r="C265" s="38"/>
      <c r="D265" s="38"/>
      <c r="E265" s="38"/>
      <c r="F265" s="38"/>
      <c r="G265" s="38"/>
      <c r="H265" s="38"/>
      <c r="I265" s="38"/>
      <c r="J265" s="38"/>
      <c r="K265" s="38"/>
      <c r="L265" s="38"/>
      <c r="M265" s="38"/>
      <c r="N265" s="38"/>
      <c r="O265" s="38"/>
      <c r="P265" s="38"/>
      <c r="Q265" s="38"/>
    </row>
    <row r="266" spans="1:17">
      <c r="A266" s="38"/>
      <c r="B266" s="38"/>
      <c r="C266" s="38"/>
      <c r="D266" s="38"/>
      <c r="E266" s="38"/>
      <c r="F266" s="38"/>
      <c r="G266" s="38"/>
      <c r="H266" s="38"/>
      <c r="I266" s="43"/>
      <c r="J266" s="43"/>
      <c r="K266" s="43"/>
      <c r="L266" s="43"/>
      <c r="M266" s="43"/>
      <c r="N266" s="43"/>
      <c r="O266" s="43"/>
      <c r="P266" s="43"/>
      <c r="Q266" s="43"/>
    </row>
  </sheetData>
  <mergeCells count="15">
    <mergeCell ref="A127:E127"/>
    <mergeCell ref="A131:E131"/>
    <mergeCell ref="A137:E137"/>
    <mergeCell ref="A120:F120"/>
    <mergeCell ref="A1:F1"/>
    <mergeCell ref="A2:F2"/>
    <mergeCell ref="A3:F3"/>
    <mergeCell ref="A5:F5"/>
    <mergeCell ref="A59:F59"/>
    <mergeCell ref="A63:F63"/>
    <mergeCell ref="A64:F64"/>
    <mergeCell ref="A65:F65"/>
    <mergeCell ref="A66:F66"/>
    <mergeCell ref="A68:F68"/>
    <mergeCell ref="A116:F116"/>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sheetPr>
  <dimension ref="A1:K63"/>
  <sheetViews>
    <sheetView topLeftCell="A37" zoomScaleNormal="100" workbookViewId="0">
      <selection activeCell="D79" sqref="D79"/>
    </sheetView>
  </sheetViews>
  <sheetFormatPr defaultRowHeight="15"/>
  <cols>
    <col min="1" max="6" width="30.7109375" customWidth="1"/>
    <col min="7" max="7" width="14.7109375" bestFit="1" customWidth="1"/>
    <col min="8" max="8" width="13.28515625" customWidth="1"/>
    <col min="9" max="9" width="13" customWidth="1"/>
  </cols>
  <sheetData>
    <row r="1" spans="1:11">
      <c r="A1" s="314" t="s">
        <v>664</v>
      </c>
      <c r="B1" s="315"/>
      <c r="C1" s="315"/>
      <c r="D1" s="315"/>
      <c r="E1" s="315"/>
      <c r="F1" s="316"/>
      <c r="G1" s="38"/>
      <c r="H1" s="38"/>
      <c r="I1" s="38"/>
      <c r="J1" s="38"/>
      <c r="K1" s="38"/>
    </row>
    <row r="2" spans="1:11">
      <c r="A2" s="317" t="s">
        <v>448</v>
      </c>
      <c r="B2" s="318"/>
      <c r="C2" s="318"/>
      <c r="D2" s="318"/>
      <c r="E2" s="318"/>
      <c r="F2" s="319"/>
      <c r="G2" s="38"/>
      <c r="H2" s="38"/>
      <c r="I2" s="38"/>
      <c r="J2" s="38"/>
      <c r="K2" s="38"/>
    </row>
    <row r="3" spans="1:11" ht="15.75" thickBot="1">
      <c r="A3" s="323"/>
      <c r="B3" s="324"/>
      <c r="C3" s="324"/>
      <c r="D3" s="324"/>
      <c r="E3" s="324"/>
      <c r="F3" s="325"/>
      <c r="G3" s="38"/>
      <c r="H3" s="38"/>
      <c r="I3" s="38"/>
      <c r="J3" s="38"/>
      <c r="K3" s="38"/>
    </row>
    <row r="4" spans="1:11" ht="45.75" customHeight="1" thickBot="1">
      <c r="A4" s="326" t="s">
        <v>665</v>
      </c>
      <c r="B4" s="327"/>
      <c r="C4" s="327"/>
      <c r="D4" s="327"/>
      <c r="E4" s="327"/>
      <c r="F4" s="328"/>
      <c r="G4" s="38"/>
      <c r="H4" s="38"/>
      <c r="I4" s="38"/>
      <c r="J4" s="38"/>
      <c r="K4" s="38"/>
    </row>
    <row r="5" spans="1:11" ht="50.25" customHeight="1" thickBot="1">
      <c r="A5" s="241" t="s">
        <v>538</v>
      </c>
      <c r="B5" s="10" t="s">
        <v>539</v>
      </c>
      <c r="C5" s="10" t="s">
        <v>540</v>
      </c>
      <c r="D5" s="8" t="s">
        <v>28</v>
      </c>
      <c r="E5" s="10" t="s">
        <v>549</v>
      </c>
      <c r="F5" s="10" t="s">
        <v>550</v>
      </c>
      <c r="G5" s="147" t="s">
        <v>532</v>
      </c>
      <c r="H5" s="141" t="s">
        <v>534</v>
      </c>
      <c r="I5" s="146" t="s">
        <v>541</v>
      </c>
      <c r="J5" s="38"/>
      <c r="K5" s="38"/>
    </row>
    <row r="6" spans="1:11" ht="25.5" customHeight="1" thickBot="1">
      <c r="A6" s="311" t="s">
        <v>545</v>
      </c>
      <c r="B6" s="312"/>
      <c r="C6" s="312"/>
      <c r="D6" s="312"/>
      <c r="E6" s="312"/>
      <c r="F6" s="313"/>
      <c r="G6" s="38"/>
      <c r="H6" s="38"/>
      <c r="I6" s="38"/>
      <c r="J6" s="38"/>
      <c r="K6" s="38"/>
    </row>
    <row r="7" spans="1:11" ht="15.75" thickBot="1">
      <c r="A7" s="66"/>
      <c r="B7" s="238" t="s">
        <v>639</v>
      </c>
      <c r="C7" s="236">
        <v>1</v>
      </c>
      <c r="D7" s="238" t="s">
        <v>666</v>
      </c>
      <c r="E7" s="236">
        <v>145000</v>
      </c>
      <c r="F7" s="6">
        <v>42297</v>
      </c>
      <c r="G7" s="39" t="s">
        <v>667</v>
      </c>
      <c r="H7" s="38">
        <v>0.753</v>
      </c>
      <c r="I7" s="20">
        <v>46</v>
      </c>
      <c r="J7" s="38"/>
      <c r="K7" s="38"/>
    </row>
    <row r="8" spans="1:11" ht="15.75" thickBot="1">
      <c r="A8" s="66"/>
      <c r="B8" s="238" t="s">
        <v>668</v>
      </c>
      <c r="C8" s="236">
        <v>265</v>
      </c>
      <c r="D8" s="238" t="s">
        <v>669</v>
      </c>
      <c r="E8" s="236" t="s">
        <v>670</v>
      </c>
      <c r="F8" s="6">
        <v>42290</v>
      </c>
      <c r="G8" s="39" t="s">
        <v>667</v>
      </c>
      <c r="H8" s="38">
        <v>0.753</v>
      </c>
      <c r="I8" s="20">
        <v>46</v>
      </c>
      <c r="J8" s="38"/>
      <c r="K8" s="38"/>
    </row>
    <row r="9" spans="1:11" ht="15.75" thickBot="1">
      <c r="A9" s="66"/>
      <c r="B9" s="238" t="s">
        <v>671</v>
      </c>
      <c r="C9" s="236">
        <v>265</v>
      </c>
      <c r="D9" s="238" t="s">
        <v>666</v>
      </c>
      <c r="E9" s="236" t="s">
        <v>672</v>
      </c>
      <c r="F9" s="6">
        <v>42290</v>
      </c>
      <c r="G9" s="39" t="s">
        <v>667</v>
      </c>
      <c r="H9" s="38">
        <v>0.753</v>
      </c>
      <c r="I9" s="20">
        <v>46</v>
      </c>
      <c r="J9" s="38"/>
      <c r="K9" s="38"/>
    </row>
    <row r="10" spans="1:11" ht="15.75" thickBot="1">
      <c r="A10" s="66"/>
      <c r="B10" s="238"/>
      <c r="C10" s="236">
        <v>349</v>
      </c>
      <c r="D10" s="238" t="s">
        <v>673</v>
      </c>
      <c r="E10" s="236">
        <v>848461</v>
      </c>
      <c r="F10" s="6">
        <v>42297</v>
      </c>
      <c r="G10" s="39" t="s">
        <v>667</v>
      </c>
      <c r="H10" s="38">
        <v>0.753</v>
      </c>
      <c r="I10" s="20">
        <v>46</v>
      </c>
      <c r="J10" s="38"/>
      <c r="K10" s="38"/>
    </row>
    <row r="11" spans="1:11" ht="15.75" thickBot="1">
      <c r="A11" s="66"/>
      <c r="B11" s="238" t="s">
        <v>674</v>
      </c>
      <c r="C11" s="236">
        <v>351</v>
      </c>
      <c r="D11" s="238" t="s">
        <v>666</v>
      </c>
      <c r="E11" s="236">
        <v>435052</v>
      </c>
      <c r="F11" s="6">
        <v>42395</v>
      </c>
      <c r="G11" s="39" t="s">
        <v>667</v>
      </c>
      <c r="H11" s="38">
        <v>0.753</v>
      </c>
      <c r="I11" s="20">
        <v>46</v>
      </c>
      <c r="J11" s="38"/>
      <c r="K11" s="38"/>
    </row>
    <row r="12" spans="1:11" ht="15.75" thickBot="1">
      <c r="A12" s="66"/>
      <c r="B12" s="238" t="s">
        <v>675</v>
      </c>
      <c r="C12" s="236">
        <v>365</v>
      </c>
      <c r="D12" s="238" t="s">
        <v>666</v>
      </c>
      <c r="E12" s="236">
        <v>605096</v>
      </c>
      <c r="F12" s="6">
        <v>42394</v>
      </c>
      <c r="G12" s="39" t="s">
        <v>667</v>
      </c>
      <c r="H12" s="38">
        <v>0.753</v>
      </c>
      <c r="I12" s="20">
        <v>46</v>
      </c>
      <c r="J12" s="38"/>
      <c r="K12" s="38"/>
    </row>
    <row r="13" spans="1:11" ht="15.75" thickBot="1">
      <c r="A13" s="66"/>
      <c r="B13" s="238" t="s">
        <v>676</v>
      </c>
      <c r="C13" s="236">
        <v>392</v>
      </c>
      <c r="D13" s="238" t="s">
        <v>677</v>
      </c>
      <c r="E13" s="236">
        <v>520588</v>
      </c>
      <c r="F13" s="6">
        <v>42290</v>
      </c>
      <c r="G13" s="39" t="s">
        <v>667</v>
      </c>
      <c r="H13" s="38">
        <v>0.753</v>
      </c>
      <c r="I13" s="20">
        <v>46</v>
      </c>
      <c r="J13" s="38"/>
      <c r="K13" s="38"/>
    </row>
    <row r="14" spans="1:11" ht="15.75" thickBot="1">
      <c r="A14" s="66"/>
      <c r="B14" s="238" t="s">
        <v>678</v>
      </c>
      <c r="C14" s="236">
        <v>414</v>
      </c>
      <c r="D14" s="238" t="s">
        <v>666</v>
      </c>
      <c r="E14" s="236">
        <v>416304</v>
      </c>
      <c r="F14" s="6">
        <v>41655</v>
      </c>
      <c r="G14" s="39" t="s">
        <v>667</v>
      </c>
      <c r="H14" s="38">
        <v>0.753</v>
      </c>
      <c r="I14" s="20">
        <v>46</v>
      </c>
      <c r="J14" s="38"/>
      <c r="K14" s="38"/>
    </row>
    <row r="15" spans="1:11" ht="15.75" thickBot="1">
      <c r="A15" s="66"/>
      <c r="B15" s="238" t="s">
        <v>679</v>
      </c>
      <c r="C15" s="236">
        <v>436</v>
      </c>
      <c r="D15" s="238" t="s">
        <v>677</v>
      </c>
      <c r="E15" s="236">
        <v>157625</v>
      </c>
      <c r="F15" s="6">
        <v>41711</v>
      </c>
      <c r="G15" s="39" t="s">
        <v>667</v>
      </c>
      <c r="H15" s="38">
        <v>0.753</v>
      </c>
      <c r="I15" s="20">
        <v>46</v>
      </c>
      <c r="J15" s="38"/>
      <c r="K15" s="38"/>
    </row>
    <row r="16" spans="1:11" ht="15.75" thickBot="1">
      <c r="A16" s="66"/>
      <c r="B16" s="238" t="s">
        <v>680</v>
      </c>
      <c r="C16" s="236">
        <v>1241</v>
      </c>
      <c r="D16" s="238" t="s">
        <v>681</v>
      </c>
      <c r="E16" s="236">
        <v>451294</v>
      </c>
      <c r="F16" s="6">
        <v>41919</v>
      </c>
      <c r="G16" s="39" t="s">
        <v>667</v>
      </c>
      <c r="H16" s="38">
        <v>0.753</v>
      </c>
      <c r="I16" s="20">
        <v>46</v>
      </c>
      <c r="J16" s="38"/>
      <c r="K16" s="38"/>
    </row>
    <row r="17" spans="1:11" ht="15.75" thickBot="1">
      <c r="A17" s="66"/>
      <c r="B17" s="238" t="s">
        <v>680</v>
      </c>
      <c r="C17" s="236">
        <v>1241</v>
      </c>
      <c r="D17" s="238" t="s">
        <v>682</v>
      </c>
      <c r="E17" s="236">
        <v>164698</v>
      </c>
      <c r="F17" s="6">
        <v>41919</v>
      </c>
      <c r="G17" s="39" t="s">
        <v>667</v>
      </c>
      <c r="H17" s="38">
        <v>0.753</v>
      </c>
      <c r="I17" s="20">
        <v>46</v>
      </c>
      <c r="J17" s="38"/>
      <c r="K17" s="38"/>
    </row>
    <row r="18" spans="1:11" ht="15.75" thickBot="1">
      <c r="A18" s="66"/>
      <c r="B18" s="238" t="s">
        <v>683</v>
      </c>
      <c r="C18" s="236">
        <v>1338</v>
      </c>
      <c r="D18" s="238" t="s">
        <v>684</v>
      </c>
      <c r="E18" s="236">
        <v>174</v>
      </c>
      <c r="F18" s="6">
        <v>42290</v>
      </c>
      <c r="G18" s="39" t="s">
        <v>667</v>
      </c>
      <c r="H18" s="38">
        <v>0.753</v>
      </c>
      <c r="I18" s="20">
        <v>46</v>
      </c>
      <c r="J18" s="38"/>
      <c r="K18" s="38"/>
    </row>
    <row r="19" spans="1:11" ht="15.75" thickBot="1">
      <c r="A19" s="66"/>
      <c r="B19" s="238" t="s">
        <v>685</v>
      </c>
      <c r="C19" s="236">
        <v>1343</v>
      </c>
      <c r="D19" s="238" t="s">
        <v>666</v>
      </c>
      <c r="E19" s="236">
        <v>513159</v>
      </c>
      <c r="F19" s="6">
        <v>42304</v>
      </c>
      <c r="G19" s="39" t="s">
        <v>667</v>
      </c>
      <c r="H19" s="38">
        <v>0.753</v>
      </c>
      <c r="I19" s="20">
        <v>46</v>
      </c>
      <c r="J19" s="38"/>
      <c r="K19" s="38"/>
    </row>
    <row r="20" spans="1:11" ht="15.75" thickBot="1">
      <c r="A20" s="66"/>
      <c r="B20" s="238" t="s">
        <v>686</v>
      </c>
      <c r="C20" s="236">
        <v>1349</v>
      </c>
      <c r="D20" s="238" t="s">
        <v>687</v>
      </c>
      <c r="E20" s="236">
        <v>73262</v>
      </c>
      <c r="F20" s="6">
        <v>41919</v>
      </c>
      <c r="G20" s="39" t="s">
        <v>667</v>
      </c>
      <c r="H20" s="38">
        <v>0.753</v>
      </c>
      <c r="I20" s="20">
        <v>46</v>
      </c>
      <c r="J20" s="38"/>
      <c r="K20" s="38"/>
    </row>
    <row r="21" spans="1:11" ht="15.75" thickBot="1">
      <c r="A21" s="66"/>
      <c r="B21" s="238" t="s">
        <v>688</v>
      </c>
      <c r="C21" s="236">
        <v>1380</v>
      </c>
      <c r="D21" s="238" t="s">
        <v>681</v>
      </c>
      <c r="E21" s="236">
        <v>851645</v>
      </c>
      <c r="F21" s="6">
        <v>41656</v>
      </c>
      <c r="G21" s="39" t="s">
        <v>667</v>
      </c>
      <c r="H21" s="38">
        <v>0.753</v>
      </c>
      <c r="I21" s="20">
        <v>46</v>
      </c>
      <c r="J21" s="38"/>
      <c r="K21" s="38"/>
    </row>
    <row r="22" spans="1:11" ht="15.75" thickBot="1">
      <c r="A22" s="66"/>
      <c r="B22" s="238" t="s">
        <v>689</v>
      </c>
      <c r="C22" s="236">
        <v>1388</v>
      </c>
      <c r="D22" s="238" t="s">
        <v>666</v>
      </c>
      <c r="E22" s="236">
        <v>144896</v>
      </c>
      <c r="F22" s="6">
        <v>41712</v>
      </c>
      <c r="G22" s="39" t="s">
        <v>667</v>
      </c>
      <c r="H22" s="38">
        <v>0.753</v>
      </c>
      <c r="I22" s="20">
        <v>46</v>
      </c>
      <c r="J22" s="38"/>
      <c r="K22" s="38"/>
    </row>
    <row r="23" spans="1:11" ht="15.75" thickBot="1">
      <c r="A23" s="66"/>
      <c r="B23" s="238" t="s">
        <v>690</v>
      </c>
      <c r="C23" s="236">
        <v>1471</v>
      </c>
      <c r="D23" s="238" t="s">
        <v>691</v>
      </c>
      <c r="E23" s="236">
        <v>54</v>
      </c>
      <c r="F23" s="6">
        <v>42291</v>
      </c>
      <c r="G23" s="39" t="s">
        <v>667</v>
      </c>
      <c r="H23" s="38">
        <v>0.753</v>
      </c>
      <c r="I23" s="20">
        <v>46</v>
      </c>
      <c r="J23" s="38"/>
      <c r="K23" s="38"/>
    </row>
    <row r="24" spans="1:11" ht="15.75" thickBot="1">
      <c r="A24" s="66"/>
      <c r="B24" s="238" t="s">
        <v>692</v>
      </c>
      <c r="C24" s="236">
        <v>1517</v>
      </c>
      <c r="D24" s="238" t="s">
        <v>677</v>
      </c>
      <c r="E24" s="236">
        <v>79691</v>
      </c>
      <c r="F24" s="6">
        <v>41711</v>
      </c>
      <c r="G24" s="39" t="s">
        <v>667</v>
      </c>
      <c r="H24" s="38">
        <v>0.753</v>
      </c>
      <c r="I24" s="20">
        <v>46</v>
      </c>
      <c r="J24" s="38"/>
      <c r="K24" s="38"/>
    </row>
    <row r="25" spans="1:11" ht="15.75" thickBot="1">
      <c r="A25" s="66"/>
      <c r="B25" s="238" t="s">
        <v>693</v>
      </c>
      <c r="C25" s="236">
        <v>1517</v>
      </c>
      <c r="D25" s="238" t="s">
        <v>684</v>
      </c>
      <c r="E25" s="236">
        <v>184</v>
      </c>
      <c r="F25" s="6">
        <v>41712</v>
      </c>
      <c r="G25" s="39" t="s">
        <v>667</v>
      </c>
      <c r="H25" s="38">
        <v>0.753</v>
      </c>
      <c r="I25" s="20">
        <v>46</v>
      </c>
      <c r="J25" s="38"/>
      <c r="K25" s="38"/>
    </row>
    <row r="26" spans="1:11" ht="15.75" thickBot="1">
      <c r="A26" s="66"/>
      <c r="B26" s="238" t="s">
        <v>694</v>
      </c>
      <c r="C26" s="236">
        <v>1552</v>
      </c>
      <c r="D26" s="238" t="s">
        <v>687</v>
      </c>
      <c r="E26" s="236">
        <v>4966</v>
      </c>
      <c r="F26" s="6">
        <v>41712</v>
      </c>
      <c r="G26" s="39" t="s">
        <v>667</v>
      </c>
      <c r="H26" s="38">
        <v>0.753</v>
      </c>
      <c r="I26" s="20">
        <v>46</v>
      </c>
      <c r="J26" s="38"/>
      <c r="K26" s="38"/>
    </row>
    <row r="27" spans="1:11" ht="15.75" thickBot="1">
      <c r="A27" s="66"/>
      <c r="B27" s="238" t="s">
        <v>694</v>
      </c>
      <c r="C27" s="236">
        <v>1552</v>
      </c>
      <c r="D27" s="238" t="s">
        <v>687</v>
      </c>
      <c r="E27" s="236">
        <v>4967</v>
      </c>
      <c r="F27" s="6">
        <v>41712</v>
      </c>
      <c r="G27" s="39" t="s">
        <v>667</v>
      </c>
      <c r="H27" s="38">
        <v>0.753</v>
      </c>
      <c r="I27" s="20">
        <v>46</v>
      </c>
      <c r="J27" s="38"/>
      <c r="K27" s="38"/>
    </row>
    <row r="28" spans="1:11" ht="15.75" thickBot="1">
      <c r="A28" s="66"/>
      <c r="B28" s="238" t="s">
        <v>695</v>
      </c>
      <c r="C28" s="236">
        <v>1553</v>
      </c>
      <c r="D28" s="238" t="s">
        <v>666</v>
      </c>
      <c r="E28" s="236">
        <v>122528</v>
      </c>
      <c r="F28" s="6">
        <v>42396</v>
      </c>
      <c r="G28" s="39" t="s">
        <v>667</v>
      </c>
      <c r="H28" s="38">
        <v>0.753</v>
      </c>
      <c r="I28" s="20">
        <v>46</v>
      </c>
      <c r="J28" s="38"/>
      <c r="K28" s="38"/>
    </row>
    <row r="29" spans="1:11" ht="15.75" thickBot="1">
      <c r="A29" s="66"/>
      <c r="B29" s="238" t="s">
        <v>695</v>
      </c>
      <c r="C29" s="236">
        <v>1553</v>
      </c>
      <c r="D29" s="238" t="s">
        <v>666</v>
      </c>
      <c r="E29" s="236">
        <v>48270</v>
      </c>
      <c r="F29" s="6">
        <v>42396</v>
      </c>
      <c r="G29" s="39" t="s">
        <v>667</v>
      </c>
      <c r="H29" s="38">
        <v>0.753</v>
      </c>
      <c r="I29" s="20">
        <v>46</v>
      </c>
      <c r="J29" s="38"/>
      <c r="K29" s="38"/>
    </row>
    <row r="30" spans="1:11" ht="15.75" thickBot="1">
      <c r="A30" s="66"/>
      <c r="B30" s="238" t="s">
        <v>696</v>
      </c>
      <c r="C30" s="236">
        <v>1555</v>
      </c>
      <c r="D30" s="238" t="s">
        <v>666</v>
      </c>
      <c r="E30" s="236">
        <v>822979</v>
      </c>
      <c r="F30" s="6">
        <v>42290</v>
      </c>
      <c r="G30" s="39" t="s">
        <v>667</v>
      </c>
      <c r="H30" s="38">
        <v>0.753</v>
      </c>
      <c r="I30" s="20">
        <v>46</v>
      </c>
      <c r="J30" s="38"/>
      <c r="K30" s="38"/>
    </row>
    <row r="31" spans="1:11" ht="15.75" thickBot="1">
      <c r="A31" s="66"/>
      <c r="B31" s="238" t="s">
        <v>697</v>
      </c>
      <c r="C31" s="236">
        <v>1555</v>
      </c>
      <c r="D31" s="238" t="s">
        <v>666</v>
      </c>
      <c r="E31" s="236">
        <v>115401</v>
      </c>
      <c r="F31" s="6">
        <v>42290</v>
      </c>
      <c r="G31" s="39" t="s">
        <v>667</v>
      </c>
      <c r="H31" s="38">
        <v>0.753</v>
      </c>
      <c r="I31" s="20">
        <v>46</v>
      </c>
      <c r="J31" s="38"/>
      <c r="K31" s="38"/>
    </row>
    <row r="32" spans="1:11" ht="15.75" thickBot="1">
      <c r="A32" s="66"/>
      <c r="B32" s="238" t="s">
        <v>698</v>
      </c>
      <c r="C32" s="236">
        <v>1585</v>
      </c>
      <c r="D32" s="238" t="s">
        <v>666</v>
      </c>
      <c r="E32" s="236">
        <v>124179</v>
      </c>
      <c r="F32" s="6">
        <v>41233</v>
      </c>
      <c r="G32" s="39" t="s">
        <v>667</v>
      </c>
      <c r="H32" s="38">
        <v>0.753</v>
      </c>
      <c r="I32" s="20">
        <v>46</v>
      </c>
      <c r="J32" s="38"/>
      <c r="K32" s="38"/>
    </row>
    <row r="33" spans="1:11" ht="15.75" thickBot="1">
      <c r="A33" s="66"/>
      <c r="B33" s="238" t="s">
        <v>699</v>
      </c>
      <c r="C33" s="236">
        <v>1586</v>
      </c>
      <c r="D33" s="238" t="s">
        <v>700</v>
      </c>
      <c r="E33" s="236">
        <v>124173</v>
      </c>
      <c r="F33" s="6">
        <v>42396</v>
      </c>
      <c r="G33" s="39" t="s">
        <v>667</v>
      </c>
      <c r="H33" s="38">
        <v>0.753</v>
      </c>
      <c r="I33" s="20">
        <v>46</v>
      </c>
      <c r="J33" s="38"/>
      <c r="K33" s="38"/>
    </row>
    <row r="34" spans="1:11" ht="15.75" thickBot="1">
      <c r="A34" s="66"/>
      <c r="B34" s="238" t="s">
        <v>699</v>
      </c>
      <c r="C34" s="236">
        <v>1587</v>
      </c>
      <c r="D34" s="238" t="s">
        <v>666</v>
      </c>
      <c r="E34" s="236">
        <v>124172</v>
      </c>
      <c r="F34" s="6">
        <v>41233</v>
      </c>
      <c r="G34" s="39" t="s">
        <v>667</v>
      </c>
      <c r="H34" s="38">
        <v>0.753</v>
      </c>
      <c r="I34" s="20">
        <v>46</v>
      </c>
      <c r="J34" s="38"/>
      <c r="K34" s="38"/>
    </row>
    <row r="35" spans="1:11" ht="15.75" thickBot="1">
      <c r="A35" s="66"/>
      <c r="B35" s="238" t="s">
        <v>701</v>
      </c>
      <c r="C35" s="236">
        <v>1600</v>
      </c>
      <c r="D35" s="238" t="s">
        <v>666</v>
      </c>
      <c r="E35" s="236">
        <v>301298</v>
      </c>
      <c r="F35" s="6">
        <v>42291</v>
      </c>
      <c r="G35" s="39" t="s">
        <v>667</v>
      </c>
      <c r="H35" s="38">
        <v>0.753</v>
      </c>
      <c r="I35" s="20">
        <v>46</v>
      </c>
      <c r="J35" s="38"/>
      <c r="K35" s="38"/>
    </row>
    <row r="36" spans="1:11" ht="15.75" thickBot="1">
      <c r="A36" s="66"/>
      <c r="B36" s="238" t="s">
        <v>701</v>
      </c>
      <c r="C36" s="236">
        <v>1600</v>
      </c>
      <c r="D36" s="238" t="s">
        <v>666</v>
      </c>
      <c r="E36" s="236">
        <v>301299</v>
      </c>
      <c r="F36" s="6">
        <v>42291</v>
      </c>
      <c r="G36" s="39" t="s">
        <v>667</v>
      </c>
      <c r="H36" s="38">
        <v>0.753</v>
      </c>
      <c r="I36" s="20">
        <v>46</v>
      </c>
      <c r="J36" s="38"/>
      <c r="K36" s="38"/>
    </row>
    <row r="37" spans="1:11" ht="15.75" thickBot="1">
      <c r="A37" s="66"/>
      <c r="B37" s="238"/>
      <c r="C37" s="236">
        <v>1609</v>
      </c>
      <c r="D37" s="238" t="s">
        <v>666</v>
      </c>
      <c r="E37" s="236">
        <v>27286</v>
      </c>
      <c r="F37" s="6">
        <v>42297</v>
      </c>
      <c r="G37" s="39" t="s">
        <v>667</v>
      </c>
      <c r="H37" s="38">
        <v>0.753</v>
      </c>
      <c r="I37" s="20">
        <v>46</v>
      </c>
      <c r="J37" s="38"/>
      <c r="K37" s="38"/>
    </row>
    <row r="38" spans="1:11" ht="15.75" thickBot="1">
      <c r="A38" s="66"/>
      <c r="B38" s="238" t="s">
        <v>702</v>
      </c>
      <c r="C38" s="236">
        <v>1613</v>
      </c>
      <c r="D38" s="238" t="s">
        <v>687</v>
      </c>
      <c r="E38" s="236">
        <v>44443</v>
      </c>
      <c r="F38" s="6">
        <v>42290</v>
      </c>
      <c r="G38" s="39" t="s">
        <v>667</v>
      </c>
      <c r="H38" s="38">
        <v>0.753</v>
      </c>
      <c r="I38" s="20">
        <v>46</v>
      </c>
      <c r="J38" s="38"/>
      <c r="K38" s="38"/>
    </row>
    <row r="39" spans="1:11" ht="15.75" thickBot="1">
      <c r="A39" s="66"/>
      <c r="B39" s="238" t="s">
        <v>702</v>
      </c>
      <c r="C39" s="236">
        <v>1613</v>
      </c>
      <c r="D39" s="238" t="s">
        <v>703</v>
      </c>
      <c r="E39" s="236" t="s">
        <v>704</v>
      </c>
      <c r="F39" s="6">
        <v>42290</v>
      </c>
      <c r="G39" s="39" t="s">
        <v>667</v>
      </c>
      <c r="H39" s="38">
        <v>0.753</v>
      </c>
      <c r="I39" s="20">
        <v>46</v>
      </c>
      <c r="J39" s="38"/>
      <c r="K39" s="38"/>
    </row>
    <row r="40" spans="1:11" ht="15.75" thickBot="1">
      <c r="A40" s="66"/>
      <c r="B40" s="238" t="s">
        <v>705</v>
      </c>
      <c r="C40" s="236">
        <v>1805</v>
      </c>
      <c r="D40" s="238" t="s">
        <v>673</v>
      </c>
      <c r="E40" s="236">
        <v>708999</v>
      </c>
      <c r="F40" s="6">
        <v>42291</v>
      </c>
      <c r="G40" s="39" t="s">
        <v>667</v>
      </c>
      <c r="H40" s="38">
        <v>0.753</v>
      </c>
      <c r="I40" s="20">
        <v>46</v>
      </c>
      <c r="J40" s="38"/>
      <c r="K40" s="38"/>
    </row>
    <row r="41" spans="1:11" ht="15.75" thickBot="1">
      <c r="A41" s="66"/>
      <c r="B41" s="238" t="s">
        <v>705</v>
      </c>
      <c r="C41" s="236">
        <v>1805</v>
      </c>
      <c r="D41" s="238" t="s">
        <v>706</v>
      </c>
      <c r="E41" s="236">
        <v>11864</v>
      </c>
      <c r="F41" s="6">
        <v>42284</v>
      </c>
      <c r="G41" s="39" t="s">
        <v>667</v>
      </c>
      <c r="H41" s="38">
        <v>0.753</v>
      </c>
      <c r="I41" s="20">
        <v>46</v>
      </c>
      <c r="J41" s="38"/>
      <c r="K41" s="38"/>
    </row>
    <row r="42" spans="1:11" ht="15.75" thickBot="1">
      <c r="A42" s="66"/>
      <c r="B42" s="238"/>
      <c r="C42" s="236">
        <v>1842</v>
      </c>
      <c r="D42" s="238" t="s">
        <v>707</v>
      </c>
      <c r="E42" s="236">
        <v>408438</v>
      </c>
      <c r="F42" s="6">
        <v>41989</v>
      </c>
      <c r="G42" s="39" t="s">
        <v>667</v>
      </c>
      <c r="H42" s="38">
        <v>0.753</v>
      </c>
      <c r="I42" s="20">
        <v>46</v>
      </c>
      <c r="J42" s="38"/>
      <c r="K42" s="38"/>
    </row>
    <row r="43" spans="1:11" ht="26.25" thickBot="1">
      <c r="A43" s="66"/>
      <c r="B43" s="238"/>
      <c r="C43" s="236">
        <v>1906</v>
      </c>
      <c r="D43" s="238" t="s">
        <v>708</v>
      </c>
      <c r="E43" s="236">
        <v>4385</v>
      </c>
      <c r="F43" s="6">
        <v>41919</v>
      </c>
      <c r="G43" s="39" t="s">
        <v>667</v>
      </c>
      <c r="H43" s="38">
        <v>0.753</v>
      </c>
      <c r="I43" s="20">
        <v>46</v>
      </c>
      <c r="J43" s="38"/>
      <c r="K43" s="38"/>
    </row>
    <row r="44" spans="1:11" ht="15.75" thickBot="1">
      <c r="A44" s="66"/>
      <c r="B44" s="238"/>
      <c r="C44" s="236">
        <v>1960</v>
      </c>
      <c r="D44" s="238" t="s">
        <v>687</v>
      </c>
      <c r="E44" s="236">
        <v>55032</v>
      </c>
      <c r="F44" s="6">
        <v>42297</v>
      </c>
      <c r="G44" s="39" t="s">
        <v>667</v>
      </c>
      <c r="H44" s="38">
        <v>0.753</v>
      </c>
      <c r="I44" s="20">
        <v>46</v>
      </c>
      <c r="J44" s="38"/>
      <c r="K44" s="38"/>
    </row>
    <row r="45" spans="1:11" ht="15.75" thickBot="1">
      <c r="A45" s="66"/>
      <c r="B45" s="238"/>
      <c r="C45" s="236">
        <v>1965</v>
      </c>
      <c r="D45" s="238" t="s">
        <v>666</v>
      </c>
      <c r="E45" s="236">
        <v>118756</v>
      </c>
      <c r="F45" s="6">
        <v>42304</v>
      </c>
      <c r="G45" s="39" t="s">
        <v>667</v>
      </c>
      <c r="H45" s="38">
        <v>0.753</v>
      </c>
      <c r="I45" s="20">
        <v>46</v>
      </c>
      <c r="J45" s="38"/>
      <c r="K45" s="38"/>
    </row>
    <row r="46" spans="1:11" ht="15.75" thickBot="1">
      <c r="A46" s="66"/>
      <c r="B46" s="238" t="s">
        <v>709</v>
      </c>
      <c r="C46" s="236">
        <v>2085</v>
      </c>
      <c r="D46" s="238" t="s">
        <v>710</v>
      </c>
      <c r="E46" s="236">
        <v>179498</v>
      </c>
      <c r="F46" s="6">
        <v>42304</v>
      </c>
      <c r="G46" s="39" t="s">
        <v>667</v>
      </c>
      <c r="H46" s="38">
        <v>0.753</v>
      </c>
      <c r="I46" s="20">
        <v>46</v>
      </c>
      <c r="J46" s="38"/>
      <c r="K46" s="38"/>
    </row>
    <row r="47" spans="1:11" ht="15.75" thickBot="1">
      <c r="A47" s="66"/>
      <c r="B47" s="238"/>
      <c r="C47" s="236">
        <v>2000</v>
      </c>
      <c r="D47" s="238" t="s">
        <v>669</v>
      </c>
      <c r="E47" s="236">
        <v>120306</v>
      </c>
      <c r="F47" s="6">
        <v>42284</v>
      </c>
      <c r="G47" s="39" t="s">
        <v>667</v>
      </c>
      <c r="H47" s="38">
        <v>0.753</v>
      </c>
      <c r="I47" s="20">
        <v>46</v>
      </c>
      <c r="J47" s="38"/>
      <c r="K47" s="38"/>
    </row>
    <row r="48" spans="1:11" ht="15.75" thickBot="1">
      <c r="A48" s="66"/>
      <c r="B48" s="238"/>
      <c r="C48" s="236">
        <v>2001</v>
      </c>
      <c r="D48" s="238" t="s">
        <v>669</v>
      </c>
      <c r="E48" s="236">
        <v>120307</v>
      </c>
      <c r="F48" s="6">
        <v>42284</v>
      </c>
      <c r="G48" s="39" t="s">
        <v>667</v>
      </c>
      <c r="H48" s="38">
        <v>0.753</v>
      </c>
      <c r="I48" s="20">
        <v>46</v>
      </c>
      <c r="J48" s="38"/>
      <c r="K48" s="38"/>
    </row>
    <row r="49" spans="1:11" ht="15.75" thickBot="1">
      <c r="A49" s="66"/>
      <c r="B49" s="238"/>
      <c r="C49" s="236">
        <v>2078</v>
      </c>
      <c r="D49" s="238" t="s">
        <v>666</v>
      </c>
      <c r="E49" s="236">
        <v>1220359</v>
      </c>
      <c r="F49" s="6">
        <v>41919</v>
      </c>
      <c r="G49" s="39" t="s">
        <v>667</v>
      </c>
      <c r="H49" s="38">
        <v>0.753</v>
      </c>
      <c r="I49" s="20">
        <v>46</v>
      </c>
      <c r="J49" s="38"/>
      <c r="K49" s="38"/>
    </row>
    <row r="50" spans="1:11" ht="15.75" thickBot="1">
      <c r="A50" s="66"/>
      <c r="B50" s="238"/>
      <c r="C50" s="236">
        <v>2085</v>
      </c>
      <c r="D50" s="238" t="s">
        <v>710</v>
      </c>
      <c r="E50" s="236">
        <v>179498</v>
      </c>
      <c r="F50" s="6">
        <v>42304</v>
      </c>
      <c r="G50" s="39" t="s">
        <v>667</v>
      </c>
      <c r="H50" s="38">
        <v>0.753</v>
      </c>
      <c r="I50" s="20">
        <v>46</v>
      </c>
      <c r="J50" s="38"/>
      <c r="K50" s="38"/>
    </row>
    <row r="51" spans="1:11" ht="15.75" thickBot="1">
      <c r="A51" s="66"/>
      <c r="B51" s="238" t="s">
        <v>639</v>
      </c>
      <c r="C51" s="236">
        <v>2104</v>
      </c>
      <c r="D51" s="238" t="s">
        <v>711</v>
      </c>
      <c r="E51" s="236">
        <v>156504</v>
      </c>
      <c r="F51" s="6">
        <v>41711</v>
      </c>
      <c r="G51" s="39" t="s">
        <v>667</v>
      </c>
      <c r="H51" s="38">
        <v>0.753</v>
      </c>
      <c r="I51" s="20">
        <v>46</v>
      </c>
      <c r="J51" s="38"/>
      <c r="K51" s="38"/>
    </row>
    <row r="52" spans="1:11" ht="15.75" thickBot="1">
      <c r="A52" s="66"/>
      <c r="B52" s="238"/>
      <c r="C52" s="236">
        <v>2104</v>
      </c>
      <c r="D52" s="238" t="s">
        <v>666</v>
      </c>
      <c r="E52" s="236">
        <v>38822</v>
      </c>
      <c r="F52" s="6">
        <v>41712</v>
      </c>
      <c r="G52" s="39" t="s">
        <v>667</v>
      </c>
      <c r="H52" s="38">
        <v>0.753</v>
      </c>
      <c r="I52" s="20">
        <v>46</v>
      </c>
      <c r="J52" s="38"/>
      <c r="K52" s="38"/>
    </row>
    <row r="53" spans="1:11" ht="15.75" thickBot="1">
      <c r="A53" s="66"/>
      <c r="B53" s="238"/>
      <c r="C53" s="236">
        <v>5090</v>
      </c>
      <c r="D53" s="238" t="s">
        <v>712</v>
      </c>
      <c r="E53" s="236">
        <v>1647178</v>
      </c>
      <c r="F53" s="6">
        <v>41507</v>
      </c>
      <c r="G53" s="39" t="s">
        <v>667</v>
      </c>
      <c r="H53" s="38">
        <v>0.753</v>
      </c>
      <c r="I53" s="20">
        <v>46</v>
      </c>
      <c r="J53" s="38"/>
      <c r="K53" s="38"/>
    </row>
    <row r="54" spans="1:11" ht="25.5" customHeight="1" thickBot="1">
      <c r="A54" s="311" t="s">
        <v>713</v>
      </c>
      <c r="B54" s="312"/>
      <c r="C54" s="312"/>
      <c r="D54" s="312"/>
      <c r="E54" s="312"/>
      <c r="F54" s="313"/>
      <c r="G54" s="38"/>
      <c r="H54" s="38"/>
      <c r="I54" s="38"/>
      <c r="J54" s="38"/>
      <c r="K54" s="38"/>
    </row>
    <row r="55" spans="1:11" ht="15.75" thickBot="1">
      <c r="A55" s="66"/>
      <c r="B55" s="238" t="s">
        <v>386</v>
      </c>
      <c r="C55" s="236">
        <v>25</v>
      </c>
      <c r="D55" s="238" t="s">
        <v>707</v>
      </c>
      <c r="E55" s="236">
        <v>446902</v>
      </c>
      <c r="F55" s="6">
        <v>42290</v>
      </c>
      <c r="G55" s="39" t="s">
        <v>667</v>
      </c>
      <c r="H55" s="38">
        <v>0.753</v>
      </c>
      <c r="I55" s="20">
        <v>46</v>
      </c>
      <c r="J55" s="38"/>
      <c r="K55" s="38"/>
    </row>
    <row r="56" spans="1:11" ht="15.75" thickBot="1">
      <c r="A56" s="66"/>
      <c r="B56" s="238"/>
      <c r="C56" s="236">
        <v>38</v>
      </c>
      <c r="D56" s="238" t="s">
        <v>673</v>
      </c>
      <c r="E56" s="236">
        <v>841618</v>
      </c>
      <c r="F56" s="6">
        <v>41655</v>
      </c>
      <c r="G56" s="39" t="s">
        <v>667</v>
      </c>
      <c r="H56" s="38">
        <v>0.753</v>
      </c>
      <c r="I56" s="20">
        <v>46</v>
      </c>
      <c r="J56" s="38"/>
      <c r="K56" s="38"/>
    </row>
    <row r="57" spans="1:11" ht="15.75" thickBot="1">
      <c r="A57" s="66"/>
      <c r="B57" s="238" t="s">
        <v>714</v>
      </c>
      <c r="C57" s="236">
        <v>234</v>
      </c>
      <c r="D57" s="238" t="s">
        <v>703</v>
      </c>
      <c r="E57" s="236">
        <v>372124</v>
      </c>
      <c r="F57" s="6">
        <v>42290</v>
      </c>
      <c r="G57" s="39" t="s">
        <v>667</v>
      </c>
      <c r="H57" s="38">
        <v>0.753</v>
      </c>
      <c r="I57" s="20">
        <v>46</v>
      </c>
      <c r="J57" s="38"/>
      <c r="K57" s="38"/>
    </row>
    <row r="58" spans="1:11" ht="15.75" thickBot="1">
      <c r="A58" s="311" t="s">
        <v>661</v>
      </c>
      <c r="B58" s="312"/>
      <c r="C58" s="312"/>
      <c r="D58" s="312"/>
      <c r="E58" s="312"/>
      <c r="F58" s="313"/>
      <c r="G58" s="38"/>
      <c r="H58" s="38"/>
      <c r="I58" s="38"/>
      <c r="J58" s="38"/>
      <c r="K58" s="38"/>
    </row>
    <row r="59" spans="1:11" ht="15.75" thickBot="1">
      <c r="A59" s="66"/>
      <c r="B59" s="238" t="s">
        <v>715</v>
      </c>
      <c r="C59" s="236">
        <v>1488</v>
      </c>
      <c r="D59" s="238" t="s">
        <v>666</v>
      </c>
      <c r="E59" s="236">
        <v>143581</v>
      </c>
      <c r="F59" s="6">
        <v>42522</v>
      </c>
      <c r="G59" s="39" t="s">
        <v>667</v>
      </c>
      <c r="H59" s="38">
        <v>0.753</v>
      </c>
      <c r="I59" s="20">
        <v>46</v>
      </c>
      <c r="J59" s="38"/>
      <c r="K59" s="38"/>
    </row>
    <row r="60" spans="1:11" ht="15.75" thickBot="1">
      <c r="A60" s="66"/>
      <c r="B60" s="238" t="s">
        <v>715</v>
      </c>
      <c r="C60" s="236">
        <v>1488</v>
      </c>
      <c r="D60" s="238" t="s">
        <v>666</v>
      </c>
      <c r="E60" s="236">
        <v>983471</v>
      </c>
      <c r="F60" s="6">
        <v>41061</v>
      </c>
      <c r="G60" s="39" t="s">
        <v>667</v>
      </c>
      <c r="H60" s="38">
        <v>0.753</v>
      </c>
      <c r="I60" s="20">
        <v>46</v>
      </c>
      <c r="J60" s="38"/>
      <c r="K60" s="38"/>
    </row>
    <row r="61" spans="1:11" ht="15.75" thickBot="1">
      <c r="A61" s="66"/>
      <c r="B61" s="238" t="s">
        <v>715</v>
      </c>
      <c r="C61" s="236">
        <v>1488</v>
      </c>
      <c r="D61" s="238" t="s">
        <v>687</v>
      </c>
      <c r="E61" s="236">
        <v>244382</v>
      </c>
      <c r="F61" s="6">
        <v>41061</v>
      </c>
      <c r="G61" s="39" t="s">
        <v>667</v>
      </c>
      <c r="H61" s="38">
        <v>0.753</v>
      </c>
      <c r="I61" s="20">
        <v>46</v>
      </c>
      <c r="J61" s="38"/>
      <c r="K61" s="38"/>
    </row>
    <row r="62" spans="1:11" ht="15.75" thickBot="1">
      <c r="A62" s="66"/>
      <c r="B62" s="238" t="s">
        <v>716</v>
      </c>
      <c r="C62" s="236">
        <v>1488</v>
      </c>
      <c r="D62" s="238" t="s">
        <v>717</v>
      </c>
      <c r="E62" s="236">
        <v>421776</v>
      </c>
      <c r="F62" s="6">
        <v>41711</v>
      </c>
      <c r="G62" s="39" t="s">
        <v>667</v>
      </c>
      <c r="H62" s="38">
        <v>0.753</v>
      </c>
      <c r="I62" s="20">
        <v>46</v>
      </c>
      <c r="J62" s="38"/>
      <c r="K62" s="38"/>
    </row>
    <row r="63" spans="1:11">
      <c r="A63" s="38"/>
      <c r="B63" s="38"/>
      <c r="C63" s="38"/>
      <c r="D63" s="38"/>
      <c r="E63" s="38"/>
      <c r="F63" s="38"/>
      <c r="G63" s="38"/>
      <c r="H63" s="38"/>
      <c r="I63" s="38"/>
      <c r="J63" s="38"/>
      <c r="K63" s="38"/>
    </row>
  </sheetData>
  <mergeCells count="7">
    <mergeCell ref="A58:F58"/>
    <mergeCell ref="A1:F1"/>
    <mergeCell ref="A2:F2"/>
    <mergeCell ref="A3:F3"/>
    <mergeCell ref="A4:F4"/>
    <mergeCell ref="A6:F6"/>
    <mergeCell ref="A54:F5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M98"/>
  <sheetViews>
    <sheetView zoomScaleNormal="100" workbookViewId="0">
      <selection sqref="A1:XFD1048576"/>
    </sheetView>
  </sheetViews>
  <sheetFormatPr defaultColWidth="8.7109375" defaultRowHeight="15"/>
  <cols>
    <col min="1" max="8" width="20.7109375" style="70" customWidth="1"/>
    <col min="9" max="16384" width="8.7109375" style="70"/>
  </cols>
  <sheetData>
    <row r="1" spans="1:13">
      <c r="A1" s="329" t="s">
        <v>732</v>
      </c>
      <c r="B1" s="330"/>
      <c r="C1" s="330"/>
      <c r="D1" s="330"/>
      <c r="E1" s="331"/>
      <c r="F1" s="69"/>
      <c r="G1" s="69"/>
      <c r="H1" s="69"/>
      <c r="I1" s="69"/>
      <c r="J1" s="69"/>
      <c r="K1" s="69"/>
      <c r="L1" s="69"/>
      <c r="M1" s="69"/>
    </row>
    <row r="2" spans="1:13">
      <c r="A2" s="332" t="s">
        <v>733</v>
      </c>
      <c r="B2" s="333"/>
      <c r="C2" s="333"/>
      <c r="D2" s="333"/>
      <c r="E2" s="334"/>
      <c r="F2" s="69"/>
      <c r="G2" s="69"/>
      <c r="H2" s="69"/>
      <c r="I2" s="69"/>
      <c r="J2" s="69"/>
      <c r="K2" s="69"/>
      <c r="L2" s="69"/>
      <c r="M2" s="69"/>
    </row>
    <row r="3" spans="1:13" ht="15.75" thickBot="1">
      <c r="A3" s="335"/>
      <c r="B3" s="336"/>
      <c r="C3" s="336"/>
      <c r="D3" s="336"/>
      <c r="E3" s="337"/>
      <c r="F3" s="69"/>
      <c r="G3" s="69"/>
      <c r="H3" s="69"/>
      <c r="I3" s="69"/>
      <c r="J3" s="69"/>
      <c r="K3" s="69"/>
      <c r="L3" s="69"/>
      <c r="M3" s="69"/>
    </row>
    <row r="4" spans="1:13" ht="97.5" customHeight="1" thickBot="1">
      <c r="A4" s="338" t="s">
        <v>734</v>
      </c>
      <c r="B4" s="339"/>
      <c r="C4" s="339"/>
      <c r="D4" s="339"/>
      <c r="E4" s="340"/>
      <c r="F4" s="69"/>
      <c r="G4" s="69"/>
      <c r="H4" s="69"/>
      <c r="I4" s="69"/>
      <c r="J4" s="69"/>
      <c r="K4" s="69"/>
      <c r="L4" s="69"/>
      <c r="M4" s="69"/>
    </row>
    <row r="5" spans="1:13" ht="39" thickBot="1">
      <c r="A5" s="79" t="s">
        <v>538</v>
      </c>
      <c r="B5" s="80" t="s">
        <v>539</v>
      </c>
      <c r="C5" s="80" t="s">
        <v>540</v>
      </c>
      <c r="D5" s="81" t="s">
        <v>28</v>
      </c>
      <c r="E5" s="80" t="s">
        <v>550</v>
      </c>
      <c r="F5" s="150" t="s">
        <v>532</v>
      </c>
      <c r="G5" s="150" t="s">
        <v>663</v>
      </c>
      <c r="H5" s="151" t="s">
        <v>541</v>
      </c>
      <c r="I5" s="69"/>
      <c r="J5" s="69"/>
      <c r="K5" s="69"/>
      <c r="L5" s="69"/>
      <c r="M5" s="69"/>
    </row>
    <row r="6" spans="1:13" ht="15.75" thickBot="1">
      <c r="A6" s="341" t="s">
        <v>545</v>
      </c>
      <c r="B6" s="342"/>
      <c r="C6" s="342"/>
      <c r="D6" s="342"/>
      <c r="E6" s="343"/>
      <c r="F6" s="69"/>
      <c r="G6" s="69"/>
      <c r="H6" s="69"/>
      <c r="I6" s="69"/>
      <c r="J6" s="69"/>
      <c r="K6" s="69"/>
      <c r="L6" s="69"/>
      <c r="M6" s="69"/>
    </row>
    <row r="7" spans="1:13" ht="39" thickBot="1">
      <c r="A7" s="237"/>
      <c r="B7" s="71"/>
      <c r="C7" s="240">
        <v>243</v>
      </c>
      <c r="D7" s="71" t="s">
        <v>735</v>
      </c>
      <c r="E7" s="72">
        <v>42130</v>
      </c>
      <c r="F7" s="82" t="s">
        <v>756</v>
      </c>
      <c r="G7" s="239">
        <v>0.60399999999999998</v>
      </c>
      <c r="H7" s="239">
        <v>6.55</v>
      </c>
      <c r="I7" s="69"/>
      <c r="J7" s="69"/>
      <c r="K7" s="69"/>
      <c r="L7" s="69"/>
      <c r="M7" s="69"/>
    </row>
    <row r="8" spans="1:13" ht="39" thickBot="1">
      <c r="A8" s="237"/>
      <c r="B8" s="71"/>
      <c r="C8" s="240">
        <v>414</v>
      </c>
      <c r="D8" s="71" t="s">
        <v>736</v>
      </c>
      <c r="E8" s="83">
        <v>42430</v>
      </c>
      <c r="F8" s="84" t="s">
        <v>757</v>
      </c>
      <c r="G8" s="239">
        <v>0.77300000000000002</v>
      </c>
      <c r="H8" s="239">
        <v>51.8</v>
      </c>
      <c r="I8" s="69"/>
      <c r="J8" s="69"/>
      <c r="K8" s="69"/>
      <c r="L8" s="69"/>
      <c r="M8" s="69"/>
    </row>
    <row r="9" spans="1:13" ht="39" thickBot="1">
      <c r="A9" s="237"/>
      <c r="B9" s="71"/>
      <c r="C9" s="240">
        <v>414</v>
      </c>
      <c r="D9" s="71" t="s">
        <v>737</v>
      </c>
      <c r="E9" s="83">
        <v>42430</v>
      </c>
      <c r="F9" s="84" t="s">
        <v>757</v>
      </c>
      <c r="G9" s="239">
        <v>0.77300000000000002</v>
      </c>
      <c r="H9" s="239">
        <v>51.8</v>
      </c>
      <c r="I9" s="69"/>
      <c r="J9" s="69"/>
      <c r="K9" s="69"/>
      <c r="L9" s="69"/>
      <c r="M9" s="69"/>
    </row>
    <row r="10" spans="1:13" ht="39" thickBot="1">
      <c r="A10" s="237"/>
      <c r="B10" s="71"/>
      <c r="C10" s="240">
        <v>414</v>
      </c>
      <c r="D10" s="71" t="s">
        <v>738</v>
      </c>
      <c r="E10" s="83">
        <v>42430</v>
      </c>
      <c r="F10" s="84" t="s">
        <v>757</v>
      </c>
      <c r="G10" s="239">
        <v>0.77300000000000002</v>
      </c>
      <c r="H10" s="239">
        <v>51.8</v>
      </c>
      <c r="I10" s="69"/>
      <c r="J10" s="69"/>
      <c r="K10" s="69"/>
      <c r="L10" s="69"/>
      <c r="M10" s="69"/>
    </row>
    <row r="11" spans="1:13" ht="26.25" thickBot="1">
      <c r="A11" s="237"/>
      <c r="B11" s="71"/>
      <c r="C11" s="240">
        <v>414</v>
      </c>
      <c r="D11" s="71" t="s">
        <v>739</v>
      </c>
      <c r="E11" s="83">
        <v>42430</v>
      </c>
      <c r="F11" s="84" t="s">
        <v>757</v>
      </c>
      <c r="G11" s="239">
        <v>0.77300000000000002</v>
      </c>
      <c r="H11" s="239">
        <v>51.8</v>
      </c>
      <c r="I11" s="69"/>
      <c r="J11" s="69"/>
      <c r="K11" s="69"/>
      <c r="L11" s="69"/>
      <c r="M11" s="69"/>
    </row>
    <row r="12" spans="1:13" ht="26.25" thickBot="1">
      <c r="A12" s="237"/>
      <c r="B12" s="71"/>
      <c r="C12" s="240">
        <v>414</v>
      </c>
      <c r="D12" s="71" t="s">
        <v>739</v>
      </c>
      <c r="E12" s="83">
        <v>42430</v>
      </c>
      <c r="F12" s="84" t="s">
        <v>757</v>
      </c>
      <c r="G12" s="239">
        <v>0.77300000000000002</v>
      </c>
      <c r="H12" s="239">
        <v>51.8</v>
      </c>
      <c r="I12" s="69"/>
      <c r="J12" s="69"/>
      <c r="K12" s="69"/>
      <c r="L12" s="69"/>
      <c r="M12" s="69"/>
    </row>
    <row r="13" spans="1:13" ht="26.25" thickBot="1">
      <c r="A13" s="237"/>
      <c r="B13" s="71"/>
      <c r="C13" s="240">
        <v>414</v>
      </c>
      <c r="D13" s="71" t="s">
        <v>739</v>
      </c>
      <c r="E13" s="83">
        <v>42430</v>
      </c>
      <c r="F13" s="84" t="s">
        <v>757</v>
      </c>
      <c r="G13" s="239">
        <v>0.77300000000000002</v>
      </c>
      <c r="H13" s="239">
        <v>51.8</v>
      </c>
      <c r="I13" s="69"/>
      <c r="J13" s="69"/>
      <c r="K13" s="69"/>
      <c r="L13" s="69"/>
      <c r="M13" s="69"/>
    </row>
    <row r="14" spans="1:13" ht="25.5">
      <c r="A14" s="346"/>
      <c r="B14" s="346"/>
      <c r="C14" s="348">
        <v>448</v>
      </c>
      <c r="D14" s="77" t="s">
        <v>740</v>
      </c>
      <c r="E14" s="350">
        <v>42430</v>
      </c>
      <c r="F14" s="344" t="s">
        <v>741</v>
      </c>
      <c r="G14" s="345">
        <v>1.853</v>
      </c>
      <c r="H14" s="345">
        <v>1525</v>
      </c>
      <c r="I14" s="69"/>
      <c r="J14" s="69"/>
      <c r="K14" s="69"/>
      <c r="L14" s="69"/>
      <c r="M14" s="69"/>
    </row>
    <row r="15" spans="1:13" ht="26.25" thickBot="1">
      <c r="A15" s="347"/>
      <c r="B15" s="347"/>
      <c r="C15" s="349"/>
      <c r="D15" s="71" t="s">
        <v>742</v>
      </c>
      <c r="E15" s="351"/>
      <c r="F15" s="344"/>
      <c r="G15" s="345"/>
      <c r="H15" s="345"/>
      <c r="I15" s="69"/>
      <c r="J15" s="69"/>
      <c r="K15" s="69"/>
      <c r="L15" s="69"/>
      <c r="M15" s="69"/>
    </row>
    <row r="16" spans="1:13" ht="25.5">
      <c r="A16" s="346"/>
      <c r="B16" s="346"/>
      <c r="C16" s="348">
        <v>1488</v>
      </c>
      <c r="D16" s="77" t="s">
        <v>743</v>
      </c>
      <c r="E16" s="350">
        <v>42491</v>
      </c>
      <c r="F16" s="344" t="s">
        <v>741</v>
      </c>
      <c r="G16" s="345">
        <v>1.853</v>
      </c>
      <c r="H16" s="345">
        <v>1525</v>
      </c>
      <c r="I16" s="69"/>
      <c r="J16" s="69"/>
      <c r="K16" s="69"/>
      <c r="L16" s="69"/>
      <c r="M16" s="69"/>
    </row>
    <row r="17" spans="1:13" ht="26.25" thickBot="1">
      <c r="A17" s="347"/>
      <c r="B17" s="347"/>
      <c r="C17" s="349"/>
      <c r="D17" s="71" t="s">
        <v>744</v>
      </c>
      <c r="E17" s="351"/>
      <c r="F17" s="344"/>
      <c r="G17" s="345"/>
      <c r="H17" s="345"/>
      <c r="I17" s="69"/>
      <c r="J17" s="69"/>
      <c r="K17" s="69"/>
      <c r="L17" s="69"/>
      <c r="M17" s="69"/>
    </row>
    <row r="18" spans="1:13" ht="25.5">
      <c r="A18" s="346"/>
      <c r="B18" s="346"/>
      <c r="C18" s="348">
        <v>1553</v>
      </c>
      <c r="D18" s="77" t="s">
        <v>745</v>
      </c>
      <c r="E18" s="350">
        <v>42491</v>
      </c>
      <c r="F18" s="344" t="s">
        <v>741</v>
      </c>
      <c r="G18" s="345">
        <v>1.853</v>
      </c>
      <c r="H18" s="345">
        <v>1525</v>
      </c>
      <c r="I18" s="69"/>
      <c r="J18" s="69"/>
      <c r="K18" s="69"/>
      <c r="L18" s="69"/>
      <c r="M18" s="69"/>
    </row>
    <row r="19" spans="1:13" ht="26.25" thickBot="1">
      <c r="A19" s="347"/>
      <c r="B19" s="347"/>
      <c r="C19" s="349"/>
      <c r="D19" s="71" t="s">
        <v>746</v>
      </c>
      <c r="E19" s="351"/>
      <c r="F19" s="344"/>
      <c r="G19" s="345"/>
      <c r="H19" s="345"/>
      <c r="I19" s="69"/>
      <c r="J19" s="69"/>
      <c r="K19" s="69"/>
      <c r="L19" s="69"/>
      <c r="M19" s="69"/>
    </row>
    <row r="20" spans="1:13" ht="25.5">
      <c r="A20" s="346"/>
      <c r="B20" s="346"/>
      <c r="C20" s="348">
        <v>1842</v>
      </c>
      <c r="D20" s="77" t="s">
        <v>747</v>
      </c>
      <c r="E20" s="350">
        <v>42491</v>
      </c>
      <c r="F20" s="344" t="s">
        <v>741</v>
      </c>
      <c r="G20" s="345">
        <v>1.853</v>
      </c>
      <c r="H20" s="345">
        <v>1525</v>
      </c>
      <c r="I20" s="69"/>
      <c r="J20" s="69"/>
      <c r="K20" s="69"/>
      <c r="L20" s="69"/>
      <c r="M20" s="69"/>
    </row>
    <row r="21" spans="1:13" ht="26.25" thickBot="1">
      <c r="A21" s="347"/>
      <c r="B21" s="347"/>
      <c r="C21" s="349"/>
      <c r="D21" s="71" t="s">
        <v>744</v>
      </c>
      <c r="E21" s="351"/>
      <c r="F21" s="344"/>
      <c r="G21" s="345"/>
      <c r="H21" s="345"/>
      <c r="I21" s="69"/>
      <c r="J21" s="69"/>
      <c r="K21" s="69"/>
      <c r="L21" s="69"/>
      <c r="M21" s="69"/>
    </row>
    <row r="22" spans="1:13" ht="26.25" thickBot="1">
      <c r="A22" s="237"/>
      <c r="B22" s="71"/>
      <c r="C22" s="240">
        <v>1900</v>
      </c>
      <c r="D22" s="71" t="s">
        <v>748</v>
      </c>
      <c r="E22" s="83">
        <v>42430</v>
      </c>
      <c r="F22" s="84" t="s">
        <v>758</v>
      </c>
      <c r="G22" s="84">
        <v>0.81599999999999995</v>
      </c>
      <c r="H22" s="85">
        <v>9.5</v>
      </c>
      <c r="I22" s="69"/>
      <c r="J22" s="69"/>
      <c r="K22" s="69"/>
      <c r="L22" s="69"/>
      <c r="M22" s="69"/>
    </row>
    <row r="23" spans="1:13" ht="39" thickBot="1">
      <c r="A23" s="237"/>
      <c r="B23" s="71"/>
      <c r="C23" s="240">
        <v>1965</v>
      </c>
      <c r="D23" s="71" t="s">
        <v>749</v>
      </c>
      <c r="E23" s="83">
        <v>42430</v>
      </c>
      <c r="F23" s="84" t="s">
        <v>757</v>
      </c>
      <c r="G23" s="239">
        <v>0.77300000000000002</v>
      </c>
      <c r="H23" s="152">
        <v>51.8</v>
      </c>
      <c r="I23" s="69"/>
      <c r="J23" s="69"/>
      <c r="K23" s="69"/>
      <c r="L23" s="69"/>
      <c r="M23" s="69"/>
    </row>
    <row r="24" spans="1:13" ht="39" thickBot="1">
      <c r="A24" s="237"/>
      <c r="B24" s="71"/>
      <c r="C24" s="240">
        <v>1965</v>
      </c>
      <c r="D24" s="71" t="s">
        <v>749</v>
      </c>
      <c r="E24" s="83">
        <v>42430</v>
      </c>
      <c r="F24" s="84" t="s">
        <v>757</v>
      </c>
      <c r="G24" s="239">
        <v>0.77300000000000002</v>
      </c>
      <c r="H24" s="152">
        <v>51.8</v>
      </c>
      <c r="I24" s="69"/>
      <c r="J24" s="69"/>
      <c r="K24" s="69"/>
      <c r="L24" s="69"/>
      <c r="M24" s="69"/>
    </row>
    <row r="25" spans="1:13" ht="39" thickBot="1">
      <c r="A25" s="237"/>
      <c r="B25" s="71"/>
      <c r="C25" s="240">
        <v>1965</v>
      </c>
      <c r="D25" s="71" t="s">
        <v>749</v>
      </c>
      <c r="E25" s="83">
        <v>42430</v>
      </c>
      <c r="F25" s="84" t="s">
        <v>757</v>
      </c>
      <c r="G25" s="239">
        <v>0.77300000000000002</v>
      </c>
      <c r="H25" s="152">
        <v>51.8</v>
      </c>
      <c r="I25" s="69"/>
      <c r="J25" s="69"/>
      <c r="K25" s="69"/>
      <c r="L25" s="69"/>
      <c r="M25" s="69"/>
    </row>
    <row r="26" spans="1:13" ht="39" thickBot="1">
      <c r="A26" s="237"/>
      <c r="B26" s="71"/>
      <c r="C26" s="240">
        <v>1965</v>
      </c>
      <c r="D26" s="71" t="s">
        <v>749</v>
      </c>
      <c r="E26" s="83">
        <v>42430</v>
      </c>
      <c r="F26" s="84" t="s">
        <v>757</v>
      </c>
      <c r="G26" s="239">
        <v>0.77300000000000002</v>
      </c>
      <c r="H26" s="152">
        <v>51.8</v>
      </c>
      <c r="I26" s="69"/>
      <c r="J26" s="69"/>
      <c r="K26" s="69"/>
      <c r="L26" s="69"/>
      <c r="M26" s="69"/>
    </row>
    <row r="27" spans="1:13" ht="39" thickBot="1">
      <c r="A27" s="237"/>
      <c r="B27" s="71"/>
      <c r="C27" s="240">
        <v>1965</v>
      </c>
      <c r="D27" s="71" t="s">
        <v>749</v>
      </c>
      <c r="E27" s="83">
        <v>42430</v>
      </c>
      <c r="F27" s="84" t="s">
        <v>757</v>
      </c>
      <c r="G27" s="239">
        <v>0.77300000000000002</v>
      </c>
      <c r="H27" s="152">
        <v>51.8</v>
      </c>
      <c r="I27" s="69"/>
      <c r="J27" s="69"/>
      <c r="K27" s="69"/>
      <c r="L27" s="69"/>
      <c r="M27" s="69"/>
    </row>
    <row r="28" spans="1:13" ht="39" thickBot="1">
      <c r="A28" s="237"/>
      <c r="B28" s="71"/>
      <c r="C28" s="240">
        <v>1965</v>
      </c>
      <c r="D28" s="71" t="s">
        <v>749</v>
      </c>
      <c r="E28" s="83">
        <v>42430</v>
      </c>
      <c r="F28" s="84" t="s">
        <v>757</v>
      </c>
      <c r="G28" s="239">
        <v>0.77300000000000002</v>
      </c>
      <c r="H28" s="152">
        <v>51.8</v>
      </c>
      <c r="I28" s="69"/>
      <c r="J28" s="69"/>
      <c r="K28" s="69"/>
      <c r="L28" s="69"/>
      <c r="M28" s="69"/>
    </row>
    <row r="29" spans="1:13" ht="39" thickBot="1">
      <c r="A29" s="237"/>
      <c r="B29" s="71"/>
      <c r="C29" s="240">
        <v>1965</v>
      </c>
      <c r="D29" s="71" t="s">
        <v>750</v>
      </c>
      <c r="E29" s="83">
        <v>42430</v>
      </c>
      <c r="F29" s="84" t="s">
        <v>757</v>
      </c>
      <c r="G29" s="239">
        <v>0.77300000000000002</v>
      </c>
      <c r="H29" s="152">
        <v>51.8</v>
      </c>
      <c r="I29" s="69"/>
      <c r="J29" s="69"/>
      <c r="K29" s="69"/>
      <c r="L29" s="69"/>
      <c r="M29" s="69"/>
    </row>
    <row r="30" spans="1:13" ht="39" thickBot="1">
      <c r="A30" s="237"/>
      <c r="B30" s="71"/>
      <c r="C30" s="240">
        <v>1965</v>
      </c>
      <c r="D30" s="71" t="s">
        <v>750</v>
      </c>
      <c r="E30" s="83">
        <v>42430</v>
      </c>
      <c r="F30" s="84" t="s">
        <v>757</v>
      </c>
      <c r="G30" s="239">
        <v>0.77300000000000002</v>
      </c>
      <c r="H30" s="152">
        <v>51.8</v>
      </c>
      <c r="I30" s="69"/>
      <c r="J30" s="69"/>
      <c r="K30" s="69"/>
      <c r="L30" s="69"/>
      <c r="M30" s="69"/>
    </row>
    <row r="31" spans="1:13" ht="25.5">
      <c r="A31" s="346"/>
      <c r="B31" s="346"/>
      <c r="C31" s="348">
        <v>2078</v>
      </c>
      <c r="D31" s="77" t="s">
        <v>751</v>
      </c>
      <c r="E31" s="350">
        <v>42491</v>
      </c>
      <c r="F31" s="344" t="s">
        <v>741</v>
      </c>
      <c r="G31" s="345">
        <v>1.853</v>
      </c>
      <c r="H31" s="345">
        <v>1525</v>
      </c>
      <c r="I31" s="69"/>
      <c r="J31" s="69"/>
      <c r="K31" s="69"/>
      <c r="L31" s="69"/>
      <c r="M31" s="69"/>
    </row>
    <row r="32" spans="1:13" ht="26.25" thickBot="1">
      <c r="A32" s="347"/>
      <c r="B32" s="347"/>
      <c r="C32" s="349"/>
      <c r="D32" s="71" t="s">
        <v>742</v>
      </c>
      <c r="E32" s="351"/>
      <c r="F32" s="344"/>
      <c r="G32" s="345"/>
      <c r="H32" s="345"/>
      <c r="I32" s="69"/>
      <c r="J32" s="69"/>
      <c r="K32" s="69"/>
      <c r="L32" s="69"/>
      <c r="M32" s="69"/>
    </row>
    <row r="33" spans="1:13" ht="39" thickBot="1">
      <c r="A33" s="237"/>
      <c r="B33" s="71"/>
      <c r="C33" s="240">
        <v>2104</v>
      </c>
      <c r="D33" s="71" t="s">
        <v>752</v>
      </c>
      <c r="E33" s="83">
        <v>42461</v>
      </c>
      <c r="F33" s="344" t="s">
        <v>741</v>
      </c>
      <c r="G33" s="345">
        <v>1.853</v>
      </c>
      <c r="H33" s="345">
        <v>1525</v>
      </c>
      <c r="I33" s="69"/>
      <c r="J33" s="69"/>
      <c r="K33" s="69"/>
      <c r="L33" s="69"/>
      <c r="M33" s="69"/>
    </row>
    <row r="34" spans="1:13" ht="39" thickBot="1">
      <c r="A34" s="237"/>
      <c r="B34" s="71"/>
      <c r="C34" s="240">
        <v>2104</v>
      </c>
      <c r="D34" s="71" t="s">
        <v>752</v>
      </c>
      <c r="E34" s="83">
        <v>42461</v>
      </c>
      <c r="F34" s="344"/>
      <c r="G34" s="345"/>
      <c r="H34" s="345"/>
      <c r="I34" s="69"/>
      <c r="J34" s="69"/>
      <c r="K34" s="69"/>
      <c r="L34" s="69"/>
      <c r="M34" s="69"/>
    </row>
    <row r="35" spans="1:13" ht="25.5">
      <c r="A35" s="346"/>
      <c r="B35" s="346"/>
      <c r="C35" s="348">
        <v>2105</v>
      </c>
      <c r="D35" s="77" t="s">
        <v>753</v>
      </c>
      <c r="E35" s="350">
        <v>42491</v>
      </c>
      <c r="F35" s="344" t="s">
        <v>741</v>
      </c>
      <c r="G35" s="345">
        <v>1.853</v>
      </c>
      <c r="H35" s="345">
        <v>1525</v>
      </c>
      <c r="I35" s="69"/>
      <c r="J35" s="69"/>
      <c r="K35" s="69"/>
      <c r="L35" s="69"/>
      <c r="M35" s="69"/>
    </row>
    <row r="36" spans="1:13" ht="26.25" thickBot="1">
      <c r="A36" s="347"/>
      <c r="B36" s="347"/>
      <c r="C36" s="349"/>
      <c r="D36" s="71" t="s">
        <v>742</v>
      </c>
      <c r="E36" s="351"/>
      <c r="F36" s="344"/>
      <c r="G36" s="345"/>
      <c r="H36" s="345"/>
      <c r="I36" s="69"/>
      <c r="J36" s="69"/>
      <c r="K36" s="69"/>
      <c r="L36" s="69"/>
      <c r="M36" s="69"/>
    </row>
    <row r="37" spans="1:13" ht="25.5">
      <c r="A37" s="346"/>
      <c r="B37" s="346"/>
      <c r="C37" s="348">
        <v>2215</v>
      </c>
      <c r="D37" s="77" t="s">
        <v>754</v>
      </c>
      <c r="E37" s="350">
        <v>42491</v>
      </c>
      <c r="F37" s="344" t="s">
        <v>741</v>
      </c>
      <c r="G37" s="345">
        <v>1.853</v>
      </c>
      <c r="H37" s="345">
        <v>1525</v>
      </c>
      <c r="I37" s="69"/>
      <c r="J37" s="69"/>
      <c r="K37" s="69"/>
      <c r="L37" s="69"/>
      <c r="M37" s="69"/>
    </row>
    <row r="38" spans="1:13" ht="26.25" thickBot="1">
      <c r="A38" s="347"/>
      <c r="B38" s="347"/>
      <c r="C38" s="349"/>
      <c r="D38" s="71" t="s">
        <v>744</v>
      </c>
      <c r="E38" s="351"/>
      <c r="F38" s="344"/>
      <c r="G38" s="345"/>
      <c r="H38" s="345"/>
      <c r="I38" s="69"/>
      <c r="J38" s="69"/>
      <c r="K38" s="69"/>
      <c r="L38" s="69"/>
      <c r="M38" s="69"/>
    </row>
    <row r="39" spans="1:13" ht="25.5">
      <c r="A39" s="346"/>
      <c r="B39" s="346"/>
      <c r="C39" s="348">
        <v>2234</v>
      </c>
      <c r="D39" s="77" t="s">
        <v>755</v>
      </c>
      <c r="E39" s="350">
        <v>42491</v>
      </c>
      <c r="F39" s="344" t="s">
        <v>741</v>
      </c>
      <c r="G39" s="345">
        <v>1.853</v>
      </c>
      <c r="H39" s="345">
        <v>1525</v>
      </c>
      <c r="I39" s="69"/>
      <c r="J39" s="69"/>
      <c r="K39" s="69"/>
      <c r="L39" s="69"/>
      <c r="M39" s="69"/>
    </row>
    <row r="40" spans="1:13" ht="26.25" thickBot="1">
      <c r="A40" s="347"/>
      <c r="B40" s="347"/>
      <c r="C40" s="349"/>
      <c r="D40" s="71" t="s">
        <v>742</v>
      </c>
      <c r="E40" s="351"/>
      <c r="F40" s="344"/>
      <c r="G40" s="345"/>
      <c r="H40" s="345"/>
      <c r="I40" s="69"/>
      <c r="J40" s="69"/>
      <c r="K40" s="69"/>
      <c r="L40" s="69"/>
      <c r="M40" s="69"/>
    </row>
    <row r="41" spans="1:13">
      <c r="A41" s="69"/>
      <c r="B41" s="69"/>
      <c r="C41" s="69"/>
      <c r="D41" s="69"/>
      <c r="E41" s="69"/>
      <c r="F41" s="69"/>
      <c r="G41" s="69"/>
      <c r="H41" s="69"/>
      <c r="I41" s="69"/>
      <c r="J41" s="69"/>
      <c r="K41" s="69"/>
      <c r="L41" s="69"/>
      <c r="M41" s="69"/>
    </row>
    <row r="42" spans="1:13">
      <c r="A42" s="69"/>
      <c r="B42" s="69"/>
      <c r="C42" s="69"/>
      <c r="D42" s="69"/>
      <c r="E42" s="69"/>
      <c r="F42" s="69"/>
      <c r="G42" s="69"/>
      <c r="H42" s="69"/>
      <c r="I42" s="69"/>
      <c r="J42" s="69"/>
      <c r="K42" s="69"/>
      <c r="L42" s="69"/>
      <c r="M42" s="69"/>
    </row>
    <row r="43" spans="1:13">
      <c r="A43" s="69"/>
      <c r="B43" s="69"/>
      <c r="C43" s="69"/>
      <c r="D43" s="69"/>
      <c r="E43" s="69"/>
      <c r="F43" s="69"/>
      <c r="G43" s="69"/>
      <c r="H43" s="69"/>
      <c r="I43" s="69"/>
      <c r="J43" s="69"/>
      <c r="K43" s="69"/>
      <c r="L43" s="69"/>
      <c r="M43" s="69"/>
    </row>
    <row r="44" spans="1:13">
      <c r="A44" s="69"/>
      <c r="B44" s="69"/>
      <c r="C44" s="69"/>
      <c r="D44" s="69"/>
      <c r="E44" s="69"/>
      <c r="F44" s="69"/>
      <c r="G44" s="69"/>
      <c r="H44" s="69"/>
      <c r="I44" s="69"/>
      <c r="J44" s="69"/>
      <c r="K44" s="69"/>
      <c r="L44" s="69"/>
      <c r="M44" s="69"/>
    </row>
    <row r="45" spans="1:13">
      <c r="A45" s="69"/>
      <c r="B45" s="69"/>
      <c r="C45" s="69"/>
      <c r="D45" s="69"/>
      <c r="E45" s="69"/>
      <c r="F45" s="69"/>
      <c r="G45" s="69"/>
      <c r="H45" s="69"/>
      <c r="I45" s="69"/>
      <c r="J45" s="69"/>
      <c r="K45" s="69"/>
      <c r="L45" s="69"/>
      <c r="M45" s="69"/>
    </row>
    <row r="46" spans="1:13">
      <c r="A46" s="69"/>
      <c r="B46" s="69"/>
      <c r="C46" s="69"/>
      <c r="D46" s="69"/>
      <c r="E46" s="69"/>
      <c r="F46" s="69"/>
      <c r="G46" s="69"/>
      <c r="H46" s="69"/>
      <c r="I46" s="69"/>
      <c r="J46" s="69"/>
      <c r="K46" s="69"/>
      <c r="L46" s="69"/>
      <c r="M46" s="69"/>
    </row>
    <row r="47" spans="1:13">
      <c r="A47" s="69"/>
      <c r="B47" s="69"/>
      <c r="C47" s="69"/>
      <c r="D47" s="69"/>
      <c r="E47" s="69"/>
      <c r="F47" s="69"/>
      <c r="G47" s="69"/>
      <c r="H47" s="69"/>
      <c r="I47" s="69"/>
      <c r="J47" s="69"/>
      <c r="K47" s="69"/>
      <c r="L47" s="69"/>
      <c r="M47" s="69"/>
    </row>
    <row r="48" spans="1:13">
      <c r="A48" s="69"/>
      <c r="B48" s="69"/>
      <c r="C48" s="69"/>
      <c r="D48" s="69"/>
      <c r="E48" s="69"/>
      <c r="F48" s="69"/>
      <c r="G48" s="69"/>
      <c r="H48" s="69"/>
      <c r="I48" s="69"/>
      <c r="J48" s="69"/>
      <c r="K48" s="69"/>
      <c r="L48" s="69"/>
      <c r="M48" s="69"/>
    </row>
    <row r="49" spans="1:13">
      <c r="A49" s="69"/>
      <c r="B49" s="69"/>
      <c r="C49" s="69"/>
      <c r="D49" s="69"/>
      <c r="E49" s="69"/>
      <c r="F49" s="69"/>
      <c r="G49" s="69"/>
      <c r="H49" s="69"/>
      <c r="I49" s="69"/>
      <c r="J49" s="69"/>
      <c r="K49" s="69"/>
      <c r="L49" s="69"/>
      <c r="M49" s="69"/>
    </row>
    <row r="50" spans="1:13">
      <c r="A50" s="69"/>
      <c r="B50" s="69"/>
      <c r="C50" s="69"/>
      <c r="D50" s="69"/>
      <c r="E50" s="69"/>
      <c r="F50" s="69"/>
      <c r="G50" s="69"/>
      <c r="H50" s="69"/>
      <c r="I50" s="69"/>
      <c r="J50" s="69"/>
      <c r="K50" s="69"/>
      <c r="L50" s="69"/>
      <c r="M50" s="69"/>
    </row>
    <row r="51" spans="1:13">
      <c r="A51" s="69"/>
      <c r="B51" s="69"/>
      <c r="C51" s="69"/>
      <c r="D51" s="69"/>
      <c r="E51" s="69"/>
      <c r="F51" s="69"/>
      <c r="G51" s="69"/>
      <c r="H51" s="69"/>
      <c r="I51" s="69"/>
      <c r="J51" s="69"/>
      <c r="K51" s="69"/>
      <c r="L51" s="69"/>
      <c r="M51" s="69"/>
    </row>
    <row r="52" spans="1:13">
      <c r="A52" s="69"/>
      <c r="B52" s="69"/>
      <c r="C52" s="69"/>
      <c r="D52" s="69"/>
      <c r="E52" s="69"/>
      <c r="F52" s="69"/>
      <c r="G52" s="69"/>
      <c r="H52" s="69"/>
      <c r="I52" s="69"/>
      <c r="J52" s="69"/>
      <c r="K52" s="69"/>
      <c r="L52" s="69"/>
      <c r="M52" s="69"/>
    </row>
    <row r="53" spans="1:13">
      <c r="A53" s="69"/>
      <c r="B53" s="69"/>
      <c r="C53" s="69"/>
      <c r="D53" s="69"/>
      <c r="E53" s="69"/>
      <c r="F53" s="69"/>
      <c r="G53" s="69"/>
      <c r="H53" s="69"/>
      <c r="I53" s="69"/>
      <c r="J53" s="69"/>
      <c r="K53" s="69"/>
      <c r="L53" s="69"/>
      <c r="M53" s="69"/>
    </row>
    <row r="54" spans="1:13">
      <c r="A54" s="69"/>
      <c r="B54" s="69"/>
      <c r="C54" s="69"/>
      <c r="D54" s="69"/>
      <c r="E54" s="69"/>
      <c r="F54" s="69"/>
      <c r="G54" s="69"/>
      <c r="H54" s="69"/>
      <c r="I54" s="69"/>
      <c r="J54" s="69"/>
      <c r="K54" s="69"/>
      <c r="L54" s="69"/>
      <c r="M54" s="69"/>
    </row>
    <row r="55" spans="1:13">
      <c r="A55" s="69"/>
      <c r="B55" s="69"/>
      <c r="C55" s="69"/>
      <c r="D55" s="69"/>
      <c r="E55" s="69"/>
      <c r="F55" s="69"/>
      <c r="G55" s="69"/>
      <c r="H55" s="69"/>
      <c r="I55" s="69"/>
      <c r="J55" s="69"/>
      <c r="K55" s="69"/>
      <c r="L55" s="69"/>
      <c r="M55" s="69"/>
    </row>
    <row r="56" spans="1:13">
      <c r="A56" s="69"/>
      <c r="B56" s="69"/>
      <c r="C56" s="69"/>
      <c r="D56" s="69"/>
      <c r="E56" s="69"/>
      <c r="F56" s="69"/>
      <c r="G56" s="69"/>
      <c r="H56" s="69"/>
      <c r="I56" s="69"/>
      <c r="J56" s="69"/>
      <c r="K56" s="69"/>
      <c r="L56" s="69"/>
      <c r="M56" s="69"/>
    </row>
    <row r="57" spans="1:13">
      <c r="A57" s="69"/>
      <c r="B57" s="69"/>
      <c r="C57" s="69"/>
      <c r="D57" s="69"/>
      <c r="E57" s="69"/>
      <c r="F57" s="69"/>
      <c r="G57" s="69"/>
      <c r="H57" s="69"/>
      <c r="I57" s="69"/>
      <c r="J57" s="69"/>
      <c r="K57" s="69"/>
      <c r="L57" s="69"/>
      <c r="M57" s="69"/>
    </row>
    <row r="58" spans="1:13">
      <c r="A58" s="69"/>
      <c r="B58" s="69"/>
      <c r="C58" s="69"/>
      <c r="D58" s="69"/>
      <c r="E58" s="69"/>
      <c r="F58" s="69"/>
      <c r="G58" s="69"/>
      <c r="H58" s="69"/>
      <c r="I58" s="69"/>
      <c r="J58" s="69"/>
      <c r="K58" s="69"/>
      <c r="L58" s="69"/>
      <c r="M58" s="69"/>
    </row>
    <row r="59" spans="1:13">
      <c r="A59" s="69"/>
      <c r="B59" s="69"/>
      <c r="C59" s="69"/>
      <c r="D59" s="69"/>
      <c r="E59" s="69"/>
      <c r="F59" s="69"/>
      <c r="G59" s="69"/>
      <c r="H59" s="69"/>
      <c r="I59" s="69"/>
      <c r="J59" s="69"/>
      <c r="K59" s="69"/>
      <c r="L59" s="69"/>
      <c r="M59" s="69"/>
    </row>
    <row r="60" spans="1:13">
      <c r="A60" s="69"/>
      <c r="B60" s="69"/>
      <c r="C60" s="69"/>
      <c r="D60" s="69"/>
      <c r="E60" s="69"/>
      <c r="F60" s="69"/>
      <c r="G60" s="69"/>
      <c r="H60" s="69"/>
      <c r="I60" s="69"/>
      <c r="J60" s="69"/>
      <c r="K60" s="69"/>
      <c r="L60" s="69"/>
      <c r="M60" s="69"/>
    </row>
    <row r="61" spans="1:13">
      <c r="A61" s="69"/>
      <c r="B61" s="69"/>
      <c r="C61" s="69"/>
      <c r="D61" s="69"/>
      <c r="E61" s="69"/>
      <c r="F61" s="69"/>
      <c r="G61" s="69"/>
      <c r="H61" s="69"/>
      <c r="I61" s="69"/>
      <c r="J61" s="69"/>
      <c r="K61" s="69"/>
      <c r="L61" s="69"/>
      <c r="M61" s="69"/>
    </row>
    <row r="62" spans="1:13">
      <c r="A62" s="69"/>
      <c r="B62" s="69"/>
      <c r="C62" s="69"/>
      <c r="D62" s="69"/>
      <c r="E62" s="69"/>
      <c r="F62" s="69"/>
      <c r="G62" s="69"/>
      <c r="H62" s="69"/>
      <c r="I62" s="69"/>
      <c r="J62" s="69"/>
      <c r="K62" s="69"/>
      <c r="L62" s="69"/>
      <c r="M62" s="69"/>
    </row>
    <row r="63" spans="1:13">
      <c r="A63" s="69"/>
      <c r="B63" s="69"/>
      <c r="C63" s="69"/>
      <c r="D63" s="69"/>
      <c r="E63" s="69"/>
      <c r="F63" s="69"/>
      <c r="G63" s="69"/>
      <c r="H63" s="69"/>
      <c r="I63" s="69"/>
      <c r="J63" s="69"/>
      <c r="K63" s="69"/>
      <c r="L63" s="69"/>
      <c r="M63" s="69"/>
    </row>
    <row r="64" spans="1:13">
      <c r="A64" s="69"/>
      <c r="B64" s="69"/>
      <c r="C64" s="69"/>
      <c r="D64" s="69"/>
      <c r="E64" s="69"/>
      <c r="F64" s="69"/>
      <c r="G64" s="69"/>
      <c r="H64" s="69"/>
      <c r="I64" s="69"/>
      <c r="J64" s="69"/>
      <c r="K64" s="69"/>
      <c r="L64" s="69"/>
      <c r="M64" s="69"/>
    </row>
    <row r="65" spans="1:13">
      <c r="A65" s="69"/>
      <c r="B65" s="69"/>
      <c r="C65" s="69"/>
      <c r="D65" s="69"/>
      <c r="E65" s="69"/>
      <c r="F65" s="69"/>
      <c r="G65" s="69"/>
      <c r="H65" s="69"/>
      <c r="I65" s="69"/>
      <c r="J65" s="69"/>
      <c r="K65" s="69"/>
      <c r="L65" s="69"/>
      <c r="M65" s="69"/>
    </row>
    <row r="66" spans="1:13">
      <c r="A66" s="69"/>
      <c r="B66" s="69"/>
      <c r="C66" s="69"/>
      <c r="D66" s="69"/>
      <c r="E66" s="69"/>
      <c r="F66" s="69"/>
      <c r="G66" s="69"/>
      <c r="H66" s="69"/>
      <c r="I66" s="69"/>
      <c r="J66" s="69"/>
      <c r="K66" s="69"/>
      <c r="L66" s="69"/>
      <c r="M66" s="69"/>
    </row>
    <row r="67" spans="1:13">
      <c r="A67" s="69"/>
      <c r="B67" s="69"/>
      <c r="C67" s="69"/>
      <c r="D67" s="69"/>
      <c r="E67" s="69"/>
      <c r="F67" s="69"/>
      <c r="G67" s="69"/>
      <c r="H67" s="69"/>
      <c r="I67" s="69"/>
      <c r="J67" s="69"/>
      <c r="K67" s="69"/>
      <c r="L67" s="69"/>
      <c r="M67" s="69"/>
    </row>
    <row r="68" spans="1:13">
      <c r="A68" s="69"/>
      <c r="B68" s="69"/>
      <c r="C68" s="69"/>
      <c r="D68" s="69"/>
      <c r="E68" s="69"/>
      <c r="F68" s="69"/>
      <c r="G68" s="69"/>
      <c r="H68" s="69"/>
      <c r="I68" s="69"/>
      <c r="J68" s="69"/>
      <c r="K68" s="69"/>
      <c r="L68" s="69"/>
      <c r="M68" s="69"/>
    </row>
    <row r="69" spans="1:13">
      <c r="A69" s="69"/>
      <c r="B69" s="69"/>
      <c r="C69" s="69"/>
      <c r="D69" s="69"/>
      <c r="E69" s="69"/>
      <c r="F69" s="69"/>
      <c r="G69" s="69"/>
      <c r="H69" s="69"/>
      <c r="I69" s="69"/>
      <c r="J69" s="69"/>
      <c r="K69" s="69"/>
      <c r="L69" s="69"/>
      <c r="M69" s="69"/>
    </row>
    <row r="70" spans="1:13">
      <c r="A70" s="69"/>
      <c r="B70" s="69"/>
      <c r="C70" s="69"/>
      <c r="D70" s="69"/>
      <c r="E70" s="69"/>
      <c r="F70" s="69"/>
      <c r="G70" s="69"/>
      <c r="H70" s="69"/>
      <c r="I70" s="69"/>
      <c r="J70" s="69"/>
      <c r="K70" s="69"/>
      <c r="L70" s="69"/>
      <c r="M70" s="69"/>
    </row>
    <row r="71" spans="1:13">
      <c r="A71" s="69"/>
      <c r="B71" s="69"/>
      <c r="C71" s="69"/>
      <c r="D71" s="69"/>
      <c r="E71" s="69"/>
      <c r="F71" s="69"/>
      <c r="G71" s="69"/>
      <c r="H71" s="69"/>
      <c r="I71" s="69"/>
      <c r="J71" s="69"/>
      <c r="K71" s="69"/>
      <c r="L71" s="69"/>
      <c r="M71" s="69"/>
    </row>
    <row r="72" spans="1:13">
      <c r="A72" s="69"/>
      <c r="B72" s="69"/>
      <c r="C72" s="69"/>
      <c r="D72" s="69"/>
      <c r="E72" s="69"/>
      <c r="F72" s="69"/>
      <c r="G72" s="69"/>
      <c r="H72" s="69"/>
      <c r="I72" s="69"/>
      <c r="J72" s="69"/>
      <c r="K72" s="69"/>
      <c r="L72" s="69"/>
      <c r="M72" s="69"/>
    </row>
    <row r="73" spans="1:13">
      <c r="A73" s="69"/>
      <c r="B73" s="69"/>
      <c r="C73" s="69"/>
      <c r="D73" s="69"/>
      <c r="E73" s="69"/>
      <c r="F73" s="69"/>
      <c r="G73" s="69"/>
      <c r="H73" s="69"/>
      <c r="I73" s="69"/>
      <c r="J73" s="69"/>
      <c r="K73" s="69"/>
      <c r="L73" s="69"/>
      <c r="M73" s="69"/>
    </row>
    <row r="74" spans="1:13">
      <c r="A74" s="69"/>
      <c r="B74" s="69"/>
      <c r="C74" s="69"/>
      <c r="D74" s="69"/>
      <c r="E74" s="69"/>
      <c r="F74" s="69"/>
      <c r="G74" s="69"/>
      <c r="H74" s="69"/>
      <c r="I74" s="69"/>
      <c r="J74" s="69"/>
      <c r="K74" s="69"/>
      <c r="L74" s="69"/>
      <c r="M74" s="69"/>
    </row>
    <row r="75" spans="1:13">
      <c r="A75" s="69"/>
      <c r="B75" s="69"/>
      <c r="C75" s="69"/>
      <c r="D75" s="69"/>
      <c r="E75" s="69"/>
      <c r="F75" s="69"/>
      <c r="G75" s="69"/>
      <c r="H75" s="69"/>
      <c r="I75" s="69"/>
      <c r="J75" s="69"/>
      <c r="K75" s="69"/>
      <c r="L75" s="69"/>
      <c r="M75" s="69"/>
    </row>
    <row r="76" spans="1:13">
      <c r="A76" s="69"/>
      <c r="B76" s="69"/>
      <c r="C76" s="69"/>
      <c r="D76" s="69"/>
      <c r="E76" s="69"/>
      <c r="F76" s="69"/>
      <c r="G76" s="69"/>
      <c r="H76" s="69"/>
      <c r="I76" s="69"/>
      <c r="J76" s="69"/>
      <c r="K76" s="69"/>
      <c r="L76" s="69"/>
      <c r="M76" s="69"/>
    </row>
    <row r="77" spans="1:13">
      <c r="A77" s="69"/>
      <c r="B77" s="69"/>
      <c r="C77" s="69"/>
      <c r="D77" s="69"/>
      <c r="E77" s="69"/>
      <c r="F77" s="69"/>
      <c r="G77" s="69"/>
      <c r="H77" s="69"/>
      <c r="I77" s="69"/>
      <c r="J77" s="69"/>
      <c r="K77" s="69"/>
      <c r="L77" s="69"/>
      <c r="M77" s="69"/>
    </row>
    <row r="78" spans="1:13">
      <c r="A78" s="69"/>
      <c r="B78" s="69"/>
      <c r="C78" s="69"/>
      <c r="D78" s="69"/>
      <c r="E78" s="69"/>
      <c r="F78" s="69"/>
      <c r="G78" s="69"/>
      <c r="H78" s="69"/>
      <c r="I78" s="69"/>
      <c r="J78" s="69"/>
      <c r="K78" s="69"/>
      <c r="L78" s="69"/>
      <c r="M78" s="69"/>
    </row>
    <row r="79" spans="1:13">
      <c r="A79" s="69"/>
      <c r="B79" s="69"/>
      <c r="C79" s="69"/>
      <c r="D79" s="69"/>
      <c r="E79" s="69"/>
      <c r="F79" s="69"/>
      <c r="G79" s="69"/>
      <c r="H79" s="69"/>
      <c r="I79" s="69"/>
      <c r="J79" s="69"/>
      <c r="K79" s="69"/>
      <c r="L79" s="69"/>
      <c r="M79" s="69"/>
    </row>
    <row r="80" spans="1:13">
      <c r="A80" s="69"/>
      <c r="B80" s="69"/>
      <c r="C80" s="69"/>
      <c r="D80" s="69"/>
      <c r="E80" s="69"/>
      <c r="F80" s="69"/>
      <c r="G80" s="69"/>
      <c r="H80" s="69"/>
      <c r="I80" s="69"/>
      <c r="J80" s="69"/>
      <c r="K80" s="69"/>
      <c r="L80" s="69"/>
      <c r="M80" s="69"/>
    </row>
    <row r="81" spans="1:13">
      <c r="A81" s="69"/>
      <c r="B81" s="69"/>
      <c r="C81" s="69"/>
      <c r="D81" s="69"/>
      <c r="E81" s="69"/>
      <c r="F81" s="69"/>
      <c r="G81" s="69"/>
      <c r="H81" s="69"/>
      <c r="I81" s="69"/>
      <c r="J81" s="69"/>
      <c r="K81" s="69"/>
      <c r="L81" s="69"/>
      <c r="M81" s="69"/>
    </row>
    <row r="82" spans="1:13">
      <c r="A82" s="69"/>
      <c r="B82" s="69"/>
      <c r="C82" s="69"/>
      <c r="D82" s="69"/>
      <c r="E82" s="69"/>
      <c r="F82" s="69"/>
      <c r="G82" s="69"/>
      <c r="H82" s="69"/>
      <c r="I82" s="69"/>
      <c r="J82" s="69"/>
      <c r="K82" s="69"/>
      <c r="L82" s="69"/>
      <c r="M82" s="69"/>
    </row>
    <row r="83" spans="1:13">
      <c r="A83" s="69"/>
      <c r="B83" s="69"/>
      <c r="C83" s="69"/>
      <c r="D83" s="69"/>
      <c r="E83" s="69"/>
      <c r="F83" s="69"/>
      <c r="G83" s="69"/>
      <c r="H83" s="69"/>
      <c r="I83" s="69"/>
      <c r="J83" s="69"/>
      <c r="K83" s="69"/>
      <c r="L83" s="69"/>
      <c r="M83" s="69"/>
    </row>
    <row r="84" spans="1:13">
      <c r="A84" s="69"/>
      <c r="B84" s="69"/>
      <c r="C84" s="69"/>
      <c r="D84" s="69"/>
      <c r="E84" s="69"/>
      <c r="F84" s="69"/>
      <c r="G84" s="69"/>
      <c r="H84" s="69"/>
      <c r="I84" s="69"/>
      <c r="J84" s="69"/>
      <c r="K84" s="69"/>
      <c r="L84" s="69"/>
      <c r="M84" s="69"/>
    </row>
    <row r="85" spans="1:13">
      <c r="A85" s="69"/>
      <c r="B85" s="69"/>
      <c r="C85" s="69"/>
      <c r="D85" s="69"/>
      <c r="E85" s="69"/>
      <c r="F85" s="69"/>
      <c r="G85" s="69"/>
      <c r="H85" s="69"/>
      <c r="I85" s="69"/>
      <c r="J85" s="69"/>
      <c r="K85" s="69"/>
      <c r="L85" s="69"/>
      <c r="M85" s="69"/>
    </row>
    <row r="86" spans="1:13">
      <c r="A86" s="69"/>
      <c r="B86" s="69"/>
      <c r="C86" s="69"/>
      <c r="D86" s="69"/>
      <c r="E86" s="69"/>
      <c r="F86" s="69"/>
      <c r="G86" s="69"/>
      <c r="H86" s="69"/>
      <c r="I86" s="69"/>
      <c r="J86" s="69"/>
      <c r="K86" s="69"/>
      <c r="L86" s="69"/>
      <c r="M86" s="69"/>
    </row>
    <row r="87" spans="1:13">
      <c r="A87" s="69"/>
      <c r="B87" s="69"/>
      <c r="C87" s="69"/>
      <c r="D87" s="69"/>
      <c r="E87" s="69"/>
      <c r="F87" s="69"/>
      <c r="G87" s="69"/>
      <c r="H87" s="69"/>
      <c r="I87" s="69"/>
      <c r="J87" s="69"/>
      <c r="K87" s="69"/>
      <c r="L87" s="69"/>
      <c r="M87" s="69"/>
    </row>
    <row r="88" spans="1:13">
      <c r="A88" s="69"/>
      <c r="B88" s="69"/>
      <c r="C88" s="69"/>
      <c r="D88" s="69"/>
      <c r="E88" s="69"/>
      <c r="F88" s="69"/>
      <c r="G88" s="69"/>
      <c r="H88" s="69"/>
      <c r="I88" s="69"/>
      <c r="J88" s="69"/>
      <c r="K88" s="69"/>
      <c r="L88" s="69"/>
      <c r="M88" s="69"/>
    </row>
    <row r="89" spans="1:13">
      <c r="A89" s="69"/>
      <c r="B89" s="69"/>
      <c r="C89" s="69"/>
      <c r="D89" s="69"/>
      <c r="E89" s="69"/>
      <c r="F89" s="69"/>
      <c r="G89" s="69"/>
      <c r="H89" s="69"/>
      <c r="I89" s="69"/>
      <c r="J89" s="69"/>
      <c r="K89" s="69"/>
      <c r="L89" s="69"/>
      <c r="M89" s="69"/>
    </row>
    <row r="90" spans="1:13">
      <c r="A90" s="69"/>
      <c r="B90" s="69"/>
      <c r="C90" s="69"/>
      <c r="D90" s="69"/>
      <c r="E90" s="69"/>
      <c r="F90" s="69"/>
      <c r="G90" s="69"/>
      <c r="H90" s="69"/>
      <c r="I90" s="69"/>
      <c r="J90" s="69"/>
      <c r="K90" s="69"/>
      <c r="L90" s="69"/>
      <c r="M90" s="69"/>
    </row>
    <row r="91" spans="1:13">
      <c r="A91" s="69"/>
      <c r="B91" s="69"/>
      <c r="C91" s="69"/>
      <c r="D91" s="69"/>
      <c r="E91" s="69"/>
      <c r="F91" s="69"/>
      <c r="G91" s="69"/>
      <c r="H91" s="69"/>
      <c r="I91" s="69"/>
      <c r="J91" s="69"/>
      <c r="K91" s="69"/>
      <c r="L91" s="69"/>
      <c r="M91" s="69"/>
    </row>
    <row r="92" spans="1:13">
      <c r="A92" s="69"/>
      <c r="B92" s="69"/>
      <c r="C92" s="69"/>
      <c r="D92" s="69"/>
      <c r="E92" s="69"/>
      <c r="F92" s="69"/>
      <c r="G92" s="69"/>
      <c r="H92" s="69"/>
      <c r="I92" s="69"/>
      <c r="J92" s="69"/>
      <c r="K92" s="69"/>
      <c r="L92" s="69"/>
      <c r="M92" s="69"/>
    </row>
    <row r="93" spans="1:13">
      <c r="A93" s="69"/>
      <c r="B93" s="69"/>
      <c r="C93" s="69"/>
      <c r="D93" s="69"/>
      <c r="E93" s="69"/>
      <c r="F93" s="69"/>
      <c r="G93" s="69"/>
      <c r="H93" s="69"/>
      <c r="I93" s="69"/>
      <c r="J93" s="69"/>
      <c r="K93" s="69"/>
      <c r="L93" s="69"/>
      <c r="M93" s="69"/>
    </row>
    <row r="94" spans="1:13">
      <c r="A94" s="69"/>
      <c r="B94" s="69"/>
      <c r="C94" s="69"/>
      <c r="D94" s="69"/>
      <c r="E94" s="69"/>
      <c r="F94" s="69"/>
      <c r="G94" s="69"/>
      <c r="H94" s="69"/>
      <c r="I94" s="69"/>
      <c r="J94" s="69"/>
      <c r="K94" s="69"/>
      <c r="L94" s="69"/>
      <c r="M94" s="69"/>
    </row>
    <row r="95" spans="1:13">
      <c r="A95" s="69"/>
      <c r="B95" s="69"/>
      <c r="C95" s="69"/>
      <c r="D95" s="69"/>
      <c r="E95" s="69"/>
      <c r="F95" s="69"/>
      <c r="G95" s="69"/>
      <c r="H95" s="69"/>
      <c r="I95" s="69"/>
      <c r="J95" s="69"/>
      <c r="K95" s="69"/>
      <c r="L95" s="69"/>
      <c r="M95" s="69"/>
    </row>
    <row r="96" spans="1:13">
      <c r="A96" s="69"/>
      <c r="B96" s="69"/>
      <c r="C96" s="69"/>
      <c r="D96" s="69"/>
      <c r="E96" s="69"/>
      <c r="F96" s="69"/>
      <c r="G96" s="69"/>
      <c r="H96" s="69"/>
      <c r="I96" s="69"/>
      <c r="J96" s="69"/>
      <c r="K96" s="69"/>
      <c r="L96" s="69"/>
      <c r="M96" s="69"/>
    </row>
    <row r="97" spans="1:13">
      <c r="A97" s="69"/>
      <c r="B97" s="69"/>
      <c r="C97" s="69"/>
      <c r="D97" s="69"/>
      <c r="E97" s="69"/>
      <c r="F97" s="69"/>
      <c r="G97" s="69"/>
      <c r="H97" s="69"/>
      <c r="I97" s="69"/>
      <c r="J97" s="69"/>
      <c r="K97" s="69"/>
      <c r="L97" s="69"/>
      <c r="M97" s="69"/>
    </row>
    <row r="98" spans="1:13">
      <c r="A98" s="69"/>
      <c r="B98" s="69"/>
      <c r="C98" s="69"/>
      <c r="D98" s="69"/>
      <c r="E98" s="69"/>
      <c r="F98" s="69"/>
      <c r="G98" s="69"/>
      <c r="H98" s="69"/>
      <c r="I98" s="69"/>
      <c r="J98" s="69"/>
      <c r="K98" s="69"/>
      <c r="L98" s="69"/>
      <c r="M98" s="69"/>
    </row>
  </sheetData>
  <mergeCells count="64">
    <mergeCell ref="H39:H40"/>
    <mergeCell ref="A39:A40"/>
    <mergeCell ref="B39:B40"/>
    <mergeCell ref="C39:C40"/>
    <mergeCell ref="E39:E40"/>
    <mergeCell ref="F39:F40"/>
    <mergeCell ref="G39:G40"/>
    <mergeCell ref="H35:H36"/>
    <mergeCell ref="A37:A38"/>
    <mergeCell ref="B37:B38"/>
    <mergeCell ref="C37:C38"/>
    <mergeCell ref="E37:E38"/>
    <mergeCell ref="F37:F38"/>
    <mergeCell ref="G37:G38"/>
    <mergeCell ref="H37:H38"/>
    <mergeCell ref="H31:H32"/>
    <mergeCell ref="F33:F34"/>
    <mergeCell ref="G33:G34"/>
    <mergeCell ref="H33:H34"/>
    <mergeCell ref="A35:A36"/>
    <mergeCell ref="B35:B36"/>
    <mergeCell ref="C35:C36"/>
    <mergeCell ref="E35:E36"/>
    <mergeCell ref="F35:F36"/>
    <mergeCell ref="G35:G36"/>
    <mergeCell ref="A31:A32"/>
    <mergeCell ref="B31:B32"/>
    <mergeCell ref="C31:C32"/>
    <mergeCell ref="E31:E32"/>
    <mergeCell ref="F31:F32"/>
    <mergeCell ref="G31:G32"/>
    <mergeCell ref="H18:H19"/>
    <mergeCell ref="A20:A21"/>
    <mergeCell ref="B20:B21"/>
    <mergeCell ref="C20:C21"/>
    <mergeCell ref="E20:E21"/>
    <mergeCell ref="F20:F21"/>
    <mergeCell ref="G20:G21"/>
    <mergeCell ref="H20:H21"/>
    <mergeCell ref="A18:A19"/>
    <mergeCell ref="B18:B19"/>
    <mergeCell ref="C18:C19"/>
    <mergeCell ref="E18:E19"/>
    <mergeCell ref="F18:F19"/>
    <mergeCell ref="G18:G19"/>
    <mergeCell ref="F14:F15"/>
    <mergeCell ref="G14:G15"/>
    <mergeCell ref="H14:H15"/>
    <mergeCell ref="A16:A17"/>
    <mergeCell ref="B16:B17"/>
    <mergeCell ref="C16:C17"/>
    <mergeCell ref="E16:E17"/>
    <mergeCell ref="F16:F17"/>
    <mergeCell ref="G16:G17"/>
    <mergeCell ref="H16:H17"/>
    <mergeCell ref="A14:A15"/>
    <mergeCell ref="B14:B15"/>
    <mergeCell ref="C14:C15"/>
    <mergeCell ref="E14:E15"/>
    <mergeCell ref="A1:E1"/>
    <mergeCell ref="A2:E2"/>
    <mergeCell ref="A3:E3"/>
    <mergeCell ref="A4:E4"/>
    <mergeCell ref="A6:E6"/>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sheetPr>
  <dimension ref="A1:K168"/>
  <sheetViews>
    <sheetView zoomScaleNormal="100" workbookViewId="0">
      <selection activeCell="G7" sqref="G7"/>
    </sheetView>
  </sheetViews>
  <sheetFormatPr defaultRowHeight="15"/>
  <cols>
    <col min="1" max="1" width="16" customWidth="1"/>
    <col min="2" max="2" width="13.7109375" customWidth="1"/>
    <col min="3" max="3" width="23.85546875" customWidth="1"/>
    <col min="4" max="4" width="19.28515625" customWidth="1"/>
    <col min="5" max="5" width="17.28515625" customWidth="1"/>
    <col min="6" max="6" width="42.85546875" customWidth="1"/>
    <col min="7" max="7" width="13.7109375" customWidth="1"/>
    <col min="8" max="8" width="13.28515625" customWidth="1"/>
    <col min="9" max="9" width="46" customWidth="1"/>
    <col min="10" max="10" width="12.28515625" customWidth="1"/>
    <col min="11" max="11" width="14.7109375" customWidth="1"/>
  </cols>
  <sheetData>
    <row r="1" spans="1:11">
      <c r="A1" s="314" t="s">
        <v>764</v>
      </c>
      <c r="B1" s="315"/>
      <c r="C1" s="315"/>
      <c r="D1" s="315"/>
      <c r="E1" s="316"/>
      <c r="F1" s="38"/>
      <c r="G1" s="38"/>
      <c r="H1" s="38"/>
      <c r="I1" s="38"/>
      <c r="J1" s="38"/>
      <c r="K1" s="38"/>
    </row>
    <row r="2" spans="1:11">
      <c r="A2" s="317" t="s">
        <v>497</v>
      </c>
      <c r="B2" s="318"/>
      <c r="C2" s="318"/>
      <c r="D2" s="318"/>
      <c r="E2" s="319"/>
      <c r="F2" s="38"/>
      <c r="G2" s="38"/>
      <c r="H2" s="38"/>
      <c r="I2" s="38"/>
      <c r="J2" s="38"/>
      <c r="K2" s="38"/>
    </row>
    <row r="3" spans="1:11" ht="15.75" thickBot="1">
      <c r="A3" s="370"/>
      <c r="B3" s="371"/>
      <c r="C3" s="371"/>
      <c r="D3" s="371"/>
      <c r="E3" s="372"/>
      <c r="F3" s="38"/>
      <c r="G3" s="38"/>
      <c r="H3" s="38"/>
      <c r="I3" s="38"/>
      <c r="J3" s="38"/>
      <c r="K3" s="38"/>
    </row>
    <row r="4" spans="1:11" ht="59.25" customHeight="1" thickBot="1">
      <c r="A4" s="320" t="s">
        <v>765</v>
      </c>
      <c r="B4" s="321"/>
      <c r="C4" s="321"/>
      <c r="D4" s="321"/>
      <c r="E4" s="321"/>
      <c r="F4" s="354" t="s">
        <v>766</v>
      </c>
      <c r="G4" s="355"/>
      <c r="H4" s="356"/>
      <c r="I4" s="357" t="s">
        <v>760</v>
      </c>
      <c r="J4" s="358"/>
      <c r="K4" s="359"/>
    </row>
    <row r="5" spans="1:11" ht="26.25" thickBot="1">
      <c r="A5" s="241" t="s">
        <v>538</v>
      </c>
      <c r="B5" s="10" t="s">
        <v>539</v>
      </c>
      <c r="C5" s="10" t="s">
        <v>767</v>
      </c>
      <c r="D5" s="10" t="s">
        <v>768</v>
      </c>
      <c r="E5" s="10" t="s">
        <v>769</v>
      </c>
      <c r="F5" s="76" t="s">
        <v>770</v>
      </c>
      <c r="G5" s="76" t="s">
        <v>534</v>
      </c>
      <c r="H5" s="75" t="s">
        <v>541</v>
      </c>
      <c r="I5" s="73" t="s">
        <v>532</v>
      </c>
      <c r="J5" s="74" t="s">
        <v>534</v>
      </c>
      <c r="K5" s="103" t="s">
        <v>541</v>
      </c>
    </row>
    <row r="6" spans="1:11">
      <c r="A6" s="352" t="s">
        <v>542</v>
      </c>
      <c r="B6" s="353"/>
      <c r="C6" s="353"/>
      <c r="D6" s="353"/>
      <c r="E6" s="353"/>
      <c r="F6" s="352"/>
      <c r="G6" s="353"/>
      <c r="H6" s="353"/>
      <c r="I6" s="353"/>
      <c r="J6" s="353"/>
      <c r="K6" s="102"/>
    </row>
    <row r="7" spans="1:11" s="43" customFormat="1">
      <c r="A7" s="87" t="s">
        <v>771</v>
      </c>
      <c r="B7" s="87" t="s">
        <v>552</v>
      </c>
      <c r="C7" s="87" t="s">
        <v>772</v>
      </c>
      <c r="D7" s="104">
        <v>1000</v>
      </c>
      <c r="E7" s="101" t="s">
        <v>773</v>
      </c>
      <c r="F7" s="153" t="s">
        <v>761</v>
      </c>
      <c r="G7" s="144">
        <f>(0.5*2)+SUM(D7*0.005)*2</f>
        <v>11</v>
      </c>
      <c r="H7" s="143">
        <f>2*(26.35/1000)*D7</f>
        <v>52.7</v>
      </c>
      <c r="I7" s="96" t="s">
        <v>774</v>
      </c>
      <c r="J7" s="96">
        <f>0.724*12</f>
        <v>8.6879999999999988</v>
      </c>
      <c r="K7" s="96">
        <f>12*14.4</f>
        <v>172.8</v>
      </c>
    </row>
    <row r="8" spans="1:11" s="43" customFormat="1">
      <c r="A8" s="87" t="s">
        <v>775</v>
      </c>
      <c r="B8" s="87" t="s">
        <v>552</v>
      </c>
      <c r="C8" s="87" t="s">
        <v>776</v>
      </c>
      <c r="D8" s="104">
        <v>1000</v>
      </c>
      <c r="E8" s="101" t="s">
        <v>773</v>
      </c>
      <c r="F8" s="153" t="s">
        <v>761</v>
      </c>
      <c r="G8" s="144">
        <f>(0.5*2)+SUM(D8*0.005)*2</f>
        <v>11</v>
      </c>
      <c r="H8" s="143">
        <f>2*(26.35/1000)*D8</f>
        <v>52.7</v>
      </c>
      <c r="I8" s="96" t="s">
        <v>774</v>
      </c>
      <c r="J8" s="96">
        <f>0.724*12</f>
        <v>8.6879999999999988</v>
      </c>
      <c r="K8" s="96">
        <f>12*14.4</f>
        <v>172.8</v>
      </c>
    </row>
    <row r="9" spans="1:11" s="43" customFormat="1">
      <c r="A9" s="87" t="s">
        <v>777</v>
      </c>
      <c r="B9" s="87" t="s">
        <v>552</v>
      </c>
      <c r="C9" s="87" t="s">
        <v>778</v>
      </c>
      <c r="D9" s="104">
        <v>1000</v>
      </c>
      <c r="E9" s="101" t="s">
        <v>773</v>
      </c>
      <c r="F9" s="153" t="s">
        <v>761</v>
      </c>
      <c r="G9" s="144">
        <f>(0.5*2)+SUM(D9*0.005)*2</f>
        <v>11</v>
      </c>
      <c r="H9" s="143">
        <f>2*(26.35/1000)*D9</f>
        <v>52.7</v>
      </c>
      <c r="I9" s="96" t="s">
        <v>774</v>
      </c>
      <c r="J9" s="96">
        <f>0.724*12</f>
        <v>8.6879999999999988</v>
      </c>
      <c r="K9" s="96">
        <f>12*14.4</f>
        <v>172.8</v>
      </c>
    </row>
    <row r="10" spans="1:11" s="43" customFormat="1">
      <c r="A10" s="87" t="s">
        <v>779</v>
      </c>
      <c r="B10" s="87" t="s">
        <v>553</v>
      </c>
      <c r="C10" s="87" t="s">
        <v>780</v>
      </c>
      <c r="D10" s="104">
        <v>1000</v>
      </c>
      <c r="E10" s="101" t="s">
        <v>773</v>
      </c>
      <c r="F10" s="153" t="s">
        <v>761</v>
      </c>
      <c r="G10" s="144">
        <f>(0.5*2)+SUM(D10*0.005)*2</f>
        <v>11</v>
      </c>
      <c r="H10" s="143">
        <f>2*(26.35/1000)*D10</f>
        <v>52.7</v>
      </c>
      <c r="I10" s="142" t="s">
        <v>774</v>
      </c>
      <c r="J10" s="142">
        <f>0.724*12</f>
        <v>8.6879999999999988</v>
      </c>
      <c r="K10" s="142">
        <f>12*14.4</f>
        <v>172.8</v>
      </c>
    </row>
    <row r="11" spans="1:11" s="43" customFormat="1">
      <c r="A11" s="91"/>
      <c r="B11" s="91"/>
      <c r="C11" s="91"/>
      <c r="D11" s="91"/>
      <c r="E11" s="91"/>
      <c r="F11" s="91"/>
      <c r="G11" s="94">
        <f>SUM(G7:G10)</f>
        <v>44</v>
      </c>
      <c r="H11" s="94">
        <f>SUM(H7:H10)</f>
        <v>210.8</v>
      </c>
      <c r="I11" s="91"/>
      <c r="J11" s="105">
        <f>SUM(J7:J10)</f>
        <v>34.751999999999995</v>
      </c>
      <c r="K11" s="95">
        <f>SUM(K7:K10)</f>
        <v>691.2</v>
      </c>
    </row>
    <row r="12" spans="1:11" s="43" customFormat="1">
      <c r="A12" s="97"/>
      <c r="B12" s="91"/>
      <c r="C12" s="91"/>
      <c r="D12" s="91"/>
      <c r="E12" s="91"/>
      <c r="F12" s="91"/>
      <c r="G12" s="91"/>
      <c r="H12" s="91"/>
      <c r="I12" s="91"/>
      <c r="J12" s="94">
        <f>G11+J11</f>
        <v>78.751999999999995</v>
      </c>
      <c r="K12" s="95">
        <f>J11+K11</f>
        <v>725.952</v>
      </c>
    </row>
    <row r="13" spans="1:11" s="43" customFormat="1" ht="15.75" thickBot="1">
      <c r="A13" s="5"/>
      <c r="B13" s="5"/>
      <c r="C13" s="5"/>
      <c r="D13" s="5"/>
      <c r="E13" s="5"/>
      <c r="F13" s="5"/>
      <c r="G13" s="5"/>
      <c r="H13" s="5"/>
      <c r="I13" s="5"/>
      <c r="J13" s="5"/>
      <c r="K13" s="5"/>
    </row>
    <row r="14" spans="1:11" s="70" customFormat="1" ht="15.75" thickBot="1">
      <c r="A14" s="88"/>
      <c r="B14" s="90">
        <v>1338</v>
      </c>
      <c r="C14" s="92">
        <v>560</v>
      </c>
      <c r="D14" s="89" t="s">
        <v>781</v>
      </c>
      <c r="E14" s="106" t="s">
        <v>773</v>
      </c>
      <c r="F14" s="155" t="s">
        <v>763</v>
      </c>
      <c r="G14" s="148">
        <f>SUM(C14*0.005)*2</f>
        <v>5.6000000000000005</v>
      </c>
      <c r="H14" s="148">
        <f>SUM(C14*0.7)*2</f>
        <v>784</v>
      </c>
      <c r="I14" s="154" t="s">
        <v>762</v>
      </c>
      <c r="J14" s="148">
        <f>0.724*10</f>
        <v>7.24</v>
      </c>
      <c r="K14" s="148">
        <v>17.100000000000001</v>
      </c>
    </row>
    <row r="15" spans="1:11" s="70" customFormat="1" ht="15.75" thickBot="1">
      <c r="A15" s="88"/>
      <c r="B15" s="90">
        <v>1343</v>
      </c>
      <c r="C15" s="93">
        <v>1000</v>
      </c>
      <c r="D15" s="89" t="s">
        <v>781</v>
      </c>
      <c r="E15" s="106" t="s">
        <v>773</v>
      </c>
      <c r="F15" s="155" t="s">
        <v>763</v>
      </c>
      <c r="G15" s="148">
        <f t="shared" ref="G15:G40" si="0">SUM(C15*0.005)*2</f>
        <v>10</v>
      </c>
      <c r="H15" s="148">
        <f t="shared" ref="H15:H40" si="1">SUM(C15*0.7)*2</f>
        <v>1400</v>
      </c>
      <c r="I15" s="154" t="s">
        <v>762</v>
      </c>
      <c r="J15" s="148">
        <f t="shared" ref="J15:J32" si="2">0.724*10</f>
        <v>7.24</v>
      </c>
      <c r="K15" s="148">
        <v>17.100000000000001</v>
      </c>
    </row>
    <row r="16" spans="1:11" s="70" customFormat="1" ht="26.25" thickBot="1">
      <c r="A16" s="88"/>
      <c r="B16" s="90">
        <v>1461</v>
      </c>
      <c r="C16" s="93">
        <v>4000</v>
      </c>
      <c r="D16" s="89" t="s">
        <v>782</v>
      </c>
      <c r="E16" s="106" t="s">
        <v>773</v>
      </c>
      <c r="F16" s="155" t="s">
        <v>763</v>
      </c>
      <c r="G16" s="148">
        <f t="shared" si="0"/>
        <v>40</v>
      </c>
      <c r="H16" s="148">
        <f t="shared" si="1"/>
        <v>5600</v>
      </c>
      <c r="I16" s="154" t="s">
        <v>762</v>
      </c>
      <c r="J16" s="148">
        <f t="shared" si="2"/>
        <v>7.24</v>
      </c>
      <c r="K16" s="148">
        <v>17.100000000000001</v>
      </c>
    </row>
    <row r="17" spans="1:11" s="70" customFormat="1" ht="15.75" thickBot="1">
      <c r="A17" s="88"/>
      <c r="B17" s="90">
        <v>1488</v>
      </c>
      <c r="C17" s="93">
        <v>1000</v>
      </c>
      <c r="D17" s="89" t="s">
        <v>731</v>
      </c>
      <c r="E17" s="106" t="s">
        <v>773</v>
      </c>
      <c r="F17" s="155" t="s">
        <v>763</v>
      </c>
      <c r="G17" s="148">
        <f t="shared" si="0"/>
        <v>10</v>
      </c>
      <c r="H17" s="148">
        <f t="shared" si="1"/>
        <v>1400</v>
      </c>
      <c r="I17" s="154" t="s">
        <v>762</v>
      </c>
      <c r="J17" s="148">
        <f t="shared" si="2"/>
        <v>7.24</v>
      </c>
      <c r="K17" s="148">
        <v>17.100000000000001</v>
      </c>
    </row>
    <row r="18" spans="1:11" s="70" customFormat="1" ht="15.75" thickBot="1">
      <c r="A18" s="88"/>
      <c r="B18" s="90">
        <v>1488</v>
      </c>
      <c r="C18" s="93">
        <v>1000</v>
      </c>
      <c r="D18" s="89" t="s">
        <v>731</v>
      </c>
      <c r="E18" s="106" t="s">
        <v>773</v>
      </c>
      <c r="F18" s="155" t="s">
        <v>763</v>
      </c>
      <c r="G18" s="148">
        <f t="shared" si="0"/>
        <v>10</v>
      </c>
      <c r="H18" s="148">
        <f t="shared" si="1"/>
        <v>1400</v>
      </c>
      <c r="I18" s="154" t="s">
        <v>762</v>
      </c>
      <c r="J18" s="148">
        <f t="shared" si="2"/>
        <v>7.24</v>
      </c>
      <c r="K18" s="148">
        <v>17.100000000000001</v>
      </c>
    </row>
    <row r="19" spans="1:11" s="70" customFormat="1" ht="15.75" thickBot="1">
      <c r="A19" s="88"/>
      <c r="B19" s="90">
        <v>1488</v>
      </c>
      <c r="C19" s="93">
        <v>1000</v>
      </c>
      <c r="D19" s="89" t="s">
        <v>731</v>
      </c>
      <c r="E19" s="106" t="s">
        <v>773</v>
      </c>
      <c r="F19" s="155" t="s">
        <v>763</v>
      </c>
      <c r="G19" s="148">
        <f t="shared" si="0"/>
        <v>10</v>
      </c>
      <c r="H19" s="148">
        <f t="shared" si="1"/>
        <v>1400</v>
      </c>
      <c r="I19" s="154" t="s">
        <v>762</v>
      </c>
      <c r="J19" s="148">
        <f t="shared" si="2"/>
        <v>7.24</v>
      </c>
      <c r="K19" s="148">
        <v>17.100000000000001</v>
      </c>
    </row>
    <row r="20" spans="1:11" s="70" customFormat="1" ht="15.75" thickBot="1">
      <c r="A20" s="88"/>
      <c r="B20" s="90">
        <v>1519</v>
      </c>
      <c r="C20" s="93">
        <v>1000</v>
      </c>
      <c r="D20" s="89" t="s">
        <v>783</v>
      </c>
      <c r="E20" s="106" t="s">
        <v>773</v>
      </c>
      <c r="F20" s="155" t="s">
        <v>763</v>
      </c>
      <c r="G20" s="148">
        <f t="shared" si="0"/>
        <v>10</v>
      </c>
      <c r="H20" s="148">
        <f t="shared" si="1"/>
        <v>1400</v>
      </c>
      <c r="I20" s="154" t="s">
        <v>762</v>
      </c>
      <c r="J20" s="148">
        <f t="shared" si="2"/>
        <v>7.24</v>
      </c>
      <c r="K20" s="148">
        <v>17.100000000000001</v>
      </c>
    </row>
    <row r="21" spans="1:11" s="70" customFormat="1" ht="15.75" thickBot="1">
      <c r="A21" s="88"/>
      <c r="B21" s="90">
        <v>1552</v>
      </c>
      <c r="C21" s="93">
        <v>1000</v>
      </c>
      <c r="D21" s="89" t="s">
        <v>781</v>
      </c>
      <c r="E21" s="106" t="s">
        <v>773</v>
      </c>
      <c r="F21" s="155" t="s">
        <v>763</v>
      </c>
      <c r="G21" s="148">
        <f t="shared" si="0"/>
        <v>10</v>
      </c>
      <c r="H21" s="148">
        <f t="shared" si="1"/>
        <v>1400</v>
      </c>
      <c r="I21" s="154" t="s">
        <v>762</v>
      </c>
      <c r="J21" s="148">
        <f t="shared" si="2"/>
        <v>7.24</v>
      </c>
      <c r="K21" s="148">
        <v>17.100000000000001</v>
      </c>
    </row>
    <row r="22" spans="1:11" s="70" customFormat="1" ht="15.75" thickBot="1">
      <c r="A22" s="88"/>
      <c r="B22" s="90">
        <v>1553</v>
      </c>
      <c r="C22" s="93">
        <v>1000</v>
      </c>
      <c r="D22" s="89" t="s">
        <v>784</v>
      </c>
      <c r="E22" s="106" t="s">
        <v>773</v>
      </c>
      <c r="F22" s="155" t="s">
        <v>763</v>
      </c>
      <c r="G22" s="148">
        <f t="shared" si="0"/>
        <v>10</v>
      </c>
      <c r="H22" s="148">
        <f t="shared" si="1"/>
        <v>1400</v>
      </c>
      <c r="I22" s="154" t="s">
        <v>762</v>
      </c>
      <c r="J22" s="148">
        <f t="shared" si="2"/>
        <v>7.24</v>
      </c>
      <c r="K22" s="148">
        <v>17.100000000000001</v>
      </c>
    </row>
    <row r="23" spans="1:11" s="70" customFormat="1" ht="15.75" thickBot="1">
      <c r="A23" s="88"/>
      <c r="B23" s="90">
        <v>1555</v>
      </c>
      <c r="C23" s="92">
        <v>560</v>
      </c>
      <c r="D23" s="89" t="s">
        <v>785</v>
      </c>
      <c r="E23" s="106" t="s">
        <v>773</v>
      </c>
      <c r="F23" s="155" t="s">
        <v>763</v>
      </c>
      <c r="G23" s="148">
        <f t="shared" si="0"/>
        <v>5.6000000000000005</v>
      </c>
      <c r="H23" s="148">
        <f t="shared" si="1"/>
        <v>784</v>
      </c>
      <c r="I23" s="154" t="s">
        <v>762</v>
      </c>
      <c r="J23" s="148">
        <f t="shared" si="2"/>
        <v>7.24</v>
      </c>
      <c r="K23" s="148">
        <v>17.100000000000001</v>
      </c>
    </row>
    <row r="24" spans="1:11" s="70" customFormat="1" ht="15.75" thickBot="1">
      <c r="A24" s="88"/>
      <c r="B24" s="90">
        <v>1556</v>
      </c>
      <c r="C24" s="92">
        <v>250</v>
      </c>
      <c r="D24" s="89" t="s">
        <v>785</v>
      </c>
      <c r="E24" s="106" t="s">
        <v>773</v>
      </c>
      <c r="F24" s="155" t="s">
        <v>763</v>
      </c>
      <c r="G24" s="148">
        <f t="shared" si="0"/>
        <v>2.5</v>
      </c>
      <c r="H24" s="148">
        <f t="shared" si="1"/>
        <v>350</v>
      </c>
      <c r="I24" s="154" t="s">
        <v>762</v>
      </c>
      <c r="J24" s="148">
        <f t="shared" si="2"/>
        <v>7.24</v>
      </c>
      <c r="K24" s="148">
        <v>17.100000000000001</v>
      </c>
    </row>
    <row r="25" spans="1:11" s="70" customFormat="1" ht="15.75" thickBot="1">
      <c r="A25" s="88"/>
      <c r="B25" s="90">
        <v>1600</v>
      </c>
      <c r="C25" s="92">
        <v>500</v>
      </c>
      <c r="D25" s="89" t="s">
        <v>783</v>
      </c>
      <c r="E25" s="106" t="s">
        <v>786</v>
      </c>
      <c r="F25" s="155" t="s">
        <v>763</v>
      </c>
      <c r="G25" s="148">
        <f t="shared" si="0"/>
        <v>5</v>
      </c>
      <c r="H25" s="148">
        <f t="shared" si="1"/>
        <v>700</v>
      </c>
      <c r="I25" s="154" t="s">
        <v>762</v>
      </c>
      <c r="J25" s="148">
        <f t="shared" si="2"/>
        <v>7.24</v>
      </c>
      <c r="K25" s="148">
        <v>17.100000000000001</v>
      </c>
    </row>
    <row r="26" spans="1:11" s="70" customFormat="1" ht="15.75" thickBot="1">
      <c r="A26" s="88"/>
      <c r="B26" s="90">
        <v>1609</v>
      </c>
      <c r="C26" s="93">
        <v>1000</v>
      </c>
      <c r="D26" s="89" t="s">
        <v>787</v>
      </c>
      <c r="E26" s="106" t="s">
        <v>773</v>
      </c>
      <c r="F26" s="155" t="s">
        <v>763</v>
      </c>
      <c r="G26" s="148">
        <f t="shared" si="0"/>
        <v>10</v>
      </c>
      <c r="H26" s="148">
        <f t="shared" si="1"/>
        <v>1400</v>
      </c>
      <c r="I26" s="154" t="s">
        <v>762</v>
      </c>
      <c r="J26" s="148">
        <f t="shared" si="2"/>
        <v>7.24</v>
      </c>
      <c r="K26" s="148">
        <v>17.100000000000001</v>
      </c>
    </row>
    <row r="27" spans="1:11" s="70" customFormat="1" ht="15.75" thickBot="1">
      <c r="A27" s="88"/>
      <c r="B27" s="90">
        <v>1611</v>
      </c>
      <c r="C27" s="93">
        <v>1000</v>
      </c>
      <c r="D27" s="89" t="s">
        <v>788</v>
      </c>
      <c r="E27" s="106" t="s">
        <v>773</v>
      </c>
      <c r="F27" s="155" t="s">
        <v>763</v>
      </c>
      <c r="G27" s="148">
        <f t="shared" si="0"/>
        <v>10</v>
      </c>
      <c r="H27" s="148">
        <f t="shared" si="1"/>
        <v>1400</v>
      </c>
      <c r="I27" s="154" t="s">
        <v>762</v>
      </c>
      <c r="J27" s="148">
        <f t="shared" si="2"/>
        <v>7.24</v>
      </c>
      <c r="K27" s="148">
        <v>17.100000000000001</v>
      </c>
    </row>
    <row r="28" spans="1:11" s="70" customFormat="1" ht="15.75" thickBot="1">
      <c r="A28" s="88"/>
      <c r="B28" s="90">
        <v>1613</v>
      </c>
      <c r="C28" s="93">
        <v>1000</v>
      </c>
      <c r="D28" s="89" t="s">
        <v>702</v>
      </c>
      <c r="E28" s="106" t="s">
        <v>773</v>
      </c>
      <c r="F28" s="155" t="s">
        <v>763</v>
      </c>
      <c r="G28" s="148">
        <f t="shared" si="0"/>
        <v>10</v>
      </c>
      <c r="H28" s="148">
        <f t="shared" si="1"/>
        <v>1400</v>
      </c>
      <c r="I28" s="154" t="s">
        <v>762</v>
      </c>
      <c r="J28" s="148">
        <f t="shared" si="2"/>
        <v>7.24</v>
      </c>
      <c r="K28" s="148">
        <v>17.100000000000001</v>
      </c>
    </row>
    <row r="29" spans="1:11" s="70" customFormat="1" ht="15.75" thickBot="1">
      <c r="A29" s="88"/>
      <c r="B29" s="90">
        <v>2081</v>
      </c>
      <c r="C29" s="93">
        <v>1500</v>
      </c>
      <c r="D29" s="89" t="s">
        <v>788</v>
      </c>
      <c r="E29" s="106" t="s">
        <v>773</v>
      </c>
      <c r="F29" s="155" t="s">
        <v>763</v>
      </c>
      <c r="G29" s="148">
        <f t="shared" si="0"/>
        <v>15</v>
      </c>
      <c r="H29" s="148">
        <f t="shared" si="1"/>
        <v>2100</v>
      </c>
      <c r="I29" s="154" t="s">
        <v>762</v>
      </c>
      <c r="J29" s="148">
        <f t="shared" si="2"/>
        <v>7.24</v>
      </c>
      <c r="K29" s="148">
        <v>17.100000000000001</v>
      </c>
    </row>
    <row r="30" spans="1:11" s="70" customFormat="1" ht="15.75" thickBot="1">
      <c r="A30" s="88"/>
      <c r="B30" s="90">
        <v>2288</v>
      </c>
      <c r="C30" s="92">
        <v>500</v>
      </c>
      <c r="D30" s="89" t="s">
        <v>789</v>
      </c>
      <c r="E30" s="106" t="s">
        <v>773</v>
      </c>
      <c r="F30" s="155" t="s">
        <v>763</v>
      </c>
      <c r="G30" s="148">
        <f t="shared" si="0"/>
        <v>5</v>
      </c>
      <c r="H30" s="148">
        <f t="shared" si="1"/>
        <v>700</v>
      </c>
      <c r="I30" s="154" t="s">
        <v>762</v>
      </c>
      <c r="J30" s="148">
        <f t="shared" si="2"/>
        <v>7.24</v>
      </c>
      <c r="K30" s="148">
        <v>17.100000000000001</v>
      </c>
    </row>
    <row r="31" spans="1:11" s="70" customFormat="1" ht="15.75" thickBot="1">
      <c r="A31" s="88"/>
      <c r="B31" s="90" t="s">
        <v>790</v>
      </c>
      <c r="C31" s="93">
        <v>5000</v>
      </c>
      <c r="D31" s="89" t="s">
        <v>791</v>
      </c>
      <c r="E31" s="106" t="s">
        <v>792</v>
      </c>
      <c r="F31" s="155" t="s">
        <v>763</v>
      </c>
      <c r="G31" s="148">
        <f t="shared" si="0"/>
        <v>50</v>
      </c>
      <c r="H31" s="148">
        <f t="shared" si="1"/>
        <v>7000</v>
      </c>
      <c r="I31" s="154" t="s">
        <v>762</v>
      </c>
      <c r="J31" s="148">
        <f t="shared" si="2"/>
        <v>7.24</v>
      </c>
      <c r="K31" s="148">
        <v>17.100000000000001</v>
      </c>
    </row>
    <row r="32" spans="1:11" s="70" customFormat="1" ht="15.75" thickBot="1">
      <c r="A32" s="88"/>
      <c r="B32" s="90" t="s">
        <v>793</v>
      </c>
      <c r="C32" s="93">
        <v>5000</v>
      </c>
      <c r="D32" s="89" t="s">
        <v>794</v>
      </c>
      <c r="E32" s="106" t="s">
        <v>786</v>
      </c>
      <c r="F32" s="155" t="s">
        <v>763</v>
      </c>
      <c r="G32" s="148">
        <f t="shared" si="0"/>
        <v>50</v>
      </c>
      <c r="H32" s="148">
        <f t="shared" si="1"/>
        <v>7000</v>
      </c>
      <c r="I32" s="154" t="s">
        <v>762</v>
      </c>
      <c r="J32" s="148">
        <f t="shared" si="2"/>
        <v>7.24</v>
      </c>
      <c r="K32" s="148">
        <v>17.100000000000001</v>
      </c>
    </row>
    <row r="33" spans="1:11" s="68" customFormat="1" ht="25.5" customHeight="1" thickBot="1">
      <c r="A33" s="368" t="s">
        <v>546</v>
      </c>
      <c r="B33" s="369"/>
      <c r="C33" s="369"/>
      <c r="D33" s="369"/>
      <c r="E33" s="369"/>
      <c r="F33" s="156"/>
      <c r="G33" s="156"/>
      <c r="H33" s="156"/>
      <c r="I33" s="156"/>
      <c r="J33" s="156"/>
      <c r="K33" s="156"/>
    </row>
    <row r="34" spans="1:11" s="68" customFormat="1" ht="42" customHeight="1" thickBot="1">
      <c r="A34" s="242"/>
      <c r="B34" s="33" t="s">
        <v>795</v>
      </c>
      <c r="C34" s="98">
        <v>4000</v>
      </c>
      <c r="D34" s="33" t="s">
        <v>796</v>
      </c>
      <c r="E34" s="99" t="s">
        <v>792</v>
      </c>
      <c r="F34" s="157" t="s">
        <v>763</v>
      </c>
      <c r="G34" s="158">
        <f t="shared" si="0"/>
        <v>40</v>
      </c>
      <c r="H34" s="158">
        <f t="shared" si="1"/>
        <v>5600</v>
      </c>
      <c r="I34" s="159" t="s">
        <v>762</v>
      </c>
      <c r="J34" s="158">
        <f>0.724*10</f>
        <v>7.24</v>
      </c>
      <c r="K34" s="158">
        <v>17.100000000000001</v>
      </c>
    </row>
    <row r="35" spans="1:11" s="68" customFormat="1" ht="39.6" customHeight="1" thickBot="1">
      <c r="A35" s="242"/>
      <c r="B35" s="33" t="s">
        <v>797</v>
      </c>
      <c r="C35" s="98">
        <v>3000</v>
      </c>
      <c r="D35" s="33" t="s">
        <v>796</v>
      </c>
      <c r="E35" s="99" t="s">
        <v>792</v>
      </c>
      <c r="F35" s="157" t="s">
        <v>763</v>
      </c>
      <c r="G35" s="158">
        <f t="shared" si="0"/>
        <v>30</v>
      </c>
      <c r="H35" s="158">
        <f t="shared" si="1"/>
        <v>4200</v>
      </c>
      <c r="I35" s="159" t="s">
        <v>762</v>
      </c>
      <c r="J35" s="158">
        <f>0.724*10</f>
        <v>7.24</v>
      </c>
      <c r="K35" s="158">
        <v>17.100000000000001</v>
      </c>
    </row>
    <row r="36" spans="1:11" s="68" customFormat="1">
      <c r="A36" s="360"/>
      <c r="B36" s="362" t="s">
        <v>798</v>
      </c>
      <c r="C36" s="364">
        <v>3500</v>
      </c>
      <c r="D36" s="100" t="s">
        <v>799</v>
      </c>
      <c r="E36" s="366" t="s">
        <v>792</v>
      </c>
      <c r="F36" s="375" t="s">
        <v>763</v>
      </c>
      <c r="G36" s="373">
        <f t="shared" si="0"/>
        <v>35</v>
      </c>
      <c r="H36" s="373">
        <f t="shared" si="1"/>
        <v>4900</v>
      </c>
      <c r="I36" s="377" t="s">
        <v>762</v>
      </c>
      <c r="J36" s="373">
        <v>7.24</v>
      </c>
      <c r="K36" s="373">
        <v>17.100000000000001</v>
      </c>
    </row>
    <row r="37" spans="1:11" s="68" customFormat="1" ht="29.1" customHeight="1" thickBot="1">
      <c r="A37" s="361"/>
      <c r="B37" s="363"/>
      <c r="C37" s="365"/>
      <c r="D37" s="33" t="s">
        <v>800</v>
      </c>
      <c r="E37" s="367"/>
      <c r="F37" s="376"/>
      <c r="G37" s="374"/>
      <c r="H37" s="374"/>
      <c r="I37" s="378"/>
      <c r="J37" s="374"/>
      <c r="K37" s="374"/>
    </row>
    <row r="38" spans="1:11" s="68" customFormat="1">
      <c r="A38" s="360"/>
      <c r="B38" s="362" t="s">
        <v>801</v>
      </c>
      <c r="C38" s="364">
        <v>58000</v>
      </c>
      <c r="D38" s="100" t="s">
        <v>802</v>
      </c>
      <c r="E38" s="366" t="s">
        <v>792</v>
      </c>
      <c r="F38" s="375" t="s">
        <v>763</v>
      </c>
      <c r="G38" s="373">
        <f t="shared" si="0"/>
        <v>580</v>
      </c>
      <c r="H38" s="373">
        <f t="shared" si="1"/>
        <v>81200</v>
      </c>
      <c r="I38" s="377" t="s">
        <v>762</v>
      </c>
      <c r="J38" s="373">
        <v>7.24</v>
      </c>
      <c r="K38" s="373">
        <v>17.100000000000001</v>
      </c>
    </row>
    <row r="39" spans="1:11" s="68" customFormat="1" ht="29.45" customHeight="1" thickBot="1">
      <c r="A39" s="361"/>
      <c r="B39" s="363"/>
      <c r="C39" s="365"/>
      <c r="D39" s="33" t="s">
        <v>803</v>
      </c>
      <c r="E39" s="367"/>
      <c r="F39" s="376"/>
      <c r="G39" s="374"/>
      <c r="H39" s="374"/>
      <c r="I39" s="378"/>
      <c r="J39" s="374"/>
      <c r="K39" s="374"/>
    </row>
    <row r="40" spans="1:11" s="68" customFormat="1">
      <c r="A40" s="360"/>
      <c r="B40" s="362" t="s">
        <v>804</v>
      </c>
      <c r="C40" s="364">
        <v>3500</v>
      </c>
      <c r="D40" s="100" t="s">
        <v>802</v>
      </c>
      <c r="E40" s="366" t="s">
        <v>792</v>
      </c>
      <c r="F40" s="375" t="s">
        <v>763</v>
      </c>
      <c r="G40" s="373">
        <f t="shared" si="0"/>
        <v>35</v>
      </c>
      <c r="H40" s="373">
        <f t="shared" si="1"/>
        <v>4900</v>
      </c>
      <c r="I40" s="377" t="s">
        <v>762</v>
      </c>
      <c r="J40" s="373">
        <v>7.24</v>
      </c>
      <c r="K40" s="373">
        <v>17.100000000000001</v>
      </c>
    </row>
    <row r="41" spans="1:11" s="68" customFormat="1" ht="30" customHeight="1" thickBot="1">
      <c r="A41" s="361"/>
      <c r="B41" s="363"/>
      <c r="C41" s="365"/>
      <c r="D41" s="33" t="s">
        <v>800</v>
      </c>
      <c r="E41" s="367"/>
      <c r="F41" s="376"/>
      <c r="G41" s="374"/>
      <c r="H41" s="374"/>
      <c r="I41" s="378"/>
      <c r="J41" s="374"/>
      <c r="K41" s="374"/>
    </row>
    <row r="42" spans="1:11">
      <c r="A42" s="38"/>
      <c r="B42" s="38"/>
      <c r="C42" s="38"/>
      <c r="D42" s="38"/>
      <c r="E42" s="38"/>
      <c r="F42" s="246"/>
      <c r="G42" s="38"/>
      <c r="H42" s="38"/>
      <c r="I42" s="38"/>
      <c r="J42" s="38"/>
      <c r="K42" s="38"/>
    </row>
    <row r="43" spans="1:11">
      <c r="A43" s="38"/>
      <c r="B43" s="38"/>
      <c r="C43" s="38"/>
      <c r="D43" s="38"/>
      <c r="E43" s="38"/>
      <c r="F43" s="38"/>
      <c r="G43" s="38"/>
      <c r="H43" s="38"/>
      <c r="I43" s="38"/>
      <c r="J43" s="38"/>
      <c r="K43" s="38"/>
    </row>
    <row r="44" spans="1:11">
      <c r="A44" s="38"/>
      <c r="B44" s="38"/>
      <c r="C44" s="38"/>
      <c r="D44" s="38"/>
      <c r="E44" s="38"/>
      <c r="F44" s="38"/>
      <c r="G44" s="38"/>
      <c r="H44" s="38"/>
      <c r="I44" s="38"/>
      <c r="J44" s="38"/>
      <c r="K44" s="38"/>
    </row>
    <row r="45" spans="1:11">
      <c r="A45" s="38"/>
      <c r="B45" s="38"/>
      <c r="C45" s="38"/>
      <c r="D45" s="38"/>
      <c r="E45" s="38"/>
      <c r="F45" s="38"/>
      <c r="G45" s="38"/>
      <c r="H45" s="38"/>
      <c r="I45" s="38"/>
      <c r="J45" s="38"/>
      <c r="K45" s="38"/>
    </row>
    <row r="46" spans="1:11">
      <c r="A46" s="38"/>
      <c r="B46" s="38"/>
      <c r="C46" s="38"/>
      <c r="D46" s="38"/>
      <c r="E46" s="38"/>
      <c r="F46" s="38"/>
      <c r="G46" s="38"/>
      <c r="H46" s="38"/>
      <c r="I46" s="38"/>
      <c r="J46" s="38"/>
      <c r="K46" s="38"/>
    </row>
    <row r="47" spans="1:11">
      <c r="A47" s="38"/>
      <c r="B47" s="38"/>
      <c r="C47" s="38"/>
      <c r="D47" s="38"/>
      <c r="E47" s="38"/>
      <c r="F47" s="38"/>
      <c r="G47" s="38"/>
      <c r="H47" s="38"/>
      <c r="I47" s="38"/>
      <c r="J47" s="38"/>
      <c r="K47" s="38"/>
    </row>
    <row r="48" spans="1:11">
      <c r="A48" s="38"/>
      <c r="B48" s="38"/>
      <c r="C48" s="38"/>
      <c r="D48" s="38"/>
      <c r="E48" s="38"/>
      <c r="F48" s="38"/>
      <c r="G48" s="38"/>
      <c r="H48" s="38"/>
      <c r="I48" s="38"/>
      <c r="J48" s="38"/>
      <c r="K48" s="38"/>
    </row>
    <row r="49" spans="1:11">
      <c r="A49" s="38"/>
      <c r="B49" s="38"/>
      <c r="C49" s="38"/>
      <c r="D49" s="38"/>
      <c r="E49" s="38"/>
      <c r="F49" s="38"/>
      <c r="G49" s="38"/>
      <c r="H49" s="38"/>
      <c r="I49" s="38"/>
      <c r="J49" s="38"/>
      <c r="K49" s="38"/>
    </row>
    <row r="50" spans="1:11">
      <c r="A50" s="38"/>
      <c r="B50" s="38"/>
      <c r="C50" s="38"/>
      <c r="D50" s="38"/>
      <c r="E50" s="38"/>
      <c r="F50" s="38"/>
      <c r="G50" s="38"/>
      <c r="H50" s="38"/>
      <c r="I50" s="38"/>
      <c r="J50" s="38"/>
      <c r="K50" s="38"/>
    </row>
    <row r="51" spans="1:11">
      <c r="A51" s="38"/>
      <c r="B51" s="38"/>
      <c r="C51" s="38"/>
      <c r="D51" s="38"/>
      <c r="E51" s="38"/>
      <c r="F51" s="38"/>
      <c r="G51" s="38"/>
      <c r="H51" s="38"/>
      <c r="I51" s="38"/>
      <c r="J51" s="38"/>
      <c r="K51" s="38"/>
    </row>
    <row r="52" spans="1:11">
      <c r="A52" s="38"/>
      <c r="B52" s="38"/>
      <c r="C52" s="38"/>
      <c r="D52" s="38"/>
      <c r="E52" s="38"/>
      <c r="F52" s="38"/>
      <c r="G52" s="38"/>
      <c r="H52" s="38"/>
      <c r="I52" s="38"/>
      <c r="J52" s="38"/>
      <c r="K52" s="38"/>
    </row>
    <row r="53" spans="1:11">
      <c r="A53" s="38"/>
      <c r="B53" s="38"/>
      <c r="C53" s="38"/>
      <c r="D53" s="38"/>
      <c r="E53" s="38"/>
      <c r="F53" s="38"/>
      <c r="G53" s="38"/>
      <c r="H53" s="38"/>
      <c r="I53" s="38"/>
      <c r="J53" s="38"/>
      <c r="K53" s="38"/>
    </row>
    <row r="54" spans="1:11">
      <c r="A54" s="38"/>
      <c r="B54" s="38"/>
      <c r="C54" s="38"/>
      <c r="D54" s="38"/>
      <c r="E54" s="38"/>
      <c r="F54" s="38"/>
      <c r="G54" s="38"/>
      <c r="H54" s="38"/>
      <c r="I54" s="38"/>
      <c r="J54" s="38"/>
      <c r="K54" s="38"/>
    </row>
    <row r="55" spans="1:11">
      <c r="A55" s="38"/>
      <c r="B55" s="38"/>
      <c r="C55" s="38"/>
      <c r="D55" s="38"/>
      <c r="E55" s="38"/>
      <c r="F55" s="38"/>
      <c r="G55" s="38"/>
      <c r="H55" s="38"/>
      <c r="I55" s="38"/>
      <c r="J55" s="38"/>
      <c r="K55" s="38"/>
    </row>
    <row r="56" spans="1:11">
      <c r="A56" s="38"/>
      <c r="B56" s="38"/>
      <c r="C56" s="38"/>
      <c r="D56" s="38"/>
      <c r="E56" s="38"/>
      <c r="F56" s="38"/>
      <c r="G56" s="38"/>
      <c r="H56" s="38"/>
      <c r="I56" s="38"/>
      <c r="J56" s="38"/>
      <c r="K56" s="38"/>
    </row>
    <row r="57" spans="1:11">
      <c r="A57" s="38"/>
      <c r="B57" s="38"/>
      <c r="C57" s="38"/>
      <c r="D57" s="38"/>
      <c r="E57" s="38"/>
      <c r="F57" s="38"/>
      <c r="G57" s="38"/>
      <c r="H57" s="38"/>
      <c r="I57" s="38"/>
      <c r="J57" s="38"/>
      <c r="K57" s="38"/>
    </row>
    <row r="58" spans="1:11">
      <c r="A58" s="38"/>
      <c r="B58" s="38"/>
      <c r="C58" s="38"/>
      <c r="D58" s="38"/>
      <c r="E58" s="38"/>
      <c r="F58" s="38"/>
      <c r="G58" s="38"/>
      <c r="H58" s="38"/>
      <c r="I58" s="38"/>
      <c r="J58" s="38"/>
      <c r="K58" s="38"/>
    </row>
    <row r="59" spans="1:11">
      <c r="A59" s="38"/>
      <c r="B59" s="38"/>
      <c r="C59" s="38"/>
      <c r="D59" s="38"/>
      <c r="E59" s="38"/>
      <c r="F59" s="38"/>
      <c r="G59" s="38"/>
      <c r="H59" s="38"/>
      <c r="I59" s="38"/>
      <c r="J59" s="38"/>
      <c r="K59" s="38"/>
    </row>
    <row r="60" spans="1:11">
      <c r="A60" s="38"/>
      <c r="B60" s="38"/>
      <c r="C60" s="38"/>
      <c r="D60" s="38"/>
      <c r="E60" s="38"/>
      <c r="F60" s="38"/>
      <c r="G60" s="38"/>
      <c r="H60" s="38"/>
      <c r="I60" s="38"/>
      <c r="J60" s="38"/>
      <c r="K60" s="38"/>
    </row>
    <row r="61" spans="1:11">
      <c r="A61" s="38"/>
      <c r="B61" s="38"/>
      <c r="C61" s="38"/>
      <c r="D61" s="38"/>
      <c r="E61" s="38"/>
      <c r="F61" s="38"/>
      <c r="G61" s="38"/>
      <c r="H61" s="38"/>
      <c r="I61" s="38"/>
      <c r="J61" s="38"/>
      <c r="K61" s="38"/>
    </row>
    <row r="62" spans="1:11">
      <c r="A62" s="38"/>
      <c r="B62" s="38"/>
      <c r="C62" s="38"/>
      <c r="D62" s="38"/>
      <c r="E62" s="38"/>
      <c r="F62" s="38"/>
      <c r="G62" s="38"/>
      <c r="H62" s="38"/>
      <c r="I62" s="38"/>
      <c r="J62" s="38"/>
      <c r="K62" s="38"/>
    </row>
    <row r="63" spans="1:11">
      <c r="A63" s="38"/>
      <c r="B63" s="38"/>
      <c r="C63" s="38"/>
      <c r="D63" s="38"/>
      <c r="E63" s="38"/>
      <c r="F63" s="38"/>
      <c r="G63" s="38"/>
      <c r="H63" s="38"/>
      <c r="I63" s="38"/>
      <c r="J63" s="38"/>
      <c r="K63" s="38"/>
    </row>
    <row r="64" spans="1:11">
      <c r="A64" s="38"/>
      <c r="B64" s="38"/>
      <c r="C64" s="38"/>
      <c r="D64" s="38"/>
      <c r="E64" s="38"/>
      <c r="F64" s="38"/>
      <c r="G64" s="38"/>
      <c r="H64" s="38"/>
      <c r="I64" s="38"/>
      <c r="J64" s="38"/>
      <c r="K64" s="38"/>
    </row>
    <row r="65" spans="1:11">
      <c r="A65" s="38"/>
      <c r="B65" s="38"/>
      <c r="C65" s="38"/>
      <c r="D65" s="38"/>
      <c r="E65" s="38"/>
      <c r="F65" s="38"/>
      <c r="G65" s="38"/>
      <c r="H65" s="38"/>
      <c r="I65" s="38"/>
      <c r="J65" s="38"/>
      <c r="K65" s="38"/>
    </row>
    <row r="66" spans="1:11">
      <c r="A66" s="38"/>
      <c r="B66" s="38"/>
      <c r="C66" s="38"/>
      <c r="D66" s="38"/>
      <c r="E66" s="38"/>
      <c r="F66" s="38"/>
      <c r="G66" s="38"/>
      <c r="H66" s="38"/>
      <c r="I66" s="38"/>
      <c r="J66" s="38"/>
      <c r="K66" s="38"/>
    </row>
    <row r="67" spans="1:11">
      <c r="A67" s="38"/>
      <c r="B67" s="38"/>
      <c r="C67" s="38"/>
      <c r="D67" s="38"/>
      <c r="E67" s="38"/>
      <c r="F67" s="38"/>
      <c r="G67" s="38"/>
      <c r="H67" s="38"/>
      <c r="I67" s="38"/>
      <c r="J67" s="38"/>
      <c r="K67" s="38"/>
    </row>
    <row r="68" spans="1:11">
      <c r="A68" s="38"/>
      <c r="B68" s="38"/>
      <c r="C68" s="38"/>
      <c r="D68" s="38"/>
      <c r="E68" s="38"/>
      <c r="F68" s="38"/>
      <c r="G68" s="38"/>
      <c r="H68" s="38"/>
      <c r="I68" s="38"/>
      <c r="J68" s="38"/>
      <c r="K68" s="38"/>
    </row>
    <row r="69" spans="1:11">
      <c r="A69" s="38"/>
      <c r="B69" s="38"/>
      <c r="C69" s="38"/>
      <c r="D69" s="38"/>
      <c r="E69" s="38"/>
      <c r="F69" s="38"/>
      <c r="G69" s="38"/>
      <c r="H69" s="38"/>
      <c r="I69" s="38"/>
      <c r="J69" s="38"/>
      <c r="K69" s="38"/>
    </row>
    <row r="70" spans="1:11">
      <c r="A70" s="38"/>
      <c r="B70" s="38"/>
      <c r="C70" s="38"/>
      <c r="D70" s="38"/>
      <c r="E70" s="38"/>
      <c r="F70" s="38"/>
      <c r="G70" s="38"/>
      <c r="H70" s="38"/>
      <c r="I70" s="38"/>
      <c r="J70" s="38"/>
      <c r="K70" s="38"/>
    </row>
    <row r="71" spans="1:11">
      <c r="A71" s="38"/>
      <c r="B71" s="38"/>
      <c r="C71" s="38"/>
      <c r="D71" s="38"/>
      <c r="E71" s="38"/>
      <c r="F71" s="38"/>
      <c r="G71" s="38"/>
      <c r="H71" s="38"/>
      <c r="I71" s="38"/>
      <c r="J71" s="38"/>
      <c r="K71" s="38"/>
    </row>
    <row r="72" spans="1:11">
      <c r="A72" s="38"/>
      <c r="B72" s="38"/>
      <c r="C72" s="38"/>
      <c r="D72" s="38"/>
      <c r="E72" s="38"/>
      <c r="F72" s="38"/>
      <c r="G72" s="38"/>
      <c r="H72" s="38"/>
      <c r="I72" s="38"/>
      <c r="J72" s="38"/>
      <c r="K72" s="38"/>
    </row>
    <row r="73" spans="1:11">
      <c r="A73" s="38"/>
      <c r="B73" s="38"/>
      <c r="C73" s="38"/>
      <c r="D73" s="38"/>
      <c r="E73" s="38"/>
      <c r="F73" s="38"/>
      <c r="G73" s="38"/>
      <c r="H73" s="38"/>
      <c r="I73" s="38"/>
      <c r="J73" s="38"/>
      <c r="K73" s="38"/>
    </row>
    <row r="74" spans="1:11">
      <c r="A74" s="38"/>
      <c r="B74" s="38"/>
      <c r="C74" s="38"/>
      <c r="D74" s="38"/>
      <c r="E74" s="38"/>
      <c r="F74" s="38"/>
      <c r="G74" s="38"/>
      <c r="H74" s="38"/>
      <c r="I74" s="38"/>
      <c r="J74" s="38"/>
      <c r="K74" s="38"/>
    </row>
    <row r="75" spans="1:11">
      <c r="A75" s="38"/>
      <c r="B75" s="38"/>
      <c r="C75" s="38"/>
      <c r="D75" s="38"/>
      <c r="E75" s="38"/>
      <c r="F75" s="38"/>
      <c r="G75" s="38"/>
      <c r="H75" s="38"/>
      <c r="I75" s="38"/>
      <c r="J75" s="38"/>
      <c r="K75" s="38"/>
    </row>
    <row r="76" spans="1:11">
      <c r="A76" s="38"/>
      <c r="B76" s="38"/>
      <c r="C76" s="38"/>
      <c r="D76" s="38"/>
      <c r="E76" s="38"/>
      <c r="F76" s="38"/>
      <c r="G76" s="38"/>
      <c r="H76" s="38"/>
      <c r="I76" s="38"/>
      <c r="J76" s="38"/>
      <c r="K76" s="38"/>
    </row>
    <row r="77" spans="1:11">
      <c r="A77" s="38"/>
      <c r="B77" s="38"/>
      <c r="C77" s="38"/>
      <c r="D77" s="38"/>
      <c r="E77" s="38"/>
      <c r="F77" s="38"/>
      <c r="G77" s="38"/>
      <c r="H77" s="38"/>
      <c r="I77" s="38"/>
      <c r="J77" s="38"/>
      <c r="K77" s="38"/>
    </row>
    <row r="78" spans="1:11">
      <c r="A78" s="38"/>
      <c r="B78" s="38"/>
      <c r="C78" s="38"/>
      <c r="D78" s="38"/>
      <c r="E78" s="38"/>
      <c r="F78" s="38"/>
      <c r="G78" s="38"/>
      <c r="H78" s="38"/>
      <c r="I78" s="38"/>
      <c r="J78" s="38"/>
      <c r="K78" s="38"/>
    </row>
    <row r="79" spans="1:11">
      <c r="A79" s="38"/>
      <c r="B79" s="38"/>
      <c r="C79" s="38"/>
      <c r="D79" s="38"/>
      <c r="E79" s="38"/>
      <c r="F79" s="38"/>
      <c r="G79" s="38"/>
      <c r="H79" s="38"/>
      <c r="I79" s="38"/>
      <c r="J79" s="38"/>
      <c r="K79" s="38"/>
    </row>
    <row r="80" spans="1:11">
      <c r="A80" s="38"/>
      <c r="B80" s="38"/>
      <c r="C80" s="38"/>
      <c r="D80" s="38"/>
      <c r="E80" s="38"/>
      <c r="F80" s="38"/>
      <c r="G80" s="38"/>
      <c r="H80" s="38"/>
      <c r="I80" s="38"/>
      <c r="J80" s="38"/>
      <c r="K80" s="38"/>
    </row>
    <row r="81" spans="1:11">
      <c r="A81" s="38"/>
      <c r="B81" s="38"/>
      <c r="C81" s="38"/>
      <c r="D81" s="38"/>
      <c r="E81" s="38"/>
      <c r="F81" s="38"/>
      <c r="G81" s="38"/>
      <c r="H81" s="38"/>
      <c r="I81" s="38"/>
      <c r="J81" s="38"/>
      <c r="K81" s="38"/>
    </row>
    <row r="82" spans="1:11">
      <c r="A82" s="38"/>
      <c r="B82" s="38"/>
      <c r="C82" s="38"/>
      <c r="D82" s="38"/>
      <c r="E82" s="38"/>
      <c r="F82" s="38"/>
      <c r="G82" s="38"/>
      <c r="H82" s="38"/>
      <c r="I82" s="38"/>
      <c r="J82" s="38"/>
      <c r="K82" s="38"/>
    </row>
    <row r="83" spans="1:11">
      <c r="A83" s="38"/>
      <c r="B83" s="38"/>
      <c r="C83" s="38"/>
      <c r="D83" s="38"/>
      <c r="E83" s="38"/>
      <c r="F83" s="38"/>
      <c r="G83" s="38"/>
      <c r="H83" s="38"/>
      <c r="I83" s="38"/>
      <c r="J83" s="38"/>
      <c r="K83" s="38"/>
    </row>
    <row r="84" spans="1:11">
      <c r="A84" s="38"/>
      <c r="B84" s="38"/>
      <c r="C84" s="38"/>
      <c r="D84" s="38"/>
      <c r="E84" s="38"/>
      <c r="F84" s="38"/>
      <c r="G84" s="38"/>
      <c r="H84" s="38"/>
      <c r="I84" s="38"/>
      <c r="J84" s="38"/>
      <c r="K84" s="38"/>
    </row>
    <row r="85" spans="1:11">
      <c r="A85" s="38"/>
      <c r="B85" s="38"/>
      <c r="C85" s="38"/>
      <c r="D85" s="38"/>
      <c r="E85" s="38"/>
      <c r="F85" s="38"/>
      <c r="G85" s="38"/>
      <c r="H85" s="38"/>
      <c r="I85" s="38"/>
      <c r="J85" s="38"/>
      <c r="K85" s="38"/>
    </row>
    <row r="86" spans="1:11">
      <c r="A86" s="38"/>
      <c r="B86" s="38"/>
      <c r="C86" s="38"/>
      <c r="D86" s="38"/>
      <c r="E86" s="38"/>
      <c r="F86" s="38"/>
      <c r="G86" s="38"/>
      <c r="H86" s="38"/>
      <c r="I86" s="38"/>
      <c r="J86" s="38"/>
      <c r="K86" s="38"/>
    </row>
    <row r="87" spans="1:11">
      <c r="A87" s="38"/>
      <c r="B87" s="38"/>
      <c r="C87" s="38"/>
      <c r="D87" s="38"/>
      <c r="E87" s="38"/>
      <c r="F87" s="38"/>
      <c r="G87" s="38"/>
      <c r="H87" s="38"/>
      <c r="I87" s="38"/>
      <c r="J87" s="38"/>
      <c r="K87" s="38"/>
    </row>
    <row r="88" spans="1:11">
      <c r="A88" s="38"/>
      <c r="B88" s="38"/>
      <c r="C88" s="38"/>
      <c r="D88" s="38"/>
      <c r="E88" s="38"/>
      <c r="F88" s="38"/>
      <c r="G88" s="38"/>
      <c r="H88" s="38"/>
      <c r="I88" s="38"/>
      <c r="J88" s="38"/>
      <c r="K88" s="38"/>
    </row>
    <row r="89" spans="1:11">
      <c r="A89" s="38"/>
      <c r="B89" s="38"/>
      <c r="C89" s="38"/>
      <c r="D89" s="38"/>
      <c r="E89" s="38"/>
      <c r="F89" s="38"/>
      <c r="G89" s="38"/>
      <c r="H89" s="38"/>
      <c r="I89" s="38"/>
      <c r="J89" s="38"/>
      <c r="K89" s="38"/>
    </row>
    <row r="90" spans="1:11">
      <c r="A90" s="38"/>
      <c r="B90" s="38"/>
      <c r="C90" s="38"/>
      <c r="D90" s="38"/>
      <c r="E90" s="38"/>
      <c r="F90" s="38"/>
      <c r="G90" s="38"/>
      <c r="H90" s="38"/>
      <c r="I90" s="38"/>
      <c r="J90" s="38"/>
      <c r="K90" s="38"/>
    </row>
    <row r="91" spans="1:11">
      <c r="A91" s="38"/>
      <c r="B91" s="38"/>
      <c r="C91" s="38"/>
      <c r="D91" s="38"/>
      <c r="E91" s="38"/>
      <c r="F91" s="38"/>
      <c r="G91" s="38"/>
      <c r="H91" s="38"/>
      <c r="I91" s="38"/>
      <c r="J91" s="38"/>
      <c r="K91" s="38"/>
    </row>
    <row r="92" spans="1:11">
      <c r="A92" s="38"/>
      <c r="B92" s="38"/>
      <c r="C92" s="38"/>
      <c r="D92" s="38"/>
      <c r="E92" s="38"/>
      <c r="F92" s="38"/>
      <c r="G92" s="38"/>
      <c r="H92" s="38"/>
      <c r="I92" s="38"/>
      <c r="J92" s="38"/>
      <c r="K92" s="38"/>
    </row>
    <row r="93" spans="1:11">
      <c r="A93" s="38"/>
      <c r="B93" s="38"/>
      <c r="C93" s="38"/>
      <c r="D93" s="38"/>
      <c r="E93" s="38"/>
      <c r="F93" s="38"/>
      <c r="G93" s="38"/>
      <c r="H93" s="38"/>
      <c r="I93" s="38"/>
      <c r="J93" s="38"/>
      <c r="K93" s="38"/>
    </row>
    <row r="94" spans="1:11">
      <c r="A94" s="38"/>
      <c r="B94" s="38"/>
      <c r="C94" s="38"/>
      <c r="D94" s="38"/>
      <c r="E94" s="38"/>
      <c r="F94" s="38"/>
      <c r="G94" s="38"/>
      <c r="H94" s="38"/>
      <c r="I94" s="38"/>
      <c r="J94" s="38"/>
      <c r="K94" s="38"/>
    </row>
    <row r="95" spans="1:11">
      <c r="A95" s="38"/>
      <c r="B95" s="38"/>
      <c r="C95" s="38"/>
      <c r="D95" s="38"/>
      <c r="E95" s="38"/>
      <c r="F95" s="38"/>
      <c r="G95" s="38"/>
      <c r="H95" s="38"/>
      <c r="I95" s="38"/>
      <c r="J95" s="38"/>
      <c r="K95" s="38"/>
    </row>
    <row r="96" spans="1:11">
      <c r="A96" s="38"/>
      <c r="B96" s="38"/>
      <c r="C96" s="38"/>
      <c r="D96" s="38"/>
      <c r="E96" s="38"/>
      <c r="F96" s="38"/>
      <c r="G96" s="38"/>
      <c r="H96" s="38"/>
      <c r="I96" s="38"/>
      <c r="J96" s="38"/>
      <c r="K96" s="38"/>
    </row>
    <row r="97" spans="1:11">
      <c r="A97" s="38"/>
      <c r="B97" s="38"/>
      <c r="C97" s="38"/>
      <c r="D97" s="38"/>
      <c r="E97" s="38"/>
      <c r="F97" s="38"/>
      <c r="G97" s="38"/>
      <c r="H97" s="38"/>
      <c r="I97" s="38"/>
      <c r="J97" s="38"/>
      <c r="K97" s="38"/>
    </row>
    <row r="98" spans="1:11">
      <c r="A98" s="38"/>
      <c r="B98" s="38"/>
      <c r="C98" s="38"/>
      <c r="D98" s="38"/>
      <c r="E98" s="38"/>
      <c r="F98" s="38"/>
      <c r="G98" s="38"/>
      <c r="H98" s="38"/>
      <c r="I98" s="38"/>
      <c r="J98" s="38"/>
      <c r="K98" s="38"/>
    </row>
    <row r="99" spans="1:11">
      <c r="A99" s="38"/>
      <c r="B99" s="38"/>
      <c r="C99" s="38"/>
      <c r="D99" s="38"/>
      <c r="E99" s="38"/>
      <c r="F99" s="38"/>
      <c r="G99" s="38"/>
      <c r="H99" s="38"/>
      <c r="I99" s="38"/>
      <c r="J99" s="38"/>
      <c r="K99" s="38"/>
    </row>
    <row r="100" spans="1:11">
      <c r="A100" s="38"/>
      <c r="B100" s="38"/>
      <c r="C100" s="38"/>
      <c r="D100" s="38"/>
      <c r="E100" s="38"/>
      <c r="F100" s="38"/>
      <c r="G100" s="38"/>
      <c r="H100" s="38"/>
      <c r="I100" s="38"/>
      <c r="J100" s="38"/>
      <c r="K100" s="38"/>
    </row>
    <row r="101" spans="1:11">
      <c r="A101" s="38"/>
      <c r="B101" s="38"/>
      <c r="C101" s="38"/>
      <c r="D101" s="38"/>
      <c r="E101" s="38"/>
      <c r="F101" s="38"/>
      <c r="G101" s="38"/>
      <c r="H101" s="38"/>
      <c r="I101" s="38"/>
      <c r="J101" s="38"/>
      <c r="K101" s="38"/>
    </row>
    <row r="102" spans="1:11">
      <c r="A102" s="38"/>
      <c r="B102" s="38"/>
      <c r="C102" s="38"/>
      <c r="D102" s="38"/>
      <c r="E102" s="38"/>
      <c r="F102" s="38"/>
      <c r="G102" s="38"/>
      <c r="H102" s="38"/>
      <c r="I102" s="38"/>
      <c r="J102" s="38"/>
      <c r="K102" s="38"/>
    </row>
    <row r="103" spans="1:11">
      <c r="A103" s="38"/>
      <c r="B103" s="38"/>
      <c r="C103" s="38"/>
      <c r="D103" s="38"/>
      <c r="E103" s="38"/>
      <c r="F103" s="38"/>
      <c r="G103" s="38"/>
      <c r="H103" s="38"/>
      <c r="I103" s="38"/>
      <c r="J103" s="38"/>
      <c r="K103" s="38"/>
    </row>
    <row r="104" spans="1:11">
      <c r="A104" s="38"/>
      <c r="B104" s="38"/>
      <c r="C104" s="38"/>
      <c r="D104" s="38"/>
      <c r="E104" s="38"/>
      <c r="F104" s="38"/>
      <c r="G104" s="38"/>
      <c r="H104" s="38"/>
      <c r="I104" s="38"/>
      <c r="J104" s="38"/>
      <c r="K104" s="38"/>
    </row>
    <row r="105" spans="1:11">
      <c r="A105" s="38"/>
      <c r="B105" s="38"/>
      <c r="C105" s="38"/>
      <c r="D105" s="38"/>
      <c r="E105" s="38"/>
      <c r="F105" s="38"/>
      <c r="G105" s="38"/>
      <c r="H105" s="38"/>
      <c r="I105" s="38"/>
      <c r="J105" s="38"/>
      <c r="K105" s="38"/>
    </row>
    <row r="106" spans="1:11">
      <c r="A106" s="38"/>
      <c r="B106" s="38"/>
      <c r="C106" s="38"/>
      <c r="D106" s="38"/>
      <c r="E106" s="38"/>
      <c r="F106" s="38"/>
      <c r="G106" s="38"/>
      <c r="H106" s="38"/>
      <c r="I106" s="38"/>
      <c r="J106" s="38"/>
      <c r="K106" s="38"/>
    </row>
    <row r="107" spans="1:11">
      <c r="A107" s="38"/>
      <c r="B107" s="38"/>
      <c r="C107" s="38"/>
      <c r="D107" s="38"/>
      <c r="E107" s="38"/>
      <c r="F107" s="38"/>
      <c r="G107" s="38"/>
      <c r="H107" s="38"/>
      <c r="I107" s="38"/>
      <c r="J107" s="38"/>
      <c r="K107" s="38"/>
    </row>
    <row r="108" spans="1:11">
      <c r="A108" s="38"/>
      <c r="B108" s="38"/>
      <c r="C108" s="38"/>
      <c r="D108" s="38"/>
      <c r="E108" s="38"/>
      <c r="F108" s="38"/>
      <c r="G108" s="38"/>
      <c r="H108" s="38"/>
      <c r="I108" s="38"/>
      <c r="J108" s="38"/>
      <c r="K108" s="38"/>
    </row>
    <row r="109" spans="1:11">
      <c r="A109" s="38"/>
      <c r="B109" s="38"/>
      <c r="C109" s="38"/>
      <c r="D109" s="38"/>
      <c r="E109" s="38"/>
      <c r="F109" s="38"/>
      <c r="G109" s="38"/>
      <c r="H109" s="38"/>
      <c r="I109" s="38"/>
      <c r="J109" s="38"/>
      <c r="K109" s="38"/>
    </row>
    <row r="110" spans="1:11">
      <c r="A110" s="38"/>
      <c r="B110" s="38"/>
      <c r="C110" s="38"/>
      <c r="D110" s="38"/>
      <c r="E110" s="38"/>
      <c r="F110" s="38"/>
      <c r="G110" s="38"/>
      <c r="H110" s="38"/>
      <c r="I110" s="38"/>
      <c r="J110" s="38"/>
      <c r="K110" s="38"/>
    </row>
    <row r="111" spans="1:11">
      <c r="A111" s="38"/>
      <c r="B111" s="38"/>
      <c r="C111" s="38"/>
      <c r="D111" s="38"/>
      <c r="E111" s="38"/>
      <c r="F111" s="38"/>
      <c r="G111" s="38"/>
      <c r="H111" s="38"/>
      <c r="I111" s="38"/>
      <c r="J111" s="38"/>
      <c r="K111" s="38"/>
    </row>
    <row r="112" spans="1:11">
      <c r="A112" s="38"/>
      <c r="B112" s="38"/>
      <c r="C112" s="38"/>
      <c r="D112" s="38"/>
      <c r="E112" s="38"/>
      <c r="F112" s="38"/>
      <c r="G112" s="38"/>
      <c r="H112" s="38"/>
      <c r="I112" s="38"/>
      <c r="J112" s="38"/>
      <c r="K112" s="38"/>
    </row>
    <row r="113" spans="1:11">
      <c r="A113" s="38"/>
      <c r="B113" s="38"/>
      <c r="C113" s="38"/>
      <c r="D113" s="38"/>
      <c r="E113" s="38"/>
      <c r="F113" s="38"/>
      <c r="G113" s="38"/>
      <c r="H113" s="38"/>
      <c r="I113" s="38"/>
      <c r="J113" s="38"/>
      <c r="K113" s="38"/>
    </row>
    <row r="114" spans="1:11">
      <c r="A114" s="38"/>
      <c r="B114" s="38"/>
      <c r="C114" s="38"/>
      <c r="D114" s="38"/>
      <c r="E114" s="38"/>
      <c r="F114" s="38"/>
      <c r="G114" s="38"/>
      <c r="H114" s="38"/>
      <c r="I114" s="38"/>
      <c r="J114" s="38"/>
      <c r="K114" s="38"/>
    </row>
    <row r="115" spans="1:11">
      <c r="A115" s="38"/>
      <c r="B115" s="38"/>
      <c r="C115" s="38"/>
      <c r="D115" s="38"/>
      <c r="E115" s="38"/>
      <c r="F115" s="38"/>
      <c r="G115" s="38"/>
      <c r="H115" s="38"/>
      <c r="I115" s="38"/>
      <c r="J115" s="38"/>
      <c r="K115" s="38"/>
    </row>
    <row r="116" spans="1:11">
      <c r="A116" s="38"/>
      <c r="B116" s="38"/>
      <c r="C116" s="38"/>
      <c r="D116" s="38"/>
      <c r="E116" s="38"/>
      <c r="F116" s="38"/>
      <c r="G116" s="38"/>
      <c r="H116" s="38"/>
      <c r="I116" s="38"/>
      <c r="J116" s="38"/>
      <c r="K116" s="38"/>
    </row>
    <row r="117" spans="1:11">
      <c r="A117" s="38"/>
      <c r="B117" s="38"/>
      <c r="C117" s="38"/>
      <c r="D117" s="38"/>
      <c r="E117" s="38"/>
      <c r="F117" s="38"/>
      <c r="G117" s="38"/>
      <c r="H117" s="38"/>
      <c r="I117" s="38"/>
      <c r="J117" s="38"/>
      <c r="K117" s="38"/>
    </row>
    <row r="118" spans="1:11">
      <c r="A118" s="38"/>
      <c r="B118" s="38"/>
      <c r="C118" s="38"/>
      <c r="D118" s="38"/>
      <c r="E118" s="38"/>
      <c r="F118" s="38"/>
      <c r="G118" s="38"/>
      <c r="H118" s="38"/>
      <c r="I118" s="38"/>
      <c r="J118" s="38"/>
      <c r="K118" s="38"/>
    </row>
    <row r="119" spans="1:11">
      <c r="A119" s="38"/>
      <c r="B119" s="38"/>
      <c r="C119" s="38"/>
      <c r="D119" s="38"/>
      <c r="E119" s="38"/>
      <c r="F119" s="38"/>
      <c r="G119" s="38"/>
      <c r="H119" s="38"/>
      <c r="I119" s="38"/>
      <c r="J119" s="38"/>
      <c r="K119" s="38"/>
    </row>
    <row r="120" spans="1:11">
      <c r="A120" s="38"/>
      <c r="B120" s="38"/>
      <c r="C120" s="38"/>
      <c r="D120" s="38"/>
      <c r="E120" s="38"/>
      <c r="F120" s="38"/>
      <c r="G120" s="38"/>
      <c r="H120" s="38"/>
      <c r="I120" s="38"/>
      <c r="J120" s="38"/>
      <c r="K120" s="38"/>
    </row>
    <row r="121" spans="1:11">
      <c r="A121" s="38"/>
      <c r="B121" s="38"/>
      <c r="C121" s="38"/>
      <c r="D121" s="38"/>
      <c r="E121" s="38"/>
      <c r="F121" s="38"/>
      <c r="G121" s="38"/>
      <c r="H121" s="38"/>
      <c r="I121" s="38"/>
      <c r="J121" s="38"/>
      <c r="K121" s="38"/>
    </row>
    <row r="122" spans="1:11">
      <c r="A122" s="38"/>
      <c r="B122" s="38"/>
      <c r="C122" s="38"/>
      <c r="D122" s="38"/>
      <c r="E122" s="38"/>
      <c r="F122" s="38"/>
      <c r="G122" s="38"/>
      <c r="H122" s="38"/>
      <c r="I122" s="38"/>
      <c r="J122" s="38"/>
      <c r="K122" s="38"/>
    </row>
    <row r="123" spans="1:11">
      <c r="A123" s="38"/>
      <c r="B123" s="38"/>
      <c r="C123" s="38"/>
      <c r="D123" s="38"/>
      <c r="E123" s="38"/>
      <c r="F123" s="38"/>
      <c r="G123" s="38"/>
      <c r="H123" s="38"/>
      <c r="I123" s="38"/>
      <c r="J123" s="38"/>
      <c r="K123" s="38"/>
    </row>
    <row r="124" spans="1:11">
      <c r="A124" s="38"/>
      <c r="B124" s="38"/>
      <c r="C124" s="38"/>
      <c r="D124" s="38"/>
      <c r="E124" s="38"/>
      <c r="F124" s="38"/>
      <c r="G124" s="38"/>
      <c r="H124" s="38"/>
      <c r="I124" s="38"/>
      <c r="J124" s="38"/>
      <c r="K124" s="38"/>
    </row>
    <row r="125" spans="1:11">
      <c r="A125" s="38"/>
      <c r="B125" s="38"/>
      <c r="C125" s="38"/>
      <c r="D125" s="38"/>
      <c r="E125" s="38"/>
      <c r="F125" s="38"/>
      <c r="G125" s="38"/>
      <c r="H125" s="38"/>
      <c r="I125" s="38"/>
      <c r="J125" s="38"/>
      <c r="K125" s="38"/>
    </row>
    <row r="126" spans="1:11">
      <c r="A126" s="38"/>
      <c r="B126" s="38"/>
      <c r="C126" s="38"/>
      <c r="D126" s="38"/>
      <c r="E126" s="38"/>
      <c r="F126" s="38"/>
      <c r="G126" s="38"/>
      <c r="H126" s="38"/>
      <c r="I126" s="38"/>
      <c r="J126" s="38"/>
      <c r="K126" s="38"/>
    </row>
    <row r="127" spans="1:11">
      <c r="A127" s="38"/>
      <c r="B127" s="38"/>
      <c r="C127" s="38"/>
      <c r="D127" s="38"/>
      <c r="E127" s="38"/>
      <c r="F127" s="38"/>
      <c r="G127" s="38"/>
      <c r="H127" s="38"/>
      <c r="I127" s="38"/>
      <c r="J127" s="38"/>
      <c r="K127" s="38"/>
    </row>
    <row r="128" spans="1:11">
      <c r="A128" s="38"/>
      <c r="B128" s="38"/>
      <c r="C128" s="38"/>
      <c r="D128" s="38"/>
      <c r="E128" s="38"/>
      <c r="F128" s="38"/>
      <c r="G128" s="38"/>
      <c r="H128" s="38"/>
      <c r="I128" s="38"/>
      <c r="J128" s="38"/>
      <c r="K128" s="38"/>
    </row>
    <row r="129" spans="1:11">
      <c r="A129" s="38"/>
      <c r="B129" s="38"/>
      <c r="C129" s="38"/>
      <c r="D129" s="38"/>
      <c r="E129" s="38"/>
      <c r="F129" s="38"/>
      <c r="G129" s="38"/>
      <c r="H129" s="38"/>
      <c r="I129" s="38"/>
      <c r="J129" s="38"/>
      <c r="K129" s="38"/>
    </row>
    <row r="130" spans="1:11">
      <c r="A130" s="38"/>
      <c r="B130" s="38"/>
      <c r="C130" s="38"/>
      <c r="D130" s="38"/>
      <c r="E130" s="38"/>
      <c r="F130" s="38"/>
      <c r="G130" s="38"/>
      <c r="H130" s="38"/>
      <c r="I130" s="38"/>
      <c r="J130" s="38"/>
      <c r="K130" s="38"/>
    </row>
    <row r="131" spans="1:11">
      <c r="A131" s="38"/>
      <c r="B131" s="38"/>
      <c r="C131" s="38"/>
      <c r="D131" s="38"/>
      <c r="E131" s="38"/>
      <c r="F131" s="38"/>
      <c r="G131" s="38"/>
      <c r="H131" s="38"/>
      <c r="I131" s="38"/>
      <c r="J131" s="38"/>
      <c r="K131" s="38"/>
    </row>
    <row r="132" spans="1:11">
      <c r="A132" s="38"/>
      <c r="B132" s="38"/>
      <c r="C132" s="38"/>
      <c r="D132" s="38"/>
      <c r="E132" s="38"/>
      <c r="F132" s="38"/>
      <c r="G132" s="38"/>
      <c r="H132" s="38"/>
      <c r="I132" s="38"/>
      <c r="J132" s="38"/>
      <c r="K132" s="38"/>
    </row>
    <row r="133" spans="1:11">
      <c r="A133" s="38"/>
      <c r="B133" s="38"/>
      <c r="C133" s="38"/>
      <c r="D133" s="38"/>
      <c r="E133" s="38"/>
      <c r="F133" s="38"/>
      <c r="G133" s="38"/>
      <c r="H133" s="38"/>
      <c r="I133" s="38"/>
      <c r="J133" s="38"/>
      <c r="K133" s="38"/>
    </row>
    <row r="134" spans="1:11">
      <c r="A134" s="38"/>
      <c r="B134" s="38"/>
      <c r="C134" s="38"/>
      <c r="D134" s="38"/>
      <c r="E134" s="38"/>
      <c r="F134" s="38"/>
      <c r="G134" s="38"/>
      <c r="H134" s="38"/>
      <c r="I134" s="38"/>
      <c r="J134" s="38"/>
      <c r="K134" s="38"/>
    </row>
    <row r="135" spans="1:11">
      <c r="A135" s="38"/>
      <c r="B135" s="38"/>
      <c r="C135" s="38"/>
      <c r="D135" s="38"/>
      <c r="E135" s="38"/>
      <c r="F135" s="38"/>
      <c r="G135" s="38"/>
      <c r="H135" s="38"/>
      <c r="I135" s="38"/>
      <c r="J135" s="38"/>
      <c r="K135" s="38"/>
    </row>
    <row r="136" spans="1:11">
      <c r="A136" s="38"/>
      <c r="B136" s="38"/>
      <c r="C136" s="38"/>
      <c r="D136" s="38"/>
      <c r="E136" s="38"/>
      <c r="F136" s="38"/>
      <c r="G136" s="38"/>
      <c r="H136" s="38"/>
      <c r="I136" s="38"/>
      <c r="J136" s="38"/>
      <c r="K136" s="38"/>
    </row>
    <row r="137" spans="1:11">
      <c r="A137" s="38"/>
      <c r="B137" s="38"/>
      <c r="C137" s="38"/>
      <c r="D137" s="38"/>
      <c r="E137" s="38"/>
      <c r="F137" s="38"/>
      <c r="G137" s="38"/>
      <c r="H137" s="38"/>
      <c r="I137" s="38"/>
      <c r="J137" s="38"/>
      <c r="K137" s="38"/>
    </row>
    <row r="138" spans="1:11">
      <c r="A138" s="38"/>
      <c r="B138" s="38"/>
      <c r="C138" s="38"/>
      <c r="D138" s="38"/>
      <c r="E138" s="38"/>
      <c r="F138" s="38"/>
      <c r="G138" s="38"/>
      <c r="H138" s="38"/>
      <c r="I138" s="38"/>
      <c r="J138" s="38"/>
      <c r="K138" s="38"/>
    </row>
    <row r="139" spans="1:11">
      <c r="A139" s="38"/>
      <c r="B139" s="38"/>
      <c r="C139" s="38"/>
      <c r="D139" s="38"/>
      <c r="E139" s="38"/>
      <c r="F139" s="38"/>
      <c r="G139" s="38"/>
      <c r="H139" s="38"/>
      <c r="I139" s="38"/>
      <c r="J139" s="38"/>
      <c r="K139" s="38"/>
    </row>
    <row r="140" spans="1:11">
      <c r="A140" s="38"/>
      <c r="B140" s="38"/>
      <c r="C140" s="38"/>
      <c r="D140" s="38"/>
      <c r="E140" s="38"/>
      <c r="F140" s="38"/>
      <c r="G140" s="38"/>
      <c r="H140" s="38"/>
      <c r="I140" s="38"/>
      <c r="J140" s="38"/>
      <c r="K140" s="38"/>
    </row>
    <row r="141" spans="1:11">
      <c r="A141" s="38"/>
      <c r="B141" s="38"/>
      <c r="C141" s="38"/>
      <c r="D141" s="38"/>
      <c r="E141" s="38"/>
      <c r="F141" s="38"/>
      <c r="G141" s="38"/>
      <c r="H141" s="38"/>
      <c r="I141" s="38"/>
      <c r="J141" s="38"/>
      <c r="K141" s="38"/>
    </row>
    <row r="142" spans="1:11">
      <c r="A142" s="38"/>
      <c r="B142" s="38"/>
      <c r="C142" s="38"/>
      <c r="D142" s="38"/>
      <c r="E142" s="38"/>
      <c r="F142" s="38"/>
      <c r="G142" s="38"/>
      <c r="H142" s="38"/>
      <c r="I142" s="38"/>
      <c r="J142" s="38"/>
      <c r="K142" s="38"/>
    </row>
    <row r="143" spans="1:11">
      <c r="A143" s="38"/>
      <c r="B143" s="38"/>
      <c r="C143" s="38"/>
      <c r="D143" s="38"/>
      <c r="E143" s="38"/>
      <c r="F143" s="38"/>
      <c r="G143" s="38"/>
      <c r="H143" s="38"/>
      <c r="I143" s="38"/>
      <c r="J143" s="38"/>
      <c r="K143" s="38"/>
    </row>
    <row r="144" spans="1:11">
      <c r="A144" s="38"/>
      <c r="B144" s="38"/>
      <c r="C144" s="38"/>
      <c r="D144" s="38"/>
      <c r="E144" s="38"/>
      <c r="F144" s="38"/>
      <c r="G144" s="38"/>
      <c r="H144" s="38"/>
      <c r="I144" s="38"/>
      <c r="J144" s="38"/>
      <c r="K144" s="38"/>
    </row>
    <row r="145" spans="1:11">
      <c r="A145" s="38"/>
      <c r="B145" s="38"/>
      <c r="C145" s="38"/>
      <c r="D145" s="38"/>
      <c r="E145" s="38"/>
      <c r="F145" s="38"/>
      <c r="G145" s="38"/>
      <c r="H145" s="38"/>
      <c r="I145" s="38"/>
      <c r="J145" s="38"/>
      <c r="K145" s="38"/>
    </row>
    <row r="146" spans="1:11">
      <c r="A146" s="38"/>
      <c r="B146" s="38"/>
      <c r="C146" s="38"/>
      <c r="D146" s="38"/>
      <c r="E146" s="38"/>
      <c r="F146" s="38"/>
      <c r="G146" s="38"/>
      <c r="H146" s="38"/>
      <c r="I146" s="38"/>
      <c r="J146" s="38"/>
      <c r="K146" s="38"/>
    </row>
    <row r="147" spans="1:11">
      <c r="A147" s="38"/>
      <c r="B147" s="38"/>
      <c r="C147" s="38"/>
      <c r="D147" s="38"/>
      <c r="E147" s="38"/>
      <c r="F147" s="38"/>
      <c r="G147" s="38"/>
      <c r="H147" s="38"/>
      <c r="I147" s="38"/>
      <c r="J147" s="38"/>
      <c r="K147" s="38"/>
    </row>
    <row r="148" spans="1:11">
      <c r="A148" s="38"/>
      <c r="B148" s="38"/>
      <c r="C148" s="38"/>
      <c r="D148" s="38"/>
      <c r="E148" s="38"/>
      <c r="F148" s="38"/>
      <c r="G148" s="38"/>
      <c r="H148" s="38"/>
      <c r="I148" s="38"/>
      <c r="J148" s="38"/>
      <c r="K148" s="38"/>
    </row>
    <row r="149" spans="1:11">
      <c r="A149" s="38"/>
      <c r="B149" s="38"/>
      <c r="C149" s="38"/>
      <c r="D149" s="38"/>
      <c r="E149" s="38"/>
      <c r="F149" s="38"/>
      <c r="G149" s="38"/>
      <c r="H149" s="38"/>
      <c r="I149" s="38"/>
      <c r="J149" s="38"/>
      <c r="K149" s="38"/>
    </row>
    <row r="150" spans="1:11">
      <c r="A150" s="38"/>
      <c r="B150" s="38"/>
      <c r="C150" s="38"/>
      <c r="D150" s="38"/>
      <c r="E150" s="38"/>
      <c r="F150" s="38"/>
      <c r="G150" s="38"/>
      <c r="H150" s="38"/>
      <c r="I150" s="38"/>
      <c r="J150" s="38"/>
      <c r="K150" s="38"/>
    </row>
    <row r="151" spans="1:11">
      <c r="A151" s="38"/>
      <c r="B151" s="38"/>
      <c r="C151" s="38"/>
      <c r="D151" s="38"/>
      <c r="E151" s="38"/>
      <c r="F151" s="38"/>
      <c r="G151" s="38"/>
      <c r="H151" s="38"/>
      <c r="I151" s="38"/>
      <c r="J151" s="38"/>
      <c r="K151" s="38"/>
    </row>
    <row r="152" spans="1:11">
      <c r="A152" s="38"/>
      <c r="B152" s="38"/>
      <c r="C152" s="38"/>
      <c r="D152" s="38"/>
      <c r="E152" s="38"/>
      <c r="F152" s="38"/>
      <c r="G152" s="38"/>
      <c r="H152" s="38"/>
      <c r="I152" s="38"/>
      <c r="J152" s="38"/>
      <c r="K152" s="38"/>
    </row>
    <row r="153" spans="1:11">
      <c r="A153" s="38"/>
      <c r="B153" s="38"/>
      <c r="C153" s="38"/>
      <c r="D153" s="38"/>
      <c r="E153" s="38"/>
      <c r="F153" s="38"/>
      <c r="G153" s="38"/>
      <c r="H153" s="38"/>
      <c r="I153" s="38"/>
      <c r="J153" s="38"/>
      <c r="K153" s="38"/>
    </row>
    <row r="154" spans="1:11">
      <c r="A154" s="38"/>
      <c r="B154" s="38"/>
      <c r="C154" s="38"/>
      <c r="D154" s="38"/>
      <c r="E154" s="38"/>
      <c r="F154" s="38"/>
      <c r="G154" s="38"/>
      <c r="H154" s="38"/>
      <c r="I154" s="38"/>
      <c r="J154" s="38"/>
      <c r="K154" s="38"/>
    </row>
    <row r="155" spans="1:11">
      <c r="A155" s="38"/>
      <c r="B155" s="38"/>
      <c r="C155" s="38"/>
      <c r="D155" s="38"/>
      <c r="E155" s="38"/>
      <c r="F155" s="38"/>
      <c r="G155" s="38"/>
      <c r="H155" s="38"/>
      <c r="I155" s="38"/>
      <c r="J155" s="38"/>
      <c r="K155" s="38"/>
    </row>
    <row r="156" spans="1:11">
      <c r="A156" s="38"/>
      <c r="B156" s="38"/>
      <c r="C156" s="38"/>
      <c r="D156" s="38"/>
      <c r="E156" s="38"/>
      <c r="F156" s="38"/>
      <c r="G156" s="38"/>
      <c r="H156" s="38"/>
      <c r="I156" s="38"/>
      <c r="J156" s="38"/>
      <c r="K156" s="38"/>
    </row>
    <row r="157" spans="1:11">
      <c r="A157" s="38"/>
      <c r="B157" s="38"/>
      <c r="C157" s="38"/>
      <c r="D157" s="38"/>
      <c r="E157" s="38"/>
      <c r="F157" s="38"/>
      <c r="G157" s="38"/>
      <c r="H157" s="38"/>
      <c r="I157" s="38"/>
      <c r="J157" s="38"/>
      <c r="K157" s="38"/>
    </row>
    <row r="158" spans="1:11">
      <c r="A158" s="38"/>
      <c r="B158" s="38"/>
      <c r="C158" s="38"/>
      <c r="D158" s="38"/>
      <c r="E158" s="38"/>
      <c r="F158" s="38"/>
      <c r="G158" s="38"/>
      <c r="H158" s="38"/>
      <c r="I158" s="38"/>
      <c r="J158" s="38"/>
      <c r="K158" s="38"/>
    </row>
    <row r="159" spans="1:11">
      <c r="A159" s="38"/>
      <c r="B159" s="38"/>
      <c r="C159" s="38"/>
      <c r="D159" s="38"/>
      <c r="E159" s="38"/>
      <c r="F159" s="38"/>
      <c r="G159" s="38"/>
      <c r="H159" s="38"/>
      <c r="I159" s="38"/>
      <c r="J159" s="38"/>
      <c r="K159" s="38"/>
    </row>
    <row r="160" spans="1:11">
      <c r="A160" s="38"/>
      <c r="B160" s="38"/>
      <c r="C160" s="38"/>
      <c r="D160" s="38"/>
      <c r="E160" s="38"/>
      <c r="F160" s="38"/>
      <c r="G160" s="38"/>
      <c r="H160" s="38"/>
      <c r="I160" s="38"/>
      <c r="J160" s="38"/>
      <c r="K160" s="38"/>
    </row>
    <row r="161" spans="1:11">
      <c r="A161" s="38"/>
      <c r="B161" s="38"/>
      <c r="C161" s="38"/>
      <c r="D161" s="38"/>
      <c r="E161" s="38"/>
      <c r="F161" s="38"/>
      <c r="G161" s="38"/>
      <c r="H161" s="38"/>
      <c r="I161" s="38"/>
      <c r="J161" s="38"/>
      <c r="K161" s="38"/>
    </row>
    <row r="162" spans="1:11">
      <c r="A162" s="38"/>
      <c r="B162" s="38"/>
      <c r="C162" s="38"/>
      <c r="D162" s="38"/>
      <c r="E162" s="38"/>
      <c r="F162" s="38"/>
      <c r="G162" s="38"/>
      <c r="H162" s="38"/>
      <c r="I162" s="38"/>
      <c r="J162" s="38"/>
      <c r="K162" s="38"/>
    </row>
    <row r="163" spans="1:11">
      <c r="A163" s="38"/>
      <c r="B163" s="38"/>
      <c r="C163" s="38"/>
      <c r="D163" s="38"/>
      <c r="E163" s="38"/>
      <c r="F163" s="38"/>
      <c r="G163" s="38"/>
      <c r="H163" s="38"/>
      <c r="I163" s="38"/>
      <c r="J163" s="38"/>
      <c r="K163" s="38"/>
    </row>
    <row r="164" spans="1:11">
      <c r="A164" s="38"/>
      <c r="B164" s="38"/>
      <c r="C164" s="38"/>
      <c r="D164" s="38"/>
      <c r="E164" s="38"/>
      <c r="F164" s="38"/>
      <c r="G164" s="38"/>
      <c r="H164" s="38"/>
      <c r="I164" s="38"/>
      <c r="J164" s="38"/>
      <c r="K164" s="38"/>
    </row>
    <row r="165" spans="1:11">
      <c r="A165" s="38"/>
      <c r="B165" s="38"/>
      <c r="C165" s="38"/>
      <c r="D165" s="38"/>
      <c r="E165" s="38"/>
      <c r="F165" s="38"/>
      <c r="G165" s="38"/>
      <c r="H165" s="38"/>
      <c r="I165" s="38"/>
      <c r="J165" s="38"/>
      <c r="K165" s="38"/>
    </row>
    <row r="166" spans="1:11">
      <c r="A166" s="38"/>
      <c r="B166" s="38"/>
      <c r="C166" s="38"/>
      <c r="D166" s="38"/>
      <c r="E166" s="38"/>
      <c r="F166" s="38"/>
      <c r="G166" s="38"/>
      <c r="H166" s="38"/>
      <c r="I166" s="38"/>
      <c r="J166" s="38"/>
      <c r="K166" s="38"/>
    </row>
    <row r="167" spans="1:11">
      <c r="A167" s="38"/>
      <c r="B167" s="38"/>
      <c r="C167" s="38"/>
      <c r="D167" s="38"/>
      <c r="E167" s="38"/>
      <c r="F167" s="38"/>
      <c r="G167" s="38"/>
      <c r="H167" s="38"/>
      <c r="I167" s="38"/>
      <c r="J167" s="38"/>
      <c r="K167" s="38"/>
    </row>
    <row r="168" spans="1:11">
      <c r="A168" s="38"/>
      <c r="B168" s="38"/>
      <c r="C168" s="38"/>
      <c r="D168" s="38"/>
      <c r="E168" s="38"/>
      <c r="F168" s="38"/>
      <c r="G168" s="38"/>
      <c r="H168" s="38"/>
      <c r="I168" s="38"/>
      <c r="J168" s="38"/>
      <c r="K168" s="38"/>
    </row>
  </sheetData>
  <mergeCells count="39">
    <mergeCell ref="F40:F41"/>
    <mergeCell ref="F38:F39"/>
    <mergeCell ref="G36:G37"/>
    <mergeCell ref="H36:H37"/>
    <mergeCell ref="I36:I37"/>
    <mergeCell ref="I40:I41"/>
    <mergeCell ref="I38:I39"/>
    <mergeCell ref="H40:H41"/>
    <mergeCell ref="H38:H39"/>
    <mergeCell ref="G40:G41"/>
    <mergeCell ref="G38:G39"/>
    <mergeCell ref="F36:F37"/>
    <mergeCell ref="K40:K41"/>
    <mergeCell ref="J40:J41"/>
    <mergeCell ref="K38:K39"/>
    <mergeCell ref="J38:J39"/>
    <mergeCell ref="K36:K37"/>
    <mergeCell ref="J36:J37"/>
    <mergeCell ref="A1:E1"/>
    <mergeCell ref="A2:E2"/>
    <mergeCell ref="A3:E3"/>
    <mergeCell ref="A4:E4"/>
    <mergeCell ref="A6:E6"/>
    <mergeCell ref="F6:J6"/>
    <mergeCell ref="F4:H4"/>
    <mergeCell ref="I4:K4"/>
    <mergeCell ref="A40:A41"/>
    <mergeCell ref="B40:B41"/>
    <mergeCell ref="C40:C41"/>
    <mergeCell ref="E40:E41"/>
    <mergeCell ref="A36:A37"/>
    <mergeCell ref="B36:B37"/>
    <mergeCell ref="C36:C37"/>
    <mergeCell ref="E36:E37"/>
    <mergeCell ref="A38:A39"/>
    <mergeCell ref="B38:B39"/>
    <mergeCell ref="C38:C39"/>
    <mergeCell ref="E38:E39"/>
    <mergeCell ref="A33:E33"/>
  </mergeCell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sheetPr>
  <dimension ref="A1:T477"/>
  <sheetViews>
    <sheetView topLeftCell="A121" zoomScaleNormal="100" workbookViewId="0">
      <selection activeCell="O141" sqref="O141"/>
    </sheetView>
  </sheetViews>
  <sheetFormatPr defaultColWidth="8.7109375" defaultRowHeight="15"/>
  <cols>
    <col min="1" max="1" width="15" style="68" customWidth="1"/>
    <col min="2" max="2" width="21.140625" style="68" customWidth="1"/>
    <col min="3" max="3" width="12.28515625" style="68" customWidth="1"/>
    <col min="4" max="4" width="11.85546875" style="68" customWidth="1"/>
    <col min="5" max="5" width="12.7109375" style="68" customWidth="1"/>
    <col min="6" max="6" width="13.5703125" style="68" customWidth="1"/>
    <col min="7" max="7" width="13.42578125" style="68" customWidth="1"/>
    <col min="8" max="8" width="13" style="68" customWidth="1"/>
    <col min="9" max="9" width="13.85546875" style="68" customWidth="1"/>
    <col min="10" max="10" width="12.85546875" style="68" customWidth="1"/>
    <col min="11" max="11" width="36.85546875" style="68" customWidth="1"/>
    <col min="12" max="12" width="12.140625" style="68" customWidth="1"/>
    <col min="13" max="13" width="12.85546875" style="68" customWidth="1"/>
    <col min="14" max="14" width="53.42578125" style="68" customWidth="1"/>
    <col min="15" max="15" width="12.7109375" style="68" customWidth="1"/>
    <col min="16" max="16" width="13.42578125" style="68" customWidth="1"/>
    <col min="17" max="17" width="18" style="65" customWidth="1"/>
    <col min="18" max="18" width="8.7109375" style="65"/>
    <col min="19" max="19" width="15.42578125" style="65" customWidth="1"/>
    <col min="20" max="20" width="8.7109375" style="65"/>
    <col min="21" max="16384" width="8.7109375" style="68"/>
  </cols>
  <sheetData>
    <row r="1" spans="1:19" s="111" customFormat="1">
      <c r="A1" s="401" t="s">
        <v>805</v>
      </c>
      <c r="B1" s="402"/>
      <c r="C1" s="402"/>
      <c r="D1" s="402"/>
      <c r="E1" s="402"/>
      <c r="F1" s="402"/>
      <c r="G1" s="402"/>
      <c r="H1" s="402"/>
      <c r="I1" s="402"/>
      <c r="J1" s="403"/>
      <c r="K1" s="110"/>
      <c r="L1" s="110"/>
      <c r="M1" s="110"/>
      <c r="N1" s="110"/>
      <c r="O1" s="110"/>
      <c r="P1" s="110"/>
      <c r="Q1" s="110"/>
      <c r="R1" s="110"/>
      <c r="S1" s="110"/>
    </row>
    <row r="2" spans="1:19" s="111" customFormat="1">
      <c r="A2" s="404" t="s">
        <v>455</v>
      </c>
      <c r="B2" s="405"/>
      <c r="C2" s="405"/>
      <c r="D2" s="405"/>
      <c r="E2" s="405"/>
      <c r="F2" s="405"/>
      <c r="G2" s="405"/>
      <c r="H2" s="405"/>
      <c r="I2" s="405"/>
      <c r="J2" s="406"/>
      <c r="K2" s="110"/>
      <c r="L2" s="110"/>
      <c r="M2" s="110"/>
      <c r="N2" s="110"/>
      <c r="O2" s="110"/>
      <c r="P2" s="110"/>
      <c r="Q2" s="110"/>
      <c r="R2" s="110"/>
      <c r="S2" s="110"/>
    </row>
    <row r="3" spans="1:19" s="111" customFormat="1" ht="15.75" thickBot="1">
      <c r="A3" s="407"/>
      <c r="B3" s="408"/>
      <c r="C3" s="408"/>
      <c r="D3" s="408"/>
      <c r="E3" s="408"/>
      <c r="F3" s="408"/>
      <c r="G3" s="408"/>
      <c r="H3" s="408"/>
      <c r="I3" s="408"/>
      <c r="J3" s="409"/>
      <c r="K3" s="110"/>
      <c r="L3" s="110"/>
      <c r="M3" s="110"/>
      <c r="N3" s="110"/>
      <c r="O3" s="110"/>
      <c r="P3" s="110"/>
      <c r="Q3" s="110"/>
      <c r="R3" s="110"/>
      <c r="S3" s="110"/>
    </row>
    <row r="4" spans="1:19" s="111" customFormat="1" ht="46.5" customHeight="1" thickBot="1">
      <c r="A4" s="410" t="s">
        <v>806</v>
      </c>
      <c r="B4" s="411"/>
      <c r="C4" s="411"/>
      <c r="D4" s="411"/>
      <c r="E4" s="411"/>
      <c r="F4" s="411"/>
      <c r="G4" s="411"/>
      <c r="H4" s="411"/>
      <c r="I4" s="411"/>
      <c r="J4" s="412"/>
      <c r="K4" s="110"/>
      <c r="L4" s="110"/>
      <c r="M4" s="110"/>
      <c r="N4" s="110"/>
      <c r="O4" s="110"/>
      <c r="P4" s="110"/>
      <c r="Q4" s="110"/>
      <c r="R4" s="110"/>
      <c r="S4" s="110"/>
    </row>
    <row r="5" spans="1:19" s="111" customFormat="1" ht="68.25" customHeight="1" thickBot="1">
      <c r="A5" s="112" t="s">
        <v>538</v>
      </c>
      <c r="B5" s="113" t="s">
        <v>539</v>
      </c>
      <c r="C5" s="113" t="s">
        <v>540</v>
      </c>
      <c r="D5" s="113" t="s">
        <v>807</v>
      </c>
      <c r="E5" s="113" t="s">
        <v>808</v>
      </c>
      <c r="F5" s="114" t="s">
        <v>809</v>
      </c>
      <c r="G5" s="113" t="s">
        <v>810</v>
      </c>
      <c r="H5" s="113" t="s">
        <v>811</v>
      </c>
      <c r="I5" s="413" t="s">
        <v>812</v>
      </c>
      <c r="J5" s="414"/>
      <c r="K5" s="160" t="s">
        <v>532</v>
      </c>
      <c r="L5" s="161" t="s">
        <v>534</v>
      </c>
      <c r="M5" s="162" t="s">
        <v>541</v>
      </c>
      <c r="N5" s="110"/>
      <c r="O5" s="110"/>
      <c r="P5" s="110"/>
      <c r="Q5" s="110"/>
      <c r="R5" s="110"/>
      <c r="S5" s="110"/>
    </row>
    <row r="6" spans="1:19" s="111" customFormat="1" ht="15.75" thickBot="1">
      <c r="A6" s="381" t="s">
        <v>542</v>
      </c>
      <c r="B6" s="382"/>
      <c r="C6" s="382"/>
      <c r="D6" s="382"/>
      <c r="E6" s="382"/>
      <c r="F6" s="382"/>
      <c r="G6" s="382"/>
      <c r="H6" s="382"/>
      <c r="I6" s="382"/>
      <c r="J6" s="383"/>
      <c r="K6" s="110"/>
      <c r="L6" s="110"/>
      <c r="M6" s="110"/>
      <c r="N6" s="110"/>
      <c r="O6" s="110"/>
      <c r="P6" s="110"/>
      <c r="Q6" s="110"/>
      <c r="R6" s="110"/>
      <c r="S6" s="110"/>
    </row>
    <row r="7" spans="1:19" s="111" customFormat="1" ht="15.75" thickBot="1">
      <c r="A7" s="112"/>
      <c r="B7" s="113"/>
      <c r="C7" s="245">
        <v>1</v>
      </c>
      <c r="D7" s="245">
        <v>15</v>
      </c>
      <c r="E7" s="245">
        <v>15</v>
      </c>
      <c r="F7" s="245">
        <v>1</v>
      </c>
      <c r="G7" s="245">
        <v>6</v>
      </c>
      <c r="H7" s="245">
        <v>3</v>
      </c>
      <c r="I7" s="379">
        <v>2</v>
      </c>
      <c r="J7" s="380"/>
      <c r="K7" s="115" t="s">
        <v>813</v>
      </c>
      <c r="L7" s="110">
        <f>SUM($D7:$J7)*0.1946</f>
        <v>8.1731999999999996</v>
      </c>
      <c r="M7" s="110">
        <f>SUM($D7:$J7)*11.9</f>
        <v>499.8</v>
      </c>
      <c r="N7" s="110"/>
      <c r="O7" s="110"/>
      <c r="P7" s="110"/>
      <c r="Q7" s="110"/>
      <c r="R7" s="110"/>
      <c r="S7" s="110"/>
    </row>
    <row r="8" spans="1:19" s="111" customFormat="1" ht="15.75" thickBot="1">
      <c r="A8" s="112"/>
      <c r="B8" s="113"/>
      <c r="C8" s="245">
        <v>3</v>
      </c>
      <c r="D8" s="245">
        <v>3</v>
      </c>
      <c r="E8" s="245">
        <v>4</v>
      </c>
      <c r="F8" s="245">
        <v>0</v>
      </c>
      <c r="G8" s="245">
        <v>0</v>
      </c>
      <c r="H8" s="245">
        <v>0</v>
      </c>
      <c r="I8" s="379">
        <v>0</v>
      </c>
      <c r="J8" s="380"/>
      <c r="K8" s="115" t="s">
        <v>813</v>
      </c>
      <c r="L8" s="110">
        <f t="shared" ref="L8:L71" si="0">SUM(D8:J8)*0.1946</f>
        <v>1.3622000000000001</v>
      </c>
      <c r="M8" s="110">
        <f t="shared" ref="M8:M71" si="1">SUM($D8:$J8)*11.9</f>
        <v>83.3</v>
      </c>
      <c r="N8" s="110"/>
      <c r="O8" s="110"/>
      <c r="P8" s="110"/>
      <c r="Q8" s="110"/>
      <c r="R8" s="110"/>
      <c r="S8" s="110"/>
    </row>
    <row r="9" spans="1:19" s="111" customFormat="1" ht="15.75" thickBot="1">
      <c r="A9" s="112"/>
      <c r="B9" s="113"/>
      <c r="C9" s="245">
        <v>25</v>
      </c>
      <c r="D9" s="245">
        <v>10</v>
      </c>
      <c r="E9" s="245">
        <v>1</v>
      </c>
      <c r="F9" s="245">
        <v>0</v>
      </c>
      <c r="G9" s="245">
        <v>0</v>
      </c>
      <c r="H9" s="245">
        <v>0</v>
      </c>
      <c r="I9" s="379">
        <v>0</v>
      </c>
      <c r="J9" s="380"/>
      <c r="K9" s="115" t="s">
        <v>813</v>
      </c>
      <c r="L9" s="110">
        <f t="shared" si="0"/>
        <v>2.1406000000000001</v>
      </c>
      <c r="M9" s="110">
        <f t="shared" si="1"/>
        <v>130.9</v>
      </c>
      <c r="N9" s="110"/>
      <c r="O9" s="110"/>
      <c r="P9" s="110"/>
      <c r="Q9" s="110"/>
      <c r="R9" s="110"/>
      <c r="S9" s="110"/>
    </row>
    <row r="10" spans="1:19" s="111" customFormat="1" ht="15.75" thickBot="1">
      <c r="A10" s="112"/>
      <c r="B10" s="113"/>
      <c r="C10" s="245">
        <v>34</v>
      </c>
      <c r="D10" s="245">
        <v>1</v>
      </c>
      <c r="E10" s="245">
        <v>4</v>
      </c>
      <c r="F10" s="245">
        <v>0</v>
      </c>
      <c r="G10" s="245">
        <v>0</v>
      </c>
      <c r="H10" s="245">
        <v>0</v>
      </c>
      <c r="I10" s="379">
        <v>0</v>
      </c>
      <c r="J10" s="380"/>
      <c r="K10" s="115" t="s">
        <v>813</v>
      </c>
      <c r="L10" s="110">
        <f t="shared" si="0"/>
        <v>0.97299999999999998</v>
      </c>
      <c r="M10" s="110">
        <f t="shared" si="1"/>
        <v>59.5</v>
      </c>
      <c r="N10" s="110"/>
      <c r="O10" s="110"/>
      <c r="P10" s="110"/>
      <c r="Q10" s="110"/>
      <c r="R10" s="110"/>
      <c r="S10" s="110"/>
    </row>
    <row r="11" spans="1:19" s="111" customFormat="1" ht="15.75" thickBot="1">
      <c r="A11" s="112"/>
      <c r="B11" s="113"/>
      <c r="C11" s="245" t="s">
        <v>814</v>
      </c>
      <c r="D11" s="245">
        <v>5</v>
      </c>
      <c r="E11" s="245">
        <v>4</v>
      </c>
      <c r="F11" s="245">
        <v>0</v>
      </c>
      <c r="G11" s="245">
        <v>0</v>
      </c>
      <c r="H11" s="245">
        <v>0</v>
      </c>
      <c r="I11" s="379">
        <v>0</v>
      </c>
      <c r="J11" s="380"/>
      <c r="K11" s="115" t="s">
        <v>813</v>
      </c>
      <c r="L11" s="110">
        <f t="shared" si="0"/>
        <v>1.7513999999999998</v>
      </c>
      <c r="M11" s="110">
        <f t="shared" si="1"/>
        <v>107.10000000000001</v>
      </c>
      <c r="N11" s="110"/>
      <c r="O11" s="110"/>
      <c r="P11" s="110"/>
      <c r="Q11" s="110"/>
      <c r="R11" s="110"/>
      <c r="S11" s="110"/>
    </row>
    <row r="12" spans="1:19" s="111" customFormat="1" ht="15.75" thickBot="1">
      <c r="A12" s="112"/>
      <c r="B12" s="113"/>
      <c r="C12" s="245" t="s">
        <v>815</v>
      </c>
      <c r="D12" s="245">
        <v>5</v>
      </c>
      <c r="E12" s="245">
        <v>4</v>
      </c>
      <c r="F12" s="245">
        <v>0</v>
      </c>
      <c r="G12" s="245">
        <v>0</v>
      </c>
      <c r="H12" s="245">
        <v>0</v>
      </c>
      <c r="I12" s="379">
        <v>0</v>
      </c>
      <c r="J12" s="380"/>
      <c r="K12" s="115" t="s">
        <v>813</v>
      </c>
      <c r="L12" s="110">
        <f t="shared" si="0"/>
        <v>1.7513999999999998</v>
      </c>
      <c r="M12" s="110">
        <f t="shared" si="1"/>
        <v>107.10000000000001</v>
      </c>
      <c r="N12" s="110"/>
      <c r="O12" s="110"/>
      <c r="P12" s="110"/>
      <c r="Q12" s="110"/>
      <c r="R12" s="110"/>
      <c r="S12" s="110"/>
    </row>
    <row r="13" spans="1:19" s="111" customFormat="1" ht="15.75" thickBot="1">
      <c r="A13" s="112"/>
      <c r="B13" s="113"/>
      <c r="C13" s="245" t="s">
        <v>816</v>
      </c>
      <c r="D13" s="245">
        <v>5</v>
      </c>
      <c r="E13" s="245">
        <v>8</v>
      </c>
      <c r="F13" s="245">
        <v>0</v>
      </c>
      <c r="G13" s="245">
        <v>0</v>
      </c>
      <c r="H13" s="245">
        <v>0</v>
      </c>
      <c r="I13" s="379">
        <v>0</v>
      </c>
      <c r="J13" s="380"/>
      <c r="K13" s="115" t="s">
        <v>813</v>
      </c>
      <c r="L13" s="110">
        <f t="shared" si="0"/>
        <v>2.5297999999999998</v>
      </c>
      <c r="M13" s="110">
        <f t="shared" si="1"/>
        <v>154.70000000000002</v>
      </c>
      <c r="N13" s="110"/>
      <c r="O13" s="110"/>
      <c r="P13" s="110"/>
      <c r="Q13" s="110"/>
      <c r="R13" s="110"/>
      <c r="S13" s="110"/>
    </row>
    <row r="14" spans="1:19" s="111" customFormat="1" ht="15.75" thickBot="1">
      <c r="A14" s="112"/>
      <c r="B14" s="113"/>
      <c r="C14" s="245" t="s">
        <v>817</v>
      </c>
      <c r="D14" s="245">
        <v>5</v>
      </c>
      <c r="E14" s="245">
        <v>8</v>
      </c>
      <c r="F14" s="245">
        <v>0</v>
      </c>
      <c r="G14" s="245">
        <v>0</v>
      </c>
      <c r="H14" s="245">
        <v>0</v>
      </c>
      <c r="I14" s="379">
        <v>0</v>
      </c>
      <c r="J14" s="380"/>
      <c r="K14" s="115" t="s">
        <v>813</v>
      </c>
      <c r="L14" s="110">
        <f t="shared" si="0"/>
        <v>2.5297999999999998</v>
      </c>
      <c r="M14" s="110">
        <f t="shared" si="1"/>
        <v>154.70000000000002</v>
      </c>
      <c r="N14" s="110"/>
      <c r="O14" s="110"/>
      <c r="P14" s="110"/>
      <c r="Q14" s="110"/>
      <c r="R14" s="110"/>
      <c r="S14" s="110"/>
    </row>
    <row r="15" spans="1:19" s="111" customFormat="1" ht="15.75" thickBot="1">
      <c r="A15" s="112"/>
      <c r="B15" s="113"/>
      <c r="C15" s="245" t="s">
        <v>818</v>
      </c>
      <c r="D15" s="245">
        <v>5</v>
      </c>
      <c r="E15" s="245">
        <v>8</v>
      </c>
      <c r="F15" s="245">
        <v>0</v>
      </c>
      <c r="G15" s="245">
        <v>0</v>
      </c>
      <c r="H15" s="245">
        <v>0</v>
      </c>
      <c r="I15" s="379">
        <v>0</v>
      </c>
      <c r="J15" s="380"/>
      <c r="K15" s="115" t="s">
        <v>813</v>
      </c>
      <c r="L15" s="110">
        <f t="shared" si="0"/>
        <v>2.5297999999999998</v>
      </c>
      <c r="M15" s="110">
        <f t="shared" si="1"/>
        <v>154.70000000000002</v>
      </c>
      <c r="N15" s="110"/>
      <c r="O15" s="110"/>
      <c r="P15" s="110"/>
      <c r="Q15" s="110"/>
      <c r="R15" s="110"/>
      <c r="S15" s="110"/>
    </row>
    <row r="16" spans="1:19" s="111" customFormat="1" ht="15.75" thickBot="1">
      <c r="A16" s="112"/>
      <c r="B16" s="113"/>
      <c r="C16" s="245" t="s">
        <v>819</v>
      </c>
      <c r="D16" s="245">
        <v>5</v>
      </c>
      <c r="E16" s="245">
        <v>8</v>
      </c>
      <c r="F16" s="245">
        <v>0</v>
      </c>
      <c r="G16" s="245">
        <v>0</v>
      </c>
      <c r="H16" s="245">
        <v>0</v>
      </c>
      <c r="I16" s="379">
        <v>0</v>
      </c>
      <c r="J16" s="380"/>
      <c r="K16" s="115" t="s">
        <v>813</v>
      </c>
      <c r="L16" s="110">
        <f t="shared" si="0"/>
        <v>2.5297999999999998</v>
      </c>
      <c r="M16" s="110">
        <f t="shared" si="1"/>
        <v>154.70000000000002</v>
      </c>
      <c r="N16" s="110"/>
      <c r="O16" s="110"/>
      <c r="P16" s="110"/>
      <c r="Q16" s="110"/>
      <c r="R16" s="110"/>
      <c r="S16" s="110"/>
    </row>
    <row r="17" spans="1:19" s="111" customFormat="1" ht="15.75" thickBot="1">
      <c r="A17" s="112"/>
      <c r="B17" s="113"/>
      <c r="C17" s="245" t="s">
        <v>820</v>
      </c>
      <c r="D17" s="245">
        <v>5</v>
      </c>
      <c r="E17" s="245">
        <v>4</v>
      </c>
      <c r="F17" s="245">
        <v>0</v>
      </c>
      <c r="G17" s="245">
        <v>0</v>
      </c>
      <c r="H17" s="245">
        <v>0</v>
      </c>
      <c r="I17" s="379">
        <v>0</v>
      </c>
      <c r="J17" s="380"/>
      <c r="K17" s="115" t="s">
        <v>813</v>
      </c>
      <c r="L17" s="110">
        <f t="shared" si="0"/>
        <v>1.7513999999999998</v>
      </c>
      <c r="M17" s="110">
        <f t="shared" si="1"/>
        <v>107.10000000000001</v>
      </c>
      <c r="N17" s="110"/>
      <c r="O17" s="110"/>
      <c r="P17" s="110"/>
      <c r="Q17" s="110"/>
      <c r="R17" s="110"/>
      <c r="S17" s="110"/>
    </row>
    <row r="18" spans="1:19" s="111" customFormat="1" ht="15.75" thickBot="1">
      <c r="A18" s="112"/>
      <c r="B18" s="113"/>
      <c r="C18" s="245">
        <v>48</v>
      </c>
      <c r="D18" s="245">
        <v>3</v>
      </c>
      <c r="E18" s="245">
        <v>0</v>
      </c>
      <c r="F18" s="245">
        <v>0</v>
      </c>
      <c r="G18" s="245">
        <v>0</v>
      </c>
      <c r="H18" s="245">
        <v>0</v>
      </c>
      <c r="I18" s="379">
        <v>0</v>
      </c>
      <c r="J18" s="380"/>
      <c r="K18" s="115" t="s">
        <v>813</v>
      </c>
      <c r="L18" s="110">
        <f t="shared" si="0"/>
        <v>0.58379999999999999</v>
      </c>
      <c r="M18" s="110">
        <f t="shared" si="1"/>
        <v>35.700000000000003</v>
      </c>
      <c r="N18" s="110"/>
      <c r="O18" s="110"/>
      <c r="P18" s="110"/>
      <c r="Q18" s="110"/>
      <c r="R18" s="110"/>
      <c r="S18" s="110"/>
    </row>
    <row r="19" spans="1:19" s="111" customFormat="1" ht="15.75" thickBot="1">
      <c r="A19" s="112"/>
      <c r="B19" s="113"/>
      <c r="C19" s="245">
        <v>53</v>
      </c>
      <c r="D19" s="245">
        <v>4</v>
      </c>
      <c r="E19" s="245">
        <v>5</v>
      </c>
      <c r="F19" s="245">
        <v>0</v>
      </c>
      <c r="G19" s="245">
        <v>0</v>
      </c>
      <c r="H19" s="245">
        <v>0</v>
      </c>
      <c r="I19" s="379">
        <v>0</v>
      </c>
      <c r="J19" s="380"/>
      <c r="K19" s="115" t="s">
        <v>813</v>
      </c>
      <c r="L19" s="110">
        <f t="shared" si="0"/>
        <v>1.7513999999999998</v>
      </c>
      <c r="M19" s="110">
        <f t="shared" si="1"/>
        <v>107.10000000000001</v>
      </c>
      <c r="N19" s="110"/>
      <c r="O19" s="110"/>
      <c r="P19" s="110"/>
      <c r="Q19" s="110"/>
      <c r="R19" s="110"/>
      <c r="S19" s="110"/>
    </row>
    <row r="20" spans="1:19" s="111" customFormat="1" ht="15.75" thickBot="1">
      <c r="A20" s="112"/>
      <c r="B20" s="113"/>
      <c r="C20" s="245">
        <v>111</v>
      </c>
      <c r="D20" s="245" t="s">
        <v>821</v>
      </c>
      <c r="E20" s="245">
        <v>23</v>
      </c>
      <c r="F20" s="245">
        <v>0</v>
      </c>
      <c r="G20" s="245">
        <v>0</v>
      </c>
      <c r="H20" s="245">
        <v>0</v>
      </c>
      <c r="I20" s="379">
        <v>0</v>
      </c>
      <c r="J20" s="380"/>
      <c r="K20" s="115" t="s">
        <v>813</v>
      </c>
      <c r="L20" s="110">
        <f t="shared" si="0"/>
        <v>4.4757999999999996</v>
      </c>
      <c r="M20" s="110">
        <f t="shared" si="1"/>
        <v>273.7</v>
      </c>
      <c r="N20" s="110"/>
      <c r="O20" s="110"/>
      <c r="P20" s="110"/>
      <c r="Q20" s="110"/>
      <c r="R20" s="110"/>
      <c r="S20" s="110"/>
    </row>
    <row r="21" spans="1:19" s="111" customFormat="1" ht="15.75" thickBot="1">
      <c r="A21" s="112"/>
      <c r="B21" s="113"/>
      <c r="C21" s="245">
        <v>113</v>
      </c>
      <c r="D21" s="245">
        <v>2</v>
      </c>
      <c r="E21" s="245">
        <v>1</v>
      </c>
      <c r="F21" s="245">
        <v>0</v>
      </c>
      <c r="G21" s="245">
        <v>0</v>
      </c>
      <c r="H21" s="245">
        <v>0</v>
      </c>
      <c r="I21" s="379">
        <v>0</v>
      </c>
      <c r="J21" s="380"/>
      <c r="K21" s="115" t="s">
        <v>813</v>
      </c>
      <c r="L21" s="110">
        <f t="shared" si="0"/>
        <v>0.58379999999999999</v>
      </c>
      <c r="M21" s="110">
        <f t="shared" si="1"/>
        <v>35.700000000000003</v>
      </c>
      <c r="N21" s="110"/>
      <c r="O21" s="110"/>
      <c r="P21" s="110"/>
      <c r="Q21" s="110"/>
      <c r="R21" s="110"/>
      <c r="S21" s="110"/>
    </row>
    <row r="22" spans="1:19" s="111" customFormat="1" ht="15.75" thickBot="1">
      <c r="A22" s="112"/>
      <c r="B22" s="113"/>
      <c r="C22" s="245">
        <v>115</v>
      </c>
      <c r="D22" s="245">
        <v>3</v>
      </c>
      <c r="E22" s="245" t="s">
        <v>821</v>
      </c>
      <c r="F22" s="245">
        <v>0</v>
      </c>
      <c r="G22" s="245">
        <v>0</v>
      </c>
      <c r="H22" s="245">
        <v>0</v>
      </c>
      <c r="I22" s="379">
        <v>0</v>
      </c>
      <c r="J22" s="380"/>
      <c r="K22" s="115" t="s">
        <v>813</v>
      </c>
      <c r="L22" s="110">
        <f t="shared" si="0"/>
        <v>0.58379999999999999</v>
      </c>
      <c r="M22" s="110">
        <f t="shared" si="1"/>
        <v>35.700000000000003</v>
      </c>
      <c r="N22" s="110"/>
      <c r="O22" s="110"/>
      <c r="P22" s="110"/>
      <c r="Q22" s="110"/>
      <c r="R22" s="110"/>
      <c r="S22" s="110"/>
    </row>
    <row r="23" spans="1:19" s="111" customFormat="1" ht="15.75" thickBot="1">
      <c r="A23" s="112"/>
      <c r="B23" s="113"/>
      <c r="C23" s="245">
        <v>191</v>
      </c>
      <c r="D23" s="245">
        <v>39</v>
      </c>
      <c r="E23" s="245">
        <v>7</v>
      </c>
      <c r="F23" s="245">
        <v>0</v>
      </c>
      <c r="G23" s="245">
        <v>0</v>
      </c>
      <c r="H23" s="245">
        <v>0</v>
      </c>
      <c r="I23" s="379">
        <v>0</v>
      </c>
      <c r="J23" s="380"/>
      <c r="K23" s="115" t="s">
        <v>813</v>
      </c>
      <c r="L23" s="110">
        <f t="shared" si="0"/>
        <v>8.9515999999999991</v>
      </c>
      <c r="M23" s="110">
        <f t="shared" si="1"/>
        <v>547.4</v>
      </c>
      <c r="N23" s="110"/>
      <c r="O23" s="110"/>
      <c r="P23" s="110"/>
      <c r="Q23" s="110"/>
      <c r="R23" s="110"/>
      <c r="S23" s="110"/>
    </row>
    <row r="24" spans="1:19" s="111" customFormat="1" ht="15.75" thickBot="1">
      <c r="A24" s="112"/>
      <c r="B24" s="113"/>
      <c r="C24" s="245">
        <v>234</v>
      </c>
      <c r="D24" s="245">
        <v>9</v>
      </c>
      <c r="E24" s="245" t="s">
        <v>822</v>
      </c>
      <c r="F24" s="245">
        <v>0</v>
      </c>
      <c r="G24" s="245">
        <v>0</v>
      </c>
      <c r="H24" s="245">
        <v>0</v>
      </c>
      <c r="I24" s="379">
        <v>0</v>
      </c>
      <c r="J24" s="380"/>
      <c r="K24" s="115" t="s">
        <v>813</v>
      </c>
      <c r="L24" s="110">
        <f t="shared" si="0"/>
        <v>1.7513999999999998</v>
      </c>
      <c r="M24" s="110">
        <f t="shared" si="1"/>
        <v>107.10000000000001</v>
      </c>
      <c r="N24" s="110"/>
      <c r="O24" s="110"/>
      <c r="P24" s="110"/>
      <c r="Q24" s="110"/>
      <c r="R24" s="110"/>
      <c r="S24" s="110"/>
    </row>
    <row r="25" spans="1:19" s="111" customFormat="1" ht="15.75" thickBot="1">
      <c r="A25" s="112"/>
      <c r="B25" s="113"/>
      <c r="C25" s="245">
        <v>242</v>
      </c>
      <c r="D25" s="245">
        <v>17</v>
      </c>
      <c r="E25" s="245">
        <v>6</v>
      </c>
      <c r="F25" s="245">
        <v>1</v>
      </c>
      <c r="G25" s="245" t="s">
        <v>821</v>
      </c>
      <c r="H25" s="245">
        <v>0</v>
      </c>
      <c r="I25" s="379">
        <v>0</v>
      </c>
      <c r="J25" s="380"/>
      <c r="K25" s="115" t="s">
        <v>813</v>
      </c>
      <c r="L25" s="110">
        <f t="shared" si="0"/>
        <v>4.6703999999999999</v>
      </c>
      <c r="M25" s="110">
        <f t="shared" si="1"/>
        <v>285.60000000000002</v>
      </c>
      <c r="N25" s="110"/>
      <c r="O25" s="110"/>
      <c r="P25" s="110"/>
      <c r="Q25" s="110"/>
      <c r="R25" s="110"/>
      <c r="S25" s="110"/>
    </row>
    <row r="26" spans="1:19" s="111" customFormat="1" ht="15.75" thickBot="1">
      <c r="A26" s="112"/>
      <c r="B26" s="113"/>
      <c r="C26" s="245">
        <v>243</v>
      </c>
      <c r="D26" s="245">
        <v>31</v>
      </c>
      <c r="E26" s="245">
        <v>22</v>
      </c>
      <c r="F26" s="245" t="s">
        <v>821</v>
      </c>
      <c r="G26" s="245">
        <v>0</v>
      </c>
      <c r="H26" s="245">
        <v>0</v>
      </c>
      <c r="I26" s="379">
        <v>1</v>
      </c>
      <c r="J26" s="380"/>
      <c r="K26" s="115" t="s">
        <v>813</v>
      </c>
      <c r="L26" s="110">
        <f t="shared" si="0"/>
        <v>10.5084</v>
      </c>
      <c r="M26" s="110">
        <f t="shared" si="1"/>
        <v>642.6</v>
      </c>
      <c r="N26" s="110"/>
      <c r="O26" s="110"/>
      <c r="P26" s="110"/>
      <c r="Q26" s="110"/>
      <c r="R26" s="110"/>
      <c r="S26" s="110"/>
    </row>
    <row r="27" spans="1:19" s="111" customFormat="1" ht="15.75" thickBot="1">
      <c r="A27" s="112"/>
      <c r="B27" s="113"/>
      <c r="C27" s="245">
        <v>244</v>
      </c>
      <c r="D27" s="245">
        <v>7</v>
      </c>
      <c r="E27" s="245">
        <v>6</v>
      </c>
      <c r="F27" s="245" t="s">
        <v>821</v>
      </c>
      <c r="G27" s="245">
        <v>0</v>
      </c>
      <c r="H27" s="245">
        <v>0</v>
      </c>
      <c r="I27" s="379">
        <v>2</v>
      </c>
      <c r="J27" s="380"/>
      <c r="K27" s="115" t="s">
        <v>813</v>
      </c>
      <c r="L27" s="110">
        <f t="shared" si="0"/>
        <v>2.919</v>
      </c>
      <c r="M27" s="110">
        <f t="shared" si="1"/>
        <v>178.5</v>
      </c>
      <c r="N27" s="110"/>
      <c r="O27" s="110"/>
      <c r="P27" s="110"/>
      <c r="Q27" s="110"/>
      <c r="R27" s="110"/>
      <c r="S27" s="110"/>
    </row>
    <row r="28" spans="1:19" s="111" customFormat="1" ht="15.75" thickBot="1">
      <c r="A28" s="112"/>
      <c r="B28" s="113"/>
      <c r="C28" s="245">
        <v>245</v>
      </c>
      <c r="D28" s="245">
        <v>20</v>
      </c>
      <c r="E28" s="245">
        <v>13</v>
      </c>
      <c r="F28" s="245" t="s">
        <v>821</v>
      </c>
      <c r="G28" s="245">
        <v>0</v>
      </c>
      <c r="H28" s="245">
        <v>0</v>
      </c>
      <c r="I28" s="379">
        <v>3</v>
      </c>
      <c r="J28" s="380"/>
      <c r="K28" s="115" t="s">
        <v>813</v>
      </c>
      <c r="L28" s="110">
        <f t="shared" si="0"/>
        <v>7.0055999999999994</v>
      </c>
      <c r="M28" s="110">
        <f t="shared" si="1"/>
        <v>428.40000000000003</v>
      </c>
      <c r="N28" s="110"/>
      <c r="O28" s="110"/>
      <c r="P28" s="110"/>
      <c r="Q28" s="110"/>
      <c r="R28" s="110"/>
      <c r="S28" s="110"/>
    </row>
    <row r="29" spans="1:19" s="111" customFormat="1" ht="15.75" thickBot="1">
      <c r="A29" s="112"/>
      <c r="B29" s="113"/>
      <c r="C29" s="245">
        <v>262</v>
      </c>
      <c r="D29" s="245">
        <v>32</v>
      </c>
      <c r="E29" s="245">
        <v>45</v>
      </c>
      <c r="F29" s="245" t="s">
        <v>821</v>
      </c>
      <c r="G29" s="245">
        <v>0</v>
      </c>
      <c r="H29" s="245">
        <v>0</v>
      </c>
      <c r="I29" s="379">
        <v>0</v>
      </c>
      <c r="J29" s="380"/>
      <c r="K29" s="115" t="s">
        <v>813</v>
      </c>
      <c r="L29" s="110">
        <f t="shared" si="0"/>
        <v>14.9842</v>
      </c>
      <c r="M29" s="110">
        <f t="shared" si="1"/>
        <v>916.30000000000007</v>
      </c>
      <c r="N29" s="110"/>
      <c r="O29" s="110"/>
      <c r="P29" s="110"/>
      <c r="Q29" s="110"/>
      <c r="R29" s="110"/>
      <c r="S29" s="110"/>
    </row>
    <row r="30" spans="1:19" s="111" customFormat="1" ht="15.75" thickBot="1">
      <c r="A30" s="112"/>
      <c r="B30" s="113"/>
      <c r="C30" s="245">
        <v>289</v>
      </c>
      <c r="D30" s="245">
        <v>17</v>
      </c>
      <c r="E30" s="245">
        <v>2</v>
      </c>
      <c r="F30" s="245">
        <v>0</v>
      </c>
      <c r="G30" s="245">
        <v>0</v>
      </c>
      <c r="H30" s="245">
        <v>0</v>
      </c>
      <c r="I30" s="379">
        <v>0</v>
      </c>
      <c r="J30" s="380"/>
      <c r="K30" s="115" t="s">
        <v>813</v>
      </c>
      <c r="L30" s="110">
        <f t="shared" si="0"/>
        <v>3.6974</v>
      </c>
      <c r="M30" s="110">
        <f t="shared" si="1"/>
        <v>226.1</v>
      </c>
      <c r="N30" s="110"/>
      <c r="O30" s="110"/>
      <c r="P30" s="110"/>
      <c r="Q30" s="110"/>
      <c r="R30" s="110"/>
      <c r="S30" s="110"/>
    </row>
    <row r="31" spans="1:19" s="111" customFormat="1" ht="15.75" thickBot="1">
      <c r="A31" s="112"/>
      <c r="B31" s="113"/>
      <c r="C31" s="245">
        <v>298</v>
      </c>
      <c r="D31" s="245">
        <v>10</v>
      </c>
      <c r="E31" s="245">
        <v>8</v>
      </c>
      <c r="F31" s="245">
        <v>0</v>
      </c>
      <c r="G31" s="245">
        <v>1</v>
      </c>
      <c r="H31" s="245">
        <v>0</v>
      </c>
      <c r="I31" s="379">
        <v>0</v>
      </c>
      <c r="J31" s="380"/>
      <c r="K31" s="115" t="s">
        <v>813</v>
      </c>
      <c r="L31" s="110">
        <f t="shared" si="0"/>
        <v>3.6974</v>
      </c>
      <c r="M31" s="110">
        <f t="shared" si="1"/>
        <v>226.1</v>
      </c>
      <c r="N31" s="110"/>
      <c r="O31" s="110"/>
      <c r="P31" s="110"/>
      <c r="Q31" s="110"/>
      <c r="R31" s="110"/>
      <c r="S31" s="110"/>
    </row>
    <row r="32" spans="1:19" s="111" customFormat="1" ht="15.75" thickBot="1">
      <c r="A32" s="112"/>
      <c r="B32" s="113"/>
      <c r="C32" s="245">
        <v>337</v>
      </c>
      <c r="D32" s="245">
        <v>16</v>
      </c>
      <c r="E32" s="245">
        <v>5</v>
      </c>
      <c r="F32" s="245" t="s">
        <v>821</v>
      </c>
      <c r="G32" s="245">
        <v>0</v>
      </c>
      <c r="H32" s="245">
        <v>0</v>
      </c>
      <c r="I32" s="379">
        <v>0</v>
      </c>
      <c r="J32" s="380"/>
      <c r="K32" s="115" t="s">
        <v>813</v>
      </c>
      <c r="L32" s="110">
        <f t="shared" si="0"/>
        <v>4.0865999999999998</v>
      </c>
      <c r="M32" s="110">
        <f t="shared" si="1"/>
        <v>249.9</v>
      </c>
      <c r="N32" s="110"/>
      <c r="O32" s="110"/>
      <c r="P32" s="110"/>
      <c r="Q32" s="110"/>
      <c r="R32" s="110"/>
      <c r="S32" s="110"/>
    </row>
    <row r="33" spans="1:19" s="111" customFormat="1" ht="15.75" thickBot="1">
      <c r="A33" s="112"/>
      <c r="B33" s="113"/>
      <c r="C33" s="245">
        <v>350</v>
      </c>
      <c r="D33" s="245">
        <v>44</v>
      </c>
      <c r="E33" s="245">
        <v>0</v>
      </c>
      <c r="F33" s="245">
        <v>0</v>
      </c>
      <c r="G33" s="245">
        <v>0</v>
      </c>
      <c r="H33" s="245">
        <v>0</v>
      </c>
      <c r="I33" s="379">
        <v>1</v>
      </c>
      <c r="J33" s="380"/>
      <c r="K33" s="115" t="s">
        <v>813</v>
      </c>
      <c r="L33" s="110">
        <f t="shared" si="0"/>
        <v>8.7569999999999997</v>
      </c>
      <c r="M33" s="110">
        <f t="shared" si="1"/>
        <v>535.5</v>
      </c>
      <c r="N33" s="110"/>
      <c r="O33" s="110"/>
      <c r="P33" s="110"/>
      <c r="Q33" s="110"/>
      <c r="R33" s="110"/>
      <c r="S33" s="110"/>
    </row>
    <row r="34" spans="1:19" s="111" customFormat="1" ht="15.75" thickBot="1">
      <c r="A34" s="112"/>
      <c r="B34" s="113"/>
      <c r="C34" s="245">
        <v>351</v>
      </c>
      <c r="D34" s="245">
        <v>6</v>
      </c>
      <c r="E34" s="245">
        <v>1</v>
      </c>
      <c r="F34" s="245">
        <v>0</v>
      </c>
      <c r="G34" s="245">
        <v>1</v>
      </c>
      <c r="H34" s="245">
        <v>0</v>
      </c>
      <c r="I34" s="379">
        <v>0</v>
      </c>
      <c r="J34" s="380"/>
      <c r="K34" s="115" t="s">
        <v>813</v>
      </c>
      <c r="L34" s="110">
        <f t="shared" si="0"/>
        <v>1.5568</v>
      </c>
      <c r="M34" s="110">
        <f t="shared" si="1"/>
        <v>95.2</v>
      </c>
      <c r="N34" s="110"/>
      <c r="O34" s="110"/>
      <c r="P34" s="110"/>
      <c r="Q34" s="110"/>
      <c r="R34" s="110"/>
      <c r="S34" s="110"/>
    </row>
    <row r="35" spans="1:19" s="111" customFormat="1" ht="15.75" thickBot="1">
      <c r="A35" s="112"/>
      <c r="B35" s="113"/>
      <c r="C35" s="245">
        <v>412</v>
      </c>
      <c r="D35" s="245">
        <v>0</v>
      </c>
      <c r="E35" s="245">
        <v>7</v>
      </c>
      <c r="F35" s="245">
        <v>0</v>
      </c>
      <c r="G35" s="245">
        <v>0</v>
      </c>
      <c r="H35" s="245">
        <v>0</v>
      </c>
      <c r="I35" s="379">
        <v>0</v>
      </c>
      <c r="J35" s="380"/>
      <c r="K35" s="115" t="s">
        <v>813</v>
      </c>
      <c r="L35" s="110">
        <f t="shared" si="0"/>
        <v>1.3622000000000001</v>
      </c>
      <c r="M35" s="110">
        <f t="shared" si="1"/>
        <v>83.3</v>
      </c>
      <c r="N35" s="110"/>
      <c r="O35" s="110"/>
      <c r="P35" s="110"/>
      <c r="Q35" s="110"/>
      <c r="R35" s="110"/>
      <c r="S35" s="110"/>
    </row>
    <row r="36" spans="1:19" s="111" customFormat="1" ht="15.75" thickBot="1">
      <c r="A36" s="112"/>
      <c r="B36" s="113"/>
      <c r="C36" s="245">
        <v>425</v>
      </c>
      <c r="D36" s="245">
        <v>191</v>
      </c>
      <c r="E36" s="245">
        <v>15</v>
      </c>
      <c r="F36" s="245">
        <v>22</v>
      </c>
      <c r="G36" s="245">
        <v>0</v>
      </c>
      <c r="H36" s="245">
        <v>0</v>
      </c>
      <c r="I36" s="379">
        <v>3</v>
      </c>
      <c r="J36" s="380"/>
      <c r="K36" s="115" t="s">
        <v>813</v>
      </c>
      <c r="L36" s="110">
        <f t="shared" si="0"/>
        <v>44.952599999999997</v>
      </c>
      <c r="M36" s="110">
        <f t="shared" si="1"/>
        <v>2748.9</v>
      </c>
      <c r="N36" s="110"/>
      <c r="O36" s="110"/>
      <c r="P36" s="110"/>
      <c r="Q36" s="110"/>
      <c r="R36" s="110"/>
      <c r="S36" s="110"/>
    </row>
    <row r="37" spans="1:19" s="111" customFormat="1" ht="15.75" thickBot="1">
      <c r="A37" s="112"/>
      <c r="B37" s="113"/>
      <c r="C37" s="245">
        <v>436</v>
      </c>
      <c r="D37" s="245">
        <v>5</v>
      </c>
      <c r="E37" s="245">
        <v>0</v>
      </c>
      <c r="F37" s="245">
        <v>0</v>
      </c>
      <c r="G37" s="245">
        <v>0</v>
      </c>
      <c r="H37" s="245">
        <v>0</v>
      </c>
      <c r="I37" s="379">
        <v>0</v>
      </c>
      <c r="J37" s="380"/>
      <c r="K37" s="115" t="s">
        <v>813</v>
      </c>
      <c r="L37" s="110">
        <f t="shared" si="0"/>
        <v>0.97299999999999998</v>
      </c>
      <c r="M37" s="110">
        <f t="shared" si="1"/>
        <v>59.5</v>
      </c>
      <c r="N37" s="110"/>
      <c r="O37" s="110"/>
      <c r="P37" s="110"/>
      <c r="Q37" s="110"/>
      <c r="R37" s="110"/>
      <c r="S37" s="110"/>
    </row>
    <row r="38" spans="1:19" s="111" customFormat="1" ht="15.75" thickBot="1">
      <c r="A38" s="112"/>
      <c r="B38" s="113"/>
      <c r="C38" s="245">
        <v>448</v>
      </c>
      <c r="D38" s="245">
        <v>6</v>
      </c>
      <c r="E38" s="245">
        <v>4</v>
      </c>
      <c r="F38" s="245">
        <v>0</v>
      </c>
      <c r="G38" s="245">
        <v>2</v>
      </c>
      <c r="H38" s="245">
        <v>0</v>
      </c>
      <c r="I38" s="379">
        <v>0</v>
      </c>
      <c r="J38" s="380"/>
      <c r="K38" s="115" t="s">
        <v>813</v>
      </c>
      <c r="L38" s="110">
        <f t="shared" si="0"/>
        <v>2.3351999999999999</v>
      </c>
      <c r="M38" s="110">
        <f t="shared" si="1"/>
        <v>142.80000000000001</v>
      </c>
      <c r="N38" s="110"/>
      <c r="O38" s="110"/>
      <c r="P38" s="110"/>
      <c r="Q38" s="110"/>
      <c r="R38" s="110"/>
      <c r="S38" s="110"/>
    </row>
    <row r="39" spans="1:19" s="111" customFormat="1" ht="15.75" thickBot="1">
      <c r="A39" s="112"/>
      <c r="B39" s="113"/>
      <c r="C39" s="245">
        <v>451</v>
      </c>
      <c r="D39" s="245">
        <v>17</v>
      </c>
      <c r="E39" s="245">
        <v>2</v>
      </c>
      <c r="F39" s="245">
        <v>0</v>
      </c>
      <c r="G39" s="245">
        <v>0</v>
      </c>
      <c r="H39" s="245">
        <v>0</v>
      </c>
      <c r="I39" s="379">
        <v>0</v>
      </c>
      <c r="J39" s="380"/>
      <c r="K39" s="115" t="s">
        <v>813</v>
      </c>
      <c r="L39" s="110">
        <f t="shared" si="0"/>
        <v>3.6974</v>
      </c>
      <c r="M39" s="110">
        <f t="shared" si="1"/>
        <v>226.1</v>
      </c>
      <c r="N39" s="110"/>
      <c r="O39" s="110"/>
      <c r="P39" s="110"/>
      <c r="Q39" s="110"/>
      <c r="R39" s="110"/>
      <c r="S39" s="110"/>
    </row>
    <row r="40" spans="1:19" s="111" customFormat="1" ht="15.75" thickBot="1">
      <c r="A40" s="112"/>
      <c r="B40" s="113"/>
      <c r="C40" s="245">
        <v>460</v>
      </c>
      <c r="D40" s="245">
        <v>18</v>
      </c>
      <c r="E40" s="245">
        <v>22</v>
      </c>
      <c r="F40" s="245">
        <v>0</v>
      </c>
      <c r="G40" s="245">
        <v>0</v>
      </c>
      <c r="H40" s="245">
        <v>0</v>
      </c>
      <c r="I40" s="379">
        <v>0</v>
      </c>
      <c r="J40" s="380"/>
      <c r="K40" s="115" t="s">
        <v>813</v>
      </c>
      <c r="L40" s="110">
        <f t="shared" si="0"/>
        <v>7.7839999999999998</v>
      </c>
      <c r="M40" s="110">
        <f t="shared" si="1"/>
        <v>476</v>
      </c>
      <c r="N40" s="110"/>
      <c r="O40" s="110"/>
      <c r="P40" s="110"/>
      <c r="Q40" s="110"/>
      <c r="R40" s="110"/>
      <c r="S40" s="110"/>
    </row>
    <row r="41" spans="1:19" s="111" customFormat="1" ht="15.75" thickBot="1">
      <c r="A41" s="112"/>
      <c r="B41" s="113"/>
      <c r="C41" s="245">
        <v>1264</v>
      </c>
      <c r="D41" s="245">
        <v>18</v>
      </c>
      <c r="E41" s="245">
        <v>6</v>
      </c>
      <c r="F41" s="245">
        <v>0</v>
      </c>
      <c r="G41" s="245">
        <v>0</v>
      </c>
      <c r="H41" s="245">
        <v>0</v>
      </c>
      <c r="I41" s="379">
        <v>0</v>
      </c>
      <c r="J41" s="380"/>
      <c r="K41" s="115" t="s">
        <v>813</v>
      </c>
      <c r="L41" s="110">
        <f t="shared" si="0"/>
        <v>4.6703999999999999</v>
      </c>
      <c r="M41" s="110">
        <f t="shared" si="1"/>
        <v>285.60000000000002</v>
      </c>
      <c r="N41" s="110"/>
      <c r="O41" s="110"/>
      <c r="P41" s="110"/>
      <c r="Q41" s="110"/>
      <c r="R41" s="110"/>
      <c r="S41" s="110"/>
    </row>
    <row r="42" spans="1:19" s="111" customFormat="1" ht="15.75" thickBot="1">
      <c r="A42" s="112"/>
      <c r="B42" s="113"/>
      <c r="C42" s="245">
        <v>1326</v>
      </c>
      <c r="D42" s="245">
        <v>12</v>
      </c>
      <c r="E42" s="245">
        <v>6</v>
      </c>
      <c r="F42" s="245">
        <v>0</v>
      </c>
      <c r="G42" s="245">
        <v>0</v>
      </c>
      <c r="H42" s="245">
        <v>0</v>
      </c>
      <c r="I42" s="379">
        <v>0</v>
      </c>
      <c r="J42" s="380"/>
      <c r="K42" s="115" t="s">
        <v>813</v>
      </c>
      <c r="L42" s="110">
        <f t="shared" si="0"/>
        <v>3.5027999999999997</v>
      </c>
      <c r="M42" s="110">
        <f t="shared" si="1"/>
        <v>214.20000000000002</v>
      </c>
      <c r="N42" s="110"/>
      <c r="O42" s="110"/>
      <c r="P42" s="110"/>
      <c r="Q42" s="110"/>
      <c r="R42" s="110"/>
      <c r="S42" s="110"/>
    </row>
    <row r="43" spans="1:19" s="111" customFormat="1" ht="15.75" thickBot="1">
      <c r="A43" s="112"/>
      <c r="B43" s="113"/>
      <c r="C43" s="245">
        <v>1333</v>
      </c>
      <c r="D43" s="245">
        <v>9</v>
      </c>
      <c r="E43" s="245">
        <v>0</v>
      </c>
      <c r="F43" s="245">
        <v>0</v>
      </c>
      <c r="G43" s="245">
        <v>0</v>
      </c>
      <c r="H43" s="245">
        <v>0</v>
      </c>
      <c r="I43" s="379">
        <v>0</v>
      </c>
      <c r="J43" s="380"/>
      <c r="K43" s="115" t="s">
        <v>813</v>
      </c>
      <c r="L43" s="110">
        <f t="shared" si="0"/>
        <v>1.7513999999999998</v>
      </c>
      <c r="M43" s="110">
        <f t="shared" si="1"/>
        <v>107.10000000000001</v>
      </c>
      <c r="N43" s="110"/>
      <c r="O43" s="110"/>
      <c r="P43" s="110"/>
      <c r="Q43" s="110"/>
      <c r="R43" s="110"/>
      <c r="S43" s="110"/>
    </row>
    <row r="44" spans="1:19" s="111" customFormat="1" ht="15.75" thickBot="1">
      <c r="A44" s="112"/>
      <c r="B44" s="113"/>
      <c r="C44" s="245">
        <v>1358</v>
      </c>
      <c r="D44" s="245">
        <v>4</v>
      </c>
      <c r="E44" s="245">
        <v>2</v>
      </c>
      <c r="F44" s="245">
        <v>0</v>
      </c>
      <c r="G44" s="245">
        <v>0</v>
      </c>
      <c r="H44" s="245">
        <v>0</v>
      </c>
      <c r="I44" s="379">
        <v>0</v>
      </c>
      <c r="J44" s="380"/>
      <c r="K44" s="115" t="s">
        <v>813</v>
      </c>
      <c r="L44" s="110">
        <f t="shared" si="0"/>
        <v>1.1676</v>
      </c>
      <c r="M44" s="110">
        <f t="shared" si="1"/>
        <v>71.400000000000006</v>
      </c>
      <c r="N44" s="110"/>
      <c r="O44" s="110"/>
      <c r="P44" s="110"/>
      <c r="Q44" s="110"/>
      <c r="R44" s="110"/>
      <c r="S44" s="110"/>
    </row>
    <row r="45" spans="1:19" s="111" customFormat="1" ht="15.75" thickBot="1">
      <c r="A45" s="112"/>
      <c r="B45" s="113"/>
      <c r="C45" s="245">
        <v>1391</v>
      </c>
      <c r="D45" s="245">
        <v>33</v>
      </c>
      <c r="E45" s="245">
        <v>10</v>
      </c>
      <c r="F45" s="245" t="s">
        <v>821</v>
      </c>
      <c r="G45" s="245">
        <v>2</v>
      </c>
      <c r="H45" s="245">
        <v>0</v>
      </c>
      <c r="I45" s="379">
        <v>1</v>
      </c>
      <c r="J45" s="380"/>
      <c r="K45" s="115" t="s">
        <v>813</v>
      </c>
      <c r="L45" s="110">
        <f t="shared" si="0"/>
        <v>8.9515999999999991</v>
      </c>
      <c r="M45" s="110">
        <f t="shared" si="1"/>
        <v>547.4</v>
      </c>
      <c r="N45" s="110"/>
      <c r="O45" s="110"/>
      <c r="P45" s="110"/>
      <c r="Q45" s="110"/>
      <c r="R45" s="110"/>
      <c r="S45" s="110"/>
    </row>
    <row r="46" spans="1:19" s="111" customFormat="1" ht="15.75" thickBot="1">
      <c r="A46" s="112"/>
      <c r="B46" s="113"/>
      <c r="C46" s="245">
        <v>1397</v>
      </c>
      <c r="D46" s="245">
        <v>9</v>
      </c>
      <c r="E46" s="245" t="s">
        <v>822</v>
      </c>
      <c r="F46" s="245">
        <v>0</v>
      </c>
      <c r="G46" s="245">
        <v>0</v>
      </c>
      <c r="H46" s="245">
        <v>0</v>
      </c>
      <c r="I46" s="379">
        <v>1</v>
      </c>
      <c r="J46" s="380"/>
      <c r="K46" s="115" t="s">
        <v>813</v>
      </c>
      <c r="L46" s="110">
        <f t="shared" si="0"/>
        <v>1.946</v>
      </c>
      <c r="M46" s="110">
        <f t="shared" si="1"/>
        <v>119</v>
      </c>
      <c r="N46" s="110"/>
      <c r="O46" s="110"/>
      <c r="P46" s="110"/>
      <c r="Q46" s="110"/>
      <c r="R46" s="110"/>
      <c r="S46" s="110"/>
    </row>
    <row r="47" spans="1:19" s="111" customFormat="1" ht="15.75" thickBot="1">
      <c r="A47" s="112"/>
      <c r="B47" s="113"/>
      <c r="C47" s="245">
        <v>1425</v>
      </c>
      <c r="D47" s="245">
        <v>2</v>
      </c>
      <c r="E47" s="245">
        <v>6</v>
      </c>
      <c r="F47" s="245">
        <v>0</v>
      </c>
      <c r="G47" s="245">
        <v>0</v>
      </c>
      <c r="H47" s="245">
        <v>0</v>
      </c>
      <c r="I47" s="379">
        <v>0</v>
      </c>
      <c r="J47" s="380"/>
      <c r="K47" s="115" t="s">
        <v>813</v>
      </c>
      <c r="L47" s="110">
        <f t="shared" si="0"/>
        <v>1.5568</v>
      </c>
      <c r="M47" s="110">
        <f t="shared" si="1"/>
        <v>95.2</v>
      </c>
      <c r="N47" s="110"/>
      <c r="O47" s="110"/>
      <c r="P47" s="110"/>
      <c r="Q47" s="110"/>
      <c r="R47" s="110"/>
      <c r="S47" s="110"/>
    </row>
    <row r="48" spans="1:19" s="111" customFormat="1" ht="15.75" thickBot="1">
      <c r="A48" s="112"/>
      <c r="B48" s="113"/>
      <c r="C48" s="245">
        <v>1470</v>
      </c>
      <c r="D48" s="245">
        <v>10</v>
      </c>
      <c r="E48" s="245">
        <v>4</v>
      </c>
      <c r="F48" s="245">
        <v>0</v>
      </c>
      <c r="G48" s="245">
        <v>0</v>
      </c>
      <c r="H48" s="245">
        <v>0</v>
      </c>
      <c r="I48" s="379">
        <v>0</v>
      </c>
      <c r="J48" s="380"/>
      <c r="K48" s="115" t="s">
        <v>813</v>
      </c>
      <c r="L48" s="110">
        <f t="shared" si="0"/>
        <v>2.7244000000000002</v>
      </c>
      <c r="M48" s="110">
        <f t="shared" si="1"/>
        <v>166.6</v>
      </c>
      <c r="N48" s="110"/>
      <c r="O48" s="110"/>
      <c r="P48" s="110"/>
      <c r="Q48" s="110"/>
      <c r="R48" s="110"/>
      <c r="S48" s="110"/>
    </row>
    <row r="49" spans="1:19" s="111" customFormat="1" ht="15.75" thickBot="1">
      <c r="A49" s="112"/>
      <c r="B49" s="113"/>
      <c r="C49" s="245">
        <v>1471</v>
      </c>
      <c r="D49" s="245">
        <v>7</v>
      </c>
      <c r="E49" s="245">
        <v>4</v>
      </c>
      <c r="F49" s="245">
        <v>0</v>
      </c>
      <c r="G49" s="245">
        <v>0</v>
      </c>
      <c r="H49" s="245">
        <v>0</v>
      </c>
      <c r="I49" s="379">
        <v>0</v>
      </c>
      <c r="J49" s="380"/>
      <c r="K49" s="115" t="s">
        <v>813</v>
      </c>
      <c r="L49" s="110">
        <f t="shared" si="0"/>
        <v>2.1406000000000001</v>
      </c>
      <c r="M49" s="110">
        <f t="shared" si="1"/>
        <v>130.9</v>
      </c>
      <c r="N49" s="110"/>
      <c r="O49" s="110"/>
      <c r="P49" s="110"/>
      <c r="Q49" s="110"/>
      <c r="R49" s="110"/>
      <c r="S49" s="110"/>
    </row>
    <row r="50" spans="1:19" s="111" customFormat="1" ht="15.75" thickBot="1">
      <c r="A50" s="112"/>
      <c r="B50" s="113"/>
      <c r="C50" s="245">
        <v>1523</v>
      </c>
      <c r="D50" s="245">
        <v>1</v>
      </c>
      <c r="E50" s="245">
        <v>1</v>
      </c>
      <c r="F50" s="245">
        <v>0</v>
      </c>
      <c r="G50" s="245">
        <v>0</v>
      </c>
      <c r="H50" s="245">
        <v>0</v>
      </c>
      <c r="I50" s="379">
        <v>0</v>
      </c>
      <c r="J50" s="380"/>
      <c r="K50" s="115" t="s">
        <v>813</v>
      </c>
      <c r="L50" s="110">
        <f t="shared" si="0"/>
        <v>0.38919999999999999</v>
      </c>
      <c r="M50" s="110">
        <f t="shared" si="1"/>
        <v>23.8</v>
      </c>
      <c r="N50" s="110"/>
      <c r="O50" s="110"/>
      <c r="P50" s="110"/>
      <c r="Q50" s="110"/>
      <c r="R50" s="110"/>
      <c r="S50" s="110"/>
    </row>
    <row r="51" spans="1:19" s="111" customFormat="1" ht="15.75" thickBot="1">
      <c r="A51" s="112"/>
      <c r="B51" s="113"/>
      <c r="C51" s="245">
        <v>1552</v>
      </c>
      <c r="D51" s="245">
        <v>35</v>
      </c>
      <c r="E51" s="245">
        <v>13</v>
      </c>
      <c r="F51" s="245">
        <v>7</v>
      </c>
      <c r="G51" s="245">
        <v>0</v>
      </c>
      <c r="H51" s="245">
        <v>0</v>
      </c>
      <c r="I51" s="379">
        <v>0</v>
      </c>
      <c r="J51" s="380"/>
      <c r="K51" s="115" t="s">
        <v>813</v>
      </c>
      <c r="L51" s="110">
        <f t="shared" si="0"/>
        <v>10.702999999999999</v>
      </c>
      <c r="M51" s="110">
        <f t="shared" si="1"/>
        <v>654.5</v>
      </c>
      <c r="N51" s="110"/>
      <c r="O51" s="110"/>
      <c r="P51" s="110"/>
      <c r="Q51" s="110"/>
      <c r="R51" s="110"/>
      <c r="S51" s="110"/>
    </row>
    <row r="52" spans="1:19" s="111" customFormat="1" ht="15.75" thickBot="1">
      <c r="A52" s="112"/>
      <c r="B52" s="113"/>
      <c r="C52" s="245">
        <v>1554</v>
      </c>
      <c r="D52" s="245">
        <v>32</v>
      </c>
      <c r="E52" s="245">
        <v>6</v>
      </c>
      <c r="F52" s="245">
        <v>6</v>
      </c>
      <c r="G52" s="245">
        <v>0</v>
      </c>
      <c r="H52" s="245">
        <v>0</v>
      </c>
      <c r="I52" s="379">
        <v>0</v>
      </c>
      <c r="J52" s="380"/>
      <c r="K52" s="115" t="s">
        <v>813</v>
      </c>
      <c r="L52" s="110">
        <f t="shared" si="0"/>
        <v>8.5624000000000002</v>
      </c>
      <c r="M52" s="110">
        <f t="shared" si="1"/>
        <v>523.6</v>
      </c>
      <c r="N52" s="110"/>
      <c r="O52" s="110"/>
      <c r="P52" s="110"/>
      <c r="Q52" s="110"/>
      <c r="R52" s="110"/>
      <c r="S52" s="110"/>
    </row>
    <row r="53" spans="1:19" s="111" customFormat="1" ht="15.75" thickBot="1">
      <c r="A53" s="112"/>
      <c r="B53" s="113"/>
      <c r="C53" s="245">
        <v>1555</v>
      </c>
      <c r="D53" s="245">
        <v>30</v>
      </c>
      <c r="E53" s="245">
        <v>6</v>
      </c>
      <c r="F53" s="245">
        <v>17</v>
      </c>
      <c r="G53" s="245">
        <v>0</v>
      </c>
      <c r="H53" s="245">
        <v>0</v>
      </c>
      <c r="I53" s="379">
        <v>0</v>
      </c>
      <c r="J53" s="380"/>
      <c r="K53" s="115" t="s">
        <v>813</v>
      </c>
      <c r="L53" s="110">
        <f t="shared" si="0"/>
        <v>10.313800000000001</v>
      </c>
      <c r="M53" s="110">
        <f t="shared" si="1"/>
        <v>630.70000000000005</v>
      </c>
      <c r="N53" s="110"/>
      <c r="O53" s="110"/>
      <c r="P53" s="110"/>
      <c r="Q53" s="110"/>
      <c r="R53" s="110"/>
      <c r="S53" s="110"/>
    </row>
    <row r="54" spans="1:19" s="111" customFormat="1" ht="15.75" thickBot="1">
      <c r="A54" s="112"/>
      <c r="B54" s="113"/>
      <c r="C54" s="245">
        <v>1556</v>
      </c>
      <c r="D54" s="245">
        <v>14</v>
      </c>
      <c r="E54" s="245">
        <v>5</v>
      </c>
      <c r="F54" s="245" t="s">
        <v>821</v>
      </c>
      <c r="G54" s="245">
        <v>0</v>
      </c>
      <c r="H54" s="245">
        <v>0</v>
      </c>
      <c r="I54" s="379">
        <v>0</v>
      </c>
      <c r="J54" s="380"/>
      <c r="K54" s="115" t="s">
        <v>813</v>
      </c>
      <c r="L54" s="110">
        <f t="shared" si="0"/>
        <v>3.6974</v>
      </c>
      <c r="M54" s="110">
        <f t="shared" si="1"/>
        <v>226.1</v>
      </c>
      <c r="N54" s="110"/>
      <c r="O54" s="110"/>
      <c r="P54" s="110"/>
      <c r="Q54" s="110"/>
      <c r="R54" s="110"/>
      <c r="S54" s="110"/>
    </row>
    <row r="55" spans="1:19" s="111" customFormat="1" ht="15.75" thickBot="1">
      <c r="A55" s="112"/>
      <c r="B55" s="113"/>
      <c r="C55" s="245">
        <v>1576</v>
      </c>
      <c r="D55" s="245">
        <v>8</v>
      </c>
      <c r="E55" s="245">
        <v>4</v>
      </c>
      <c r="F55" s="245" t="s">
        <v>822</v>
      </c>
      <c r="G55" s="245">
        <v>0</v>
      </c>
      <c r="H55" s="245">
        <v>0</v>
      </c>
      <c r="I55" s="379">
        <v>0</v>
      </c>
      <c r="J55" s="380"/>
      <c r="K55" s="115" t="s">
        <v>813</v>
      </c>
      <c r="L55" s="110">
        <f t="shared" si="0"/>
        <v>2.3351999999999999</v>
      </c>
      <c r="M55" s="110">
        <f t="shared" si="1"/>
        <v>142.80000000000001</v>
      </c>
      <c r="N55" s="110"/>
      <c r="O55" s="110"/>
      <c r="P55" s="110"/>
      <c r="Q55" s="110"/>
      <c r="R55" s="110"/>
      <c r="S55" s="110"/>
    </row>
    <row r="56" spans="1:19" s="111" customFormat="1" ht="15.75" thickBot="1">
      <c r="A56" s="112"/>
      <c r="B56" s="113"/>
      <c r="C56" s="245">
        <v>1585</v>
      </c>
      <c r="D56" s="245">
        <v>39</v>
      </c>
      <c r="E56" s="245">
        <v>5</v>
      </c>
      <c r="F56" s="245">
        <v>14</v>
      </c>
      <c r="G56" s="245">
        <v>0</v>
      </c>
      <c r="H56" s="245">
        <v>0</v>
      </c>
      <c r="I56" s="379">
        <v>0</v>
      </c>
      <c r="J56" s="380"/>
      <c r="K56" s="115" t="s">
        <v>813</v>
      </c>
      <c r="L56" s="110">
        <f t="shared" si="0"/>
        <v>11.286799999999999</v>
      </c>
      <c r="M56" s="110">
        <f t="shared" si="1"/>
        <v>690.2</v>
      </c>
      <c r="N56" s="110"/>
      <c r="O56" s="110"/>
      <c r="P56" s="110"/>
      <c r="Q56" s="110"/>
      <c r="R56" s="110"/>
      <c r="S56" s="110"/>
    </row>
    <row r="57" spans="1:19" s="111" customFormat="1" ht="15.75" thickBot="1">
      <c r="A57" s="112"/>
      <c r="B57" s="113"/>
      <c r="C57" s="245">
        <v>1586</v>
      </c>
      <c r="D57" s="245">
        <v>35</v>
      </c>
      <c r="E57" s="245">
        <v>8</v>
      </c>
      <c r="F57" s="245">
        <v>12</v>
      </c>
      <c r="G57" s="245">
        <v>0</v>
      </c>
      <c r="H57" s="245">
        <v>0</v>
      </c>
      <c r="I57" s="379">
        <v>0</v>
      </c>
      <c r="J57" s="380"/>
      <c r="K57" s="115" t="s">
        <v>813</v>
      </c>
      <c r="L57" s="110">
        <f t="shared" si="0"/>
        <v>10.702999999999999</v>
      </c>
      <c r="M57" s="110">
        <f t="shared" si="1"/>
        <v>654.5</v>
      </c>
      <c r="N57" s="110"/>
      <c r="O57" s="110"/>
      <c r="P57" s="110"/>
      <c r="Q57" s="110"/>
      <c r="R57" s="110"/>
      <c r="S57" s="110"/>
    </row>
    <row r="58" spans="1:19" s="111" customFormat="1" ht="15.75" thickBot="1">
      <c r="A58" s="112"/>
      <c r="B58" s="113"/>
      <c r="C58" s="245">
        <v>1587</v>
      </c>
      <c r="D58" s="245">
        <v>44</v>
      </c>
      <c r="E58" s="245">
        <v>4</v>
      </c>
      <c r="F58" s="245">
        <v>5</v>
      </c>
      <c r="G58" s="245">
        <v>0</v>
      </c>
      <c r="H58" s="245">
        <v>0</v>
      </c>
      <c r="I58" s="379">
        <v>0</v>
      </c>
      <c r="J58" s="380"/>
      <c r="K58" s="115" t="s">
        <v>813</v>
      </c>
      <c r="L58" s="110">
        <f t="shared" si="0"/>
        <v>10.313800000000001</v>
      </c>
      <c r="M58" s="110">
        <f t="shared" si="1"/>
        <v>630.70000000000005</v>
      </c>
      <c r="N58" s="110"/>
      <c r="O58" s="110"/>
      <c r="P58" s="110"/>
      <c r="Q58" s="110"/>
      <c r="R58" s="110"/>
      <c r="S58" s="110"/>
    </row>
    <row r="59" spans="1:19" s="111" customFormat="1" ht="15.75" thickBot="1">
      <c r="A59" s="112"/>
      <c r="B59" s="113"/>
      <c r="C59" s="245">
        <v>1613</v>
      </c>
      <c r="D59" s="245">
        <v>16</v>
      </c>
      <c r="E59" s="245" t="s">
        <v>821</v>
      </c>
      <c r="F59" s="245" t="s">
        <v>822</v>
      </c>
      <c r="G59" s="245">
        <v>0</v>
      </c>
      <c r="H59" s="245">
        <v>0</v>
      </c>
      <c r="I59" s="379">
        <v>0</v>
      </c>
      <c r="J59" s="380"/>
      <c r="K59" s="115" t="s">
        <v>813</v>
      </c>
      <c r="L59" s="110">
        <f t="shared" si="0"/>
        <v>3.1135999999999999</v>
      </c>
      <c r="M59" s="110">
        <f t="shared" si="1"/>
        <v>190.4</v>
      </c>
      <c r="N59" s="110"/>
      <c r="O59" s="110"/>
      <c r="P59" s="110"/>
      <c r="Q59" s="110"/>
      <c r="R59" s="110"/>
      <c r="S59" s="110"/>
    </row>
    <row r="60" spans="1:19" s="111" customFormat="1" ht="15.75" thickBot="1">
      <c r="A60" s="112"/>
      <c r="B60" s="113"/>
      <c r="C60" s="245">
        <v>1618</v>
      </c>
      <c r="D60" s="245" t="s">
        <v>822</v>
      </c>
      <c r="E60" s="245">
        <v>3</v>
      </c>
      <c r="F60" s="245" t="s">
        <v>822</v>
      </c>
      <c r="G60" s="245">
        <v>0</v>
      </c>
      <c r="H60" s="245">
        <v>0</v>
      </c>
      <c r="I60" s="379">
        <v>0</v>
      </c>
      <c r="J60" s="380"/>
      <c r="K60" s="115" t="s">
        <v>813</v>
      </c>
      <c r="L60" s="110">
        <f t="shared" si="0"/>
        <v>0.58379999999999999</v>
      </c>
      <c r="M60" s="110">
        <f t="shared" si="1"/>
        <v>35.700000000000003</v>
      </c>
      <c r="N60" s="110"/>
      <c r="O60" s="110"/>
      <c r="P60" s="110"/>
      <c r="Q60" s="110"/>
      <c r="R60" s="110"/>
      <c r="S60" s="110"/>
    </row>
    <row r="61" spans="1:19" s="111" customFormat="1" ht="15.75" thickBot="1">
      <c r="A61" s="112"/>
      <c r="B61" s="113"/>
      <c r="C61" s="245">
        <v>1624</v>
      </c>
      <c r="D61" s="245" t="s">
        <v>822</v>
      </c>
      <c r="E61" s="245">
        <v>2</v>
      </c>
      <c r="F61" s="245" t="s">
        <v>822</v>
      </c>
      <c r="G61" s="245">
        <v>0</v>
      </c>
      <c r="H61" s="245">
        <v>0</v>
      </c>
      <c r="I61" s="379">
        <v>0</v>
      </c>
      <c r="J61" s="380"/>
      <c r="K61" s="115" t="s">
        <v>813</v>
      </c>
      <c r="L61" s="110">
        <f t="shared" si="0"/>
        <v>0.38919999999999999</v>
      </c>
      <c r="M61" s="110">
        <f t="shared" si="1"/>
        <v>23.8</v>
      </c>
      <c r="N61" s="110"/>
      <c r="O61" s="110"/>
      <c r="P61" s="110"/>
      <c r="Q61" s="110"/>
      <c r="R61" s="110"/>
      <c r="S61" s="110"/>
    </row>
    <row r="62" spans="1:19" s="111" customFormat="1" ht="15.75" thickBot="1">
      <c r="A62" s="112"/>
      <c r="B62" s="113"/>
      <c r="C62" s="245">
        <v>1805</v>
      </c>
      <c r="D62" s="245" t="s">
        <v>822</v>
      </c>
      <c r="E62" s="245">
        <v>14</v>
      </c>
      <c r="F62" s="245">
        <v>0</v>
      </c>
      <c r="G62" s="245">
        <v>0</v>
      </c>
      <c r="H62" s="245">
        <v>0</v>
      </c>
      <c r="I62" s="379" t="s">
        <v>822</v>
      </c>
      <c r="J62" s="380"/>
      <c r="K62" s="115" t="s">
        <v>813</v>
      </c>
      <c r="L62" s="110">
        <f t="shared" si="0"/>
        <v>2.7244000000000002</v>
      </c>
      <c r="M62" s="110">
        <f t="shared" si="1"/>
        <v>166.6</v>
      </c>
      <c r="N62" s="110"/>
      <c r="O62" s="110"/>
      <c r="P62" s="110"/>
      <c r="Q62" s="110"/>
      <c r="R62" s="110"/>
      <c r="S62" s="110"/>
    </row>
    <row r="63" spans="1:19" s="111" customFormat="1" ht="15.75" thickBot="1">
      <c r="A63" s="112"/>
      <c r="B63" s="113"/>
      <c r="C63" s="245">
        <v>1842</v>
      </c>
      <c r="D63" s="245">
        <v>20</v>
      </c>
      <c r="E63" s="245">
        <v>2</v>
      </c>
      <c r="F63" s="245">
        <v>0</v>
      </c>
      <c r="G63" s="245">
        <v>0</v>
      </c>
      <c r="H63" s="245">
        <v>0</v>
      </c>
      <c r="I63" s="379" t="s">
        <v>822</v>
      </c>
      <c r="J63" s="380"/>
      <c r="K63" s="115" t="s">
        <v>813</v>
      </c>
      <c r="L63" s="110">
        <f t="shared" si="0"/>
        <v>4.2812000000000001</v>
      </c>
      <c r="M63" s="110">
        <f t="shared" si="1"/>
        <v>261.8</v>
      </c>
      <c r="N63" s="110"/>
      <c r="O63" s="110"/>
      <c r="P63" s="110"/>
      <c r="Q63" s="110"/>
      <c r="R63" s="110"/>
      <c r="S63" s="110"/>
    </row>
    <row r="64" spans="1:19" s="111" customFormat="1" ht="15.75" thickBot="1">
      <c r="A64" s="112"/>
      <c r="B64" s="113"/>
      <c r="C64" s="245">
        <v>1868</v>
      </c>
      <c r="D64" s="245">
        <v>3</v>
      </c>
      <c r="E64" s="245">
        <v>6</v>
      </c>
      <c r="F64" s="245">
        <v>0</v>
      </c>
      <c r="G64" s="245">
        <v>0</v>
      </c>
      <c r="H64" s="245">
        <v>0</v>
      </c>
      <c r="I64" s="379">
        <v>1</v>
      </c>
      <c r="J64" s="380"/>
      <c r="K64" s="115" t="s">
        <v>813</v>
      </c>
      <c r="L64" s="110">
        <f t="shared" si="0"/>
        <v>1.946</v>
      </c>
      <c r="M64" s="110">
        <f t="shared" si="1"/>
        <v>119</v>
      </c>
      <c r="N64" s="110"/>
      <c r="O64" s="110"/>
      <c r="P64" s="110"/>
      <c r="Q64" s="110"/>
      <c r="R64" s="110"/>
      <c r="S64" s="110"/>
    </row>
    <row r="65" spans="1:19" s="111" customFormat="1" ht="15.75" thickBot="1">
      <c r="A65" s="112"/>
      <c r="B65" s="113"/>
      <c r="C65" s="245">
        <v>1878</v>
      </c>
      <c r="D65" s="245">
        <v>7</v>
      </c>
      <c r="E65" s="245">
        <v>3</v>
      </c>
      <c r="F65" s="245">
        <v>0</v>
      </c>
      <c r="G65" s="245">
        <v>0</v>
      </c>
      <c r="H65" s="245">
        <v>0</v>
      </c>
      <c r="I65" s="379" t="s">
        <v>822</v>
      </c>
      <c r="J65" s="380"/>
      <c r="K65" s="115" t="s">
        <v>813</v>
      </c>
      <c r="L65" s="110">
        <f t="shared" si="0"/>
        <v>1.946</v>
      </c>
      <c r="M65" s="110">
        <f t="shared" si="1"/>
        <v>119</v>
      </c>
      <c r="N65" s="110"/>
      <c r="O65" s="110"/>
      <c r="P65" s="110"/>
      <c r="Q65" s="110"/>
      <c r="R65" s="110"/>
      <c r="S65" s="110"/>
    </row>
    <row r="66" spans="1:19" s="111" customFormat="1" ht="15.75" thickBot="1">
      <c r="A66" s="112"/>
      <c r="B66" s="113"/>
      <c r="C66" s="245">
        <v>1888</v>
      </c>
      <c r="D66" s="245">
        <v>15</v>
      </c>
      <c r="E66" s="245">
        <v>6</v>
      </c>
      <c r="F66" s="245">
        <v>0</v>
      </c>
      <c r="G66" s="245">
        <v>0</v>
      </c>
      <c r="H66" s="245">
        <v>0</v>
      </c>
      <c r="I66" s="379" t="s">
        <v>822</v>
      </c>
      <c r="J66" s="380"/>
      <c r="K66" s="115" t="s">
        <v>813</v>
      </c>
      <c r="L66" s="110">
        <f t="shared" si="0"/>
        <v>4.0865999999999998</v>
      </c>
      <c r="M66" s="110">
        <f t="shared" si="1"/>
        <v>249.9</v>
      </c>
      <c r="N66" s="110"/>
      <c r="O66" s="110"/>
      <c r="P66" s="110"/>
      <c r="Q66" s="110"/>
      <c r="R66" s="110"/>
      <c r="S66" s="110"/>
    </row>
    <row r="67" spans="1:19" s="111" customFormat="1" ht="15.75" thickBot="1">
      <c r="A67" s="112"/>
      <c r="B67" s="113"/>
      <c r="C67" s="245">
        <v>1960</v>
      </c>
      <c r="D67" s="245">
        <v>23</v>
      </c>
      <c r="E67" s="245">
        <v>7</v>
      </c>
      <c r="F67" s="245">
        <v>0</v>
      </c>
      <c r="G67" s="245">
        <v>0</v>
      </c>
      <c r="H67" s="245">
        <v>0</v>
      </c>
      <c r="I67" s="379" t="s">
        <v>822</v>
      </c>
      <c r="J67" s="380"/>
      <c r="K67" s="115" t="s">
        <v>813</v>
      </c>
      <c r="L67" s="110">
        <f t="shared" si="0"/>
        <v>5.8380000000000001</v>
      </c>
      <c r="M67" s="110">
        <f t="shared" si="1"/>
        <v>357</v>
      </c>
      <c r="N67" s="110"/>
      <c r="O67" s="110"/>
      <c r="P67" s="110"/>
      <c r="Q67" s="110"/>
      <c r="R67" s="110"/>
      <c r="S67" s="110"/>
    </row>
    <row r="68" spans="1:19" s="111" customFormat="1" ht="15.75" thickBot="1">
      <c r="A68" s="112"/>
      <c r="B68" s="113"/>
      <c r="C68" s="245">
        <v>1980</v>
      </c>
      <c r="D68" s="245">
        <v>116</v>
      </c>
      <c r="E68" s="245">
        <v>12</v>
      </c>
      <c r="F68" s="245">
        <v>0</v>
      </c>
      <c r="G68" s="245">
        <v>0</v>
      </c>
      <c r="H68" s="245">
        <v>0</v>
      </c>
      <c r="I68" s="379">
        <v>1</v>
      </c>
      <c r="J68" s="380"/>
      <c r="K68" s="115" t="s">
        <v>813</v>
      </c>
      <c r="L68" s="110">
        <f t="shared" si="0"/>
        <v>25.103400000000001</v>
      </c>
      <c r="M68" s="110">
        <f t="shared" si="1"/>
        <v>1535.1000000000001</v>
      </c>
      <c r="N68" s="110"/>
      <c r="O68" s="110"/>
      <c r="P68" s="110"/>
      <c r="Q68" s="110"/>
      <c r="R68" s="110"/>
      <c r="S68" s="110"/>
    </row>
    <row r="69" spans="1:19" s="111" customFormat="1" ht="15.75" thickBot="1">
      <c r="A69" s="112"/>
      <c r="B69" s="113"/>
      <c r="C69" s="245">
        <v>1983</v>
      </c>
      <c r="D69" s="245">
        <v>2</v>
      </c>
      <c r="E69" s="245">
        <v>4</v>
      </c>
      <c r="F69" s="245">
        <v>0</v>
      </c>
      <c r="G69" s="245">
        <v>0</v>
      </c>
      <c r="H69" s="245">
        <v>0</v>
      </c>
      <c r="I69" s="379" t="s">
        <v>822</v>
      </c>
      <c r="J69" s="380"/>
      <c r="K69" s="115" t="s">
        <v>813</v>
      </c>
      <c r="L69" s="110">
        <f t="shared" si="0"/>
        <v>1.1676</v>
      </c>
      <c r="M69" s="110">
        <f t="shared" si="1"/>
        <v>71.400000000000006</v>
      </c>
      <c r="N69" s="110"/>
      <c r="O69" s="110"/>
      <c r="P69" s="110"/>
      <c r="Q69" s="110"/>
      <c r="R69" s="110"/>
      <c r="S69" s="110"/>
    </row>
    <row r="70" spans="1:19" s="111" customFormat="1" ht="15.75" thickBot="1">
      <c r="A70" s="112"/>
      <c r="B70" s="113"/>
      <c r="C70" s="245">
        <v>1986</v>
      </c>
      <c r="D70" s="245">
        <v>14</v>
      </c>
      <c r="E70" s="245">
        <v>3</v>
      </c>
      <c r="F70" s="245">
        <v>0</v>
      </c>
      <c r="G70" s="245">
        <v>0</v>
      </c>
      <c r="H70" s="245">
        <v>0</v>
      </c>
      <c r="I70" s="379" t="s">
        <v>822</v>
      </c>
      <c r="J70" s="380"/>
      <c r="K70" s="115" t="s">
        <v>813</v>
      </c>
      <c r="L70" s="110">
        <f t="shared" si="0"/>
        <v>3.3081999999999998</v>
      </c>
      <c r="M70" s="110">
        <f t="shared" si="1"/>
        <v>202.3</v>
      </c>
      <c r="N70" s="110"/>
      <c r="O70" s="110"/>
      <c r="P70" s="110"/>
      <c r="Q70" s="110"/>
      <c r="R70" s="110"/>
      <c r="S70" s="110"/>
    </row>
    <row r="71" spans="1:19" s="111" customFormat="1" ht="15.75" thickBot="1">
      <c r="A71" s="112"/>
      <c r="B71" s="113"/>
      <c r="C71" s="245">
        <v>2038</v>
      </c>
      <c r="D71" s="245">
        <v>3</v>
      </c>
      <c r="E71" s="245" t="s">
        <v>822</v>
      </c>
      <c r="F71" s="245">
        <v>0</v>
      </c>
      <c r="G71" s="245">
        <v>0</v>
      </c>
      <c r="H71" s="245">
        <v>0</v>
      </c>
      <c r="I71" s="379" t="s">
        <v>822</v>
      </c>
      <c r="J71" s="380"/>
      <c r="K71" s="115" t="s">
        <v>813</v>
      </c>
      <c r="L71" s="110">
        <f t="shared" si="0"/>
        <v>0.58379999999999999</v>
      </c>
      <c r="M71" s="110">
        <f t="shared" si="1"/>
        <v>35.700000000000003</v>
      </c>
      <c r="N71" s="110"/>
      <c r="O71" s="110"/>
      <c r="P71" s="110"/>
      <c r="Q71" s="110"/>
      <c r="R71" s="110"/>
      <c r="S71" s="110"/>
    </row>
    <row r="72" spans="1:19" s="111" customFormat="1" ht="15.75" thickBot="1">
      <c r="A72" s="112"/>
      <c r="B72" s="113"/>
      <c r="C72" s="245">
        <v>2040</v>
      </c>
      <c r="D72" s="245">
        <v>15</v>
      </c>
      <c r="E72" s="245">
        <v>5</v>
      </c>
      <c r="F72" s="245">
        <v>0</v>
      </c>
      <c r="G72" s="245">
        <v>0</v>
      </c>
      <c r="H72" s="245">
        <v>0</v>
      </c>
      <c r="I72" s="379">
        <v>1</v>
      </c>
      <c r="J72" s="380"/>
      <c r="K72" s="115" t="s">
        <v>813</v>
      </c>
      <c r="L72" s="110">
        <f t="shared" ref="L72:L115" si="2">SUM(D72:J72)*0.1946</f>
        <v>4.0865999999999998</v>
      </c>
      <c r="M72" s="110">
        <f t="shared" ref="M72:M115" si="3">SUM($D72:$J72)*11.9</f>
        <v>249.9</v>
      </c>
      <c r="N72" s="110"/>
      <c r="O72" s="110"/>
      <c r="P72" s="110"/>
      <c r="Q72" s="110"/>
      <c r="R72" s="110"/>
      <c r="S72" s="110"/>
    </row>
    <row r="73" spans="1:19" s="111" customFormat="1" ht="15.75" thickBot="1">
      <c r="A73" s="112"/>
      <c r="B73" s="113"/>
      <c r="C73" s="245">
        <v>2051</v>
      </c>
      <c r="D73" s="245">
        <v>3</v>
      </c>
      <c r="E73" s="245">
        <v>4</v>
      </c>
      <c r="F73" s="245">
        <v>0</v>
      </c>
      <c r="G73" s="245">
        <v>2</v>
      </c>
      <c r="H73" s="245" t="s">
        <v>822</v>
      </c>
      <c r="I73" s="379" t="s">
        <v>822</v>
      </c>
      <c r="J73" s="380"/>
      <c r="K73" s="115" t="s">
        <v>813</v>
      </c>
      <c r="L73" s="110">
        <f t="shared" si="2"/>
        <v>1.7513999999999998</v>
      </c>
      <c r="M73" s="110">
        <f t="shared" si="3"/>
        <v>107.10000000000001</v>
      </c>
      <c r="N73" s="110"/>
      <c r="O73" s="110"/>
      <c r="P73" s="110"/>
      <c r="Q73" s="110"/>
      <c r="R73" s="110"/>
      <c r="S73" s="110"/>
    </row>
    <row r="74" spans="1:19" s="111" customFormat="1" ht="15.75" thickBot="1">
      <c r="A74" s="112"/>
      <c r="B74" s="113"/>
      <c r="C74" s="245">
        <v>2074</v>
      </c>
      <c r="D74" s="245" t="s">
        <v>822</v>
      </c>
      <c r="E74" s="245">
        <v>4</v>
      </c>
      <c r="F74" s="245">
        <v>0</v>
      </c>
      <c r="G74" s="245">
        <v>0</v>
      </c>
      <c r="H74" s="245">
        <v>0</v>
      </c>
      <c r="I74" s="379" t="s">
        <v>822</v>
      </c>
      <c r="J74" s="380"/>
      <c r="K74" s="115" t="s">
        <v>813</v>
      </c>
      <c r="L74" s="110">
        <f t="shared" si="2"/>
        <v>0.77839999999999998</v>
      </c>
      <c r="M74" s="110">
        <f t="shared" si="3"/>
        <v>47.6</v>
      </c>
      <c r="N74" s="110"/>
      <c r="O74" s="110"/>
      <c r="P74" s="110"/>
      <c r="Q74" s="110"/>
      <c r="R74" s="110"/>
      <c r="S74" s="110"/>
    </row>
    <row r="75" spans="1:19" s="111" customFormat="1" ht="15.75" thickBot="1">
      <c r="A75" s="112"/>
      <c r="B75" s="113"/>
      <c r="C75" s="245">
        <v>2075</v>
      </c>
      <c r="D75" s="245" t="s">
        <v>822</v>
      </c>
      <c r="E75" s="245">
        <v>4</v>
      </c>
      <c r="F75" s="245">
        <v>0</v>
      </c>
      <c r="G75" s="245">
        <v>0</v>
      </c>
      <c r="H75" s="245">
        <v>0</v>
      </c>
      <c r="I75" s="379" t="s">
        <v>822</v>
      </c>
      <c r="J75" s="380"/>
      <c r="K75" s="115" t="s">
        <v>813</v>
      </c>
      <c r="L75" s="110">
        <f t="shared" si="2"/>
        <v>0.77839999999999998</v>
      </c>
      <c r="M75" s="110">
        <f t="shared" si="3"/>
        <v>47.6</v>
      </c>
      <c r="N75" s="110"/>
      <c r="O75" s="110"/>
      <c r="P75" s="110"/>
      <c r="Q75" s="110"/>
      <c r="R75" s="110"/>
      <c r="S75" s="110"/>
    </row>
    <row r="76" spans="1:19" s="111" customFormat="1" ht="15.75" thickBot="1">
      <c r="A76" s="112"/>
      <c r="B76" s="113"/>
      <c r="C76" s="245">
        <v>2076</v>
      </c>
      <c r="D76" s="245" t="s">
        <v>822</v>
      </c>
      <c r="E76" s="245">
        <v>4</v>
      </c>
      <c r="F76" s="245">
        <v>0</v>
      </c>
      <c r="G76" s="245">
        <v>0</v>
      </c>
      <c r="H76" s="245">
        <v>0</v>
      </c>
      <c r="I76" s="379" t="s">
        <v>822</v>
      </c>
      <c r="J76" s="380"/>
      <c r="K76" s="115" t="s">
        <v>813</v>
      </c>
      <c r="L76" s="110">
        <f t="shared" si="2"/>
        <v>0.77839999999999998</v>
      </c>
      <c r="M76" s="110">
        <f t="shared" si="3"/>
        <v>47.6</v>
      </c>
      <c r="N76" s="110"/>
      <c r="O76" s="110"/>
      <c r="P76" s="110"/>
      <c r="Q76" s="110"/>
      <c r="R76" s="110"/>
      <c r="S76" s="110"/>
    </row>
    <row r="77" spans="1:19" s="111" customFormat="1" ht="15.75" thickBot="1">
      <c r="A77" s="112"/>
      <c r="B77" s="113"/>
      <c r="C77" s="245">
        <v>2078</v>
      </c>
      <c r="D77" s="245">
        <v>10</v>
      </c>
      <c r="E77" s="245">
        <v>19</v>
      </c>
      <c r="F77" s="245">
        <v>0</v>
      </c>
      <c r="G77" s="245">
        <v>0</v>
      </c>
      <c r="H77" s="245">
        <v>0</v>
      </c>
      <c r="I77" s="379" t="s">
        <v>822</v>
      </c>
      <c r="J77" s="380"/>
      <c r="K77" s="115" t="s">
        <v>813</v>
      </c>
      <c r="L77" s="110">
        <f t="shared" si="2"/>
        <v>5.6433999999999997</v>
      </c>
      <c r="M77" s="110">
        <f t="shared" si="3"/>
        <v>345.1</v>
      </c>
      <c r="N77" s="110"/>
      <c r="O77" s="110"/>
      <c r="P77" s="110"/>
      <c r="Q77" s="110"/>
      <c r="R77" s="110"/>
      <c r="S77" s="110"/>
    </row>
    <row r="78" spans="1:19" s="111" customFormat="1" ht="15.75" thickBot="1">
      <c r="A78" s="112"/>
      <c r="B78" s="113"/>
      <c r="C78" s="245">
        <v>2105</v>
      </c>
      <c r="D78" s="245">
        <v>36</v>
      </c>
      <c r="E78" s="245">
        <v>8</v>
      </c>
      <c r="F78" s="245">
        <v>1</v>
      </c>
      <c r="G78" s="245">
        <v>0</v>
      </c>
      <c r="H78" s="245">
        <v>0</v>
      </c>
      <c r="I78" s="379">
        <v>2</v>
      </c>
      <c r="J78" s="380"/>
      <c r="K78" s="115" t="s">
        <v>813</v>
      </c>
      <c r="L78" s="110">
        <f t="shared" si="2"/>
        <v>9.1462000000000003</v>
      </c>
      <c r="M78" s="110">
        <f t="shared" si="3"/>
        <v>559.30000000000007</v>
      </c>
      <c r="N78" s="110"/>
      <c r="O78" s="110"/>
      <c r="P78" s="110"/>
      <c r="Q78" s="110"/>
      <c r="R78" s="110"/>
      <c r="S78" s="110"/>
    </row>
    <row r="79" spans="1:19" s="111" customFormat="1" ht="15.75" thickBot="1">
      <c r="A79" s="112"/>
      <c r="B79" s="113"/>
      <c r="C79" s="245">
        <v>2107</v>
      </c>
      <c r="D79" s="245">
        <v>4</v>
      </c>
      <c r="E79" s="245">
        <v>0</v>
      </c>
      <c r="F79" s="245">
        <v>0</v>
      </c>
      <c r="G79" s="245">
        <v>0</v>
      </c>
      <c r="H79" s="245">
        <v>0</v>
      </c>
      <c r="I79" s="379">
        <v>0</v>
      </c>
      <c r="J79" s="380"/>
      <c r="K79" s="115" t="s">
        <v>813</v>
      </c>
      <c r="L79" s="110">
        <f t="shared" si="2"/>
        <v>0.77839999999999998</v>
      </c>
      <c r="M79" s="110">
        <f t="shared" si="3"/>
        <v>47.6</v>
      </c>
      <c r="N79" s="110"/>
      <c r="O79" s="110"/>
      <c r="P79" s="110"/>
      <c r="Q79" s="110"/>
      <c r="R79" s="110"/>
      <c r="S79" s="110"/>
    </row>
    <row r="80" spans="1:19" s="111" customFormat="1" ht="15.75" thickBot="1">
      <c r="A80" s="112"/>
      <c r="B80" s="113"/>
      <c r="C80" s="245">
        <v>2108</v>
      </c>
      <c r="D80" s="245">
        <v>2</v>
      </c>
      <c r="E80" s="245">
        <v>3</v>
      </c>
      <c r="F80" s="245">
        <v>0</v>
      </c>
      <c r="G80" s="245">
        <v>0</v>
      </c>
      <c r="H80" s="245">
        <v>0</v>
      </c>
      <c r="I80" s="379">
        <v>0</v>
      </c>
      <c r="J80" s="380"/>
      <c r="K80" s="115" t="s">
        <v>813</v>
      </c>
      <c r="L80" s="110">
        <f t="shared" si="2"/>
        <v>0.97299999999999998</v>
      </c>
      <c r="M80" s="110">
        <f t="shared" si="3"/>
        <v>59.5</v>
      </c>
      <c r="N80" s="110"/>
      <c r="O80" s="110"/>
      <c r="P80" s="110"/>
      <c r="Q80" s="110"/>
      <c r="R80" s="110"/>
      <c r="S80" s="110"/>
    </row>
    <row r="81" spans="1:19" s="111" customFormat="1" ht="15.75" thickBot="1">
      <c r="A81" s="112"/>
      <c r="B81" s="113"/>
      <c r="C81" s="245">
        <v>2215</v>
      </c>
      <c r="D81" s="245">
        <v>9</v>
      </c>
      <c r="E81" s="245" t="s">
        <v>822</v>
      </c>
      <c r="F81" s="245">
        <v>0</v>
      </c>
      <c r="G81" s="245">
        <v>0</v>
      </c>
      <c r="H81" s="245">
        <v>0</v>
      </c>
      <c r="I81" s="379" t="s">
        <v>822</v>
      </c>
      <c r="J81" s="380"/>
      <c r="K81" s="115" t="s">
        <v>813</v>
      </c>
      <c r="L81" s="110">
        <f t="shared" si="2"/>
        <v>1.7513999999999998</v>
      </c>
      <c r="M81" s="110">
        <f t="shared" si="3"/>
        <v>107.10000000000001</v>
      </c>
      <c r="N81" s="110"/>
      <c r="O81" s="110"/>
      <c r="P81" s="110"/>
      <c r="Q81" s="110"/>
      <c r="R81" s="110"/>
      <c r="S81" s="110"/>
    </row>
    <row r="82" spans="1:19" s="111" customFormat="1" ht="15.75" thickBot="1">
      <c r="A82" s="112"/>
      <c r="B82" s="113"/>
      <c r="C82" s="245">
        <v>2234</v>
      </c>
      <c r="D82" s="245">
        <v>26</v>
      </c>
      <c r="E82" s="245">
        <v>16</v>
      </c>
      <c r="F82" s="245">
        <v>9</v>
      </c>
      <c r="G82" s="245">
        <v>0</v>
      </c>
      <c r="H82" s="245">
        <v>0</v>
      </c>
      <c r="I82" s="379" t="s">
        <v>822</v>
      </c>
      <c r="J82" s="380"/>
      <c r="K82" s="115" t="s">
        <v>813</v>
      </c>
      <c r="L82" s="110">
        <f t="shared" si="2"/>
        <v>9.9245999999999999</v>
      </c>
      <c r="M82" s="110">
        <f t="shared" si="3"/>
        <v>606.9</v>
      </c>
      <c r="N82" s="110"/>
      <c r="O82" s="110"/>
      <c r="P82" s="110"/>
      <c r="Q82" s="110"/>
      <c r="R82" s="110"/>
      <c r="S82" s="110"/>
    </row>
    <row r="83" spans="1:19" s="111" customFormat="1" ht="15.75" thickBot="1">
      <c r="A83" s="112"/>
      <c r="B83" s="113"/>
      <c r="C83" s="245">
        <v>2257</v>
      </c>
      <c r="D83" s="245">
        <v>24</v>
      </c>
      <c r="E83" s="245">
        <v>4</v>
      </c>
      <c r="F83" s="245">
        <v>0</v>
      </c>
      <c r="G83" s="245">
        <v>0</v>
      </c>
      <c r="H83" s="245">
        <v>0</v>
      </c>
      <c r="I83" s="379">
        <v>0</v>
      </c>
      <c r="J83" s="380"/>
      <c r="K83" s="115" t="s">
        <v>813</v>
      </c>
      <c r="L83" s="110">
        <f t="shared" si="2"/>
        <v>5.4488000000000003</v>
      </c>
      <c r="M83" s="110">
        <f t="shared" si="3"/>
        <v>333.2</v>
      </c>
      <c r="N83" s="110"/>
      <c r="O83" s="110"/>
      <c r="P83" s="110"/>
      <c r="Q83" s="110"/>
      <c r="R83" s="110"/>
      <c r="S83" s="110"/>
    </row>
    <row r="84" spans="1:19" s="111" customFormat="1" ht="15.75" thickBot="1">
      <c r="A84" s="112"/>
      <c r="B84" s="113"/>
      <c r="C84" s="245">
        <v>2287</v>
      </c>
      <c r="D84" s="245">
        <v>33</v>
      </c>
      <c r="E84" s="245">
        <v>9</v>
      </c>
      <c r="F84" s="245" t="s">
        <v>822</v>
      </c>
      <c r="G84" s="245">
        <v>0</v>
      </c>
      <c r="H84" s="245">
        <v>0</v>
      </c>
      <c r="I84" s="379" t="s">
        <v>822</v>
      </c>
      <c r="J84" s="380"/>
      <c r="K84" s="115" t="s">
        <v>813</v>
      </c>
      <c r="L84" s="110">
        <f t="shared" si="2"/>
        <v>8.1731999999999996</v>
      </c>
      <c r="M84" s="110">
        <f t="shared" si="3"/>
        <v>499.8</v>
      </c>
      <c r="N84" s="110"/>
      <c r="O84" s="110"/>
      <c r="P84" s="110"/>
      <c r="Q84" s="110"/>
      <c r="R84" s="110"/>
      <c r="S84" s="110"/>
    </row>
    <row r="85" spans="1:19" s="111" customFormat="1" ht="15.75" thickBot="1">
      <c r="A85" s="112"/>
      <c r="B85" s="113"/>
      <c r="C85" s="245" t="s">
        <v>823</v>
      </c>
      <c r="D85" s="245">
        <v>4</v>
      </c>
      <c r="E85" s="245">
        <v>4</v>
      </c>
      <c r="F85" s="245" t="s">
        <v>822</v>
      </c>
      <c r="G85" s="245">
        <v>0</v>
      </c>
      <c r="H85" s="245">
        <v>0</v>
      </c>
      <c r="I85" s="379">
        <v>0</v>
      </c>
      <c r="J85" s="380"/>
      <c r="K85" s="115" t="s">
        <v>813</v>
      </c>
      <c r="L85" s="110">
        <f t="shared" si="2"/>
        <v>1.5568</v>
      </c>
      <c r="M85" s="110">
        <f t="shared" si="3"/>
        <v>95.2</v>
      </c>
      <c r="N85" s="110"/>
      <c r="O85" s="110"/>
      <c r="P85" s="110"/>
      <c r="Q85" s="110"/>
      <c r="R85" s="110"/>
      <c r="S85" s="110"/>
    </row>
    <row r="86" spans="1:19" s="111" customFormat="1" ht="15.75" thickBot="1">
      <c r="A86" s="112"/>
      <c r="B86" s="113"/>
      <c r="C86" s="245" t="s">
        <v>824</v>
      </c>
      <c r="D86" s="245">
        <v>6</v>
      </c>
      <c r="E86" s="245">
        <v>28</v>
      </c>
      <c r="F86" s="245" t="s">
        <v>822</v>
      </c>
      <c r="G86" s="245">
        <v>0</v>
      </c>
      <c r="H86" s="245">
        <v>0</v>
      </c>
      <c r="I86" s="379">
        <v>0</v>
      </c>
      <c r="J86" s="380"/>
      <c r="K86" s="115" t="s">
        <v>813</v>
      </c>
      <c r="L86" s="110">
        <f t="shared" si="2"/>
        <v>6.6163999999999996</v>
      </c>
      <c r="M86" s="110">
        <f t="shared" si="3"/>
        <v>404.6</v>
      </c>
      <c r="N86" s="110"/>
      <c r="O86" s="110"/>
      <c r="P86" s="110"/>
      <c r="Q86" s="110"/>
      <c r="R86" s="110"/>
      <c r="S86" s="110"/>
    </row>
    <row r="87" spans="1:19" s="111" customFormat="1" ht="15.75" thickBot="1">
      <c r="A87" s="112"/>
      <c r="B87" s="113"/>
      <c r="C87" s="245" t="s">
        <v>759</v>
      </c>
      <c r="D87" s="245">
        <v>89</v>
      </c>
      <c r="E87" s="245">
        <v>36</v>
      </c>
      <c r="F87" s="245" t="s">
        <v>822</v>
      </c>
      <c r="G87" s="245">
        <v>0</v>
      </c>
      <c r="H87" s="245">
        <v>0</v>
      </c>
      <c r="I87" s="379">
        <v>0</v>
      </c>
      <c r="J87" s="380"/>
      <c r="K87" s="115" t="s">
        <v>813</v>
      </c>
      <c r="L87" s="110">
        <f t="shared" si="2"/>
        <v>24.324999999999999</v>
      </c>
      <c r="M87" s="110">
        <f t="shared" si="3"/>
        <v>1487.5</v>
      </c>
      <c r="N87" s="110"/>
      <c r="O87" s="110"/>
      <c r="P87" s="110"/>
      <c r="Q87" s="110"/>
      <c r="R87" s="110"/>
      <c r="S87" s="110"/>
    </row>
    <row r="88" spans="1:19" s="111" customFormat="1" ht="15.75" thickBot="1">
      <c r="A88" s="112"/>
      <c r="B88" s="113"/>
      <c r="C88" s="245" t="s">
        <v>825</v>
      </c>
      <c r="D88" s="245">
        <v>8</v>
      </c>
      <c r="E88" s="245">
        <v>18</v>
      </c>
      <c r="F88" s="245" t="s">
        <v>822</v>
      </c>
      <c r="G88" s="245">
        <v>0</v>
      </c>
      <c r="H88" s="245">
        <v>0</v>
      </c>
      <c r="I88" s="379">
        <v>0</v>
      </c>
      <c r="J88" s="380"/>
      <c r="K88" s="115" t="s">
        <v>813</v>
      </c>
      <c r="L88" s="110">
        <f t="shared" si="2"/>
        <v>5.0595999999999997</v>
      </c>
      <c r="M88" s="110">
        <f t="shared" si="3"/>
        <v>309.40000000000003</v>
      </c>
      <c r="N88" s="110"/>
      <c r="O88" s="110"/>
      <c r="P88" s="110"/>
      <c r="Q88" s="110"/>
      <c r="R88" s="110"/>
      <c r="S88" s="110"/>
    </row>
    <row r="89" spans="1:19" s="111" customFormat="1" ht="15.75" thickBot="1">
      <c r="A89" s="112"/>
      <c r="B89" s="113"/>
      <c r="C89" s="245" t="s">
        <v>826</v>
      </c>
      <c r="D89" s="245">
        <v>9</v>
      </c>
      <c r="E89" s="245">
        <v>13</v>
      </c>
      <c r="F89" s="245" t="s">
        <v>822</v>
      </c>
      <c r="G89" s="245">
        <v>0</v>
      </c>
      <c r="H89" s="245">
        <v>0</v>
      </c>
      <c r="I89" s="379">
        <v>0</v>
      </c>
      <c r="J89" s="380"/>
      <c r="K89" s="115" t="s">
        <v>813</v>
      </c>
      <c r="L89" s="110">
        <f t="shared" si="2"/>
        <v>4.2812000000000001</v>
      </c>
      <c r="M89" s="110">
        <f t="shared" si="3"/>
        <v>261.8</v>
      </c>
      <c r="N89" s="110"/>
      <c r="O89" s="110"/>
      <c r="P89" s="110"/>
      <c r="Q89" s="110"/>
      <c r="R89" s="110"/>
      <c r="S89" s="110"/>
    </row>
    <row r="90" spans="1:19" s="111" customFormat="1" ht="15.75" thickBot="1">
      <c r="A90" s="112"/>
      <c r="B90" s="113"/>
      <c r="C90" s="245" t="s">
        <v>827</v>
      </c>
      <c r="D90" s="245">
        <v>9</v>
      </c>
      <c r="E90" s="245">
        <v>9</v>
      </c>
      <c r="F90" s="245" t="s">
        <v>822</v>
      </c>
      <c r="G90" s="245">
        <v>0</v>
      </c>
      <c r="H90" s="245">
        <v>0</v>
      </c>
      <c r="I90" s="379">
        <v>0</v>
      </c>
      <c r="J90" s="380"/>
      <c r="K90" s="115" t="s">
        <v>813</v>
      </c>
      <c r="L90" s="110">
        <f t="shared" si="2"/>
        <v>3.5027999999999997</v>
      </c>
      <c r="M90" s="110">
        <f t="shared" si="3"/>
        <v>214.20000000000002</v>
      </c>
      <c r="N90" s="110"/>
      <c r="O90" s="110"/>
      <c r="P90" s="110"/>
      <c r="Q90" s="110"/>
      <c r="R90" s="110"/>
      <c r="S90" s="110"/>
    </row>
    <row r="91" spans="1:19" s="111" customFormat="1" ht="15.75" thickBot="1">
      <c r="A91" s="112"/>
      <c r="B91" s="113"/>
      <c r="C91" s="245" t="s">
        <v>828</v>
      </c>
      <c r="D91" s="245">
        <v>4</v>
      </c>
      <c r="E91" s="245">
        <v>3</v>
      </c>
      <c r="F91" s="245" t="s">
        <v>822</v>
      </c>
      <c r="G91" s="245">
        <v>0</v>
      </c>
      <c r="H91" s="245">
        <v>0</v>
      </c>
      <c r="I91" s="379">
        <v>0</v>
      </c>
      <c r="J91" s="380"/>
      <c r="K91" s="115" t="s">
        <v>813</v>
      </c>
      <c r="L91" s="110">
        <f t="shared" si="2"/>
        <v>1.3622000000000001</v>
      </c>
      <c r="M91" s="110">
        <f t="shared" si="3"/>
        <v>83.3</v>
      </c>
      <c r="N91" s="110"/>
      <c r="O91" s="110"/>
      <c r="P91" s="110"/>
      <c r="Q91" s="110"/>
      <c r="R91" s="110"/>
      <c r="S91" s="110"/>
    </row>
    <row r="92" spans="1:19" s="111" customFormat="1" ht="15.75" thickBot="1">
      <c r="A92" s="381" t="s">
        <v>546</v>
      </c>
      <c r="B92" s="382"/>
      <c r="C92" s="382"/>
      <c r="D92" s="382"/>
      <c r="E92" s="382"/>
      <c r="F92" s="382"/>
      <c r="G92" s="382"/>
      <c r="H92" s="382"/>
      <c r="I92" s="382"/>
      <c r="J92" s="383"/>
      <c r="K92" s="110"/>
      <c r="L92" s="110"/>
      <c r="M92" s="110"/>
      <c r="N92" s="110"/>
      <c r="O92" s="110"/>
      <c r="P92" s="110"/>
      <c r="Q92" s="110"/>
      <c r="R92" s="110"/>
      <c r="S92" s="110"/>
    </row>
    <row r="93" spans="1:19" s="111" customFormat="1" ht="15.75" thickBot="1">
      <c r="A93" s="112"/>
      <c r="B93" s="116" t="s">
        <v>829</v>
      </c>
      <c r="C93" s="245"/>
      <c r="D93" s="245">
        <v>1</v>
      </c>
      <c r="E93" s="245">
        <v>4</v>
      </c>
      <c r="F93" s="245">
        <v>0</v>
      </c>
      <c r="G93" s="245">
        <v>0</v>
      </c>
      <c r="H93" s="379">
        <v>0</v>
      </c>
      <c r="I93" s="380"/>
      <c r="J93" s="245">
        <v>0</v>
      </c>
      <c r="K93" s="115" t="s">
        <v>813</v>
      </c>
      <c r="L93" s="110">
        <f t="shared" si="2"/>
        <v>0.97299999999999998</v>
      </c>
      <c r="M93" s="110">
        <f t="shared" si="3"/>
        <v>59.5</v>
      </c>
      <c r="N93" s="110"/>
      <c r="O93" s="110"/>
      <c r="P93" s="110"/>
      <c r="Q93" s="110"/>
      <c r="R93" s="110"/>
      <c r="S93" s="110"/>
    </row>
    <row r="94" spans="1:19" s="111" customFormat="1" ht="15.75" thickBot="1">
      <c r="A94" s="112"/>
      <c r="B94" s="116" t="s">
        <v>830</v>
      </c>
      <c r="C94" s="245"/>
      <c r="D94" s="245">
        <v>5</v>
      </c>
      <c r="E94" s="245">
        <v>4</v>
      </c>
      <c r="F94" s="245">
        <v>0</v>
      </c>
      <c r="G94" s="245">
        <v>0</v>
      </c>
      <c r="H94" s="379">
        <v>0</v>
      </c>
      <c r="I94" s="380"/>
      <c r="J94" s="245">
        <v>0</v>
      </c>
      <c r="K94" s="115" t="s">
        <v>813</v>
      </c>
      <c r="L94" s="110">
        <f t="shared" si="2"/>
        <v>1.7513999999999998</v>
      </c>
      <c r="M94" s="110">
        <f t="shared" si="3"/>
        <v>107.10000000000001</v>
      </c>
      <c r="N94" s="110"/>
      <c r="O94" s="110"/>
      <c r="P94" s="110"/>
      <c r="Q94" s="110"/>
      <c r="R94" s="110"/>
      <c r="S94" s="110"/>
    </row>
    <row r="95" spans="1:19" s="111" customFormat="1" ht="15.75" thickBot="1">
      <c r="A95" s="112"/>
      <c r="B95" s="116" t="s">
        <v>830</v>
      </c>
      <c r="C95" s="245"/>
      <c r="D95" s="245">
        <v>5</v>
      </c>
      <c r="E95" s="245">
        <v>4</v>
      </c>
      <c r="F95" s="245">
        <v>0</v>
      </c>
      <c r="G95" s="245">
        <v>0</v>
      </c>
      <c r="H95" s="379">
        <v>0</v>
      </c>
      <c r="I95" s="380"/>
      <c r="J95" s="245">
        <v>0</v>
      </c>
      <c r="K95" s="115" t="s">
        <v>813</v>
      </c>
      <c r="L95" s="110">
        <f t="shared" si="2"/>
        <v>1.7513999999999998</v>
      </c>
      <c r="M95" s="110">
        <f t="shared" si="3"/>
        <v>107.10000000000001</v>
      </c>
      <c r="N95" s="110"/>
      <c r="O95" s="110"/>
      <c r="P95" s="110"/>
      <c r="Q95" s="110"/>
      <c r="R95" s="110"/>
      <c r="S95" s="110"/>
    </row>
    <row r="96" spans="1:19" s="111" customFormat="1" ht="15.75" thickBot="1">
      <c r="A96" s="112"/>
      <c r="B96" s="116" t="s">
        <v>830</v>
      </c>
      <c r="C96" s="245"/>
      <c r="D96" s="245">
        <v>5</v>
      </c>
      <c r="E96" s="245">
        <v>8</v>
      </c>
      <c r="F96" s="245">
        <v>0</v>
      </c>
      <c r="G96" s="245">
        <v>0</v>
      </c>
      <c r="H96" s="379">
        <v>0</v>
      </c>
      <c r="I96" s="380"/>
      <c r="J96" s="245">
        <v>0</v>
      </c>
      <c r="K96" s="115" t="s">
        <v>813</v>
      </c>
      <c r="L96" s="110">
        <f t="shared" si="2"/>
        <v>2.5297999999999998</v>
      </c>
      <c r="M96" s="110">
        <f t="shared" si="3"/>
        <v>154.70000000000002</v>
      </c>
      <c r="N96" s="110"/>
      <c r="O96" s="110"/>
      <c r="P96" s="110"/>
      <c r="Q96" s="110"/>
      <c r="R96" s="110"/>
      <c r="S96" s="110"/>
    </row>
    <row r="97" spans="1:19" s="111" customFormat="1" ht="15.75" thickBot="1">
      <c r="A97" s="112"/>
      <c r="B97" s="116" t="s">
        <v>830</v>
      </c>
      <c r="C97" s="245"/>
      <c r="D97" s="245">
        <v>5</v>
      </c>
      <c r="E97" s="245">
        <v>8</v>
      </c>
      <c r="F97" s="245">
        <v>0</v>
      </c>
      <c r="G97" s="245">
        <v>0</v>
      </c>
      <c r="H97" s="379">
        <v>0</v>
      </c>
      <c r="I97" s="380"/>
      <c r="J97" s="245">
        <v>0</v>
      </c>
      <c r="K97" s="115" t="s">
        <v>813</v>
      </c>
      <c r="L97" s="110">
        <f t="shared" si="2"/>
        <v>2.5297999999999998</v>
      </c>
      <c r="M97" s="110">
        <f t="shared" si="3"/>
        <v>154.70000000000002</v>
      </c>
      <c r="N97" s="110"/>
      <c r="O97" s="110"/>
      <c r="P97" s="110"/>
      <c r="Q97" s="110"/>
      <c r="R97" s="110"/>
      <c r="S97" s="110"/>
    </row>
    <row r="98" spans="1:19" s="111" customFormat="1" ht="15.75" thickBot="1">
      <c r="A98" s="112"/>
      <c r="B98" s="116" t="s">
        <v>830</v>
      </c>
      <c r="C98" s="245"/>
      <c r="D98" s="245">
        <v>5</v>
      </c>
      <c r="E98" s="245">
        <v>8</v>
      </c>
      <c r="F98" s="245">
        <v>0</v>
      </c>
      <c r="G98" s="245">
        <v>0</v>
      </c>
      <c r="H98" s="379">
        <v>0</v>
      </c>
      <c r="I98" s="380"/>
      <c r="J98" s="245">
        <v>0</v>
      </c>
      <c r="K98" s="115" t="s">
        <v>813</v>
      </c>
      <c r="L98" s="110">
        <f t="shared" si="2"/>
        <v>2.5297999999999998</v>
      </c>
      <c r="M98" s="110">
        <f t="shared" si="3"/>
        <v>154.70000000000002</v>
      </c>
      <c r="N98" s="110"/>
      <c r="O98" s="110"/>
      <c r="P98" s="110"/>
      <c r="Q98" s="110"/>
      <c r="R98" s="110"/>
      <c r="S98" s="110"/>
    </row>
    <row r="99" spans="1:19" s="111" customFormat="1" ht="15.75" thickBot="1">
      <c r="A99" s="112"/>
      <c r="B99" s="116" t="s">
        <v>830</v>
      </c>
      <c r="C99" s="245"/>
      <c r="D99" s="245">
        <v>5</v>
      </c>
      <c r="E99" s="245">
        <v>8</v>
      </c>
      <c r="F99" s="245">
        <v>0</v>
      </c>
      <c r="G99" s="245">
        <v>0</v>
      </c>
      <c r="H99" s="379">
        <v>0</v>
      </c>
      <c r="I99" s="380"/>
      <c r="J99" s="245">
        <v>0</v>
      </c>
      <c r="K99" s="115" t="s">
        <v>813</v>
      </c>
      <c r="L99" s="110">
        <f t="shared" si="2"/>
        <v>2.5297999999999998</v>
      </c>
      <c r="M99" s="110">
        <f t="shared" si="3"/>
        <v>154.70000000000002</v>
      </c>
      <c r="N99" s="110"/>
      <c r="O99" s="110"/>
      <c r="P99" s="110"/>
      <c r="Q99" s="110"/>
      <c r="R99" s="110"/>
      <c r="S99" s="110"/>
    </row>
    <row r="100" spans="1:19" s="111" customFormat="1" ht="15.75" thickBot="1">
      <c r="A100" s="112"/>
      <c r="B100" s="116" t="s">
        <v>830</v>
      </c>
      <c r="C100" s="245"/>
      <c r="D100" s="245">
        <v>5</v>
      </c>
      <c r="E100" s="245">
        <v>4</v>
      </c>
      <c r="F100" s="245">
        <v>0</v>
      </c>
      <c r="G100" s="245">
        <v>0</v>
      </c>
      <c r="H100" s="379">
        <v>0</v>
      </c>
      <c r="I100" s="380"/>
      <c r="J100" s="245">
        <v>0</v>
      </c>
      <c r="K100" s="115" t="s">
        <v>813</v>
      </c>
      <c r="L100" s="110">
        <f t="shared" si="2"/>
        <v>1.7513999999999998</v>
      </c>
      <c r="M100" s="110">
        <f t="shared" si="3"/>
        <v>107.10000000000001</v>
      </c>
      <c r="N100" s="110"/>
      <c r="O100" s="110"/>
      <c r="P100" s="110"/>
      <c r="Q100" s="110"/>
      <c r="R100" s="110"/>
      <c r="S100" s="110"/>
    </row>
    <row r="101" spans="1:19" s="111" customFormat="1" ht="15.75" thickBot="1">
      <c r="A101" s="112"/>
      <c r="B101" s="116" t="s">
        <v>831</v>
      </c>
      <c r="C101" s="245"/>
      <c r="D101" s="245">
        <v>3</v>
      </c>
      <c r="E101" s="245">
        <v>0</v>
      </c>
      <c r="F101" s="245">
        <v>0</v>
      </c>
      <c r="G101" s="245">
        <v>0</v>
      </c>
      <c r="H101" s="379">
        <v>0</v>
      </c>
      <c r="I101" s="380"/>
      <c r="J101" s="245">
        <v>0</v>
      </c>
      <c r="K101" s="115" t="s">
        <v>813</v>
      </c>
      <c r="L101" s="110">
        <f t="shared" si="2"/>
        <v>0.58379999999999999</v>
      </c>
      <c r="M101" s="110">
        <f t="shared" si="3"/>
        <v>35.700000000000003</v>
      </c>
      <c r="N101" s="110"/>
      <c r="O101" s="110"/>
      <c r="P101" s="110"/>
      <c r="Q101" s="110"/>
      <c r="R101" s="110"/>
      <c r="S101" s="110"/>
    </row>
    <row r="102" spans="1:19" s="111" customFormat="1" ht="15.75" thickBot="1">
      <c r="A102" s="112"/>
      <c r="B102" s="116" t="s">
        <v>832</v>
      </c>
      <c r="C102" s="245"/>
      <c r="D102" s="245">
        <v>4</v>
      </c>
      <c r="E102" s="245">
        <v>5</v>
      </c>
      <c r="F102" s="245">
        <v>0</v>
      </c>
      <c r="G102" s="245">
        <v>0</v>
      </c>
      <c r="H102" s="379">
        <v>0</v>
      </c>
      <c r="I102" s="380"/>
      <c r="J102" s="245">
        <v>0</v>
      </c>
      <c r="K102" s="115" t="s">
        <v>813</v>
      </c>
      <c r="L102" s="110">
        <f t="shared" si="2"/>
        <v>1.7513999999999998</v>
      </c>
      <c r="M102" s="110">
        <f t="shared" si="3"/>
        <v>107.10000000000001</v>
      </c>
      <c r="N102" s="110"/>
      <c r="O102" s="110"/>
      <c r="P102" s="110"/>
      <c r="Q102" s="110"/>
      <c r="R102" s="110"/>
      <c r="S102" s="110"/>
    </row>
    <row r="103" spans="1:19" s="111" customFormat="1" ht="15.75" thickBot="1">
      <c r="A103" s="112"/>
      <c r="B103" s="116" t="s">
        <v>833</v>
      </c>
      <c r="C103" s="245"/>
      <c r="D103" s="245">
        <v>0</v>
      </c>
      <c r="E103" s="245">
        <v>23</v>
      </c>
      <c r="F103" s="245">
        <v>0</v>
      </c>
      <c r="G103" s="245">
        <v>0</v>
      </c>
      <c r="H103" s="379">
        <v>0</v>
      </c>
      <c r="I103" s="380"/>
      <c r="J103" s="245">
        <v>0</v>
      </c>
      <c r="K103" s="115" t="s">
        <v>813</v>
      </c>
      <c r="L103" s="110">
        <f t="shared" si="2"/>
        <v>4.4757999999999996</v>
      </c>
      <c r="M103" s="110">
        <f t="shared" si="3"/>
        <v>273.7</v>
      </c>
      <c r="N103" s="110"/>
      <c r="O103" s="110"/>
      <c r="P103" s="110"/>
      <c r="Q103" s="110"/>
      <c r="R103" s="110"/>
      <c r="S103" s="110"/>
    </row>
    <row r="104" spans="1:19" s="111" customFormat="1" ht="15.75" thickBot="1">
      <c r="A104" s="112"/>
      <c r="B104" s="116" t="s">
        <v>832</v>
      </c>
      <c r="C104" s="245"/>
      <c r="D104" s="245">
        <v>2</v>
      </c>
      <c r="E104" s="245">
        <v>1</v>
      </c>
      <c r="F104" s="245">
        <v>0</v>
      </c>
      <c r="G104" s="245">
        <v>0</v>
      </c>
      <c r="H104" s="379">
        <v>0</v>
      </c>
      <c r="I104" s="380"/>
      <c r="J104" s="245">
        <v>0</v>
      </c>
      <c r="K104" s="115" t="s">
        <v>813</v>
      </c>
      <c r="L104" s="110">
        <f t="shared" si="2"/>
        <v>0.58379999999999999</v>
      </c>
      <c r="M104" s="110">
        <f t="shared" si="3"/>
        <v>35.700000000000003</v>
      </c>
      <c r="N104" s="110"/>
      <c r="O104" s="110"/>
      <c r="P104" s="110"/>
      <c r="Q104" s="110"/>
      <c r="R104" s="110"/>
      <c r="S104" s="110"/>
    </row>
    <row r="105" spans="1:19" s="111" customFormat="1" ht="15.75" thickBot="1">
      <c r="A105" s="112"/>
      <c r="B105" s="116" t="s">
        <v>834</v>
      </c>
      <c r="C105" s="245"/>
      <c r="D105" s="245">
        <v>3</v>
      </c>
      <c r="E105" s="245"/>
      <c r="F105" s="245">
        <v>0</v>
      </c>
      <c r="G105" s="245">
        <v>0</v>
      </c>
      <c r="H105" s="379">
        <v>0</v>
      </c>
      <c r="I105" s="380"/>
      <c r="J105" s="245">
        <v>0</v>
      </c>
      <c r="K105" s="115" t="s">
        <v>813</v>
      </c>
      <c r="L105" s="110">
        <f t="shared" si="2"/>
        <v>0.58379999999999999</v>
      </c>
      <c r="M105" s="110">
        <f t="shared" si="3"/>
        <v>35.700000000000003</v>
      </c>
      <c r="N105" s="110"/>
      <c r="O105" s="110"/>
      <c r="P105" s="110"/>
      <c r="Q105" s="110"/>
      <c r="R105" s="110"/>
      <c r="S105" s="110"/>
    </row>
    <row r="106" spans="1:19" s="111" customFormat="1" ht="15.75" thickBot="1">
      <c r="A106" s="112"/>
      <c r="B106" s="116" t="s">
        <v>835</v>
      </c>
      <c r="C106" s="245"/>
      <c r="D106" s="245" t="s">
        <v>821</v>
      </c>
      <c r="E106" s="245">
        <v>4</v>
      </c>
      <c r="F106" s="245">
        <v>0</v>
      </c>
      <c r="G106" s="245">
        <v>0</v>
      </c>
      <c r="H106" s="379">
        <v>0</v>
      </c>
      <c r="I106" s="380"/>
      <c r="J106" s="245">
        <v>0</v>
      </c>
      <c r="K106" s="115" t="s">
        <v>813</v>
      </c>
      <c r="L106" s="110">
        <f t="shared" si="2"/>
        <v>0.77839999999999998</v>
      </c>
      <c r="M106" s="110">
        <f t="shared" si="3"/>
        <v>47.6</v>
      </c>
      <c r="N106" s="110"/>
      <c r="O106" s="110"/>
      <c r="P106" s="110"/>
      <c r="Q106" s="110"/>
      <c r="R106" s="110"/>
      <c r="S106" s="110"/>
    </row>
    <row r="107" spans="1:19" s="111" customFormat="1" ht="15.75" thickBot="1">
      <c r="A107" s="112"/>
      <c r="B107" s="116" t="s">
        <v>835</v>
      </c>
      <c r="C107" s="245"/>
      <c r="D107" s="245" t="s">
        <v>822</v>
      </c>
      <c r="E107" s="245">
        <v>4</v>
      </c>
      <c r="F107" s="245">
        <v>0</v>
      </c>
      <c r="G107" s="245">
        <v>0</v>
      </c>
      <c r="H107" s="379">
        <v>0</v>
      </c>
      <c r="I107" s="380"/>
      <c r="J107" s="245">
        <v>0</v>
      </c>
      <c r="K107" s="115" t="s">
        <v>813</v>
      </c>
      <c r="L107" s="110">
        <f t="shared" si="2"/>
        <v>0.77839999999999998</v>
      </c>
      <c r="M107" s="110">
        <f t="shared" si="3"/>
        <v>47.6</v>
      </c>
      <c r="N107" s="110"/>
      <c r="O107" s="110"/>
      <c r="P107" s="110"/>
      <c r="Q107" s="110"/>
      <c r="R107" s="110"/>
      <c r="S107" s="110"/>
    </row>
    <row r="108" spans="1:19" s="111" customFormat="1" ht="15.75" thickBot="1">
      <c r="A108" s="112"/>
      <c r="B108" s="116" t="s">
        <v>835</v>
      </c>
      <c r="C108" s="245"/>
      <c r="D108" s="245" t="s">
        <v>822</v>
      </c>
      <c r="E108" s="245">
        <v>4</v>
      </c>
      <c r="F108" s="245">
        <v>0</v>
      </c>
      <c r="G108" s="245">
        <v>0</v>
      </c>
      <c r="H108" s="379">
        <v>0</v>
      </c>
      <c r="I108" s="380"/>
      <c r="J108" s="245">
        <v>0</v>
      </c>
      <c r="K108" s="115" t="s">
        <v>813</v>
      </c>
      <c r="L108" s="110">
        <f t="shared" si="2"/>
        <v>0.77839999999999998</v>
      </c>
      <c r="M108" s="110">
        <f t="shared" si="3"/>
        <v>47.6</v>
      </c>
      <c r="N108" s="110"/>
      <c r="O108" s="110"/>
      <c r="P108" s="110"/>
      <c r="Q108" s="110"/>
      <c r="R108" s="110"/>
      <c r="S108" s="110"/>
    </row>
    <row r="109" spans="1:19" s="111" customFormat="1" ht="15.75" thickBot="1">
      <c r="A109" s="112"/>
      <c r="B109" s="116" t="s">
        <v>836</v>
      </c>
      <c r="C109" s="245"/>
      <c r="D109" s="245">
        <v>2</v>
      </c>
      <c r="E109" s="245">
        <v>3</v>
      </c>
      <c r="F109" s="245">
        <v>0</v>
      </c>
      <c r="G109" s="245">
        <v>0</v>
      </c>
      <c r="H109" s="379">
        <v>0</v>
      </c>
      <c r="I109" s="380"/>
      <c r="J109" s="245">
        <v>0</v>
      </c>
      <c r="K109" s="115" t="s">
        <v>813</v>
      </c>
      <c r="L109" s="110">
        <f t="shared" si="2"/>
        <v>0.97299999999999998</v>
      </c>
      <c r="M109" s="110">
        <f t="shared" si="3"/>
        <v>59.5</v>
      </c>
      <c r="N109" s="110"/>
      <c r="O109" s="110"/>
      <c r="P109" s="110"/>
      <c r="Q109" s="110"/>
      <c r="R109" s="110"/>
      <c r="S109" s="110"/>
    </row>
    <row r="110" spans="1:19" s="111" customFormat="1" ht="15.75" thickBot="1">
      <c r="A110" s="112"/>
      <c r="B110" s="116" t="s">
        <v>837</v>
      </c>
      <c r="C110" s="245"/>
      <c r="D110" s="245">
        <v>4</v>
      </c>
      <c r="E110" s="245" t="s">
        <v>821</v>
      </c>
      <c r="F110" s="245">
        <v>0</v>
      </c>
      <c r="G110" s="245">
        <v>0</v>
      </c>
      <c r="H110" s="379">
        <v>0</v>
      </c>
      <c r="I110" s="380"/>
      <c r="J110" s="245">
        <v>0</v>
      </c>
      <c r="K110" s="115" t="s">
        <v>813</v>
      </c>
      <c r="L110" s="110">
        <f t="shared" si="2"/>
        <v>0.77839999999999998</v>
      </c>
      <c r="M110" s="110">
        <f t="shared" si="3"/>
        <v>47.6</v>
      </c>
      <c r="N110" s="110"/>
      <c r="O110" s="110"/>
      <c r="P110" s="110"/>
      <c r="Q110" s="110"/>
      <c r="R110" s="110"/>
      <c r="S110" s="110"/>
    </row>
    <row r="111" spans="1:19" s="111" customFormat="1" ht="15.75" thickBot="1">
      <c r="A111" s="112"/>
      <c r="B111" s="116" t="s">
        <v>838</v>
      </c>
      <c r="C111" s="245"/>
      <c r="D111" s="245">
        <v>24</v>
      </c>
      <c r="E111" s="245">
        <v>4</v>
      </c>
      <c r="F111" s="245">
        <v>0</v>
      </c>
      <c r="G111" s="245">
        <v>0</v>
      </c>
      <c r="H111" s="379">
        <v>0</v>
      </c>
      <c r="I111" s="380"/>
      <c r="J111" s="245">
        <v>0</v>
      </c>
      <c r="K111" s="115" t="s">
        <v>813</v>
      </c>
      <c r="L111" s="110">
        <f t="shared" si="2"/>
        <v>5.4488000000000003</v>
      </c>
      <c r="M111" s="110">
        <f t="shared" si="3"/>
        <v>333.2</v>
      </c>
      <c r="N111" s="110"/>
      <c r="O111" s="110"/>
      <c r="P111" s="110"/>
      <c r="Q111" s="110"/>
      <c r="R111" s="110"/>
      <c r="S111" s="110"/>
    </row>
    <row r="112" spans="1:19" s="111" customFormat="1" ht="15.75" thickBot="1">
      <c r="A112" s="381" t="s">
        <v>730</v>
      </c>
      <c r="B112" s="382"/>
      <c r="C112" s="382"/>
      <c r="D112" s="382"/>
      <c r="E112" s="382"/>
      <c r="F112" s="382"/>
      <c r="G112" s="382"/>
      <c r="H112" s="382"/>
      <c r="I112" s="382"/>
      <c r="J112" s="383"/>
      <c r="K112" s="110"/>
      <c r="L112" s="110"/>
      <c r="M112" s="110"/>
      <c r="N112" s="110"/>
      <c r="O112" s="110"/>
      <c r="P112" s="110"/>
      <c r="Q112" s="110"/>
      <c r="R112" s="110"/>
      <c r="S112" s="110"/>
    </row>
    <row r="113" spans="1:19" s="111" customFormat="1" ht="15.75" thickBot="1">
      <c r="A113" s="112"/>
      <c r="B113" s="113"/>
      <c r="C113" s="245">
        <v>1900</v>
      </c>
      <c r="D113" s="245">
        <v>74</v>
      </c>
      <c r="E113" s="245">
        <v>40</v>
      </c>
      <c r="F113" s="245">
        <v>0</v>
      </c>
      <c r="G113" s="245">
        <v>0</v>
      </c>
      <c r="H113" s="379">
        <v>0</v>
      </c>
      <c r="I113" s="380"/>
      <c r="J113" s="245">
        <v>4</v>
      </c>
      <c r="K113" s="115" t="s">
        <v>813</v>
      </c>
      <c r="L113" s="110">
        <f t="shared" si="2"/>
        <v>22.962799999999998</v>
      </c>
      <c r="M113" s="110">
        <f t="shared" si="3"/>
        <v>1404.2</v>
      </c>
      <c r="N113" s="110"/>
      <c r="O113" s="110"/>
      <c r="P113" s="110"/>
      <c r="Q113" s="110"/>
      <c r="R113" s="110"/>
      <c r="S113" s="110"/>
    </row>
    <row r="114" spans="1:19" s="111" customFormat="1" ht="15.75" thickBot="1">
      <c r="A114" s="381" t="s">
        <v>661</v>
      </c>
      <c r="B114" s="382"/>
      <c r="C114" s="382"/>
      <c r="D114" s="382"/>
      <c r="E114" s="382"/>
      <c r="F114" s="382"/>
      <c r="G114" s="382"/>
      <c r="H114" s="382"/>
      <c r="I114" s="382"/>
      <c r="J114" s="383"/>
      <c r="K114" s="110"/>
      <c r="L114" s="110"/>
      <c r="M114" s="110"/>
      <c r="N114" s="110"/>
      <c r="O114" s="110"/>
      <c r="P114" s="110"/>
      <c r="Q114" s="110"/>
      <c r="R114" s="110"/>
      <c r="S114" s="110"/>
    </row>
    <row r="115" spans="1:19" s="111" customFormat="1" ht="15.75" thickBot="1">
      <c r="A115" s="112"/>
      <c r="B115" s="113"/>
      <c r="C115" s="245">
        <v>1488</v>
      </c>
      <c r="D115" s="245">
        <v>38</v>
      </c>
      <c r="E115" s="245">
        <v>6</v>
      </c>
      <c r="F115" s="245">
        <v>0</v>
      </c>
      <c r="G115" s="245">
        <v>0</v>
      </c>
      <c r="H115" s="379">
        <v>0</v>
      </c>
      <c r="I115" s="380"/>
      <c r="J115" s="245">
        <v>0</v>
      </c>
      <c r="K115" s="115" t="s">
        <v>813</v>
      </c>
      <c r="L115" s="110">
        <f t="shared" si="2"/>
        <v>8.5624000000000002</v>
      </c>
      <c r="M115" s="110">
        <f t="shared" si="3"/>
        <v>523.6</v>
      </c>
      <c r="N115" s="110"/>
      <c r="O115" s="110"/>
      <c r="P115" s="110"/>
      <c r="Q115" s="110"/>
      <c r="R115" s="110"/>
      <c r="S115" s="110"/>
    </row>
    <row r="116" spans="1:19" s="111" customFormat="1">
      <c r="A116" s="110"/>
      <c r="B116" s="110"/>
      <c r="C116" s="110"/>
      <c r="D116" s="110">
        <f t="shared" ref="D116:J116" si="4">SUM(D7:D115)</f>
        <v>1603</v>
      </c>
      <c r="E116" s="110">
        <f t="shared" si="4"/>
        <v>747</v>
      </c>
      <c r="F116" s="110">
        <f t="shared" si="4"/>
        <v>95</v>
      </c>
      <c r="G116" s="110">
        <f t="shared" si="4"/>
        <v>14</v>
      </c>
      <c r="H116" s="110">
        <f t="shared" si="4"/>
        <v>3</v>
      </c>
      <c r="I116" s="110">
        <f t="shared" si="4"/>
        <v>19</v>
      </c>
      <c r="J116" s="110">
        <f t="shared" si="4"/>
        <v>4</v>
      </c>
      <c r="K116" s="110">
        <f>SUM(D116:J116)</f>
        <v>2485</v>
      </c>
      <c r="L116" s="110"/>
      <c r="M116" s="110"/>
      <c r="N116" s="110"/>
      <c r="O116" s="110"/>
      <c r="P116" s="110"/>
      <c r="Q116" s="110"/>
      <c r="R116" s="110"/>
      <c r="S116" s="110"/>
    </row>
    <row r="117" spans="1:19" s="111" customFormat="1">
      <c r="A117" s="110"/>
      <c r="B117" s="110"/>
      <c r="C117" s="110"/>
      <c r="D117" s="110"/>
      <c r="E117" s="110"/>
      <c r="F117" s="110"/>
      <c r="G117" s="110"/>
      <c r="H117" s="110"/>
      <c r="I117" s="110"/>
      <c r="J117" s="110"/>
      <c r="K117" s="110"/>
      <c r="L117" s="110"/>
      <c r="M117" s="110"/>
      <c r="N117" s="110"/>
      <c r="O117" s="110"/>
      <c r="P117" s="110"/>
      <c r="Q117" s="110"/>
      <c r="R117" s="110"/>
      <c r="S117" s="110"/>
    </row>
    <row r="118" spans="1:19" s="111" customFormat="1">
      <c r="A118" s="110"/>
      <c r="B118" s="110"/>
      <c r="C118" s="110"/>
      <c r="D118" s="110"/>
      <c r="E118" s="110"/>
      <c r="F118" s="110"/>
      <c r="G118" s="110"/>
      <c r="H118" s="110"/>
      <c r="I118" s="110"/>
      <c r="J118" s="110"/>
      <c r="K118" s="110"/>
      <c r="L118" s="110"/>
      <c r="M118" s="110"/>
      <c r="N118" s="110"/>
      <c r="O118" s="110"/>
      <c r="P118" s="110"/>
      <c r="Q118" s="110"/>
      <c r="R118" s="110"/>
      <c r="S118" s="110"/>
    </row>
    <row r="119" spans="1:19" s="111" customFormat="1" ht="15.75" thickBot="1">
      <c r="A119" s="110"/>
      <c r="B119" s="110"/>
      <c r="C119" s="110"/>
      <c r="D119" s="110"/>
      <c r="E119" s="110"/>
      <c r="F119" s="110"/>
      <c r="G119" s="110"/>
      <c r="H119" s="110"/>
      <c r="I119" s="110"/>
      <c r="J119" s="110"/>
      <c r="K119" s="110"/>
      <c r="L119" s="110"/>
      <c r="M119" s="110"/>
      <c r="N119" s="110"/>
      <c r="O119" s="110"/>
      <c r="P119" s="110"/>
      <c r="Q119" s="110"/>
      <c r="R119" s="110"/>
      <c r="S119" s="110"/>
    </row>
    <row r="120" spans="1:19">
      <c r="A120" s="389" t="s">
        <v>839</v>
      </c>
      <c r="B120" s="390"/>
      <c r="C120" s="390"/>
      <c r="D120" s="390"/>
      <c r="E120" s="390"/>
      <c r="F120" s="390"/>
      <c r="G120" s="390"/>
      <c r="H120" s="390"/>
      <c r="I120" s="390"/>
      <c r="J120" s="391"/>
      <c r="K120" s="29"/>
      <c r="L120" s="29"/>
      <c r="M120" s="29"/>
      <c r="N120" s="29"/>
      <c r="O120" s="29"/>
      <c r="P120" s="29"/>
      <c r="Q120" s="86"/>
      <c r="R120" s="86"/>
      <c r="S120" s="86"/>
    </row>
    <row r="121" spans="1:19">
      <c r="A121" s="392" t="s">
        <v>840</v>
      </c>
      <c r="B121" s="393"/>
      <c r="C121" s="393"/>
      <c r="D121" s="393"/>
      <c r="E121" s="393"/>
      <c r="F121" s="393"/>
      <c r="G121" s="393"/>
      <c r="H121" s="393"/>
      <c r="I121" s="393"/>
      <c r="J121" s="394"/>
      <c r="K121" s="29"/>
      <c r="L121" s="29"/>
      <c r="M121" s="29"/>
      <c r="N121" s="29"/>
      <c r="O121" s="29"/>
      <c r="P121" s="29"/>
      <c r="Q121" s="86"/>
      <c r="R121" s="86"/>
      <c r="S121" s="86"/>
    </row>
    <row r="122" spans="1:19" ht="15.75" thickBot="1">
      <c r="A122" s="395"/>
      <c r="B122" s="396"/>
      <c r="C122" s="396"/>
      <c r="D122" s="396"/>
      <c r="E122" s="396"/>
      <c r="F122" s="396"/>
      <c r="G122" s="396"/>
      <c r="H122" s="396"/>
      <c r="I122" s="396"/>
      <c r="J122" s="397"/>
      <c r="K122" s="29"/>
      <c r="L122" s="29"/>
      <c r="M122" s="29"/>
      <c r="N122" s="29"/>
      <c r="O122" s="29"/>
      <c r="P122" s="29"/>
      <c r="Q122" s="86"/>
      <c r="R122" s="86"/>
      <c r="S122" s="86"/>
    </row>
    <row r="123" spans="1:19" ht="45" customHeight="1" thickBot="1">
      <c r="A123" s="398" t="s">
        <v>841</v>
      </c>
      <c r="B123" s="399"/>
      <c r="C123" s="399"/>
      <c r="D123" s="399"/>
      <c r="E123" s="399"/>
      <c r="F123" s="399"/>
      <c r="G123" s="399"/>
      <c r="H123" s="399"/>
      <c r="I123" s="399"/>
      <c r="J123" s="400"/>
      <c r="K123" s="384" t="s">
        <v>842</v>
      </c>
      <c r="L123" s="385"/>
      <c r="M123" s="385"/>
      <c r="N123" s="384" t="s">
        <v>843</v>
      </c>
      <c r="O123" s="385"/>
      <c r="P123" s="385"/>
      <c r="Q123" s="386" t="s">
        <v>844</v>
      </c>
      <c r="R123" s="387"/>
      <c r="S123" s="388"/>
    </row>
    <row r="124" spans="1:19" ht="55.5" customHeight="1" thickBot="1">
      <c r="A124" s="107" t="s">
        <v>538</v>
      </c>
      <c r="B124" s="108" t="s">
        <v>539</v>
      </c>
      <c r="C124" s="108" t="s">
        <v>845</v>
      </c>
      <c r="D124" s="108" t="s">
        <v>846</v>
      </c>
      <c r="E124" s="108" t="s">
        <v>847</v>
      </c>
      <c r="F124" s="108" t="s">
        <v>848</v>
      </c>
      <c r="G124" s="108" t="s">
        <v>849</v>
      </c>
      <c r="H124" s="108" t="s">
        <v>850</v>
      </c>
      <c r="I124" s="108" t="s">
        <v>851</v>
      </c>
      <c r="J124" s="109" t="s">
        <v>852</v>
      </c>
      <c r="K124" s="163" t="s">
        <v>532</v>
      </c>
      <c r="L124" s="164" t="s">
        <v>534</v>
      </c>
      <c r="M124" s="165" t="s">
        <v>541</v>
      </c>
      <c r="N124" s="163" t="s">
        <v>532</v>
      </c>
      <c r="O124" s="164" t="s">
        <v>534</v>
      </c>
      <c r="P124" s="165" t="s">
        <v>541</v>
      </c>
      <c r="Q124" s="160" t="s">
        <v>532</v>
      </c>
      <c r="R124" s="161" t="s">
        <v>534</v>
      </c>
      <c r="S124" s="162" t="s">
        <v>541</v>
      </c>
    </row>
    <row r="125" spans="1:19" ht="15.75" thickBot="1">
      <c r="A125" s="368" t="s">
        <v>542</v>
      </c>
      <c r="B125" s="369"/>
      <c r="C125" s="369"/>
      <c r="D125" s="369"/>
      <c r="E125" s="369"/>
      <c r="F125" s="369"/>
      <c r="G125" s="369"/>
      <c r="H125" s="369"/>
      <c r="I125" s="369"/>
      <c r="J125" s="369"/>
      <c r="K125" s="156"/>
      <c r="L125" s="156"/>
      <c r="M125" s="156"/>
      <c r="N125" s="156"/>
      <c r="O125" s="156"/>
      <c r="P125" s="156"/>
      <c r="Q125" s="166"/>
      <c r="R125" s="166"/>
      <c r="S125" s="166"/>
    </row>
    <row r="126" spans="1:19" ht="30.75" customHeight="1" thickBot="1">
      <c r="A126" s="242"/>
      <c r="B126" s="33" t="s">
        <v>853</v>
      </c>
      <c r="C126" s="244">
        <v>5</v>
      </c>
      <c r="D126" s="244">
        <v>0</v>
      </c>
      <c r="E126" s="244">
        <v>9</v>
      </c>
      <c r="F126" s="244">
        <v>0</v>
      </c>
      <c r="G126" s="244">
        <v>0</v>
      </c>
      <c r="H126" s="244">
        <v>0</v>
      </c>
      <c r="I126" s="244">
        <v>0</v>
      </c>
      <c r="J126" s="243">
        <v>1</v>
      </c>
      <c r="K126" s="167" t="s">
        <v>543</v>
      </c>
      <c r="L126" s="156">
        <f>SUM(C126:I126)*2.281</f>
        <v>31.934000000000001</v>
      </c>
      <c r="M126" s="168">
        <f>SUM(C126:I126)*145</f>
        <v>2030</v>
      </c>
      <c r="N126" s="156" t="s">
        <v>854</v>
      </c>
      <c r="O126" s="156">
        <f>J126*1.921</f>
        <v>1.921</v>
      </c>
      <c r="P126" s="156">
        <f>J126*184</f>
        <v>184</v>
      </c>
      <c r="Q126" s="115" t="s">
        <v>855</v>
      </c>
      <c r="R126" s="166">
        <f>SUM(C126:I126)*(0.474/10)</f>
        <v>0.66359999999999997</v>
      </c>
      <c r="S126" s="166">
        <f>SUM(C126:I126)*(47/10)</f>
        <v>65.8</v>
      </c>
    </row>
    <row r="127" spans="1:19" ht="28.5" customHeight="1" thickBot="1">
      <c r="A127" s="242"/>
      <c r="B127" s="33" t="s">
        <v>856</v>
      </c>
      <c r="C127" s="244">
        <v>4</v>
      </c>
      <c r="D127" s="244">
        <v>0</v>
      </c>
      <c r="E127" s="244">
        <v>7</v>
      </c>
      <c r="F127" s="244">
        <v>0</v>
      </c>
      <c r="G127" s="244">
        <v>0</v>
      </c>
      <c r="H127" s="244">
        <v>0</v>
      </c>
      <c r="I127" s="244">
        <v>0</v>
      </c>
      <c r="J127" s="243">
        <v>1</v>
      </c>
      <c r="K127" s="167" t="s">
        <v>543</v>
      </c>
      <c r="L127" s="156">
        <f t="shared" ref="L127:L138" si="5">SUM(C127:I127)*2.281</f>
        <v>25.091000000000001</v>
      </c>
      <c r="M127" s="168">
        <f t="shared" ref="M127:M138" si="6">SUM(C127:I127)*145</f>
        <v>1595</v>
      </c>
      <c r="N127" s="156" t="s">
        <v>854</v>
      </c>
      <c r="O127" s="156">
        <f t="shared" ref="O127:O138" si="7">J127*1.921</f>
        <v>1.921</v>
      </c>
      <c r="P127" s="156">
        <f t="shared" ref="P127:P138" si="8">J127*184</f>
        <v>184</v>
      </c>
      <c r="Q127" s="115" t="s">
        <v>855</v>
      </c>
      <c r="R127" s="166">
        <f t="shared" ref="R127:R138" si="9">SUM(C127:I127)*(0.474/10)</f>
        <v>0.52139999999999997</v>
      </c>
      <c r="S127" s="166">
        <f t="shared" ref="S127:S138" si="10">SUM(C127:I127)*(47/10)</f>
        <v>51.7</v>
      </c>
    </row>
    <row r="128" spans="1:19" ht="25.5" customHeight="1" thickBot="1">
      <c r="A128" s="242"/>
      <c r="B128" s="33" t="s">
        <v>857</v>
      </c>
      <c r="C128" s="244">
        <v>5</v>
      </c>
      <c r="D128" s="244">
        <v>0</v>
      </c>
      <c r="E128" s="244">
        <v>8</v>
      </c>
      <c r="F128" s="244">
        <v>0</v>
      </c>
      <c r="G128" s="244">
        <v>0</v>
      </c>
      <c r="H128" s="244">
        <v>0</v>
      </c>
      <c r="I128" s="244">
        <v>0</v>
      </c>
      <c r="J128" s="243">
        <v>1</v>
      </c>
      <c r="K128" s="167" t="s">
        <v>543</v>
      </c>
      <c r="L128" s="156">
        <f t="shared" si="5"/>
        <v>29.653000000000002</v>
      </c>
      <c r="M128" s="168">
        <f t="shared" si="6"/>
        <v>1885</v>
      </c>
      <c r="N128" s="156" t="s">
        <v>854</v>
      </c>
      <c r="O128" s="156">
        <f t="shared" si="7"/>
        <v>1.921</v>
      </c>
      <c r="P128" s="156">
        <f t="shared" si="8"/>
        <v>184</v>
      </c>
      <c r="Q128" s="115" t="s">
        <v>855</v>
      </c>
      <c r="R128" s="166">
        <f t="shared" si="9"/>
        <v>0.61619999999999997</v>
      </c>
      <c r="S128" s="166">
        <f t="shared" si="10"/>
        <v>61.1</v>
      </c>
    </row>
    <row r="129" spans="1:19" ht="35.25" customHeight="1" thickBot="1">
      <c r="A129" s="242"/>
      <c r="B129" s="33" t="s">
        <v>858</v>
      </c>
      <c r="C129" s="244">
        <v>4</v>
      </c>
      <c r="D129" s="244">
        <v>0</v>
      </c>
      <c r="E129" s="244">
        <v>8</v>
      </c>
      <c r="F129" s="244">
        <v>0</v>
      </c>
      <c r="G129" s="244">
        <v>0</v>
      </c>
      <c r="H129" s="244">
        <v>0</v>
      </c>
      <c r="I129" s="244">
        <v>0</v>
      </c>
      <c r="J129" s="243">
        <v>1</v>
      </c>
      <c r="K129" s="167" t="s">
        <v>543</v>
      </c>
      <c r="L129" s="156">
        <f t="shared" si="5"/>
        <v>27.372</v>
      </c>
      <c r="M129" s="168">
        <f t="shared" si="6"/>
        <v>1740</v>
      </c>
      <c r="N129" s="156" t="s">
        <v>854</v>
      </c>
      <c r="O129" s="156">
        <f t="shared" si="7"/>
        <v>1.921</v>
      </c>
      <c r="P129" s="156">
        <f t="shared" si="8"/>
        <v>184</v>
      </c>
      <c r="Q129" s="115" t="s">
        <v>855</v>
      </c>
      <c r="R129" s="166">
        <f t="shared" si="9"/>
        <v>0.56879999999999997</v>
      </c>
      <c r="S129" s="166">
        <f t="shared" si="10"/>
        <v>56.400000000000006</v>
      </c>
    </row>
    <row r="130" spans="1:19" ht="37.5" customHeight="1" thickBot="1">
      <c r="A130" s="242"/>
      <c r="B130" s="33" t="s">
        <v>859</v>
      </c>
      <c r="C130" s="244">
        <v>4</v>
      </c>
      <c r="D130" s="244">
        <v>0</v>
      </c>
      <c r="E130" s="244">
        <v>8</v>
      </c>
      <c r="F130" s="244">
        <v>0</v>
      </c>
      <c r="G130" s="244">
        <v>0</v>
      </c>
      <c r="H130" s="244">
        <v>0</v>
      </c>
      <c r="I130" s="244">
        <v>0</v>
      </c>
      <c r="J130" s="243">
        <v>1</v>
      </c>
      <c r="K130" s="167" t="s">
        <v>543</v>
      </c>
      <c r="L130" s="156">
        <f t="shared" si="5"/>
        <v>27.372</v>
      </c>
      <c r="M130" s="168">
        <f t="shared" si="6"/>
        <v>1740</v>
      </c>
      <c r="N130" s="156" t="s">
        <v>854</v>
      </c>
      <c r="O130" s="156">
        <f t="shared" si="7"/>
        <v>1.921</v>
      </c>
      <c r="P130" s="156">
        <f t="shared" si="8"/>
        <v>184</v>
      </c>
      <c r="Q130" s="115" t="s">
        <v>855</v>
      </c>
      <c r="R130" s="166">
        <f t="shared" si="9"/>
        <v>0.56879999999999997</v>
      </c>
      <c r="S130" s="166">
        <f t="shared" si="10"/>
        <v>56.400000000000006</v>
      </c>
    </row>
    <row r="131" spans="1:19" ht="24" customHeight="1" thickBot="1">
      <c r="A131" s="242"/>
      <c r="B131" s="33" t="s">
        <v>860</v>
      </c>
      <c r="C131" s="244">
        <v>2</v>
      </c>
      <c r="D131" s="244">
        <v>10</v>
      </c>
      <c r="E131" s="244">
        <v>4</v>
      </c>
      <c r="F131" s="244">
        <v>0</v>
      </c>
      <c r="G131" s="244">
        <v>0</v>
      </c>
      <c r="H131" s="244">
        <v>0</v>
      </c>
      <c r="I131" s="244">
        <v>0</v>
      </c>
      <c r="J131" s="243">
        <v>1</v>
      </c>
      <c r="K131" s="167" t="s">
        <v>543</v>
      </c>
      <c r="L131" s="156">
        <f t="shared" si="5"/>
        <v>36.496000000000002</v>
      </c>
      <c r="M131" s="168">
        <f t="shared" si="6"/>
        <v>2320</v>
      </c>
      <c r="N131" s="156" t="s">
        <v>854</v>
      </c>
      <c r="O131" s="156">
        <f t="shared" si="7"/>
        <v>1.921</v>
      </c>
      <c r="P131" s="156">
        <f t="shared" si="8"/>
        <v>184</v>
      </c>
      <c r="Q131" s="115" t="s">
        <v>855</v>
      </c>
      <c r="R131" s="166">
        <f t="shared" si="9"/>
        <v>0.75839999999999996</v>
      </c>
      <c r="S131" s="166">
        <f t="shared" si="10"/>
        <v>75.2</v>
      </c>
    </row>
    <row r="132" spans="1:19" ht="15.75" thickBot="1">
      <c r="A132" s="242"/>
      <c r="B132" s="33" t="s">
        <v>544</v>
      </c>
      <c r="C132" s="244">
        <v>0</v>
      </c>
      <c r="D132" s="244">
        <v>0</v>
      </c>
      <c r="E132" s="244">
        <v>0</v>
      </c>
      <c r="F132" s="244">
        <v>0</v>
      </c>
      <c r="G132" s="244">
        <v>0</v>
      </c>
      <c r="H132" s="244">
        <v>2</v>
      </c>
      <c r="I132" s="244">
        <v>0</v>
      </c>
      <c r="J132" s="243"/>
      <c r="K132" s="167" t="s">
        <v>543</v>
      </c>
      <c r="L132" s="156">
        <f t="shared" si="5"/>
        <v>4.5620000000000003</v>
      </c>
      <c r="M132" s="168">
        <f t="shared" si="6"/>
        <v>290</v>
      </c>
      <c r="N132" s="156" t="s">
        <v>854</v>
      </c>
      <c r="O132" s="156">
        <f t="shared" si="7"/>
        <v>0</v>
      </c>
      <c r="P132" s="156">
        <f t="shared" si="8"/>
        <v>0</v>
      </c>
      <c r="Q132" s="115" t="s">
        <v>855</v>
      </c>
      <c r="R132" s="166">
        <f t="shared" si="9"/>
        <v>9.4799999999999995E-2</v>
      </c>
      <c r="S132" s="166">
        <f t="shared" si="10"/>
        <v>9.4</v>
      </c>
    </row>
    <row r="133" spans="1:19" ht="15.75" thickBot="1">
      <c r="A133" s="242"/>
      <c r="B133" s="33" t="s">
        <v>861</v>
      </c>
      <c r="C133" s="244">
        <v>0</v>
      </c>
      <c r="D133" s="244">
        <v>0</v>
      </c>
      <c r="E133" s="244">
        <v>8</v>
      </c>
      <c r="F133" s="244">
        <v>0</v>
      </c>
      <c r="G133" s="244">
        <v>0</v>
      </c>
      <c r="H133" s="244">
        <v>0</v>
      </c>
      <c r="I133" s="244">
        <v>0</v>
      </c>
      <c r="J133" s="243">
        <v>1</v>
      </c>
      <c r="K133" s="167" t="s">
        <v>543</v>
      </c>
      <c r="L133" s="156">
        <f t="shared" si="5"/>
        <v>18.248000000000001</v>
      </c>
      <c r="M133" s="168">
        <f t="shared" si="6"/>
        <v>1160</v>
      </c>
      <c r="N133" s="156" t="s">
        <v>854</v>
      </c>
      <c r="O133" s="156">
        <f t="shared" si="7"/>
        <v>1.921</v>
      </c>
      <c r="P133" s="156">
        <f t="shared" si="8"/>
        <v>184</v>
      </c>
      <c r="Q133" s="115" t="s">
        <v>855</v>
      </c>
      <c r="R133" s="166">
        <f t="shared" si="9"/>
        <v>0.37919999999999998</v>
      </c>
      <c r="S133" s="166">
        <f t="shared" si="10"/>
        <v>37.6</v>
      </c>
    </row>
    <row r="134" spans="1:19" ht="15.75" thickBot="1">
      <c r="A134" s="242"/>
      <c r="B134" s="33" t="s">
        <v>862</v>
      </c>
      <c r="C134" s="244">
        <v>0</v>
      </c>
      <c r="D134" s="244">
        <v>0</v>
      </c>
      <c r="E134" s="244">
        <v>3</v>
      </c>
      <c r="F134" s="244">
        <v>0</v>
      </c>
      <c r="G134" s="244">
        <v>2</v>
      </c>
      <c r="H134" s="244">
        <v>0</v>
      </c>
      <c r="I134" s="244">
        <v>15</v>
      </c>
      <c r="J134" s="243">
        <v>1</v>
      </c>
      <c r="K134" s="167" t="s">
        <v>543</v>
      </c>
      <c r="L134" s="156">
        <f t="shared" si="5"/>
        <v>45.620000000000005</v>
      </c>
      <c r="M134" s="168">
        <f t="shared" si="6"/>
        <v>2900</v>
      </c>
      <c r="N134" s="156" t="s">
        <v>854</v>
      </c>
      <c r="O134" s="156">
        <f t="shared" si="7"/>
        <v>1.921</v>
      </c>
      <c r="P134" s="156">
        <f t="shared" si="8"/>
        <v>184</v>
      </c>
      <c r="Q134" s="115" t="s">
        <v>855</v>
      </c>
      <c r="R134" s="166">
        <f t="shared" si="9"/>
        <v>0.94799999999999995</v>
      </c>
      <c r="S134" s="166">
        <f t="shared" si="10"/>
        <v>94</v>
      </c>
    </row>
    <row r="135" spans="1:19" ht="15.75" thickBot="1">
      <c r="A135" s="242"/>
      <c r="B135" s="33" t="s">
        <v>863</v>
      </c>
      <c r="C135" s="244">
        <v>0</v>
      </c>
      <c r="D135" s="244">
        <v>3</v>
      </c>
      <c r="E135" s="244">
        <v>0</v>
      </c>
      <c r="F135" s="244">
        <v>3</v>
      </c>
      <c r="G135" s="244">
        <v>0</v>
      </c>
      <c r="H135" s="244">
        <v>0</v>
      </c>
      <c r="I135" s="244">
        <v>0</v>
      </c>
      <c r="J135" s="243">
        <v>0</v>
      </c>
      <c r="K135" s="167" t="s">
        <v>543</v>
      </c>
      <c r="L135" s="156">
        <f t="shared" si="5"/>
        <v>13.686</v>
      </c>
      <c r="M135" s="168">
        <f t="shared" si="6"/>
        <v>870</v>
      </c>
      <c r="N135" s="156" t="s">
        <v>854</v>
      </c>
      <c r="O135" s="156">
        <f t="shared" si="7"/>
        <v>0</v>
      </c>
      <c r="P135" s="156">
        <f t="shared" si="8"/>
        <v>0</v>
      </c>
      <c r="Q135" s="115" t="s">
        <v>855</v>
      </c>
      <c r="R135" s="166">
        <f t="shared" si="9"/>
        <v>0.28439999999999999</v>
      </c>
      <c r="S135" s="166">
        <f t="shared" si="10"/>
        <v>28.200000000000003</v>
      </c>
    </row>
    <row r="136" spans="1:19" ht="15.75" thickBot="1">
      <c r="A136" s="242"/>
      <c r="B136" s="33" t="s">
        <v>864</v>
      </c>
      <c r="C136" s="244">
        <v>0</v>
      </c>
      <c r="D136" s="244">
        <v>4</v>
      </c>
      <c r="E136" s="244">
        <v>0</v>
      </c>
      <c r="F136" s="244">
        <v>0</v>
      </c>
      <c r="G136" s="244">
        <v>0</v>
      </c>
      <c r="H136" s="244">
        <v>0</v>
      </c>
      <c r="I136" s="244">
        <v>0</v>
      </c>
      <c r="J136" s="243">
        <v>0</v>
      </c>
      <c r="K136" s="167" t="s">
        <v>543</v>
      </c>
      <c r="L136" s="156">
        <f t="shared" si="5"/>
        <v>9.1240000000000006</v>
      </c>
      <c r="M136" s="168">
        <f t="shared" si="6"/>
        <v>580</v>
      </c>
      <c r="N136" s="156" t="s">
        <v>854</v>
      </c>
      <c r="O136" s="156">
        <f t="shared" si="7"/>
        <v>0</v>
      </c>
      <c r="P136" s="156">
        <f t="shared" si="8"/>
        <v>0</v>
      </c>
      <c r="Q136" s="115" t="s">
        <v>855</v>
      </c>
      <c r="R136" s="166">
        <f t="shared" si="9"/>
        <v>0.18959999999999999</v>
      </c>
      <c r="S136" s="166">
        <f t="shared" si="10"/>
        <v>18.8</v>
      </c>
    </row>
    <row r="137" spans="1:19" ht="15.75" thickBot="1">
      <c r="A137" s="242"/>
      <c r="B137" s="33" t="s">
        <v>865</v>
      </c>
      <c r="C137" s="244">
        <v>0</v>
      </c>
      <c r="D137" s="244">
        <v>0</v>
      </c>
      <c r="E137" s="244">
        <v>0</v>
      </c>
      <c r="F137" s="244">
        <v>0</v>
      </c>
      <c r="G137" s="244">
        <v>12</v>
      </c>
      <c r="H137" s="244">
        <v>0</v>
      </c>
      <c r="I137" s="244">
        <v>0</v>
      </c>
      <c r="J137" s="243">
        <v>0</v>
      </c>
      <c r="K137" s="167" t="s">
        <v>543</v>
      </c>
      <c r="L137" s="156">
        <f t="shared" si="5"/>
        <v>27.372</v>
      </c>
      <c r="M137" s="168">
        <f t="shared" si="6"/>
        <v>1740</v>
      </c>
      <c r="N137" s="156" t="s">
        <v>854</v>
      </c>
      <c r="O137" s="156">
        <f t="shared" si="7"/>
        <v>0</v>
      </c>
      <c r="P137" s="156">
        <f t="shared" si="8"/>
        <v>0</v>
      </c>
      <c r="Q137" s="115" t="s">
        <v>855</v>
      </c>
      <c r="R137" s="166">
        <f t="shared" si="9"/>
        <v>0.56879999999999997</v>
      </c>
      <c r="S137" s="166">
        <f t="shared" si="10"/>
        <v>56.400000000000006</v>
      </c>
    </row>
    <row r="138" spans="1:19" ht="24" customHeight="1" thickBot="1">
      <c r="A138" s="242"/>
      <c r="B138" s="33" t="s">
        <v>866</v>
      </c>
      <c r="C138" s="244">
        <v>0</v>
      </c>
      <c r="D138" s="244">
        <v>0</v>
      </c>
      <c r="E138" s="244">
        <v>0</v>
      </c>
      <c r="F138" s="244">
        <v>0</v>
      </c>
      <c r="G138" s="244">
        <v>4</v>
      </c>
      <c r="H138" s="244">
        <v>0</v>
      </c>
      <c r="I138" s="244">
        <v>0</v>
      </c>
      <c r="J138" s="243">
        <v>0</v>
      </c>
      <c r="K138" s="167" t="s">
        <v>543</v>
      </c>
      <c r="L138" s="156">
        <f t="shared" si="5"/>
        <v>9.1240000000000006</v>
      </c>
      <c r="M138" s="168">
        <f t="shared" si="6"/>
        <v>580</v>
      </c>
      <c r="N138" s="156" t="s">
        <v>854</v>
      </c>
      <c r="O138" s="156">
        <f t="shared" si="7"/>
        <v>0</v>
      </c>
      <c r="P138" s="156">
        <f t="shared" si="8"/>
        <v>0</v>
      </c>
      <c r="Q138" s="115" t="s">
        <v>855</v>
      </c>
      <c r="R138" s="166">
        <f t="shared" si="9"/>
        <v>0.18959999999999999</v>
      </c>
      <c r="S138" s="166">
        <f t="shared" si="10"/>
        <v>18.8</v>
      </c>
    </row>
    <row r="139" spans="1:19">
      <c r="A139" s="29"/>
      <c r="B139" s="29"/>
      <c r="C139" s="29">
        <f>SUM(C126:C138)</f>
        <v>24</v>
      </c>
      <c r="D139" s="29">
        <f t="shared" ref="D139:I139" si="11">SUM(D126:D138)</f>
        <v>17</v>
      </c>
      <c r="E139" s="29">
        <f t="shared" si="11"/>
        <v>55</v>
      </c>
      <c r="F139" s="29">
        <f t="shared" si="11"/>
        <v>3</v>
      </c>
      <c r="G139" s="29">
        <f t="shared" si="11"/>
        <v>18</v>
      </c>
      <c r="H139" s="29">
        <f t="shared" si="11"/>
        <v>2</v>
      </c>
      <c r="I139" s="29">
        <f t="shared" si="11"/>
        <v>15</v>
      </c>
      <c r="J139" s="29">
        <f>SUM(J126:J138)</f>
        <v>8</v>
      </c>
      <c r="K139" s="29"/>
      <c r="L139" s="29" t="s">
        <v>27</v>
      </c>
      <c r="M139" s="29"/>
      <c r="N139" s="29"/>
      <c r="O139" s="29"/>
      <c r="P139" s="29"/>
      <c r="Q139" s="110"/>
      <c r="R139" s="110"/>
      <c r="S139" s="110"/>
    </row>
    <row r="140" spans="1:19">
      <c r="A140" s="29"/>
      <c r="B140" s="29"/>
      <c r="C140" s="29"/>
      <c r="D140" s="29"/>
      <c r="E140" s="29"/>
      <c r="F140" s="29"/>
      <c r="G140" s="29"/>
      <c r="H140" s="29"/>
      <c r="I140" s="29"/>
      <c r="J140" s="29"/>
      <c r="K140" s="29"/>
      <c r="L140" s="117">
        <f>SUM(L126:L138)</f>
        <v>305.65400000000011</v>
      </c>
      <c r="M140" s="118">
        <f>SUM(M126:M138)</f>
        <v>19430</v>
      </c>
      <c r="N140" s="117"/>
      <c r="O140" s="117">
        <f>SUM(O126:O138)</f>
        <v>15.367999999999999</v>
      </c>
      <c r="P140" s="118">
        <f>SUM(P126:P138)</f>
        <v>1472</v>
      </c>
      <c r="Q140" s="119"/>
      <c r="R140" s="119">
        <f>SUM(R126:R138)</f>
        <v>6.3515999999999995</v>
      </c>
      <c r="S140" s="120">
        <f>SUM(S126:S138)</f>
        <v>629.79999999999984</v>
      </c>
    </row>
    <row r="141" spans="1:19">
      <c r="A141" s="29"/>
      <c r="B141" s="29"/>
      <c r="C141" s="29"/>
      <c r="D141" s="29"/>
      <c r="E141" s="29"/>
      <c r="F141" s="29"/>
      <c r="G141" s="29"/>
      <c r="H141" s="29"/>
      <c r="I141" s="29"/>
      <c r="J141" s="29"/>
      <c r="K141" s="29"/>
      <c r="L141" s="29"/>
      <c r="M141" s="29"/>
      <c r="N141" s="29"/>
      <c r="O141" s="117">
        <f>SUM(L140+O140)</f>
        <v>321.02200000000011</v>
      </c>
      <c r="P141" s="118">
        <f>SUM(M140+P140)</f>
        <v>20902</v>
      </c>
      <c r="Q141" s="86"/>
      <c r="R141" s="86"/>
      <c r="S141" s="86"/>
    </row>
    <row r="142" spans="1:19">
      <c r="A142" s="29"/>
      <c r="B142" s="29"/>
      <c r="C142" s="29"/>
      <c r="D142" s="29"/>
      <c r="E142" s="29"/>
      <c r="F142" s="29"/>
      <c r="G142" s="29"/>
      <c r="H142" s="29"/>
      <c r="I142" s="29"/>
      <c r="J142" s="29"/>
      <c r="K142" s="29"/>
      <c r="L142" s="29"/>
      <c r="M142" s="29"/>
      <c r="N142" s="29"/>
      <c r="O142" s="29"/>
      <c r="P142" s="29"/>
      <c r="Q142" s="86"/>
      <c r="R142" s="86"/>
      <c r="S142" s="86"/>
    </row>
    <row r="143" spans="1:19">
      <c r="A143" s="29"/>
      <c r="B143" s="29"/>
      <c r="C143" s="29"/>
      <c r="D143" s="29"/>
      <c r="E143" s="29"/>
      <c r="F143" s="29"/>
      <c r="G143" s="29"/>
      <c r="H143" s="29"/>
      <c r="I143" s="29"/>
      <c r="J143" s="29"/>
      <c r="K143" s="29"/>
      <c r="L143" s="29"/>
      <c r="M143" s="29"/>
      <c r="N143" s="29"/>
      <c r="O143" s="29"/>
      <c r="P143" s="29"/>
      <c r="Q143" s="86"/>
      <c r="R143" s="86"/>
      <c r="S143" s="86"/>
    </row>
    <row r="144" spans="1:19">
      <c r="A144" s="29"/>
      <c r="B144" s="29"/>
      <c r="C144" s="29"/>
      <c r="D144" s="29"/>
      <c r="E144" s="29"/>
      <c r="F144" s="29"/>
      <c r="G144" s="29"/>
      <c r="H144" s="29"/>
      <c r="I144" s="29"/>
      <c r="J144" s="29"/>
      <c r="K144" s="29"/>
      <c r="L144" s="29"/>
      <c r="M144" s="29"/>
      <c r="N144" s="29"/>
      <c r="O144" s="29"/>
      <c r="P144" s="29"/>
      <c r="Q144" s="86"/>
      <c r="R144" s="86"/>
      <c r="S144" s="86"/>
    </row>
    <row r="145" spans="1:19">
      <c r="A145" s="29"/>
      <c r="B145" s="29"/>
      <c r="C145" s="29"/>
      <c r="D145" s="29"/>
      <c r="E145" s="29"/>
      <c r="F145" s="29"/>
      <c r="G145" s="29"/>
      <c r="H145" s="29"/>
      <c r="I145" s="29"/>
      <c r="J145" s="29"/>
      <c r="K145" s="29"/>
      <c r="L145" s="29"/>
      <c r="M145" s="29"/>
      <c r="N145" s="29"/>
      <c r="O145" s="29"/>
      <c r="P145" s="29"/>
      <c r="Q145" s="86"/>
      <c r="R145" s="86"/>
      <c r="S145" s="86"/>
    </row>
    <row r="146" spans="1:19">
      <c r="A146" s="29"/>
      <c r="B146" s="29"/>
      <c r="C146" s="29"/>
      <c r="D146" s="29"/>
      <c r="E146" s="29"/>
      <c r="F146" s="29"/>
      <c r="G146" s="29"/>
      <c r="H146" s="29"/>
      <c r="I146" s="29"/>
      <c r="J146" s="29"/>
      <c r="K146" s="29"/>
      <c r="L146" s="29"/>
      <c r="M146" s="29"/>
      <c r="N146" s="29"/>
      <c r="O146" s="29"/>
      <c r="P146" s="29"/>
      <c r="Q146" s="86"/>
      <c r="R146" s="86"/>
      <c r="S146" s="86"/>
    </row>
    <row r="147" spans="1:19">
      <c r="A147" s="29"/>
      <c r="B147" s="29"/>
      <c r="C147" s="29"/>
      <c r="D147" s="29"/>
      <c r="E147" s="29"/>
      <c r="F147" s="29"/>
      <c r="G147" s="29"/>
      <c r="H147" s="29"/>
      <c r="I147" s="29"/>
      <c r="J147" s="29"/>
      <c r="K147" s="29"/>
      <c r="L147" s="29"/>
      <c r="M147" s="29"/>
      <c r="N147" s="29"/>
      <c r="O147" s="29"/>
      <c r="P147" s="29"/>
      <c r="Q147" s="86"/>
      <c r="R147" s="86"/>
      <c r="S147" s="86"/>
    </row>
    <row r="148" spans="1:19">
      <c r="A148" s="29"/>
      <c r="B148" s="29"/>
      <c r="C148" s="29"/>
      <c r="D148" s="29"/>
      <c r="E148" s="29"/>
      <c r="F148" s="29"/>
      <c r="G148" s="29"/>
      <c r="H148" s="29"/>
      <c r="I148" s="29"/>
      <c r="J148" s="29"/>
      <c r="K148" s="29"/>
      <c r="L148" s="29"/>
      <c r="M148" s="29"/>
      <c r="N148" s="29"/>
      <c r="O148" s="29"/>
      <c r="P148" s="29"/>
      <c r="Q148" s="86"/>
      <c r="R148" s="86"/>
      <c r="S148" s="86"/>
    </row>
    <row r="149" spans="1:19">
      <c r="A149" s="29"/>
      <c r="B149" s="29"/>
      <c r="C149" s="29"/>
      <c r="D149" s="29"/>
      <c r="E149" s="29"/>
      <c r="F149" s="29"/>
      <c r="G149" s="29"/>
      <c r="H149" s="29"/>
      <c r="I149" s="29"/>
      <c r="J149" s="29"/>
      <c r="K149" s="29"/>
      <c r="L149" s="29"/>
      <c r="M149" s="29"/>
      <c r="N149" s="29"/>
      <c r="O149" s="29"/>
      <c r="P149" s="29"/>
      <c r="Q149" s="86"/>
      <c r="R149" s="86"/>
      <c r="S149" s="86"/>
    </row>
    <row r="150" spans="1:19">
      <c r="A150" s="29"/>
      <c r="B150" s="29"/>
      <c r="C150" s="29"/>
      <c r="D150" s="29"/>
      <c r="E150" s="29"/>
      <c r="F150" s="29"/>
      <c r="G150" s="29"/>
      <c r="H150" s="29"/>
      <c r="I150" s="29"/>
      <c r="J150" s="29"/>
      <c r="K150" s="29"/>
      <c r="L150" s="29"/>
      <c r="M150" s="29"/>
      <c r="N150" s="29"/>
      <c r="O150" s="29"/>
      <c r="P150" s="29"/>
      <c r="Q150" s="86"/>
      <c r="R150" s="86"/>
      <c r="S150" s="86"/>
    </row>
    <row r="151" spans="1:19">
      <c r="A151" s="29"/>
      <c r="B151" s="29"/>
      <c r="C151" s="29"/>
      <c r="D151" s="29"/>
      <c r="E151" s="29"/>
      <c r="F151" s="29"/>
      <c r="G151" s="29"/>
      <c r="H151" s="29"/>
      <c r="I151" s="29"/>
      <c r="J151" s="29"/>
      <c r="K151" s="29"/>
      <c r="L151" s="29"/>
      <c r="M151" s="29"/>
      <c r="N151" s="29"/>
      <c r="O151" s="29"/>
      <c r="P151" s="29"/>
      <c r="Q151" s="86"/>
      <c r="R151" s="86"/>
      <c r="S151" s="86"/>
    </row>
    <row r="152" spans="1:19">
      <c r="A152" s="29"/>
      <c r="B152" s="29"/>
      <c r="C152" s="29"/>
      <c r="D152" s="29"/>
      <c r="E152" s="29"/>
      <c r="F152" s="29"/>
      <c r="G152" s="29"/>
      <c r="H152" s="29"/>
      <c r="I152" s="29"/>
      <c r="J152" s="29"/>
      <c r="K152" s="29"/>
      <c r="L152" s="29"/>
      <c r="M152" s="29"/>
      <c r="N152" s="29"/>
      <c r="O152" s="29"/>
      <c r="P152" s="29"/>
      <c r="Q152" s="86"/>
      <c r="R152" s="86"/>
      <c r="S152" s="86"/>
    </row>
    <row r="153" spans="1:19">
      <c r="A153" s="29"/>
      <c r="B153" s="29"/>
      <c r="C153" s="29"/>
      <c r="D153" s="29"/>
      <c r="E153" s="29"/>
      <c r="F153" s="29"/>
      <c r="G153" s="29"/>
      <c r="H153" s="29"/>
      <c r="I153" s="29"/>
      <c r="J153" s="29"/>
      <c r="K153" s="29"/>
      <c r="L153" s="29"/>
      <c r="M153" s="29"/>
      <c r="N153" s="29"/>
      <c r="O153" s="29"/>
      <c r="P153" s="29"/>
      <c r="Q153" s="86"/>
      <c r="R153" s="86"/>
      <c r="S153" s="86"/>
    </row>
    <row r="154" spans="1:19">
      <c r="A154" s="29"/>
      <c r="B154" s="29"/>
      <c r="C154" s="29"/>
      <c r="D154" s="29"/>
      <c r="E154" s="29"/>
      <c r="F154" s="29"/>
      <c r="G154" s="29"/>
      <c r="H154" s="29"/>
      <c r="I154" s="29"/>
      <c r="J154" s="29"/>
      <c r="K154" s="29"/>
      <c r="L154" s="29"/>
      <c r="M154" s="29"/>
      <c r="N154" s="29"/>
      <c r="O154" s="29"/>
      <c r="P154" s="29"/>
      <c r="Q154" s="86"/>
      <c r="R154" s="86"/>
      <c r="S154" s="86"/>
    </row>
    <row r="155" spans="1:19">
      <c r="A155" s="29"/>
      <c r="B155" s="29"/>
      <c r="C155" s="29"/>
      <c r="D155" s="29"/>
      <c r="E155" s="29"/>
      <c r="F155" s="29"/>
      <c r="G155" s="29"/>
      <c r="H155" s="29"/>
      <c r="I155" s="29"/>
      <c r="J155" s="29"/>
      <c r="K155" s="29"/>
      <c r="L155" s="29"/>
      <c r="M155" s="29"/>
      <c r="N155" s="29"/>
      <c r="O155" s="29"/>
      <c r="P155" s="29"/>
      <c r="Q155" s="86"/>
      <c r="R155" s="86"/>
      <c r="S155" s="86"/>
    </row>
    <row r="156" spans="1:19">
      <c r="A156" s="29"/>
      <c r="B156" s="29"/>
      <c r="C156" s="29"/>
      <c r="D156" s="29"/>
      <c r="E156" s="29"/>
      <c r="F156" s="29"/>
      <c r="G156" s="29"/>
      <c r="H156" s="29"/>
      <c r="I156" s="29"/>
      <c r="J156" s="29"/>
      <c r="K156" s="29"/>
      <c r="L156" s="29"/>
      <c r="M156" s="29"/>
      <c r="N156" s="29"/>
      <c r="O156" s="29"/>
      <c r="P156" s="29"/>
      <c r="Q156" s="86"/>
      <c r="R156" s="86"/>
      <c r="S156" s="86"/>
    </row>
    <row r="157" spans="1:19">
      <c r="A157" s="29"/>
      <c r="B157" s="29"/>
      <c r="C157" s="29"/>
      <c r="D157" s="29"/>
      <c r="E157" s="29"/>
      <c r="F157" s="29"/>
      <c r="G157" s="29"/>
      <c r="H157" s="29"/>
      <c r="I157" s="29"/>
      <c r="J157" s="29"/>
      <c r="K157" s="29"/>
      <c r="L157" s="29"/>
      <c r="M157" s="29"/>
      <c r="N157" s="29"/>
      <c r="O157" s="29"/>
      <c r="P157" s="29"/>
      <c r="Q157" s="86"/>
      <c r="R157" s="86"/>
      <c r="S157" s="86"/>
    </row>
    <row r="158" spans="1:19">
      <c r="A158" s="29"/>
      <c r="B158" s="29"/>
      <c r="C158" s="29"/>
      <c r="D158" s="29"/>
      <c r="E158" s="29"/>
      <c r="F158" s="29"/>
      <c r="G158" s="29"/>
      <c r="H158" s="29"/>
      <c r="I158" s="29"/>
      <c r="J158" s="29"/>
      <c r="K158" s="29"/>
      <c r="L158" s="29"/>
      <c r="M158" s="29"/>
      <c r="N158" s="29"/>
      <c r="O158" s="29"/>
      <c r="P158" s="29"/>
      <c r="Q158" s="86"/>
      <c r="R158" s="86"/>
      <c r="S158" s="86"/>
    </row>
    <row r="159" spans="1:19">
      <c r="A159" s="29"/>
      <c r="B159" s="29"/>
      <c r="C159" s="29"/>
      <c r="D159" s="29"/>
      <c r="E159" s="29"/>
      <c r="F159" s="29"/>
      <c r="G159" s="29"/>
      <c r="H159" s="29"/>
      <c r="I159" s="29"/>
      <c r="J159" s="29"/>
      <c r="K159" s="29"/>
      <c r="L159" s="29"/>
      <c r="M159" s="29"/>
      <c r="N159" s="29"/>
      <c r="O159" s="29"/>
      <c r="P159" s="29"/>
      <c r="Q159" s="86"/>
      <c r="R159" s="86"/>
      <c r="S159" s="86"/>
    </row>
    <row r="160" spans="1:19">
      <c r="A160" s="29"/>
      <c r="B160" s="29"/>
      <c r="C160" s="29"/>
      <c r="D160" s="29"/>
      <c r="E160" s="29"/>
      <c r="F160" s="29"/>
      <c r="G160" s="29"/>
      <c r="H160" s="29"/>
      <c r="I160" s="29"/>
      <c r="J160" s="29"/>
      <c r="K160" s="29"/>
      <c r="L160" s="29"/>
      <c r="M160" s="29"/>
      <c r="N160" s="29"/>
      <c r="O160" s="29"/>
      <c r="P160" s="29"/>
      <c r="Q160" s="86"/>
      <c r="R160" s="86"/>
      <c r="S160" s="86"/>
    </row>
    <row r="161" spans="1:19">
      <c r="A161" s="29"/>
      <c r="B161" s="29"/>
      <c r="C161" s="29"/>
      <c r="D161" s="29"/>
      <c r="E161" s="29"/>
      <c r="F161" s="29"/>
      <c r="G161" s="29"/>
      <c r="H161" s="29"/>
      <c r="I161" s="29"/>
      <c r="J161" s="29"/>
      <c r="K161" s="29"/>
      <c r="L161" s="29"/>
      <c r="M161" s="29"/>
      <c r="N161" s="29"/>
      <c r="O161" s="29"/>
      <c r="P161" s="29"/>
      <c r="Q161" s="86"/>
      <c r="R161" s="86"/>
      <c r="S161" s="86"/>
    </row>
    <row r="162" spans="1:19">
      <c r="A162" s="29"/>
      <c r="B162" s="29"/>
      <c r="C162" s="29"/>
      <c r="D162" s="29"/>
      <c r="E162" s="29"/>
      <c r="F162" s="29"/>
      <c r="G162" s="29"/>
      <c r="H162" s="29"/>
      <c r="I162" s="29"/>
      <c r="J162" s="29"/>
      <c r="K162" s="29"/>
      <c r="L162" s="29"/>
      <c r="M162" s="29"/>
      <c r="N162" s="29"/>
      <c r="O162" s="29"/>
      <c r="P162" s="29"/>
      <c r="Q162" s="86"/>
      <c r="R162" s="86"/>
      <c r="S162" s="86"/>
    </row>
    <row r="163" spans="1:19">
      <c r="A163" s="29"/>
      <c r="B163" s="29"/>
      <c r="C163" s="29"/>
      <c r="D163" s="29"/>
      <c r="E163" s="29"/>
      <c r="F163" s="29"/>
      <c r="G163" s="29"/>
      <c r="H163" s="29"/>
      <c r="I163" s="29"/>
      <c r="J163" s="29"/>
      <c r="K163" s="29"/>
      <c r="L163" s="29"/>
      <c r="M163" s="29"/>
      <c r="N163" s="29"/>
      <c r="O163" s="29"/>
      <c r="P163" s="29"/>
      <c r="Q163" s="86"/>
      <c r="R163" s="86"/>
      <c r="S163" s="86"/>
    </row>
    <row r="164" spans="1:19">
      <c r="A164" s="29"/>
      <c r="B164" s="29"/>
      <c r="C164" s="29"/>
      <c r="D164" s="29"/>
      <c r="E164" s="29"/>
      <c r="F164" s="29"/>
      <c r="G164" s="29"/>
      <c r="H164" s="29"/>
      <c r="I164" s="29"/>
      <c r="J164" s="29"/>
      <c r="K164" s="29"/>
      <c r="L164" s="29"/>
      <c r="M164" s="29"/>
      <c r="N164" s="29"/>
      <c r="O164" s="29"/>
      <c r="P164" s="29"/>
      <c r="Q164" s="86"/>
      <c r="R164" s="86"/>
      <c r="S164" s="86"/>
    </row>
    <row r="165" spans="1:19">
      <c r="A165" s="29"/>
      <c r="B165" s="29"/>
      <c r="C165" s="29"/>
      <c r="D165" s="29"/>
      <c r="E165" s="29"/>
      <c r="F165" s="29"/>
      <c r="G165" s="29"/>
      <c r="H165" s="29"/>
      <c r="I165" s="29"/>
      <c r="J165" s="29"/>
      <c r="K165" s="29"/>
      <c r="L165" s="29"/>
      <c r="M165" s="29"/>
      <c r="N165" s="29"/>
      <c r="O165" s="29"/>
      <c r="P165" s="29"/>
      <c r="Q165" s="86"/>
      <c r="R165" s="86"/>
      <c r="S165" s="86"/>
    </row>
    <row r="166" spans="1:19">
      <c r="A166" s="29"/>
      <c r="B166" s="29"/>
      <c r="C166" s="29"/>
      <c r="D166" s="29"/>
      <c r="E166" s="29"/>
      <c r="F166" s="29"/>
      <c r="G166" s="29"/>
      <c r="H166" s="29"/>
      <c r="I166" s="29"/>
      <c r="J166" s="29"/>
      <c r="K166" s="29"/>
      <c r="L166" s="29"/>
      <c r="M166" s="29"/>
      <c r="N166" s="29"/>
      <c r="O166" s="29"/>
      <c r="P166" s="29"/>
      <c r="Q166" s="86"/>
      <c r="R166" s="86"/>
      <c r="S166" s="86"/>
    </row>
    <row r="167" spans="1:19">
      <c r="A167" s="29"/>
      <c r="B167" s="29"/>
      <c r="C167" s="29"/>
      <c r="D167" s="29"/>
      <c r="E167" s="29"/>
      <c r="F167" s="29"/>
      <c r="G167" s="29"/>
      <c r="H167" s="29"/>
      <c r="I167" s="29"/>
      <c r="J167" s="29"/>
      <c r="K167" s="29"/>
      <c r="L167" s="29"/>
      <c r="M167" s="29"/>
      <c r="N167" s="29"/>
      <c r="O167" s="29"/>
      <c r="P167" s="29"/>
      <c r="Q167" s="86"/>
      <c r="R167" s="86"/>
      <c r="S167" s="86"/>
    </row>
    <row r="168" spans="1:19">
      <c r="A168" s="29"/>
      <c r="B168" s="29"/>
      <c r="C168" s="29"/>
      <c r="D168" s="29"/>
      <c r="E168" s="29"/>
      <c r="F168" s="29"/>
      <c r="G168" s="29"/>
      <c r="H168" s="29"/>
      <c r="I168" s="29"/>
      <c r="J168" s="29"/>
      <c r="K168" s="29"/>
      <c r="L168" s="29"/>
      <c r="M168" s="29"/>
      <c r="N168" s="29"/>
      <c r="O168" s="29"/>
      <c r="P168" s="29"/>
      <c r="Q168" s="86"/>
      <c r="R168" s="86"/>
      <c r="S168" s="86"/>
    </row>
    <row r="169" spans="1:19">
      <c r="A169" s="29"/>
      <c r="B169" s="29"/>
      <c r="C169" s="29"/>
      <c r="D169" s="29"/>
      <c r="E169" s="29"/>
      <c r="F169" s="29"/>
      <c r="G169" s="29"/>
      <c r="H169" s="29"/>
      <c r="I169" s="29"/>
      <c r="J169" s="29"/>
      <c r="K169" s="29"/>
      <c r="L169" s="29"/>
      <c r="M169" s="29"/>
      <c r="N169" s="29"/>
      <c r="O169" s="29"/>
      <c r="P169" s="29"/>
      <c r="Q169" s="86"/>
      <c r="R169" s="86"/>
      <c r="S169" s="86"/>
    </row>
    <row r="170" spans="1:19">
      <c r="A170" s="29"/>
      <c r="B170" s="29"/>
      <c r="C170" s="29"/>
      <c r="D170" s="29"/>
      <c r="E170" s="29"/>
      <c r="F170" s="29"/>
      <c r="G170" s="29"/>
      <c r="H170" s="29"/>
      <c r="I170" s="29"/>
      <c r="J170" s="29"/>
      <c r="K170" s="29"/>
      <c r="L170" s="29"/>
      <c r="M170" s="29"/>
      <c r="N170" s="29"/>
      <c r="O170" s="29"/>
      <c r="P170" s="29"/>
      <c r="Q170" s="86"/>
      <c r="R170" s="86"/>
      <c r="S170" s="86"/>
    </row>
    <row r="171" spans="1:19">
      <c r="A171" s="29"/>
      <c r="B171" s="29"/>
      <c r="C171" s="29"/>
      <c r="D171" s="29"/>
      <c r="E171" s="29"/>
      <c r="F171" s="29"/>
      <c r="G171" s="29"/>
      <c r="H171" s="29"/>
      <c r="I171" s="29"/>
      <c r="J171" s="29"/>
      <c r="K171" s="29"/>
      <c r="L171" s="29"/>
      <c r="M171" s="29"/>
      <c r="N171" s="29"/>
      <c r="O171" s="29"/>
      <c r="P171" s="29"/>
      <c r="Q171" s="86"/>
      <c r="R171" s="86"/>
      <c r="S171" s="86"/>
    </row>
    <row r="172" spans="1:19">
      <c r="A172" s="29"/>
      <c r="B172" s="29"/>
      <c r="C172" s="29"/>
      <c r="D172" s="29"/>
      <c r="E172" s="29"/>
      <c r="F172" s="29"/>
      <c r="G172" s="29"/>
      <c r="H172" s="29"/>
      <c r="I172" s="29"/>
      <c r="J172" s="29"/>
      <c r="K172" s="29"/>
      <c r="L172" s="29"/>
      <c r="M172" s="29"/>
      <c r="N172" s="29"/>
      <c r="O172" s="29"/>
      <c r="P172" s="29"/>
      <c r="Q172" s="86"/>
      <c r="R172" s="86"/>
      <c r="S172" s="86"/>
    </row>
    <row r="173" spans="1:19">
      <c r="A173" s="29"/>
      <c r="B173" s="29"/>
      <c r="C173" s="29"/>
      <c r="D173" s="29"/>
      <c r="E173" s="29"/>
      <c r="F173" s="29"/>
      <c r="G173" s="29"/>
      <c r="H173" s="29"/>
      <c r="I173" s="29"/>
      <c r="J173" s="29"/>
      <c r="K173" s="29"/>
      <c r="L173" s="29"/>
      <c r="M173" s="29"/>
      <c r="N173" s="29"/>
      <c r="O173" s="29"/>
      <c r="P173" s="29"/>
      <c r="Q173" s="86"/>
      <c r="R173" s="86"/>
      <c r="S173" s="86"/>
    </row>
    <row r="174" spans="1:19">
      <c r="A174" s="29"/>
      <c r="B174" s="29"/>
      <c r="C174" s="29"/>
      <c r="D174" s="29"/>
      <c r="E174" s="29"/>
      <c r="F174" s="29"/>
      <c r="G174" s="29"/>
      <c r="H174" s="29"/>
      <c r="I174" s="29"/>
      <c r="J174" s="29"/>
      <c r="K174" s="29"/>
      <c r="L174" s="29"/>
      <c r="M174" s="29"/>
      <c r="N174" s="29"/>
      <c r="O174" s="29"/>
      <c r="P174" s="29"/>
      <c r="Q174" s="86"/>
      <c r="R174" s="86"/>
      <c r="S174" s="86"/>
    </row>
    <row r="175" spans="1:19">
      <c r="A175" s="29"/>
      <c r="B175" s="29"/>
      <c r="C175" s="29"/>
      <c r="D175" s="29"/>
      <c r="E175" s="29"/>
      <c r="F175" s="29"/>
      <c r="G175" s="29"/>
      <c r="H175" s="29"/>
      <c r="I175" s="29"/>
      <c r="J175" s="29"/>
      <c r="K175" s="29"/>
      <c r="L175" s="29"/>
      <c r="M175" s="29"/>
      <c r="N175" s="29"/>
      <c r="O175" s="29"/>
      <c r="P175" s="29"/>
      <c r="Q175" s="86"/>
      <c r="R175" s="86"/>
      <c r="S175" s="86"/>
    </row>
    <row r="176" spans="1:19">
      <c r="A176" s="29"/>
      <c r="B176" s="29"/>
      <c r="C176" s="29"/>
      <c r="D176" s="29"/>
      <c r="E176" s="29"/>
      <c r="F176" s="29"/>
      <c r="G176" s="29"/>
      <c r="H176" s="29"/>
      <c r="I176" s="29"/>
      <c r="J176" s="29"/>
      <c r="K176" s="29"/>
      <c r="L176" s="29"/>
      <c r="M176" s="29"/>
      <c r="N176" s="29"/>
      <c r="O176" s="29"/>
      <c r="P176" s="29"/>
      <c r="Q176" s="86"/>
      <c r="R176" s="86"/>
      <c r="S176" s="86"/>
    </row>
    <row r="177" spans="1:19">
      <c r="A177" s="29"/>
      <c r="B177" s="29"/>
      <c r="C177" s="29"/>
      <c r="D177" s="29"/>
      <c r="E177" s="29"/>
      <c r="F177" s="29"/>
      <c r="G177" s="29"/>
      <c r="H177" s="29"/>
      <c r="I177" s="29"/>
      <c r="J177" s="29"/>
      <c r="K177" s="29"/>
      <c r="L177" s="29"/>
      <c r="M177" s="29"/>
      <c r="N177" s="29"/>
      <c r="O177" s="29"/>
      <c r="P177" s="29"/>
      <c r="Q177" s="86"/>
      <c r="R177" s="86"/>
      <c r="S177" s="86"/>
    </row>
    <row r="178" spans="1:19">
      <c r="A178" s="29"/>
      <c r="B178" s="29"/>
      <c r="C178" s="29"/>
      <c r="D178" s="29"/>
      <c r="E178" s="29"/>
      <c r="F178" s="29"/>
      <c r="G178" s="29"/>
      <c r="H178" s="29"/>
      <c r="I178" s="29"/>
      <c r="J178" s="29"/>
      <c r="K178" s="29"/>
      <c r="L178" s="29"/>
      <c r="M178" s="29"/>
      <c r="N178" s="29"/>
      <c r="O178" s="29"/>
      <c r="P178" s="29"/>
      <c r="Q178" s="86"/>
      <c r="R178" s="86"/>
      <c r="S178" s="86"/>
    </row>
    <row r="179" spans="1:19">
      <c r="A179" s="29"/>
      <c r="B179" s="29"/>
      <c r="C179" s="29"/>
      <c r="D179" s="29"/>
      <c r="E179" s="29"/>
      <c r="F179" s="29"/>
      <c r="G179" s="29"/>
      <c r="H179" s="29"/>
      <c r="I179" s="29"/>
      <c r="J179" s="29"/>
      <c r="K179" s="29"/>
      <c r="L179" s="29"/>
      <c r="M179" s="29"/>
      <c r="N179" s="29"/>
      <c r="O179" s="29"/>
      <c r="P179" s="29"/>
      <c r="Q179" s="86"/>
      <c r="R179" s="86"/>
      <c r="S179" s="86"/>
    </row>
    <row r="180" spans="1:19">
      <c r="A180" s="29"/>
      <c r="B180" s="29"/>
      <c r="C180" s="29"/>
      <c r="D180" s="29"/>
      <c r="E180" s="29"/>
      <c r="F180" s="29"/>
      <c r="G180" s="29"/>
      <c r="H180" s="29"/>
      <c r="I180" s="29"/>
      <c r="J180" s="29"/>
      <c r="K180" s="29"/>
      <c r="L180" s="29"/>
      <c r="M180" s="29"/>
      <c r="N180" s="29"/>
      <c r="O180" s="29"/>
      <c r="P180" s="29"/>
      <c r="Q180" s="86"/>
      <c r="R180" s="86"/>
      <c r="S180" s="86"/>
    </row>
    <row r="181" spans="1:19">
      <c r="A181" s="29"/>
      <c r="B181" s="29"/>
      <c r="C181" s="29"/>
      <c r="D181" s="29"/>
      <c r="E181" s="29"/>
      <c r="F181" s="29"/>
      <c r="G181" s="29"/>
      <c r="H181" s="29"/>
      <c r="I181" s="29"/>
      <c r="J181" s="29"/>
      <c r="K181" s="29"/>
      <c r="L181" s="29"/>
      <c r="M181" s="29"/>
      <c r="N181" s="29"/>
      <c r="O181" s="29"/>
      <c r="P181" s="29"/>
      <c r="Q181" s="86"/>
      <c r="R181" s="86"/>
      <c r="S181" s="86"/>
    </row>
    <row r="182" spans="1:19">
      <c r="A182" s="29"/>
      <c r="B182" s="29"/>
      <c r="C182" s="29"/>
      <c r="D182" s="29"/>
      <c r="E182" s="29"/>
      <c r="F182" s="29"/>
      <c r="G182" s="29"/>
      <c r="H182" s="29"/>
      <c r="I182" s="29"/>
      <c r="J182" s="29"/>
      <c r="K182" s="29"/>
      <c r="L182" s="29"/>
      <c r="M182" s="29"/>
      <c r="N182" s="29"/>
      <c r="O182" s="29"/>
      <c r="P182" s="29"/>
      <c r="Q182" s="86"/>
      <c r="R182" s="86"/>
      <c r="S182" s="86"/>
    </row>
    <row r="183" spans="1:19">
      <c r="A183" s="29"/>
      <c r="B183" s="29"/>
      <c r="C183" s="29"/>
      <c r="D183" s="29"/>
      <c r="E183" s="29"/>
      <c r="F183" s="29"/>
      <c r="G183" s="29"/>
      <c r="H183" s="29"/>
      <c r="I183" s="29"/>
      <c r="J183" s="29"/>
      <c r="K183" s="29"/>
      <c r="L183" s="29"/>
      <c r="M183" s="29"/>
      <c r="N183" s="29"/>
      <c r="O183" s="29"/>
      <c r="P183" s="29"/>
      <c r="Q183" s="86"/>
      <c r="R183" s="86"/>
      <c r="S183" s="86"/>
    </row>
    <row r="184" spans="1:19">
      <c r="A184" s="29"/>
      <c r="B184" s="29"/>
      <c r="C184" s="29"/>
      <c r="D184" s="29"/>
      <c r="E184" s="29"/>
      <c r="F184" s="29"/>
      <c r="G184" s="29"/>
      <c r="H184" s="29"/>
      <c r="I184" s="29"/>
      <c r="J184" s="29"/>
      <c r="K184" s="29"/>
      <c r="L184" s="29"/>
      <c r="M184" s="29"/>
      <c r="N184" s="29"/>
      <c r="O184" s="29"/>
      <c r="P184" s="29"/>
      <c r="Q184" s="86"/>
      <c r="R184" s="86"/>
      <c r="S184" s="86"/>
    </row>
    <row r="185" spans="1:19">
      <c r="A185" s="29"/>
      <c r="B185" s="29"/>
      <c r="C185" s="29"/>
      <c r="D185" s="29"/>
      <c r="E185" s="29"/>
      <c r="F185" s="29"/>
      <c r="G185" s="29"/>
      <c r="H185" s="29"/>
      <c r="I185" s="29"/>
      <c r="J185" s="29"/>
      <c r="K185" s="29"/>
      <c r="L185" s="29"/>
      <c r="M185" s="29"/>
      <c r="N185" s="29"/>
      <c r="O185" s="29"/>
      <c r="P185" s="29"/>
      <c r="Q185" s="86"/>
      <c r="R185" s="86"/>
      <c r="S185" s="86"/>
    </row>
    <row r="186" spans="1:19">
      <c r="A186" s="29"/>
      <c r="B186" s="29"/>
      <c r="C186" s="29"/>
      <c r="D186" s="29"/>
      <c r="E186" s="29"/>
      <c r="F186" s="29"/>
      <c r="G186" s="29"/>
      <c r="H186" s="29"/>
      <c r="I186" s="29"/>
      <c r="J186" s="29"/>
      <c r="K186" s="29"/>
      <c r="L186" s="29"/>
      <c r="M186" s="29"/>
      <c r="N186" s="29"/>
      <c r="O186" s="29"/>
      <c r="P186" s="29"/>
      <c r="Q186" s="86"/>
      <c r="R186" s="86"/>
      <c r="S186" s="86"/>
    </row>
    <row r="187" spans="1:19">
      <c r="A187" s="29"/>
      <c r="B187" s="29"/>
      <c r="C187" s="29"/>
      <c r="D187" s="29"/>
      <c r="E187" s="29"/>
      <c r="F187" s="29"/>
      <c r="G187" s="29"/>
      <c r="H187" s="29"/>
      <c r="I187" s="29"/>
      <c r="J187" s="29"/>
      <c r="K187" s="29"/>
      <c r="L187" s="29"/>
      <c r="M187" s="29"/>
      <c r="N187" s="29"/>
      <c r="O187" s="29"/>
      <c r="P187" s="29"/>
      <c r="Q187" s="86"/>
      <c r="R187" s="86"/>
      <c r="S187" s="86"/>
    </row>
    <row r="188" spans="1:19">
      <c r="A188" s="29"/>
      <c r="B188" s="29"/>
      <c r="C188" s="29"/>
      <c r="D188" s="29"/>
      <c r="E188" s="29"/>
      <c r="F188" s="29"/>
      <c r="G188" s="29"/>
      <c r="H188" s="29"/>
      <c r="I188" s="29"/>
      <c r="J188" s="29"/>
      <c r="K188" s="29"/>
      <c r="L188" s="29"/>
      <c r="M188" s="29"/>
      <c r="N188" s="29"/>
      <c r="O188" s="29"/>
      <c r="P188" s="29"/>
      <c r="Q188" s="86"/>
      <c r="R188" s="86"/>
      <c r="S188" s="86"/>
    </row>
    <row r="189" spans="1:19">
      <c r="A189" s="29"/>
      <c r="B189" s="29"/>
      <c r="C189" s="29"/>
      <c r="D189" s="29"/>
      <c r="E189" s="29"/>
      <c r="F189" s="29"/>
      <c r="G189" s="29"/>
      <c r="H189" s="29"/>
      <c r="I189" s="29"/>
      <c r="J189" s="29"/>
      <c r="K189" s="29"/>
      <c r="L189" s="29"/>
      <c r="M189" s="29"/>
      <c r="N189" s="29"/>
      <c r="O189" s="29"/>
      <c r="P189" s="29"/>
      <c r="Q189" s="86"/>
      <c r="R189" s="86"/>
      <c r="S189" s="86"/>
    </row>
    <row r="190" spans="1:19">
      <c r="A190" s="29"/>
      <c r="B190" s="29"/>
      <c r="C190" s="29"/>
      <c r="D190" s="29"/>
      <c r="E190" s="29"/>
      <c r="F190" s="29"/>
      <c r="G190" s="29"/>
      <c r="H190" s="29"/>
      <c r="I190" s="29"/>
      <c r="J190" s="29"/>
      <c r="K190" s="29"/>
      <c r="L190" s="29"/>
      <c r="M190" s="29"/>
      <c r="N190" s="29"/>
      <c r="O190" s="29"/>
      <c r="P190" s="29"/>
      <c r="Q190" s="86"/>
      <c r="R190" s="86"/>
      <c r="S190" s="86"/>
    </row>
    <row r="191" spans="1:19">
      <c r="A191" s="29"/>
      <c r="B191" s="29"/>
      <c r="C191" s="29"/>
      <c r="D191" s="29"/>
      <c r="E191" s="29"/>
      <c r="F191" s="29"/>
      <c r="G191" s="29"/>
      <c r="H191" s="29"/>
      <c r="I191" s="29"/>
      <c r="J191" s="29"/>
      <c r="K191" s="29"/>
      <c r="L191" s="29"/>
      <c r="M191" s="29"/>
      <c r="N191" s="29"/>
      <c r="O191" s="29"/>
      <c r="P191" s="29"/>
      <c r="Q191" s="86"/>
      <c r="R191" s="86"/>
      <c r="S191" s="86"/>
    </row>
    <row r="192" spans="1:19">
      <c r="A192" s="29"/>
      <c r="B192" s="29"/>
      <c r="C192" s="29"/>
      <c r="D192" s="29"/>
      <c r="E192" s="29"/>
      <c r="F192" s="29"/>
      <c r="G192" s="29"/>
      <c r="H192" s="29"/>
      <c r="I192" s="29"/>
      <c r="J192" s="29"/>
      <c r="K192" s="29"/>
      <c r="L192" s="29"/>
      <c r="M192" s="29"/>
      <c r="N192" s="29"/>
      <c r="O192" s="29"/>
      <c r="P192" s="29"/>
      <c r="Q192" s="86"/>
      <c r="R192" s="86"/>
      <c r="S192" s="86"/>
    </row>
    <row r="193" spans="1:19">
      <c r="A193" s="29"/>
      <c r="B193" s="29"/>
      <c r="C193" s="29"/>
      <c r="D193" s="29"/>
      <c r="E193" s="29"/>
      <c r="F193" s="29"/>
      <c r="G193" s="29"/>
      <c r="H193" s="29"/>
      <c r="I193" s="29"/>
      <c r="J193" s="29"/>
      <c r="K193" s="29"/>
      <c r="L193" s="29"/>
      <c r="M193" s="29"/>
      <c r="N193" s="29"/>
      <c r="O193" s="29"/>
      <c r="P193" s="29"/>
      <c r="Q193" s="86"/>
      <c r="R193" s="86"/>
      <c r="S193" s="86"/>
    </row>
    <row r="194" spans="1:19">
      <c r="A194" s="29"/>
      <c r="B194" s="29"/>
      <c r="C194" s="29"/>
      <c r="D194" s="29"/>
      <c r="E194" s="29"/>
      <c r="F194" s="29"/>
      <c r="G194" s="29"/>
      <c r="H194" s="29"/>
      <c r="I194" s="29"/>
      <c r="J194" s="29"/>
      <c r="K194" s="29"/>
      <c r="L194" s="29"/>
      <c r="M194" s="29"/>
      <c r="N194" s="29"/>
      <c r="O194" s="29"/>
      <c r="P194" s="29"/>
      <c r="Q194" s="86"/>
      <c r="R194" s="86"/>
      <c r="S194" s="86"/>
    </row>
    <row r="195" spans="1:19">
      <c r="A195" s="29"/>
      <c r="B195" s="29"/>
      <c r="C195" s="29"/>
      <c r="D195" s="29"/>
      <c r="E195" s="29"/>
      <c r="F195" s="29"/>
      <c r="G195" s="29"/>
      <c r="H195" s="29"/>
      <c r="I195" s="29"/>
      <c r="J195" s="29"/>
      <c r="K195" s="29"/>
      <c r="L195" s="29"/>
      <c r="M195" s="29"/>
      <c r="N195" s="29"/>
      <c r="O195" s="29"/>
      <c r="P195" s="29"/>
      <c r="Q195" s="86"/>
      <c r="R195" s="86"/>
      <c r="S195" s="86"/>
    </row>
    <row r="196" spans="1:19">
      <c r="A196" s="29"/>
      <c r="B196" s="29"/>
      <c r="C196" s="29"/>
      <c r="D196" s="29"/>
      <c r="E196" s="29"/>
      <c r="F196" s="29"/>
      <c r="G196" s="29"/>
      <c r="H196" s="29"/>
      <c r="I196" s="29"/>
      <c r="J196" s="29"/>
      <c r="K196" s="29"/>
      <c r="L196" s="29"/>
      <c r="M196" s="29"/>
      <c r="N196" s="29"/>
      <c r="O196" s="29"/>
      <c r="P196" s="29"/>
      <c r="Q196" s="86"/>
      <c r="R196" s="86"/>
      <c r="S196" s="86"/>
    </row>
    <row r="197" spans="1:19">
      <c r="A197" s="29"/>
      <c r="B197" s="29"/>
      <c r="C197" s="29"/>
      <c r="D197" s="29"/>
      <c r="E197" s="29"/>
      <c r="F197" s="29"/>
      <c r="G197" s="29"/>
      <c r="H197" s="29"/>
      <c r="I197" s="29"/>
      <c r="J197" s="29"/>
      <c r="K197" s="29"/>
      <c r="L197" s="29"/>
      <c r="M197" s="29"/>
      <c r="N197" s="29"/>
      <c r="O197" s="29"/>
      <c r="P197" s="29"/>
      <c r="Q197" s="86"/>
      <c r="R197" s="86"/>
      <c r="S197" s="86"/>
    </row>
    <row r="198" spans="1:19">
      <c r="A198" s="29"/>
      <c r="B198" s="29"/>
      <c r="C198" s="29"/>
      <c r="D198" s="29"/>
      <c r="E198" s="29"/>
      <c r="F198" s="29"/>
      <c r="G198" s="29"/>
      <c r="H198" s="29"/>
      <c r="I198" s="29"/>
      <c r="J198" s="29"/>
      <c r="K198" s="29"/>
      <c r="L198" s="29"/>
      <c r="M198" s="29"/>
      <c r="N198" s="29"/>
      <c r="O198" s="29"/>
      <c r="P198" s="29"/>
      <c r="Q198" s="86"/>
      <c r="R198" s="86"/>
      <c r="S198" s="86"/>
    </row>
    <row r="199" spans="1:19">
      <c r="A199" s="29"/>
      <c r="B199" s="29"/>
      <c r="C199" s="29"/>
      <c r="D199" s="29"/>
      <c r="E199" s="29"/>
      <c r="F199" s="29"/>
      <c r="G199" s="29"/>
      <c r="H199" s="29"/>
      <c r="I199" s="29"/>
      <c r="J199" s="29"/>
      <c r="K199" s="29"/>
      <c r="L199" s="29"/>
      <c r="M199" s="29"/>
      <c r="N199" s="29"/>
      <c r="O199" s="29"/>
      <c r="P199" s="29"/>
      <c r="Q199" s="86"/>
      <c r="R199" s="86"/>
      <c r="S199" s="86"/>
    </row>
    <row r="200" spans="1:19">
      <c r="A200" s="29"/>
      <c r="B200" s="29"/>
      <c r="C200" s="29"/>
      <c r="D200" s="29"/>
      <c r="E200" s="29"/>
      <c r="F200" s="29"/>
      <c r="G200" s="29"/>
      <c r="H200" s="29"/>
      <c r="I200" s="29"/>
      <c r="J200" s="29"/>
      <c r="K200" s="29"/>
      <c r="L200" s="29"/>
      <c r="M200" s="29"/>
      <c r="N200" s="29"/>
      <c r="O200" s="29"/>
      <c r="P200" s="29"/>
      <c r="Q200" s="86"/>
      <c r="R200" s="86"/>
      <c r="S200" s="86"/>
    </row>
    <row r="201" spans="1:19">
      <c r="A201" s="29"/>
      <c r="B201" s="29"/>
      <c r="C201" s="29"/>
      <c r="D201" s="29"/>
      <c r="E201" s="29"/>
      <c r="F201" s="29"/>
      <c r="G201" s="29"/>
      <c r="H201" s="29"/>
      <c r="I201" s="29"/>
      <c r="J201" s="29"/>
      <c r="K201" s="29"/>
      <c r="L201" s="29"/>
      <c r="M201" s="29"/>
      <c r="N201" s="29"/>
      <c r="O201" s="29"/>
      <c r="P201" s="29"/>
      <c r="Q201" s="86"/>
      <c r="R201" s="86"/>
      <c r="S201" s="86"/>
    </row>
    <row r="202" spans="1:19">
      <c r="A202" s="29"/>
      <c r="B202" s="29"/>
      <c r="C202" s="29"/>
      <c r="D202" s="29"/>
      <c r="E202" s="29"/>
      <c r="F202" s="29"/>
      <c r="G202" s="29"/>
      <c r="H202" s="29"/>
      <c r="I202" s="29"/>
      <c r="J202" s="29"/>
      <c r="K202" s="29"/>
      <c r="L202" s="29"/>
      <c r="M202" s="29"/>
      <c r="N202" s="29"/>
      <c r="O202" s="29"/>
      <c r="P202" s="29"/>
      <c r="Q202" s="86"/>
      <c r="R202" s="86"/>
      <c r="S202" s="86"/>
    </row>
    <row r="203" spans="1:19">
      <c r="A203" s="29"/>
      <c r="B203" s="29"/>
      <c r="C203" s="29"/>
      <c r="D203" s="29"/>
      <c r="E203" s="29"/>
      <c r="F203" s="29"/>
      <c r="G203" s="29"/>
      <c r="H203" s="29"/>
      <c r="I203" s="29"/>
      <c r="J203" s="29"/>
      <c r="K203" s="29"/>
      <c r="L203" s="29"/>
      <c r="M203" s="29"/>
      <c r="N203" s="29"/>
      <c r="O203" s="29"/>
      <c r="P203" s="29"/>
      <c r="Q203" s="86"/>
      <c r="R203" s="86"/>
      <c r="S203" s="86"/>
    </row>
    <row r="204" spans="1:19">
      <c r="A204" s="29"/>
      <c r="B204" s="29"/>
      <c r="C204" s="29"/>
      <c r="D204" s="29"/>
      <c r="E204" s="29"/>
      <c r="F204" s="29"/>
      <c r="G204" s="29"/>
      <c r="H204" s="29"/>
      <c r="I204" s="29"/>
      <c r="J204" s="29"/>
      <c r="K204" s="29"/>
      <c r="L204" s="29"/>
      <c r="M204" s="29"/>
      <c r="N204" s="29"/>
      <c r="O204" s="29"/>
      <c r="P204" s="29"/>
      <c r="Q204" s="86"/>
      <c r="R204" s="86"/>
      <c r="S204" s="86"/>
    </row>
    <row r="205" spans="1:19">
      <c r="A205" s="29"/>
      <c r="B205" s="29"/>
      <c r="C205" s="29"/>
      <c r="D205" s="29"/>
      <c r="E205" s="29"/>
      <c r="F205" s="29"/>
      <c r="G205" s="29"/>
      <c r="H205" s="29"/>
      <c r="I205" s="29"/>
      <c r="J205" s="29"/>
      <c r="K205" s="29"/>
      <c r="L205" s="29"/>
      <c r="M205" s="29"/>
      <c r="N205" s="29"/>
      <c r="O205" s="29"/>
      <c r="P205" s="29"/>
      <c r="Q205" s="86"/>
      <c r="R205" s="86"/>
      <c r="S205" s="86"/>
    </row>
    <row r="206" spans="1:19">
      <c r="A206" s="29"/>
      <c r="B206" s="29"/>
      <c r="C206" s="29"/>
      <c r="D206" s="29"/>
      <c r="E206" s="29"/>
      <c r="F206" s="29"/>
      <c r="G206" s="29"/>
      <c r="H206" s="29"/>
      <c r="I206" s="29"/>
      <c r="J206" s="29"/>
      <c r="K206" s="29"/>
      <c r="L206" s="29"/>
      <c r="M206" s="29"/>
      <c r="N206" s="29"/>
      <c r="O206" s="29"/>
      <c r="P206" s="29"/>
      <c r="Q206" s="86"/>
      <c r="R206" s="86"/>
      <c r="S206" s="86"/>
    </row>
    <row r="207" spans="1:19">
      <c r="A207" s="29"/>
      <c r="B207" s="29"/>
      <c r="C207" s="29"/>
      <c r="D207" s="29"/>
      <c r="E207" s="29"/>
      <c r="F207" s="29"/>
      <c r="G207" s="29"/>
      <c r="H207" s="29"/>
      <c r="I207" s="29"/>
      <c r="J207" s="29"/>
      <c r="K207" s="29"/>
      <c r="L207" s="29"/>
      <c r="M207" s="29"/>
      <c r="N207" s="29"/>
      <c r="O207" s="29"/>
      <c r="P207" s="29"/>
      <c r="Q207" s="86"/>
      <c r="R207" s="86"/>
      <c r="S207" s="86"/>
    </row>
    <row r="208" spans="1:19">
      <c r="A208" s="29"/>
      <c r="B208" s="29"/>
      <c r="C208" s="29"/>
      <c r="D208" s="29"/>
      <c r="E208" s="29"/>
      <c r="F208" s="29"/>
      <c r="G208" s="29"/>
      <c r="H208" s="29"/>
      <c r="I208" s="29"/>
      <c r="J208" s="29"/>
      <c r="K208" s="29"/>
      <c r="L208" s="29"/>
      <c r="M208" s="29"/>
      <c r="N208" s="29"/>
      <c r="O208" s="29"/>
      <c r="P208" s="29"/>
      <c r="Q208" s="86"/>
      <c r="R208" s="86"/>
      <c r="S208" s="86"/>
    </row>
    <row r="209" spans="1:19">
      <c r="A209" s="29"/>
      <c r="B209" s="29"/>
      <c r="C209" s="29"/>
      <c r="D209" s="29"/>
      <c r="E209" s="29"/>
      <c r="F209" s="29"/>
      <c r="G209" s="29"/>
      <c r="H209" s="29"/>
      <c r="I209" s="29"/>
      <c r="J209" s="29"/>
      <c r="K209" s="29"/>
      <c r="L209" s="29"/>
      <c r="M209" s="29"/>
      <c r="N209" s="29"/>
      <c r="O209" s="29"/>
      <c r="P209" s="29"/>
      <c r="Q209" s="86"/>
      <c r="R209" s="86"/>
      <c r="S209" s="86"/>
    </row>
    <row r="210" spans="1:19">
      <c r="A210" s="29"/>
      <c r="B210" s="29"/>
      <c r="C210" s="29"/>
      <c r="D210" s="29"/>
      <c r="E210" s="29"/>
      <c r="F210" s="29"/>
      <c r="G210" s="29"/>
      <c r="H210" s="29"/>
      <c r="I210" s="29"/>
      <c r="J210" s="29"/>
      <c r="K210" s="29"/>
      <c r="L210" s="29"/>
      <c r="M210" s="29"/>
      <c r="N210" s="29"/>
      <c r="O210" s="29"/>
      <c r="P210" s="29"/>
      <c r="Q210" s="86"/>
      <c r="R210" s="86"/>
      <c r="S210" s="86"/>
    </row>
    <row r="211" spans="1:19">
      <c r="A211" s="29"/>
      <c r="B211" s="29"/>
      <c r="C211" s="29"/>
      <c r="D211" s="29"/>
      <c r="E211" s="29"/>
      <c r="F211" s="29"/>
      <c r="G211" s="29"/>
      <c r="H211" s="29"/>
      <c r="I211" s="29"/>
      <c r="J211" s="29"/>
      <c r="K211" s="29"/>
      <c r="L211" s="29"/>
      <c r="M211" s="29"/>
      <c r="N211" s="29"/>
      <c r="O211" s="29"/>
      <c r="P211" s="29"/>
      <c r="Q211" s="86"/>
      <c r="R211" s="86"/>
      <c r="S211" s="86"/>
    </row>
    <row r="212" spans="1:19">
      <c r="A212" s="29"/>
      <c r="B212" s="29"/>
      <c r="C212" s="29"/>
      <c r="D212" s="29"/>
      <c r="E212" s="29"/>
      <c r="F212" s="29"/>
      <c r="G212" s="29"/>
      <c r="H212" s="29"/>
      <c r="I212" s="29"/>
      <c r="J212" s="29"/>
      <c r="K212" s="29"/>
      <c r="L212" s="29"/>
      <c r="M212" s="29"/>
      <c r="N212" s="29"/>
      <c r="O212" s="29"/>
      <c r="P212" s="29"/>
      <c r="Q212" s="86"/>
      <c r="R212" s="86"/>
      <c r="S212" s="86"/>
    </row>
    <row r="213" spans="1:19">
      <c r="A213" s="29"/>
      <c r="B213" s="29"/>
      <c r="C213" s="29"/>
      <c r="D213" s="29"/>
      <c r="E213" s="29"/>
      <c r="F213" s="29"/>
      <c r="G213" s="29"/>
      <c r="H213" s="29"/>
      <c r="I213" s="29"/>
      <c r="J213" s="29"/>
      <c r="K213" s="29"/>
      <c r="L213" s="29"/>
      <c r="M213" s="29"/>
      <c r="N213" s="29"/>
      <c r="O213" s="29"/>
      <c r="P213" s="29"/>
      <c r="Q213" s="86"/>
      <c r="R213" s="86"/>
      <c r="S213" s="86"/>
    </row>
    <row r="214" spans="1:19">
      <c r="A214" s="29"/>
      <c r="B214" s="29"/>
      <c r="C214" s="29"/>
      <c r="D214" s="29"/>
      <c r="E214" s="29"/>
      <c r="F214" s="29"/>
      <c r="G214" s="29"/>
      <c r="H214" s="29"/>
      <c r="I214" s="29"/>
      <c r="J214" s="29"/>
      <c r="K214" s="29"/>
      <c r="L214" s="29"/>
      <c r="M214" s="29"/>
      <c r="N214" s="29"/>
      <c r="O214" s="29"/>
      <c r="P214" s="29"/>
      <c r="Q214" s="86"/>
      <c r="R214" s="86"/>
      <c r="S214" s="86"/>
    </row>
    <row r="215" spans="1:19">
      <c r="A215" s="29"/>
      <c r="B215" s="29"/>
      <c r="C215" s="29"/>
      <c r="D215" s="29"/>
      <c r="E215" s="29"/>
      <c r="F215" s="29"/>
      <c r="G215" s="29"/>
      <c r="H215" s="29"/>
      <c r="I215" s="29"/>
      <c r="J215" s="29"/>
      <c r="K215" s="29"/>
      <c r="L215" s="29"/>
      <c r="M215" s="29"/>
      <c r="N215" s="29"/>
      <c r="O215" s="29"/>
      <c r="P215" s="29"/>
      <c r="Q215" s="86"/>
      <c r="R215" s="86"/>
      <c r="S215" s="86"/>
    </row>
    <row r="216" spans="1:19">
      <c r="A216" s="29"/>
      <c r="B216" s="29"/>
      <c r="C216" s="29"/>
      <c r="D216" s="29"/>
      <c r="E216" s="29"/>
      <c r="F216" s="29"/>
      <c r="G216" s="29"/>
      <c r="H216" s="29"/>
      <c r="I216" s="29"/>
      <c r="J216" s="29"/>
      <c r="K216" s="29"/>
      <c r="L216" s="29"/>
      <c r="M216" s="29"/>
      <c r="N216" s="29"/>
      <c r="O216" s="29"/>
      <c r="P216" s="29"/>
      <c r="Q216" s="86"/>
      <c r="R216" s="86"/>
      <c r="S216" s="86"/>
    </row>
    <row r="217" spans="1:19">
      <c r="A217" s="29"/>
      <c r="B217" s="29"/>
      <c r="C217" s="29"/>
      <c r="D217" s="29"/>
      <c r="E217" s="29"/>
      <c r="F217" s="29"/>
      <c r="G217" s="29"/>
      <c r="H217" s="29"/>
      <c r="I217" s="29"/>
      <c r="J217" s="29"/>
      <c r="K217" s="29"/>
      <c r="L217" s="29"/>
      <c r="M217" s="29"/>
      <c r="N217" s="29"/>
      <c r="O217" s="29"/>
      <c r="P217" s="29"/>
      <c r="Q217" s="86"/>
      <c r="R217" s="86"/>
      <c r="S217" s="86"/>
    </row>
    <row r="218" spans="1:19">
      <c r="A218" s="29"/>
      <c r="B218" s="29"/>
      <c r="C218" s="29"/>
      <c r="D218" s="29"/>
      <c r="E218" s="29"/>
      <c r="F218" s="29"/>
      <c r="G218" s="29"/>
      <c r="H218" s="29"/>
      <c r="I218" s="29"/>
      <c r="J218" s="29"/>
      <c r="K218" s="29"/>
      <c r="L218" s="29"/>
      <c r="M218" s="29"/>
      <c r="N218" s="29"/>
      <c r="O218" s="29"/>
      <c r="P218" s="29"/>
      <c r="Q218" s="86"/>
      <c r="R218" s="86"/>
      <c r="S218" s="86"/>
    </row>
    <row r="219" spans="1:19">
      <c r="A219" s="29"/>
      <c r="B219" s="29"/>
      <c r="C219" s="29"/>
      <c r="D219" s="29"/>
      <c r="E219" s="29"/>
      <c r="F219" s="29"/>
      <c r="G219" s="29"/>
      <c r="H219" s="29"/>
      <c r="I219" s="29"/>
      <c r="J219" s="29"/>
      <c r="K219" s="29"/>
      <c r="L219" s="29"/>
      <c r="M219" s="29"/>
      <c r="N219" s="29"/>
      <c r="O219" s="29"/>
      <c r="P219" s="29"/>
      <c r="Q219" s="86"/>
      <c r="R219" s="86"/>
      <c r="S219" s="86"/>
    </row>
    <row r="220" spans="1:19">
      <c r="A220" s="29"/>
      <c r="B220" s="29"/>
      <c r="C220" s="29"/>
      <c r="D220" s="29"/>
      <c r="E220" s="29"/>
      <c r="F220" s="29"/>
      <c r="G220" s="29"/>
      <c r="H220" s="29"/>
      <c r="I220" s="29"/>
      <c r="J220" s="29"/>
      <c r="K220" s="29"/>
      <c r="L220" s="29"/>
      <c r="M220" s="29"/>
      <c r="N220" s="29"/>
      <c r="O220" s="29"/>
      <c r="P220" s="29"/>
      <c r="Q220" s="86"/>
      <c r="R220" s="86"/>
      <c r="S220" s="86"/>
    </row>
    <row r="221" spans="1:19">
      <c r="A221" s="29"/>
      <c r="B221" s="29"/>
      <c r="C221" s="29"/>
      <c r="D221" s="29"/>
      <c r="E221" s="29"/>
      <c r="F221" s="29"/>
      <c r="G221" s="29"/>
      <c r="H221" s="29"/>
      <c r="I221" s="29"/>
      <c r="J221" s="29"/>
      <c r="K221" s="29"/>
      <c r="L221" s="29"/>
      <c r="M221" s="29"/>
      <c r="N221" s="29"/>
      <c r="O221" s="29"/>
      <c r="P221" s="29"/>
      <c r="Q221" s="86"/>
      <c r="R221" s="86"/>
      <c r="S221" s="86"/>
    </row>
    <row r="222" spans="1:19">
      <c r="A222" s="29"/>
      <c r="B222" s="29"/>
      <c r="C222" s="29"/>
      <c r="D222" s="29"/>
      <c r="E222" s="29"/>
      <c r="F222" s="29"/>
      <c r="G222" s="29"/>
      <c r="H222" s="29"/>
      <c r="I222" s="29"/>
      <c r="J222" s="29"/>
      <c r="K222" s="29"/>
      <c r="L222" s="29"/>
      <c r="M222" s="29"/>
      <c r="N222" s="29"/>
      <c r="O222" s="29"/>
      <c r="P222" s="29"/>
      <c r="Q222" s="86"/>
      <c r="R222" s="86"/>
      <c r="S222" s="86"/>
    </row>
    <row r="223" spans="1:19">
      <c r="A223" s="29"/>
      <c r="B223" s="29"/>
      <c r="C223" s="29"/>
      <c r="D223" s="29"/>
      <c r="E223" s="29"/>
      <c r="F223" s="29"/>
      <c r="G223" s="29"/>
      <c r="H223" s="29"/>
      <c r="I223" s="29"/>
      <c r="J223" s="29"/>
      <c r="K223" s="29"/>
      <c r="L223" s="29"/>
      <c r="M223" s="29"/>
      <c r="N223" s="29"/>
      <c r="O223" s="29"/>
      <c r="P223" s="29"/>
      <c r="Q223" s="86"/>
      <c r="R223" s="86"/>
      <c r="S223" s="86"/>
    </row>
    <row r="224" spans="1:19">
      <c r="A224" s="29"/>
      <c r="B224" s="29"/>
      <c r="C224" s="29"/>
      <c r="D224" s="29"/>
      <c r="E224" s="29"/>
      <c r="F224" s="29"/>
      <c r="G224" s="29"/>
      <c r="H224" s="29"/>
      <c r="I224" s="29"/>
      <c r="J224" s="29"/>
      <c r="K224" s="29"/>
      <c r="L224" s="29"/>
      <c r="M224" s="29"/>
      <c r="N224" s="29"/>
      <c r="O224" s="29"/>
      <c r="P224" s="29"/>
      <c r="Q224" s="86"/>
      <c r="R224" s="86"/>
      <c r="S224" s="86"/>
    </row>
    <row r="225" spans="1:19">
      <c r="A225" s="29"/>
      <c r="B225" s="29"/>
      <c r="C225" s="29"/>
      <c r="D225" s="29"/>
      <c r="E225" s="29"/>
      <c r="F225" s="29"/>
      <c r="G225" s="29"/>
      <c r="H225" s="29"/>
      <c r="I225" s="29"/>
      <c r="J225" s="29"/>
      <c r="K225" s="29"/>
      <c r="L225" s="29"/>
      <c r="M225" s="29"/>
      <c r="N225" s="29"/>
      <c r="O225" s="29"/>
      <c r="P225" s="29"/>
      <c r="Q225" s="86"/>
      <c r="R225" s="86"/>
      <c r="S225" s="86"/>
    </row>
    <row r="226" spans="1:19">
      <c r="A226" s="29"/>
      <c r="B226" s="29"/>
      <c r="C226" s="29"/>
      <c r="D226" s="29"/>
      <c r="E226" s="29"/>
      <c r="F226" s="29"/>
      <c r="G226" s="29"/>
      <c r="H226" s="29"/>
      <c r="I226" s="29"/>
      <c r="J226" s="29"/>
      <c r="K226" s="29"/>
      <c r="L226" s="29"/>
      <c r="M226" s="29"/>
      <c r="N226" s="29"/>
      <c r="O226" s="29"/>
      <c r="P226" s="29"/>
      <c r="Q226" s="86"/>
      <c r="R226" s="86"/>
      <c r="S226" s="86"/>
    </row>
    <row r="227" spans="1:19">
      <c r="A227" s="29"/>
      <c r="B227" s="29"/>
      <c r="C227" s="29"/>
      <c r="D227" s="29"/>
      <c r="E227" s="29"/>
      <c r="F227" s="29"/>
      <c r="G227" s="29"/>
      <c r="H227" s="29"/>
      <c r="I227" s="29"/>
      <c r="J227" s="29"/>
      <c r="K227" s="29"/>
      <c r="L227" s="29"/>
      <c r="M227" s="29"/>
      <c r="N227" s="29"/>
      <c r="O227" s="29"/>
      <c r="P227" s="29"/>
      <c r="Q227" s="86"/>
      <c r="R227" s="86"/>
      <c r="S227" s="86"/>
    </row>
    <row r="228" spans="1:19">
      <c r="A228" s="29"/>
      <c r="B228" s="29"/>
      <c r="C228" s="29"/>
      <c r="D228" s="29"/>
      <c r="E228" s="29"/>
      <c r="F228" s="29"/>
      <c r="G228" s="29"/>
      <c r="H228" s="29"/>
      <c r="I228" s="29"/>
      <c r="J228" s="29"/>
      <c r="K228" s="29"/>
      <c r="L228" s="29"/>
      <c r="M228" s="29"/>
      <c r="N228" s="29"/>
      <c r="O228" s="29"/>
      <c r="P228" s="29"/>
      <c r="Q228" s="86"/>
      <c r="R228" s="86"/>
      <c r="S228" s="86"/>
    </row>
    <row r="229" spans="1:19">
      <c r="A229" s="29"/>
      <c r="B229" s="29"/>
      <c r="C229" s="29"/>
      <c r="D229" s="29"/>
      <c r="E229" s="29"/>
      <c r="F229" s="29"/>
      <c r="G229" s="29"/>
      <c r="H229" s="29"/>
      <c r="I229" s="29"/>
      <c r="J229" s="29"/>
      <c r="K229" s="29"/>
      <c r="L229" s="29"/>
      <c r="M229" s="29"/>
      <c r="N229" s="29"/>
      <c r="O229" s="29"/>
      <c r="P229" s="29"/>
      <c r="Q229" s="86"/>
      <c r="R229" s="86"/>
      <c r="S229" s="86"/>
    </row>
    <row r="230" spans="1:19">
      <c r="A230" s="29"/>
      <c r="B230" s="29"/>
      <c r="C230" s="29"/>
      <c r="D230" s="29"/>
      <c r="E230" s="29"/>
      <c r="F230" s="29"/>
      <c r="G230" s="29"/>
      <c r="H230" s="29"/>
      <c r="I230" s="29"/>
      <c r="J230" s="29"/>
      <c r="K230" s="29"/>
      <c r="L230" s="29"/>
      <c r="M230" s="29"/>
      <c r="N230" s="29"/>
      <c r="O230" s="29"/>
      <c r="P230" s="29"/>
      <c r="Q230" s="86"/>
      <c r="R230" s="86"/>
      <c r="S230" s="86"/>
    </row>
    <row r="231" spans="1:19">
      <c r="A231" s="29"/>
      <c r="B231" s="29"/>
      <c r="C231" s="29"/>
      <c r="D231" s="29"/>
      <c r="E231" s="29"/>
      <c r="F231" s="29"/>
      <c r="G231" s="29"/>
      <c r="H231" s="29"/>
      <c r="I231" s="29"/>
      <c r="J231" s="29"/>
      <c r="K231" s="29"/>
      <c r="L231" s="29"/>
      <c r="M231" s="29"/>
      <c r="N231" s="29"/>
      <c r="O231" s="29"/>
      <c r="P231" s="29"/>
      <c r="Q231" s="86"/>
      <c r="R231" s="86"/>
      <c r="S231" s="86"/>
    </row>
    <row r="232" spans="1:19">
      <c r="A232" s="29"/>
      <c r="B232" s="29"/>
      <c r="C232" s="29"/>
      <c r="D232" s="29"/>
      <c r="E232" s="29"/>
      <c r="F232" s="29"/>
      <c r="G232" s="29"/>
      <c r="H232" s="29"/>
      <c r="I232" s="29"/>
      <c r="J232" s="29"/>
      <c r="K232" s="29"/>
      <c r="L232" s="29"/>
      <c r="M232" s="29"/>
      <c r="N232" s="29"/>
      <c r="O232" s="29"/>
      <c r="P232" s="29"/>
      <c r="Q232" s="86"/>
      <c r="R232" s="86"/>
      <c r="S232" s="86"/>
    </row>
    <row r="233" spans="1:19">
      <c r="A233" s="29"/>
      <c r="B233" s="29"/>
      <c r="C233" s="29"/>
      <c r="D233" s="29"/>
      <c r="E233" s="29"/>
      <c r="F233" s="29"/>
      <c r="G233" s="29"/>
      <c r="H233" s="29"/>
      <c r="I233" s="29"/>
      <c r="J233" s="29"/>
      <c r="K233" s="29"/>
      <c r="L233" s="29"/>
      <c r="M233" s="29"/>
      <c r="N233" s="29"/>
      <c r="O233" s="29"/>
      <c r="P233" s="29"/>
      <c r="Q233" s="86"/>
      <c r="R233" s="86"/>
      <c r="S233" s="86"/>
    </row>
    <row r="234" spans="1:19">
      <c r="A234" s="29"/>
      <c r="B234" s="29"/>
      <c r="C234" s="29"/>
      <c r="D234" s="29"/>
      <c r="E234" s="29"/>
      <c r="F234" s="29"/>
      <c r="G234" s="29"/>
      <c r="H234" s="29"/>
      <c r="I234" s="29"/>
      <c r="J234" s="29"/>
      <c r="K234" s="29"/>
      <c r="L234" s="29"/>
      <c r="M234" s="29"/>
      <c r="N234" s="29"/>
      <c r="O234" s="29"/>
      <c r="P234" s="29"/>
      <c r="Q234" s="86"/>
      <c r="R234" s="86"/>
      <c r="S234" s="86"/>
    </row>
    <row r="235" spans="1:19">
      <c r="A235" s="29"/>
      <c r="B235" s="29"/>
      <c r="C235" s="29"/>
      <c r="D235" s="29"/>
      <c r="E235" s="29"/>
      <c r="F235" s="29"/>
      <c r="G235" s="29"/>
      <c r="H235" s="29"/>
      <c r="I235" s="29"/>
      <c r="J235" s="29"/>
      <c r="K235" s="29"/>
      <c r="L235" s="29"/>
      <c r="M235" s="29"/>
      <c r="N235" s="29"/>
      <c r="O235" s="29"/>
      <c r="P235" s="29"/>
      <c r="Q235" s="86"/>
      <c r="R235" s="86"/>
      <c r="S235" s="86"/>
    </row>
    <row r="236" spans="1:19">
      <c r="A236" s="29"/>
      <c r="B236" s="29"/>
      <c r="C236" s="29"/>
      <c r="D236" s="29"/>
      <c r="E236" s="29"/>
      <c r="F236" s="29"/>
      <c r="G236" s="29"/>
      <c r="H236" s="29"/>
      <c r="I236" s="29"/>
      <c r="J236" s="29"/>
      <c r="K236" s="29"/>
      <c r="L236" s="29"/>
      <c r="M236" s="29"/>
      <c r="N236" s="29"/>
      <c r="O236" s="29"/>
      <c r="P236" s="29"/>
      <c r="Q236" s="86"/>
      <c r="R236" s="86"/>
      <c r="S236" s="86"/>
    </row>
    <row r="237" spans="1:19">
      <c r="A237" s="29"/>
      <c r="B237" s="29"/>
      <c r="C237" s="29"/>
      <c r="D237" s="29"/>
      <c r="E237" s="29"/>
      <c r="F237" s="29"/>
      <c r="G237" s="29"/>
      <c r="H237" s="29"/>
      <c r="I237" s="29"/>
      <c r="J237" s="29"/>
      <c r="K237" s="29"/>
      <c r="L237" s="29"/>
      <c r="M237" s="29"/>
      <c r="N237" s="29"/>
      <c r="O237" s="29"/>
      <c r="P237" s="29"/>
      <c r="Q237" s="86"/>
      <c r="R237" s="86"/>
      <c r="S237" s="86"/>
    </row>
    <row r="238" spans="1:19">
      <c r="A238" s="29"/>
      <c r="B238" s="29"/>
      <c r="C238" s="29"/>
      <c r="D238" s="29"/>
      <c r="E238" s="29"/>
      <c r="F238" s="29"/>
      <c r="G238" s="29"/>
      <c r="H238" s="29"/>
      <c r="I238" s="29"/>
      <c r="J238" s="29"/>
      <c r="K238" s="29"/>
      <c r="L238" s="29"/>
      <c r="M238" s="29"/>
      <c r="N238" s="29"/>
      <c r="O238" s="29"/>
      <c r="P238" s="29"/>
      <c r="Q238" s="86"/>
      <c r="R238" s="86"/>
      <c r="S238" s="86"/>
    </row>
    <row r="239" spans="1:19">
      <c r="A239" s="29"/>
      <c r="B239" s="29"/>
      <c r="C239" s="29"/>
      <c r="D239" s="29"/>
      <c r="E239" s="29"/>
      <c r="F239" s="29"/>
      <c r="G239" s="29"/>
      <c r="H239" s="29"/>
      <c r="I239" s="29"/>
      <c r="J239" s="29"/>
      <c r="K239" s="29"/>
      <c r="L239" s="29"/>
      <c r="M239" s="29"/>
      <c r="N239" s="29"/>
      <c r="O239" s="29"/>
      <c r="P239" s="29"/>
      <c r="Q239" s="86"/>
      <c r="R239" s="86"/>
      <c r="S239" s="86"/>
    </row>
    <row r="240" spans="1:19">
      <c r="A240" s="29"/>
      <c r="B240" s="29"/>
      <c r="C240" s="29"/>
      <c r="D240" s="29"/>
      <c r="E240" s="29"/>
      <c r="F240" s="29"/>
      <c r="G240" s="29"/>
      <c r="H240" s="29"/>
      <c r="I240" s="29"/>
      <c r="J240" s="29"/>
      <c r="K240" s="29"/>
      <c r="L240" s="29"/>
      <c r="M240" s="29"/>
      <c r="N240" s="29"/>
      <c r="O240" s="29"/>
      <c r="P240" s="29"/>
      <c r="Q240" s="86"/>
      <c r="R240" s="86"/>
      <c r="S240" s="86"/>
    </row>
    <row r="241" spans="1:19">
      <c r="A241" s="29"/>
      <c r="B241" s="29"/>
      <c r="C241" s="29"/>
      <c r="D241" s="29"/>
      <c r="E241" s="29"/>
      <c r="F241" s="29"/>
      <c r="G241" s="29"/>
      <c r="H241" s="29"/>
      <c r="I241" s="29"/>
      <c r="J241" s="29"/>
      <c r="K241" s="29"/>
      <c r="L241" s="29"/>
      <c r="M241" s="29"/>
      <c r="N241" s="29"/>
      <c r="O241" s="29"/>
      <c r="P241" s="29"/>
      <c r="Q241" s="86"/>
      <c r="R241" s="86"/>
      <c r="S241" s="86"/>
    </row>
    <row r="242" spans="1:19">
      <c r="A242" s="29"/>
      <c r="B242" s="29"/>
      <c r="C242" s="29"/>
      <c r="D242" s="29"/>
      <c r="E242" s="29"/>
      <c r="F242" s="29"/>
      <c r="G242" s="29"/>
      <c r="H242" s="29"/>
      <c r="I242" s="29"/>
      <c r="J242" s="29"/>
      <c r="K242" s="29"/>
      <c r="L242" s="29"/>
      <c r="M242" s="29"/>
      <c r="N242" s="29"/>
      <c r="O242" s="29"/>
      <c r="P242" s="29"/>
      <c r="Q242" s="86"/>
      <c r="R242" s="86"/>
      <c r="S242" s="86"/>
    </row>
    <row r="243" spans="1:19">
      <c r="A243" s="29"/>
      <c r="B243" s="29"/>
      <c r="C243" s="29"/>
      <c r="D243" s="29"/>
      <c r="E243" s="29"/>
      <c r="F243" s="29"/>
      <c r="G243" s="29"/>
      <c r="H243" s="29"/>
      <c r="I243" s="29"/>
      <c r="J243" s="29"/>
      <c r="K243" s="29"/>
      <c r="L243" s="29"/>
      <c r="M243" s="29"/>
      <c r="N243" s="29"/>
      <c r="O243" s="29"/>
      <c r="P243" s="29"/>
      <c r="Q243" s="86"/>
      <c r="R243" s="86"/>
      <c r="S243" s="86"/>
    </row>
    <row r="244" spans="1:19">
      <c r="A244" s="29"/>
      <c r="B244" s="29"/>
      <c r="C244" s="29"/>
      <c r="D244" s="29"/>
      <c r="E244" s="29"/>
      <c r="F244" s="29"/>
      <c r="G244" s="29"/>
      <c r="H244" s="29"/>
      <c r="I244" s="29"/>
      <c r="J244" s="29"/>
      <c r="K244" s="29"/>
      <c r="L244" s="29"/>
      <c r="M244" s="29"/>
      <c r="N244" s="29"/>
      <c r="O244" s="29"/>
      <c r="P244" s="29"/>
      <c r="Q244" s="86"/>
      <c r="R244" s="86"/>
      <c r="S244" s="86"/>
    </row>
    <row r="245" spans="1:19">
      <c r="A245" s="29"/>
      <c r="B245" s="29"/>
      <c r="C245" s="29"/>
      <c r="D245" s="29"/>
      <c r="E245" s="29"/>
      <c r="F245" s="29"/>
      <c r="G245" s="29"/>
      <c r="H245" s="29"/>
      <c r="I245" s="29"/>
      <c r="J245" s="29"/>
      <c r="K245" s="29"/>
      <c r="L245" s="29"/>
      <c r="M245" s="29"/>
      <c r="N245" s="29"/>
      <c r="O245" s="29"/>
      <c r="P245" s="29"/>
      <c r="Q245" s="86"/>
      <c r="R245" s="86"/>
      <c r="S245" s="86"/>
    </row>
    <row r="246" spans="1:19">
      <c r="A246" s="29"/>
      <c r="B246" s="29"/>
      <c r="C246" s="29"/>
      <c r="D246" s="29"/>
      <c r="E246" s="29"/>
      <c r="F246" s="29"/>
      <c r="G246" s="29"/>
      <c r="H246" s="29"/>
      <c r="I246" s="29"/>
      <c r="J246" s="29"/>
      <c r="K246" s="29"/>
      <c r="L246" s="29"/>
      <c r="M246" s="29"/>
      <c r="N246" s="29"/>
      <c r="O246" s="29"/>
      <c r="P246" s="29"/>
      <c r="Q246" s="86"/>
      <c r="R246" s="86"/>
      <c r="S246" s="86"/>
    </row>
    <row r="247" spans="1:19">
      <c r="A247" s="29"/>
      <c r="B247" s="29"/>
      <c r="C247" s="29"/>
      <c r="D247" s="29"/>
      <c r="E247" s="29"/>
      <c r="F247" s="29"/>
      <c r="G247" s="29"/>
      <c r="H247" s="29"/>
      <c r="I247" s="29"/>
      <c r="J247" s="29"/>
      <c r="K247" s="29"/>
      <c r="L247" s="29"/>
      <c r="M247" s="29"/>
      <c r="N247" s="29"/>
      <c r="O247" s="29"/>
      <c r="P247" s="29"/>
      <c r="Q247" s="86"/>
      <c r="R247" s="86"/>
      <c r="S247" s="86"/>
    </row>
    <row r="248" spans="1:19">
      <c r="A248" s="29"/>
      <c r="B248" s="29"/>
      <c r="C248" s="29"/>
      <c r="D248" s="29"/>
      <c r="E248" s="29"/>
      <c r="F248" s="29"/>
      <c r="G248" s="29"/>
      <c r="H248" s="29"/>
      <c r="I248" s="29"/>
      <c r="J248" s="29"/>
      <c r="K248" s="29"/>
      <c r="L248" s="29"/>
      <c r="M248" s="29"/>
      <c r="N248" s="29"/>
      <c r="O248" s="29"/>
      <c r="P248" s="29"/>
      <c r="Q248" s="86"/>
      <c r="R248" s="86"/>
      <c r="S248" s="86"/>
    </row>
    <row r="249" spans="1:19">
      <c r="A249" s="29"/>
      <c r="B249" s="29"/>
      <c r="C249" s="29"/>
      <c r="D249" s="29"/>
      <c r="E249" s="29"/>
      <c r="F249" s="29"/>
      <c r="G249" s="29"/>
      <c r="H249" s="29"/>
      <c r="I249" s="29"/>
      <c r="J249" s="29"/>
      <c r="K249" s="29"/>
      <c r="L249" s="29"/>
      <c r="M249" s="29"/>
      <c r="N249" s="29"/>
      <c r="O249" s="29"/>
      <c r="P249" s="29"/>
      <c r="Q249" s="86"/>
      <c r="R249" s="86"/>
      <c r="S249" s="86"/>
    </row>
    <row r="250" spans="1:19">
      <c r="A250" s="29"/>
      <c r="B250" s="29"/>
      <c r="C250" s="29"/>
      <c r="D250" s="29"/>
      <c r="E250" s="29"/>
      <c r="F250" s="29"/>
      <c r="G250" s="29"/>
      <c r="H250" s="29"/>
      <c r="I250" s="29"/>
      <c r="J250" s="29"/>
      <c r="K250" s="29"/>
      <c r="L250" s="29"/>
      <c r="M250" s="29"/>
      <c r="N250" s="29"/>
      <c r="O250" s="29"/>
      <c r="P250" s="29"/>
      <c r="Q250" s="86"/>
      <c r="R250" s="86"/>
      <c r="S250" s="86"/>
    </row>
    <row r="251" spans="1:19">
      <c r="A251" s="29"/>
      <c r="B251" s="29"/>
      <c r="C251" s="29"/>
      <c r="D251" s="29"/>
      <c r="E251" s="29"/>
      <c r="F251" s="29"/>
      <c r="G251" s="29"/>
      <c r="H251" s="29"/>
      <c r="I251" s="29"/>
      <c r="J251" s="29"/>
      <c r="K251" s="29"/>
      <c r="L251" s="29"/>
      <c r="M251" s="29"/>
      <c r="N251" s="29"/>
      <c r="O251" s="29"/>
      <c r="P251" s="29"/>
      <c r="Q251" s="86"/>
      <c r="R251" s="86"/>
      <c r="S251" s="86"/>
    </row>
    <row r="252" spans="1:19">
      <c r="A252" s="29"/>
      <c r="B252" s="29"/>
      <c r="C252" s="29"/>
      <c r="D252" s="29"/>
      <c r="E252" s="29"/>
      <c r="F252" s="29"/>
      <c r="G252" s="29"/>
      <c r="H252" s="29"/>
      <c r="I252" s="29"/>
      <c r="J252" s="29"/>
      <c r="K252" s="29"/>
      <c r="L252" s="29"/>
      <c r="M252" s="29"/>
      <c r="N252" s="29"/>
      <c r="O252" s="29"/>
      <c r="P252" s="29"/>
      <c r="Q252" s="86"/>
      <c r="R252" s="86"/>
      <c r="S252" s="86"/>
    </row>
    <row r="253" spans="1:19">
      <c r="A253" s="29"/>
      <c r="B253" s="29"/>
      <c r="C253" s="29"/>
      <c r="D253" s="29"/>
      <c r="E253" s="29"/>
      <c r="F253" s="29"/>
      <c r="G253" s="29"/>
      <c r="H253" s="29"/>
      <c r="I253" s="29"/>
      <c r="J253" s="29"/>
      <c r="K253" s="29"/>
      <c r="L253" s="29"/>
      <c r="M253" s="29"/>
      <c r="N253" s="29"/>
      <c r="O253" s="29"/>
      <c r="P253" s="29"/>
      <c r="Q253" s="86"/>
      <c r="R253" s="86"/>
      <c r="S253" s="86"/>
    </row>
    <row r="254" spans="1:19">
      <c r="A254" s="29"/>
      <c r="B254" s="29"/>
      <c r="C254" s="29"/>
      <c r="D254" s="29"/>
      <c r="E254" s="29"/>
      <c r="F254" s="29"/>
      <c r="G254" s="29"/>
      <c r="H254" s="29"/>
      <c r="I254" s="29"/>
      <c r="J254" s="29"/>
      <c r="K254" s="29"/>
      <c r="L254" s="29"/>
      <c r="M254" s="29"/>
      <c r="N254" s="29"/>
      <c r="O254" s="29"/>
      <c r="P254" s="29"/>
      <c r="Q254" s="86"/>
      <c r="R254" s="86"/>
      <c r="S254" s="86"/>
    </row>
    <row r="255" spans="1:19">
      <c r="A255" s="29"/>
      <c r="B255" s="29"/>
      <c r="C255" s="29"/>
      <c r="D255" s="29"/>
      <c r="E255" s="29"/>
      <c r="F255" s="29"/>
      <c r="G255" s="29"/>
      <c r="H255" s="29"/>
      <c r="I255" s="29"/>
      <c r="J255" s="29"/>
      <c r="K255" s="29"/>
      <c r="L255" s="29"/>
      <c r="M255" s="29"/>
      <c r="N255" s="29"/>
      <c r="O255" s="29"/>
      <c r="P255" s="29"/>
      <c r="Q255" s="86"/>
      <c r="R255" s="86"/>
      <c r="S255" s="86"/>
    </row>
    <row r="256" spans="1:19">
      <c r="A256" s="29"/>
      <c r="B256" s="29"/>
      <c r="C256" s="29"/>
      <c r="D256" s="29"/>
      <c r="E256" s="29"/>
      <c r="F256" s="29"/>
      <c r="G256" s="29"/>
      <c r="H256" s="29"/>
      <c r="I256" s="29"/>
      <c r="J256" s="29"/>
      <c r="K256" s="29"/>
      <c r="L256" s="29"/>
      <c r="M256" s="29"/>
      <c r="N256" s="29"/>
      <c r="O256" s="29"/>
      <c r="P256" s="29"/>
      <c r="Q256" s="86"/>
      <c r="R256" s="86"/>
      <c r="S256" s="86"/>
    </row>
    <row r="257" spans="1:19">
      <c r="A257" s="29"/>
      <c r="B257" s="29"/>
      <c r="C257" s="29"/>
      <c r="D257" s="29"/>
      <c r="E257" s="29"/>
      <c r="F257" s="29"/>
      <c r="G257" s="29"/>
      <c r="H257" s="29"/>
      <c r="I257" s="29"/>
      <c r="J257" s="29"/>
      <c r="K257" s="29"/>
      <c r="L257" s="29"/>
      <c r="M257" s="29"/>
      <c r="N257" s="29"/>
      <c r="O257" s="29"/>
      <c r="P257" s="29"/>
      <c r="Q257" s="86"/>
      <c r="R257" s="86"/>
      <c r="S257" s="86"/>
    </row>
    <row r="258" spans="1:19">
      <c r="A258" s="29"/>
      <c r="B258" s="29"/>
      <c r="C258" s="29"/>
      <c r="D258" s="29"/>
      <c r="E258" s="29"/>
      <c r="F258" s="29"/>
      <c r="G258" s="29"/>
      <c r="H258" s="29"/>
      <c r="I258" s="29"/>
      <c r="J258" s="29"/>
      <c r="K258" s="29"/>
      <c r="L258" s="29"/>
      <c r="M258" s="29"/>
      <c r="N258" s="29"/>
      <c r="O258" s="29"/>
      <c r="P258" s="29"/>
      <c r="Q258" s="86"/>
      <c r="R258" s="86"/>
      <c r="S258" s="86"/>
    </row>
    <row r="259" spans="1:19">
      <c r="A259" s="29"/>
      <c r="B259" s="29"/>
      <c r="C259" s="29"/>
      <c r="D259" s="29"/>
      <c r="E259" s="29"/>
      <c r="F259" s="29"/>
      <c r="G259" s="29"/>
      <c r="H259" s="29"/>
      <c r="I259" s="29"/>
      <c r="J259" s="29"/>
      <c r="K259" s="29"/>
      <c r="L259" s="29"/>
      <c r="M259" s="29"/>
      <c r="N259" s="29"/>
      <c r="O259" s="29"/>
      <c r="P259" s="29"/>
      <c r="Q259" s="86"/>
      <c r="R259" s="86"/>
      <c r="S259" s="86"/>
    </row>
    <row r="260" spans="1:19">
      <c r="A260" s="29"/>
      <c r="B260" s="29"/>
      <c r="C260" s="29"/>
      <c r="D260" s="29"/>
      <c r="E260" s="29"/>
      <c r="F260" s="29"/>
      <c r="G260" s="29"/>
      <c r="H260" s="29"/>
      <c r="I260" s="29"/>
      <c r="J260" s="29"/>
      <c r="K260" s="29"/>
      <c r="L260" s="29"/>
      <c r="M260" s="29"/>
      <c r="N260" s="29"/>
      <c r="O260" s="29"/>
      <c r="P260" s="29"/>
      <c r="Q260" s="86"/>
      <c r="R260" s="86"/>
      <c r="S260" s="86"/>
    </row>
    <row r="261" spans="1:19">
      <c r="A261" s="29"/>
      <c r="B261" s="29"/>
      <c r="C261" s="29"/>
      <c r="D261" s="29"/>
      <c r="E261" s="29"/>
      <c r="F261" s="29"/>
      <c r="G261" s="29"/>
      <c r="H261" s="29"/>
      <c r="I261" s="29"/>
      <c r="J261" s="29"/>
      <c r="K261" s="29"/>
      <c r="L261" s="29"/>
      <c r="M261" s="29"/>
      <c r="N261" s="29"/>
      <c r="O261" s="29"/>
      <c r="P261" s="29"/>
      <c r="Q261" s="86"/>
      <c r="R261" s="86"/>
      <c r="S261" s="86"/>
    </row>
    <row r="262" spans="1:19">
      <c r="A262" s="29"/>
      <c r="B262" s="29"/>
      <c r="C262" s="29"/>
      <c r="D262" s="29"/>
      <c r="E262" s="29"/>
      <c r="F262" s="29"/>
      <c r="G262" s="29"/>
      <c r="H262" s="29"/>
      <c r="I262" s="29"/>
      <c r="J262" s="29"/>
      <c r="K262" s="29"/>
      <c r="L262" s="29"/>
      <c r="M262" s="29"/>
      <c r="N262" s="29"/>
      <c r="O262" s="29"/>
      <c r="P262" s="29"/>
      <c r="Q262" s="86"/>
      <c r="R262" s="86"/>
      <c r="S262" s="86"/>
    </row>
    <row r="263" spans="1:19">
      <c r="A263" s="29"/>
      <c r="B263" s="29"/>
      <c r="C263" s="29"/>
      <c r="D263" s="29"/>
      <c r="E263" s="29"/>
      <c r="F263" s="29"/>
      <c r="G263" s="29"/>
      <c r="H263" s="29"/>
      <c r="I263" s="29"/>
      <c r="J263" s="29"/>
      <c r="K263" s="29"/>
      <c r="L263" s="29"/>
      <c r="M263" s="29"/>
      <c r="N263" s="29"/>
      <c r="O263" s="29"/>
      <c r="P263" s="29"/>
      <c r="Q263" s="86"/>
      <c r="R263" s="86"/>
      <c r="S263" s="86"/>
    </row>
    <row r="264" spans="1:19">
      <c r="A264" s="29"/>
      <c r="B264" s="29"/>
      <c r="C264" s="29"/>
      <c r="D264" s="29"/>
      <c r="E264" s="29"/>
      <c r="F264" s="29"/>
      <c r="G264" s="29"/>
      <c r="H264" s="29"/>
      <c r="I264" s="29"/>
      <c r="J264" s="29"/>
      <c r="K264" s="29"/>
      <c r="L264" s="29"/>
      <c r="M264" s="29"/>
      <c r="N264" s="29"/>
      <c r="O264" s="29"/>
      <c r="P264" s="29"/>
      <c r="Q264" s="86"/>
      <c r="R264" s="86"/>
      <c r="S264" s="86"/>
    </row>
    <row r="265" spans="1:19">
      <c r="A265" s="29"/>
      <c r="B265" s="29"/>
      <c r="C265" s="29"/>
      <c r="D265" s="29"/>
      <c r="E265" s="29"/>
      <c r="F265" s="29"/>
      <c r="G265" s="29"/>
      <c r="H265" s="29"/>
      <c r="I265" s="29"/>
      <c r="J265" s="29"/>
      <c r="K265" s="29"/>
      <c r="L265" s="29"/>
      <c r="M265" s="29"/>
      <c r="N265" s="29"/>
      <c r="O265" s="29"/>
      <c r="P265" s="29"/>
      <c r="Q265" s="86"/>
      <c r="R265" s="86"/>
      <c r="S265" s="86"/>
    </row>
    <row r="266" spans="1:19">
      <c r="A266" s="29"/>
      <c r="B266" s="29"/>
      <c r="C266" s="29"/>
      <c r="D266" s="29"/>
      <c r="E266" s="29"/>
      <c r="F266" s="29"/>
      <c r="G266" s="29"/>
      <c r="H266" s="29"/>
      <c r="I266" s="29"/>
      <c r="J266" s="29"/>
      <c r="K266" s="29"/>
      <c r="L266" s="29"/>
      <c r="M266" s="29"/>
      <c r="N266" s="29"/>
      <c r="O266" s="29"/>
      <c r="P266" s="29"/>
      <c r="Q266" s="86"/>
      <c r="R266" s="86"/>
      <c r="S266" s="86"/>
    </row>
    <row r="267" spans="1:19">
      <c r="A267" s="29"/>
      <c r="B267" s="29"/>
      <c r="C267" s="29"/>
      <c r="D267" s="29"/>
      <c r="E267" s="29"/>
      <c r="F267" s="29"/>
      <c r="G267" s="29"/>
      <c r="H267" s="29"/>
      <c r="I267" s="29"/>
      <c r="J267" s="29"/>
      <c r="K267" s="29"/>
      <c r="L267" s="29"/>
      <c r="M267" s="29"/>
      <c r="N267" s="29"/>
      <c r="O267" s="29"/>
      <c r="P267" s="29"/>
      <c r="Q267" s="86"/>
      <c r="R267" s="86"/>
      <c r="S267" s="86"/>
    </row>
    <row r="268" spans="1:19">
      <c r="A268" s="29"/>
      <c r="B268" s="29"/>
      <c r="C268" s="29"/>
      <c r="D268" s="29"/>
      <c r="E268" s="29"/>
      <c r="F268" s="29"/>
      <c r="G268" s="29"/>
      <c r="H268" s="29"/>
      <c r="I268" s="29"/>
      <c r="J268" s="29"/>
      <c r="K268" s="29"/>
      <c r="L268" s="29"/>
      <c r="M268" s="29"/>
      <c r="N268" s="29"/>
      <c r="O268" s="29"/>
      <c r="P268" s="29"/>
      <c r="Q268" s="86"/>
      <c r="R268" s="86"/>
      <c r="S268" s="86"/>
    </row>
    <row r="269" spans="1:19">
      <c r="A269" s="29"/>
      <c r="B269" s="29"/>
      <c r="C269" s="29"/>
      <c r="D269" s="29"/>
      <c r="E269" s="29"/>
      <c r="F269" s="29"/>
      <c r="G269" s="29"/>
      <c r="H269" s="29"/>
      <c r="I269" s="29"/>
      <c r="J269" s="29"/>
      <c r="K269" s="29"/>
      <c r="L269" s="29"/>
      <c r="M269" s="29"/>
      <c r="N269" s="29"/>
      <c r="O269" s="29"/>
      <c r="P269" s="29"/>
      <c r="Q269" s="86"/>
      <c r="R269" s="86"/>
      <c r="S269" s="86"/>
    </row>
    <row r="270" spans="1:19">
      <c r="A270" s="29"/>
      <c r="B270" s="29"/>
      <c r="C270" s="29"/>
      <c r="D270" s="29"/>
      <c r="E270" s="29"/>
      <c r="F270" s="29"/>
      <c r="G270" s="29"/>
      <c r="H270" s="29"/>
      <c r="I270" s="29"/>
      <c r="J270" s="29"/>
      <c r="K270" s="29"/>
      <c r="L270" s="29"/>
      <c r="M270" s="29"/>
      <c r="N270" s="29"/>
      <c r="O270" s="29"/>
      <c r="P270" s="29"/>
      <c r="Q270" s="86"/>
      <c r="R270" s="86"/>
      <c r="S270" s="86"/>
    </row>
    <row r="271" spans="1:19">
      <c r="A271" s="29"/>
      <c r="B271" s="29"/>
      <c r="C271" s="29"/>
      <c r="D271" s="29"/>
      <c r="E271" s="29"/>
      <c r="F271" s="29"/>
      <c r="G271" s="29"/>
      <c r="H271" s="29"/>
      <c r="I271" s="29"/>
      <c r="J271" s="29"/>
      <c r="K271" s="29"/>
      <c r="L271" s="29"/>
      <c r="M271" s="29"/>
      <c r="N271" s="29"/>
      <c r="O271" s="29"/>
      <c r="P271" s="29"/>
      <c r="Q271" s="86"/>
      <c r="R271" s="86"/>
      <c r="S271" s="86"/>
    </row>
    <row r="272" spans="1:19">
      <c r="A272" s="29"/>
      <c r="B272" s="29"/>
      <c r="C272" s="29"/>
      <c r="D272" s="29"/>
      <c r="E272" s="29"/>
      <c r="F272" s="29"/>
      <c r="G272" s="29"/>
      <c r="H272" s="29"/>
      <c r="I272" s="29"/>
      <c r="J272" s="29"/>
      <c r="K272" s="29"/>
      <c r="L272" s="29"/>
      <c r="M272" s="29"/>
      <c r="N272" s="29"/>
      <c r="O272" s="29"/>
      <c r="P272" s="29"/>
      <c r="Q272" s="86"/>
      <c r="R272" s="86"/>
      <c r="S272" s="86"/>
    </row>
    <row r="273" spans="1:19">
      <c r="A273" s="29"/>
      <c r="B273" s="29"/>
      <c r="C273" s="29"/>
      <c r="D273" s="29"/>
      <c r="E273" s="29"/>
      <c r="F273" s="29"/>
      <c r="G273" s="29"/>
      <c r="H273" s="29"/>
      <c r="I273" s="29"/>
      <c r="J273" s="29"/>
      <c r="K273" s="29"/>
      <c r="L273" s="29"/>
      <c r="M273" s="29"/>
      <c r="N273" s="29"/>
      <c r="O273" s="29"/>
      <c r="P273" s="29"/>
      <c r="Q273" s="86"/>
      <c r="R273" s="86"/>
      <c r="S273" s="86"/>
    </row>
    <row r="274" spans="1:19">
      <c r="A274" s="29"/>
      <c r="B274" s="29"/>
      <c r="C274" s="29"/>
      <c r="D274" s="29"/>
      <c r="E274" s="29"/>
      <c r="F274" s="29"/>
      <c r="G274" s="29"/>
      <c r="H274" s="29"/>
      <c r="I274" s="29"/>
      <c r="J274" s="29"/>
      <c r="K274" s="29"/>
      <c r="L274" s="29"/>
      <c r="M274" s="29"/>
      <c r="N274" s="29"/>
      <c r="O274" s="29"/>
      <c r="P274" s="29"/>
      <c r="Q274" s="86"/>
      <c r="R274" s="86"/>
      <c r="S274" s="86"/>
    </row>
    <row r="275" spans="1:19">
      <c r="A275" s="29"/>
      <c r="B275" s="29"/>
      <c r="C275" s="29"/>
      <c r="D275" s="29"/>
      <c r="E275" s="29"/>
      <c r="F275" s="29"/>
      <c r="G275" s="29"/>
      <c r="H275" s="29"/>
      <c r="I275" s="29"/>
      <c r="J275" s="29"/>
      <c r="K275" s="29"/>
      <c r="L275" s="29"/>
      <c r="M275" s="29"/>
      <c r="N275" s="29"/>
      <c r="O275" s="29"/>
      <c r="P275" s="29"/>
      <c r="Q275" s="86"/>
      <c r="R275" s="86"/>
      <c r="S275" s="86"/>
    </row>
    <row r="276" spans="1:19">
      <c r="A276" s="29"/>
      <c r="B276" s="29"/>
      <c r="C276" s="29"/>
      <c r="D276" s="29"/>
      <c r="E276" s="29"/>
      <c r="F276" s="29"/>
      <c r="G276" s="29"/>
      <c r="H276" s="29"/>
      <c r="I276" s="29"/>
      <c r="J276" s="29"/>
      <c r="K276" s="29"/>
      <c r="L276" s="29"/>
      <c r="M276" s="29"/>
      <c r="N276" s="29"/>
      <c r="O276" s="29"/>
      <c r="P276" s="29"/>
      <c r="Q276" s="86"/>
      <c r="R276" s="86"/>
      <c r="S276" s="86"/>
    </row>
    <row r="277" spans="1:19">
      <c r="A277" s="29"/>
      <c r="B277" s="29"/>
      <c r="C277" s="29"/>
      <c r="D277" s="29"/>
      <c r="E277" s="29"/>
      <c r="F277" s="29"/>
      <c r="G277" s="29"/>
      <c r="H277" s="29"/>
      <c r="I277" s="29"/>
      <c r="J277" s="29"/>
      <c r="K277" s="29"/>
      <c r="L277" s="29"/>
      <c r="M277" s="29"/>
      <c r="N277" s="29"/>
      <c r="O277" s="29"/>
      <c r="P277" s="29"/>
      <c r="Q277" s="86"/>
      <c r="R277" s="86"/>
      <c r="S277" s="86"/>
    </row>
    <row r="278" spans="1:19">
      <c r="A278" s="29"/>
      <c r="B278" s="29"/>
      <c r="C278" s="29"/>
      <c r="D278" s="29"/>
      <c r="E278" s="29"/>
      <c r="F278" s="29"/>
      <c r="G278" s="29"/>
      <c r="H278" s="29"/>
      <c r="I278" s="29"/>
      <c r="J278" s="29"/>
      <c r="K278" s="29"/>
      <c r="L278" s="29"/>
      <c r="M278" s="29"/>
      <c r="N278" s="29"/>
      <c r="O278" s="29"/>
      <c r="P278" s="29"/>
      <c r="Q278" s="86"/>
      <c r="R278" s="86"/>
      <c r="S278" s="86"/>
    </row>
    <row r="279" spans="1:19">
      <c r="A279" s="29"/>
      <c r="B279" s="29"/>
      <c r="C279" s="29"/>
      <c r="D279" s="29"/>
      <c r="E279" s="29"/>
      <c r="F279" s="29"/>
      <c r="G279" s="29"/>
      <c r="H279" s="29"/>
      <c r="I279" s="29"/>
      <c r="J279" s="29"/>
      <c r="K279" s="29"/>
      <c r="L279" s="29"/>
      <c r="M279" s="29"/>
      <c r="N279" s="29"/>
      <c r="O279" s="29"/>
      <c r="P279" s="29"/>
      <c r="Q279" s="86"/>
      <c r="R279" s="86"/>
      <c r="S279" s="86"/>
    </row>
    <row r="280" spans="1:19">
      <c r="A280" s="29"/>
      <c r="B280" s="29"/>
      <c r="C280" s="29"/>
      <c r="D280" s="29"/>
      <c r="E280" s="29"/>
      <c r="F280" s="29"/>
      <c r="G280" s="29"/>
      <c r="H280" s="29"/>
      <c r="I280" s="29"/>
      <c r="J280" s="29"/>
      <c r="K280" s="29"/>
      <c r="L280" s="29"/>
      <c r="M280" s="29"/>
      <c r="N280" s="29"/>
      <c r="O280" s="29"/>
      <c r="P280" s="29"/>
      <c r="Q280" s="86"/>
      <c r="R280" s="86"/>
      <c r="S280" s="86"/>
    </row>
    <row r="281" spans="1:19">
      <c r="A281" s="29"/>
      <c r="B281" s="29"/>
      <c r="C281" s="29"/>
      <c r="D281" s="29"/>
      <c r="E281" s="29"/>
      <c r="F281" s="29"/>
      <c r="G281" s="29"/>
      <c r="H281" s="29"/>
      <c r="I281" s="29"/>
      <c r="J281" s="29"/>
      <c r="K281" s="29"/>
      <c r="L281" s="29"/>
      <c r="M281" s="29"/>
      <c r="N281" s="29"/>
      <c r="O281" s="29"/>
      <c r="P281" s="29"/>
      <c r="Q281" s="86"/>
      <c r="R281" s="86"/>
      <c r="S281" s="86"/>
    </row>
    <row r="282" spans="1:19">
      <c r="A282" s="29"/>
      <c r="B282" s="29"/>
      <c r="C282" s="29"/>
      <c r="D282" s="29"/>
      <c r="E282" s="29"/>
      <c r="F282" s="29"/>
      <c r="G282" s="29"/>
      <c r="H282" s="29"/>
      <c r="I282" s="29"/>
      <c r="J282" s="29"/>
      <c r="K282" s="29"/>
      <c r="L282" s="29"/>
      <c r="M282" s="29"/>
      <c r="N282" s="29"/>
      <c r="O282" s="29"/>
      <c r="P282" s="29"/>
      <c r="Q282" s="86"/>
      <c r="R282" s="86"/>
      <c r="S282" s="86"/>
    </row>
    <row r="283" spans="1:19">
      <c r="A283" s="29"/>
      <c r="B283" s="29"/>
      <c r="C283" s="29"/>
      <c r="D283" s="29"/>
      <c r="E283" s="29"/>
      <c r="F283" s="29"/>
      <c r="G283" s="29"/>
      <c r="H283" s="29"/>
      <c r="I283" s="29"/>
      <c r="J283" s="29"/>
      <c r="K283" s="29"/>
      <c r="L283" s="29"/>
      <c r="M283" s="29"/>
      <c r="N283" s="29"/>
      <c r="O283" s="29"/>
      <c r="P283" s="29"/>
      <c r="Q283" s="86"/>
      <c r="R283" s="86"/>
      <c r="S283" s="86"/>
    </row>
    <row r="284" spans="1:19">
      <c r="A284" s="29"/>
      <c r="B284" s="29"/>
      <c r="C284" s="29"/>
      <c r="D284" s="29"/>
      <c r="E284" s="29"/>
      <c r="F284" s="29"/>
      <c r="G284" s="29"/>
      <c r="H284" s="29"/>
      <c r="I284" s="29"/>
      <c r="J284" s="29"/>
      <c r="K284" s="29"/>
      <c r="L284" s="29"/>
      <c r="M284" s="29"/>
      <c r="N284" s="29"/>
      <c r="O284" s="29"/>
      <c r="P284" s="29"/>
      <c r="Q284" s="86"/>
      <c r="R284" s="86"/>
      <c r="S284" s="86"/>
    </row>
    <row r="285" spans="1:19">
      <c r="A285" s="29"/>
      <c r="B285" s="29"/>
      <c r="C285" s="29"/>
      <c r="D285" s="29"/>
      <c r="E285" s="29"/>
      <c r="F285" s="29"/>
      <c r="G285" s="29"/>
      <c r="H285" s="29"/>
      <c r="I285" s="29"/>
      <c r="J285" s="29"/>
      <c r="K285" s="29"/>
      <c r="L285" s="29"/>
      <c r="M285" s="29"/>
      <c r="N285" s="29"/>
      <c r="O285" s="29"/>
      <c r="P285" s="29"/>
      <c r="Q285" s="86"/>
      <c r="R285" s="86"/>
      <c r="S285" s="86"/>
    </row>
    <row r="286" spans="1:19">
      <c r="A286" s="29"/>
      <c r="B286" s="29"/>
      <c r="C286" s="29"/>
      <c r="D286" s="29"/>
      <c r="E286" s="29"/>
      <c r="F286" s="29"/>
      <c r="G286" s="29"/>
      <c r="H286" s="29"/>
      <c r="I286" s="29"/>
      <c r="J286" s="29"/>
      <c r="K286" s="29"/>
      <c r="L286" s="29"/>
      <c r="M286" s="29"/>
      <c r="N286" s="29"/>
      <c r="O286" s="29"/>
      <c r="P286" s="29"/>
      <c r="Q286" s="86"/>
      <c r="R286" s="86"/>
      <c r="S286" s="86"/>
    </row>
    <row r="287" spans="1:19">
      <c r="A287" s="29"/>
      <c r="B287" s="29"/>
      <c r="C287" s="29"/>
      <c r="D287" s="29"/>
      <c r="E287" s="29"/>
      <c r="F287" s="29"/>
      <c r="G287" s="29"/>
      <c r="H287" s="29"/>
      <c r="I287" s="29"/>
      <c r="J287" s="29"/>
      <c r="K287" s="29"/>
      <c r="L287" s="29"/>
      <c r="M287" s="29"/>
      <c r="N287" s="29"/>
      <c r="O287" s="29"/>
      <c r="P287" s="29"/>
      <c r="Q287" s="86"/>
      <c r="R287" s="86"/>
      <c r="S287" s="86"/>
    </row>
    <row r="288" spans="1:19">
      <c r="A288" s="29"/>
      <c r="B288" s="29"/>
      <c r="C288" s="29"/>
      <c r="D288" s="29"/>
      <c r="E288" s="29"/>
      <c r="F288" s="29"/>
      <c r="G288" s="29"/>
      <c r="H288" s="29"/>
      <c r="I288" s="29"/>
      <c r="J288" s="29"/>
      <c r="K288" s="29"/>
      <c r="L288" s="29"/>
      <c r="M288" s="29"/>
      <c r="N288" s="29"/>
      <c r="O288" s="29"/>
      <c r="P288" s="29"/>
      <c r="Q288" s="86"/>
      <c r="R288" s="86"/>
      <c r="S288" s="86"/>
    </row>
    <row r="289" spans="1:19">
      <c r="A289" s="29"/>
      <c r="B289" s="29"/>
      <c r="C289" s="29"/>
      <c r="D289" s="29"/>
      <c r="E289" s="29"/>
      <c r="F289" s="29"/>
      <c r="G289" s="29"/>
      <c r="H289" s="29"/>
      <c r="I289" s="29"/>
      <c r="J289" s="29"/>
      <c r="K289" s="29"/>
      <c r="L289" s="29"/>
      <c r="M289" s="29"/>
      <c r="N289" s="29"/>
      <c r="O289" s="29"/>
      <c r="P289" s="29"/>
      <c r="Q289" s="86"/>
      <c r="R289" s="86"/>
      <c r="S289" s="86"/>
    </row>
    <row r="290" spans="1:19">
      <c r="A290" s="29"/>
      <c r="B290" s="29"/>
      <c r="C290" s="29"/>
      <c r="D290" s="29"/>
      <c r="E290" s="29"/>
      <c r="F290" s="29"/>
      <c r="G290" s="29"/>
      <c r="H290" s="29"/>
      <c r="I290" s="29"/>
      <c r="J290" s="29"/>
      <c r="K290" s="29"/>
      <c r="L290" s="29"/>
      <c r="M290" s="29"/>
      <c r="N290" s="29"/>
      <c r="O290" s="29"/>
      <c r="P290" s="29"/>
      <c r="Q290" s="86"/>
      <c r="R290" s="86"/>
      <c r="S290" s="86"/>
    </row>
    <row r="291" spans="1:19">
      <c r="A291" s="29"/>
      <c r="B291" s="29"/>
      <c r="C291" s="29"/>
      <c r="D291" s="29"/>
      <c r="E291" s="29"/>
      <c r="F291" s="29"/>
      <c r="G291" s="29"/>
      <c r="H291" s="29"/>
      <c r="I291" s="29"/>
      <c r="J291" s="29"/>
      <c r="K291" s="29"/>
      <c r="L291" s="29"/>
      <c r="M291" s="29"/>
      <c r="N291" s="29"/>
      <c r="O291" s="29"/>
      <c r="P291" s="29"/>
      <c r="Q291" s="86"/>
      <c r="R291" s="86"/>
      <c r="S291" s="86"/>
    </row>
    <row r="292" spans="1:19">
      <c r="A292" s="29"/>
      <c r="B292" s="29"/>
      <c r="C292" s="29"/>
      <c r="D292" s="29"/>
      <c r="E292" s="29"/>
      <c r="F292" s="29"/>
      <c r="G292" s="29"/>
      <c r="H292" s="29"/>
      <c r="I292" s="29"/>
      <c r="J292" s="29"/>
      <c r="K292" s="29"/>
      <c r="L292" s="29"/>
      <c r="M292" s="29"/>
      <c r="N292" s="29"/>
      <c r="O292" s="29"/>
      <c r="P292" s="29"/>
      <c r="Q292" s="86"/>
      <c r="R292" s="86"/>
      <c r="S292" s="86"/>
    </row>
    <row r="293" spans="1:19">
      <c r="A293" s="29"/>
      <c r="B293" s="29"/>
      <c r="C293" s="29"/>
      <c r="D293" s="29"/>
      <c r="E293" s="29"/>
      <c r="F293" s="29"/>
      <c r="G293" s="29"/>
      <c r="H293" s="29"/>
      <c r="I293" s="29"/>
      <c r="J293" s="29"/>
      <c r="K293" s="29"/>
      <c r="L293" s="29"/>
      <c r="M293" s="29"/>
      <c r="N293" s="29"/>
      <c r="O293" s="29"/>
      <c r="P293" s="29"/>
      <c r="Q293" s="86"/>
      <c r="R293" s="86"/>
      <c r="S293" s="86"/>
    </row>
    <row r="294" spans="1:19">
      <c r="A294" s="29"/>
      <c r="B294" s="29"/>
      <c r="C294" s="29"/>
      <c r="D294" s="29"/>
      <c r="E294" s="29"/>
      <c r="F294" s="29"/>
      <c r="G294" s="29"/>
      <c r="H294" s="29"/>
      <c r="I294" s="29"/>
      <c r="J294" s="29"/>
      <c r="K294" s="29"/>
      <c r="L294" s="29"/>
      <c r="M294" s="29"/>
      <c r="N294" s="29"/>
      <c r="O294" s="29"/>
      <c r="P294" s="29"/>
      <c r="Q294" s="86"/>
      <c r="R294" s="86"/>
      <c r="S294" s="86"/>
    </row>
    <row r="295" spans="1:19">
      <c r="A295" s="29"/>
      <c r="B295" s="29"/>
      <c r="C295" s="29"/>
      <c r="D295" s="29"/>
      <c r="E295" s="29"/>
      <c r="F295" s="29"/>
      <c r="G295" s="29"/>
      <c r="H295" s="29"/>
      <c r="I295" s="29"/>
      <c r="J295" s="29"/>
      <c r="K295" s="29"/>
      <c r="L295" s="29"/>
      <c r="M295" s="29"/>
      <c r="N295" s="29"/>
      <c r="O295" s="29"/>
      <c r="P295" s="29"/>
      <c r="Q295" s="86"/>
      <c r="R295" s="86"/>
      <c r="S295" s="86"/>
    </row>
    <row r="296" spans="1:19">
      <c r="A296" s="29"/>
      <c r="B296" s="29"/>
      <c r="C296" s="29"/>
      <c r="D296" s="29"/>
      <c r="E296" s="29"/>
      <c r="F296" s="29"/>
      <c r="G296" s="29"/>
      <c r="H296" s="29"/>
      <c r="I296" s="29"/>
      <c r="J296" s="29"/>
      <c r="K296" s="29"/>
      <c r="L296" s="29"/>
      <c r="M296" s="29"/>
      <c r="N296" s="29"/>
      <c r="O296" s="29"/>
      <c r="P296" s="29"/>
      <c r="Q296" s="86"/>
      <c r="R296" s="86"/>
      <c r="S296" s="86"/>
    </row>
    <row r="297" spans="1:19">
      <c r="A297" s="29"/>
      <c r="B297" s="29"/>
      <c r="C297" s="29"/>
      <c r="D297" s="29"/>
      <c r="E297" s="29"/>
      <c r="F297" s="29"/>
      <c r="G297" s="29"/>
      <c r="H297" s="29"/>
      <c r="I297" s="29"/>
      <c r="J297" s="29"/>
      <c r="K297" s="29"/>
      <c r="L297" s="29"/>
      <c r="M297" s="29"/>
      <c r="N297" s="29"/>
      <c r="O297" s="29"/>
      <c r="P297" s="29"/>
      <c r="Q297" s="86"/>
      <c r="R297" s="86"/>
      <c r="S297" s="86"/>
    </row>
    <row r="298" spans="1:19">
      <c r="A298" s="29"/>
      <c r="B298" s="29"/>
      <c r="C298" s="29"/>
      <c r="D298" s="29"/>
      <c r="E298" s="29"/>
      <c r="F298" s="29"/>
      <c r="G298" s="29"/>
      <c r="H298" s="29"/>
      <c r="I298" s="29"/>
      <c r="J298" s="29"/>
      <c r="K298" s="29"/>
      <c r="L298" s="29"/>
      <c r="M298" s="29"/>
      <c r="N298" s="29"/>
      <c r="O298" s="29"/>
      <c r="P298" s="29"/>
      <c r="Q298" s="86"/>
      <c r="R298" s="86"/>
      <c r="S298" s="86"/>
    </row>
    <row r="299" spans="1:19">
      <c r="A299" s="29"/>
      <c r="B299" s="29"/>
      <c r="C299" s="29"/>
      <c r="D299" s="29"/>
      <c r="E299" s="29"/>
      <c r="F299" s="29"/>
      <c r="G299" s="29"/>
      <c r="H299" s="29"/>
      <c r="I299" s="29"/>
      <c r="J299" s="29"/>
      <c r="K299" s="29"/>
      <c r="L299" s="29"/>
      <c r="M299" s="29"/>
      <c r="N299" s="29"/>
      <c r="O299" s="29"/>
      <c r="P299" s="29"/>
      <c r="Q299" s="86"/>
      <c r="R299" s="86"/>
      <c r="S299" s="86"/>
    </row>
    <row r="300" spans="1:19">
      <c r="A300" s="29"/>
      <c r="B300" s="29"/>
      <c r="C300" s="29"/>
      <c r="D300" s="29"/>
      <c r="E300" s="29"/>
      <c r="F300" s="29"/>
      <c r="G300" s="29"/>
      <c r="H300" s="29"/>
      <c r="I300" s="29"/>
      <c r="J300" s="29"/>
      <c r="K300" s="29"/>
      <c r="L300" s="29"/>
      <c r="M300" s="29"/>
      <c r="N300" s="29"/>
      <c r="O300" s="29"/>
      <c r="P300" s="29"/>
      <c r="Q300" s="86"/>
      <c r="R300" s="86"/>
      <c r="S300" s="86"/>
    </row>
    <row r="301" spans="1:19">
      <c r="A301" s="29"/>
      <c r="B301" s="29"/>
      <c r="C301" s="29"/>
      <c r="D301" s="29"/>
      <c r="E301" s="29"/>
      <c r="F301" s="29"/>
      <c r="G301" s="29"/>
      <c r="H301" s="29"/>
      <c r="I301" s="29"/>
      <c r="J301" s="29"/>
      <c r="K301" s="29"/>
      <c r="L301" s="29"/>
      <c r="M301" s="29"/>
      <c r="N301" s="29"/>
      <c r="O301" s="29"/>
      <c r="P301" s="29"/>
      <c r="Q301" s="86"/>
      <c r="R301" s="86"/>
      <c r="S301" s="86"/>
    </row>
    <row r="302" spans="1:19">
      <c r="A302" s="29"/>
      <c r="B302" s="29"/>
      <c r="C302" s="29"/>
      <c r="D302" s="29"/>
      <c r="E302" s="29"/>
      <c r="F302" s="29"/>
      <c r="G302" s="29"/>
      <c r="H302" s="29"/>
      <c r="I302" s="29"/>
      <c r="J302" s="29"/>
      <c r="K302" s="29"/>
      <c r="L302" s="29"/>
      <c r="M302" s="29"/>
      <c r="N302" s="29"/>
      <c r="O302" s="29"/>
      <c r="P302" s="29"/>
      <c r="Q302" s="86"/>
      <c r="R302" s="86"/>
      <c r="S302" s="86"/>
    </row>
    <row r="303" spans="1:19">
      <c r="A303" s="29"/>
      <c r="B303" s="29"/>
      <c r="C303" s="29"/>
      <c r="D303" s="29"/>
      <c r="E303" s="29"/>
      <c r="F303" s="29"/>
      <c r="G303" s="29"/>
      <c r="H303" s="29"/>
      <c r="I303" s="29"/>
      <c r="J303" s="29"/>
      <c r="K303" s="29"/>
      <c r="L303" s="29"/>
      <c r="M303" s="29"/>
      <c r="N303" s="29"/>
      <c r="O303" s="29"/>
      <c r="P303" s="29"/>
      <c r="Q303" s="86"/>
      <c r="R303" s="86"/>
      <c r="S303" s="86"/>
    </row>
    <row r="304" spans="1:19">
      <c r="A304" s="29"/>
      <c r="B304" s="29"/>
      <c r="C304" s="29"/>
      <c r="D304" s="29"/>
      <c r="E304" s="29"/>
      <c r="F304" s="29"/>
      <c r="G304" s="29"/>
      <c r="H304" s="29"/>
      <c r="I304" s="29"/>
      <c r="J304" s="29"/>
      <c r="K304" s="29"/>
      <c r="L304" s="29"/>
      <c r="M304" s="29"/>
      <c r="N304" s="29"/>
      <c r="O304" s="29"/>
      <c r="P304" s="29"/>
      <c r="Q304" s="86"/>
      <c r="R304" s="86"/>
      <c r="S304" s="86"/>
    </row>
    <row r="305" spans="1:19">
      <c r="A305" s="29"/>
      <c r="B305" s="29"/>
      <c r="C305" s="29"/>
      <c r="D305" s="29"/>
      <c r="E305" s="29"/>
      <c r="F305" s="29"/>
      <c r="G305" s="29"/>
      <c r="H305" s="29"/>
      <c r="I305" s="29"/>
      <c r="J305" s="29"/>
      <c r="K305" s="29"/>
      <c r="L305" s="29"/>
      <c r="M305" s="29"/>
      <c r="N305" s="29"/>
      <c r="O305" s="29"/>
      <c r="P305" s="29"/>
      <c r="Q305" s="86"/>
      <c r="R305" s="86"/>
      <c r="S305" s="86"/>
    </row>
    <row r="306" spans="1:19">
      <c r="A306" s="29"/>
      <c r="B306" s="29"/>
      <c r="C306" s="29"/>
      <c r="D306" s="29"/>
      <c r="E306" s="29"/>
      <c r="F306" s="29"/>
      <c r="G306" s="29"/>
      <c r="H306" s="29"/>
      <c r="I306" s="29"/>
      <c r="J306" s="29"/>
      <c r="K306" s="29"/>
      <c r="L306" s="29"/>
      <c r="M306" s="29"/>
      <c r="N306" s="29"/>
      <c r="O306" s="29"/>
      <c r="P306" s="29"/>
      <c r="Q306" s="86"/>
      <c r="R306" s="86"/>
      <c r="S306" s="86"/>
    </row>
    <row r="307" spans="1:19">
      <c r="A307" s="29"/>
      <c r="B307" s="29"/>
      <c r="C307" s="29"/>
      <c r="D307" s="29"/>
      <c r="E307" s="29"/>
      <c r="F307" s="29"/>
      <c r="G307" s="29"/>
      <c r="H307" s="29"/>
      <c r="I307" s="29"/>
      <c r="J307" s="29"/>
      <c r="K307" s="29"/>
      <c r="L307" s="29"/>
      <c r="M307" s="29"/>
      <c r="N307" s="29"/>
      <c r="O307" s="29"/>
      <c r="P307" s="29"/>
      <c r="Q307" s="86"/>
      <c r="R307" s="86"/>
      <c r="S307" s="86"/>
    </row>
    <row r="308" spans="1:19">
      <c r="A308" s="29"/>
      <c r="B308" s="29"/>
      <c r="C308" s="29"/>
      <c r="D308" s="29"/>
      <c r="E308" s="29"/>
      <c r="F308" s="29"/>
      <c r="G308" s="29"/>
      <c r="H308" s="29"/>
      <c r="I308" s="29"/>
      <c r="J308" s="29"/>
      <c r="K308" s="29"/>
      <c r="L308" s="29"/>
      <c r="M308" s="29"/>
      <c r="N308" s="29"/>
      <c r="O308" s="29"/>
      <c r="P308" s="29"/>
      <c r="Q308" s="86"/>
      <c r="R308" s="86"/>
      <c r="S308" s="86"/>
    </row>
    <row r="309" spans="1:19">
      <c r="A309" s="29"/>
      <c r="B309" s="29"/>
      <c r="C309" s="29"/>
      <c r="D309" s="29"/>
      <c r="E309" s="29"/>
      <c r="F309" s="29"/>
      <c r="G309" s="29"/>
      <c r="H309" s="29"/>
      <c r="I309" s="29"/>
      <c r="J309" s="29"/>
      <c r="K309" s="29"/>
      <c r="L309" s="29"/>
      <c r="M309" s="29"/>
      <c r="N309" s="29"/>
      <c r="O309" s="29"/>
      <c r="P309" s="29"/>
      <c r="Q309" s="86"/>
      <c r="R309" s="86"/>
      <c r="S309" s="86"/>
    </row>
    <row r="310" spans="1:19">
      <c r="A310" s="29"/>
      <c r="B310" s="29"/>
      <c r="C310" s="29"/>
      <c r="D310" s="29"/>
      <c r="E310" s="29"/>
      <c r="F310" s="29"/>
      <c r="G310" s="29"/>
      <c r="H310" s="29"/>
      <c r="I310" s="29"/>
      <c r="J310" s="29"/>
      <c r="K310" s="29"/>
      <c r="L310" s="29"/>
      <c r="M310" s="29"/>
      <c r="N310" s="29"/>
      <c r="O310" s="29"/>
      <c r="P310" s="29"/>
      <c r="Q310" s="86"/>
      <c r="R310" s="86"/>
      <c r="S310" s="86"/>
    </row>
    <row r="311" spans="1:19">
      <c r="A311" s="29"/>
      <c r="B311" s="29"/>
      <c r="C311" s="29"/>
      <c r="D311" s="29"/>
      <c r="E311" s="29"/>
      <c r="F311" s="29"/>
      <c r="G311" s="29"/>
      <c r="H311" s="29"/>
      <c r="I311" s="29"/>
      <c r="J311" s="29"/>
      <c r="K311" s="29"/>
      <c r="L311" s="29"/>
      <c r="M311" s="29"/>
      <c r="N311" s="29"/>
      <c r="O311" s="29"/>
      <c r="P311" s="29"/>
      <c r="Q311" s="86"/>
      <c r="R311" s="86"/>
      <c r="S311" s="86"/>
    </row>
    <row r="312" spans="1:19">
      <c r="A312" s="29"/>
      <c r="B312" s="29"/>
      <c r="C312" s="29"/>
      <c r="D312" s="29"/>
      <c r="E312" s="29"/>
      <c r="F312" s="29"/>
      <c r="G312" s="29"/>
      <c r="H312" s="29"/>
      <c r="I312" s="29"/>
      <c r="J312" s="29"/>
      <c r="K312" s="29"/>
      <c r="L312" s="29"/>
      <c r="M312" s="29"/>
      <c r="N312" s="29"/>
      <c r="O312" s="29"/>
      <c r="P312" s="29"/>
      <c r="Q312" s="86"/>
      <c r="R312" s="86"/>
      <c r="S312" s="86"/>
    </row>
    <row r="313" spans="1:19">
      <c r="A313" s="29"/>
      <c r="B313" s="29"/>
      <c r="C313" s="29"/>
      <c r="D313" s="29"/>
      <c r="E313" s="29"/>
      <c r="F313" s="29"/>
      <c r="G313" s="29"/>
      <c r="H313" s="29"/>
      <c r="I313" s="29"/>
      <c r="J313" s="29"/>
      <c r="K313" s="29"/>
      <c r="L313" s="29"/>
      <c r="M313" s="29"/>
      <c r="N313" s="29"/>
      <c r="O313" s="29"/>
      <c r="P313" s="29"/>
      <c r="Q313" s="86"/>
      <c r="R313" s="86"/>
      <c r="S313" s="86"/>
    </row>
    <row r="314" spans="1:19">
      <c r="A314" s="29"/>
      <c r="B314" s="29"/>
      <c r="C314" s="29"/>
      <c r="D314" s="29"/>
      <c r="E314" s="29"/>
      <c r="F314" s="29"/>
      <c r="G314" s="29"/>
      <c r="H314" s="29"/>
      <c r="I314" s="29"/>
      <c r="J314" s="29"/>
      <c r="K314" s="29"/>
      <c r="L314" s="29"/>
      <c r="M314" s="29"/>
      <c r="N314" s="29"/>
      <c r="O314" s="29"/>
      <c r="P314" s="29"/>
      <c r="Q314" s="86"/>
      <c r="R314" s="86"/>
      <c r="S314" s="86"/>
    </row>
    <row r="315" spans="1:19">
      <c r="A315" s="29"/>
      <c r="B315" s="29"/>
      <c r="C315" s="29"/>
      <c r="D315" s="29"/>
      <c r="E315" s="29"/>
      <c r="F315" s="29"/>
      <c r="G315" s="29"/>
      <c r="H315" s="29"/>
      <c r="I315" s="29"/>
      <c r="J315" s="29"/>
      <c r="K315" s="29"/>
      <c r="L315" s="29"/>
      <c r="M315" s="29"/>
      <c r="N315" s="29"/>
      <c r="O315" s="29"/>
      <c r="P315" s="29"/>
      <c r="Q315" s="86"/>
      <c r="R315" s="86"/>
      <c r="S315" s="86"/>
    </row>
    <row r="316" spans="1:19">
      <c r="A316" s="29"/>
      <c r="B316" s="29"/>
      <c r="C316" s="29"/>
      <c r="D316" s="29"/>
      <c r="E316" s="29"/>
      <c r="F316" s="29"/>
      <c r="G316" s="29"/>
      <c r="H316" s="29"/>
      <c r="I316" s="29"/>
      <c r="J316" s="29"/>
      <c r="K316" s="29"/>
      <c r="L316" s="29"/>
      <c r="M316" s="29"/>
      <c r="N316" s="29"/>
      <c r="O316" s="29"/>
      <c r="P316" s="29"/>
      <c r="Q316" s="86"/>
      <c r="R316" s="86"/>
      <c r="S316" s="86"/>
    </row>
    <row r="317" spans="1:19">
      <c r="A317" s="29"/>
      <c r="B317" s="29"/>
      <c r="C317" s="29"/>
      <c r="D317" s="29"/>
      <c r="E317" s="29"/>
      <c r="F317" s="29"/>
      <c r="G317" s="29"/>
      <c r="H317" s="29"/>
      <c r="I317" s="29"/>
      <c r="J317" s="29"/>
      <c r="K317" s="29"/>
      <c r="L317" s="29"/>
      <c r="M317" s="29"/>
      <c r="N317" s="29"/>
      <c r="O317" s="29"/>
      <c r="P317" s="29"/>
      <c r="Q317" s="86"/>
      <c r="R317" s="86"/>
      <c r="S317" s="86"/>
    </row>
    <row r="318" spans="1:19">
      <c r="A318" s="29"/>
      <c r="B318" s="29"/>
      <c r="C318" s="29"/>
      <c r="D318" s="29"/>
      <c r="E318" s="29"/>
      <c r="F318" s="29"/>
      <c r="G318" s="29"/>
      <c r="H318" s="29"/>
      <c r="I318" s="29"/>
      <c r="J318" s="29"/>
      <c r="K318" s="29"/>
      <c r="L318" s="29"/>
      <c r="M318" s="29"/>
      <c r="N318" s="29"/>
      <c r="O318" s="29"/>
      <c r="P318" s="29"/>
      <c r="Q318" s="86"/>
      <c r="R318" s="86"/>
      <c r="S318" s="86"/>
    </row>
    <row r="319" spans="1:19">
      <c r="A319" s="29"/>
      <c r="B319" s="29"/>
      <c r="C319" s="29"/>
      <c r="D319" s="29"/>
      <c r="E319" s="29"/>
      <c r="F319" s="29"/>
      <c r="G319" s="29"/>
      <c r="H319" s="29"/>
      <c r="I319" s="29"/>
      <c r="J319" s="29"/>
      <c r="K319" s="29"/>
      <c r="L319" s="29"/>
      <c r="M319" s="29"/>
      <c r="N319" s="29"/>
      <c r="O319" s="29"/>
      <c r="P319" s="29"/>
      <c r="Q319" s="86"/>
      <c r="R319" s="86"/>
      <c r="S319" s="86"/>
    </row>
    <row r="320" spans="1:19">
      <c r="A320" s="29"/>
      <c r="B320" s="29"/>
      <c r="C320" s="29"/>
      <c r="D320" s="29"/>
      <c r="E320" s="29"/>
      <c r="F320" s="29"/>
      <c r="G320" s="29"/>
      <c r="H320" s="29"/>
      <c r="I320" s="29"/>
      <c r="J320" s="29"/>
      <c r="K320" s="29"/>
      <c r="L320" s="29"/>
      <c r="M320" s="29"/>
      <c r="N320" s="29"/>
      <c r="O320" s="29"/>
      <c r="P320" s="29"/>
      <c r="Q320" s="86"/>
      <c r="R320" s="86"/>
      <c r="S320" s="86"/>
    </row>
    <row r="321" spans="1:19">
      <c r="A321" s="29"/>
      <c r="B321" s="29"/>
      <c r="C321" s="29"/>
      <c r="D321" s="29"/>
      <c r="E321" s="29"/>
      <c r="F321" s="29"/>
      <c r="G321" s="29"/>
      <c r="H321" s="29"/>
      <c r="I321" s="29"/>
      <c r="J321" s="29"/>
      <c r="K321" s="29"/>
      <c r="L321" s="29"/>
      <c r="M321" s="29"/>
      <c r="N321" s="29"/>
      <c r="O321" s="29"/>
      <c r="P321" s="29"/>
      <c r="Q321" s="86"/>
      <c r="R321" s="86"/>
      <c r="S321" s="86"/>
    </row>
    <row r="322" spans="1:19">
      <c r="A322" s="29"/>
      <c r="B322" s="29"/>
      <c r="C322" s="29"/>
      <c r="D322" s="29"/>
      <c r="E322" s="29"/>
      <c r="F322" s="29"/>
      <c r="G322" s="29"/>
      <c r="H322" s="29"/>
      <c r="I322" s="29"/>
      <c r="J322" s="29"/>
      <c r="K322" s="29"/>
      <c r="L322" s="29"/>
      <c r="M322" s="29"/>
      <c r="N322" s="29"/>
      <c r="O322" s="29"/>
      <c r="P322" s="29"/>
      <c r="Q322" s="86"/>
      <c r="R322" s="86"/>
      <c r="S322" s="86"/>
    </row>
    <row r="323" spans="1:19">
      <c r="A323" s="29"/>
      <c r="B323" s="29"/>
      <c r="C323" s="29"/>
      <c r="D323" s="29"/>
      <c r="E323" s="29"/>
      <c r="F323" s="29"/>
      <c r="G323" s="29"/>
      <c r="H323" s="29"/>
      <c r="I323" s="29"/>
      <c r="J323" s="29"/>
      <c r="K323" s="29"/>
      <c r="L323" s="29"/>
      <c r="M323" s="29"/>
      <c r="N323" s="29"/>
      <c r="O323" s="29"/>
      <c r="P323" s="29"/>
      <c r="Q323" s="86"/>
      <c r="R323" s="86"/>
      <c r="S323" s="86"/>
    </row>
    <row r="324" spans="1:19">
      <c r="A324" s="29"/>
      <c r="B324" s="29"/>
      <c r="C324" s="29"/>
      <c r="D324" s="29"/>
      <c r="E324" s="29"/>
      <c r="F324" s="29"/>
      <c r="G324" s="29"/>
      <c r="H324" s="29"/>
      <c r="I324" s="29"/>
      <c r="J324" s="29"/>
      <c r="K324" s="29"/>
      <c r="L324" s="29"/>
      <c r="M324" s="29"/>
      <c r="N324" s="29"/>
      <c r="O324" s="29"/>
      <c r="P324" s="29"/>
      <c r="Q324" s="86"/>
      <c r="R324" s="86"/>
      <c r="S324" s="86"/>
    </row>
    <row r="325" spans="1:19">
      <c r="A325" s="29"/>
      <c r="B325" s="29"/>
      <c r="C325" s="29"/>
      <c r="D325" s="29"/>
      <c r="E325" s="29"/>
      <c r="F325" s="29"/>
      <c r="G325" s="29"/>
      <c r="H325" s="29"/>
      <c r="I325" s="29"/>
      <c r="J325" s="29"/>
      <c r="K325" s="29"/>
      <c r="L325" s="29"/>
      <c r="M325" s="29"/>
      <c r="N325" s="29"/>
      <c r="O325" s="29"/>
      <c r="P325" s="29"/>
      <c r="Q325" s="86"/>
      <c r="R325" s="86"/>
      <c r="S325" s="86"/>
    </row>
    <row r="326" spans="1:19">
      <c r="A326" s="29"/>
      <c r="B326" s="29"/>
      <c r="C326" s="29"/>
      <c r="D326" s="29"/>
      <c r="E326" s="29"/>
      <c r="F326" s="29"/>
      <c r="G326" s="29"/>
      <c r="H326" s="29"/>
      <c r="I326" s="29"/>
      <c r="J326" s="29"/>
      <c r="K326" s="29"/>
      <c r="L326" s="29"/>
      <c r="M326" s="29"/>
      <c r="N326" s="29"/>
      <c r="O326" s="29"/>
      <c r="P326" s="29"/>
      <c r="Q326" s="86"/>
      <c r="R326" s="86"/>
      <c r="S326" s="86"/>
    </row>
    <row r="327" spans="1:19">
      <c r="A327" s="29"/>
      <c r="B327" s="29"/>
      <c r="C327" s="29"/>
      <c r="D327" s="29"/>
      <c r="E327" s="29"/>
      <c r="F327" s="29"/>
      <c r="G327" s="29"/>
      <c r="H327" s="29"/>
      <c r="I327" s="29"/>
      <c r="J327" s="29"/>
      <c r="K327" s="29"/>
      <c r="L327" s="29"/>
      <c r="M327" s="29"/>
      <c r="N327" s="29"/>
      <c r="O327" s="29"/>
      <c r="P327" s="29"/>
      <c r="Q327" s="86"/>
      <c r="R327" s="86"/>
      <c r="S327" s="86"/>
    </row>
    <row r="328" spans="1:19">
      <c r="A328" s="29"/>
      <c r="B328" s="29"/>
      <c r="C328" s="29"/>
      <c r="D328" s="29"/>
      <c r="E328" s="29"/>
      <c r="F328" s="29"/>
      <c r="G328" s="29"/>
      <c r="H328" s="29"/>
      <c r="I328" s="29"/>
      <c r="J328" s="29"/>
      <c r="K328" s="29"/>
      <c r="L328" s="29"/>
      <c r="M328" s="29"/>
      <c r="N328" s="29"/>
      <c r="O328" s="29"/>
      <c r="P328" s="29"/>
      <c r="Q328" s="86"/>
      <c r="R328" s="86"/>
      <c r="S328" s="86"/>
    </row>
    <row r="329" spans="1:19">
      <c r="A329" s="29"/>
      <c r="B329" s="29"/>
      <c r="C329" s="29"/>
      <c r="D329" s="29"/>
      <c r="E329" s="29"/>
      <c r="F329" s="29"/>
      <c r="G329" s="29"/>
      <c r="H329" s="29"/>
      <c r="I329" s="29"/>
      <c r="J329" s="29"/>
      <c r="K329" s="29"/>
      <c r="L329" s="29"/>
      <c r="M329" s="29"/>
      <c r="N329" s="29"/>
      <c r="O329" s="29"/>
      <c r="P329" s="29"/>
      <c r="Q329" s="86"/>
      <c r="R329" s="86"/>
      <c r="S329" s="86"/>
    </row>
    <row r="330" spans="1:19">
      <c r="A330" s="29"/>
      <c r="B330" s="29"/>
      <c r="C330" s="29"/>
      <c r="D330" s="29"/>
      <c r="E330" s="29"/>
      <c r="F330" s="29"/>
      <c r="G330" s="29"/>
      <c r="H330" s="29"/>
      <c r="I330" s="29"/>
      <c r="J330" s="29"/>
      <c r="K330" s="29"/>
      <c r="L330" s="29"/>
      <c r="M330" s="29"/>
      <c r="N330" s="29"/>
      <c r="O330" s="29"/>
      <c r="P330" s="29"/>
      <c r="Q330" s="86"/>
      <c r="R330" s="86"/>
      <c r="S330" s="86"/>
    </row>
    <row r="331" spans="1:19">
      <c r="A331" s="29"/>
      <c r="B331" s="29"/>
      <c r="C331" s="29"/>
      <c r="D331" s="29"/>
      <c r="E331" s="29"/>
      <c r="F331" s="29"/>
      <c r="G331" s="29"/>
      <c r="H331" s="29"/>
      <c r="I331" s="29"/>
      <c r="J331" s="29"/>
      <c r="K331" s="29"/>
      <c r="L331" s="29"/>
      <c r="M331" s="29"/>
      <c r="N331" s="29"/>
      <c r="O331" s="29"/>
      <c r="P331" s="29"/>
      <c r="Q331" s="86"/>
      <c r="R331" s="86"/>
      <c r="S331" s="86"/>
    </row>
    <row r="332" spans="1:19">
      <c r="A332" s="29"/>
      <c r="B332" s="29"/>
      <c r="C332" s="29"/>
      <c r="D332" s="29"/>
      <c r="E332" s="29"/>
      <c r="F332" s="29"/>
      <c r="G332" s="29"/>
      <c r="H332" s="29"/>
      <c r="I332" s="29"/>
      <c r="J332" s="29"/>
      <c r="K332" s="29"/>
      <c r="L332" s="29"/>
      <c r="M332" s="29"/>
      <c r="N332" s="29"/>
      <c r="O332" s="29"/>
      <c r="P332" s="29"/>
      <c r="Q332" s="86"/>
      <c r="R332" s="86"/>
      <c r="S332" s="86"/>
    </row>
    <row r="333" spans="1:19">
      <c r="A333" s="29"/>
      <c r="B333" s="29"/>
      <c r="C333" s="29"/>
      <c r="D333" s="29"/>
      <c r="E333" s="29"/>
      <c r="F333" s="29"/>
      <c r="G333" s="29"/>
      <c r="H333" s="29"/>
      <c r="I333" s="29"/>
      <c r="J333" s="29"/>
      <c r="K333" s="29"/>
      <c r="L333" s="29"/>
      <c r="M333" s="29"/>
      <c r="N333" s="29"/>
      <c r="O333" s="29"/>
      <c r="P333" s="29"/>
      <c r="Q333" s="86"/>
      <c r="R333" s="86"/>
      <c r="S333" s="86"/>
    </row>
    <row r="334" spans="1:19">
      <c r="A334" s="29"/>
      <c r="B334" s="29"/>
      <c r="C334" s="29"/>
      <c r="D334" s="29"/>
      <c r="E334" s="29"/>
      <c r="F334" s="29"/>
      <c r="G334" s="29"/>
      <c r="H334" s="29"/>
      <c r="I334" s="29"/>
      <c r="J334" s="29"/>
      <c r="K334" s="29"/>
      <c r="L334" s="29"/>
      <c r="M334" s="29"/>
      <c r="N334" s="29"/>
      <c r="O334" s="29"/>
      <c r="P334" s="29"/>
      <c r="Q334" s="86"/>
      <c r="R334" s="86"/>
      <c r="S334" s="86"/>
    </row>
    <row r="335" spans="1:19">
      <c r="A335" s="29"/>
      <c r="B335" s="29"/>
      <c r="C335" s="29"/>
      <c r="D335" s="29"/>
      <c r="E335" s="29"/>
      <c r="F335" s="29"/>
      <c r="G335" s="29"/>
      <c r="H335" s="29"/>
      <c r="I335" s="29"/>
      <c r="J335" s="29"/>
      <c r="K335" s="29"/>
      <c r="L335" s="29"/>
      <c r="M335" s="29"/>
      <c r="N335" s="29"/>
      <c r="O335" s="29"/>
      <c r="P335" s="29"/>
      <c r="Q335" s="86"/>
      <c r="R335" s="86"/>
      <c r="S335" s="86"/>
    </row>
    <row r="336" spans="1:19">
      <c r="A336" s="29"/>
      <c r="B336" s="29"/>
      <c r="C336" s="29"/>
      <c r="D336" s="29"/>
      <c r="E336" s="29"/>
      <c r="F336" s="29"/>
      <c r="G336" s="29"/>
      <c r="H336" s="29"/>
      <c r="I336" s="29"/>
      <c r="J336" s="29"/>
      <c r="K336" s="29"/>
      <c r="L336" s="29"/>
      <c r="M336" s="29"/>
      <c r="N336" s="29"/>
      <c r="O336" s="29"/>
      <c r="P336" s="29"/>
      <c r="Q336" s="86"/>
      <c r="R336" s="86"/>
      <c r="S336" s="86"/>
    </row>
    <row r="337" spans="1:19">
      <c r="A337" s="29"/>
      <c r="B337" s="29"/>
      <c r="C337" s="29"/>
      <c r="D337" s="29"/>
      <c r="E337" s="29"/>
      <c r="F337" s="29"/>
      <c r="G337" s="29"/>
      <c r="H337" s="29"/>
      <c r="I337" s="29"/>
      <c r="J337" s="29"/>
      <c r="K337" s="29"/>
      <c r="L337" s="29"/>
      <c r="M337" s="29"/>
      <c r="N337" s="29"/>
      <c r="O337" s="29"/>
      <c r="P337" s="29"/>
      <c r="Q337" s="86"/>
      <c r="R337" s="86"/>
      <c r="S337" s="86"/>
    </row>
    <row r="338" spans="1:19">
      <c r="A338" s="29"/>
      <c r="B338" s="29"/>
      <c r="C338" s="29"/>
      <c r="D338" s="29"/>
      <c r="E338" s="29"/>
      <c r="F338" s="29"/>
      <c r="G338" s="29"/>
      <c r="H338" s="29"/>
      <c r="I338" s="29"/>
      <c r="J338" s="29"/>
      <c r="K338" s="29"/>
      <c r="L338" s="29"/>
      <c r="M338" s="29"/>
      <c r="N338" s="29"/>
      <c r="O338" s="29"/>
      <c r="P338" s="29"/>
      <c r="Q338" s="86"/>
      <c r="R338" s="86"/>
      <c r="S338" s="86"/>
    </row>
    <row r="339" spans="1:19">
      <c r="A339" s="29"/>
      <c r="B339" s="29"/>
      <c r="C339" s="29"/>
      <c r="D339" s="29"/>
      <c r="E339" s="29"/>
      <c r="F339" s="29"/>
      <c r="G339" s="29"/>
      <c r="H339" s="29"/>
      <c r="I339" s="29"/>
      <c r="J339" s="29"/>
      <c r="K339" s="29"/>
      <c r="L339" s="29"/>
      <c r="M339" s="29"/>
      <c r="N339" s="29"/>
      <c r="O339" s="29"/>
      <c r="P339" s="29"/>
      <c r="Q339" s="86"/>
      <c r="R339" s="86"/>
      <c r="S339" s="86"/>
    </row>
    <row r="340" spans="1:19">
      <c r="A340" s="29"/>
      <c r="B340" s="29"/>
      <c r="C340" s="29"/>
      <c r="D340" s="29"/>
      <c r="E340" s="29"/>
      <c r="F340" s="29"/>
      <c r="G340" s="29"/>
      <c r="H340" s="29"/>
      <c r="I340" s="29"/>
      <c r="J340" s="29"/>
      <c r="K340" s="29"/>
      <c r="L340" s="29"/>
      <c r="M340" s="29"/>
      <c r="N340" s="29"/>
      <c r="O340" s="29"/>
      <c r="P340" s="29"/>
      <c r="Q340" s="86"/>
      <c r="R340" s="86"/>
      <c r="S340" s="86"/>
    </row>
    <row r="341" spans="1:19">
      <c r="A341" s="29"/>
      <c r="B341" s="29"/>
      <c r="C341" s="29"/>
      <c r="D341" s="29"/>
      <c r="E341" s="29"/>
      <c r="F341" s="29"/>
      <c r="G341" s="29"/>
      <c r="H341" s="29"/>
      <c r="I341" s="29"/>
      <c r="J341" s="29"/>
      <c r="K341" s="29"/>
      <c r="L341" s="29"/>
      <c r="M341" s="29"/>
      <c r="N341" s="29"/>
      <c r="O341" s="29"/>
      <c r="P341" s="29"/>
      <c r="Q341" s="86"/>
      <c r="R341" s="86"/>
      <c r="S341" s="86"/>
    </row>
    <row r="342" spans="1:19">
      <c r="A342" s="29"/>
      <c r="B342" s="29"/>
      <c r="C342" s="29"/>
      <c r="D342" s="29"/>
      <c r="E342" s="29"/>
      <c r="F342" s="29"/>
      <c r="G342" s="29"/>
      <c r="H342" s="29"/>
      <c r="I342" s="29"/>
      <c r="J342" s="29"/>
      <c r="K342" s="29"/>
      <c r="L342" s="29"/>
      <c r="M342" s="29"/>
      <c r="N342" s="29"/>
      <c r="O342" s="29"/>
      <c r="P342" s="29"/>
      <c r="Q342" s="86"/>
      <c r="R342" s="86"/>
      <c r="S342" s="86"/>
    </row>
    <row r="343" spans="1:19">
      <c r="A343" s="29"/>
      <c r="B343" s="29"/>
      <c r="C343" s="29"/>
      <c r="D343" s="29"/>
      <c r="E343" s="29"/>
      <c r="F343" s="29"/>
      <c r="G343" s="29"/>
      <c r="H343" s="29"/>
      <c r="I343" s="29"/>
      <c r="J343" s="29"/>
      <c r="K343" s="29"/>
      <c r="L343" s="29"/>
      <c r="M343" s="29"/>
      <c r="N343" s="29"/>
      <c r="O343" s="29"/>
      <c r="P343" s="29"/>
      <c r="Q343" s="86"/>
      <c r="R343" s="86"/>
      <c r="S343" s="86"/>
    </row>
    <row r="344" spans="1:19">
      <c r="A344" s="29"/>
      <c r="B344" s="29"/>
      <c r="C344" s="29"/>
      <c r="D344" s="29"/>
      <c r="E344" s="29"/>
      <c r="F344" s="29"/>
      <c r="G344" s="29"/>
      <c r="H344" s="29"/>
      <c r="I344" s="29"/>
      <c r="J344" s="29"/>
      <c r="K344" s="29"/>
      <c r="L344" s="29"/>
      <c r="M344" s="29"/>
      <c r="N344" s="29"/>
      <c r="O344" s="29"/>
      <c r="P344" s="29"/>
      <c r="Q344" s="86"/>
      <c r="R344" s="86"/>
      <c r="S344" s="86"/>
    </row>
    <row r="345" spans="1:19">
      <c r="A345" s="29"/>
      <c r="B345" s="29"/>
      <c r="C345" s="29"/>
      <c r="D345" s="29"/>
      <c r="E345" s="29"/>
      <c r="F345" s="29"/>
      <c r="G345" s="29"/>
      <c r="H345" s="29"/>
      <c r="I345" s="29"/>
      <c r="J345" s="29"/>
      <c r="K345" s="29"/>
      <c r="L345" s="29"/>
      <c r="M345" s="29"/>
      <c r="N345" s="29"/>
      <c r="O345" s="29"/>
      <c r="P345" s="29"/>
      <c r="Q345" s="86"/>
      <c r="R345" s="86"/>
      <c r="S345" s="86"/>
    </row>
    <row r="346" spans="1:19">
      <c r="A346" s="29"/>
      <c r="B346" s="29"/>
      <c r="C346" s="29"/>
      <c r="D346" s="29"/>
      <c r="E346" s="29"/>
      <c r="F346" s="29"/>
      <c r="G346" s="29"/>
      <c r="H346" s="29"/>
      <c r="I346" s="29"/>
      <c r="J346" s="29"/>
      <c r="K346" s="29"/>
      <c r="L346" s="29"/>
      <c r="M346" s="29"/>
      <c r="N346" s="29"/>
      <c r="O346" s="29"/>
      <c r="P346" s="29"/>
      <c r="Q346" s="86"/>
      <c r="R346" s="86"/>
      <c r="S346" s="86"/>
    </row>
    <row r="347" spans="1:19">
      <c r="A347" s="29"/>
      <c r="B347" s="29"/>
      <c r="C347" s="29"/>
      <c r="D347" s="29"/>
      <c r="E347" s="29"/>
      <c r="F347" s="29"/>
      <c r="G347" s="29"/>
      <c r="H347" s="29"/>
      <c r="I347" s="29"/>
      <c r="J347" s="29"/>
      <c r="K347" s="29"/>
      <c r="L347" s="29"/>
      <c r="M347" s="29"/>
      <c r="N347" s="29"/>
      <c r="O347" s="29"/>
      <c r="P347" s="29"/>
      <c r="Q347" s="86"/>
      <c r="R347" s="86"/>
      <c r="S347" s="86"/>
    </row>
    <row r="348" spans="1:19">
      <c r="A348" s="29"/>
      <c r="B348" s="29"/>
      <c r="C348" s="29"/>
      <c r="D348" s="29"/>
      <c r="E348" s="29"/>
      <c r="F348" s="29"/>
      <c r="G348" s="29"/>
      <c r="H348" s="29"/>
      <c r="I348" s="29"/>
      <c r="J348" s="29"/>
      <c r="K348" s="29"/>
      <c r="L348" s="29"/>
      <c r="M348" s="29"/>
      <c r="N348" s="29"/>
      <c r="O348" s="29"/>
      <c r="P348" s="29"/>
      <c r="Q348" s="86"/>
      <c r="R348" s="86"/>
      <c r="S348" s="86"/>
    </row>
    <row r="349" spans="1:19">
      <c r="A349" s="29"/>
      <c r="B349" s="29"/>
      <c r="C349" s="29"/>
      <c r="D349" s="29"/>
      <c r="E349" s="29"/>
      <c r="F349" s="29"/>
      <c r="G349" s="29"/>
      <c r="H349" s="29"/>
      <c r="I349" s="29"/>
      <c r="J349" s="29"/>
      <c r="K349" s="29"/>
      <c r="L349" s="29"/>
      <c r="M349" s="29"/>
      <c r="N349" s="29"/>
      <c r="O349" s="29"/>
      <c r="P349" s="29"/>
      <c r="Q349" s="86"/>
      <c r="R349" s="86"/>
      <c r="S349" s="86"/>
    </row>
    <row r="350" spans="1:19">
      <c r="A350" s="29"/>
      <c r="B350" s="29"/>
      <c r="C350" s="29"/>
      <c r="D350" s="29"/>
      <c r="E350" s="29"/>
      <c r="F350" s="29"/>
      <c r="G350" s="29"/>
      <c r="H350" s="29"/>
      <c r="I350" s="29"/>
      <c r="J350" s="29"/>
      <c r="K350" s="29"/>
      <c r="L350" s="29"/>
      <c r="M350" s="29"/>
      <c r="N350" s="29"/>
      <c r="O350" s="29"/>
      <c r="P350" s="29"/>
      <c r="Q350" s="86"/>
      <c r="R350" s="86"/>
      <c r="S350" s="86"/>
    </row>
    <row r="351" spans="1:19">
      <c r="A351" s="29"/>
      <c r="B351" s="29"/>
      <c r="C351" s="29"/>
      <c r="D351" s="29"/>
      <c r="E351" s="29"/>
      <c r="F351" s="29"/>
      <c r="G351" s="29"/>
      <c r="H351" s="29"/>
      <c r="I351" s="29"/>
      <c r="J351" s="29"/>
      <c r="K351" s="29"/>
      <c r="L351" s="29"/>
      <c r="M351" s="29"/>
      <c r="N351" s="29"/>
      <c r="O351" s="29"/>
      <c r="P351" s="29"/>
      <c r="Q351" s="86"/>
      <c r="R351" s="86"/>
      <c r="S351" s="86"/>
    </row>
    <row r="352" spans="1:19">
      <c r="A352" s="29"/>
      <c r="B352" s="29"/>
      <c r="C352" s="29"/>
      <c r="D352" s="29"/>
      <c r="E352" s="29"/>
      <c r="F352" s="29"/>
      <c r="G352" s="29"/>
      <c r="H352" s="29"/>
      <c r="I352" s="29"/>
      <c r="J352" s="29"/>
      <c r="K352" s="29"/>
      <c r="L352" s="29"/>
      <c r="M352" s="29"/>
      <c r="N352" s="29"/>
      <c r="O352" s="29"/>
      <c r="P352" s="29"/>
      <c r="Q352" s="86"/>
      <c r="R352" s="86"/>
      <c r="S352" s="86"/>
    </row>
    <row r="353" spans="1:19">
      <c r="A353" s="29"/>
      <c r="B353" s="29"/>
      <c r="C353" s="29"/>
      <c r="D353" s="29"/>
      <c r="E353" s="29"/>
      <c r="F353" s="29"/>
      <c r="G353" s="29"/>
      <c r="H353" s="29"/>
      <c r="I353" s="29"/>
      <c r="J353" s="29"/>
      <c r="K353" s="29"/>
      <c r="L353" s="29"/>
      <c r="M353" s="29"/>
      <c r="N353" s="29"/>
      <c r="O353" s="29"/>
      <c r="P353" s="29"/>
      <c r="Q353" s="86"/>
      <c r="R353" s="86"/>
      <c r="S353" s="86"/>
    </row>
    <row r="354" spans="1:19">
      <c r="A354" s="29"/>
      <c r="B354" s="29"/>
      <c r="C354" s="29"/>
      <c r="D354" s="29"/>
      <c r="E354" s="29"/>
      <c r="F354" s="29"/>
      <c r="G354" s="29"/>
      <c r="H354" s="29"/>
      <c r="I354" s="29"/>
      <c r="J354" s="29"/>
      <c r="K354" s="29"/>
      <c r="L354" s="29"/>
      <c r="M354" s="29"/>
      <c r="N354" s="29"/>
      <c r="O354" s="29"/>
      <c r="P354" s="29"/>
      <c r="Q354" s="86"/>
      <c r="R354" s="86"/>
      <c r="S354" s="86"/>
    </row>
    <row r="355" spans="1:19">
      <c r="A355" s="29"/>
      <c r="B355" s="29"/>
      <c r="C355" s="29"/>
      <c r="D355" s="29"/>
      <c r="E355" s="29"/>
      <c r="F355" s="29"/>
      <c r="G355" s="29"/>
      <c r="H355" s="29"/>
      <c r="I355" s="29"/>
      <c r="J355" s="29"/>
      <c r="K355" s="29"/>
      <c r="L355" s="29"/>
      <c r="M355" s="29"/>
      <c r="N355" s="29"/>
      <c r="O355" s="29"/>
      <c r="P355" s="29"/>
      <c r="Q355" s="86"/>
      <c r="R355" s="86"/>
      <c r="S355" s="86"/>
    </row>
    <row r="356" spans="1:19">
      <c r="A356" s="29"/>
      <c r="B356" s="29"/>
      <c r="C356" s="29"/>
      <c r="D356" s="29"/>
      <c r="E356" s="29"/>
      <c r="F356" s="29"/>
      <c r="G356" s="29"/>
      <c r="H356" s="29"/>
      <c r="I356" s="29"/>
      <c r="J356" s="29"/>
      <c r="K356" s="29"/>
      <c r="L356" s="29"/>
      <c r="M356" s="29"/>
      <c r="N356" s="29"/>
      <c r="O356" s="29"/>
      <c r="P356" s="29"/>
      <c r="Q356" s="86"/>
      <c r="R356" s="86"/>
      <c r="S356" s="86"/>
    </row>
    <row r="357" spans="1:19">
      <c r="A357" s="29"/>
      <c r="B357" s="29"/>
      <c r="C357" s="29"/>
      <c r="D357" s="29"/>
      <c r="E357" s="29"/>
      <c r="F357" s="29"/>
      <c r="G357" s="29"/>
      <c r="H357" s="29"/>
      <c r="I357" s="29"/>
      <c r="J357" s="29"/>
      <c r="K357" s="29"/>
      <c r="L357" s="29"/>
      <c r="M357" s="29"/>
      <c r="N357" s="29"/>
      <c r="O357" s="29"/>
      <c r="P357" s="29"/>
      <c r="Q357" s="86"/>
      <c r="R357" s="86"/>
      <c r="S357" s="86"/>
    </row>
    <row r="358" spans="1:19">
      <c r="A358" s="29"/>
      <c r="B358" s="29"/>
      <c r="C358" s="29"/>
      <c r="D358" s="29"/>
      <c r="E358" s="29"/>
      <c r="F358" s="29"/>
      <c r="G358" s="29"/>
      <c r="H358" s="29"/>
      <c r="I358" s="29"/>
      <c r="J358" s="29"/>
      <c r="K358" s="29"/>
      <c r="L358" s="29"/>
      <c r="M358" s="29"/>
      <c r="N358" s="29"/>
      <c r="O358" s="29"/>
      <c r="P358" s="29"/>
      <c r="Q358" s="86"/>
      <c r="R358" s="86"/>
      <c r="S358" s="86"/>
    </row>
    <row r="359" spans="1:19">
      <c r="A359" s="29"/>
      <c r="B359" s="29"/>
      <c r="C359" s="29"/>
      <c r="D359" s="29"/>
      <c r="E359" s="29"/>
      <c r="F359" s="29"/>
      <c r="G359" s="29"/>
      <c r="H359" s="29"/>
      <c r="I359" s="29"/>
      <c r="J359" s="29"/>
      <c r="K359" s="29"/>
      <c r="L359" s="29"/>
      <c r="M359" s="29"/>
      <c r="N359" s="29"/>
      <c r="O359" s="29"/>
      <c r="P359" s="29"/>
      <c r="Q359" s="86"/>
      <c r="R359" s="86"/>
      <c r="S359" s="86"/>
    </row>
    <row r="360" spans="1:19">
      <c r="A360" s="29"/>
      <c r="B360" s="29"/>
      <c r="C360" s="29"/>
      <c r="D360" s="29"/>
      <c r="E360" s="29"/>
      <c r="F360" s="29"/>
      <c r="G360" s="29"/>
      <c r="H360" s="29"/>
      <c r="I360" s="29"/>
      <c r="J360" s="29"/>
      <c r="K360" s="29"/>
      <c r="L360" s="29"/>
      <c r="M360" s="29"/>
      <c r="N360" s="29"/>
      <c r="O360" s="29"/>
      <c r="P360" s="29"/>
      <c r="Q360" s="86"/>
      <c r="R360" s="86"/>
      <c r="S360" s="86"/>
    </row>
    <row r="361" spans="1:19">
      <c r="A361" s="29"/>
      <c r="B361" s="29"/>
      <c r="C361" s="29"/>
      <c r="D361" s="29"/>
      <c r="E361" s="29"/>
      <c r="F361" s="29"/>
      <c r="G361" s="29"/>
      <c r="H361" s="29"/>
      <c r="I361" s="29"/>
      <c r="J361" s="29"/>
      <c r="K361" s="29"/>
      <c r="L361" s="29"/>
      <c r="M361" s="29"/>
      <c r="N361" s="29"/>
      <c r="O361" s="29"/>
      <c r="P361" s="29"/>
      <c r="Q361" s="86"/>
      <c r="R361" s="86"/>
      <c r="S361" s="86"/>
    </row>
    <row r="362" spans="1:19">
      <c r="A362" s="29"/>
      <c r="B362" s="29"/>
      <c r="C362" s="29"/>
      <c r="D362" s="29"/>
      <c r="E362" s="29"/>
      <c r="F362" s="29"/>
      <c r="G362" s="29"/>
      <c r="H362" s="29"/>
      <c r="I362" s="29"/>
      <c r="J362" s="29"/>
      <c r="K362" s="29"/>
      <c r="L362" s="29"/>
      <c r="M362" s="29"/>
      <c r="N362" s="29"/>
      <c r="O362" s="29"/>
      <c r="P362" s="29"/>
      <c r="Q362" s="86"/>
      <c r="R362" s="86"/>
      <c r="S362" s="86"/>
    </row>
    <row r="363" spans="1:19">
      <c r="A363" s="29"/>
      <c r="B363" s="29"/>
      <c r="C363" s="29"/>
      <c r="D363" s="29"/>
      <c r="E363" s="29"/>
      <c r="F363" s="29"/>
      <c r="G363" s="29"/>
      <c r="H363" s="29"/>
      <c r="I363" s="29"/>
      <c r="J363" s="29"/>
      <c r="K363" s="29"/>
      <c r="L363" s="29"/>
      <c r="M363" s="29"/>
      <c r="N363" s="29"/>
      <c r="O363" s="29"/>
      <c r="P363" s="29"/>
      <c r="Q363" s="86"/>
      <c r="R363" s="86"/>
      <c r="S363" s="86"/>
    </row>
    <row r="364" spans="1:19">
      <c r="A364" s="29"/>
      <c r="B364" s="29"/>
      <c r="C364" s="29"/>
      <c r="D364" s="29"/>
      <c r="E364" s="29"/>
      <c r="F364" s="29"/>
      <c r="G364" s="29"/>
      <c r="H364" s="29"/>
      <c r="I364" s="29"/>
      <c r="J364" s="29"/>
      <c r="K364" s="29"/>
      <c r="L364" s="29"/>
      <c r="M364" s="29"/>
      <c r="N364" s="29"/>
      <c r="O364" s="29"/>
      <c r="P364" s="29"/>
      <c r="Q364" s="86"/>
      <c r="R364" s="86"/>
      <c r="S364" s="86"/>
    </row>
    <row r="365" spans="1:19">
      <c r="A365" s="29"/>
      <c r="B365" s="29"/>
      <c r="C365" s="29"/>
      <c r="D365" s="29"/>
      <c r="E365" s="29"/>
      <c r="F365" s="29"/>
      <c r="G365" s="29"/>
      <c r="H365" s="29"/>
      <c r="I365" s="29"/>
      <c r="J365" s="29"/>
      <c r="K365" s="29"/>
      <c r="L365" s="29"/>
      <c r="M365" s="29"/>
      <c r="N365" s="29"/>
      <c r="O365" s="29"/>
      <c r="P365" s="29"/>
      <c r="Q365" s="86"/>
      <c r="R365" s="86"/>
      <c r="S365" s="86"/>
    </row>
    <row r="366" spans="1:19">
      <c r="A366" s="29"/>
      <c r="B366" s="29"/>
      <c r="C366" s="29"/>
      <c r="D366" s="29"/>
      <c r="E366" s="29"/>
      <c r="F366" s="29"/>
      <c r="G366" s="29"/>
      <c r="H366" s="29"/>
      <c r="I366" s="29"/>
      <c r="J366" s="29"/>
      <c r="K366" s="29"/>
      <c r="L366" s="29"/>
      <c r="M366" s="29"/>
      <c r="N366" s="29"/>
      <c r="O366" s="29"/>
      <c r="P366" s="29"/>
      <c r="Q366" s="86"/>
      <c r="R366" s="86"/>
      <c r="S366" s="86"/>
    </row>
    <row r="367" spans="1:19">
      <c r="A367" s="29"/>
      <c r="B367" s="29"/>
      <c r="C367" s="29"/>
      <c r="D367" s="29"/>
      <c r="E367" s="29"/>
      <c r="F367" s="29"/>
      <c r="G367" s="29"/>
      <c r="H367" s="29"/>
      <c r="I367" s="29"/>
      <c r="J367" s="29"/>
      <c r="K367" s="29"/>
      <c r="L367" s="29"/>
      <c r="M367" s="29"/>
      <c r="N367" s="29"/>
      <c r="O367" s="29"/>
      <c r="P367" s="29"/>
      <c r="Q367" s="86"/>
      <c r="R367" s="86"/>
      <c r="S367" s="86"/>
    </row>
    <row r="368" spans="1:19">
      <c r="A368" s="29"/>
      <c r="B368" s="29"/>
      <c r="C368" s="29"/>
      <c r="D368" s="29"/>
      <c r="E368" s="29"/>
      <c r="F368" s="29"/>
      <c r="G368" s="29"/>
      <c r="H368" s="29"/>
      <c r="I368" s="29"/>
      <c r="J368" s="29"/>
      <c r="K368" s="29"/>
      <c r="L368" s="29"/>
      <c r="M368" s="29"/>
      <c r="N368" s="29"/>
      <c r="O368" s="29"/>
      <c r="P368" s="29"/>
      <c r="Q368" s="86"/>
      <c r="R368" s="86"/>
      <c r="S368" s="86"/>
    </row>
    <row r="369" spans="1:19">
      <c r="A369" s="29"/>
      <c r="B369" s="29"/>
      <c r="C369" s="29"/>
      <c r="D369" s="29"/>
      <c r="E369" s="29"/>
      <c r="F369" s="29"/>
      <c r="G369" s="29"/>
      <c r="H369" s="29"/>
      <c r="I369" s="29"/>
      <c r="J369" s="29"/>
      <c r="K369" s="29"/>
      <c r="L369" s="29"/>
      <c r="M369" s="29"/>
      <c r="N369" s="29"/>
      <c r="O369" s="29"/>
      <c r="P369" s="29"/>
      <c r="Q369" s="86"/>
      <c r="R369" s="86"/>
      <c r="S369" s="86"/>
    </row>
    <row r="370" spans="1:19">
      <c r="A370" s="29"/>
      <c r="B370" s="29"/>
      <c r="C370" s="29"/>
      <c r="D370" s="29"/>
      <c r="E370" s="29"/>
      <c r="F370" s="29"/>
      <c r="G370" s="29"/>
      <c r="H370" s="29"/>
      <c r="I370" s="29"/>
      <c r="J370" s="29"/>
      <c r="K370" s="29"/>
      <c r="L370" s="29"/>
      <c r="M370" s="29"/>
      <c r="N370" s="29"/>
      <c r="O370" s="29"/>
      <c r="P370" s="29"/>
      <c r="Q370" s="86"/>
      <c r="R370" s="86"/>
      <c r="S370" s="86"/>
    </row>
    <row r="371" spans="1:19">
      <c r="A371" s="29"/>
      <c r="B371" s="29"/>
      <c r="C371" s="29"/>
      <c r="D371" s="29"/>
      <c r="E371" s="29"/>
      <c r="F371" s="29"/>
      <c r="G371" s="29"/>
      <c r="H371" s="29"/>
      <c r="I371" s="29"/>
      <c r="J371" s="29"/>
      <c r="K371" s="29"/>
      <c r="L371" s="29"/>
      <c r="M371" s="29"/>
      <c r="N371" s="29"/>
      <c r="O371" s="29"/>
      <c r="P371" s="29"/>
      <c r="Q371" s="86"/>
      <c r="R371" s="86"/>
      <c r="S371" s="86"/>
    </row>
    <row r="372" spans="1:19">
      <c r="A372" s="29"/>
      <c r="B372" s="29"/>
      <c r="C372" s="29"/>
      <c r="D372" s="29"/>
      <c r="E372" s="29"/>
      <c r="F372" s="29"/>
      <c r="G372" s="29"/>
      <c r="H372" s="29"/>
      <c r="I372" s="29"/>
      <c r="J372" s="29"/>
      <c r="K372" s="29"/>
      <c r="L372" s="29"/>
      <c r="M372" s="29"/>
      <c r="N372" s="29"/>
      <c r="O372" s="29"/>
      <c r="P372" s="29"/>
      <c r="Q372" s="86"/>
      <c r="R372" s="86"/>
      <c r="S372" s="86"/>
    </row>
    <row r="373" spans="1:19">
      <c r="A373" s="29"/>
      <c r="B373" s="29"/>
      <c r="C373" s="29"/>
      <c r="D373" s="29"/>
      <c r="E373" s="29"/>
      <c r="F373" s="29"/>
      <c r="G373" s="29"/>
      <c r="H373" s="29"/>
      <c r="I373" s="29"/>
      <c r="J373" s="29"/>
      <c r="K373" s="29"/>
      <c r="L373" s="29"/>
      <c r="M373" s="29"/>
      <c r="N373" s="29"/>
      <c r="O373" s="29"/>
      <c r="P373" s="29"/>
      <c r="Q373" s="86"/>
      <c r="R373" s="86"/>
      <c r="S373" s="86"/>
    </row>
    <row r="374" spans="1:19">
      <c r="A374" s="29"/>
      <c r="B374" s="29"/>
      <c r="C374" s="29"/>
      <c r="D374" s="29"/>
      <c r="E374" s="29"/>
      <c r="F374" s="29"/>
      <c r="G374" s="29"/>
      <c r="H374" s="29"/>
      <c r="I374" s="29"/>
      <c r="J374" s="29"/>
      <c r="K374" s="29"/>
      <c r="L374" s="29"/>
      <c r="M374" s="29"/>
      <c r="N374" s="29"/>
      <c r="O374" s="29"/>
      <c r="P374" s="29"/>
      <c r="Q374" s="86"/>
      <c r="R374" s="86"/>
      <c r="S374" s="86"/>
    </row>
    <row r="375" spans="1:19">
      <c r="A375" s="29"/>
      <c r="B375" s="29"/>
      <c r="C375" s="29"/>
      <c r="D375" s="29"/>
      <c r="E375" s="29"/>
      <c r="F375" s="29"/>
      <c r="G375" s="29"/>
      <c r="H375" s="29"/>
      <c r="I375" s="29"/>
      <c r="J375" s="29"/>
      <c r="K375" s="29"/>
      <c r="L375" s="29"/>
      <c r="M375" s="29"/>
      <c r="N375" s="29"/>
      <c r="O375" s="29"/>
      <c r="P375" s="29"/>
      <c r="Q375" s="86"/>
      <c r="R375" s="86"/>
      <c r="S375" s="86"/>
    </row>
    <row r="376" spans="1:19">
      <c r="A376" s="29"/>
      <c r="B376" s="29"/>
      <c r="C376" s="29"/>
      <c r="D376" s="29"/>
      <c r="E376" s="29"/>
      <c r="F376" s="29"/>
      <c r="G376" s="29"/>
      <c r="H376" s="29"/>
      <c r="I376" s="29"/>
      <c r="J376" s="29"/>
      <c r="K376" s="29"/>
      <c r="L376" s="29"/>
      <c r="M376" s="29"/>
      <c r="N376" s="29"/>
      <c r="O376" s="29"/>
      <c r="P376" s="29"/>
      <c r="Q376" s="86"/>
      <c r="R376" s="86"/>
      <c r="S376" s="86"/>
    </row>
    <row r="377" spans="1:19">
      <c r="A377" s="29"/>
      <c r="B377" s="29"/>
      <c r="C377" s="29"/>
      <c r="D377" s="29"/>
      <c r="E377" s="29"/>
      <c r="F377" s="29"/>
      <c r="G377" s="29"/>
      <c r="H377" s="29"/>
      <c r="I377" s="29"/>
      <c r="J377" s="29"/>
      <c r="K377" s="29"/>
      <c r="L377" s="29"/>
      <c r="M377" s="29"/>
      <c r="N377" s="29"/>
      <c r="O377" s="29"/>
      <c r="P377" s="29"/>
      <c r="Q377" s="86"/>
      <c r="R377" s="86"/>
      <c r="S377" s="86"/>
    </row>
    <row r="378" spans="1:19">
      <c r="A378" s="29"/>
      <c r="B378" s="29"/>
      <c r="C378" s="29"/>
      <c r="D378" s="29"/>
      <c r="E378" s="29"/>
      <c r="F378" s="29"/>
      <c r="G378" s="29"/>
      <c r="H378" s="29"/>
      <c r="I378" s="29"/>
      <c r="J378" s="29"/>
      <c r="K378" s="29"/>
      <c r="L378" s="29"/>
      <c r="M378" s="29"/>
      <c r="N378" s="29"/>
      <c r="O378" s="29"/>
      <c r="P378" s="29"/>
      <c r="Q378" s="86"/>
      <c r="R378" s="86"/>
      <c r="S378" s="86"/>
    </row>
    <row r="379" spans="1:19">
      <c r="A379" s="29"/>
      <c r="B379" s="29"/>
      <c r="C379" s="29"/>
      <c r="D379" s="29"/>
      <c r="E379" s="29"/>
      <c r="F379" s="29"/>
      <c r="G379" s="29"/>
      <c r="H379" s="29"/>
      <c r="I379" s="29"/>
      <c r="J379" s="29"/>
      <c r="K379" s="29"/>
      <c r="L379" s="29"/>
      <c r="M379" s="29"/>
      <c r="N379" s="29"/>
      <c r="O379" s="29"/>
      <c r="P379" s="29"/>
      <c r="Q379" s="86"/>
      <c r="R379" s="86"/>
      <c r="S379" s="86"/>
    </row>
    <row r="380" spans="1:19">
      <c r="A380" s="29"/>
      <c r="B380" s="29"/>
      <c r="C380" s="29"/>
      <c r="D380" s="29"/>
      <c r="E380" s="29"/>
      <c r="F380" s="29"/>
      <c r="G380" s="29"/>
      <c r="H380" s="29"/>
      <c r="I380" s="29"/>
      <c r="J380" s="29"/>
      <c r="K380" s="29"/>
      <c r="L380" s="29"/>
      <c r="M380" s="29"/>
      <c r="N380" s="29"/>
      <c r="O380" s="29"/>
      <c r="P380" s="29"/>
      <c r="Q380" s="86"/>
      <c r="R380" s="86"/>
      <c r="S380" s="86"/>
    </row>
    <row r="381" spans="1:19">
      <c r="A381" s="29"/>
      <c r="B381" s="29"/>
      <c r="C381" s="29"/>
      <c r="D381" s="29"/>
      <c r="E381" s="29"/>
      <c r="F381" s="29"/>
      <c r="G381" s="29"/>
      <c r="H381" s="29"/>
      <c r="I381" s="29"/>
      <c r="J381" s="29"/>
      <c r="K381" s="29"/>
      <c r="L381" s="29"/>
      <c r="M381" s="29"/>
      <c r="N381" s="29"/>
      <c r="O381" s="29"/>
      <c r="P381" s="29"/>
      <c r="Q381" s="86"/>
      <c r="R381" s="86"/>
      <c r="S381" s="86"/>
    </row>
    <row r="382" spans="1:19">
      <c r="A382" s="29"/>
      <c r="B382" s="29"/>
      <c r="C382" s="29"/>
      <c r="D382" s="29"/>
      <c r="E382" s="29"/>
      <c r="F382" s="29"/>
      <c r="G382" s="29"/>
      <c r="H382" s="29"/>
      <c r="I382" s="29"/>
      <c r="J382" s="29"/>
      <c r="K382" s="29"/>
      <c r="L382" s="29"/>
      <c r="M382" s="29"/>
      <c r="N382" s="29"/>
      <c r="O382" s="29"/>
      <c r="P382" s="29"/>
      <c r="Q382" s="86"/>
      <c r="R382" s="86"/>
      <c r="S382" s="86"/>
    </row>
    <row r="383" spans="1:19">
      <c r="A383" s="29"/>
      <c r="B383" s="29"/>
      <c r="C383" s="29"/>
      <c r="D383" s="29"/>
      <c r="E383" s="29"/>
      <c r="F383" s="29"/>
      <c r="G383" s="29"/>
      <c r="H383" s="29"/>
      <c r="I383" s="29"/>
      <c r="J383" s="29"/>
      <c r="K383" s="29"/>
      <c r="L383" s="29"/>
      <c r="M383" s="29"/>
      <c r="N383" s="29"/>
      <c r="O383" s="29"/>
      <c r="P383" s="29"/>
      <c r="Q383" s="86"/>
      <c r="R383" s="86"/>
      <c r="S383" s="86"/>
    </row>
    <row r="384" spans="1:19">
      <c r="A384" s="29"/>
      <c r="B384" s="29"/>
      <c r="C384" s="29"/>
      <c r="D384" s="29"/>
      <c r="E384" s="29"/>
      <c r="F384" s="29"/>
      <c r="G384" s="29"/>
      <c r="H384" s="29"/>
      <c r="I384" s="29"/>
      <c r="J384" s="29"/>
      <c r="K384" s="29"/>
      <c r="L384" s="29"/>
      <c r="M384" s="29"/>
      <c r="N384" s="29"/>
      <c r="O384" s="29"/>
      <c r="P384" s="29"/>
      <c r="Q384" s="86"/>
      <c r="R384" s="86"/>
      <c r="S384" s="86"/>
    </row>
    <row r="385" spans="1:19">
      <c r="A385" s="29"/>
      <c r="B385" s="29"/>
      <c r="C385" s="29"/>
      <c r="D385" s="29"/>
      <c r="E385" s="29"/>
      <c r="F385" s="29"/>
      <c r="G385" s="29"/>
      <c r="H385" s="29"/>
      <c r="I385" s="29"/>
      <c r="J385" s="29"/>
      <c r="K385" s="29"/>
      <c r="L385" s="29"/>
      <c r="M385" s="29"/>
      <c r="N385" s="29"/>
      <c r="O385" s="29"/>
      <c r="P385" s="29"/>
      <c r="Q385" s="86"/>
      <c r="R385" s="86"/>
      <c r="S385" s="86"/>
    </row>
    <row r="386" spans="1:19">
      <c r="A386" s="29"/>
      <c r="B386" s="29"/>
      <c r="C386" s="29"/>
      <c r="D386" s="29"/>
      <c r="E386" s="29"/>
      <c r="F386" s="29"/>
      <c r="G386" s="29"/>
      <c r="H386" s="29"/>
      <c r="I386" s="29"/>
      <c r="J386" s="29"/>
      <c r="K386" s="29"/>
      <c r="L386" s="29"/>
      <c r="M386" s="29"/>
      <c r="N386" s="29"/>
      <c r="O386" s="29"/>
      <c r="P386" s="29"/>
      <c r="Q386" s="86"/>
      <c r="R386" s="86"/>
      <c r="S386" s="86"/>
    </row>
    <row r="387" spans="1:19">
      <c r="A387" s="29"/>
      <c r="B387" s="29"/>
      <c r="C387" s="29"/>
      <c r="D387" s="29"/>
      <c r="E387" s="29"/>
      <c r="F387" s="29"/>
      <c r="G387" s="29"/>
      <c r="H387" s="29"/>
      <c r="I387" s="29"/>
      <c r="J387" s="29"/>
      <c r="K387" s="29"/>
      <c r="L387" s="29"/>
      <c r="M387" s="29"/>
      <c r="N387" s="29"/>
      <c r="O387" s="29"/>
      <c r="P387" s="29"/>
      <c r="Q387" s="86"/>
      <c r="R387" s="86"/>
      <c r="S387" s="86"/>
    </row>
    <row r="388" spans="1:19">
      <c r="A388" s="29"/>
      <c r="B388" s="29"/>
      <c r="C388" s="29"/>
      <c r="D388" s="29"/>
      <c r="E388" s="29"/>
      <c r="F388" s="29"/>
      <c r="G388" s="29"/>
      <c r="H388" s="29"/>
      <c r="I388" s="29"/>
      <c r="J388" s="29"/>
      <c r="K388" s="29"/>
      <c r="L388" s="29"/>
      <c r="M388" s="29"/>
      <c r="N388" s="29"/>
      <c r="O388" s="29"/>
      <c r="P388" s="29"/>
      <c r="Q388" s="86"/>
      <c r="R388" s="86"/>
      <c r="S388" s="86"/>
    </row>
    <row r="389" spans="1:19">
      <c r="A389" s="29"/>
      <c r="B389" s="29"/>
      <c r="C389" s="29"/>
      <c r="D389" s="29"/>
      <c r="E389" s="29"/>
      <c r="F389" s="29"/>
      <c r="G389" s="29"/>
      <c r="H389" s="29"/>
      <c r="I389" s="29"/>
      <c r="J389" s="29"/>
      <c r="K389" s="29"/>
      <c r="L389" s="29"/>
      <c r="M389" s="29"/>
      <c r="N389" s="29"/>
      <c r="O389" s="29"/>
      <c r="P389" s="29"/>
      <c r="Q389" s="86"/>
      <c r="R389" s="86"/>
      <c r="S389" s="86"/>
    </row>
    <row r="390" spans="1:19">
      <c r="A390" s="29"/>
      <c r="B390" s="29"/>
      <c r="C390" s="29"/>
      <c r="D390" s="29"/>
      <c r="E390" s="29"/>
      <c r="F390" s="29"/>
      <c r="G390" s="29"/>
      <c r="H390" s="29"/>
      <c r="I390" s="29"/>
      <c r="J390" s="29"/>
      <c r="K390" s="29"/>
      <c r="L390" s="29"/>
      <c r="M390" s="29"/>
      <c r="N390" s="29"/>
      <c r="O390" s="29"/>
      <c r="P390" s="29"/>
      <c r="Q390" s="86"/>
      <c r="R390" s="86"/>
      <c r="S390" s="86"/>
    </row>
    <row r="391" spans="1:19">
      <c r="A391" s="29"/>
      <c r="B391" s="29"/>
      <c r="C391" s="29"/>
      <c r="D391" s="29"/>
      <c r="E391" s="29"/>
      <c r="F391" s="29"/>
      <c r="G391" s="29"/>
      <c r="H391" s="29"/>
      <c r="I391" s="29"/>
      <c r="J391" s="29"/>
      <c r="K391" s="29"/>
      <c r="L391" s="29"/>
      <c r="M391" s="29"/>
      <c r="N391" s="29"/>
      <c r="O391" s="29"/>
      <c r="P391" s="29"/>
      <c r="Q391" s="86"/>
      <c r="R391" s="86"/>
      <c r="S391" s="86"/>
    </row>
    <row r="392" spans="1:19">
      <c r="A392" s="29"/>
      <c r="B392" s="29"/>
      <c r="C392" s="29"/>
      <c r="D392" s="29"/>
      <c r="E392" s="29"/>
      <c r="F392" s="29"/>
      <c r="G392" s="29"/>
      <c r="H392" s="29"/>
      <c r="I392" s="29"/>
      <c r="J392" s="29"/>
      <c r="K392" s="29"/>
      <c r="L392" s="29"/>
      <c r="M392" s="29"/>
      <c r="N392" s="29"/>
      <c r="O392" s="29"/>
      <c r="P392" s="29"/>
      <c r="Q392" s="86"/>
      <c r="R392" s="86"/>
      <c r="S392" s="86"/>
    </row>
    <row r="393" spans="1:19">
      <c r="A393" s="29"/>
      <c r="B393" s="29"/>
      <c r="C393" s="29"/>
      <c r="D393" s="29"/>
      <c r="E393" s="29"/>
      <c r="F393" s="29"/>
      <c r="G393" s="29"/>
      <c r="H393" s="29"/>
      <c r="I393" s="29"/>
      <c r="J393" s="29"/>
      <c r="K393" s="29"/>
      <c r="L393" s="29"/>
      <c r="M393" s="29"/>
      <c r="N393" s="29"/>
      <c r="O393" s="29"/>
      <c r="P393" s="29"/>
      <c r="Q393" s="86"/>
      <c r="R393" s="86"/>
      <c r="S393" s="86"/>
    </row>
    <row r="394" spans="1:19">
      <c r="A394" s="29"/>
      <c r="B394" s="29"/>
      <c r="C394" s="29"/>
      <c r="D394" s="29"/>
      <c r="E394" s="29"/>
      <c r="F394" s="29"/>
      <c r="G394" s="29"/>
      <c r="H394" s="29"/>
      <c r="I394" s="29"/>
      <c r="J394" s="29"/>
      <c r="K394" s="29"/>
      <c r="L394" s="29"/>
      <c r="M394" s="29"/>
      <c r="N394" s="29"/>
      <c r="O394" s="29"/>
      <c r="P394" s="29"/>
      <c r="Q394" s="86"/>
      <c r="R394" s="86"/>
      <c r="S394" s="86"/>
    </row>
    <row r="395" spans="1:19">
      <c r="A395" s="29"/>
      <c r="B395" s="29"/>
      <c r="C395" s="29"/>
      <c r="D395" s="29"/>
      <c r="E395" s="29"/>
      <c r="F395" s="29"/>
      <c r="G395" s="29"/>
      <c r="H395" s="29"/>
      <c r="I395" s="29"/>
      <c r="J395" s="29"/>
      <c r="K395" s="29"/>
      <c r="L395" s="29"/>
      <c r="M395" s="29"/>
      <c r="N395" s="29"/>
      <c r="O395" s="29"/>
      <c r="P395" s="29"/>
      <c r="Q395" s="86"/>
      <c r="R395" s="86"/>
      <c r="S395" s="86"/>
    </row>
    <row r="396" spans="1:19">
      <c r="A396" s="29"/>
      <c r="B396" s="29"/>
      <c r="C396" s="29"/>
      <c r="D396" s="29"/>
      <c r="E396" s="29"/>
      <c r="F396" s="29"/>
      <c r="G396" s="29"/>
      <c r="H396" s="29"/>
      <c r="I396" s="29"/>
      <c r="J396" s="29"/>
      <c r="K396" s="29"/>
      <c r="L396" s="29"/>
      <c r="M396" s="29"/>
      <c r="N396" s="29"/>
      <c r="O396" s="29"/>
      <c r="P396" s="29"/>
      <c r="Q396" s="86"/>
      <c r="R396" s="86"/>
      <c r="S396" s="86"/>
    </row>
    <row r="397" spans="1:19">
      <c r="A397" s="29"/>
      <c r="B397" s="29"/>
      <c r="C397" s="29"/>
      <c r="D397" s="29"/>
      <c r="E397" s="29"/>
      <c r="F397" s="29"/>
      <c r="G397" s="29"/>
      <c r="H397" s="29"/>
      <c r="I397" s="29"/>
      <c r="J397" s="29"/>
      <c r="K397" s="29"/>
      <c r="L397" s="29"/>
      <c r="M397" s="29"/>
      <c r="N397" s="29"/>
      <c r="O397" s="29"/>
      <c r="P397" s="29"/>
      <c r="Q397" s="86"/>
      <c r="R397" s="86"/>
      <c r="S397" s="86"/>
    </row>
    <row r="398" spans="1:19">
      <c r="A398" s="29"/>
      <c r="B398" s="29"/>
      <c r="C398" s="29"/>
      <c r="D398" s="29"/>
      <c r="E398" s="29"/>
      <c r="F398" s="29"/>
      <c r="G398" s="29"/>
      <c r="H398" s="29"/>
      <c r="I398" s="29"/>
      <c r="J398" s="29"/>
      <c r="K398" s="29"/>
      <c r="L398" s="29"/>
      <c r="M398" s="29"/>
      <c r="N398" s="29"/>
      <c r="O398" s="29"/>
      <c r="P398" s="29"/>
      <c r="Q398" s="86"/>
      <c r="R398" s="86"/>
      <c r="S398" s="86"/>
    </row>
    <row r="399" spans="1:19">
      <c r="A399" s="29"/>
      <c r="B399" s="29"/>
      <c r="C399" s="29"/>
      <c r="D399" s="29"/>
      <c r="E399" s="29"/>
      <c r="F399" s="29"/>
      <c r="G399" s="29"/>
      <c r="H399" s="29"/>
      <c r="I399" s="29"/>
      <c r="J399" s="29"/>
      <c r="K399" s="29"/>
      <c r="L399" s="29"/>
      <c r="M399" s="29"/>
      <c r="N399" s="29"/>
      <c r="O399" s="29"/>
      <c r="P399" s="29"/>
      <c r="Q399" s="86"/>
      <c r="R399" s="86"/>
      <c r="S399" s="86"/>
    </row>
    <row r="400" spans="1:19">
      <c r="A400" s="29"/>
      <c r="B400" s="29"/>
      <c r="C400" s="29"/>
      <c r="D400" s="29"/>
      <c r="E400" s="29"/>
      <c r="F400" s="29"/>
      <c r="G400" s="29"/>
      <c r="H400" s="29"/>
      <c r="I400" s="29"/>
      <c r="J400" s="29"/>
      <c r="K400" s="29"/>
      <c r="L400" s="29"/>
      <c r="M400" s="29"/>
      <c r="N400" s="29"/>
      <c r="O400" s="29"/>
      <c r="P400" s="29"/>
      <c r="Q400" s="86"/>
      <c r="R400" s="86"/>
      <c r="S400" s="86"/>
    </row>
    <row r="401" spans="1:19">
      <c r="A401" s="29"/>
      <c r="B401" s="29"/>
      <c r="C401" s="29"/>
      <c r="D401" s="29"/>
      <c r="E401" s="29"/>
      <c r="F401" s="29"/>
      <c r="G401" s="29"/>
      <c r="H401" s="29"/>
      <c r="I401" s="29"/>
      <c r="J401" s="29"/>
      <c r="K401" s="29"/>
      <c r="L401" s="29"/>
      <c r="M401" s="29"/>
      <c r="N401" s="29"/>
      <c r="O401" s="29"/>
      <c r="P401" s="29"/>
      <c r="Q401" s="86"/>
      <c r="R401" s="86"/>
      <c r="S401" s="86"/>
    </row>
    <row r="402" spans="1:19">
      <c r="A402" s="29"/>
      <c r="B402" s="29"/>
      <c r="C402" s="29"/>
      <c r="D402" s="29"/>
      <c r="E402" s="29"/>
      <c r="F402" s="29"/>
      <c r="G402" s="29"/>
      <c r="H402" s="29"/>
      <c r="I402" s="29"/>
      <c r="J402" s="29"/>
      <c r="K402" s="29"/>
      <c r="L402" s="29"/>
      <c r="M402" s="29"/>
      <c r="N402" s="29"/>
      <c r="O402" s="29"/>
      <c r="P402" s="29"/>
      <c r="Q402" s="86"/>
      <c r="R402" s="86"/>
      <c r="S402" s="86"/>
    </row>
    <row r="403" spans="1:19">
      <c r="A403" s="29"/>
      <c r="B403" s="29"/>
      <c r="C403" s="29"/>
      <c r="D403" s="29"/>
      <c r="E403" s="29"/>
      <c r="F403" s="29"/>
      <c r="G403" s="29"/>
      <c r="H403" s="29"/>
      <c r="I403" s="29"/>
      <c r="J403" s="29"/>
      <c r="K403" s="29"/>
      <c r="L403" s="29"/>
      <c r="M403" s="29"/>
      <c r="N403" s="29"/>
      <c r="O403" s="29"/>
      <c r="P403" s="29"/>
      <c r="Q403" s="86"/>
      <c r="R403" s="86"/>
      <c r="S403" s="86"/>
    </row>
    <row r="404" spans="1:19">
      <c r="A404" s="29"/>
      <c r="B404" s="29"/>
      <c r="C404" s="29"/>
      <c r="D404" s="29"/>
      <c r="E404" s="29"/>
      <c r="F404" s="29"/>
      <c r="G404" s="29"/>
      <c r="H404" s="29"/>
      <c r="I404" s="29"/>
      <c r="J404" s="29"/>
      <c r="K404" s="29"/>
      <c r="L404" s="29"/>
      <c r="M404" s="29"/>
      <c r="N404" s="29"/>
      <c r="O404" s="29"/>
      <c r="P404" s="29"/>
      <c r="Q404" s="86"/>
      <c r="R404" s="86"/>
      <c r="S404" s="86"/>
    </row>
    <row r="405" spans="1:19">
      <c r="A405" s="29"/>
      <c r="B405" s="29"/>
      <c r="C405" s="29"/>
      <c r="D405" s="29"/>
      <c r="E405" s="29"/>
      <c r="F405" s="29"/>
      <c r="G405" s="29"/>
      <c r="H405" s="29"/>
      <c r="I405" s="29"/>
      <c r="J405" s="29"/>
      <c r="K405" s="29"/>
      <c r="L405" s="29"/>
      <c r="M405" s="29"/>
      <c r="N405" s="29"/>
      <c r="O405" s="29"/>
      <c r="P405" s="29"/>
      <c r="Q405" s="86"/>
      <c r="R405" s="86"/>
      <c r="S405" s="86"/>
    </row>
    <row r="406" spans="1:19">
      <c r="A406" s="29"/>
      <c r="B406" s="29"/>
      <c r="C406" s="29"/>
      <c r="D406" s="29"/>
      <c r="E406" s="29"/>
      <c r="F406" s="29"/>
      <c r="G406" s="29"/>
      <c r="H406" s="29"/>
      <c r="I406" s="29"/>
      <c r="J406" s="29"/>
      <c r="K406" s="29"/>
      <c r="L406" s="29"/>
      <c r="M406" s="29"/>
      <c r="N406" s="29"/>
      <c r="O406" s="29"/>
      <c r="P406" s="29"/>
      <c r="Q406" s="86"/>
      <c r="R406" s="86"/>
      <c r="S406" s="86"/>
    </row>
    <row r="407" spans="1:19">
      <c r="A407" s="29"/>
      <c r="B407" s="29"/>
      <c r="C407" s="29"/>
      <c r="D407" s="29"/>
      <c r="E407" s="29"/>
      <c r="F407" s="29"/>
      <c r="G407" s="29"/>
      <c r="H407" s="29"/>
      <c r="I407" s="29"/>
      <c r="J407" s="29"/>
      <c r="K407" s="29"/>
      <c r="L407" s="29"/>
      <c r="M407" s="29"/>
      <c r="N407" s="29"/>
      <c r="O407" s="29"/>
      <c r="P407" s="29"/>
      <c r="Q407" s="86"/>
      <c r="R407" s="86"/>
      <c r="S407" s="86"/>
    </row>
    <row r="408" spans="1:19">
      <c r="A408" s="29"/>
      <c r="B408" s="29"/>
      <c r="C408" s="29"/>
      <c r="D408" s="29"/>
      <c r="E408" s="29"/>
      <c r="F408" s="29"/>
      <c r="G408" s="29"/>
      <c r="H408" s="29"/>
      <c r="I408" s="29"/>
      <c r="J408" s="29"/>
      <c r="K408" s="29"/>
      <c r="L408" s="29"/>
      <c r="M408" s="29"/>
      <c r="N408" s="29"/>
      <c r="O408" s="29"/>
      <c r="P408" s="29"/>
      <c r="Q408" s="86"/>
      <c r="R408" s="86"/>
      <c r="S408" s="86"/>
    </row>
    <row r="409" spans="1:19">
      <c r="A409" s="29"/>
      <c r="B409" s="29"/>
      <c r="C409" s="29"/>
      <c r="D409" s="29"/>
      <c r="E409" s="29"/>
      <c r="F409" s="29"/>
      <c r="G409" s="29"/>
      <c r="H409" s="29"/>
      <c r="I409" s="29"/>
      <c r="J409" s="29"/>
      <c r="K409" s="29"/>
      <c r="L409" s="29"/>
      <c r="M409" s="29"/>
      <c r="N409" s="29"/>
      <c r="O409" s="29"/>
      <c r="P409" s="29"/>
      <c r="Q409" s="86"/>
      <c r="R409" s="86"/>
      <c r="S409" s="86"/>
    </row>
    <row r="410" spans="1:19">
      <c r="A410" s="29"/>
      <c r="B410" s="29"/>
      <c r="C410" s="29"/>
      <c r="D410" s="29"/>
      <c r="E410" s="29"/>
      <c r="F410" s="29"/>
      <c r="G410" s="29"/>
      <c r="H410" s="29"/>
      <c r="I410" s="29"/>
      <c r="J410" s="29"/>
      <c r="K410" s="29"/>
      <c r="L410" s="29"/>
      <c r="M410" s="29"/>
      <c r="N410" s="29"/>
      <c r="O410" s="29"/>
      <c r="P410" s="29"/>
      <c r="Q410" s="86"/>
      <c r="R410" s="86"/>
      <c r="S410" s="86"/>
    </row>
    <row r="411" spans="1:19">
      <c r="A411" s="29"/>
      <c r="B411" s="29"/>
      <c r="C411" s="29"/>
      <c r="D411" s="29"/>
      <c r="E411" s="29"/>
      <c r="F411" s="29"/>
      <c r="G411" s="29"/>
      <c r="H411" s="29"/>
      <c r="I411" s="29"/>
      <c r="J411" s="29"/>
      <c r="K411" s="29"/>
      <c r="L411" s="29"/>
      <c r="M411" s="29"/>
      <c r="N411" s="29"/>
      <c r="O411" s="29"/>
      <c r="P411" s="29"/>
      <c r="Q411" s="86"/>
      <c r="R411" s="86"/>
      <c r="S411" s="86"/>
    </row>
    <row r="412" spans="1:19">
      <c r="A412" s="29"/>
      <c r="B412" s="29"/>
      <c r="C412" s="29"/>
      <c r="D412" s="29"/>
      <c r="E412" s="29"/>
      <c r="F412" s="29"/>
      <c r="G412" s="29"/>
      <c r="H412" s="29"/>
      <c r="I412" s="29"/>
      <c r="J412" s="29"/>
      <c r="K412" s="29"/>
      <c r="L412" s="29"/>
      <c r="M412" s="29"/>
      <c r="N412" s="29"/>
      <c r="O412" s="29"/>
      <c r="P412" s="29"/>
      <c r="Q412" s="86"/>
      <c r="R412" s="86"/>
      <c r="S412" s="86"/>
    </row>
    <row r="413" spans="1:19">
      <c r="A413" s="29"/>
      <c r="B413" s="29"/>
      <c r="C413" s="29"/>
      <c r="D413" s="29"/>
      <c r="E413" s="29"/>
      <c r="F413" s="29"/>
      <c r="G413" s="29"/>
      <c r="H413" s="29"/>
      <c r="I413" s="29"/>
      <c r="J413" s="29"/>
      <c r="K413" s="29"/>
      <c r="L413" s="29"/>
      <c r="M413" s="29"/>
      <c r="N413" s="29"/>
      <c r="O413" s="29"/>
      <c r="P413" s="29"/>
      <c r="Q413" s="86"/>
      <c r="R413" s="86"/>
      <c r="S413" s="86"/>
    </row>
    <row r="414" spans="1:19">
      <c r="A414" s="29"/>
      <c r="B414" s="29"/>
      <c r="C414" s="29"/>
      <c r="D414" s="29"/>
      <c r="E414" s="29"/>
      <c r="F414" s="29"/>
      <c r="G414" s="29"/>
      <c r="H414" s="29"/>
      <c r="I414" s="29"/>
      <c r="J414" s="29"/>
      <c r="K414" s="29"/>
      <c r="L414" s="29"/>
      <c r="M414" s="29"/>
      <c r="N414" s="29"/>
      <c r="O414" s="29"/>
      <c r="P414" s="29"/>
      <c r="Q414" s="86"/>
      <c r="R414" s="86"/>
      <c r="S414" s="86"/>
    </row>
    <row r="415" spans="1:19">
      <c r="A415" s="29"/>
      <c r="B415" s="29"/>
      <c r="C415" s="29"/>
      <c r="D415" s="29"/>
      <c r="E415" s="29"/>
      <c r="F415" s="29"/>
      <c r="G415" s="29"/>
      <c r="H415" s="29"/>
      <c r="I415" s="29"/>
      <c r="J415" s="29"/>
      <c r="K415" s="29"/>
      <c r="L415" s="29"/>
      <c r="M415" s="29"/>
      <c r="N415" s="29"/>
      <c r="O415" s="29"/>
      <c r="P415" s="29"/>
      <c r="Q415" s="86"/>
      <c r="R415" s="86"/>
      <c r="S415" s="86"/>
    </row>
    <row r="416" spans="1:19">
      <c r="A416" s="29"/>
      <c r="B416" s="29"/>
      <c r="C416" s="29"/>
      <c r="D416" s="29"/>
      <c r="E416" s="29"/>
      <c r="F416" s="29"/>
      <c r="G416" s="29"/>
      <c r="H416" s="29"/>
      <c r="I416" s="29"/>
      <c r="J416" s="29"/>
      <c r="K416" s="29"/>
      <c r="L416" s="29"/>
      <c r="M416" s="29"/>
      <c r="N416" s="29"/>
      <c r="O416" s="29"/>
      <c r="P416" s="29"/>
      <c r="Q416" s="86"/>
      <c r="R416" s="86"/>
      <c r="S416" s="86"/>
    </row>
    <row r="417" spans="1:19">
      <c r="A417" s="29"/>
      <c r="B417" s="29"/>
      <c r="C417" s="29"/>
      <c r="D417" s="29"/>
      <c r="E417" s="29"/>
      <c r="F417" s="29"/>
      <c r="G417" s="29"/>
      <c r="H417" s="29"/>
      <c r="I417" s="29"/>
      <c r="J417" s="29"/>
      <c r="K417" s="29"/>
      <c r="L417" s="29"/>
      <c r="M417" s="29"/>
      <c r="N417" s="29"/>
      <c r="O417" s="29"/>
      <c r="P417" s="29"/>
      <c r="Q417" s="86"/>
      <c r="R417" s="86"/>
      <c r="S417" s="86"/>
    </row>
    <row r="418" spans="1:19">
      <c r="A418" s="29"/>
      <c r="B418" s="29"/>
      <c r="C418" s="29"/>
      <c r="D418" s="29"/>
      <c r="E418" s="29"/>
      <c r="F418" s="29"/>
      <c r="G418" s="29"/>
      <c r="H418" s="29"/>
      <c r="I418" s="29"/>
      <c r="J418" s="29"/>
      <c r="K418" s="29"/>
      <c r="L418" s="29"/>
      <c r="M418" s="29"/>
      <c r="N418" s="29"/>
      <c r="O418" s="29"/>
      <c r="P418" s="29"/>
      <c r="Q418" s="86"/>
      <c r="R418" s="86"/>
      <c r="S418" s="86"/>
    </row>
    <row r="419" spans="1:19">
      <c r="A419" s="29"/>
      <c r="B419" s="29"/>
      <c r="C419" s="29"/>
      <c r="D419" s="29"/>
      <c r="E419" s="29"/>
      <c r="F419" s="29"/>
      <c r="G419" s="29"/>
      <c r="H419" s="29"/>
      <c r="I419" s="29"/>
      <c r="J419" s="29"/>
      <c r="K419" s="29"/>
      <c r="L419" s="29"/>
      <c r="M419" s="29"/>
      <c r="N419" s="29"/>
      <c r="O419" s="29"/>
      <c r="P419" s="29"/>
      <c r="Q419" s="86"/>
      <c r="R419" s="86"/>
      <c r="S419" s="86"/>
    </row>
    <row r="420" spans="1:19">
      <c r="A420" s="29"/>
      <c r="B420" s="29"/>
      <c r="C420" s="29"/>
      <c r="D420" s="29"/>
      <c r="E420" s="29"/>
      <c r="F420" s="29"/>
      <c r="G420" s="29"/>
      <c r="H420" s="29"/>
      <c r="I420" s="29"/>
      <c r="J420" s="29"/>
      <c r="K420" s="29"/>
      <c r="L420" s="29"/>
      <c r="M420" s="29"/>
      <c r="N420" s="29"/>
      <c r="O420" s="29"/>
      <c r="P420" s="29"/>
      <c r="Q420" s="86"/>
      <c r="R420" s="86"/>
      <c r="S420" s="86"/>
    </row>
    <row r="421" spans="1:19">
      <c r="A421" s="29"/>
      <c r="B421" s="29"/>
      <c r="C421" s="29"/>
      <c r="D421" s="29"/>
      <c r="E421" s="29"/>
      <c r="F421" s="29"/>
      <c r="G421" s="29"/>
      <c r="H421" s="29"/>
      <c r="I421" s="29"/>
      <c r="J421" s="29"/>
      <c r="K421" s="29"/>
      <c r="L421" s="29"/>
      <c r="M421" s="29"/>
      <c r="N421" s="29"/>
      <c r="O421" s="29"/>
      <c r="P421" s="29"/>
      <c r="Q421" s="86"/>
      <c r="R421" s="86"/>
      <c r="S421" s="86"/>
    </row>
    <row r="422" spans="1:19">
      <c r="A422" s="29"/>
      <c r="B422" s="29"/>
      <c r="C422" s="29"/>
      <c r="D422" s="29"/>
      <c r="E422" s="29"/>
      <c r="F422" s="29"/>
      <c r="G422" s="29"/>
      <c r="H422" s="29"/>
      <c r="I422" s="29"/>
      <c r="J422" s="29"/>
      <c r="K422" s="29"/>
      <c r="L422" s="29"/>
      <c r="M422" s="29"/>
      <c r="N422" s="29"/>
      <c r="O422" s="29"/>
      <c r="P422" s="29"/>
      <c r="Q422" s="86"/>
      <c r="R422" s="86"/>
      <c r="S422" s="86"/>
    </row>
    <row r="423" spans="1:19">
      <c r="A423" s="29"/>
      <c r="B423" s="29"/>
      <c r="C423" s="29"/>
      <c r="D423" s="29"/>
      <c r="E423" s="29"/>
      <c r="F423" s="29"/>
      <c r="G423" s="29"/>
      <c r="H423" s="29"/>
      <c r="I423" s="29"/>
      <c r="J423" s="29"/>
      <c r="K423" s="29"/>
      <c r="L423" s="29"/>
      <c r="M423" s="29"/>
      <c r="N423" s="29"/>
      <c r="O423" s="29"/>
      <c r="P423" s="29"/>
      <c r="Q423" s="86"/>
      <c r="R423" s="86"/>
      <c r="S423" s="86"/>
    </row>
    <row r="424" spans="1:19">
      <c r="A424" s="29"/>
      <c r="B424" s="29"/>
      <c r="C424" s="29"/>
      <c r="D424" s="29"/>
      <c r="E424" s="29"/>
      <c r="F424" s="29"/>
      <c r="G424" s="29"/>
      <c r="H424" s="29"/>
      <c r="I424" s="29"/>
      <c r="J424" s="29"/>
      <c r="K424" s="29"/>
      <c r="L424" s="29"/>
      <c r="M424" s="29"/>
      <c r="N424" s="29"/>
      <c r="O424" s="29"/>
      <c r="P424" s="29"/>
      <c r="Q424" s="86"/>
      <c r="R424" s="86"/>
      <c r="S424" s="86"/>
    </row>
    <row r="425" spans="1:19">
      <c r="A425" s="29"/>
      <c r="B425" s="29"/>
      <c r="C425" s="29"/>
      <c r="D425" s="29"/>
      <c r="E425" s="29"/>
      <c r="F425" s="29"/>
      <c r="G425" s="29"/>
      <c r="H425" s="29"/>
      <c r="I425" s="29"/>
      <c r="J425" s="29"/>
      <c r="K425" s="29"/>
      <c r="L425" s="29"/>
      <c r="M425" s="29"/>
      <c r="N425" s="29"/>
      <c r="O425" s="29"/>
      <c r="P425" s="29"/>
      <c r="Q425" s="86"/>
      <c r="R425" s="86"/>
      <c r="S425" s="86"/>
    </row>
    <row r="426" spans="1:19">
      <c r="A426" s="29"/>
      <c r="B426" s="29"/>
      <c r="C426" s="29"/>
      <c r="D426" s="29"/>
      <c r="E426" s="29"/>
      <c r="F426" s="29"/>
      <c r="G426" s="29"/>
      <c r="H426" s="29"/>
      <c r="I426" s="29"/>
      <c r="J426" s="29"/>
      <c r="K426" s="29"/>
      <c r="L426" s="29"/>
      <c r="M426" s="29"/>
      <c r="N426" s="29"/>
      <c r="O426" s="29"/>
      <c r="P426" s="29"/>
      <c r="Q426" s="86"/>
      <c r="R426" s="86"/>
      <c r="S426" s="86"/>
    </row>
    <row r="427" spans="1:19">
      <c r="A427" s="29"/>
      <c r="B427" s="29"/>
      <c r="C427" s="29"/>
      <c r="D427" s="29"/>
      <c r="E427" s="29"/>
      <c r="F427" s="29"/>
      <c r="G427" s="29"/>
      <c r="H427" s="29"/>
      <c r="I427" s="29"/>
      <c r="J427" s="29"/>
      <c r="K427" s="29"/>
      <c r="L427" s="29"/>
      <c r="M427" s="29"/>
      <c r="N427" s="29"/>
      <c r="O427" s="29"/>
      <c r="P427" s="29"/>
      <c r="Q427" s="86"/>
      <c r="R427" s="86"/>
      <c r="S427" s="86"/>
    </row>
    <row r="428" spans="1:19">
      <c r="A428" s="29"/>
      <c r="B428" s="29"/>
      <c r="C428" s="29"/>
      <c r="D428" s="29"/>
      <c r="E428" s="29"/>
      <c r="F428" s="29"/>
      <c r="G428" s="29"/>
      <c r="H428" s="29"/>
      <c r="I428" s="29"/>
      <c r="J428" s="29"/>
      <c r="K428" s="29"/>
      <c r="L428" s="29"/>
      <c r="M428" s="29"/>
      <c r="N428" s="29"/>
      <c r="O428" s="29"/>
      <c r="P428" s="29"/>
      <c r="Q428" s="86"/>
      <c r="R428" s="86"/>
      <c r="S428" s="86"/>
    </row>
    <row r="429" spans="1:19">
      <c r="A429" s="29"/>
      <c r="B429" s="29"/>
      <c r="C429" s="29"/>
      <c r="D429" s="29"/>
      <c r="E429" s="29"/>
      <c r="F429" s="29"/>
      <c r="G429" s="29"/>
      <c r="H429" s="29"/>
      <c r="I429" s="29"/>
      <c r="J429" s="29"/>
      <c r="K429" s="29"/>
      <c r="L429" s="29"/>
      <c r="M429" s="29"/>
      <c r="N429" s="29"/>
      <c r="O429" s="29"/>
      <c r="P429" s="29"/>
      <c r="Q429" s="86"/>
      <c r="R429" s="86"/>
      <c r="S429" s="86"/>
    </row>
    <row r="430" spans="1:19">
      <c r="A430" s="29"/>
      <c r="B430" s="29"/>
      <c r="C430" s="29"/>
      <c r="D430" s="29"/>
      <c r="E430" s="29"/>
      <c r="F430" s="29"/>
      <c r="G430" s="29"/>
      <c r="H430" s="29"/>
      <c r="I430" s="29"/>
      <c r="J430" s="29"/>
      <c r="K430" s="29"/>
      <c r="L430" s="29"/>
      <c r="M430" s="29"/>
      <c r="N430" s="29"/>
      <c r="O430" s="29"/>
      <c r="P430" s="29"/>
      <c r="Q430" s="86"/>
      <c r="R430" s="86"/>
      <c r="S430" s="86"/>
    </row>
    <row r="431" spans="1:19">
      <c r="A431" s="29"/>
      <c r="B431" s="29"/>
      <c r="C431" s="29"/>
      <c r="D431" s="29"/>
      <c r="E431" s="29"/>
      <c r="F431" s="29"/>
      <c r="G431" s="29"/>
      <c r="H431" s="29"/>
      <c r="I431" s="29"/>
      <c r="J431" s="29"/>
      <c r="K431" s="29"/>
      <c r="L431" s="29"/>
      <c r="M431" s="29"/>
      <c r="N431" s="29"/>
      <c r="O431" s="29"/>
      <c r="P431" s="29"/>
      <c r="Q431" s="86"/>
      <c r="R431" s="86"/>
      <c r="S431" s="86"/>
    </row>
    <row r="432" spans="1:19">
      <c r="A432" s="29"/>
      <c r="B432" s="29"/>
      <c r="C432" s="29"/>
      <c r="D432" s="29"/>
      <c r="E432" s="29"/>
      <c r="F432" s="29"/>
      <c r="G432" s="29"/>
      <c r="H432" s="29"/>
      <c r="I432" s="29"/>
      <c r="J432" s="29"/>
      <c r="K432" s="29"/>
      <c r="L432" s="29"/>
      <c r="M432" s="29"/>
      <c r="N432" s="29"/>
      <c r="O432" s="29"/>
      <c r="P432" s="29"/>
      <c r="Q432" s="86"/>
      <c r="R432" s="86"/>
      <c r="S432" s="86"/>
    </row>
    <row r="433" spans="1:19">
      <c r="A433" s="29"/>
      <c r="B433" s="29"/>
      <c r="C433" s="29"/>
      <c r="D433" s="29"/>
      <c r="E433" s="29"/>
      <c r="F433" s="29"/>
      <c r="G433" s="29"/>
      <c r="H433" s="29"/>
      <c r="I433" s="29"/>
      <c r="J433" s="29"/>
      <c r="K433" s="29"/>
      <c r="L433" s="29"/>
      <c r="M433" s="29"/>
      <c r="N433" s="29"/>
      <c r="O433" s="29"/>
      <c r="P433" s="29"/>
      <c r="Q433" s="86"/>
      <c r="R433" s="86"/>
      <c r="S433" s="86"/>
    </row>
    <row r="434" spans="1:19">
      <c r="A434" s="29"/>
      <c r="B434" s="29"/>
      <c r="C434" s="29"/>
      <c r="D434" s="29"/>
      <c r="E434" s="29"/>
      <c r="F434" s="29"/>
      <c r="G434" s="29"/>
      <c r="H434" s="29"/>
      <c r="I434" s="29"/>
      <c r="J434" s="29"/>
      <c r="K434" s="29"/>
      <c r="L434" s="29"/>
      <c r="M434" s="29"/>
      <c r="N434" s="29"/>
      <c r="O434" s="29"/>
      <c r="P434" s="29"/>
      <c r="Q434" s="86"/>
      <c r="R434" s="86"/>
      <c r="S434" s="86"/>
    </row>
    <row r="435" spans="1:19">
      <c r="A435" s="29"/>
      <c r="B435" s="29"/>
      <c r="C435" s="29"/>
      <c r="D435" s="29"/>
      <c r="E435" s="29"/>
      <c r="F435" s="29"/>
      <c r="G435" s="29"/>
      <c r="H435" s="29"/>
      <c r="I435" s="29"/>
      <c r="J435" s="29"/>
      <c r="K435" s="29"/>
      <c r="L435" s="29"/>
      <c r="M435" s="29"/>
      <c r="N435" s="29"/>
      <c r="O435" s="29"/>
      <c r="P435" s="29"/>
      <c r="Q435" s="86"/>
      <c r="R435" s="86"/>
      <c r="S435" s="86"/>
    </row>
    <row r="436" spans="1:19">
      <c r="A436" s="29"/>
      <c r="B436" s="29"/>
      <c r="C436" s="29"/>
      <c r="D436" s="29"/>
      <c r="E436" s="29"/>
      <c r="F436" s="29"/>
      <c r="G436" s="29"/>
      <c r="H436" s="29"/>
      <c r="I436" s="29"/>
      <c r="J436" s="29"/>
      <c r="K436" s="29"/>
      <c r="L436" s="29"/>
      <c r="M436" s="29"/>
      <c r="N436" s="29"/>
      <c r="O436" s="29"/>
      <c r="P436" s="29"/>
      <c r="Q436" s="86"/>
      <c r="R436" s="86"/>
      <c r="S436" s="86"/>
    </row>
    <row r="437" spans="1:19">
      <c r="A437" s="29"/>
      <c r="B437" s="29"/>
      <c r="C437" s="29"/>
      <c r="D437" s="29"/>
      <c r="E437" s="29"/>
      <c r="F437" s="29"/>
      <c r="G437" s="29"/>
      <c r="H437" s="29"/>
      <c r="I437" s="29"/>
      <c r="J437" s="29"/>
      <c r="K437" s="29"/>
      <c r="L437" s="29"/>
      <c r="M437" s="29"/>
      <c r="N437" s="29"/>
      <c r="O437" s="29"/>
      <c r="P437" s="29"/>
      <c r="Q437" s="86"/>
      <c r="R437" s="86"/>
      <c r="S437" s="86"/>
    </row>
    <row r="438" spans="1:19">
      <c r="A438" s="29"/>
      <c r="B438" s="29"/>
      <c r="C438" s="29"/>
      <c r="D438" s="29"/>
      <c r="E438" s="29"/>
      <c r="F438" s="29"/>
      <c r="G438" s="29"/>
      <c r="H438" s="29"/>
      <c r="I438" s="29"/>
      <c r="J438" s="29"/>
      <c r="K438" s="29"/>
      <c r="L438" s="29"/>
      <c r="M438" s="29"/>
      <c r="N438" s="29"/>
      <c r="O438" s="29"/>
      <c r="P438" s="29"/>
      <c r="Q438" s="86"/>
      <c r="R438" s="86"/>
      <c r="S438" s="86"/>
    </row>
    <row r="439" spans="1:19">
      <c r="A439" s="29"/>
      <c r="B439" s="29"/>
      <c r="C439" s="29"/>
      <c r="D439" s="29"/>
      <c r="E439" s="29"/>
      <c r="F439" s="29"/>
      <c r="G439" s="29"/>
      <c r="H439" s="29"/>
      <c r="I439" s="29"/>
      <c r="J439" s="29"/>
      <c r="K439" s="29"/>
      <c r="L439" s="29"/>
      <c r="M439" s="29"/>
      <c r="N439" s="29"/>
      <c r="O439" s="29"/>
      <c r="P439" s="29"/>
      <c r="Q439" s="86"/>
      <c r="R439" s="86"/>
      <c r="S439" s="86"/>
    </row>
    <row r="440" spans="1:19">
      <c r="A440" s="29"/>
      <c r="B440" s="29"/>
      <c r="C440" s="29"/>
      <c r="D440" s="29"/>
      <c r="E440" s="29"/>
      <c r="F440" s="29"/>
      <c r="G440" s="29"/>
      <c r="H440" s="29"/>
      <c r="I440" s="29"/>
      <c r="J440" s="29"/>
      <c r="K440" s="29"/>
      <c r="L440" s="29"/>
      <c r="M440" s="29"/>
      <c r="N440" s="29"/>
      <c r="O440" s="29"/>
      <c r="P440" s="29"/>
      <c r="Q440" s="86"/>
      <c r="R440" s="86"/>
      <c r="S440" s="86"/>
    </row>
    <row r="441" spans="1:19">
      <c r="A441" s="29"/>
      <c r="B441" s="29"/>
      <c r="C441" s="29"/>
      <c r="D441" s="29"/>
      <c r="E441" s="29"/>
      <c r="F441" s="29"/>
      <c r="G441" s="29"/>
      <c r="H441" s="29"/>
      <c r="I441" s="29"/>
      <c r="J441" s="29"/>
      <c r="K441" s="29"/>
      <c r="L441" s="29"/>
      <c r="M441" s="29"/>
      <c r="N441" s="29"/>
      <c r="O441" s="29"/>
      <c r="P441" s="29"/>
      <c r="Q441" s="86"/>
      <c r="R441" s="86"/>
      <c r="S441" s="86"/>
    </row>
    <row r="442" spans="1:19">
      <c r="A442" s="29"/>
      <c r="B442" s="29"/>
      <c r="C442" s="29"/>
      <c r="D442" s="29"/>
      <c r="E442" s="29"/>
      <c r="F442" s="29"/>
      <c r="G442" s="29"/>
      <c r="H442" s="29"/>
      <c r="I442" s="29"/>
      <c r="J442" s="29"/>
      <c r="K442" s="29"/>
      <c r="L442" s="29"/>
      <c r="M442" s="29"/>
      <c r="N442" s="29"/>
      <c r="O442" s="29"/>
      <c r="P442" s="29"/>
      <c r="Q442" s="86"/>
      <c r="R442" s="86"/>
      <c r="S442" s="86"/>
    </row>
    <row r="443" spans="1:19">
      <c r="A443" s="29"/>
      <c r="B443" s="29"/>
      <c r="C443" s="29"/>
      <c r="D443" s="29"/>
      <c r="E443" s="29"/>
      <c r="F443" s="29"/>
      <c r="G443" s="29"/>
      <c r="H443" s="29"/>
      <c r="I443" s="29"/>
      <c r="J443" s="29"/>
      <c r="K443" s="29"/>
      <c r="L443" s="29"/>
      <c r="M443" s="29"/>
      <c r="N443" s="29"/>
      <c r="O443" s="29"/>
      <c r="P443" s="29"/>
      <c r="Q443" s="86"/>
      <c r="R443" s="86"/>
      <c r="S443" s="86"/>
    </row>
    <row r="444" spans="1:19">
      <c r="A444" s="29"/>
      <c r="B444" s="29"/>
      <c r="C444" s="29"/>
      <c r="D444" s="29"/>
      <c r="E444" s="29"/>
      <c r="F444" s="29"/>
      <c r="G444" s="29"/>
      <c r="H444" s="29"/>
      <c r="I444" s="29"/>
      <c r="J444" s="29"/>
      <c r="K444" s="29"/>
      <c r="L444" s="29"/>
      <c r="M444" s="29"/>
      <c r="N444" s="29"/>
      <c r="O444" s="29"/>
      <c r="P444" s="29"/>
      <c r="Q444" s="86"/>
      <c r="R444" s="86"/>
      <c r="S444" s="86"/>
    </row>
    <row r="445" spans="1:19">
      <c r="A445" s="29"/>
      <c r="B445" s="29"/>
      <c r="C445" s="29"/>
      <c r="D445" s="29"/>
      <c r="E445" s="29"/>
      <c r="F445" s="29"/>
      <c r="G445" s="29"/>
      <c r="H445" s="29"/>
      <c r="I445" s="29"/>
      <c r="J445" s="29"/>
      <c r="K445" s="29"/>
      <c r="L445" s="29"/>
      <c r="M445" s="29"/>
      <c r="N445" s="29"/>
      <c r="O445" s="29"/>
      <c r="P445" s="29"/>
      <c r="Q445" s="86"/>
      <c r="R445" s="86"/>
      <c r="S445" s="86"/>
    </row>
    <row r="446" spans="1:19">
      <c r="A446" s="29"/>
      <c r="B446" s="29"/>
      <c r="C446" s="29"/>
      <c r="D446" s="29"/>
      <c r="E446" s="29"/>
      <c r="F446" s="29"/>
      <c r="G446" s="29"/>
      <c r="H446" s="29"/>
      <c r="I446" s="29"/>
      <c r="J446" s="29"/>
      <c r="K446" s="29"/>
      <c r="L446" s="29"/>
      <c r="M446" s="29"/>
      <c r="N446" s="29"/>
      <c r="O446" s="29"/>
      <c r="P446" s="29"/>
      <c r="Q446" s="86"/>
      <c r="R446" s="86"/>
      <c r="S446" s="86"/>
    </row>
    <row r="447" spans="1:19">
      <c r="A447" s="29"/>
      <c r="B447" s="29"/>
      <c r="C447" s="29"/>
      <c r="D447" s="29"/>
      <c r="E447" s="29"/>
      <c r="F447" s="29"/>
      <c r="G447" s="29"/>
      <c r="H447" s="29"/>
      <c r="I447" s="29"/>
      <c r="J447" s="29"/>
      <c r="K447" s="29"/>
      <c r="L447" s="29"/>
      <c r="M447" s="29"/>
      <c r="N447" s="29"/>
      <c r="O447" s="29"/>
      <c r="P447" s="29"/>
      <c r="Q447" s="86"/>
      <c r="R447" s="86"/>
      <c r="S447" s="86"/>
    </row>
    <row r="448" spans="1:19">
      <c r="A448" s="29"/>
      <c r="B448" s="29"/>
      <c r="C448" s="29"/>
      <c r="D448" s="29"/>
      <c r="E448" s="29"/>
      <c r="F448" s="29"/>
      <c r="G448" s="29"/>
      <c r="H448" s="29"/>
      <c r="I448" s="29"/>
      <c r="J448" s="29"/>
      <c r="K448" s="29"/>
      <c r="L448" s="29"/>
      <c r="M448" s="29"/>
      <c r="N448" s="29"/>
      <c r="O448" s="29"/>
      <c r="P448" s="29"/>
      <c r="Q448" s="86"/>
      <c r="R448" s="86"/>
      <c r="S448" s="86"/>
    </row>
    <row r="449" spans="1:19">
      <c r="A449" s="29"/>
      <c r="B449" s="29"/>
      <c r="C449" s="29"/>
      <c r="D449" s="29"/>
      <c r="E449" s="29"/>
      <c r="F449" s="29"/>
      <c r="G449" s="29"/>
      <c r="H449" s="29"/>
      <c r="I449" s="29"/>
      <c r="J449" s="29"/>
      <c r="K449" s="29"/>
      <c r="L449" s="29"/>
      <c r="M449" s="29"/>
      <c r="N449" s="29"/>
      <c r="O449" s="29"/>
      <c r="P449" s="29"/>
      <c r="Q449" s="86"/>
      <c r="R449" s="86"/>
      <c r="S449" s="86"/>
    </row>
    <row r="450" spans="1:19">
      <c r="A450" s="29"/>
      <c r="B450" s="29"/>
      <c r="C450" s="29"/>
      <c r="D450" s="29"/>
      <c r="E450" s="29"/>
      <c r="F450" s="29"/>
      <c r="G450" s="29"/>
      <c r="H450" s="29"/>
      <c r="I450" s="29"/>
      <c r="J450" s="29"/>
      <c r="K450" s="29"/>
      <c r="L450" s="29"/>
      <c r="M450" s="29"/>
      <c r="N450" s="29"/>
      <c r="O450" s="29"/>
      <c r="P450" s="29"/>
      <c r="Q450" s="86"/>
      <c r="R450" s="86"/>
      <c r="S450" s="86"/>
    </row>
    <row r="451" spans="1:19">
      <c r="A451" s="29"/>
      <c r="B451" s="29"/>
      <c r="C451" s="29"/>
      <c r="D451" s="29"/>
      <c r="E451" s="29"/>
      <c r="F451" s="29"/>
      <c r="G451" s="29"/>
      <c r="H451" s="29"/>
      <c r="I451" s="29"/>
      <c r="J451" s="29"/>
      <c r="K451" s="29"/>
      <c r="L451" s="29"/>
      <c r="M451" s="29"/>
      <c r="N451" s="29"/>
      <c r="O451" s="29"/>
      <c r="P451" s="29"/>
      <c r="Q451" s="86"/>
      <c r="R451" s="86"/>
      <c r="S451" s="86"/>
    </row>
    <row r="452" spans="1:19">
      <c r="A452" s="29"/>
      <c r="B452" s="29"/>
      <c r="C452" s="29"/>
      <c r="D452" s="29"/>
      <c r="E452" s="29"/>
      <c r="F452" s="29"/>
      <c r="G452" s="29"/>
      <c r="H452" s="29"/>
      <c r="I452" s="29"/>
      <c r="J452" s="29"/>
      <c r="K452" s="29"/>
      <c r="L452" s="29"/>
      <c r="M452" s="29"/>
      <c r="N452" s="29"/>
      <c r="O452" s="29"/>
      <c r="P452" s="29"/>
      <c r="Q452" s="86"/>
      <c r="R452" s="86"/>
      <c r="S452" s="86"/>
    </row>
    <row r="453" spans="1:19">
      <c r="A453" s="29"/>
      <c r="B453" s="29"/>
      <c r="C453" s="29"/>
      <c r="D453" s="29"/>
      <c r="E453" s="29"/>
      <c r="F453" s="29"/>
      <c r="G453" s="29"/>
      <c r="H453" s="29"/>
      <c r="I453" s="29"/>
      <c r="J453" s="29"/>
      <c r="K453" s="29"/>
      <c r="L453" s="29"/>
      <c r="M453" s="29"/>
      <c r="N453" s="29"/>
      <c r="O453" s="29"/>
      <c r="P453" s="29"/>
      <c r="Q453" s="86"/>
      <c r="R453" s="86"/>
      <c r="S453" s="86"/>
    </row>
    <row r="454" spans="1:19">
      <c r="A454" s="29"/>
      <c r="B454" s="29"/>
      <c r="C454" s="29"/>
      <c r="D454" s="29"/>
      <c r="E454" s="29"/>
      <c r="F454" s="29"/>
      <c r="G454" s="29"/>
      <c r="H454" s="29"/>
      <c r="I454" s="29"/>
      <c r="J454" s="29"/>
      <c r="K454" s="29"/>
      <c r="L454" s="29"/>
      <c r="M454" s="29"/>
      <c r="N454" s="29"/>
      <c r="O454" s="29"/>
      <c r="P454" s="29"/>
      <c r="Q454" s="86"/>
      <c r="R454" s="86"/>
      <c r="S454" s="86"/>
    </row>
    <row r="455" spans="1:19">
      <c r="A455" s="29"/>
      <c r="B455" s="29"/>
      <c r="C455" s="29"/>
      <c r="D455" s="29"/>
      <c r="E455" s="29"/>
      <c r="F455" s="29"/>
      <c r="G455" s="29"/>
      <c r="H455" s="29"/>
      <c r="I455" s="29"/>
      <c r="J455" s="29"/>
      <c r="K455" s="29"/>
      <c r="L455" s="29"/>
      <c r="M455" s="29"/>
      <c r="N455" s="29"/>
      <c r="O455" s="29"/>
      <c r="P455" s="29"/>
      <c r="Q455" s="86"/>
      <c r="R455" s="86"/>
      <c r="S455" s="86"/>
    </row>
    <row r="456" spans="1:19">
      <c r="A456" s="29"/>
      <c r="B456" s="29"/>
      <c r="C456" s="29"/>
      <c r="D456" s="29"/>
      <c r="E456" s="29"/>
      <c r="F456" s="29"/>
      <c r="G456" s="29"/>
      <c r="H456" s="29"/>
      <c r="I456" s="29"/>
      <c r="J456" s="29"/>
      <c r="K456" s="29"/>
      <c r="L456" s="29"/>
      <c r="M456" s="29"/>
      <c r="N456" s="29"/>
      <c r="O456" s="29"/>
      <c r="P456" s="29"/>
      <c r="Q456" s="86"/>
      <c r="R456" s="86"/>
      <c r="S456" s="86"/>
    </row>
    <row r="457" spans="1:19">
      <c r="A457" s="29"/>
      <c r="B457" s="29"/>
      <c r="C457" s="29"/>
      <c r="D457" s="29"/>
      <c r="E457" s="29"/>
      <c r="F457" s="29"/>
      <c r="G457" s="29"/>
      <c r="H457" s="29"/>
      <c r="I457" s="29"/>
      <c r="J457" s="29"/>
      <c r="K457" s="29"/>
      <c r="L457" s="29"/>
      <c r="M457" s="29"/>
      <c r="N457" s="29"/>
      <c r="O457" s="29"/>
      <c r="P457" s="29"/>
      <c r="Q457" s="86"/>
      <c r="R457" s="86"/>
      <c r="S457" s="86"/>
    </row>
    <row r="458" spans="1:19">
      <c r="A458" s="29"/>
      <c r="B458" s="29"/>
      <c r="C458" s="29"/>
      <c r="D458" s="29"/>
      <c r="E458" s="29"/>
      <c r="F458" s="29"/>
      <c r="G458" s="29"/>
      <c r="H458" s="29"/>
      <c r="I458" s="29"/>
      <c r="J458" s="29"/>
      <c r="K458" s="29"/>
      <c r="L458" s="29"/>
      <c r="M458" s="29"/>
      <c r="N458" s="29"/>
      <c r="O458" s="29"/>
      <c r="P458" s="29"/>
      <c r="Q458" s="86"/>
      <c r="R458" s="86"/>
      <c r="S458" s="86"/>
    </row>
    <row r="459" spans="1:19">
      <c r="A459" s="29"/>
      <c r="B459" s="29"/>
      <c r="C459" s="29"/>
      <c r="D459" s="29"/>
      <c r="E459" s="29"/>
      <c r="F459" s="29"/>
      <c r="G459" s="29"/>
      <c r="H459" s="29"/>
      <c r="I459" s="29"/>
      <c r="J459" s="29"/>
      <c r="K459" s="29"/>
      <c r="L459" s="29"/>
      <c r="M459" s="29"/>
      <c r="N459" s="29"/>
      <c r="O459" s="29"/>
      <c r="P459" s="29"/>
      <c r="Q459" s="86"/>
      <c r="R459" s="86"/>
      <c r="S459" s="86"/>
    </row>
    <row r="460" spans="1:19">
      <c r="A460" s="29"/>
      <c r="B460" s="29"/>
      <c r="C460" s="29"/>
      <c r="D460" s="29"/>
      <c r="E460" s="29"/>
      <c r="F460" s="29"/>
      <c r="G460" s="29"/>
      <c r="H460" s="29"/>
      <c r="I460" s="29"/>
      <c r="J460" s="29"/>
      <c r="K460" s="29"/>
      <c r="L460" s="29"/>
      <c r="M460" s="29"/>
      <c r="N460" s="29"/>
      <c r="O460" s="29"/>
      <c r="P460" s="29"/>
      <c r="Q460" s="86"/>
      <c r="R460" s="86"/>
      <c r="S460" s="86"/>
    </row>
    <row r="461" spans="1:19">
      <c r="A461" s="29"/>
      <c r="B461" s="29"/>
      <c r="C461" s="29"/>
      <c r="D461" s="29"/>
      <c r="E461" s="29"/>
      <c r="F461" s="29"/>
      <c r="G461" s="29"/>
      <c r="H461" s="29"/>
      <c r="I461" s="29"/>
      <c r="J461" s="29"/>
      <c r="K461" s="29"/>
      <c r="L461" s="29"/>
      <c r="M461" s="29"/>
      <c r="N461" s="29"/>
      <c r="O461" s="29"/>
      <c r="P461" s="29"/>
      <c r="Q461" s="86"/>
      <c r="R461" s="86"/>
      <c r="S461" s="86"/>
    </row>
    <row r="462" spans="1:19">
      <c r="A462" s="29"/>
      <c r="B462" s="29"/>
      <c r="C462" s="29"/>
      <c r="D462" s="29"/>
      <c r="E462" s="29"/>
      <c r="F462" s="29"/>
      <c r="G462" s="29"/>
      <c r="H462" s="29"/>
      <c r="I462" s="29"/>
      <c r="J462" s="29"/>
      <c r="K462" s="29"/>
      <c r="L462" s="29"/>
      <c r="M462" s="29"/>
      <c r="N462" s="29"/>
      <c r="O462" s="29"/>
      <c r="P462" s="29"/>
      <c r="Q462" s="86"/>
      <c r="R462" s="86"/>
      <c r="S462" s="86"/>
    </row>
    <row r="463" spans="1:19">
      <c r="A463" s="29"/>
      <c r="B463" s="29"/>
      <c r="C463" s="29"/>
      <c r="D463" s="29"/>
      <c r="E463" s="29"/>
      <c r="F463" s="29"/>
      <c r="G463" s="29"/>
      <c r="H463" s="29"/>
      <c r="I463" s="29"/>
      <c r="J463" s="29"/>
      <c r="K463" s="29"/>
      <c r="L463" s="29"/>
      <c r="M463" s="29"/>
      <c r="N463" s="29"/>
      <c r="O463" s="29"/>
      <c r="P463" s="29"/>
      <c r="Q463" s="86"/>
      <c r="R463" s="86"/>
      <c r="S463" s="86"/>
    </row>
    <row r="464" spans="1:19">
      <c r="A464" s="29"/>
      <c r="B464" s="29"/>
      <c r="C464" s="29"/>
      <c r="D464" s="29"/>
      <c r="E464" s="29"/>
      <c r="F464" s="29"/>
      <c r="G464" s="29"/>
      <c r="H464" s="29"/>
      <c r="I464" s="29"/>
      <c r="J464" s="29"/>
      <c r="K464" s="29"/>
      <c r="L464" s="29"/>
      <c r="M464" s="29"/>
      <c r="N464" s="29"/>
      <c r="O464" s="29"/>
      <c r="P464" s="29"/>
      <c r="Q464" s="86"/>
      <c r="R464" s="86"/>
      <c r="S464" s="86"/>
    </row>
    <row r="465" spans="1:19">
      <c r="A465" s="29"/>
      <c r="B465" s="29"/>
      <c r="C465" s="29"/>
      <c r="D465" s="29"/>
      <c r="E465" s="29"/>
      <c r="F465" s="29"/>
      <c r="G465" s="29"/>
      <c r="H465" s="29"/>
      <c r="I465" s="29"/>
      <c r="J465" s="29"/>
      <c r="K465" s="29"/>
      <c r="L465" s="29"/>
      <c r="M465" s="29"/>
      <c r="N465" s="29"/>
      <c r="O465" s="29"/>
      <c r="P465" s="29"/>
      <c r="Q465" s="86"/>
      <c r="R465" s="86"/>
      <c r="S465" s="86"/>
    </row>
    <row r="466" spans="1:19">
      <c r="A466" s="29"/>
      <c r="B466" s="29"/>
      <c r="C466" s="29"/>
      <c r="D466" s="29"/>
      <c r="E466" s="29"/>
      <c r="F466" s="29"/>
      <c r="G466" s="29"/>
      <c r="H466" s="29"/>
      <c r="I466" s="29"/>
      <c r="J466" s="29"/>
      <c r="K466" s="29"/>
      <c r="L466" s="29"/>
      <c r="M466" s="29"/>
      <c r="N466" s="29"/>
      <c r="O466" s="29"/>
      <c r="P466" s="29"/>
      <c r="Q466" s="86"/>
      <c r="R466" s="86"/>
      <c r="S466" s="86"/>
    </row>
    <row r="467" spans="1:19">
      <c r="A467" s="29"/>
      <c r="B467" s="29"/>
      <c r="C467" s="29"/>
      <c r="D467" s="29"/>
      <c r="E467" s="29"/>
      <c r="F467" s="29"/>
      <c r="G467" s="29"/>
      <c r="H467" s="29"/>
      <c r="I467" s="29"/>
      <c r="J467" s="29"/>
      <c r="K467" s="29"/>
      <c r="L467" s="29"/>
      <c r="M467" s="29"/>
      <c r="N467" s="29"/>
      <c r="O467" s="29"/>
      <c r="P467" s="29"/>
      <c r="Q467" s="86"/>
      <c r="R467" s="86"/>
      <c r="S467" s="86"/>
    </row>
    <row r="468" spans="1:19">
      <c r="A468" s="29"/>
      <c r="B468" s="29"/>
      <c r="C468" s="29"/>
      <c r="D468" s="29"/>
      <c r="E468" s="29"/>
      <c r="F468" s="29"/>
      <c r="G468" s="29"/>
      <c r="H468" s="29"/>
      <c r="I468" s="29"/>
      <c r="J468" s="29"/>
      <c r="K468" s="29"/>
      <c r="L468" s="29"/>
      <c r="M468" s="29"/>
      <c r="N468" s="29"/>
      <c r="O468" s="29"/>
      <c r="P468" s="29"/>
      <c r="Q468" s="86"/>
      <c r="R468" s="86"/>
      <c r="S468" s="86"/>
    </row>
    <row r="469" spans="1:19">
      <c r="A469" s="29"/>
      <c r="B469" s="29"/>
      <c r="C469" s="29"/>
      <c r="D469" s="29"/>
      <c r="E469" s="29"/>
      <c r="F469" s="29"/>
      <c r="G469" s="29"/>
      <c r="H469" s="29"/>
      <c r="I469" s="29"/>
      <c r="J469" s="29"/>
      <c r="K469" s="29"/>
      <c r="L469" s="29"/>
      <c r="M469" s="29"/>
      <c r="N469" s="29"/>
      <c r="O469" s="29"/>
      <c r="P469" s="29"/>
      <c r="Q469" s="86"/>
      <c r="R469" s="86"/>
      <c r="S469" s="86"/>
    </row>
    <row r="470" spans="1:19">
      <c r="A470" s="29"/>
      <c r="B470" s="29"/>
      <c r="C470" s="29"/>
      <c r="D470" s="29"/>
      <c r="E470" s="29"/>
      <c r="F470" s="29"/>
      <c r="G470" s="29"/>
      <c r="H470" s="29"/>
      <c r="I470" s="29"/>
      <c r="J470" s="29"/>
      <c r="K470" s="29"/>
      <c r="L470" s="29"/>
      <c r="M470" s="29"/>
      <c r="N470" s="29"/>
      <c r="O470" s="29"/>
      <c r="P470" s="29"/>
      <c r="Q470" s="86"/>
      <c r="R470" s="86"/>
      <c r="S470" s="86"/>
    </row>
    <row r="471" spans="1:19">
      <c r="A471" s="29"/>
      <c r="B471" s="29"/>
      <c r="C471" s="29"/>
      <c r="D471" s="29"/>
      <c r="E471" s="29"/>
      <c r="F471" s="29"/>
      <c r="G471" s="29"/>
      <c r="H471" s="29"/>
      <c r="I471" s="29"/>
      <c r="J471" s="29"/>
      <c r="K471" s="29"/>
      <c r="L471" s="29"/>
      <c r="M471" s="29"/>
      <c r="N471" s="29"/>
      <c r="O471" s="29"/>
      <c r="P471" s="29"/>
      <c r="Q471" s="86"/>
      <c r="R471" s="86"/>
      <c r="S471" s="86"/>
    </row>
    <row r="472" spans="1:19">
      <c r="A472" s="29"/>
      <c r="B472" s="29"/>
      <c r="C472" s="29"/>
      <c r="D472" s="29"/>
      <c r="E472" s="29"/>
      <c r="F472" s="29"/>
      <c r="G472" s="29"/>
      <c r="H472" s="29"/>
      <c r="I472" s="29"/>
      <c r="J472" s="29"/>
      <c r="K472" s="29"/>
      <c r="L472" s="29"/>
      <c r="M472" s="29"/>
      <c r="N472" s="29"/>
      <c r="O472" s="29"/>
      <c r="P472" s="29"/>
      <c r="Q472" s="86"/>
      <c r="R472" s="86"/>
      <c r="S472" s="86"/>
    </row>
    <row r="473" spans="1:19">
      <c r="A473" s="29"/>
      <c r="B473" s="29"/>
      <c r="C473" s="29"/>
      <c r="D473" s="29"/>
      <c r="E473" s="29"/>
      <c r="F473" s="29"/>
      <c r="G473" s="29"/>
      <c r="H473" s="29"/>
      <c r="I473" s="29"/>
      <c r="J473" s="29"/>
      <c r="K473" s="29"/>
      <c r="L473" s="29"/>
      <c r="M473" s="29"/>
      <c r="N473" s="29"/>
      <c r="O473" s="29"/>
      <c r="P473" s="29"/>
      <c r="Q473" s="86"/>
      <c r="R473" s="86"/>
      <c r="S473" s="86"/>
    </row>
    <row r="474" spans="1:19">
      <c r="A474" s="29"/>
      <c r="B474" s="29"/>
      <c r="C474" s="29"/>
      <c r="D474" s="29"/>
      <c r="E474" s="29"/>
      <c r="F474" s="29"/>
      <c r="G474" s="29"/>
      <c r="H474" s="29"/>
      <c r="I474" s="29"/>
      <c r="J474" s="29"/>
      <c r="K474" s="29"/>
      <c r="L474" s="29"/>
      <c r="M474" s="29"/>
      <c r="N474" s="29"/>
      <c r="O474" s="29"/>
      <c r="P474" s="29"/>
      <c r="Q474" s="86"/>
      <c r="R474" s="86"/>
      <c r="S474" s="86"/>
    </row>
    <row r="475" spans="1:19">
      <c r="A475" s="29"/>
      <c r="B475" s="29"/>
      <c r="C475" s="29"/>
      <c r="D475" s="29"/>
      <c r="E475" s="29"/>
      <c r="F475" s="29"/>
      <c r="G475" s="29"/>
      <c r="H475" s="29"/>
      <c r="I475" s="29"/>
      <c r="J475" s="29"/>
      <c r="K475" s="29"/>
      <c r="L475" s="29"/>
      <c r="M475" s="29"/>
      <c r="N475" s="29"/>
      <c r="O475" s="29"/>
      <c r="P475" s="29"/>
      <c r="Q475" s="86"/>
      <c r="R475" s="86"/>
      <c r="S475" s="86"/>
    </row>
    <row r="476" spans="1:19">
      <c r="A476" s="29"/>
      <c r="B476" s="29"/>
      <c r="C476" s="29"/>
      <c r="D476" s="29"/>
      <c r="E476" s="29"/>
      <c r="F476" s="29"/>
      <c r="G476" s="29"/>
      <c r="H476" s="29"/>
      <c r="I476" s="29"/>
      <c r="J476" s="29"/>
      <c r="K476" s="29"/>
      <c r="L476" s="29"/>
      <c r="M476" s="29"/>
      <c r="N476" s="29"/>
      <c r="O476" s="29"/>
      <c r="P476" s="29"/>
      <c r="Q476" s="86"/>
      <c r="R476" s="86"/>
      <c r="S476" s="86"/>
    </row>
    <row r="477" spans="1:19">
      <c r="A477" s="29"/>
      <c r="B477" s="29"/>
      <c r="C477" s="29"/>
      <c r="D477" s="29"/>
      <c r="E477" s="29"/>
      <c r="F477" s="29"/>
      <c r="G477" s="29"/>
      <c r="H477" s="29"/>
      <c r="I477" s="29"/>
      <c r="J477" s="29"/>
      <c r="K477" s="29"/>
      <c r="L477" s="29"/>
      <c r="M477" s="29"/>
      <c r="N477" s="29"/>
      <c r="O477" s="29"/>
      <c r="P477" s="29"/>
      <c r="Q477" s="86"/>
      <c r="R477" s="86"/>
      <c r="S477" s="86"/>
    </row>
  </sheetData>
  <mergeCells count="123">
    <mergeCell ref="K123:M123"/>
    <mergeCell ref="N123:P123"/>
    <mergeCell ref="Q123:S123"/>
    <mergeCell ref="A120:J120"/>
    <mergeCell ref="A121:J121"/>
    <mergeCell ref="A122:J122"/>
    <mergeCell ref="A123:J123"/>
    <mergeCell ref="A125:J125"/>
    <mergeCell ref="A1:J1"/>
    <mergeCell ref="A2:J2"/>
    <mergeCell ref="A3:J3"/>
    <mergeCell ref="A4:J4"/>
    <mergeCell ref="I5:J5"/>
    <mergeCell ref="A6:J6"/>
    <mergeCell ref="I13:J13"/>
    <mergeCell ref="I14:J14"/>
    <mergeCell ref="I15:J15"/>
    <mergeCell ref="I16:J16"/>
    <mergeCell ref="I17:J17"/>
    <mergeCell ref="I18:J18"/>
    <mergeCell ref="I7:J7"/>
    <mergeCell ref="I8:J8"/>
    <mergeCell ref="I9:J9"/>
    <mergeCell ref="I10:J10"/>
    <mergeCell ref="I11:J11"/>
    <mergeCell ref="I12:J12"/>
    <mergeCell ref="I25:J25"/>
    <mergeCell ref="I26:J26"/>
    <mergeCell ref="I27:J27"/>
    <mergeCell ref="I28:J28"/>
    <mergeCell ref="I29:J29"/>
    <mergeCell ref="I30:J30"/>
    <mergeCell ref="I19:J19"/>
    <mergeCell ref="I20:J20"/>
    <mergeCell ref="I21:J21"/>
    <mergeCell ref="I22:J22"/>
    <mergeCell ref="I23:J23"/>
    <mergeCell ref="I24:J24"/>
    <mergeCell ref="I37:J37"/>
    <mergeCell ref="I38:J38"/>
    <mergeCell ref="I39:J39"/>
    <mergeCell ref="I40:J40"/>
    <mergeCell ref="I41:J41"/>
    <mergeCell ref="I42:J42"/>
    <mergeCell ref="I31:J31"/>
    <mergeCell ref="I32:J32"/>
    <mergeCell ref="I33:J33"/>
    <mergeCell ref="I34:J34"/>
    <mergeCell ref="I35:J35"/>
    <mergeCell ref="I36:J36"/>
    <mergeCell ref="I49:J49"/>
    <mergeCell ref="I50:J50"/>
    <mergeCell ref="I51:J51"/>
    <mergeCell ref="I52:J52"/>
    <mergeCell ref="I53:J53"/>
    <mergeCell ref="I54:J54"/>
    <mergeCell ref="I43:J43"/>
    <mergeCell ref="I44:J44"/>
    <mergeCell ref="I45:J45"/>
    <mergeCell ref="I46:J46"/>
    <mergeCell ref="I47:J47"/>
    <mergeCell ref="I48:J48"/>
    <mergeCell ref="I61:J61"/>
    <mergeCell ref="I62:J62"/>
    <mergeCell ref="I63:J63"/>
    <mergeCell ref="I64:J64"/>
    <mergeCell ref="I65:J65"/>
    <mergeCell ref="I66:J66"/>
    <mergeCell ref="I55:J55"/>
    <mergeCell ref="I56:J56"/>
    <mergeCell ref="I57:J57"/>
    <mergeCell ref="I58:J58"/>
    <mergeCell ref="I59:J59"/>
    <mergeCell ref="I60:J60"/>
    <mergeCell ref="I73:J73"/>
    <mergeCell ref="I74:J74"/>
    <mergeCell ref="I75:J75"/>
    <mergeCell ref="I76:J76"/>
    <mergeCell ref="I77:J77"/>
    <mergeCell ref="I78:J78"/>
    <mergeCell ref="I67:J67"/>
    <mergeCell ref="I68:J68"/>
    <mergeCell ref="I69:J69"/>
    <mergeCell ref="I70:J70"/>
    <mergeCell ref="I71:J71"/>
    <mergeCell ref="I72:J72"/>
    <mergeCell ref="I85:J85"/>
    <mergeCell ref="I86:J86"/>
    <mergeCell ref="I87:J87"/>
    <mergeCell ref="I88:J88"/>
    <mergeCell ref="I89:J89"/>
    <mergeCell ref="I90:J90"/>
    <mergeCell ref="I79:J79"/>
    <mergeCell ref="I80:J80"/>
    <mergeCell ref="I81:J81"/>
    <mergeCell ref="I82:J82"/>
    <mergeCell ref="I83:J83"/>
    <mergeCell ref="I84:J84"/>
    <mergeCell ref="H97:I97"/>
    <mergeCell ref="H98:I98"/>
    <mergeCell ref="H99:I99"/>
    <mergeCell ref="H100:I100"/>
    <mergeCell ref="H101:I101"/>
    <mergeCell ref="H102:I102"/>
    <mergeCell ref="I91:J91"/>
    <mergeCell ref="A92:J92"/>
    <mergeCell ref="H93:I93"/>
    <mergeCell ref="H94:I94"/>
    <mergeCell ref="H95:I95"/>
    <mergeCell ref="H96:I96"/>
    <mergeCell ref="H115:I115"/>
    <mergeCell ref="H109:I109"/>
    <mergeCell ref="H110:I110"/>
    <mergeCell ref="H111:I111"/>
    <mergeCell ref="A112:J112"/>
    <mergeCell ref="H113:I113"/>
    <mergeCell ref="A114:J114"/>
    <mergeCell ref="H103:I103"/>
    <mergeCell ref="H104:I104"/>
    <mergeCell ref="H105:I105"/>
    <mergeCell ref="H106:I106"/>
    <mergeCell ref="H107:I107"/>
    <mergeCell ref="H108:I108"/>
  </mergeCells>
  <pageMargins left="0.7" right="0.7" top="0.75" bottom="0.75" header="0.3" footer="0.3"/>
  <pageSetup orientation="portrait" horizontalDpi="1200" verticalDpi="1200"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24"/>
  <sheetViews>
    <sheetView zoomScaleNormal="100" workbookViewId="0">
      <selection activeCell="I5" sqref="I5"/>
    </sheetView>
  </sheetViews>
  <sheetFormatPr defaultRowHeight="15"/>
  <cols>
    <col min="1" max="1" width="17.5703125" style="12" customWidth="1"/>
    <col min="2" max="2" width="21.140625" customWidth="1"/>
    <col min="3" max="3" width="15.7109375" customWidth="1"/>
    <col min="4" max="4" width="14.5703125" customWidth="1"/>
    <col min="5" max="5" width="23.140625" bestFit="1" customWidth="1"/>
    <col min="6" max="6" width="20.140625" customWidth="1"/>
    <col min="7" max="7" width="22.140625" customWidth="1"/>
    <col min="8" max="8" width="15.85546875" customWidth="1"/>
    <col min="9" max="9" width="38.5703125" customWidth="1"/>
    <col min="15" max="15" width="18.5703125" bestFit="1" customWidth="1"/>
  </cols>
  <sheetData>
    <row r="1" spans="1:11">
      <c r="A1" s="41"/>
      <c r="B1" s="415" t="s">
        <v>872</v>
      </c>
      <c r="C1" s="415"/>
      <c r="D1" s="415"/>
      <c r="E1" s="41"/>
      <c r="F1" s="415" t="s">
        <v>873</v>
      </c>
      <c r="G1" s="415"/>
      <c r="H1" s="415"/>
      <c r="I1" s="41"/>
      <c r="J1" s="41"/>
      <c r="K1" s="41"/>
    </row>
    <row r="2" spans="1:11">
      <c r="A2" s="41"/>
      <c r="B2" s="44" t="s">
        <v>874</v>
      </c>
      <c r="C2" s="16">
        <v>0.95399999999999996</v>
      </c>
      <c r="D2" s="14">
        <v>17.100000000000001</v>
      </c>
      <c r="E2" s="41" t="s">
        <v>875</v>
      </c>
      <c r="F2" s="44" t="s">
        <v>876</v>
      </c>
      <c r="G2" s="16">
        <v>0.12</v>
      </c>
      <c r="H2" s="14">
        <v>30</v>
      </c>
      <c r="I2" s="42" t="s">
        <v>877</v>
      </c>
      <c r="J2" s="41"/>
      <c r="K2" s="41"/>
    </row>
    <row r="3" spans="1:11">
      <c r="A3" s="41"/>
      <c r="B3" s="44" t="s">
        <v>878</v>
      </c>
      <c r="C3" s="16">
        <v>0.97</v>
      </c>
      <c r="D3" s="14">
        <v>19.350000000000001</v>
      </c>
      <c r="E3" s="41" t="s">
        <v>879</v>
      </c>
      <c r="F3" s="44" t="s">
        <v>880</v>
      </c>
      <c r="G3" s="16">
        <v>0.1527</v>
      </c>
      <c r="H3" s="14">
        <v>48</v>
      </c>
      <c r="I3" s="42" t="s">
        <v>881</v>
      </c>
      <c r="J3" s="41"/>
      <c r="K3" s="41"/>
    </row>
    <row r="4" spans="1:11">
      <c r="A4" s="41"/>
      <c r="B4" s="44" t="s">
        <v>882</v>
      </c>
      <c r="C4" s="16">
        <v>1.6519999999999999</v>
      </c>
      <c r="D4" s="14">
        <v>19.350000000000001</v>
      </c>
      <c r="E4" s="41" t="s">
        <v>883</v>
      </c>
      <c r="F4" s="44" t="s">
        <v>884</v>
      </c>
      <c r="G4" s="16">
        <v>0.24</v>
      </c>
      <c r="H4" s="14">
        <v>157.5</v>
      </c>
      <c r="I4" s="42" t="s">
        <v>885</v>
      </c>
      <c r="J4" s="41"/>
      <c r="K4" s="41"/>
    </row>
    <row r="5" spans="1:11">
      <c r="A5" s="41"/>
      <c r="B5" s="44" t="s">
        <v>886</v>
      </c>
      <c r="C5" s="16">
        <v>1.456</v>
      </c>
      <c r="D5" s="14">
        <v>17.100000000000001</v>
      </c>
      <c r="E5" s="41" t="s">
        <v>887</v>
      </c>
      <c r="F5" s="44" t="s">
        <v>888</v>
      </c>
      <c r="G5" s="16">
        <v>1.2239</v>
      </c>
      <c r="H5" s="14">
        <v>157.5</v>
      </c>
      <c r="I5" s="42" t="s">
        <v>889</v>
      </c>
      <c r="J5" s="41"/>
      <c r="K5" s="41"/>
    </row>
    <row r="6" spans="1:11">
      <c r="A6" s="41"/>
      <c r="B6" s="44" t="s">
        <v>890</v>
      </c>
      <c r="C6" s="16">
        <v>5.1360000000000001</v>
      </c>
      <c r="D6" s="14">
        <v>19.350000000000001</v>
      </c>
      <c r="E6" s="41" t="s">
        <v>891</v>
      </c>
      <c r="F6" s="44" t="s">
        <v>892</v>
      </c>
      <c r="G6" s="16">
        <v>1.5013999999999998</v>
      </c>
      <c r="H6" s="14">
        <v>210</v>
      </c>
      <c r="I6" s="42" t="s">
        <v>893</v>
      </c>
      <c r="J6" s="41"/>
      <c r="K6" s="41"/>
    </row>
    <row r="7" spans="1:11">
      <c r="A7" s="41"/>
      <c r="B7" s="44" t="s">
        <v>894</v>
      </c>
      <c r="C7" s="16">
        <v>6.4770000000000003</v>
      </c>
      <c r="D7" s="14">
        <v>77.5</v>
      </c>
      <c r="E7" s="41" t="s">
        <v>895</v>
      </c>
      <c r="F7" s="44" t="s">
        <v>896</v>
      </c>
      <c r="G7" s="16">
        <v>1.6242000000000001</v>
      </c>
      <c r="H7" s="14">
        <v>357.5</v>
      </c>
      <c r="I7" s="42" t="s">
        <v>897</v>
      </c>
      <c r="J7" s="41"/>
      <c r="K7" s="41"/>
    </row>
    <row r="8" spans="1:11">
      <c r="A8" s="41"/>
      <c r="B8" s="44" t="s">
        <v>898</v>
      </c>
      <c r="C8" s="16">
        <v>10.308</v>
      </c>
      <c r="D8" s="14">
        <v>155</v>
      </c>
      <c r="E8" s="41" t="s">
        <v>899</v>
      </c>
      <c r="F8" s="44" t="s">
        <v>900</v>
      </c>
      <c r="G8" s="16">
        <v>1.7581</v>
      </c>
      <c r="H8" s="14">
        <v>630</v>
      </c>
      <c r="I8" s="42" t="s">
        <v>901</v>
      </c>
      <c r="J8" s="41"/>
      <c r="K8" s="41"/>
    </row>
    <row r="9" spans="1:11">
      <c r="A9" s="41"/>
      <c r="B9" s="44" t="s">
        <v>902</v>
      </c>
      <c r="C9" s="16">
        <v>5.3940000000000001</v>
      </c>
      <c r="D9" s="14">
        <v>58</v>
      </c>
      <c r="E9" s="41" t="s">
        <v>903</v>
      </c>
      <c r="F9" s="44"/>
      <c r="G9" s="16"/>
      <c r="H9" s="14"/>
      <c r="I9" s="41"/>
      <c r="J9" s="41"/>
      <c r="K9" s="41"/>
    </row>
    <row r="10" spans="1:11">
      <c r="A10" s="41"/>
      <c r="B10" s="44" t="s">
        <v>904</v>
      </c>
      <c r="C10" s="16">
        <v>2.71</v>
      </c>
      <c r="D10" s="14">
        <v>77.5</v>
      </c>
      <c r="E10" s="41" t="s">
        <v>905</v>
      </c>
      <c r="F10" s="44"/>
      <c r="G10" s="16"/>
      <c r="H10" s="14"/>
      <c r="I10" s="41"/>
      <c r="J10" s="41"/>
      <c r="K10" s="41"/>
    </row>
    <row r="11" spans="1:11">
      <c r="A11" s="41"/>
      <c r="B11" s="44" t="s">
        <v>906</v>
      </c>
      <c r="C11" s="16">
        <v>1.1339999999999999</v>
      </c>
      <c r="D11" s="14">
        <v>38.5</v>
      </c>
      <c r="E11" s="41" t="s">
        <v>907</v>
      </c>
      <c r="F11" s="44"/>
      <c r="G11" s="16"/>
      <c r="H11" s="14"/>
      <c r="I11" s="41"/>
      <c r="J11" s="41"/>
      <c r="K11" s="41"/>
    </row>
    <row r="12" spans="1:11">
      <c r="A12" s="41"/>
      <c r="B12" s="44" t="s">
        <v>908</v>
      </c>
      <c r="C12" s="16">
        <v>1.087</v>
      </c>
      <c r="D12" s="14">
        <v>38.5</v>
      </c>
      <c r="E12" s="41" t="s">
        <v>909</v>
      </c>
      <c r="F12" s="44"/>
      <c r="G12" s="16"/>
      <c r="H12" s="14"/>
      <c r="I12" s="41"/>
      <c r="J12" s="41"/>
      <c r="K12" s="41"/>
    </row>
    <row r="13" spans="1:11">
      <c r="A13" s="41"/>
      <c r="B13" s="44" t="s">
        <v>910</v>
      </c>
      <c r="C13" s="16">
        <v>1.1240000000000001</v>
      </c>
      <c r="D13" s="14">
        <v>19.350000000000001</v>
      </c>
      <c r="E13" s="41" t="s">
        <v>911</v>
      </c>
      <c r="F13" s="44"/>
      <c r="G13" s="16"/>
      <c r="H13" s="14"/>
      <c r="I13" s="41"/>
      <c r="J13" s="41"/>
      <c r="K13" s="41"/>
    </row>
    <row r="14" spans="1:11">
      <c r="A14" s="41"/>
      <c r="B14" s="25" t="s">
        <v>868</v>
      </c>
      <c r="C14" s="16">
        <v>3.2001666666666675</v>
      </c>
      <c r="D14" s="14">
        <v>46.383333333333333</v>
      </c>
      <c r="E14" s="41"/>
      <c r="F14" s="25" t="s">
        <v>868</v>
      </c>
      <c r="G14" s="16">
        <v>0.94575714285714274</v>
      </c>
      <c r="H14" s="14">
        <v>227.21428571428572</v>
      </c>
      <c r="I14" s="41"/>
      <c r="J14" s="41"/>
      <c r="K14" s="41"/>
    </row>
    <row r="15" spans="1:11">
      <c r="A15" s="41"/>
      <c r="B15" s="25" t="s">
        <v>869</v>
      </c>
      <c r="C15" s="15">
        <f>(862+85)</f>
        <v>947</v>
      </c>
      <c r="D15" s="15">
        <f>(862+85)</f>
        <v>947</v>
      </c>
      <c r="E15" s="41"/>
      <c r="F15" s="25" t="s">
        <v>869</v>
      </c>
      <c r="G15" s="15">
        <f>(862+85)</f>
        <v>947</v>
      </c>
      <c r="H15" s="15">
        <f>(862+85)</f>
        <v>947</v>
      </c>
      <c r="I15" s="41"/>
      <c r="J15" s="41"/>
      <c r="K15" s="41"/>
    </row>
    <row r="16" spans="1:11">
      <c r="A16" s="41"/>
      <c r="B16" s="25" t="s">
        <v>870</v>
      </c>
      <c r="C16" s="34">
        <f>C14*C15</f>
        <v>3030.5578333333342</v>
      </c>
      <c r="D16" s="34">
        <f>D14*D15</f>
        <v>43925.016666666663</v>
      </c>
      <c r="E16" s="41"/>
      <c r="F16" s="25" t="s">
        <v>871</v>
      </c>
      <c r="G16" s="34">
        <f>G14*G15</f>
        <v>895.63201428571415</v>
      </c>
      <c r="H16" s="34">
        <f>H14*H15</f>
        <v>215171.92857142858</v>
      </c>
      <c r="I16" s="41"/>
      <c r="J16" s="41"/>
      <c r="K16" s="41"/>
    </row>
    <row r="17" spans="1:11">
      <c r="A17" s="41"/>
      <c r="B17" s="41"/>
      <c r="C17" s="41"/>
      <c r="D17" s="41"/>
      <c r="E17" s="41"/>
      <c r="F17" s="41"/>
      <c r="G17" s="41"/>
      <c r="H17" s="41"/>
      <c r="I17" s="41"/>
      <c r="J17" s="41"/>
      <c r="K17" s="41"/>
    </row>
    <row r="18" spans="1:11">
      <c r="A18" s="41"/>
      <c r="B18" s="35"/>
      <c r="C18" s="35"/>
      <c r="D18" s="35"/>
      <c r="E18" s="35"/>
      <c r="F18" s="35"/>
      <c r="G18" s="35"/>
      <c r="H18" s="35"/>
      <c r="I18" s="41"/>
      <c r="J18" s="41"/>
      <c r="K18" s="41"/>
    </row>
    <row r="19" spans="1:11">
      <c r="A19" s="41"/>
      <c r="B19" s="35"/>
      <c r="C19" s="35"/>
      <c r="D19" s="35"/>
      <c r="E19" s="35"/>
      <c r="F19" s="35"/>
      <c r="G19" s="35"/>
      <c r="H19" s="35"/>
      <c r="I19" s="41"/>
      <c r="J19" s="41"/>
      <c r="K19" s="41"/>
    </row>
    <row r="20" spans="1:11">
      <c r="A20" s="41"/>
      <c r="B20" s="35"/>
      <c r="C20" s="35"/>
      <c r="D20" s="35"/>
      <c r="E20" s="35"/>
      <c r="F20" s="35"/>
      <c r="G20" s="35"/>
      <c r="H20" s="35"/>
      <c r="I20" s="41"/>
      <c r="J20" s="41"/>
      <c r="K20" s="41"/>
    </row>
    <row r="21" spans="1:11">
      <c r="A21" s="41"/>
      <c r="B21" s="35"/>
      <c r="C21" s="35"/>
      <c r="D21" s="35"/>
      <c r="E21" s="35"/>
      <c r="F21" s="35"/>
      <c r="G21" s="35"/>
      <c r="H21" s="35"/>
      <c r="I21" s="41"/>
      <c r="J21" s="41"/>
      <c r="K21" s="41"/>
    </row>
    <row r="22" spans="1:11">
      <c r="A22" s="41"/>
      <c r="B22" s="35"/>
      <c r="C22" s="35"/>
      <c r="D22" s="35"/>
      <c r="E22" s="35"/>
      <c r="F22" s="35"/>
      <c r="G22" s="35"/>
      <c r="H22" s="35"/>
      <c r="I22" s="41"/>
      <c r="J22" s="41"/>
      <c r="K22" s="41"/>
    </row>
    <row r="23" spans="1:11">
      <c r="A23" s="43"/>
      <c r="B23" s="11"/>
      <c r="C23" s="11"/>
      <c r="D23" s="11"/>
      <c r="E23" s="11"/>
      <c r="F23" s="11"/>
      <c r="G23" s="11"/>
      <c r="H23" s="11"/>
      <c r="I23" s="43"/>
      <c r="J23" s="43"/>
      <c r="K23" s="43"/>
    </row>
    <row r="24" spans="1:11">
      <c r="A24" s="43"/>
      <c r="B24" s="11"/>
      <c r="C24" s="11"/>
      <c r="D24" s="11"/>
      <c r="E24" s="11"/>
      <c r="F24" s="11"/>
      <c r="G24" s="11"/>
      <c r="H24" s="11"/>
      <c r="I24" s="43"/>
      <c r="J24" s="43"/>
      <c r="K24" s="43"/>
    </row>
  </sheetData>
  <mergeCells count="2">
    <mergeCell ref="B1:D1"/>
    <mergeCell ref="F1:H1"/>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23"/>
  <sheetViews>
    <sheetView zoomScaleNormal="100" workbookViewId="0">
      <selection activeCell="H14" sqref="D14:H14"/>
    </sheetView>
  </sheetViews>
  <sheetFormatPr defaultRowHeight="15"/>
  <cols>
    <col min="1" max="1" width="19.42578125" customWidth="1"/>
    <col min="2" max="2" width="31" customWidth="1"/>
    <col min="3" max="3" width="14.42578125" customWidth="1"/>
    <col min="4" max="4" width="33.5703125" bestFit="1" customWidth="1"/>
    <col min="5" max="5" width="12.5703125" bestFit="1" customWidth="1"/>
    <col min="7" max="7" width="15" customWidth="1"/>
    <col min="8" max="8" width="29.28515625" bestFit="1" customWidth="1"/>
  </cols>
  <sheetData>
    <row r="1" spans="1:10">
      <c r="A1" s="416" t="s">
        <v>912</v>
      </c>
      <c r="B1" s="416"/>
      <c r="C1" s="416"/>
      <c r="D1" s="38"/>
      <c r="E1" s="416" t="s">
        <v>913</v>
      </c>
      <c r="F1" s="416"/>
      <c r="G1" s="416"/>
      <c r="H1" s="38"/>
      <c r="I1" s="38"/>
      <c r="J1" s="38"/>
    </row>
    <row r="2" spans="1:10">
      <c r="A2" s="246" t="s">
        <v>914</v>
      </c>
      <c r="B2" s="27">
        <v>3.8279999999999998</v>
      </c>
      <c r="C2" s="9">
        <v>148</v>
      </c>
      <c r="D2" s="41" t="s">
        <v>915</v>
      </c>
      <c r="E2" s="246" t="s">
        <v>916</v>
      </c>
      <c r="F2" s="27">
        <v>3.2770000000000001</v>
      </c>
      <c r="G2" s="9">
        <v>539.94285714285718</v>
      </c>
      <c r="H2" s="43" t="s">
        <v>917</v>
      </c>
      <c r="I2" s="38"/>
      <c r="J2" s="38"/>
    </row>
    <row r="3" spans="1:10">
      <c r="A3" s="246" t="s">
        <v>560</v>
      </c>
      <c r="B3" s="27">
        <v>12.528</v>
      </c>
      <c r="C3" s="9">
        <v>163</v>
      </c>
      <c r="D3" s="41" t="s">
        <v>918</v>
      </c>
      <c r="E3" s="246" t="s">
        <v>919</v>
      </c>
      <c r="F3" s="27">
        <v>5.7587333333333337</v>
      </c>
      <c r="G3" s="9">
        <v>1390</v>
      </c>
      <c r="H3" s="43" t="s">
        <v>920</v>
      </c>
      <c r="I3" s="38"/>
      <c r="J3" s="38"/>
    </row>
    <row r="4" spans="1:10">
      <c r="A4" s="246" t="s">
        <v>728</v>
      </c>
      <c r="B4" s="27">
        <v>15.881</v>
      </c>
      <c r="C4" s="9">
        <v>184</v>
      </c>
      <c r="D4" s="41" t="s">
        <v>921</v>
      </c>
      <c r="E4" s="246" t="s">
        <v>922</v>
      </c>
      <c r="F4" s="27">
        <v>6.1808571428571426</v>
      </c>
      <c r="G4" s="9">
        <v>1862.5142857142857</v>
      </c>
      <c r="H4" s="43" t="s">
        <v>923</v>
      </c>
      <c r="I4" s="38"/>
      <c r="J4" s="38"/>
    </row>
    <row r="5" spans="1:10">
      <c r="A5" s="246" t="s">
        <v>729</v>
      </c>
      <c r="B5" s="27">
        <v>17.378</v>
      </c>
      <c r="C5" s="9">
        <v>192</v>
      </c>
      <c r="D5" s="41" t="s">
        <v>924</v>
      </c>
      <c r="E5" s="246" t="s">
        <v>925</v>
      </c>
      <c r="F5" s="27">
        <v>156.13999999999999</v>
      </c>
      <c r="G5" s="9">
        <v>9496.6666666666661</v>
      </c>
      <c r="H5" s="43" t="s">
        <v>926</v>
      </c>
      <c r="I5" s="38"/>
      <c r="J5" s="38"/>
    </row>
    <row r="6" spans="1:10">
      <c r="A6" s="246" t="s">
        <v>727</v>
      </c>
      <c r="B6" s="27">
        <v>19.698</v>
      </c>
      <c r="C6" s="9">
        <v>206</v>
      </c>
      <c r="D6" s="41" t="s">
        <v>927</v>
      </c>
      <c r="E6" s="246" t="s">
        <v>928</v>
      </c>
      <c r="F6" s="27">
        <v>0.1</v>
      </c>
      <c r="G6" s="9">
        <v>0</v>
      </c>
      <c r="H6" s="43" t="s">
        <v>929</v>
      </c>
      <c r="I6" s="38"/>
      <c r="J6" s="38"/>
    </row>
    <row r="7" spans="1:10">
      <c r="A7" s="246" t="s">
        <v>930</v>
      </c>
      <c r="B7" s="27">
        <v>16.189</v>
      </c>
      <c r="C7" s="9">
        <v>243</v>
      </c>
      <c r="D7" s="41" t="s">
        <v>931</v>
      </c>
      <c r="E7" s="246" t="s">
        <v>932</v>
      </c>
      <c r="F7" s="27">
        <v>0.55526666666666669</v>
      </c>
      <c r="G7" s="9">
        <v>388.33333333333331</v>
      </c>
      <c r="H7" s="43" t="s">
        <v>933</v>
      </c>
      <c r="I7" s="38"/>
      <c r="J7" s="38"/>
    </row>
    <row r="8" spans="1:10">
      <c r="A8" s="246" t="s">
        <v>934</v>
      </c>
      <c r="B8" s="27">
        <v>18.98</v>
      </c>
      <c r="C8" s="9">
        <v>286</v>
      </c>
      <c r="D8" s="41" t="s">
        <v>935</v>
      </c>
      <c r="E8" s="246" t="s">
        <v>936</v>
      </c>
      <c r="F8" s="27">
        <v>0.40133333333333332</v>
      </c>
      <c r="G8" s="9">
        <v>32.366666666666667</v>
      </c>
      <c r="H8" s="43" t="s">
        <v>937</v>
      </c>
      <c r="I8" s="38"/>
      <c r="J8" s="38"/>
    </row>
    <row r="9" spans="1:10">
      <c r="A9" s="246" t="s">
        <v>938</v>
      </c>
      <c r="B9" s="27">
        <v>20.695</v>
      </c>
      <c r="C9" s="9">
        <v>300</v>
      </c>
      <c r="D9" s="41" t="s">
        <v>939</v>
      </c>
      <c r="E9" s="246" t="s">
        <v>940</v>
      </c>
      <c r="F9" s="27">
        <v>0.16666666666666666</v>
      </c>
      <c r="G9" s="9">
        <v>38.666666666666664</v>
      </c>
      <c r="H9" s="43" t="s">
        <v>941</v>
      </c>
      <c r="I9" s="38"/>
      <c r="J9" s="38"/>
    </row>
    <row r="10" spans="1:10">
      <c r="A10" s="246" t="s">
        <v>942</v>
      </c>
      <c r="B10" s="27">
        <v>22.45</v>
      </c>
      <c r="C10" s="9">
        <v>320</v>
      </c>
      <c r="D10" s="41" t="s">
        <v>943</v>
      </c>
      <c r="E10" s="246" t="s">
        <v>944</v>
      </c>
      <c r="F10" s="27">
        <v>0.62966666666666671</v>
      </c>
      <c r="G10" s="9">
        <v>211.66666666666666</v>
      </c>
      <c r="H10" s="43" t="s">
        <v>945</v>
      </c>
      <c r="I10" s="38"/>
      <c r="J10" s="38"/>
    </row>
    <row r="11" spans="1:10">
      <c r="A11" s="246" t="s">
        <v>946</v>
      </c>
      <c r="B11" s="27">
        <v>1.506</v>
      </c>
      <c r="C11" s="9">
        <v>43</v>
      </c>
      <c r="D11" s="41" t="s">
        <v>947</v>
      </c>
      <c r="E11" s="246" t="s">
        <v>948</v>
      </c>
      <c r="F11" s="27">
        <v>2.2222</v>
      </c>
      <c r="G11" s="9">
        <v>1366.6666666666667</v>
      </c>
      <c r="H11" s="43" t="s">
        <v>949</v>
      </c>
      <c r="I11" s="38"/>
      <c r="J11" s="38"/>
    </row>
    <row r="12" spans="1:10">
      <c r="A12" s="246" t="s">
        <v>950</v>
      </c>
      <c r="B12" s="27">
        <v>1.232</v>
      </c>
      <c r="C12" s="9">
        <v>90</v>
      </c>
      <c r="D12" s="41" t="s">
        <v>951</v>
      </c>
      <c r="E12" s="246" t="s">
        <v>952</v>
      </c>
      <c r="F12" s="27">
        <v>0.1</v>
      </c>
      <c r="G12" s="9">
        <v>0</v>
      </c>
      <c r="H12" s="43" t="s">
        <v>953</v>
      </c>
      <c r="I12" s="38"/>
      <c r="J12" s="38"/>
    </row>
    <row r="13" spans="1:10">
      <c r="A13" s="246" t="s">
        <v>954</v>
      </c>
      <c r="B13" s="27">
        <v>1.1240000000000001</v>
      </c>
      <c r="C13" s="9">
        <v>56.5</v>
      </c>
      <c r="D13" s="41" t="s">
        <v>955</v>
      </c>
      <c r="E13" s="246" t="s">
        <v>956</v>
      </c>
      <c r="F13" s="27">
        <v>9.3249999999999993</v>
      </c>
      <c r="G13" s="9">
        <v>1565</v>
      </c>
      <c r="H13" s="43" t="s">
        <v>957</v>
      </c>
      <c r="I13" s="38"/>
      <c r="J13" s="38"/>
    </row>
    <row r="14" spans="1:10">
      <c r="A14" s="246" t="s">
        <v>958</v>
      </c>
      <c r="B14" s="27">
        <v>1.1419999999999999</v>
      </c>
      <c r="C14" s="9">
        <v>113</v>
      </c>
      <c r="D14" s="41" t="s">
        <v>959</v>
      </c>
      <c r="E14" s="38"/>
      <c r="F14" s="38"/>
      <c r="G14" s="38"/>
      <c r="H14" s="38"/>
      <c r="I14" s="38"/>
      <c r="J14" s="38"/>
    </row>
    <row r="15" spans="1:10">
      <c r="A15" s="17" t="s">
        <v>868</v>
      </c>
      <c r="B15" s="27">
        <v>11.740846153846153</v>
      </c>
      <c r="C15" s="9">
        <v>180.34615384615384</v>
      </c>
      <c r="D15" s="38"/>
      <c r="E15" s="17" t="s">
        <v>868</v>
      </c>
      <c r="F15" s="27">
        <v>15.404726984126979</v>
      </c>
      <c r="G15" s="9">
        <v>1407.6519841269837</v>
      </c>
      <c r="H15" s="38"/>
      <c r="I15" s="38"/>
      <c r="J15" s="38"/>
    </row>
    <row r="16" spans="1:10">
      <c r="A16" s="17" t="s">
        <v>869</v>
      </c>
      <c r="B16" s="26">
        <v>233</v>
      </c>
      <c r="C16" s="26">
        <v>233</v>
      </c>
      <c r="D16" s="38"/>
      <c r="E16" s="17" t="s">
        <v>869</v>
      </c>
      <c r="F16" s="26">
        <v>233</v>
      </c>
      <c r="G16" s="26">
        <v>233</v>
      </c>
      <c r="H16" s="38"/>
      <c r="I16" s="38"/>
      <c r="J16" s="38"/>
    </row>
    <row r="17" spans="1:10">
      <c r="A17" s="17" t="s">
        <v>870</v>
      </c>
      <c r="B17" s="13">
        <f>B15*B16</f>
        <v>2735.6171538461535</v>
      </c>
      <c r="C17" s="13">
        <f>C15*C16</f>
        <v>42020.653846153844</v>
      </c>
      <c r="D17" s="38"/>
      <c r="E17" s="17" t="s">
        <v>871</v>
      </c>
      <c r="F17" s="13">
        <f>F15*F16</f>
        <v>3589.3013873015861</v>
      </c>
      <c r="G17" s="13">
        <f>G15*G16</f>
        <v>327982.91230158723</v>
      </c>
      <c r="H17" s="38"/>
      <c r="I17" s="38"/>
      <c r="J17" s="38"/>
    </row>
    <row r="18" spans="1:10">
      <c r="A18" s="17" t="s">
        <v>27</v>
      </c>
      <c r="B18" s="27" t="s">
        <v>27</v>
      </c>
      <c r="C18" s="38"/>
      <c r="D18" s="38"/>
      <c r="E18" s="17" t="s">
        <v>27</v>
      </c>
      <c r="F18" s="27" t="s">
        <v>27</v>
      </c>
      <c r="G18" s="38"/>
      <c r="H18" s="38"/>
      <c r="I18" s="38"/>
      <c r="J18" s="38"/>
    </row>
    <row r="19" spans="1:10">
      <c r="A19" s="38"/>
      <c r="B19" s="27" t="s">
        <v>960</v>
      </c>
      <c r="C19" s="38"/>
      <c r="D19" s="38"/>
      <c r="E19" s="38"/>
      <c r="F19" s="27" t="s">
        <v>27</v>
      </c>
      <c r="G19" s="38"/>
      <c r="H19" s="38"/>
      <c r="I19" s="38"/>
      <c r="J19" s="38"/>
    </row>
    <row r="20" spans="1:10">
      <c r="A20" s="38"/>
      <c r="B20" s="38"/>
      <c r="C20" s="38"/>
      <c r="D20" s="38"/>
      <c r="E20" s="38"/>
      <c r="F20" s="38"/>
      <c r="G20" s="38"/>
      <c r="H20" s="38"/>
      <c r="I20" s="38"/>
      <c r="J20" s="38"/>
    </row>
    <row r="21" spans="1:10">
      <c r="A21" s="38"/>
      <c r="B21" s="38"/>
      <c r="C21" s="38"/>
      <c r="D21" s="38"/>
      <c r="E21" s="38"/>
      <c r="F21" s="38"/>
      <c r="G21" s="38"/>
      <c r="H21" s="38"/>
      <c r="I21" s="38"/>
      <c r="J21" s="38"/>
    </row>
    <row r="22" spans="1:10">
      <c r="A22" s="38"/>
      <c r="B22" s="38"/>
      <c r="C22" s="38"/>
      <c r="D22" s="38"/>
      <c r="E22" s="38"/>
      <c r="F22" s="38"/>
      <c r="G22" s="38"/>
      <c r="H22" s="38"/>
      <c r="I22" s="38"/>
      <c r="J22" s="38"/>
    </row>
    <row r="23" spans="1:10">
      <c r="A23" s="38"/>
      <c r="B23" s="38"/>
      <c r="C23" s="38"/>
      <c r="D23" s="38"/>
      <c r="E23" s="38"/>
      <c r="F23" s="38"/>
      <c r="G23" s="38"/>
      <c r="H23" s="38"/>
      <c r="I23" s="38"/>
      <c r="J23" s="38"/>
    </row>
  </sheetData>
  <mergeCells count="2">
    <mergeCell ref="A1:C1"/>
    <mergeCell ref="E1:G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0000"/>
  </sheetPr>
  <dimension ref="A1:V14"/>
  <sheetViews>
    <sheetView zoomScaleNormal="100" workbookViewId="0">
      <selection activeCell="N33" sqref="N33"/>
    </sheetView>
  </sheetViews>
  <sheetFormatPr defaultRowHeight="15"/>
  <cols>
    <col min="1" max="1" width="34.7109375" customWidth="1"/>
    <col min="2" max="2" width="10.7109375" style="3" customWidth="1"/>
    <col min="3" max="20" width="10.7109375" customWidth="1"/>
  </cols>
  <sheetData>
    <row r="1" spans="1:22" ht="12.75" customHeight="1">
      <c r="A1" s="170" t="s">
        <v>986</v>
      </c>
      <c r="B1" s="417" t="s">
        <v>977</v>
      </c>
      <c r="C1" s="417"/>
      <c r="D1" s="417"/>
      <c r="E1" s="417"/>
      <c r="F1" s="418" t="s">
        <v>962</v>
      </c>
      <c r="G1" s="419"/>
      <c r="H1" s="419"/>
      <c r="I1" s="420"/>
      <c r="J1" s="418" t="s">
        <v>963</v>
      </c>
      <c r="K1" s="421"/>
      <c r="L1" s="418" t="s">
        <v>978</v>
      </c>
      <c r="M1" s="419"/>
      <c r="N1" s="419"/>
      <c r="O1" s="421"/>
      <c r="P1" s="418" t="s">
        <v>964</v>
      </c>
      <c r="Q1" s="419"/>
      <c r="R1" s="422"/>
      <c r="S1" s="420"/>
      <c r="T1" s="249"/>
      <c r="U1" s="38"/>
      <c r="V1" s="43"/>
    </row>
    <row r="2" spans="1:22" ht="39" customHeight="1">
      <c r="A2" s="170" t="s">
        <v>965</v>
      </c>
      <c r="B2" s="171" t="s">
        <v>987</v>
      </c>
      <c r="C2" s="126" t="s">
        <v>979</v>
      </c>
      <c r="D2" s="126" t="s">
        <v>533</v>
      </c>
      <c r="E2" s="126" t="s">
        <v>966</v>
      </c>
      <c r="F2" s="172" t="s">
        <v>967</v>
      </c>
      <c r="G2" s="172" t="s">
        <v>968</v>
      </c>
      <c r="H2" s="172" t="s">
        <v>980</v>
      </c>
      <c r="I2" s="172" t="s">
        <v>969</v>
      </c>
      <c r="J2" s="172" t="s">
        <v>970</v>
      </c>
      <c r="K2" s="172" t="s">
        <v>971</v>
      </c>
      <c r="L2" s="172" t="s">
        <v>981</v>
      </c>
      <c r="M2" s="172" t="s">
        <v>982</v>
      </c>
      <c r="N2" s="172" t="s">
        <v>983</v>
      </c>
      <c r="O2" s="172" t="s">
        <v>972</v>
      </c>
      <c r="P2" s="172" t="s">
        <v>973</v>
      </c>
      <c r="Q2" s="172" t="s">
        <v>974</v>
      </c>
      <c r="R2" s="172" t="s">
        <v>975</v>
      </c>
      <c r="S2" s="172" t="s">
        <v>976</v>
      </c>
      <c r="T2" s="172" t="s">
        <v>961</v>
      </c>
      <c r="U2" s="38"/>
      <c r="V2" s="43"/>
    </row>
    <row r="3" spans="1:22">
      <c r="A3" s="149" t="s">
        <v>988</v>
      </c>
      <c r="B3" s="173">
        <v>26.86</v>
      </c>
      <c r="C3" s="174">
        <v>0</v>
      </c>
      <c r="D3" s="132">
        <v>1816</v>
      </c>
      <c r="E3" s="174">
        <f>(B3+C3)*D3</f>
        <v>48777.760000000002</v>
      </c>
      <c r="F3" s="174">
        <f>SUM(D3*4.4)</f>
        <v>7990.4000000000005</v>
      </c>
      <c r="G3" s="174">
        <f>E3*0.065</f>
        <v>3170.5544000000004</v>
      </c>
      <c r="H3" s="174">
        <f>SUM(0.08475*D3)*B3</f>
        <v>4133.9151600000005</v>
      </c>
      <c r="I3" s="174">
        <f>80* B3</f>
        <v>2148.8000000000002</v>
      </c>
      <c r="J3" s="174">
        <f>SUM(D3*0.332096291740698)</f>
        <v>603.08686580110759</v>
      </c>
      <c r="K3" s="174">
        <f>E3*0.024151</f>
        <v>1178.0316817600001</v>
      </c>
      <c r="L3" s="174">
        <v>150</v>
      </c>
      <c r="M3" s="174">
        <v>60</v>
      </c>
      <c r="N3" s="174">
        <v>100</v>
      </c>
      <c r="O3" s="174">
        <v>159</v>
      </c>
      <c r="P3" s="174">
        <f>8000*0.027</f>
        <v>216</v>
      </c>
      <c r="Q3" s="174">
        <f>7000*0.008</f>
        <v>56</v>
      </c>
      <c r="R3" s="174">
        <f>E3*0.062</f>
        <v>3024.2211200000002</v>
      </c>
      <c r="S3" s="174">
        <f>E3*0.0145</f>
        <v>707.2775200000001</v>
      </c>
      <c r="T3" s="174">
        <f>SUM(E3:S3)</f>
        <v>72475.046747561108</v>
      </c>
      <c r="U3" s="38"/>
      <c r="V3" s="174"/>
    </row>
    <row r="4" spans="1:22">
      <c r="A4" s="149" t="s">
        <v>989</v>
      </c>
      <c r="B4" s="173">
        <v>24.39</v>
      </c>
      <c r="C4" s="174">
        <v>0</v>
      </c>
      <c r="D4" s="132">
        <v>1816</v>
      </c>
      <c r="E4" s="174">
        <f>(B4+C4)*D4</f>
        <v>44292.24</v>
      </c>
      <c r="F4" s="174">
        <f>SUM(D4*4.4)</f>
        <v>7990.4000000000005</v>
      </c>
      <c r="G4" s="174">
        <f>E4*0.065</f>
        <v>2878.9955999999997</v>
      </c>
      <c r="H4" s="174">
        <f>SUM(0.08475*D4)*B4</f>
        <v>3753.7673400000003</v>
      </c>
      <c r="I4" s="174">
        <f>80* B4</f>
        <v>1951.2</v>
      </c>
      <c r="J4" s="174">
        <f>SUM(D4*0.332096291740698)</f>
        <v>603.08686580110759</v>
      </c>
      <c r="K4" s="174">
        <f>E4*0.024151</f>
        <v>1069.7018882399998</v>
      </c>
      <c r="L4" s="174">
        <v>150</v>
      </c>
      <c r="M4" s="174">
        <v>60</v>
      </c>
      <c r="N4" s="174">
        <v>100</v>
      </c>
      <c r="O4" s="174">
        <v>159</v>
      </c>
      <c r="P4" s="174">
        <f>8000*0.027</f>
        <v>216</v>
      </c>
      <c r="Q4" s="174">
        <f>7000*0.008</f>
        <v>56</v>
      </c>
      <c r="R4" s="174">
        <f>E4*0.062</f>
        <v>2746.11888</v>
      </c>
      <c r="S4" s="174">
        <f>E4*0.0145</f>
        <v>642.23748000000001</v>
      </c>
      <c r="T4" s="174">
        <f>SUM(E4:S4)</f>
        <v>66668.748054041105</v>
      </c>
      <c r="U4" s="38"/>
      <c r="V4" s="174"/>
    </row>
    <row r="5" spans="1:22">
      <c r="A5" s="23"/>
      <c r="B5" s="1"/>
      <c r="C5" s="2"/>
      <c r="D5" s="132">
        <v>1816</v>
      </c>
      <c r="E5" s="2"/>
      <c r="F5" s="2"/>
      <c r="G5" s="2"/>
      <c r="H5" s="2"/>
      <c r="I5" s="2"/>
      <c r="J5" s="2"/>
      <c r="K5" s="2"/>
      <c r="L5" s="2"/>
      <c r="M5" s="2"/>
      <c r="N5" s="2"/>
      <c r="O5" s="2"/>
      <c r="P5" s="2"/>
      <c r="Q5" s="2"/>
      <c r="R5" s="22" t="s">
        <v>984</v>
      </c>
      <c r="S5" s="2"/>
      <c r="T5" s="2">
        <f>AVERAGE(T3:T3)</f>
        <v>72475.046747561108</v>
      </c>
      <c r="U5" s="38"/>
      <c r="V5" s="43"/>
    </row>
    <row r="6" spans="1:22">
      <c r="A6" s="23"/>
      <c r="B6" s="1"/>
      <c r="C6" s="2"/>
      <c r="D6" s="24"/>
      <c r="E6" s="2"/>
      <c r="F6" s="2"/>
      <c r="G6" s="2"/>
      <c r="H6" s="2"/>
      <c r="I6" s="2"/>
      <c r="J6" s="2"/>
      <c r="K6" s="2"/>
      <c r="L6" s="2"/>
      <c r="M6" s="2"/>
      <c r="N6" s="2"/>
      <c r="O6" s="2"/>
      <c r="P6" s="2"/>
      <c r="Q6" s="2"/>
      <c r="R6" s="22" t="s">
        <v>985</v>
      </c>
      <c r="S6" s="2"/>
      <c r="T6" s="2">
        <f>T5/D5</f>
        <v>39.909166711212066</v>
      </c>
      <c r="U6" s="38"/>
      <c r="V6" s="43"/>
    </row>
    <row r="7" spans="1:22">
      <c r="A7" s="38"/>
      <c r="B7" s="37"/>
      <c r="C7" s="38"/>
      <c r="D7" s="38"/>
      <c r="E7" s="38"/>
      <c r="F7" s="38"/>
      <c r="G7" s="38"/>
      <c r="H7" s="38"/>
      <c r="I7" s="38"/>
      <c r="J7" s="38"/>
      <c r="K7" s="38"/>
      <c r="L7" s="38"/>
      <c r="M7" s="38"/>
      <c r="N7" s="38"/>
      <c r="O7" s="38"/>
      <c r="P7" s="38"/>
      <c r="Q7" s="38"/>
      <c r="R7" s="38"/>
      <c r="S7" s="38"/>
      <c r="T7" s="38"/>
      <c r="U7" s="38"/>
      <c r="V7" s="43"/>
    </row>
    <row r="8" spans="1:22">
      <c r="A8" s="38"/>
      <c r="B8" s="37"/>
      <c r="C8" s="38"/>
      <c r="D8" s="38"/>
      <c r="E8" s="38"/>
      <c r="F8" s="38"/>
      <c r="G8" s="38"/>
      <c r="H8" s="38"/>
      <c r="I8" s="38"/>
      <c r="J8" s="38"/>
      <c r="K8" s="38"/>
      <c r="L8" s="38"/>
      <c r="M8" s="38"/>
      <c r="N8" s="38"/>
      <c r="O8" s="38"/>
      <c r="P8" s="38"/>
      <c r="Q8" s="38"/>
      <c r="R8" s="38"/>
      <c r="S8" s="38"/>
      <c r="T8" s="38"/>
      <c r="U8" s="38"/>
      <c r="V8" s="43"/>
    </row>
    <row r="9" spans="1:22">
      <c r="A9" s="38"/>
      <c r="B9" s="37"/>
      <c r="C9" s="38"/>
      <c r="D9" s="38"/>
      <c r="E9" s="38"/>
      <c r="F9" s="38"/>
      <c r="G9" s="38"/>
      <c r="H9" s="38"/>
      <c r="I9" s="38"/>
      <c r="J9" s="38"/>
      <c r="K9" s="38"/>
      <c r="L9" s="38"/>
      <c r="M9" s="38"/>
      <c r="N9" s="38"/>
      <c r="O9" s="38"/>
      <c r="P9" s="38"/>
      <c r="Q9" s="38"/>
      <c r="R9" s="38"/>
      <c r="S9" s="38"/>
      <c r="T9" s="38"/>
      <c r="U9" s="38"/>
      <c r="V9" s="43"/>
    </row>
    <row r="10" spans="1:22">
      <c r="A10" s="38"/>
      <c r="B10" s="37"/>
      <c r="C10" s="38"/>
      <c r="D10" s="38"/>
      <c r="E10" s="38"/>
      <c r="F10" s="38"/>
      <c r="G10" s="38"/>
      <c r="H10" s="38"/>
      <c r="I10" s="38"/>
      <c r="J10" s="38"/>
      <c r="K10" s="38"/>
      <c r="L10" s="38"/>
      <c r="M10" s="38"/>
      <c r="N10" s="38"/>
      <c r="O10" s="38"/>
      <c r="P10" s="38"/>
      <c r="Q10" s="38"/>
      <c r="R10" s="38"/>
      <c r="S10" s="38"/>
      <c r="T10" s="38"/>
      <c r="U10" s="38"/>
      <c r="V10" s="43"/>
    </row>
    <row r="11" spans="1:22">
      <c r="A11" s="38"/>
      <c r="B11" s="37"/>
      <c r="C11" s="38"/>
      <c r="D11" s="38"/>
      <c r="E11" s="38"/>
      <c r="F11" s="38"/>
      <c r="G11" s="38"/>
      <c r="H11" s="38"/>
      <c r="I11" s="38"/>
      <c r="J11" s="38"/>
      <c r="K11" s="38"/>
      <c r="L11" s="38"/>
      <c r="M11" s="38"/>
      <c r="N11" s="38"/>
      <c r="O11" s="38"/>
      <c r="P11" s="38"/>
      <c r="Q11" s="38"/>
      <c r="R11" s="38"/>
      <c r="S11" s="38"/>
      <c r="T11" s="38"/>
      <c r="U11" s="38"/>
      <c r="V11" s="43"/>
    </row>
    <row r="12" spans="1:22">
      <c r="A12" s="38"/>
      <c r="B12" s="37"/>
      <c r="C12" s="38"/>
      <c r="D12" s="38"/>
      <c r="E12" s="38"/>
      <c r="F12" s="38"/>
      <c r="G12" s="38"/>
      <c r="H12" s="38"/>
      <c r="I12" s="38"/>
      <c r="J12" s="38"/>
      <c r="K12" s="38"/>
      <c r="L12" s="38"/>
      <c r="M12" s="38"/>
      <c r="N12" s="38"/>
      <c r="O12" s="38"/>
      <c r="P12" s="38"/>
      <c r="Q12" s="38"/>
      <c r="R12" s="38"/>
      <c r="S12" s="38"/>
      <c r="T12" s="38"/>
      <c r="U12" s="38"/>
      <c r="V12" s="43"/>
    </row>
    <row r="13" spans="1:22">
      <c r="A13" s="38"/>
      <c r="B13" s="37"/>
      <c r="C13" s="38"/>
      <c r="D13" s="38"/>
      <c r="E13" s="38"/>
      <c r="F13" s="38"/>
      <c r="G13" s="38"/>
      <c r="H13" s="38"/>
      <c r="I13" s="38"/>
      <c r="J13" s="38"/>
      <c r="K13" s="38"/>
      <c r="L13" s="38"/>
      <c r="M13" s="38"/>
      <c r="N13" s="38"/>
      <c r="O13" s="38"/>
      <c r="P13" s="38"/>
      <c r="Q13" s="38"/>
      <c r="R13" s="38"/>
      <c r="S13" s="38"/>
      <c r="T13" s="38"/>
      <c r="U13" s="38"/>
      <c r="V13" s="43"/>
    </row>
    <row r="14" spans="1:22">
      <c r="A14" s="38"/>
      <c r="B14" s="37"/>
      <c r="C14" s="38"/>
      <c r="D14" s="38"/>
      <c r="E14" s="38"/>
      <c r="F14" s="38"/>
      <c r="G14" s="38"/>
      <c r="H14" s="38"/>
      <c r="I14" s="38"/>
      <c r="J14" s="38"/>
      <c r="K14" s="38"/>
      <c r="L14" s="38"/>
      <c r="M14" s="38"/>
      <c r="N14" s="38"/>
      <c r="O14" s="38"/>
      <c r="P14" s="38"/>
      <c r="Q14" s="38"/>
      <c r="R14" s="38"/>
      <c r="S14" s="38"/>
      <c r="T14" s="38"/>
      <c r="U14" s="38"/>
      <c r="V14" s="43"/>
    </row>
  </sheetData>
  <mergeCells count="5">
    <mergeCell ref="B1:E1"/>
    <mergeCell ref="F1:I1"/>
    <mergeCell ref="J1:K1"/>
    <mergeCell ref="L1:O1"/>
    <mergeCell ref="P1:S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61095E7C261A4DA0ECEB2BCAD8DF98" ma:contentTypeVersion="16" ma:contentTypeDescription="Create a new document." ma:contentTypeScope="" ma:versionID="99f413db3dd39988b36e419f874d92cf">
  <xsd:schema xmlns:xsd="http://www.w3.org/2001/XMLSchema" xmlns:xs="http://www.w3.org/2001/XMLSchema" xmlns:p="http://schemas.microsoft.com/office/2006/metadata/properties" xmlns:ns3="5c419b36-9c24-4066-85ca-1210162714b3" xmlns:ns4="08b8edd3-f71f-4937-a068-019ffeb70ef7" targetNamespace="http://schemas.microsoft.com/office/2006/metadata/properties" ma:root="true" ma:fieldsID="21735d9c0eeaea75151d232ba84f2003" ns3:_="" ns4:_="">
    <xsd:import namespace="5c419b36-9c24-4066-85ca-1210162714b3"/>
    <xsd:import namespace="08b8edd3-f71f-4937-a068-019ffeb70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19b36-9c24-4066-85ca-121016271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b8edd3-f71f-4937-a068-019ffeb70e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c419b36-9c24-4066-85ca-1210162714b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8D0EF-8007-4E08-AF22-1A4E31753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19b36-9c24-4066-85ca-1210162714b3"/>
    <ds:schemaRef ds:uri="08b8edd3-f71f-4937-a068-019ffeb70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CC6273-D90F-4429-BD9D-6B7FFFCC98B5}">
  <ds:schemaRefs>
    <ds:schemaRef ds:uri="5c419b36-9c24-4066-85ca-1210162714b3"/>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08b8edd3-f71f-4937-a068-019ffeb70ef7"/>
    <ds:schemaRef ds:uri="http://www.w3.org/XML/1998/namespace"/>
    <ds:schemaRef ds:uri="http://purl.org/dc/dcmitype/"/>
  </ds:schemaRefs>
</ds:datastoreItem>
</file>

<file path=customXml/itemProps3.xml><?xml version="1.0" encoding="utf-8"?>
<ds:datastoreItem xmlns:ds="http://schemas.openxmlformats.org/officeDocument/2006/customXml" ds:itemID="{1F55B24F-7972-4AB3-B3AA-6EC30DA1C6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4</vt:i4>
      </vt:variant>
    </vt:vector>
  </HeadingPairs>
  <TitlesOfParts>
    <vt:vector size="39" baseType="lpstr">
      <vt:lpstr>Basis of Estimate (2)</vt:lpstr>
      <vt:lpstr>JL-1 CLIN 0001 RW</vt:lpstr>
      <vt:lpstr>JL-1 CLIN 0003 Base Water RW</vt:lpstr>
      <vt:lpstr>CLIN 0003 1st Option RW</vt:lpstr>
      <vt:lpstr>CLIN 0004 1st Option N-RW</vt:lpstr>
      <vt:lpstr>CLIN 0005 1st Option Water RW</vt:lpstr>
      <vt:lpstr>CLIN 0006 2nd Option RW</vt:lpstr>
      <vt:lpstr>CLIN 0007 2nd Option N-RW</vt:lpstr>
      <vt:lpstr>CLIN 0008 2nd Option Water RW</vt:lpstr>
      <vt:lpstr>CLIN 0009 3rd Option RW</vt:lpstr>
      <vt:lpstr>CLIN 0010 3rd Option N-RW</vt:lpstr>
      <vt:lpstr>CLIN 0011 3rd Option Water RW</vt:lpstr>
      <vt:lpstr>CLIN 0012 4th Option RW</vt:lpstr>
      <vt:lpstr>CLIN 0013 4th Option N-RW</vt:lpstr>
      <vt:lpstr>CLIN 0014 4th Option Water RW</vt:lpstr>
      <vt:lpstr>CLIN 0015 5th Option RW</vt:lpstr>
      <vt:lpstr>CLIN 0016 5th Option N-RW</vt:lpstr>
      <vt:lpstr>CLIN 0017 5th Option Water RW</vt:lpstr>
      <vt:lpstr>CLIN 0018 6th Option RW</vt:lpstr>
      <vt:lpstr>CLIN 0019 6th Option N-RW</vt:lpstr>
      <vt:lpstr>CLIN 0020 6th Option Water RW</vt:lpstr>
      <vt:lpstr>CLIN 0021 7th Option RW</vt:lpstr>
      <vt:lpstr>CLIN 0022 7th Option N-RW</vt:lpstr>
      <vt:lpstr>CLIN 0023 7th Option Water RW</vt:lpstr>
      <vt:lpstr>CLIN 0024 52.217-8 RW</vt:lpstr>
      <vt:lpstr>CLIN 0025 52.217-8 N-RW</vt:lpstr>
      <vt:lpstr>CLIN 0026 52.217-8 Water RW</vt:lpstr>
      <vt:lpstr>Mayport 3.4.2 Boilers &amp; UPVs</vt:lpstr>
      <vt:lpstr>Mayport 3.2.5 UPV</vt:lpstr>
      <vt:lpstr>Mayport 3.4.5 VTE</vt:lpstr>
      <vt:lpstr>Mayport 3.5.11 Oil Water Sep</vt:lpstr>
      <vt:lpstr>Mayport 3.5.12 Traffic Lights</vt:lpstr>
      <vt:lpstr>Mayport 1604000 (Wastewater)</vt:lpstr>
      <vt:lpstr>Mayport 1605000 (Steam)</vt:lpstr>
      <vt:lpstr>Wage Determination - IPUAT</vt:lpstr>
      <vt:lpstr>'CLIN 0005 1st Option Water RW'!Print_Area</vt:lpstr>
      <vt:lpstr>'JL-1 CLIN 0003 Base Water RW'!Print_Area</vt:lpstr>
      <vt:lpstr>'CLIN 0005 1st Option Water RW'!Print_Titles</vt:lpstr>
      <vt:lpstr>'JL-1 CLIN 0003 Base Water RW'!Print_Titles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2025-09-08T13:23:11Z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0x0101004A61095E7C261A4DA0ECEB2BCAD8DF98</vt:lpwstr>
  </property>
  <property fmtid="{D5CDD505-2E9C-101B-9397-08002B2CF9AE}" pid="3" name="MediaServiceImageTags">
    <vt:lpwstr/>
  </property>
</Properties>
</file>