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\\naeanrfkfs101V\CS036$\NAVFAC_NRFK_N40085_Share_3\PWD_NewLondon\(PRC2)  FEAD\(PRC22) AQ\CONTRACTS\Services\FY26\FY26 Elevators\1 Pre-Award\Tab 12 Solic &amp; Amend\Attachments\"/>
    </mc:Choice>
  </mc:AlternateContent>
  <xr:revisionPtr revIDLastSave="0" documentId="13_ncr:1_{B040DA24-1D4A-483F-B260-5248CF5D34C4}" xr6:coauthVersionLast="47" xr6:coauthVersionMax="47" xr10:uidLastSave="{00000000-0000-0000-0000-000000000000}"/>
  <bookViews>
    <workbookView xWindow="28680" yWindow="1515" windowWidth="29040" windowHeight="15510" tabRatio="717" xr2:uid="{16BC835A-8501-4252-83D8-2C83BCB29FCF}"/>
  </bookViews>
  <sheets>
    <sheet name="Contract Total" sheetId="13" r:id="rId1"/>
    <sheet name="ELIN-Base Period-Recurring" sheetId="2" r:id="rId2"/>
    <sheet name="ELIN Base Period-Non Recurring" sheetId="15" r:id="rId3"/>
    <sheet name="ELIN-1st Opt Period-Recurring " sheetId="17" r:id="rId4"/>
    <sheet name="ELIN 1st Opt Non-Recurring" sheetId="20" r:id="rId5"/>
    <sheet name="ELIN- 2nd Opt Period-Recurring " sheetId="16" r:id="rId6"/>
    <sheet name="ELIN 2nd Opt Non-Recurring " sheetId="21" r:id="rId7"/>
    <sheet name="ELIN- 3rd Opt Period-Recurring" sheetId="18" r:id="rId8"/>
    <sheet name="ELIN 3rd Opt Non-Recurring " sheetId="22" r:id="rId9"/>
    <sheet name="ELIN- 4th Opt Period-Recurring" sheetId="19" r:id="rId10"/>
    <sheet name="ELIN 4th Opt Non-Recurring " sheetId="23" r:id="rId11"/>
    <sheet name="NAVFAC UOMs" sheetId="7" r:id="rId12"/>
  </sheets>
  <definedNames>
    <definedName name="_xlnm.Print_Area" localSheetId="0">'Contract Total'!$A$1:$G$18</definedName>
    <definedName name="_xlnm.Print_Area" localSheetId="3">'ELIN-1st Opt Period-Recurring '!$A$11:$G$34</definedName>
    <definedName name="_xlnm.Print_Area" localSheetId="1">'ELIN-Base Period-Recurring'!$A$1:$G$32</definedName>
    <definedName name="_xlnm.Print_Titles" localSheetId="5">'ELIN- 2nd Opt Period-Recurring '!$11:$11</definedName>
    <definedName name="_xlnm.Print_Titles" localSheetId="7">'ELIN- 3rd Opt Period-Recurring'!$11:$11</definedName>
    <definedName name="_xlnm.Print_Titles" localSheetId="9">'ELIN- 4th Opt Period-Recurring'!$11:$11</definedName>
    <definedName name="_xlnm.Print_Titles" localSheetId="3">'ELIN-1st Opt Period-Recurring '!$11:$11</definedName>
    <definedName name="_xlnm.Print_Titles" localSheetId="1">'ELIN-Base Period-Recurring'!$11:$11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17" l="1"/>
  <c r="F19" i="17"/>
  <c r="F18" i="17"/>
  <c r="F16" i="17"/>
  <c r="F15" i="17"/>
  <c r="F14" i="17"/>
  <c r="F16" i="2"/>
  <c r="F14" i="2"/>
  <c r="F26" i="2"/>
  <c r="F25" i="2"/>
  <c r="F24" i="2"/>
  <c r="F23" i="2"/>
  <c r="F28" i="2"/>
  <c r="F27" i="2"/>
  <c r="F29" i="2" l="1"/>
  <c r="F15" i="2"/>
  <c r="F17" i="2"/>
  <c r="F17" i="17"/>
  <c r="F20" i="17" s="1"/>
  <c r="F17" i="19"/>
  <c r="F24" i="17"/>
  <c r="F25" i="17"/>
  <c r="F26" i="17"/>
  <c r="F28" i="17"/>
  <c r="F19" i="2"/>
  <c r="F16" i="19"/>
  <c r="F18" i="19"/>
  <c r="F19" i="19"/>
  <c r="F23" i="19"/>
  <c r="F24" i="19"/>
  <c r="F25" i="19"/>
  <c r="F26" i="19"/>
  <c r="F27" i="19"/>
  <c r="F28" i="19"/>
  <c r="F15" i="19"/>
  <c r="F26" i="18"/>
  <c r="F28" i="18"/>
  <c r="F26" i="16"/>
  <c r="F28" i="16"/>
  <c r="G12" i="23"/>
  <c r="G13" i="23"/>
  <c r="G14" i="23"/>
  <c r="G15" i="23"/>
  <c r="G11" i="23"/>
  <c r="G12" i="22"/>
  <c r="G13" i="22"/>
  <c r="G14" i="22"/>
  <c r="G15" i="22"/>
  <c r="G11" i="22"/>
  <c r="G12" i="21"/>
  <c r="G13" i="21"/>
  <c r="G14" i="21"/>
  <c r="G15" i="21"/>
  <c r="G11" i="21"/>
  <c r="G12" i="20"/>
  <c r="G13" i="20"/>
  <c r="G14" i="20"/>
  <c r="G15" i="20"/>
  <c r="G11" i="20"/>
  <c r="G12" i="15"/>
  <c r="G13" i="15"/>
  <c r="G14" i="15"/>
  <c r="G15" i="15"/>
  <c r="G11" i="15"/>
  <c r="F29" i="19" l="1"/>
  <c r="G16" i="23"/>
  <c r="D16" i="13" s="1"/>
  <c r="G16" i="22"/>
  <c r="D15" i="13" s="1"/>
  <c r="G16" i="20"/>
  <c r="D13" i="13" s="1"/>
  <c r="G16" i="21"/>
  <c r="D14" i="13" s="1"/>
  <c r="G16" i="15"/>
  <c r="D12" i="13" s="1"/>
  <c r="F27" i="17"/>
  <c r="F29" i="17" s="1"/>
  <c r="F32" i="17" s="1"/>
  <c r="F25" i="18"/>
  <c r="F25" i="16"/>
  <c r="F17" i="16"/>
  <c r="F16" i="16"/>
  <c r="F27" i="18"/>
  <c r="F27" i="16"/>
  <c r="F23" i="18"/>
  <c r="F23" i="16"/>
  <c r="F24" i="18"/>
  <c r="F24" i="16"/>
  <c r="F19" i="16"/>
  <c r="F14" i="16"/>
  <c r="D17" i="13" l="1"/>
  <c r="F15" i="16"/>
  <c r="F16" i="18"/>
  <c r="F29" i="18"/>
  <c r="F29" i="16"/>
  <c r="C13" i="13"/>
  <c r="E13" i="13" s="1"/>
  <c r="F19" i="18"/>
  <c r="F17" i="18"/>
  <c r="F14" i="18"/>
  <c r="F15" i="18" l="1"/>
  <c r="F14" i="19"/>
  <c r="F20" i="19" s="1"/>
  <c r="F32" i="19" s="1"/>
  <c r="C16" i="13" l="1"/>
  <c r="E16" i="13" s="1"/>
  <c r="F18" i="16"/>
  <c r="F20" i="16" s="1"/>
  <c r="F18" i="2"/>
  <c r="F20" i="2" s="1"/>
  <c r="F32" i="2" s="1"/>
  <c r="C12" i="13" s="1"/>
  <c r="E12" i="13" s="1"/>
  <c r="F32" i="16" l="1"/>
  <c r="C14" i="13" s="1"/>
  <c r="E14" i="13" s="1"/>
  <c r="F18" i="18"/>
  <c r="F20" i="18" s="1"/>
  <c r="F32" i="18" s="1"/>
  <c r="C15" i="13" s="1"/>
  <c r="E15" i="13" s="1"/>
  <c r="C17" i="13" l="1"/>
  <c r="E17" i="13" s="1"/>
</calcChain>
</file>

<file path=xl/sharedStrings.xml><?xml version="1.0" encoding="utf-8"?>
<sst xmlns="http://schemas.openxmlformats.org/spreadsheetml/2006/main" count="769" uniqueCount="469">
  <si>
    <t>EXHIBIT LINE ITEM NUMBERS</t>
  </si>
  <si>
    <t xml:space="preserve">SOLICITATION/CONTRACT # N40085-16-D-1601 </t>
  </si>
  <si>
    <t>PRICING SUMMARY FOR ALL CONTRACT YEARS</t>
  </si>
  <si>
    <t>THE TOTAL PRICES FOR ALL CONTRACT YEARS ARE TO BE FILLED IN ON THIS SHEET AS WELL AS ON THE ATTACHED ELIN SHEETS</t>
  </si>
  <si>
    <t>TOTAL DOLLAR AMOUNT</t>
  </si>
  <si>
    <t>Recurring</t>
  </si>
  <si>
    <t>Non-Recurring</t>
  </si>
  <si>
    <t>FFP+Non-Recurring</t>
  </si>
  <si>
    <t>BASE YEAR</t>
  </si>
  <si>
    <t>1ST OPTION YEAR</t>
  </si>
  <si>
    <t>2ND OPTION YEAR</t>
  </si>
  <si>
    <t>3RD OPTION YEAR</t>
  </si>
  <si>
    <t>4TH OPTION YEAR</t>
  </si>
  <si>
    <t>TOTAL BASE + OPTION YEARS</t>
  </si>
  <si>
    <t>SOLICITATION/CONTRACT # N40085</t>
  </si>
  <si>
    <t xml:space="preserve">Line Item 0001    Recurring Work - Base Period </t>
  </si>
  <si>
    <t>PROVIDE PRICES FOR ELEVATOR MAINTENANCE -RECURRING WORK PRICE - IN ACCORDANCE WITH SECTION C, SPEC ITEM 3</t>
  </si>
  <si>
    <t xml:space="preserve"> </t>
  </si>
  <si>
    <t>ELIN /Sub ELIN</t>
  </si>
  <si>
    <t>Description</t>
  </si>
  <si>
    <t>Quantity</t>
  </si>
  <si>
    <t xml:space="preserve">Unit of Issue </t>
  </si>
  <si>
    <t>Unit Price</t>
  </si>
  <si>
    <t>Total</t>
  </si>
  <si>
    <t>CAC</t>
  </si>
  <si>
    <t>A001</t>
  </si>
  <si>
    <t>Region Spec Item 3 (CNI: 41 Elevators/2 Escalators/2 Other)</t>
  </si>
  <si>
    <t>A001AA</t>
  </si>
  <si>
    <t>Emergency Service Orders, Spec Item 3.1.1</t>
  </si>
  <si>
    <t>MO</t>
  </si>
  <si>
    <t>A001AB</t>
  </si>
  <si>
    <t>Urgent Service Orders, Spec item 3.1.2</t>
  </si>
  <si>
    <t>A001AC</t>
  </si>
  <si>
    <t>Routine Service Orders, Spec Item 3.1.3</t>
  </si>
  <si>
    <t>A001AD</t>
  </si>
  <si>
    <t>PM Program, Spec Item 3.2</t>
  </si>
  <si>
    <t>A001AE</t>
  </si>
  <si>
    <t>Inspection, Testing, and Certification Program, Spec Item 3.3</t>
  </si>
  <si>
    <t>A001AF</t>
  </si>
  <si>
    <t>Other Recurring Services Program, Spec Item 3.4</t>
  </si>
  <si>
    <t>EA</t>
  </si>
  <si>
    <t xml:space="preserve">    REGION Subtotal</t>
  </si>
  <si>
    <t>A002</t>
  </si>
  <si>
    <t>NGIS Spec Item 3 (2 Elevators/1 dumbwaiter)</t>
  </si>
  <si>
    <t>A002AA</t>
  </si>
  <si>
    <t>A002AB</t>
  </si>
  <si>
    <t>A002AC</t>
  </si>
  <si>
    <t>A002AD</t>
  </si>
  <si>
    <t>A002AE</t>
  </si>
  <si>
    <t>A002AF</t>
  </si>
  <si>
    <t xml:space="preserve">   NGIS Subtotal</t>
  </si>
  <si>
    <t>TOTAL RECURRING WORK PRICE - BASE OPTION PERIOD</t>
  </si>
  <si>
    <t xml:space="preserve">TOTAL </t>
  </si>
  <si>
    <t xml:space="preserve">Line Item 0002    Non-Recurring Work - Base Period </t>
  </si>
  <si>
    <t>PROVIDE PRICES FOR ELEVATOR MAINTENANCE - NON RECURRING WORK - IN ACCORDANCE WITH SECTION C, SPEC ITEM 4</t>
  </si>
  <si>
    <t>ELINs A700 through A704</t>
  </si>
  <si>
    <t>ELIN</t>
  </si>
  <si>
    <t xml:space="preserve">Description </t>
  </si>
  <si>
    <t xml:space="preserve">Long Description </t>
  </si>
  <si>
    <t>Estimated Quantity</t>
  </si>
  <si>
    <t>Unit of Issue</t>
  </si>
  <si>
    <r>
      <rPr>
        <b/>
        <sz val="10"/>
        <rFont val="Times New Roman"/>
        <family val="1"/>
      </rPr>
      <t xml:space="preserve">Extended Price </t>
    </r>
    <r>
      <rPr>
        <sz val="10"/>
        <rFont val="Times New Roman"/>
        <family val="1"/>
      </rPr>
      <t xml:space="preserve">      (Col. B x Col. G = Col. H)</t>
    </r>
  </si>
  <si>
    <t>IMAP CAC</t>
  </si>
  <si>
    <t>A700</t>
  </si>
  <si>
    <t>Unit Priced Labor Work -  (Mechanic) MUST BE NEGOTIATED BY KO.</t>
  </si>
  <si>
    <r>
      <t xml:space="preserve">Provide labor to perform all Unit Priced Labor work subject to the Service Contract Act per the scope and delivery schedule specified in the order.  </t>
    </r>
    <r>
      <rPr>
        <b/>
        <sz val="10"/>
        <rFont val="Times New Roman"/>
        <family val="1"/>
      </rPr>
      <t xml:space="preserve">MUST BE NEGOTIATED BY KO USING ETO PROCESS.
</t>
    </r>
  </si>
  <si>
    <t>HR</t>
  </si>
  <si>
    <t>A701</t>
  </si>
  <si>
    <t>Unit Priced Labor Work - (Laborer) MUST BE NEGOTIATED BY KO.</t>
  </si>
  <si>
    <t>A702</t>
  </si>
  <si>
    <t>Unit Priced Labor Work - (Mechanic) MUST BE NEGOTIATED BY KO.</t>
  </si>
  <si>
    <r>
      <t xml:space="preserve">Provide labor to perform all Unit Priced Labor work subject to the Davis Bacon Act per the scope and delivery schedule specified in the order.  </t>
    </r>
    <r>
      <rPr>
        <b/>
        <sz val="10"/>
        <rFont val="Times New Roman"/>
        <family val="1"/>
      </rPr>
      <t xml:space="preserve">MUST BE NEGOTIATED BY KO USING ETO PROCESS.
</t>
    </r>
  </si>
  <si>
    <t>A703</t>
  </si>
  <si>
    <t>A704</t>
  </si>
  <si>
    <t>Material Costs-  MUST BE NEGOTIATED BY KO</t>
  </si>
  <si>
    <t xml:space="preserve">Provide all materials and equipment to perform Unit Priced Labor work per the scope and delivery schedule specified in the order. </t>
  </si>
  <si>
    <t>TOTAL NON-RECURRING WORK PRICE - BASE PERIOD</t>
  </si>
  <si>
    <t xml:space="preserve">Line Item 0003    Recurring Work - 1st Option Period </t>
  </si>
  <si>
    <t>PROVIDE PRICES FOR ELEVATOR MAINTENANCE - RECURRING WORK PRICE - IN ACCORDANCE WITH SECTION C, SPEC ITEM 3</t>
  </si>
  <si>
    <t>B001</t>
  </si>
  <si>
    <t>B001AA</t>
  </si>
  <si>
    <t>B001AB</t>
  </si>
  <si>
    <t>B001AC</t>
  </si>
  <si>
    <t>B001AD</t>
  </si>
  <si>
    <t>B001AE</t>
  </si>
  <si>
    <t>B001AF</t>
  </si>
  <si>
    <t>B002</t>
  </si>
  <si>
    <t>B002AA</t>
  </si>
  <si>
    <t>B002AB</t>
  </si>
  <si>
    <t>B002AC</t>
  </si>
  <si>
    <t>B002AD</t>
  </si>
  <si>
    <t>B002AE</t>
  </si>
  <si>
    <t>B002AF</t>
  </si>
  <si>
    <t>TOTAL RECURRING WORK PRICE - FIRST OPTION PERIOD</t>
  </si>
  <si>
    <t xml:space="preserve">Line Item 0004   Non-Recurring Work - 1st Option Period </t>
  </si>
  <si>
    <t>ELINs B700 through B704</t>
  </si>
  <si>
    <t>Extended Price</t>
  </si>
  <si>
    <t>B700</t>
  </si>
  <si>
    <t>B701</t>
  </si>
  <si>
    <t>B702</t>
  </si>
  <si>
    <t>B703</t>
  </si>
  <si>
    <t>B704</t>
  </si>
  <si>
    <t>TOTAL NON-RECURRING WORK PRICE - 1ST OPTION PERIOD</t>
  </si>
  <si>
    <t xml:space="preserve">Line Item 0005    Recurring Work - 2nd Option Period </t>
  </si>
  <si>
    <t>C001</t>
  </si>
  <si>
    <t>C001AA</t>
  </si>
  <si>
    <t>C001AB</t>
  </si>
  <si>
    <t>C001AC</t>
  </si>
  <si>
    <t>C001AD</t>
  </si>
  <si>
    <t>C001AE</t>
  </si>
  <si>
    <t>C001AF</t>
  </si>
  <si>
    <t>C002</t>
  </si>
  <si>
    <t>C002AA</t>
  </si>
  <si>
    <t>C002AB</t>
  </si>
  <si>
    <t>C002AC</t>
  </si>
  <si>
    <t>C002AD</t>
  </si>
  <si>
    <t>C002AE</t>
  </si>
  <si>
    <t>C002AF</t>
  </si>
  <si>
    <t>TOTAL RECURRING WORK PRICE - SECOND OPTION PERIOD</t>
  </si>
  <si>
    <t xml:space="preserve">SOLICITATION/CONTRACT # N40085 </t>
  </si>
  <si>
    <t xml:space="preserve">Line Item 0006    Non-Recurring Work - 2nd Option Period </t>
  </si>
  <si>
    <t>ELINs C700 through C704</t>
  </si>
  <si>
    <t>C700</t>
  </si>
  <si>
    <t>C701</t>
  </si>
  <si>
    <t>C702</t>
  </si>
  <si>
    <t>C703</t>
  </si>
  <si>
    <t>C704</t>
  </si>
  <si>
    <t>TOTAL NON-RECURRING WORK PRICE - 2ND OPTION PERIOD</t>
  </si>
  <si>
    <t xml:space="preserve">Line Item 0007    Recurring Work Price - 3rd Option Period </t>
  </si>
  <si>
    <t>D001</t>
  </si>
  <si>
    <t>D001AA</t>
  </si>
  <si>
    <t>D001AB</t>
  </si>
  <si>
    <t>D001AC</t>
  </si>
  <si>
    <t>D001AD</t>
  </si>
  <si>
    <t>D001AE</t>
  </si>
  <si>
    <t>D001AF</t>
  </si>
  <si>
    <t>D002</t>
  </si>
  <si>
    <t>D002AA</t>
  </si>
  <si>
    <t>D002AB</t>
  </si>
  <si>
    <t>D002AC</t>
  </si>
  <si>
    <t>D002AD</t>
  </si>
  <si>
    <t>D002AE</t>
  </si>
  <si>
    <t>D002AF</t>
  </si>
  <si>
    <t xml:space="preserve">    NGIS Subtotal</t>
  </si>
  <si>
    <t>TOTAL RECURRING WORK PRICE - THIRD OPTION PERIOD</t>
  </si>
  <si>
    <t xml:space="preserve">Line Item 0008    Non-Recurring Work - 3rd Option Period </t>
  </si>
  <si>
    <t>ELINs D700 through D704</t>
  </si>
  <si>
    <t>D700</t>
  </si>
  <si>
    <t>D701</t>
  </si>
  <si>
    <t>D702</t>
  </si>
  <si>
    <t>D703</t>
  </si>
  <si>
    <t>D704</t>
  </si>
  <si>
    <t>TOTAL NON-RECURRING WORK PRICE - 3RD OPTION PERIOD</t>
  </si>
  <si>
    <t xml:space="preserve">Line Item 0009    Recurring Work - 4th Option Period </t>
  </si>
  <si>
    <t>E001</t>
  </si>
  <si>
    <t>E001AA</t>
  </si>
  <si>
    <t>E001AB</t>
  </si>
  <si>
    <t>E001AC</t>
  </si>
  <si>
    <t>E001AD</t>
  </si>
  <si>
    <t>E001AE</t>
  </si>
  <si>
    <t>E001AF</t>
  </si>
  <si>
    <t>E002</t>
  </si>
  <si>
    <t>E002AA</t>
  </si>
  <si>
    <t>E002AB</t>
  </si>
  <si>
    <t>E002AC</t>
  </si>
  <si>
    <t>E002AD</t>
  </si>
  <si>
    <t>E002AE</t>
  </si>
  <si>
    <t>E002AF</t>
  </si>
  <si>
    <t>TOTAL RECURRING WORK PRICE - FOURTH OPTION PERIOD</t>
  </si>
  <si>
    <t xml:space="preserve">Line Item 0010    Non-Recurring Work - 4th Option Period </t>
  </si>
  <si>
    <t>ELINs E700 through E704</t>
  </si>
  <si>
    <t>E700</t>
  </si>
  <si>
    <t>E701</t>
  </si>
  <si>
    <t>E702</t>
  </si>
  <si>
    <t>E703</t>
  </si>
  <si>
    <t>E704</t>
  </si>
  <si>
    <t>TOTAL NON-RECURRING WORK PRICE - 4TH OPTION PERIOD</t>
  </si>
  <si>
    <t>AC</t>
  </si>
  <si>
    <t>Acre</t>
  </si>
  <si>
    <t>FR</t>
  </si>
  <si>
    <t>Frame</t>
  </si>
  <si>
    <t>PD</t>
  </si>
  <si>
    <t>Pad</t>
  </si>
  <si>
    <t>AM</t>
  </si>
  <si>
    <t>Ampoule</t>
  </si>
  <si>
    <t>FT</t>
  </si>
  <si>
    <t>Foot</t>
  </si>
  <si>
    <t>PG</t>
  </si>
  <si>
    <t>Package</t>
  </si>
  <si>
    <t>AT</t>
  </si>
  <si>
    <t>Assortment</t>
  </si>
  <si>
    <t>FV</t>
  </si>
  <si>
    <t>Five</t>
  </si>
  <si>
    <t>PI</t>
  </si>
  <si>
    <t>Pillow</t>
  </si>
  <si>
    <t>AY</t>
  </si>
  <si>
    <t>Assembly</t>
  </si>
  <si>
    <t>FY</t>
  </si>
  <si>
    <t>Fifty</t>
  </si>
  <si>
    <t>PM</t>
  </si>
  <si>
    <t>Plate</t>
  </si>
  <si>
    <t>BA</t>
  </si>
  <si>
    <t>Ball</t>
  </si>
  <si>
    <t>GG</t>
  </si>
  <si>
    <t>Great Gross</t>
  </si>
  <si>
    <t>PR</t>
  </si>
  <si>
    <t>Pair</t>
  </si>
  <si>
    <t>BD</t>
  </si>
  <si>
    <t>Bundle</t>
  </si>
  <si>
    <t>GI</t>
  </si>
  <si>
    <t>Gill</t>
  </si>
  <si>
    <t>PT</t>
  </si>
  <si>
    <t>Pint</t>
  </si>
  <si>
    <t>BE</t>
  </si>
  <si>
    <t>Bale</t>
  </si>
  <si>
    <t>GL</t>
  </si>
  <si>
    <t>Gallon</t>
  </si>
  <si>
    <t>PX</t>
  </si>
  <si>
    <t>Pellet</t>
  </si>
  <si>
    <t>BF</t>
  </si>
  <si>
    <t>Board Foot</t>
  </si>
  <si>
    <t>GM</t>
  </si>
  <si>
    <t>Gram</t>
  </si>
  <si>
    <t>PZ</t>
  </si>
  <si>
    <t>Packet</t>
  </si>
  <si>
    <t>BG</t>
  </si>
  <si>
    <t>Bag</t>
  </si>
  <si>
    <t>GN</t>
  </si>
  <si>
    <t>Grain</t>
  </si>
  <si>
    <t>QT</t>
  </si>
  <si>
    <t>Quart</t>
  </si>
  <si>
    <t>BK</t>
  </si>
  <si>
    <t>Book</t>
  </si>
  <si>
    <t>GP</t>
  </si>
  <si>
    <t>Group</t>
  </si>
  <si>
    <t>RA</t>
  </si>
  <si>
    <t>Ration</t>
  </si>
  <si>
    <t>BL</t>
  </si>
  <si>
    <t>Barrel</t>
  </si>
  <si>
    <t>GR</t>
  </si>
  <si>
    <t>Gross</t>
  </si>
  <si>
    <t>RD</t>
  </si>
  <si>
    <t>Round</t>
  </si>
  <si>
    <t>BO</t>
  </si>
  <si>
    <t>Bolt</t>
  </si>
  <si>
    <t>HD</t>
  </si>
  <si>
    <t>Hundred</t>
  </si>
  <si>
    <t>RL</t>
  </si>
  <si>
    <t>Reel</t>
  </si>
  <si>
    <t>BQ</t>
  </si>
  <si>
    <t>Briquet</t>
  </si>
  <si>
    <t>HF</t>
  </si>
  <si>
    <t>Hundred Feet</t>
  </si>
  <si>
    <t>RM</t>
  </si>
  <si>
    <t>Ream</t>
  </si>
  <si>
    <t>BR</t>
  </si>
  <si>
    <t>Bar</t>
  </si>
  <si>
    <t>HK</t>
  </si>
  <si>
    <t>Hank</t>
  </si>
  <si>
    <t>RO</t>
  </si>
  <si>
    <t>Roll</t>
  </si>
  <si>
    <t>BT</t>
  </si>
  <si>
    <t>Bottle</t>
  </si>
  <si>
    <t>HP</t>
  </si>
  <si>
    <t>Hundred Pounds</t>
  </si>
  <si>
    <t>RX</t>
  </si>
  <si>
    <t>Thousand Rounds</t>
  </si>
  <si>
    <t>BX</t>
  </si>
  <si>
    <t>Box</t>
  </si>
  <si>
    <t>Hours</t>
  </si>
  <si>
    <t>SB</t>
  </si>
  <si>
    <t>Square Mile</t>
  </si>
  <si>
    <t>CA</t>
  </si>
  <si>
    <t>Cartridge</t>
  </si>
  <si>
    <t>HS</t>
  </si>
  <si>
    <t>Hundred Square Feet</t>
  </si>
  <si>
    <t>SC</t>
  </si>
  <si>
    <t>Square Centimeters</t>
  </si>
  <si>
    <t>CB</t>
  </si>
  <si>
    <t>Carboy</t>
  </si>
  <si>
    <t>HW</t>
  </si>
  <si>
    <t>Hundred Weight</t>
  </si>
  <si>
    <t>SD</t>
  </si>
  <si>
    <t>Skid</t>
  </si>
  <si>
    <t>CC</t>
  </si>
  <si>
    <t>Cubic Centimeter</t>
  </si>
  <si>
    <t>HY</t>
  </si>
  <si>
    <t>Hundred Yards</t>
  </si>
  <si>
    <t>SE</t>
  </si>
  <si>
    <t>Set</t>
  </si>
  <si>
    <t>CD</t>
  </si>
  <si>
    <t>Cubic Yard</t>
  </si>
  <si>
    <t>IN</t>
  </si>
  <si>
    <t>Inch</t>
  </si>
  <si>
    <t>SF</t>
  </si>
  <si>
    <t>Square Foot</t>
  </si>
  <si>
    <t>CE</t>
  </si>
  <si>
    <t>Cone</t>
  </si>
  <si>
    <t>JR</t>
  </si>
  <si>
    <t>Jar</t>
  </si>
  <si>
    <t>SH</t>
  </si>
  <si>
    <t>Sheet</t>
  </si>
  <si>
    <t>CF</t>
  </si>
  <si>
    <t>Cubic Foot</t>
  </si>
  <si>
    <t>KG</t>
  </si>
  <si>
    <t>Kilogram</t>
  </si>
  <si>
    <t>SI</t>
  </si>
  <si>
    <t>Square Inch</t>
  </si>
  <si>
    <t>CG</t>
  </si>
  <si>
    <t>Centigram</t>
  </si>
  <si>
    <t>KM</t>
  </si>
  <si>
    <t>Kilometer</t>
  </si>
  <si>
    <t>SK</t>
  </si>
  <si>
    <t>Skein</t>
  </si>
  <si>
    <t>CI</t>
  </si>
  <si>
    <t>Cubic Inch</t>
  </si>
  <si>
    <t>KR</t>
  </si>
  <si>
    <t>Carat</t>
  </si>
  <si>
    <t>SL</t>
  </si>
  <si>
    <t>Spool</t>
  </si>
  <si>
    <t>CK</t>
  </si>
  <si>
    <t>Cake</t>
  </si>
  <si>
    <t>KT</t>
  </si>
  <si>
    <t>Kit</t>
  </si>
  <si>
    <t>SM</t>
  </si>
  <si>
    <t>Square Meter</t>
  </si>
  <si>
    <t>CL</t>
  </si>
  <si>
    <t>Coil</t>
  </si>
  <si>
    <t>LB</t>
  </si>
  <si>
    <t>Pound</t>
  </si>
  <si>
    <t>SO</t>
  </si>
  <si>
    <t>Shot</t>
  </si>
  <si>
    <t>CM</t>
  </si>
  <si>
    <t>Centimeter</t>
  </si>
  <si>
    <t>LF</t>
  </si>
  <si>
    <t>Linear Foot</t>
  </si>
  <si>
    <t>SP</t>
  </si>
  <si>
    <t>Strip</t>
  </si>
  <si>
    <t>CN</t>
  </si>
  <si>
    <t>Can</t>
  </si>
  <si>
    <t>LG</t>
  </si>
  <si>
    <t>Length</t>
  </si>
  <si>
    <t>SQ</t>
  </si>
  <si>
    <t>Square</t>
  </si>
  <si>
    <t>CO</t>
  </si>
  <si>
    <t>Container</t>
  </si>
  <si>
    <t>LH</t>
  </si>
  <si>
    <t>Labor Hours</t>
  </si>
  <si>
    <t>SX</t>
  </si>
  <si>
    <t>Stick</t>
  </si>
  <si>
    <t>CU</t>
  </si>
  <si>
    <t>Curie</t>
  </si>
  <si>
    <t>LI</t>
  </si>
  <si>
    <t>Liter</t>
  </si>
  <si>
    <t>SY</t>
  </si>
  <si>
    <t>Square Yard</t>
  </si>
  <si>
    <t>CY</t>
  </si>
  <si>
    <t>Cylinder</t>
  </si>
  <si>
    <t>LM</t>
  </si>
  <si>
    <t>Linear Meter</t>
  </si>
  <si>
    <t>TC</t>
  </si>
  <si>
    <t>Truckload</t>
  </si>
  <si>
    <t>CZ</t>
  </si>
  <si>
    <t>Cubic Meter</t>
  </si>
  <si>
    <t>LO</t>
  </si>
  <si>
    <t>Lot</t>
  </si>
  <si>
    <t>TD</t>
  </si>
  <si>
    <t>Twenty-Four</t>
  </si>
  <si>
    <t>DA</t>
  </si>
  <si>
    <t>Days</t>
  </si>
  <si>
    <t>LS</t>
  </si>
  <si>
    <t>Lump Sum</t>
  </si>
  <si>
    <t>TE</t>
  </si>
  <si>
    <t>Ten</t>
  </si>
  <si>
    <t>DC</t>
  </si>
  <si>
    <t>Decagram</t>
  </si>
  <si>
    <t>LY</t>
  </si>
  <si>
    <t>Linear Yard</t>
  </si>
  <si>
    <t>TF</t>
  </si>
  <si>
    <t>Twenty-Five</t>
  </si>
  <si>
    <t>DE</t>
  </si>
  <si>
    <t>Decimeter</t>
  </si>
  <si>
    <t>MC</t>
  </si>
  <si>
    <t>Thousand Cubic Feet</t>
  </si>
  <si>
    <t>TG</t>
  </si>
  <si>
    <t>Gross Ton</t>
  </si>
  <si>
    <t>DG</t>
  </si>
  <si>
    <t>Decigram</t>
  </si>
  <si>
    <t>ME</t>
  </si>
  <si>
    <t>Meal</t>
  </si>
  <si>
    <t>TN</t>
  </si>
  <si>
    <t>Ton</t>
  </si>
  <si>
    <t>DL</t>
  </si>
  <si>
    <t>Deciliter</t>
  </si>
  <si>
    <t>MF</t>
  </si>
  <si>
    <t>Thousand Feet</t>
  </si>
  <si>
    <t>TO</t>
  </si>
  <si>
    <t>Troy Ounce</t>
  </si>
  <si>
    <t>DM</t>
  </si>
  <si>
    <t>Dram</t>
  </si>
  <si>
    <t>MG</t>
  </si>
  <si>
    <t>Milligram</t>
  </si>
  <si>
    <t>TS</t>
  </si>
  <si>
    <t>Thirty-Six</t>
  </si>
  <si>
    <t>DO</t>
  </si>
  <si>
    <t>Dollars</t>
  </si>
  <si>
    <t>MI</t>
  </si>
  <si>
    <t>Mile</t>
  </si>
  <si>
    <t>TT</t>
  </si>
  <si>
    <t>Tablet</t>
  </si>
  <si>
    <t>DR</t>
  </si>
  <si>
    <t>Drum</t>
  </si>
  <si>
    <t>ML</t>
  </si>
  <si>
    <t>Milliliter</t>
  </si>
  <si>
    <t>TU</t>
  </si>
  <si>
    <t>Tube</t>
  </si>
  <si>
    <t>DW</t>
  </si>
  <si>
    <t>Pennyweight</t>
  </si>
  <si>
    <t>MM</t>
  </si>
  <si>
    <t>Millimeter</t>
  </si>
  <si>
    <t>UN</t>
  </si>
  <si>
    <t>Unit</t>
  </si>
  <si>
    <t>DZ</t>
  </si>
  <si>
    <t>Dozen</t>
  </si>
  <si>
    <t>Months</t>
  </si>
  <si>
    <t>US</t>
  </si>
  <si>
    <t>US U.S.P Unit</t>
  </si>
  <si>
    <t>Each</t>
  </si>
  <si>
    <t>MR</t>
  </si>
  <si>
    <t>Meter</t>
  </si>
  <si>
    <t>VI</t>
  </si>
  <si>
    <t>Vial</t>
  </si>
  <si>
    <t>EN</t>
  </si>
  <si>
    <t>Each Collection</t>
  </si>
  <si>
    <t>MX</t>
  </si>
  <si>
    <t>Thousand</t>
  </si>
  <si>
    <t>WK</t>
  </si>
  <si>
    <t>Week</t>
  </si>
  <si>
    <t>EX</t>
  </si>
  <si>
    <t>Exposure</t>
  </si>
  <si>
    <t>OT</t>
  </si>
  <si>
    <t>Outfit</t>
  </si>
  <si>
    <t>YD</t>
  </si>
  <si>
    <t>Yard</t>
  </si>
  <si>
    <t>FD</t>
  </si>
  <si>
    <t>Fold</t>
  </si>
  <si>
    <t>OZ</t>
  </si>
  <si>
    <t>Ounce</t>
  </si>
  <si>
    <t>YR</t>
  </si>
  <si>
    <t>Years</t>
  </si>
  <si>
    <t>ELINs A001 through A002</t>
  </si>
  <si>
    <t>ELINs B001 through B002</t>
  </si>
  <si>
    <t>ELINs C001 through C002</t>
  </si>
  <si>
    <t>ELINs D001 through D002</t>
  </si>
  <si>
    <t>ELINs E001 through E002</t>
  </si>
  <si>
    <t>ATTACHMENT J-0200000-14</t>
  </si>
  <si>
    <t>EXHIBIT A - CLIN 0001</t>
  </si>
  <si>
    <t>EXHIBIT A - CLIN 0002</t>
  </si>
  <si>
    <t>EXHIBIT B - CLIN 0003</t>
  </si>
  <si>
    <t>EXHIBIT B - CLIN 0004</t>
  </si>
  <si>
    <t>EXHIBIT C - CLIN 0005</t>
  </si>
  <si>
    <t>EXHIBIT C - CLIN 0006</t>
  </si>
  <si>
    <t>EXHIBIT D - CLIN 0007</t>
  </si>
  <si>
    <t>EXHIBIT D - CLIN 0008</t>
  </si>
  <si>
    <t>EXHIBIT E - CLIN 0009</t>
  </si>
  <si>
    <t>EXHIBIT E - CLIN 0010</t>
  </si>
  <si>
    <t>SOLICITATION/CONTRACT # N40085-</t>
  </si>
  <si>
    <t>ATTACHMENT J-0200000-014</t>
  </si>
  <si>
    <t>***INSTRUCTIONS *** Recurring Work-  Fill in "Unit Price" cells for each ELIN on the following tabs: ELIN Base period Recurring, ELIN 1st Opt period  Recurring, ELIN 2nd Opt period  Recurring, ELIN 3rd Opt period  Recurring, and  ELIN 4th Opt period  Recurring .  Non-Recurring Work- Fill in "Price" cells for the following tabs: ELIN Base Period Non-Recurring, ELIN 1st Opt Non-Recurring,   ELIN 2nd Opt Non-Recurring, ELIN 3rd Opt Non-Recurring, ELIN 4th Opt Non-Recurring. ENSURE ALL FORMULA'S IN THE CELLS ARE CORRECT FOR TOTALS.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</si>
</sst>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7" formatCode="&quot;$&quot;#,##0.00_);\(&quot;$&quot;#,##0.00\)"/>
    <numFmt numFmtId="44" formatCode="_(&quot;$&quot;* #,##0.00_);_(&quot;$&quot;* \(#,##0.00\);_(&quot;$&quot;* &quot;-&quot;??_);_(@_)"/>
    <numFmt numFmtId="164" formatCode="&quot;$&quot;#,##0.00"/>
    <numFmt numFmtId="165" formatCode="0.0"/>
  </numFmts>
  <fonts count="33" x14ac:knownFonts="1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sz val="10"/>
      <name val="Arial"/>
      <family val="2"/>
    </font>
    <font>
      <b/>
      <u/>
      <sz val="11"/>
      <name val="Times New Roman"/>
      <family val="1"/>
    </font>
    <font>
      <sz val="11"/>
      <name val="Times New Roman"/>
      <family val="1"/>
    </font>
    <font>
      <b/>
      <u/>
      <sz val="10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sz val="10"/>
      <name val="Garamond"/>
      <family val="1"/>
    </font>
    <font>
      <sz val="11"/>
      <name val="Garamond"/>
      <family val="1"/>
    </font>
    <font>
      <sz val="10"/>
      <color indexed="8"/>
      <name val="Times New Roman"/>
      <family val="1"/>
    </font>
    <font>
      <b/>
      <i/>
      <sz val="10"/>
      <name val="Times New Roman"/>
      <family val="1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9"/>
      <name val="Arial"/>
      <family val="2"/>
    </font>
    <font>
      <sz val="10"/>
      <color indexed="16"/>
      <name val="Arial"/>
      <family val="2"/>
    </font>
    <font>
      <b/>
      <sz val="10"/>
      <color indexed="53"/>
      <name val="Arial"/>
      <family val="2"/>
    </font>
    <font>
      <b/>
      <sz val="10"/>
      <color indexed="9"/>
      <name val="Arial"/>
      <family val="2"/>
    </font>
    <font>
      <sz val="10"/>
      <color indexed="17"/>
      <name val="Arial"/>
      <family val="2"/>
    </font>
    <font>
      <b/>
      <sz val="15"/>
      <color indexed="62"/>
      <name val="Arial"/>
      <family val="2"/>
    </font>
    <font>
      <b/>
      <sz val="13"/>
      <color indexed="62"/>
      <name val="Arial"/>
      <family val="2"/>
    </font>
    <font>
      <b/>
      <sz val="11"/>
      <color indexed="62"/>
      <name val="Arial"/>
      <family val="2"/>
    </font>
    <font>
      <sz val="10"/>
      <color indexed="62"/>
      <name val="Arial"/>
      <family val="2"/>
    </font>
    <font>
      <sz val="10"/>
      <color indexed="53"/>
      <name val="Arial"/>
      <family val="2"/>
    </font>
    <font>
      <sz val="10"/>
      <color indexed="60"/>
      <name val="Arial"/>
      <family val="2"/>
    </font>
    <font>
      <b/>
      <sz val="10"/>
      <color indexed="63"/>
      <name val="Arial"/>
      <family val="2"/>
    </font>
    <font>
      <b/>
      <sz val="18"/>
      <color indexed="62"/>
      <name val="Cambria"/>
      <family val="2"/>
    </font>
    <font>
      <sz val="10"/>
      <color indexed="8"/>
      <name val="Tahoma"/>
      <family val="2"/>
    </font>
    <font>
      <sz val="12"/>
      <name val="Times New Roman"/>
      <family val="1"/>
    </font>
    <font>
      <sz val="12"/>
      <name val="Arial"/>
      <family val="2"/>
    </font>
    <font>
      <b/>
      <sz val="12"/>
      <name val="Times New Roman"/>
      <family val="1"/>
    </font>
  </fonts>
  <fills count="23">
    <fill>
      <patternFill patternType="none"/>
    </fill>
    <fill>
      <patternFill patternType="gray125"/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2"/>
        <bgColor indexed="42"/>
      </patternFill>
    </fill>
    <fill>
      <patternFill patternType="solid">
        <fgColor indexed="27"/>
        <bgColor indexed="27"/>
      </patternFill>
    </fill>
    <fill>
      <patternFill patternType="solid">
        <fgColor indexed="49"/>
        <bgColor indexed="49"/>
      </patternFill>
    </fill>
    <fill>
      <patternFill patternType="solid">
        <fgColor indexed="47"/>
        <bgColor indexed="47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13"/>
        <bgColor indexed="64"/>
      </patternFill>
    </fill>
  </fills>
  <borders count="4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11">
    <xf numFmtId="0" fontId="0" fillId="0" borderId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4" fillId="5" borderId="0" applyNumberFormat="0" applyBorder="0" applyAlignment="0" applyProtection="0"/>
    <xf numFmtId="0" fontId="14" fillId="9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4" fillId="2" borderId="0" applyNumberFormat="0" applyBorder="0" applyAlignment="0" applyProtection="0"/>
    <xf numFmtId="0" fontId="14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4" fillId="10" borderId="0" applyNumberFormat="0" applyBorder="0" applyAlignment="0" applyProtection="0"/>
    <xf numFmtId="0" fontId="14" fillId="2" borderId="0" applyNumberFormat="0" applyBorder="0" applyAlignment="0" applyProtection="0"/>
    <xf numFmtId="0" fontId="16" fillId="3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4" fillId="5" borderId="0" applyNumberFormat="0" applyBorder="0" applyAlignment="0" applyProtection="0"/>
    <xf numFmtId="0" fontId="14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7" fillId="14" borderId="0" applyNumberFormat="0" applyBorder="0" applyAlignment="0" applyProtection="0"/>
    <xf numFmtId="0" fontId="18" fillId="15" borderId="1" applyNumberFormat="0" applyAlignment="0" applyProtection="0"/>
    <xf numFmtId="0" fontId="19" fillId="7" borderId="2" applyNumberFormat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20" fillId="9" borderId="0" applyNumberFormat="0" applyBorder="0" applyAlignment="0" applyProtection="0"/>
    <xf numFmtId="0" fontId="21" fillId="0" borderId="3" applyNumberFormat="0" applyFill="0" applyAlignment="0" applyProtection="0"/>
    <xf numFmtId="0" fontId="22" fillId="0" borderId="4" applyNumberFormat="0" applyFill="0" applyAlignment="0" applyProtection="0"/>
    <xf numFmtId="0" fontId="23" fillId="0" borderId="5" applyNumberFormat="0" applyFill="0" applyAlignment="0" applyProtection="0"/>
    <xf numFmtId="0" fontId="23" fillId="0" borderId="0" applyNumberFormat="0" applyFill="0" applyBorder="0" applyAlignment="0" applyProtection="0"/>
    <xf numFmtId="0" fontId="24" fillId="12" borderId="1" applyNumberFormat="0" applyAlignment="0" applyProtection="0"/>
    <xf numFmtId="0" fontId="25" fillId="0" borderId="6" applyNumberFormat="0" applyFill="0" applyAlignment="0" applyProtection="0"/>
    <xf numFmtId="0" fontId="26" fillId="19" borderId="0" applyNumberFormat="0" applyBorder="0" applyAlignment="0" applyProtection="0"/>
    <xf numFmtId="0" fontId="3" fillId="0" borderId="0"/>
    <xf numFmtId="0" fontId="29" fillId="0" borderId="0"/>
    <xf numFmtId="0" fontId="3" fillId="5" borderId="7" applyNumberFormat="0" applyFont="0" applyAlignment="0" applyProtection="0"/>
    <xf numFmtId="0" fontId="27" fillId="15" borderId="8" applyNumberFormat="0" applyAlignment="0" applyProtection="0"/>
    <xf numFmtId="9" fontId="1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13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17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Border="1" applyAlignment="1">
      <alignment horizontal="left"/>
    </xf>
    <xf numFmtId="0" fontId="2" fillId="0" borderId="0" xfId="0" applyFont="1" applyBorder="1"/>
    <xf numFmtId="3" fontId="2" fillId="0" borderId="0" xfId="0" applyNumberFormat="1" applyFont="1" applyBorder="1" applyAlignment="1">
      <alignment horizontal="center"/>
    </xf>
    <xf numFmtId="164" fontId="2" fillId="0" borderId="0" xfId="0" applyNumberFormat="1" applyFont="1" applyBorder="1" applyAlignment="1">
      <alignment horizontal="center"/>
    </xf>
    <xf numFmtId="0" fontId="2" fillId="0" borderId="10" xfId="0" applyFont="1" applyBorder="1" applyAlignment="1">
      <alignment vertical="top" wrapText="1"/>
    </xf>
    <xf numFmtId="3" fontId="2" fillId="0" borderId="10" xfId="0" applyNumberFormat="1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164" fontId="2" fillId="0" borderId="10" xfId="0" applyNumberFormat="1" applyFont="1" applyBorder="1" applyAlignment="1">
      <alignment horizontal="left" vertical="top" wrapText="1"/>
    </xf>
    <xf numFmtId="164" fontId="6" fillId="0" borderId="10" xfId="0" applyNumberFormat="1" applyFont="1" applyBorder="1" applyAlignment="1">
      <alignment horizontal="center"/>
    </xf>
    <xf numFmtId="3" fontId="2" fillId="0" borderId="10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7" fillId="0" borderId="10" xfId="0" applyFont="1" applyBorder="1" applyAlignment="1">
      <alignment horizontal="left"/>
    </xf>
    <xf numFmtId="3" fontId="7" fillId="0" borderId="10" xfId="0" applyNumberFormat="1" applyFont="1" applyBorder="1" applyAlignment="1">
      <alignment horizontal="center"/>
    </xf>
    <xf numFmtId="0" fontId="7" fillId="0" borderId="10" xfId="0" applyFont="1" applyBorder="1" applyAlignment="1">
      <alignment horizontal="left" wrapText="1"/>
    </xf>
    <xf numFmtId="0" fontId="7" fillId="0" borderId="10" xfId="0" applyFont="1" applyBorder="1" applyAlignment="1">
      <alignment horizontal="center"/>
    </xf>
    <xf numFmtId="44" fontId="7" fillId="0" borderId="10" xfId="88" applyFont="1" applyBorder="1" applyAlignment="1">
      <alignment horizontal="center"/>
    </xf>
    <xf numFmtId="5" fontId="7" fillId="0" borderId="10" xfId="0" applyNumberFormat="1" applyFont="1" applyBorder="1" applyAlignment="1">
      <alignment horizontal="right"/>
    </xf>
    <xf numFmtId="0" fontId="7" fillId="0" borderId="0" xfId="0" applyFont="1"/>
    <xf numFmtId="164" fontId="2" fillId="0" borderId="10" xfId="0" applyNumberFormat="1" applyFont="1" applyBorder="1"/>
    <xf numFmtId="3" fontId="4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64" fontId="4" fillId="0" borderId="0" xfId="0" applyNumberFormat="1" applyFont="1" applyBorder="1" applyAlignment="1">
      <alignment horizontal="center" vertical="center"/>
    </xf>
    <xf numFmtId="0" fontId="9" fillId="0" borderId="10" xfId="0" applyFont="1" applyFill="1" applyBorder="1" applyAlignment="1" applyProtection="1">
      <alignment horizontal="center"/>
      <protection locked="0"/>
    </xf>
    <xf numFmtId="0" fontId="9" fillId="0" borderId="10" xfId="0" applyFont="1" applyFill="1" applyBorder="1" applyAlignment="1" applyProtection="1">
      <alignment horizontal="left"/>
      <protection locked="0"/>
    </xf>
    <xf numFmtId="0" fontId="9" fillId="0" borderId="11" xfId="0" applyFont="1" applyFill="1" applyBorder="1" applyAlignment="1"/>
    <xf numFmtId="0" fontId="9" fillId="0" borderId="10" xfId="0" applyFont="1" applyFill="1" applyBorder="1" applyAlignment="1">
      <alignment horizontal="center"/>
    </xf>
    <xf numFmtId="0" fontId="9" fillId="0" borderId="10" xfId="0" applyFont="1" applyFill="1" applyBorder="1" applyAlignment="1"/>
    <xf numFmtId="0" fontId="10" fillId="0" borderId="0" xfId="0" applyFont="1" applyFill="1" applyAlignment="1"/>
    <xf numFmtId="0" fontId="2" fillId="0" borderId="0" xfId="0" applyFont="1" applyFill="1"/>
    <xf numFmtId="0" fontId="11" fillId="0" borderId="10" xfId="0" applyFont="1" applyBorder="1"/>
    <xf numFmtId="7" fontId="2" fillId="0" borderId="10" xfId="0" applyNumberFormat="1" applyFont="1" applyBorder="1" applyAlignment="1">
      <alignment horizontal="right"/>
    </xf>
    <xf numFmtId="44" fontId="2" fillId="0" borderId="10" xfId="88" applyFont="1" applyBorder="1" applyAlignment="1">
      <alignment horizontal="right"/>
    </xf>
    <xf numFmtId="0" fontId="7" fillId="0" borderId="10" xfId="0" applyFont="1" applyBorder="1"/>
    <xf numFmtId="0" fontId="2" fillId="0" borderId="10" xfId="0" applyFont="1" applyBorder="1"/>
    <xf numFmtId="165" fontId="2" fillId="0" borderId="10" xfId="0" applyNumberFormat="1" applyFont="1" applyBorder="1" applyAlignment="1">
      <alignment horizontal="left" wrapText="1"/>
    </xf>
    <xf numFmtId="0" fontId="2" fillId="0" borderId="10" xfId="0" applyFont="1" applyBorder="1" applyAlignment="1">
      <alignment horizontal="left"/>
    </xf>
    <xf numFmtId="3" fontId="5" fillId="0" borderId="10" xfId="0" applyNumberFormat="1" applyFont="1" applyBorder="1" applyAlignment="1">
      <alignment horizontal="center"/>
    </xf>
    <xf numFmtId="164" fontId="7" fillId="0" borderId="10" xfId="0" applyNumberFormat="1" applyFont="1" applyBorder="1" applyAlignment="1">
      <alignment horizontal="center"/>
    </xf>
    <xf numFmtId="0" fontId="7" fillId="0" borderId="12" xfId="0" applyFont="1" applyBorder="1" applyAlignment="1">
      <alignment vertical="top" wrapText="1"/>
    </xf>
    <xf numFmtId="0" fontId="7" fillId="0" borderId="12" xfId="0" applyFont="1" applyBorder="1" applyAlignment="1">
      <alignment vertical="top"/>
    </xf>
    <xf numFmtId="3" fontId="7" fillId="0" borderId="12" xfId="0" applyNumberFormat="1" applyFont="1" applyBorder="1" applyAlignment="1">
      <alignment vertical="top"/>
    </xf>
    <xf numFmtId="164" fontId="7" fillId="0" borderId="12" xfId="0" applyNumberFormat="1" applyFont="1" applyBorder="1" applyAlignment="1">
      <alignment vertical="top"/>
    </xf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164" fontId="2" fillId="0" borderId="10" xfId="88" applyNumberFormat="1" applyFont="1" applyBorder="1" applyAlignment="1">
      <alignment horizontal="right"/>
    </xf>
    <xf numFmtId="0" fontId="2" fillId="0" borderId="18" xfId="0" applyFont="1" applyBorder="1" applyAlignment="1">
      <alignment vertical="top"/>
    </xf>
    <xf numFmtId="0" fontId="2" fillId="0" borderId="18" xfId="0" applyFont="1" applyBorder="1"/>
    <xf numFmtId="0" fontId="2" fillId="0" borderId="19" xfId="0" applyFont="1" applyBorder="1"/>
    <xf numFmtId="0" fontId="2" fillId="0" borderId="20" xfId="0" applyFont="1" applyBorder="1"/>
    <xf numFmtId="0" fontId="2" fillId="0" borderId="0" xfId="0" applyFont="1" applyBorder="1" applyAlignment="1">
      <alignment horizontal="center" vertical="top"/>
    </xf>
    <xf numFmtId="0" fontId="2" fillId="0" borderId="10" xfId="0" applyFont="1" applyFill="1" applyBorder="1" applyAlignment="1">
      <alignment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10" xfId="0" applyFont="1" applyFill="1" applyBorder="1" applyAlignment="1">
      <alignment horizontal="center" vertical="top" wrapText="1"/>
    </xf>
    <xf numFmtId="0" fontId="7" fillId="0" borderId="21" xfId="0" applyNumberFormat="1" applyFont="1" applyFill="1" applyBorder="1" applyAlignment="1">
      <alignment horizontal="center" vertical="top" wrapText="1"/>
    </xf>
    <xf numFmtId="0" fontId="2" fillId="0" borderId="21" xfId="0" applyFont="1" applyFill="1" applyBorder="1" applyAlignment="1">
      <alignment horizontal="center" vertical="top" wrapText="1"/>
    </xf>
    <xf numFmtId="0" fontId="7" fillId="0" borderId="22" xfId="0" applyFont="1" applyFill="1" applyBorder="1" applyAlignment="1">
      <alignment horizontal="center" vertical="top" wrapText="1"/>
    </xf>
    <xf numFmtId="49" fontId="2" fillId="0" borderId="23" xfId="0" applyNumberFormat="1" applyFont="1" applyBorder="1" applyAlignment="1">
      <alignment horizontal="center" vertical="top" wrapText="1"/>
    </xf>
    <xf numFmtId="0" fontId="2" fillId="0" borderId="23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left" wrapText="1"/>
    </xf>
    <xf numFmtId="0" fontId="12" fillId="0" borderId="10" xfId="0" applyFont="1" applyFill="1" applyBorder="1" applyAlignment="1">
      <alignment vertical="top" wrapText="1"/>
    </xf>
    <xf numFmtId="0" fontId="2" fillId="0" borderId="24" xfId="0" applyFont="1" applyBorder="1" applyAlignment="1">
      <alignment horizontal="center" vertical="top" wrapText="1"/>
    </xf>
    <xf numFmtId="0" fontId="2" fillId="0" borderId="19" xfId="0" applyFont="1" applyBorder="1" applyAlignment="1">
      <alignment horizontal="left" wrapText="1"/>
    </xf>
    <xf numFmtId="0" fontId="2" fillId="0" borderId="19" xfId="0" applyFont="1" applyBorder="1" applyAlignment="1">
      <alignment horizontal="center" vertical="top" wrapText="1"/>
    </xf>
    <xf numFmtId="49" fontId="2" fillId="0" borderId="0" xfId="0" applyNumberFormat="1" applyFont="1" applyBorder="1" applyAlignment="1">
      <alignment horizontal="center" vertical="top"/>
    </xf>
    <xf numFmtId="0" fontId="7" fillId="0" borderId="12" xfId="0" applyNumberFormat="1" applyFont="1" applyFill="1" applyBorder="1" applyAlignment="1">
      <alignment horizontal="center" vertical="top" wrapText="1"/>
    </xf>
    <xf numFmtId="0" fontId="7" fillId="0" borderId="25" xfId="0" applyFont="1" applyFill="1" applyBorder="1" applyAlignment="1">
      <alignment horizontal="center" vertical="top" wrapText="1"/>
    </xf>
    <xf numFmtId="165" fontId="2" fillId="0" borderId="10" xfId="0" applyNumberFormat="1" applyFont="1" applyBorder="1" applyAlignment="1">
      <alignment horizontal="left" vertical="top" wrapText="1"/>
    </xf>
    <xf numFmtId="3" fontId="2" fillId="0" borderId="10" xfId="0" applyNumberFormat="1" applyFont="1" applyBorder="1" applyAlignment="1">
      <alignment horizontal="center" vertical="top"/>
    </xf>
    <xf numFmtId="0" fontId="7" fillId="20" borderId="10" xfId="0" applyFont="1" applyFill="1" applyBorder="1" applyAlignment="1">
      <alignment horizontal="left" wrapText="1"/>
    </xf>
    <xf numFmtId="3" fontId="7" fillId="0" borderId="10" xfId="0" applyNumberFormat="1" applyFont="1" applyBorder="1" applyAlignment="1">
      <alignment horizontal="left" wrapText="1"/>
    </xf>
    <xf numFmtId="0" fontId="2" fillId="0" borderId="0" xfId="103" applyFont="1" applyBorder="1"/>
    <xf numFmtId="0" fontId="2" fillId="0" borderId="0" xfId="103" applyFont="1"/>
    <xf numFmtId="0" fontId="30" fillId="0" borderId="0" xfId="103" applyFont="1"/>
    <xf numFmtId="0" fontId="31" fillId="0" borderId="0" xfId="103" applyFont="1" applyBorder="1"/>
    <xf numFmtId="44" fontId="31" fillId="0" borderId="0" xfId="103" applyNumberFormat="1" applyFont="1" applyBorder="1"/>
    <xf numFmtId="0" fontId="2" fillId="0" borderId="0" xfId="103" applyFont="1" applyAlignment="1">
      <alignment horizontal="right"/>
    </xf>
    <xf numFmtId="0" fontId="30" fillId="0" borderId="26" xfId="103" applyFont="1" applyBorder="1" applyAlignment="1">
      <alignment vertical="center"/>
    </xf>
    <xf numFmtId="0" fontId="30" fillId="0" borderId="27" xfId="103" applyFont="1" applyBorder="1" applyAlignment="1">
      <alignment horizontal="center" vertical="center"/>
    </xf>
    <xf numFmtId="0" fontId="30" fillId="0" borderId="28" xfId="103" applyFont="1" applyBorder="1" applyAlignment="1">
      <alignment horizontal="center" vertical="center"/>
    </xf>
    <xf numFmtId="0" fontId="30" fillId="0" borderId="29" xfId="103" applyFont="1" applyBorder="1" applyAlignment="1">
      <alignment vertical="center" wrapText="1"/>
    </xf>
    <xf numFmtId="44" fontId="30" fillId="0" borderId="27" xfId="103" applyNumberFormat="1" applyFont="1" applyBorder="1" applyAlignment="1">
      <alignment horizontal="right" vertical="center"/>
    </xf>
    <xf numFmtId="7" fontId="30" fillId="0" borderId="27" xfId="103" applyNumberFormat="1" applyFont="1" applyBorder="1" applyAlignment="1">
      <alignment horizontal="right" vertical="center"/>
    </xf>
    <xf numFmtId="44" fontId="30" fillId="0" borderId="28" xfId="89" applyNumberFormat="1" applyFont="1" applyBorder="1" applyAlignment="1">
      <alignment horizontal="right" vertical="center"/>
    </xf>
    <xf numFmtId="0" fontId="30" fillId="0" borderId="26" xfId="103" applyFont="1" applyBorder="1" applyAlignment="1">
      <alignment vertical="center" wrapText="1"/>
    </xf>
    <xf numFmtId="44" fontId="30" fillId="0" borderId="30" xfId="103" applyNumberFormat="1" applyFont="1" applyBorder="1" applyAlignment="1">
      <alignment horizontal="right" vertical="center"/>
    </xf>
    <xf numFmtId="7" fontId="30" fillId="0" borderId="30" xfId="103" applyNumberFormat="1" applyFont="1" applyBorder="1" applyAlignment="1">
      <alignment horizontal="right" vertical="center"/>
    </xf>
    <xf numFmtId="0" fontId="30" fillId="0" borderId="31" xfId="103" applyFont="1" applyBorder="1" applyAlignment="1">
      <alignment vertical="center" wrapText="1"/>
    </xf>
    <xf numFmtId="44" fontId="30" fillId="0" borderId="32" xfId="89" applyNumberFormat="1" applyFont="1" applyBorder="1" applyAlignment="1">
      <alignment horizontal="right" vertical="center"/>
    </xf>
    <xf numFmtId="7" fontId="30" fillId="0" borderId="32" xfId="89" applyNumberFormat="1" applyFont="1" applyBorder="1" applyAlignment="1">
      <alignment horizontal="right" vertical="center"/>
    </xf>
    <xf numFmtId="44" fontId="30" fillId="0" borderId="33" xfId="89" applyNumberFormat="1" applyFont="1" applyBorder="1" applyAlignment="1">
      <alignment horizontal="right" vertical="center"/>
    </xf>
    <xf numFmtId="164" fontId="2" fillId="21" borderId="10" xfId="88" applyNumberFormat="1" applyFont="1" applyFill="1" applyBorder="1" applyAlignment="1">
      <alignment horizontal="right"/>
    </xf>
    <xf numFmtId="0" fontId="7" fillId="0" borderId="21" xfId="0" applyFont="1" applyBorder="1" applyAlignment="1">
      <alignment vertical="top" wrapText="1"/>
    </xf>
    <xf numFmtId="0" fontId="2" fillId="0" borderId="11" xfId="0" applyFont="1" applyBorder="1"/>
    <xf numFmtId="0" fontId="2" fillId="0" borderId="34" xfId="0" applyFont="1" applyBorder="1" applyAlignment="1">
      <alignment vertical="top" wrapText="1"/>
    </xf>
    <xf numFmtId="44" fontId="2" fillId="0" borderId="10" xfId="0" applyNumberFormat="1" applyFont="1" applyBorder="1"/>
    <xf numFmtId="164" fontId="2" fillId="0" borderId="0" xfId="0" applyNumberFormat="1" applyFont="1"/>
    <xf numFmtId="164" fontId="7" fillId="0" borderId="0" xfId="0" applyNumberFormat="1" applyFont="1"/>
    <xf numFmtId="44" fontId="2" fillId="0" borderId="0" xfId="0" applyNumberFormat="1" applyFont="1"/>
    <xf numFmtId="164" fontId="2" fillId="20" borderId="10" xfId="88" applyNumberFormat="1" applyFont="1" applyFill="1" applyBorder="1" applyAlignment="1">
      <alignment horizontal="right"/>
    </xf>
    <xf numFmtId="164" fontId="2" fillId="20" borderId="10" xfId="0" applyNumberFormat="1" applyFont="1" applyFill="1" applyBorder="1"/>
    <xf numFmtId="5" fontId="7" fillId="20" borderId="10" xfId="0" applyNumberFormat="1" applyFont="1" applyFill="1" applyBorder="1" applyAlignment="1">
      <alignment horizontal="right"/>
    </xf>
    <xf numFmtId="0" fontId="2" fillId="0" borderId="12" xfId="0" applyNumberFormat="1" applyFont="1" applyFill="1" applyBorder="1" applyAlignment="1">
      <alignment horizontal="center" vertical="top" wrapText="1"/>
    </xf>
    <xf numFmtId="49" fontId="7" fillId="0" borderId="35" xfId="0" applyNumberFormat="1" applyFont="1" applyFill="1" applyBorder="1" applyAlignment="1">
      <alignment horizontal="center" vertical="top" wrapText="1"/>
    </xf>
    <xf numFmtId="0" fontId="7" fillId="0" borderId="21" xfId="0" applyFont="1" applyFill="1" applyBorder="1" applyAlignment="1">
      <alignment horizontal="center" vertical="top" wrapText="1"/>
    </xf>
    <xf numFmtId="164" fontId="2" fillId="0" borderId="10" xfId="0" applyNumberFormat="1" applyFont="1" applyFill="1" applyBorder="1"/>
    <xf numFmtId="164" fontId="2" fillId="0" borderId="12" xfId="0" applyNumberFormat="1" applyFont="1" applyFill="1" applyBorder="1" applyAlignment="1">
      <alignment horizontal="center" vertical="top" wrapText="1"/>
    </xf>
    <xf numFmtId="164" fontId="2" fillId="0" borderId="10" xfId="0" applyNumberFormat="1" applyFont="1" applyFill="1" applyBorder="1" applyAlignment="1">
      <alignment horizontal="center" vertical="top" wrapText="1"/>
    </xf>
    <xf numFmtId="164" fontId="2" fillId="0" borderId="10" xfId="0" applyNumberFormat="1" applyFont="1" applyBorder="1" applyAlignment="1">
      <alignment horizontal="center" vertical="top" wrapText="1"/>
    </xf>
    <xf numFmtId="164" fontId="2" fillId="0" borderId="19" xfId="0" applyNumberFormat="1" applyFont="1" applyBorder="1" applyAlignment="1">
      <alignment horizontal="center" vertical="top" wrapText="1"/>
    </xf>
    <xf numFmtId="164" fontId="2" fillId="0" borderId="10" xfId="0" applyNumberFormat="1" applyFont="1" applyFill="1" applyBorder="1" applyAlignment="1">
      <alignment horizontal="center" wrapText="1"/>
    </xf>
    <xf numFmtId="164" fontId="2" fillId="0" borderId="10" xfId="0" applyNumberFormat="1" applyFont="1" applyBorder="1" applyAlignment="1"/>
    <xf numFmtId="164" fontId="2" fillId="0" borderId="10" xfId="0" applyNumberFormat="1" applyFont="1" applyBorder="1" applyAlignment="1">
      <alignment horizontal="center"/>
    </xf>
    <xf numFmtId="44" fontId="30" fillId="0" borderId="0" xfId="103" applyNumberFormat="1" applyFont="1" applyBorder="1" applyAlignment="1">
      <alignment horizontal="center" vertical="center"/>
    </xf>
    <xf numFmtId="0" fontId="30" fillId="0" borderId="0" xfId="103" applyFont="1" applyBorder="1" applyAlignment="1">
      <alignment horizontal="center" wrapText="1"/>
    </xf>
    <xf numFmtId="0" fontId="32" fillId="0" borderId="0" xfId="103" applyFont="1" applyBorder="1" applyAlignment="1">
      <alignment horizontal="center" wrapText="1"/>
    </xf>
    <xf numFmtId="44" fontId="30" fillId="0" borderId="0" xfId="88" applyFont="1" applyBorder="1"/>
    <xf numFmtId="0" fontId="30" fillId="0" borderId="0" xfId="103" applyFont="1" applyBorder="1"/>
    <xf numFmtId="0" fontId="30" fillId="0" borderId="0" xfId="103" applyFont="1" applyBorder="1" applyAlignment="1">
      <alignment vertical="center" wrapText="1"/>
    </xf>
    <xf numFmtId="10" fontId="30" fillId="0" borderId="0" xfId="107" applyNumberFormat="1" applyFont="1" applyBorder="1" applyAlignment="1">
      <alignment horizontal="center" vertical="center"/>
    </xf>
    <xf numFmtId="10" fontId="30" fillId="0" borderId="0" xfId="107" applyNumberFormat="1" applyFont="1" applyFill="1" applyBorder="1" applyAlignment="1">
      <alignment horizontal="center" vertical="center"/>
    </xf>
    <xf numFmtId="0" fontId="7" fillId="20" borderId="10" xfId="0" applyFont="1" applyFill="1" applyBorder="1" applyAlignment="1">
      <alignment horizontal="left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30" fillId="0" borderId="0" xfId="103" applyFont="1" applyBorder="1" applyAlignment="1">
      <alignment horizontal="center" vertical="center"/>
    </xf>
    <xf numFmtId="0" fontId="30" fillId="0" borderId="0" xfId="103" applyFont="1" applyAlignment="1">
      <alignment horizontal="center"/>
    </xf>
    <xf numFmtId="0" fontId="1" fillId="0" borderId="0" xfId="0" applyFont="1" applyBorder="1"/>
    <xf numFmtId="0" fontId="1" fillId="0" borderId="17" xfId="0" applyFont="1" applyBorder="1"/>
    <xf numFmtId="3" fontId="1" fillId="0" borderId="10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0" xfId="0" applyFont="1" applyBorder="1"/>
    <xf numFmtId="0" fontId="1" fillId="0" borderId="0" xfId="0" applyFont="1"/>
    <xf numFmtId="7" fontId="2" fillId="0" borderId="10" xfId="0" applyNumberFormat="1" applyFont="1" applyBorder="1"/>
    <xf numFmtId="0" fontId="30" fillId="0" borderId="0" xfId="103" applyFont="1" applyBorder="1" applyAlignment="1">
      <alignment horizontal="center" vertical="center"/>
    </xf>
    <xf numFmtId="0" fontId="30" fillId="0" borderId="0" xfId="103" applyFont="1" applyAlignment="1">
      <alignment horizontal="center" wrapText="1"/>
    </xf>
    <xf numFmtId="0" fontId="30" fillId="0" borderId="36" xfId="103" applyFont="1" applyBorder="1" applyAlignment="1">
      <alignment horizontal="center" vertical="center"/>
    </xf>
    <xf numFmtId="0" fontId="30" fillId="0" borderId="37" xfId="103" applyFont="1" applyBorder="1" applyAlignment="1">
      <alignment horizontal="center" vertical="center"/>
    </xf>
    <xf numFmtId="0" fontId="30" fillId="0" borderId="38" xfId="103" applyFont="1" applyBorder="1" applyAlignment="1">
      <alignment horizontal="center" vertical="center"/>
    </xf>
    <xf numFmtId="0" fontId="2" fillId="0" borderId="13" xfId="103" applyFont="1" applyBorder="1" applyAlignment="1">
      <alignment horizontal="center"/>
    </xf>
    <xf numFmtId="0" fontId="2" fillId="0" borderId="14" xfId="103" applyFont="1" applyBorder="1" applyAlignment="1">
      <alignment horizontal="center"/>
    </xf>
    <xf numFmtId="0" fontId="2" fillId="0" borderId="15" xfId="103" applyFont="1" applyBorder="1" applyAlignment="1">
      <alignment horizontal="center"/>
    </xf>
    <xf numFmtId="0" fontId="30" fillId="0" borderId="16" xfId="103" applyFont="1" applyBorder="1" applyAlignment="1">
      <alignment horizontal="center" vertical="center"/>
    </xf>
    <xf numFmtId="0" fontId="30" fillId="0" borderId="17" xfId="103" applyFont="1" applyBorder="1" applyAlignment="1">
      <alignment horizontal="center" vertical="center"/>
    </xf>
    <xf numFmtId="0" fontId="30" fillId="0" borderId="39" xfId="103" applyFont="1" applyBorder="1" applyAlignment="1">
      <alignment horizontal="center" vertical="center"/>
    </xf>
    <xf numFmtId="0" fontId="30" fillId="0" borderId="34" xfId="103" applyFont="1" applyBorder="1" applyAlignment="1">
      <alignment horizontal="center" vertical="center"/>
    </xf>
    <xf numFmtId="0" fontId="30" fillId="0" borderId="40" xfId="103" applyFont="1" applyBorder="1" applyAlignment="1">
      <alignment horizontal="center" vertical="center"/>
    </xf>
    <xf numFmtId="0" fontId="30" fillId="0" borderId="0" xfId="103" applyFont="1" applyAlignment="1">
      <alignment horizontal="center"/>
    </xf>
    <xf numFmtId="0" fontId="30" fillId="22" borderId="0" xfId="103" applyFont="1" applyFill="1" applyAlignment="1">
      <alignment horizontal="left" wrapText="1"/>
    </xf>
    <xf numFmtId="0" fontId="2" fillId="0" borderId="16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20" borderId="16" xfId="0" applyFont="1" applyFill="1" applyBorder="1" applyAlignment="1">
      <alignment horizontal="center" vertical="center"/>
    </xf>
    <xf numFmtId="0" fontId="2" fillId="20" borderId="0" xfId="0" applyFont="1" applyFill="1" applyBorder="1" applyAlignment="1">
      <alignment horizontal="center" vertical="center"/>
    </xf>
    <xf numFmtId="0" fontId="2" fillId="20" borderId="17" xfId="0" applyFont="1" applyFill="1" applyBorder="1" applyAlignment="1">
      <alignment horizontal="center" vertical="center"/>
    </xf>
    <xf numFmtId="0" fontId="2" fillId="0" borderId="39" xfId="0" applyFont="1" applyBorder="1" applyAlignment="1">
      <alignment horizontal="left" wrapText="1"/>
    </xf>
    <xf numFmtId="0" fontId="2" fillId="0" borderId="34" xfId="0" applyFont="1" applyBorder="1" applyAlignment="1">
      <alignment horizontal="left" wrapText="1"/>
    </xf>
    <xf numFmtId="0" fontId="2" fillId="0" borderId="40" xfId="0" applyFont="1" applyBorder="1" applyAlignment="1">
      <alignment horizontal="left" wrapText="1"/>
    </xf>
    <xf numFmtId="0" fontId="8" fillId="0" borderId="16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2" fillId="0" borderId="16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17" xfId="0" applyFont="1" applyFill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wrapText="1"/>
    </xf>
  </cellXfs>
  <cellStyles count="111">
    <cellStyle name="Accent1 - 20%" xfId="1" xr:uid="{32F1CF8E-4526-437F-9771-05D201381A4D}"/>
    <cellStyle name="Accent1 - 40%" xfId="2" xr:uid="{FFC46E5F-C47B-4DA6-B213-DF503DE051D4}"/>
    <cellStyle name="Accent1 - 60%" xfId="3" xr:uid="{B87C988C-19C0-4C55-9CD2-16374A0BE8C6}"/>
    <cellStyle name="Accent1 10" xfId="4" xr:uid="{32447D12-BAE4-4657-B8E7-41F4C05D8613}"/>
    <cellStyle name="Accent1 11" xfId="5" xr:uid="{090B3095-29F1-4FEA-8A8A-CB6B61C445C0}"/>
    <cellStyle name="Accent1 12" xfId="6" xr:uid="{BDC46C7E-9942-4BEC-BF28-73F90D969F6A}"/>
    <cellStyle name="Accent1 2" xfId="7" xr:uid="{250AEDE4-4D45-4283-A0B5-6668D9521852}"/>
    <cellStyle name="Accent1 3" xfId="8" xr:uid="{F6549B5C-A7B8-47C1-BB8A-42FFD2F6BDD0}"/>
    <cellStyle name="Accent1 4" xfId="9" xr:uid="{69413F19-0F6A-4F70-9387-390F6BDD6381}"/>
    <cellStyle name="Accent1 5" xfId="10" xr:uid="{9874D150-FAB4-4170-9DF8-2AC69EB4C504}"/>
    <cellStyle name="Accent1 6" xfId="11" xr:uid="{2E91DEBE-1119-484F-97D0-4E17994AE167}"/>
    <cellStyle name="Accent1 7" xfId="12" xr:uid="{2C0BEC4A-CC2D-4CF5-A660-1ACD4154EC5A}"/>
    <cellStyle name="Accent1 8" xfId="13" xr:uid="{C161D0B3-1AE3-4ED1-B7B5-ACB887EA09CE}"/>
    <cellStyle name="Accent1 9" xfId="14" xr:uid="{BB358DA0-2FA6-48CE-9954-14C27A9D72CB}"/>
    <cellStyle name="Accent2 - 20%" xfId="15" xr:uid="{1BBD3812-3252-4BE8-B427-B5C7F561B437}"/>
    <cellStyle name="Accent2 - 40%" xfId="16" xr:uid="{1CA2DDD8-6F69-4099-AD53-77D5B998FB43}"/>
    <cellStyle name="Accent2 - 60%" xfId="17" xr:uid="{52E7C521-D84F-4167-A778-74BD380F33A2}"/>
    <cellStyle name="Accent2 10" xfId="18" xr:uid="{3238809A-103F-429E-8DBF-434DBD848889}"/>
    <cellStyle name="Accent2 11" xfId="19" xr:uid="{23EAD94F-993D-4773-8BC5-02364D3958C7}"/>
    <cellStyle name="Accent2 12" xfId="20" xr:uid="{5BF104AB-5BF4-4F33-B983-9BB571758394}"/>
    <cellStyle name="Accent2 2" xfId="21" xr:uid="{B43A2642-2A5A-43FF-A207-4AE902582233}"/>
    <cellStyle name="Accent2 3" xfId="22" xr:uid="{118BDA25-826A-45D9-8179-309097F41FBA}"/>
    <cellStyle name="Accent2 4" xfId="23" xr:uid="{25183DD8-4617-495B-A40E-2C91F47F3124}"/>
    <cellStyle name="Accent2 5" xfId="24" xr:uid="{FEB97904-0881-489D-BEED-813C7DCECC91}"/>
    <cellStyle name="Accent2 6" xfId="25" xr:uid="{4A014F86-A434-4BC6-AE81-6A493FE7CE78}"/>
    <cellStyle name="Accent2 7" xfId="26" xr:uid="{D9881EEB-6C6D-4693-B3BD-63B0D365ADFA}"/>
    <cellStyle name="Accent2 8" xfId="27" xr:uid="{6F9D814D-9E8A-4FE5-9D33-0B096C4BAC14}"/>
    <cellStyle name="Accent2 9" xfId="28" xr:uid="{D95314DD-A613-4744-9334-09D8A4F04549}"/>
    <cellStyle name="Accent3 - 20%" xfId="29" xr:uid="{294D0E21-9BE2-4E66-A8D4-D5AF8DA344E6}"/>
    <cellStyle name="Accent3 - 40%" xfId="30" xr:uid="{8634B8B7-B50C-4CD6-B801-2A3DC37915FA}"/>
    <cellStyle name="Accent3 - 60%" xfId="31" xr:uid="{AF9C5BE1-6F43-48A5-A9AC-55FE9553CEE5}"/>
    <cellStyle name="Accent3 10" xfId="32" xr:uid="{B660780B-799C-4F76-8678-755DCF64BB1B}"/>
    <cellStyle name="Accent3 11" xfId="33" xr:uid="{12AF728B-28A9-442A-81FC-B70119FD116F}"/>
    <cellStyle name="Accent3 12" xfId="34" xr:uid="{099AC6D4-052B-4F7C-ABAA-8945663C6D25}"/>
    <cellStyle name="Accent3 2" xfId="35" xr:uid="{360D7AD8-0B61-4D59-8538-9188B914EB46}"/>
    <cellStyle name="Accent3 3" xfId="36" xr:uid="{167801DB-9778-4587-9F06-9D2AC81283D8}"/>
    <cellStyle name="Accent3 4" xfId="37" xr:uid="{30FD5CBB-EAEF-4B88-9439-A37E27A6C6E8}"/>
    <cellStyle name="Accent3 5" xfId="38" xr:uid="{2DDD009A-671C-4893-B041-45D34CE5ECD4}"/>
    <cellStyle name="Accent3 6" xfId="39" xr:uid="{3A3226E4-0D64-4EDA-9C52-23846E4780EE}"/>
    <cellStyle name="Accent3 7" xfId="40" xr:uid="{27C644CA-7D85-4916-B739-5753F9136342}"/>
    <cellStyle name="Accent3 8" xfId="41" xr:uid="{28287A3A-3695-4FC3-B8E5-80C39D52170F}"/>
    <cellStyle name="Accent3 9" xfId="42" xr:uid="{663F47E8-F547-41C2-8D22-08BEAF943A63}"/>
    <cellStyle name="Accent4 - 20%" xfId="43" xr:uid="{5C830EFE-E624-413E-A361-01BABC2FAC4C}"/>
    <cellStyle name="Accent4 - 40%" xfId="44" xr:uid="{F526E2BB-DFE3-43D1-86B6-5C6EFC8CBACF}"/>
    <cellStyle name="Accent4 - 60%" xfId="45" xr:uid="{4FD25AB4-05CD-4AB5-A426-76AC3FC5D383}"/>
    <cellStyle name="Accent4 10" xfId="46" xr:uid="{174BBC6A-BBF1-46F4-837B-02B31D2A5BD6}"/>
    <cellStyle name="Accent4 11" xfId="47" xr:uid="{721E7C78-5BEC-4D01-9C26-ECE87BDB2DA5}"/>
    <cellStyle name="Accent4 12" xfId="48" xr:uid="{D2C65335-F774-4118-B806-6F3519C56402}"/>
    <cellStyle name="Accent4 2" xfId="49" xr:uid="{1AE3C62A-BE8F-4844-BAE4-8045E725694C}"/>
    <cellStyle name="Accent4 3" xfId="50" xr:uid="{53473C19-5C75-45B1-8D32-729F31E76E6D}"/>
    <cellStyle name="Accent4 4" xfId="51" xr:uid="{A74EE072-0714-4D40-B9DB-7D85B8047C9E}"/>
    <cellStyle name="Accent4 5" xfId="52" xr:uid="{AB1424AD-AFB2-49D8-9566-7A5F744AD5F9}"/>
    <cellStyle name="Accent4 6" xfId="53" xr:uid="{91E69540-E8A5-4E80-B016-8862150C0740}"/>
    <cellStyle name="Accent4 7" xfId="54" xr:uid="{9DC015AD-9F70-4E49-A314-A7ED19B99798}"/>
    <cellStyle name="Accent4 8" xfId="55" xr:uid="{24F8AC7D-164B-4A0F-9256-5501C724D229}"/>
    <cellStyle name="Accent4 9" xfId="56" xr:uid="{4CA0D2C2-C478-432A-8ED0-CC1B99DC77B7}"/>
    <cellStyle name="Accent5 - 20%" xfId="57" xr:uid="{8AF7CC38-A224-4DD3-BCA5-8E9A358BB475}"/>
    <cellStyle name="Accent5 - 40%" xfId="58" xr:uid="{F8E9F9B6-10ED-4F9F-8115-B0B06D1EC778}"/>
    <cellStyle name="Accent5 - 60%" xfId="59" xr:uid="{F9AD6206-1182-47C5-803A-9FB7083EC2F0}"/>
    <cellStyle name="Accent5 10" xfId="60" xr:uid="{CE5C3590-050A-4EA3-BFE2-17C01E90E314}"/>
    <cellStyle name="Accent5 11" xfId="61" xr:uid="{2534A237-A304-4556-A591-3DF1E4432629}"/>
    <cellStyle name="Accent5 12" xfId="62" xr:uid="{0DB47FD4-7876-4627-AB0A-256524ECA65D}"/>
    <cellStyle name="Accent5 2" xfId="63" xr:uid="{2A7A933C-FD6D-442C-89FD-24A96D5B25B1}"/>
    <cellStyle name="Accent5 3" xfId="64" xr:uid="{CCA863D8-7F9C-4ED4-ACBB-2ED60FD0FF45}"/>
    <cellStyle name="Accent5 4" xfId="65" xr:uid="{68F9F905-037F-4891-B116-0DFC14916927}"/>
    <cellStyle name="Accent5 5" xfId="66" xr:uid="{449CD831-109D-4FAE-935F-03A6F43CA343}"/>
    <cellStyle name="Accent5 6" xfId="67" xr:uid="{83ADDC91-8F98-4327-8BB5-C7448DF3C452}"/>
    <cellStyle name="Accent5 7" xfId="68" xr:uid="{B78636FB-49EE-41F1-A4C4-42210AD101C5}"/>
    <cellStyle name="Accent5 8" xfId="69" xr:uid="{2C8C0DFB-1261-4049-ACB9-77EB9DA2B646}"/>
    <cellStyle name="Accent5 9" xfId="70" xr:uid="{F66552B3-1E2B-4000-BC66-6633F3D3D403}"/>
    <cellStyle name="Accent6 - 20%" xfId="71" xr:uid="{45C3D104-2DD8-4F3E-85F5-AA5DE039818E}"/>
    <cellStyle name="Accent6 - 40%" xfId="72" xr:uid="{D70512F6-D8A3-4821-BB76-E471EDD799CB}"/>
    <cellStyle name="Accent6 - 60%" xfId="73" xr:uid="{FEAC9E56-BC04-4005-962C-B7E3DEE6471A}"/>
    <cellStyle name="Accent6 10" xfId="74" xr:uid="{0D1B26A5-292D-4720-982E-35B221AA5C22}"/>
    <cellStyle name="Accent6 11" xfId="75" xr:uid="{BAE6F982-E1DD-4EE9-B721-0E354D12FEC3}"/>
    <cellStyle name="Accent6 12" xfId="76" xr:uid="{6C24E202-5CFE-4E1E-A354-27D3946DC9B6}"/>
    <cellStyle name="Accent6 2" xfId="77" xr:uid="{E2A1A847-A875-411A-BA6E-6F7515372B80}"/>
    <cellStyle name="Accent6 3" xfId="78" xr:uid="{778ADB84-F5FE-4752-9FA6-E148A4ABBA25}"/>
    <cellStyle name="Accent6 4" xfId="79" xr:uid="{BE3AFA7D-EF46-4F4F-914C-839366C98F3F}"/>
    <cellStyle name="Accent6 5" xfId="80" xr:uid="{07E3FA3E-9930-4FF4-AFCC-FFDF8796CA95}"/>
    <cellStyle name="Accent6 6" xfId="81" xr:uid="{DC110AA6-E1BA-41BA-8FBE-D4E1A5DE1C8F}"/>
    <cellStyle name="Accent6 7" xfId="82" xr:uid="{CCFEFF51-65BE-4478-863C-B7B1841DCC5D}"/>
    <cellStyle name="Accent6 8" xfId="83" xr:uid="{142EFF85-4D8E-4A44-A6ED-D9295FC4840A}"/>
    <cellStyle name="Accent6 9" xfId="84" xr:uid="{6799D85B-F402-4C93-B2C5-5768AE5DB07E}"/>
    <cellStyle name="Bad 2" xfId="85" xr:uid="{61E5B7FC-7235-4EEF-86B8-204C5C1488A2}"/>
    <cellStyle name="Calculation 2" xfId="86" xr:uid="{2C7D4982-0269-44C4-9349-FA579445EDC4}"/>
    <cellStyle name="Check Cell 2" xfId="87" xr:uid="{06B77AEB-85D8-4AF1-93C5-66A2586C9B80}"/>
    <cellStyle name="Currency" xfId="88" builtinId="4"/>
    <cellStyle name="Currency 2" xfId="89" xr:uid="{00B0FB02-C852-45B5-AE3A-FEA618A78485}"/>
    <cellStyle name="Currency 2 2" xfId="90" xr:uid="{C9955076-E909-481A-B39D-00115EE92A26}"/>
    <cellStyle name="Currency 3" xfId="91" xr:uid="{A2952240-5702-4C48-94C2-10C692735448}"/>
    <cellStyle name="Emphasis 1" xfId="92" xr:uid="{7E2F00B2-CD0F-4383-B850-E1E796D54C3F}"/>
    <cellStyle name="Emphasis 2" xfId="93" xr:uid="{852FAA51-0E10-4ECB-B748-4BB63E62C874}"/>
    <cellStyle name="Emphasis 3" xfId="94" xr:uid="{1C9823D7-17FC-4DA2-80EC-78C56EF88283}"/>
    <cellStyle name="Good 2" xfId="95" xr:uid="{B25541F6-22CE-4023-ADDF-85F2D828507C}"/>
    <cellStyle name="Heading 1 2" xfId="96" xr:uid="{9F7218C4-B410-4F52-8175-5C3E69156E67}"/>
    <cellStyle name="Heading 2 2" xfId="97" xr:uid="{254E258D-7ABE-41C2-B7A3-FB22DA465D95}"/>
    <cellStyle name="Heading 3 2" xfId="98" xr:uid="{1D58DB83-4E0F-4549-A5AC-26A552CBA08D}"/>
    <cellStyle name="Heading 4 2" xfId="99" xr:uid="{4DB35C2C-3223-40A2-8456-445AE2A882E8}"/>
    <cellStyle name="Input 2" xfId="100" xr:uid="{4D1F40A3-2C9B-47B2-8F12-B6A22148272F}"/>
    <cellStyle name="Linked Cell 2" xfId="101" xr:uid="{DA5FE859-1D37-4228-A61C-6D554CA228CA}"/>
    <cellStyle name="Neutral 2" xfId="102" xr:uid="{D5C4C870-31E3-4B0D-8125-C52032D8C308}"/>
    <cellStyle name="Normal" xfId="0" builtinId="0"/>
    <cellStyle name="Normal 2" xfId="103" xr:uid="{CDA6EBF5-6B34-4F5F-826D-298BEC7C02E0}"/>
    <cellStyle name="Normal 3" xfId="104" xr:uid="{CA6326F9-9CBE-48CE-9EC3-1B218D51C989}"/>
    <cellStyle name="Note 2" xfId="105" xr:uid="{3E69619D-F6FA-4D79-965F-9EBE5B5D0CDB}"/>
    <cellStyle name="Output 2" xfId="106" xr:uid="{A51C16E0-875F-4411-8A7F-676BDDF7C56C}"/>
    <cellStyle name="Percent" xfId="107" builtinId="5"/>
    <cellStyle name="Sheet Title" xfId="108" xr:uid="{B4C24066-A197-45D4-9D9D-4088E078EB13}"/>
    <cellStyle name="Total 2" xfId="109" xr:uid="{F0ABAC7E-49FC-4F44-BB29-2EA4624366D5}"/>
    <cellStyle name="Warning Text 2" xfId="110" xr:uid="{FDB88BA5-E4D2-4496-A910-06516B1D69A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923290</xdr:colOff>
      <xdr:row>0</xdr:row>
      <xdr:rowOff>0</xdr:rowOff>
    </xdr:from>
    <xdr:to>
      <xdr:col>3</xdr:col>
      <xdr:colOff>622338</xdr:colOff>
      <xdr:row>0</xdr:row>
      <xdr:rowOff>0</xdr:rowOff>
    </xdr:to>
    <xdr:sp macro="" textlink="">
      <xdr:nvSpPr>
        <xdr:cNvPr id="2049" name="Text Box 1">
          <a:extLst>
            <a:ext uri="{FF2B5EF4-FFF2-40B4-BE49-F238E27FC236}">
              <a16:creationId xmlns:a16="http://schemas.microsoft.com/office/drawing/2014/main" id="{BC2F92CF-AB9F-999F-D4FD-DCDD90626D24}"/>
            </a:ext>
          </a:extLst>
        </xdr:cNvPr>
        <xdr:cNvSpPr txBox="1">
          <a:spLocks noChangeArrowheads="1"/>
        </xdr:cNvSpPr>
      </xdr:nvSpPr>
      <xdr:spPr bwMode="auto">
        <a:xfrm>
          <a:off x="1609725" y="0"/>
          <a:ext cx="34956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SECTION J</a:t>
          </a:r>
        </a:p>
        <a:p>
          <a:pPr algn="ct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EXHIBIT A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3</xdr:col>
      <xdr:colOff>644333</xdr:colOff>
      <xdr:row>0</xdr:row>
      <xdr:rowOff>0</xdr:rowOff>
    </xdr:to>
    <xdr:sp macro="" textlink="">
      <xdr:nvSpPr>
        <xdr:cNvPr id="2050" name="Text Box 2">
          <a:extLst>
            <a:ext uri="{FF2B5EF4-FFF2-40B4-BE49-F238E27FC236}">
              <a16:creationId xmlns:a16="http://schemas.microsoft.com/office/drawing/2014/main" id="{A443634D-4245-97C6-4E0A-CDCCB58EE0B8}"/>
            </a:ext>
          </a:extLst>
        </xdr:cNvPr>
        <xdr:cNvSpPr txBox="1">
          <a:spLocks noChangeArrowheads="1"/>
        </xdr:cNvSpPr>
      </xdr:nvSpPr>
      <xdr:spPr bwMode="auto">
        <a:xfrm>
          <a:off x="666750" y="0"/>
          <a:ext cx="4457700" cy="0"/>
        </a:xfrm>
        <a:prstGeom prst="rect">
          <a:avLst/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PROVIDE PRICES TO MAINTAIN GROUNDS - FIRM FIXED PRICE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IN ACCORDANCE WITH SECTION C, Items 3.1, 3.2, 3.3, and 3.4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ELIN A001 through A0015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2</xdr:col>
      <xdr:colOff>9525</xdr:colOff>
      <xdr:row>0</xdr:row>
      <xdr:rowOff>0</xdr:rowOff>
    </xdr:to>
    <xdr:sp macro="" textlink="">
      <xdr:nvSpPr>
        <xdr:cNvPr id="2061" name="Text Box 13">
          <a:extLst>
            <a:ext uri="{FF2B5EF4-FFF2-40B4-BE49-F238E27FC236}">
              <a16:creationId xmlns:a16="http://schemas.microsoft.com/office/drawing/2014/main" id="{36AE4388-5681-5535-945B-163475276283}"/>
            </a:ext>
          </a:extLst>
        </xdr:cNvPr>
        <xdr:cNvSpPr txBox="1">
          <a:spLocks noChangeArrowheads="1"/>
        </xdr:cNvSpPr>
      </xdr:nvSpPr>
      <xdr:spPr bwMode="auto">
        <a:xfrm>
          <a:off x="666750" y="0"/>
          <a:ext cx="3124200" cy="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Line Item 0001     Base Year - Firm Fixed Price</a:t>
          </a: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ELIN A001 through A0015</a:t>
          </a:r>
        </a:p>
      </xdr:txBody>
    </xdr:sp>
    <xdr:clientData/>
  </xdr:twoCellAnchor>
  <xdr:twoCellAnchor>
    <xdr:from>
      <xdr:col>0</xdr:col>
      <xdr:colOff>0</xdr:colOff>
      <xdr:row>35</xdr:row>
      <xdr:rowOff>0</xdr:rowOff>
    </xdr:from>
    <xdr:to>
      <xdr:col>0</xdr:col>
      <xdr:colOff>0</xdr:colOff>
      <xdr:row>35</xdr:row>
      <xdr:rowOff>0</xdr:rowOff>
    </xdr:to>
    <xdr:sp macro="" textlink="">
      <xdr:nvSpPr>
        <xdr:cNvPr id="2193" name="Text Box 145">
          <a:extLst>
            <a:ext uri="{FF2B5EF4-FFF2-40B4-BE49-F238E27FC236}">
              <a16:creationId xmlns:a16="http://schemas.microsoft.com/office/drawing/2014/main" id="{35E06254-15E7-4BE9-20BD-834023D919FC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SECTION J</a:t>
          </a:r>
        </a:p>
        <a:p>
          <a:pPr algn="ct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EXHIBIT A</a:t>
          </a:r>
        </a:p>
      </xdr:txBody>
    </xdr:sp>
    <xdr:clientData/>
  </xdr:twoCellAnchor>
  <xdr:twoCellAnchor>
    <xdr:from>
      <xdr:col>0</xdr:col>
      <xdr:colOff>0</xdr:colOff>
      <xdr:row>35</xdr:row>
      <xdr:rowOff>0</xdr:rowOff>
    </xdr:from>
    <xdr:to>
      <xdr:col>0</xdr:col>
      <xdr:colOff>0</xdr:colOff>
      <xdr:row>35</xdr:row>
      <xdr:rowOff>0</xdr:rowOff>
    </xdr:to>
    <xdr:sp macro="" textlink="">
      <xdr:nvSpPr>
        <xdr:cNvPr id="2198" name="Text Box 150">
          <a:extLst>
            <a:ext uri="{FF2B5EF4-FFF2-40B4-BE49-F238E27FC236}">
              <a16:creationId xmlns:a16="http://schemas.microsoft.com/office/drawing/2014/main" id="{1A93FD0F-33A8-8434-4AF4-B4690479CD6D}"/>
            </a:ext>
          </a:extLst>
        </xdr:cNvPr>
        <xdr:cNvSpPr txBox="1">
          <a:spLocks noChangeArrowheads="1"/>
        </xdr:cNvSpPr>
      </xdr:nvSpPr>
      <xdr:spPr bwMode="auto">
        <a:xfrm>
          <a:off x="0" y="72656700"/>
          <a:ext cx="0" cy="190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35</xdr:row>
      <xdr:rowOff>0</xdr:rowOff>
    </xdr:from>
    <xdr:to>
      <xdr:col>0</xdr:col>
      <xdr:colOff>0</xdr:colOff>
      <xdr:row>35</xdr:row>
      <xdr:rowOff>0</xdr:rowOff>
    </xdr:to>
    <xdr:sp macro="" textlink="">
      <xdr:nvSpPr>
        <xdr:cNvPr id="2199" name="Text Box 151">
          <a:extLst>
            <a:ext uri="{FF2B5EF4-FFF2-40B4-BE49-F238E27FC236}">
              <a16:creationId xmlns:a16="http://schemas.microsoft.com/office/drawing/2014/main" id="{5227A552-E266-3F78-D72F-22D104DE4B66}"/>
            </a:ext>
          </a:extLst>
        </xdr:cNvPr>
        <xdr:cNvSpPr txBox="1">
          <a:spLocks noChangeArrowheads="1"/>
        </xdr:cNvSpPr>
      </xdr:nvSpPr>
      <xdr:spPr bwMode="auto">
        <a:xfrm>
          <a:off x="0" y="72666225"/>
          <a:ext cx="0" cy="533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Reconditioning and Maintenance Service for Barbwire Fence.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35</xdr:row>
      <xdr:rowOff>0</xdr:rowOff>
    </xdr:from>
    <xdr:to>
      <xdr:col>0</xdr:col>
      <xdr:colOff>0</xdr:colOff>
      <xdr:row>35</xdr:row>
      <xdr:rowOff>0</xdr:rowOff>
    </xdr:to>
    <xdr:sp macro="" textlink="">
      <xdr:nvSpPr>
        <xdr:cNvPr id="2200" name="Text Box 152">
          <a:extLst>
            <a:ext uri="{FF2B5EF4-FFF2-40B4-BE49-F238E27FC236}">
              <a16:creationId xmlns:a16="http://schemas.microsoft.com/office/drawing/2014/main" id="{7008EC2D-B197-8D1F-10B4-6CDADF5D684A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35</xdr:row>
      <xdr:rowOff>0</xdr:rowOff>
    </xdr:from>
    <xdr:to>
      <xdr:col>0</xdr:col>
      <xdr:colOff>0</xdr:colOff>
      <xdr:row>35</xdr:row>
      <xdr:rowOff>0</xdr:rowOff>
    </xdr:to>
    <xdr:sp macro="" textlink="">
      <xdr:nvSpPr>
        <xdr:cNvPr id="2201" name="Text Box 153">
          <a:extLst>
            <a:ext uri="{FF2B5EF4-FFF2-40B4-BE49-F238E27FC236}">
              <a16:creationId xmlns:a16="http://schemas.microsoft.com/office/drawing/2014/main" id="{2DA268BB-C202-152C-44EC-53B5ED81BF24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Reconditioning and Maintenance Service for Ornamental Steel Fence.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35</xdr:row>
      <xdr:rowOff>0</xdr:rowOff>
    </xdr:from>
    <xdr:to>
      <xdr:col>0</xdr:col>
      <xdr:colOff>0</xdr:colOff>
      <xdr:row>35</xdr:row>
      <xdr:rowOff>0</xdr:rowOff>
    </xdr:to>
    <xdr:sp macro="" textlink="">
      <xdr:nvSpPr>
        <xdr:cNvPr id="2202" name="Text Box 154">
          <a:extLst>
            <a:ext uri="{FF2B5EF4-FFF2-40B4-BE49-F238E27FC236}">
              <a16:creationId xmlns:a16="http://schemas.microsoft.com/office/drawing/2014/main" id="{FD394569-1BBC-8074-312E-841E0838A67F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35</xdr:row>
      <xdr:rowOff>0</xdr:rowOff>
    </xdr:from>
    <xdr:to>
      <xdr:col>0</xdr:col>
      <xdr:colOff>0</xdr:colOff>
      <xdr:row>35</xdr:row>
      <xdr:rowOff>0</xdr:rowOff>
    </xdr:to>
    <xdr:sp macro="" textlink="">
      <xdr:nvSpPr>
        <xdr:cNvPr id="2203" name="Text Box 155">
          <a:extLst>
            <a:ext uri="{FF2B5EF4-FFF2-40B4-BE49-F238E27FC236}">
              <a16:creationId xmlns:a16="http://schemas.microsoft.com/office/drawing/2014/main" id="{73940C4C-9BDB-0711-9AC9-9C5C7D9CCE01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Reconditioning and Maintenance Service for Wood Fence.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35</xdr:row>
      <xdr:rowOff>0</xdr:rowOff>
    </xdr:from>
    <xdr:to>
      <xdr:col>0</xdr:col>
      <xdr:colOff>0</xdr:colOff>
      <xdr:row>35</xdr:row>
      <xdr:rowOff>0</xdr:rowOff>
    </xdr:to>
    <xdr:sp macro="" textlink="">
      <xdr:nvSpPr>
        <xdr:cNvPr id="2204" name="Text Box 156">
          <a:extLst>
            <a:ext uri="{FF2B5EF4-FFF2-40B4-BE49-F238E27FC236}">
              <a16:creationId xmlns:a16="http://schemas.microsoft.com/office/drawing/2014/main" id="{E8EFA463-A40E-65A9-5EF0-BA8CB90AB234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PROVIDE A UNIT PRICE FOR THE REMOVAL AND DISPOSAL OF FENCE COMPLETE, FENCE POSTS, BARBWIRE, BARBED TAPE.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IN ACCORDANCE WITH SECTION C, C.10.1.l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ELIN A001EW through A001FI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35</xdr:row>
      <xdr:rowOff>0</xdr:rowOff>
    </xdr:from>
    <xdr:to>
      <xdr:col>0</xdr:col>
      <xdr:colOff>0</xdr:colOff>
      <xdr:row>35</xdr:row>
      <xdr:rowOff>0</xdr:rowOff>
    </xdr:to>
    <xdr:sp macro="" textlink="">
      <xdr:nvSpPr>
        <xdr:cNvPr id="2205" name="Text Box 157">
          <a:extLst>
            <a:ext uri="{FF2B5EF4-FFF2-40B4-BE49-F238E27FC236}">
              <a16:creationId xmlns:a16="http://schemas.microsoft.com/office/drawing/2014/main" id="{DE19ADE2-D523-3093-CE07-A287C25D7678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35</xdr:row>
      <xdr:rowOff>0</xdr:rowOff>
    </xdr:from>
    <xdr:to>
      <xdr:col>0</xdr:col>
      <xdr:colOff>0</xdr:colOff>
      <xdr:row>35</xdr:row>
      <xdr:rowOff>0</xdr:rowOff>
    </xdr:to>
    <xdr:sp macro="" textlink="">
      <xdr:nvSpPr>
        <xdr:cNvPr id="2206" name="Text Box 158">
          <a:extLst>
            <a:ext uri="{FF2B5EF4-FFF2-40B4-BE49-F238E27FC236}">
              <a16:creationId xmlns:a16="http://schemas.microsoft.com/office/drawing/2014/main" id="{2A5913BC-A37C-CBB9-B09A-B952B9A8AA48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Removal Service for Chain link Fence.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Including Fabric, Posts, Gates, Rails, Tension Wire, Barbwire/Barbed Tape.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35</xdr:row>
      <xdr:rowOff>0</xdr:rowOff>
    </xdr:from>
    <xdr:to>
      <xdr:col>0</xdr:col>
      <xdr:colOff>0</xdr:colOff>
      <xdr:row>35</xdr:row>
      <xdr:rowOff>0</xdr:rowOff>
    </xdr:to>
    <xdr:sp macro="" textlink="">
      <xdr:nvSpPr>
        <xdr:cNvPr id="2207" name="Text Box 159">
          <a:extLst>
            <a:ext uri="{FF2B5EF4-FFF2-40B4-BE49-F238E27FC236}">
              <a16:creationId xmlns:a16="http://schemas.microsoft.com/office/drawing/2014/main" id="{A884F739-8594-43DA-C5CF-2FB9A7EB38DD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35</xdr:row>
      <xdr:rowOff>0</xdr:rowOff>
    </xdr:from>
    <xdr:to>
      <xdr:col>0</xdr:col>
      <xdr:colOff>0</xdr:colOff>
      <xdr:row>35</xdr:row>
      <xdr:rowOff>0</xdr:rowOff>
    </xdr:to>
    <xdr:sp macro="" textlink="">
      <xdr:nvSpPr>
        <xdr:cNvPr id="2208" name="Text Box 160">
          <a:extLst>
            <a:ext uri="{FF2B5EF4-FFF2-40B4-BE49-F238E27FC236}">
              <a16:creationId xmlns:a16="http://schemas.microsoft.com/office/drawing/2014/main" id="{152E8A8B-CC67-B7E2-A928-B161C7CFF777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Removal Service for Chain link Fence Gates including tracks (not posts).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35</xdr:row>
      <xdr:rowOff>0</xdr:rowOff>
    </xdr:from>
    <xdr:to>
      <xdr:col>0</xdr:col>
      <xdr:colOff>0</xdr:colOff>
      <xdr:row>35</xdr:row>
      <xdr:rowOff>0</xdr:rowOff>
    </xdr:to>
    <xdr:sp macro="" textlink="">
      <xdr:nvSpPr>
        <xdr:cNvPr id="2209" name="Text Box 161">
          <a:extLst>
            <a:ext uri="{FF2B5EF4-FFF2-40B4-BE49-F238E27FC236}">
              <a16:creationId xmlns:a16="http://schemas.microsoft.com/office/drawing/2014/main" id="{AB08D200-2C19-E6FD-DFA5-E3179A3832B3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35</xdr:row>
      <xdr:rowOff>0</xdr:rowOff>
    </xdr:from>
    <xdr:to>
      <xdr:col>0</xdr:col>
      <xdr:colOff>0</xdr:colOff>
      <xdr:row>35</xdr:row>
      <xdr:rowOff>0</xdr:rowOff>
    </xdr:to>
    <xdr:sp macro="" textlink="">
      <xdr:nvSpPr>
        <xdr:cNvPr id="2210" name="Text Box 162">
          <a:extLst>
            <a:ext uri="{FF2B5EF4-FFF2-40B4-BE49-F238E27FC236}">
              <a16:creationId xmlns:a16="http://schemas.microsoft.com/office/drawing/2014/main" id="{30A49DB3-1155-CDD4-7FBD-AAC06A623562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Removal Service for Ornamental Steel Fence.  Including Posts and Gates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35</xdr:row>
      <xdr:rowOff>0</xdr:rowOff>
    </xdr:from>
    <xdr:to>
      <xdr:col>0</xdr:col>
      <xdr:colOff>0</xdr:colOff>
      <xdr:row>35</xdr:row>
      <xdr:rowOff>0</xdr:rowOff>
    </xdr:to>
    <xdr:sp macro="" textlink="">
      <xdr:nvSpPr>
        <xdr:cNvPr id="2211" name="Text Box 163">
          <a:extLst>
            <a:ext uri="{FF2B5EF4-FFF2-40B4-BE49-F238E27FC236}">
              <a16:creationId xmlns:a16="http://schemas.microsoft.com/office/drawing/2014/main" id="{FB19A082-24EE-C368-05CF-14294E4FACBA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35</xdr:row>
      <xdr:rowOff>0</xdr:rowOff>
    </xdr:from>
    <xdr:to>
      <xdr:col>0</xdr:col>
      <xdr:colOff>0</xdr:colOff>
      <xdr:row>35</xdr:row>
      <xdr:rowOff>0</xdr:rowOff>
    </xdr:to>
    <xdr:sp macro="" textlink="">
      <xdr:nvSpPr>
        <xdr:cNvPr id="2212" name="Text Box 164">
          <a:extLst>
            <a:ext uri="{FF2B5EF4-FFF2-40B4-BE49-F238E27FC236}">
              <a16:creationId xmlns:a16="http://schemas.microsoft.com/office/drawing/2014/main" id="{B5846E05-D79E-E9B6-CC0A-8C82CC7BD1BC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Removal Service for Wood Fence.  Including Posts and Gates.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35</xdr:row>
      <xdr:rowOff>0</xdr:rowOff>
    </xdr:from>
    <xdr:to>
      <xdr:col>0</xdr:col>
      <xdr:colOff>0</xdr:colOff>
      <xdr:row>35</xdr:row>
      <xdr:rowOff>0</xdr:rowOff>
    </xdr:to>
    <xdr:sp macro="" textlink="">
      <xdr:nvSpPr>
        <xdr:cNvPr id="2213" name="Text Box 165">
          <a:extLst>
            <a:ext uri="{FF2B5EF4-FFF2-40B4-BE49-F238E27FC236}">
              <a16:creationId xmlns:a16="http://schemas.microsoft.com/office/drawing/2014/main" id="{C82FC810-994B-91C2-3C1E-21341002DC05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35</xdr:row>
      <xdr:rowOff>0</xdr:rowOff>
    </xdr:from>
    <xdr:to>
      <xdr:col>0</xdr:col>
      <xdr:colOff>0</xdr:colOff>
      <xdr:row>35</xdr:row>
      <xdr:rowOff>0</xdr:rowOff>
    </xdr:to>
    <xdr:sp macro="" textlink="">
      <xdr:nvSpPr>
        <xdr:cNvPr id="2214" name="Text Box 166">
          <a:extLst>
            <a:ext uri="{FF2B5EF4-FFF2-40B4-BE49-F238E27FC236}">
              <a16:creationId xmlns:a16="http://schemas.microsoft.com/office/drawing/2014/main" id="{2A03C681-EDAA-2D55-8D45-55D361EECD5A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Removal Service for Barbwire Fence.  Including Posts and all wire.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35</xdr:row>
      <xdr:rowOff>0</xdr:rowOff>
    </xdr:from>
    <xdr:to>
      <xdr:col>0</xdr:col>
      <xdr:colOff>0</xdr:colOff>
      <xdr:row>35</xdr:row>
      <xdr:rowOff>0</xdr:rowOff>
    </xdr:to>
    <xdr:sp macro="" textlink="">
      <xdr:nvSpPr>
        <xdr:cNvPr id="2215" name="Text Box 167">
          <a:extLst>
            <a:ext uri="{FF2B5EF4-FFF2-40B4-BE49-F238E27FC236}">
              <a16:creationId xmlns:a16="http://schemas.microsoft.com/office/drawing/2014/main" id="{51D8C658-F6F9-72A1-9571-372E9E72CBC9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35</xdr:row>
      <xdr:rowOff>0</xdr:rowOff>
    </xdr:from>
    <xdr:to>
      <xdr:col>0</xdr:col>
      <xdr:colOff>0</xdr:colOff>
      <xdr:row>35</xdr:row>
      <xdr:rowOff>0</xdr:rowOff>
    </xdr:to>
    <xdr:sp macro="" textlink="">
      <xdr:nvSpPr>
        <xdr:cNvPr id="2216" name="Text Box 168">
          <a:extLst>
            <a:ext uri="{FF2B5EF4-FFF2-40B4-BE49-F238E27FC236}">
              <a16:creationId xmlns:a16="http://schemas.microsoft.com/office/drawing/2014/main" id="{47E9663B-EC1D-A393-B299-53654278A3FA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Each to Provide Removal Service for Fence Posts.  Including Posts Footing with Braces and Supports as Required.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35</xdr:row>
      <xdr:rowOff>0</xdr:rowOff>
    </xdr:from>
    <xdr:to>
      <xdr:col>0</xdr:col>
      <xdr:colOff>0</xdr:colOff>
      <xdr:row>35</xdr:row>
      <xdr:rowOff>0</xdr:rowOff>
    </xdr:to>
    <xdr:sp macro="" textlink="">
      <xdr:nvSpPr>
        <xdr:cNvPr id="2217" name="Text Box 169">
          <a:extLst>
            <a:ext uri="{FF2B5EF4-FFF2-40B4-BE49-F238E27FC236}">
              <a16:creationId xmlns:a16="http://schemas.microsoft.com/office/drawing/2014/main" id="{5C4D8455-4325-C954-C708-36F5F3ECDFB7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35</xdr:row>
      <xdr:rowOff>0</xdr:rowOff>
    </xdr:from>
    <xdr:to>
      <xdr:col>0</xdr:col>
      <xdr:colOff>0</xdr:colOff>
      <xdr:row>35</xdr:row>
      <xdr:rowOff>0</xdr:rowOff>
    </xdr:to>
    <xdr:sp macro="" textlink="">
      <xdr:nvSpPr>
        <xdr:cNvPr id="2218" name="Text Box 170">
          <a:extLst>
            <a:ext uri="{FF2B5EF4-FFF2-40B4-BE49-F238E27FC236}">
              <a16:creationId xmlns:a16="http://schemas.microsoft.com/office/drawing/2014/main" id="{C10478B6-F7EC-4C23-A855-37B9D13E98D7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Each to Provide Removal Service for Fence Posts.  Post Cut-off Flush.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35</xdr:row>
      <xdr:rowOff>0</xdr:rowOff>
    </xdr:from>
    <xdr:to>
      <xdr:col>0</xdr:col>
      <xdr:colOff>0</xdr:colOff>
      <xdr:row>35</xdr:row>
      <xdr:rowOff>0</xdr:rowOff>
    </xdr:to>
    <xdr:sp macro="" textlink="">
      <xdr:nvSpPr>
        <xdr:cNvPr id="2219" name="Text Box 171">
          <a:extLst>
            <a:ext uri="{FF2B5EF4-FFF2-40B4-BE49-F238E27FC236}">
              <a16:creationId xmlns:a16="http://schemas.microsoft.com/office/drawing/2014/main" id="{3FB4CECA-F28F-7CCF-C0CC-855A662EE2FA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35</xdr:row>
      <xdr:rowOff>0</xdr:rowOff>
    </xdr:from>
    <xdr:to>
      <xdr:col>0</xdr:col>
      <xdr:colOff>0</xdr:colOff>
      <xdr:row>35</xdr:row>
      <xdr:rowOff>0</xdr:rowOff>
    </xdr:to>
    <xdr:sp macro="" textlink="">
      <xdr:nvSpPr>
        <xdr:cNvPr id="2220" name="Text Box 172">
          <a:extLst>
            <a:ext uri="{FF2B5EF4-FFF2-40B4-BE49-F238E27FC236}">
              <a16:creationId xmlns:a16="http://schemas.microsoft.com/office/drawing/2014/main" id="{034EF248-8510-467D-4A6F-07DBC870CC54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Each to Provide Removal Service for Fence Posts.  Driven Post.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35</xdr:row>
      <xdr:rowOff>0</xdr:rowOff>
    </xdr:from>
    <xdr:to>
      <xdr:col>0</xdr:col>
      <xdr:colOff>0</xdr:colOff>
      <xdr:row>35</xdr:row>
      <xdr:rowOff>0</xdr:rowOff>
    </xdr:to>
    <xdr:sp macro="" textlink="">
      <xdr:nvSpPr>
        <xdr:cNvPr id="2221" name="Text Box 173">
          <a:extLst>
            <a:ext uri="{FF2B5EF4-FFF2-40B4-BE49-F238E27FC236}">
              <a16:creationId xmlns:a16="http://schemas.microsoft.com/office/drawing/2014/main" id="{A11A22FC-73D8-8A81-1F53-04E989765397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35</xdr:row>
      <xdr:rowOff>0</xdr:rowOff>
    </xdr:from>
    <xdr:to>
      <xdr:col>0</xdr:col>
      <xdr:colOff>0</xdr:colOff>
      <xdr:row>35</xdr:row>
      <xdr:rowOff>0</xdr:rowOff>
    </xdr:to>
    <xdr:sp macro="" textlink="">
      <xdr:nvSpPr>
        <xdr:cNvPr id="2222" name="Text Box 174">
          <a:extLst>
            <a:ext uri="{FF2B5EF4-FFF2-40B4-BE49-F238E27FC236}">
              <a16:creationId xmlns:a16="http://schemas.microsoft.com/office/drawing/2014/main" id="{44834167-2545-3683-E7B6-1B865C92D72E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Each to Provide Removal Service for Fence Posts.  Including Posts Footing with Braces and Supports as Required.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Posts Set in Concrete/Asphalt.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35</xdr:row>
      <xdr:rowOff>0</xdr:rowOff>
    </xdr:from>
    <xdr:to>
      <xdr:col>0</xdr:col>
      <xdr:colOff>0</xdr:colOff>
      <xdr:row>35</xdr:row>
      <xdr:rowOff>0</xdr:rowOff>
    </xdr:to>
    <xdr:sp macro="" textlink="">
      <xdr:nvSpPr>
        <xdr:cNvPr id="2223" name="Text Box 175">
          <a:extLst>
            <a:ext uri="{FF2B5EF4-FFF2-40B4-BE49-F238E27FC236}">
              <a16:creationId xmlns:a16="http://schemas.microsoft.com/office/drawing/2014/main" id="{0B579089-8D77-D1A8-7FAA-542DD9A32F11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35</xdr:row>
      <xdr:rowOff>0</xdr:rowOff>
    </xdr:from>
    <xdr:to>
      <xdr:col>0</xdr:col>
      <xdr:colOff>0</xdr:colOff>
      <xdr:row>35</xdr:row>
      <xdr:rowOff>0</xdr:rowOff>
    </xdr:to>
    <xdr:sp macro="" textlink="">
      <xdr:nvSpPr>
        <xdr:cNvPr id="2224" name="Text Box 176">
          <a:extLst>
            <a:ext uri="{FF2B5EF4-FFF2-40B4-BE49-F238E27FC236}">
              <a16:creationId xmlns:a16="http://schemas.microsoft.com/office/drawing/2014/main" id="{4FC0A382-67A5-F01A-CEC9-5DB3F0F716A4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Square Foot to Patch and Refinish Concrete or Asphalt Surface.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Surface Depth to Match Surrounding.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35</xdr:row>
      <xdr:rowOff>0</xdr:rowOff>
    </xdr:from>
    <xdr:to>
      <xdr:col>0</xdr:col>
      <xdr:colOff>0</xdr:colOff>
      <xdr:row>35</xdr:row>
      <xdr:rowOff>0</xdr:rowOff>
    </xdr:to>
    <xdr:sp macro="" textlink="">
      <xdr:nvSpPr>
        <xdr:cNvPr id="2225" name="Text Box 177">
          <a:extLst>
            <a:ext uri="{FF2B5EF4-FFF2-40B4-BE49-F238E27FC236}">
              <a16:creationId xmlns:a16="http://schemas.microsoft.com/office/drawing/2014/main" id="{8F77BBE2-FC8C-2FE1-77A7-62EED6975FA9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Each to Remove and Dispose of or Save and Store (for reuse) Barbwire Single Arm Support.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35</xdr:row>
      <xdr:rowOff>0</xdr:rowOff>
    </xdr:from>
    <xdr:to>
      <xdr:col>0</xdr:col>
      <xdr:colOff>0</xdr:colOff>
      <xdr:row>35</xdr:row>
      <xdr:rowOff>0</xdr:rowOff>
    </xdr:to>
    <xdr:sp macro="" textlink="">
      <xdr:nvSpPr>
        <xdr:cNvPr id="2226" name="Text Box 178">
          <a:extLst>
            <a:ext uri="{FF2B5EF4-FFF2-40B4-BE49-F238E27FC236}">
              <a16:creationId xmlns:a16="http://schemas.microsoft.com/office/drawing/2014/main" id="{015A0F85-280E-EA03-BF43-EC2B90C56B0B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Each to remove and Dispose of or Save and Store (for reuse) Barbwire Double (V) Arm Support.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35</xdr:row>
      <xdr:rowOff>0</xdr:rowOff>
    </xdr:from>
    <xdr:to>
      <xdr:col>0</xdr:col>
      <xdr:colOff>0</xdr:colOff>
      <xdr:row>35</xdr:row>
      <xdr:rowOff>0</xdr:rowOff>
    </xdr:to>
    <xdr:sp macro="" textlink="">
      <xdr:nvSpPr>
        <xdr:cNvPr id="2227" name="Text Box 179">
          <a:extLst>
            <a:ext uri="{FF2B5EF4-FFF2-40B4-BE49-F238E27FC236}">
              <a16:creationId xmlns:a16="http://schemas.microsoft.com/office/drawing/2014/main" id="{4E865D2A-FD89-E747-9B45-992F125A2CBA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Lump Sum Price for the recycling of removed materials.  Based on a Percentage Added to Removal Item Ordered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35</xdr:row>
      <xdr:rowOff>0</xdr:rowOff>
    </xdr:from>
    <xdr:to>
      <xdr:col>0</xdr:col>
      <xdr:colOff>0</xdr:colOff>
      <xdr:row>35</xdr:row>
      <xdr:rowOff>0</xdr:rowOff>
    </xdr:to>
    <xdr:sp macro="" textlink="">
      <xdr:nvSpPr>
        <xdr:cNvPr id="2228" name="Text Box 180">
          <a:extLst>
            <a:ext uri="{FF2B5EF4-FFF2-40B4-BE49-F238E27FC236}">
              <a16:creationId xmlns:a16="http://schemas.microsoft.com/office/drawing/2014/main" id="{E44A4E40-ECB5-AA55-E095-3C346CE570AC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SECTION J</a:t>
          </a:r>
        </a:p>
        <a:p>
          <a:pPr algn="ct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EXHIBIT A</a:t>
          </a:r>
        </a:p>
      </xdr:txBody>
    </xdr:sp>
    <xdr:clientData/>
  </xdr:twoCellAnchor>
  <xdr:twoCellAnchor>
    <xdr:from>
      <xdr:col>0</xdr:col>
      <xdr:colOff>0</xdr:colOff>
      <xdr:row>35</xdr:row>
      <xdr:rowOff>0</xdr:rowOff>
    </xdr:from>
    <xdr:to>
      <xdr:col>0</xdr:col>
      <xdr:colOff>0</xdr:colOff>
      <xdr:row>35</xdr:row>
      <xdr:rowOff>0</xdr:rowOff>
    </xdr:to>
    <xdr:sp macro="" textlink="">
      <xdr:nvSpPr>
        <xdr:cNvPr id="2229" name="Text Box 181">
          <a:extLst>
            <a:ext uri="{FF2B5EF4-FFF2-40B4-BE49-F238E27FC236}">
              <a16:creationId xmlns:a16="http://schemas.microsoft.com/office/drawing/2014/main" id="{3F23CF11-46E9-6A8A-1B0D-FB0A9540AAD2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Lump Sum Price for the Recycling of Removed Materials.  Based on a Percentage Added to Removal Item Ordered, ELIN A001EK to A001EW. Figured on a Quantity of 1,000.  The Quantity Provided is for Establishing the Percentage Rate Only. 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35</xdr:row>
      <xdr:rowOff>0</xdr:rowOff>
    </xdr:from>
    <xdr:to>
      <xdr:col>0</xdr:col>
      <xdr:colOff>0</xdr:colOff>
      <xdr:row>35</xdr:row>
      <xdr:rowOff>0</xdr:rowOff>
    </xdr:to>
    <xdr:sp macro="" textlink="">
      <xdr:nvSpPr>
        <xdr:cNvPr id="2230" name="Text Box 182">
          <a:extLst>
            <a:ext uri="{FF2B5EF4-FFF2-40B4-BE49-F238E27FC236}">
              <a16:creationId xmlns:a16="http://schemas.microsoft.com/office/drawing/2014/main" id="{ABC4AFA4-4CE8-92EA-7E59-CDF0099918FE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PROVIDE A UNIT PRICE TO PERFORM EXPEDITED SERVICES.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IN ACCORDANCE WITH SECTION C, C.10.2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ELIN A001FJ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35</xdr:row>
      <xdr:rowOff>0</xdr:rowOff>
    </xdr:from>
    <xdr:to>
      <xdr:col>0</xdr:col>
      <xdr:colOff>0</xdr:colOff>
      <xdr:row>35</xdr:row>
      <xdr:rowOff>0</xdr:rowOff>
    </xdr:to>
    <xdr:sp macro="" textlink="">
      <xdr:nvSpPr>
        <xdr:cNvPr id="2231" name="Text Box 183">
          <a:extLst>
            <a:ext uri="{FF2B5EF4-FFF2-40B4-BE49-F238E27FC236}">
              <a16:creationId xmlns:a16="http://schemas.microsoft.com/office/drawing/2014/main" id="{6189CF6F-5FA6-C082-7710-B52FFAEA71F4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Lump Sum Price for Expedited Maintenance and Repair Services.  Based on a Percentage Added to Task Order Total. Figured on a Quantity of 1,000.  The Quantity Provided is for Establishing the Percentage Rate Only. 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35</xdr:row>
      <xdr:rowOff>0</xdr:rowOff>
    </xdr:from>
    <xdr:to>
      <xdr:col>0</xdr:col>
      <xdr:colOff>0</xdr:colOff>
      <xdr:row>35</xdr:row>
      <xdr:rowOff>0</xdr:rowOff>
    </xdr:to>
    <xdr:sp macro="" textlink="">
      <xdr:nvSpPr>
        <xdr:cNvPr id="2235" name="Text Box 187">
          <a:extLst>
            <a:ext uri="{FF2B5EF4-FFF2-40B4-BE49-F238E27FC236}">
              <a16:creationId xmlns:a16="http://schemas.microsoft.com/office/drawing/2014/main" id="{76245F5D-D901-02EF-5C3E-EF71E59104B8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SECTION J</a:t>
          </a:r>
        </a:p>
        <a:p>
          <a:pPr algn="ct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EXHIBIT A</a:t>
          </a:r>
        </a:p>
      </xdr:txBody>
    </xdr:sp>
    <xdr:clientData/>
  </xdr:twoCellAnchor>
  <xdr:twoCellAnchor>
    <xdr:from>
      <xdr:col>0</xdr:col>
      <xdr:colOff>0</xdr:colOff>
      <xdr:row>35</xdr:row>
      <xdr:rowOff>0</xdr:rowOff>
    </xdr:from>
    <xdr:to>
      <xdr:col>0</xdr:col>
      <xdr:colOff>0</xdr:colOff>
      <xdr:row>35</xdr:row>
      <xdr:rowOff>0</xdr:rowOff>
    </xdr:to>
    <xdr:sp macro="" textlink="">
      <xdr:nvSpPr>
        <xdr:cNvPr id="2236" name="Text Box 188">
          <a:extLst>
            <a:ext uri="{FF2B5EF4-FFF2-40B4-BE49-F238E27FC236}">
              <a16:creationId xmlns:a16="http://schemas.microsoft.com/office/drawing/2014/main" id="{97C6DC54-128E-FD75-1649-37668B761C44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SECTION J</a:t>
          </a:r>
        </a:p>
        <a:p>
          <a:pPr algn="ct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EXHIBIT A</a:t>
          </a:r>
        </a:p>
      </xdr:txBody>
    </xdr:sp>
    <xdr:clientData/>
  </xdr:twoCellAnchor>
  <xdr:twoCellAnchor>
    <xdr:from>
      <xdr:col>0</xdr:col>
      <xdr:colOff>0</xdr:colOff>
      <xdr:row>35</xdr:row>
      <xdr:rowOff>0</xdr:rowOff>
    </xdr:from>
    <xdr:to>
      <xdr:col>0</xdr:col>
      <xdr:colOff>0</xdr:colOff>
      <xdr:row>35</xdr:row>
      <xdr:rowOff>0</xdr:rowOff>
    </xdr:to>
    <xdr:sp macro="" textlink="">
      <xdr:nvSpPr>
        <xdr:cNvPr id="2237" name="Text Box 189">
          <a:extLst>
            <a:ext uri="{FF2B5EF4-FFF2-40B4-BE49-F238E27FC236}">
              <a16:creationId xmlns:a16="http://schemas.microsoft.com/office/drawing/2014/main" id="{FD390E3E-11CC-659A-1980-0D545EEF3EE2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PROVIDE A UNIT PRICE FOR THE RENTAL OF TEMPORARY CHAIN LINK FENCE.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IN ACCORDANCE WITH SECTION C, C.10.3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ELIN A001FK THROUGH A001FP</a:t>
          </a:r>
        </a:p>
      </xdr:txBody>
    </xdr:sp>
    <xdr:clientData/>
  </xdr:twoCellAnchor>
  <xdr:twoCellAnchor>
    <xdr:from>
      <xdr:col>0</xdr:col>
      <xdr:colOff>0</xdr:colOff>
      <xdr:row>35</xdr:row>
      <xdr:rowOff>0</xdr:rowOff>
    </xdr:from>
    <xdr:to>
      <xdr:col>0</xdr:col>
      <xdr:colOff>0</xdr:colOff>
      <xdr:row>35</xdr:row>
      <xdr:rowOff>0</xdr:rowOff>
    </xdr:to>
    <xdr:sp macro="" textlink="">
      <xdr:nvSpPr>
        <xdr:cNvPr id="2238" name="Text Box 190">
          <a:extLst>
            <a:ext uri="{FF2B5EF4-FFF2-40B4-BE49-F238E27FC236}">
              <a16:creationId xmlns:a16="http://schemas.microsoft.com/office/drawing/2014/main" id="{21B5DC6A-40F8-AFDB-11B8-56D3D3C821B2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35</xdr:row>
      <xdr:rowOff>0</xdr:rowOff>
    </xdr:from>
    <xdr:to>
      <xdr:col>0</xdr:col>
      <xdr:colOff>0</xdr:colOff>
      <xdr:row>35</xdr:row>
      <xdr:rowOff>0</xdr:rowOff>
    </xdr:to>
    <xdr:sp macro="" textlink="">
      <xdr:nvSpPr>
        <xdr:cNvPr id="2239" name="Text Box 191">
          <a:extLst>
            <a:ext uri="{FF2B5EF4-FFF2-40B4-BE49-F238E27FC236}">
              <a16:creationId xmlns:a16="http://schemas.microsoft.com/office/drawing/2014/main" id="{36E3F1E9-1459-C282-B522-D1F1C17CCA8C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Temporary Chain link Fence.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6' Fence Height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Driven Posts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35</xdr:row>
      <xdr:rowOff>0</xdr:rowOff>
    </xdr:from>
    <xdr:to>
      <xdr:col>0</xdr:col>
      <xdr:colOff>0</xdr:colOff>
      <xdr:row>35</xdr:row>
      <xdr:rowOff>0</xdr:rowOff>
    </xdr:to>
    <xdr:sp macro="" textlink="">
      <xdr:nvSpPr>
        <xdr:cNvPr id="2240" name="Text Box 192">
          <a:extLst>
            <a:ext uri="{FF2B5EF4-FFF2-40B4-BE49-F238E27FC236}">
              <a16:creationId xmlns:a16="http://schemas.microsoft.com/office/drawing/2014/main" id="{788D8D7E-D3E7-F4A4-D9B4-A5EDC54A130E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35</xdr:row>
      <xdr:rowOff>0</xdr:rowOff>
    </xdr:from>
    <xdr:to>
      <xdr:col>0</xdr:col>
      <xdr:colOff>0</xdr:colOff>
      <xdr:row>35</xdr:row>
      <xdr:rowOff>0</xdr:rowOff>
    </xdr:to>
    <xdr:sp macro="" textlink="">
      <xdr:nvSpPr>
        <xdr:cNvPr id="2241" name="Text Box 193">
          <a:extLst>
            <a:ext uri="{FF2B5EF4-FFF2-40B4-BE49-F238E27FC236}">
              <a16:creationId xmlns:a16="http://schemas.microsoft.com/office/drawing/2014/main" id="{9F1B56CC-9157-D7B1-6F85-DC60C6FE9B52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Temporary Chain link Fence.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12' Panel, 6' Height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Driven Posts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35</xdr:row>
      <xdr:rowOff>0</xdr:rowOff>
    </xdr:from>
    <xdr:to>
      <xdr:col>0</xdr:col>
      <xdr:colOff>0</xdr:colOff>
      <xdr:row>35</xdr:row>
      <xdr:rowOff>0</xdr:rowOff>
    </xdr:to>
    <xdr:sp macro="" textlink="">
      <xdr:nvSpPr>
        <xdr:cNvPr id="2242" name="Text Box 194">
          <a:extLst>
            <a:ext uri="{FF2B5EF4-FFF2-40B4-BE49-F238E27FC236}">
              <a16:creationId xmlns:a16="http://schemas.microsoft.com/office/drawing/2014/main" id="{30E56A87-CB91-F210-6B28-07F7F5306900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35</xdr:row>
      <xdr:rowOff>0</xdr:rowOff>
    </xdr:from>
    <xdr:to>
      <xdr:col>0</xdr:col>
      <xdr:colOff>0</xdr:colOff>
      <xdr:row>35</xdr:row>
      <xdr:rowOff>0</xdr:rowOff>
    </xdr:to>
    <xdr:sp macro="" textlink="">
      <xdr:nvSpPr>
        <xdr:cNvPr id="2243" name="Text Box 195">
          <a:extLst>
            <a:ext uri="{FF2B5EF4-FFF2-40B4-BE49-F238E27FC236}">
              <a16:creationId xmlns:a16="http://schemas.microsoft.com/office/drawing/2014/main" id="{EAC7B4EF-DAAA-70EB-1C2E-F6E55D95E357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Temporary Chain link Fence.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12' Panel, 6' Height, Free-Standing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35</xdr:row>
      <xdr:rowOff>0</xdr:rowOff>
    </xdr:from>
    <xdr:to>
      <xdr:col>0</xdr:col>
      <xdr:colOff>0</xdr:colOff>
      <xdr:row>35</xdr:row>
      <xdr:rowOff>0</xdr:rowOff>
    </xdr:to>
    <xdr:sp macro="" textlink="">
      <xdr:nvSpPr>
        <xdr:cNvPr id="2244" name="Text Box 196">
          <a:extLst>
            <a:ext uri="{FF2B5EF4-FFF2-40B4-BE49-F238E27FC236}">
              <a16:creationId xmlns:a16="http://schemas.microsoft.com/office/drawing/2014/main" id="{E9B0073E-BB3E-702B-38E3-CA7FB3695A88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35</xdr:row>
      <xdr:rowOff>0</xdr:rowOff>
    </xdr:from>
    <xdr:to>
      <xdr:col>0</xdr:col>
      <xdr:colOff>0</xdr:colOff>
      <xdr:row>35</xdr:row>
      <xdr:rowOff>0</xdr:rowOff>
    </xdr:to>
    <xdr:sp macro="" textlink="">
      <xdr:nvSpPr>
        <xdr:cNvPr id="2245" name="Text Box 197">
          <a:extLst>
            <a:ext uri="{FF2B5EF4-FFF2-40B4-BE49-F238E27FC236}">
              <a16:creationId xmlns:a16="http://schemas.microsoft.com/office/drawing/2014/main" id="{AC58130A-9A52-7AF2-0BC8-1D80DB91BF13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35</xdr:row>
      <xdr:rowOff>0</xdr:rowOff>
    </xdr:from>
    <xdr:to>
      <xdr:col>0</xdr:col>
      <xdr:colOff>0</xdr:colOff>
      <xdr:row>35</xdr:row>
      <xdr:rowOff>0</xdr:rowOff>
    </xdr:to>
    <xdr:sp macro="" textlink="">
      <xdr:nvSpPr>
        <xdr:cNvPr id="2246" name="Text Box 198">
          <a:extLst>
            <a:ext uri="{FF2B5EF4-FFF2-40B4-BE49-F238E27FC236}">
              <a16:creationId xmlns:a16="http://schemas.microsoft.com/office/drawing/2014/main" id="{AD2659D8-B2D1-D24D-D137-1301628BF2C7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Temporary Chain link Fence.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Driven Posts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With Barbwire, 7' Fence Height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35</xdr:row>
      <xdr:rowOff>0</xdr:rowOff>
    </xdr:from>
    <xdr:to>
      <xdr:col>0</xdr:col>
      <xdr:colOff>0</xdr:colOff>
      <xdr:row>35</xdr:row>
      <xdr:rowOff>0</xdr:rowOff>
    </xdr:to>
    <xdr:sp macro="" textlink="">
      <xdr:nvSpPr>
        <xdr:cNvPr id="2247" name="Text Box 199">
          <a:extLst>
            <a:ext uri="{FF2B5EF4-FFF2-40B4-BE49-F238E27FC236}">
              <a16:creationId xmlns:a16="http://schemas.microsoft.com/office/drawing/2014/main" id="{52599EE2-E4F8-A42E-251C-1DD157848511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35</xdr:row>
      <xdr:rowOff>0</xdr:rowOff>
    </xdr:from>
    <xdr:to>
      <xdr:col>0</xdr:col>
      <xdr:colOff>0</xdr:colOff>
      <xdr:row>35</xdr:row>
      <xdr:rowOff>0</xdr:rowOff>
    </xdr:to>
    <xdr:sp macro="" textlink="">
      <xdr:nvSpPr>
        <xdr:cNvPr id="2248" name="Text Box 200">
          <a:extLst>
            <a:ext uri="{FF2B5EF4-FFF2-40B4-BE49-F238E27FC236}">
              <a16:creationId xmlns:a16="http://schemas.microsoft.com/office/drawing/2014/main" id="{CA19F030-F4E0-238D-890D-B71CDCD0BBE5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Temporary Chain link Fence.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12' Panel, With Barbwire, 7' Height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Driven Posts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35</xdr:row>
      <xdr:rowOff>0</xdr:rowOff>
    </xdr:from>
    <xdr:to>
      <xdr:col>0</xdr:col>
      <xdr:colOff>0</xdr:colOff>
      <xdr:row>35</xdr:row>
      <xdr:rowOff>0</xdr:rowOff>
    </xdr:to>
    <xdr:sp macro="" textlink="">
      <xdr:nvSpPr>
        <xdr:cNvPr id="2249" name="Text Box 201">
          <a:extLst>
            <a:ext uri="{FF2B5EF4-FFF2-40B4-BE49-F238E27FC236}">
              <a16:creationId xmlns:a16="http://schemas.microsoft.com/office/drawing/2014/main" id="{9E032436-29E4-340D-2160-6A3383E2B10A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35</xdr:row>
      <xdr:rowOff>0</xdr:rowOff>
    </xdr:from>
    <xdr:to>
      <xdr:col>0</xdr:col>
      <xdr:colOff>0</xdr:colOff>
      <xdr:row>35</xdr:row>
      <xdr:rowOff>0</xdr:rowOff>
    </xdr:to>
    <xdr:sp macro="" textlink="">
      <xdr:nvSpPr>
        <xdr:cNvPr id="2250" name="Text Box 202">
          <a:extLst>
            <a:ext uri="{FF2B5EF4-FFF2-40B4-BE49-F238E27FC236}">
              <a16:creationId xmlns:a16="http://schemas.microsoft.com/office/drawing/2014/main" id="{F3ACFAA5-63E1-38F8-1709-396838A893AA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Temporary Chain link Fence.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12' Panel, With Barbwire, 7' Height,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Free-Standing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2</xdr:col>
      <xdr:colOff>161270</xdr:colOff>
      <xdr:row>0</xdr:row>
      <xdr:rowOff>0</xdr:rowOff>
    </xdr:to>
    <xdr:sp macro="" textlink="">
      <xdr:nvSpPr>
        <xdr:cNvPr id="2271" name="Text Box 223">
          <a:extLst>
            <a:ext uri="{FF2B5EF4-FFF2-40B4-BE49-F238E27FC236}">
              <a16:creationId xmlns:a16="http://schemas.microsoft.com/office/drawing/2014/main" id="{42ED13DE-2134-D333-1863-050F67B2B8B5}"/>
            </a:ext>
          </a:extLst>
        </xdr:cNvPr>
        <xdr:cNvSpPr txBox="1">
          <a:spLocks noChangeArrowheads="1"/>
        </xdr:cNvSpPr>
      </xdr:nvSpPr>
      <xdr:spPr bwMode="auto">
        <a:xfrm>
          <a:off x="666750" y="0"/>
          <a:ext cx="3276600" cy="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Line Item 0002     Base Year - Indefinite Quantity Work</a:t>
          </a: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ELIN A0016 through A0030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3</xdr:col>
      <xdr:colOff>644333</xdr:colOff>
      <xdr:row>0</xdr:row>
      <xdr:rowOff>0</xdr:rowOff>
    </xdr:to>
    <xdr:sp macro="" textlink="">
      <xdr:nvSpPr>
        <xdr:cNvPr id="2273" name="Text Box 225">
          <a:extLst>
            <a:ext uri="{FF2B5EF4-FFF2-40B4-BE49-F238E27FC236}">
              <a16:creationId xmlns:a16="http://schemas.microsoft.com/office/drawing/2014/main" id="{3661B851-09D6-5A00-E08C-5E41CCBC7B38}"/>
            </a:ext>
          </a:extLst>
        </xdr:cNvPr>
        <xdr:cNvSpPr txBox="1">
          <a:spLocks noChangeArrowheads="1"/>
        </xdr:cNvSpPr>
      </xdr:nvSpPr>
      <xdr:spPr bwMode="auto">
        <a:xfrm>
          <a:off x="666750" y="0"/>
          <a:ext cx="4457700" cy="0"/>
        </a:xfrm>
        <a:prstGeom prst="rect">
          <a:avLst/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PROVIDE UNIT PRICES FOR INDEFINITE QUANTITY WORK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IN ACCORDANCE WITH SECTION C, Item 4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ELIN A0016 through A0030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934720</xdr:colOff>
      <xdr:row>0</xdr:row>
      <xdr:rowOff>0</xdr:rowOff>
    </xdr:from>
    <xdr:to>
      <xdr:col>3</xdr:col>
      <xdr:colOff>595572</xdr:colOff>
      <xdr:row>0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2B8EEAA6-3E23-36D9-4954-1F4221557F2E}"/>
            </a:ext>
          </a:extLst>
        </xdr:cNvPr>
        <xdr:cNvSpPr txBox="1">
          <a:spLocks noChangeArrowheads="1"/>
        </xdr:cNvSpPr>
      </xdr:nvSpPr>
      <xdr:spPr bwMode="auto">
        <a:xfrm>
          <a:off x="1609725" y="0"/>
          <a:ext cx="34956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SECTION J</a:t>
          </a:r>
        </a:p>
        <a:p>
          <a:pPr algn="ct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EXHIBIT A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3</xdr:col>
      <xdr:colOff>627165</xdr:colOff>
      <xdr:row>0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D7F4BF49-01A8-1A58-1463-3DE1A8979A30}"/>
            </a:ext>
          </a:extLst>
        </xdr:cNvPr>
        <xdr:cNvSpPr txBox="1">
          <a:spLocks noChangeArrowheads="1"/>
        </xdr:cNvSpPr>
      </xdr:nvSpPr>
      <xdr:spPr bwMode="auto">
        <a:xfrm>
          <a:off x="666750" y="0"/>
          <a:ext cx="4457700" cy="0"/>
        </a:xfrm>
        <a:prstGeom prst="rect">
          <a:avLst/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PROVIDE PRICES TO MAINTAIN GROUNDS - FIRM FIXED PRICE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IN ACCORDANCE WITH SECTION C, Items 3.1, 3.2, 3.3, and 3.4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ELIN A001 through A0015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2</xdr:col>
      <xdr:colOff>19068</xdr:colOff>
      <xdr:row>0</xdr:row>
      <xdr:rowOff>0</xdr:rowOff>
    </xdr:to>
    <xdr:sp macro="" textlink="">
      <xdr:nvSpPr>
        <xdr:cNvPr id="4" name="Text Box 13">
          <a:extLst>
            <a:ext uri="{FF2B5EF4-FFF2-40B4-BE49-F238E27FC236}">
              <a16:creationId xmlns:a16="http://schemas.microsoft.com/office/drawing/2014/main" id="{67DA8BA0-53E3-E23D-CC94-28135170A0D3}"/>
            </a:ext>
          </a:extLst>
        </xdr:cNvPr>
        <xdr:cNvSpPr txBox="1">
          <a:spLocks noChangeArrowheads="1"/>
        </xdr:cNvSpPr>
      </xdr:nvSpPr>
      <xdr:spPr bwMode="auto">
        <a:xfrm>
          <a:off x="666750" y="0"/>
          <a:ext cx="3124200" cy="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Line Item 0001     Base Year - Firm Fixed Price</a:t>
          </a: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ELIN A001 through A0015</a:t>
          </a:r>
        </a:p>
      </xdr:txBody>
    </xdr:sp>
    <xdr:clientData/>
  </xdr:twoCellAnchor>
  <xdr:twoCellAnchor>
    <xdr:from>
      <xdr:col>0</xdr:col>
      <xdr:colOff>0</xdr:colOff>
      <xdr:row>48</xdr:row>
      <xdr:rowOff>0</xdr:rowOff>
    </xdr:from>
    <xdr:to>
      <xdr:col>0</xdr:col>
      <xdr:colOff>0</xdr:colOff>
      <xdr:row>48</xdr:row>
      <xdr:rowOff>0</xdr:rowOff>
    </xdr:to>
    <xdr:sp macro="" textlink="">
      <xdr:nvSpPr>
        <xdr:cNvPr id="5" name="Text Box 145">
          <a:extLst>
            <a:ext uri="{FF2B5EF4-FFF2-40B4-BE49-F238E27FC236}">
              <a16:creationId xmlns:a16="http://schemas.microsoft.com/office/drawing/2014/main" id="{6FD1BDBA-33F3-7278-0318-C6D7A500311A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SECTION J</a:t>
          </a:r>
        </a:p>
        <a:p>
          <a:pPr algn="ct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EXHIBIT A</a:t>
          </a:r>
        </a:p>
      </xdr:txBody>
    </xdr:sp>
    <xdr:clientData/>
  </xdr:twoCellAnchor>
  <xdr:twoCellAnchor>
    <xdr:from>
      <xdr:col>0</xdr:col>
      <xdr:colOff>0</xdr:colOff>
      <xdr:row>48</xdr:row>
      <xdr:rowOff>0</xdr:rowOff>
    </xdr:from>
    <xdr:to>
      <xdr:col>0</xdr:col>
      <xdr:colOff>0</xdr:colOff>
      <xdr:row>48</xdr:row>
      <xdr:rowOff>0</xdr:rowOff>
    </xdr:to>
    <xdr:sp macro="" textlink="">
      <xdr:nvSpPr>
        <xdr:cNvPr id="6" name="Text Box 150">
          <a:extLst>
            <a:ext uri="{FF2B5EF4-FFF2-40B4-BE49-F238E27FC236}">
              <a16:creationId xmlns:a16="http://schemas.microsoft.com/office/drawing/2014/main" id="{79727E64-0EEE-F8A6-18AF-402A9CEA1AC1}"/>
            </a:ext>
          </a:extLst>
        </xdr:cNvPr>
        <xdr:cNvSpPr txBox="1">
          <a:spLocks noChangeArrowheads="1"/>
        </xdr:cNvSpPr>
      </xdr:nvSpPr>
      <xdr:spPr bwMode="auto">
        <a:xfrm>
          <a:off x="0" y="72294750"/>
          <a:ext cx="0" cy="190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48</xdr:row>
      <xdr:rowOff>0</xdr:rowOff>
    </xdr:from>
    <xdr:to>
      <xdr:col>0</xdr:col>
      <xdr:colOff>0</xdr:colOff>
      <xdr:row>48</xdr:row>
      <xdr:rowOff>0</xdr:rowOff>
    </xdr:to>
    <xdr:sp macro="" textlink="">
      <xdr:nvSpPr>
        <xdr:cNvPr id="7" name="Text Box 151">
          <a:extLst>
            <a:ext uri="{FF2B5EF4-FFF2-40B4-BE49-F238E27FC236}">
              <a16:creationId xmlns:a16="http://schemas.microsoft.com/office/drawing/2014/main" id="{1A105FEB-64E0-FCEA-EC1E-EF862B6DA614}"/>
            </a:ext>
          </a:extLst>
        </xdr:cNvPr>
        <xdr:cNvSpPr txBox="1">
          <a:spLocks noChangeArrowheads="1"/>
        </xdr:cNvSpPr>
      </xdr:nvSpPr>
      <xdr:spPr bwMode="auto">
        <a:xfrm>
          <a:off x="0" y="72304275"/>
          <a:ext cx="0" cy="533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Reconditioning and Maintenance Service for Barbwire Fence.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48</xdr:row>
      <xdr:rowOff>0</xdr:rowOff>
    </xdr:from>
    <xdr:to>
      <xdr:col>0</xdr:col>
      <xdr:colOff>0</xdr:colOff>
      <xdr:row>48</xdr:row>
      <xdr:rowOff>0</xdr:rowOff>
    </xdr:to>
    <xdr:sp macro="" textlink="">
      <xdr:nvSpPr>
        <xdr:cNvPr id="8" name="Text Box 152">
          <a:extLst>
            <a:ext uri="{FF2B5EF4-FFF2-40B4-BE49-F238E27FC236}">
              <a16:creationId xmlns:a16="http://schemas.microsoft.com/office/drawing/2014/main" id="{E82CB3E2-57FD-E437-D1CB-4D11C9C37D4C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48</xdr:row>
      <xdr:rowOff>0</xdr:rowOff>
    </xdr:from>
    <xdr:to>
      <xdr:col>0</xdr:col>
      <xdr:colOff>0</xdr:colOff>
      <xdr:row>48</xdr:row>
      <xdr:rowOff>0</xdr:rowOff>
    </xdr:to>
    <xdr:sp macro="" textlink="">
      <xdr:nvSpPr>
        <xdr:cNvPr id="9" name="Text Box 153">
          <a:extLst>
            <a:ext uri="{FF2B5EF4-FFF2-40B4-BE49-F238E27FC236}">
              <a16:creationId xmlns:a16="http://schemas.microsoft.com/office/drawing/2014/main" id="{04F4C025-C6E5-7792-E3AB-A4686918EFD6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Reconditioning and Maintenance Service for Ornamental Steel Fence.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48</xdr:row>
      <xdr:rowOff>0</xdr:rowOff>
    </xdr:from>
    <xdr:to>
      <xdr:col>0</xdr:col>
      <xdr:colOff>0</xdr:colOff>
      <xdr:row>48</xdr:row>
      <xdr:rowOff>0</xdr:rowOff>
    </xdr:to>
    <xdr:sp macro="" textlink="">
      <xdr:nvSpPr>
        <xdr:cNvPr id="10" name="Text Box 154">
          <a:extLst>
            <a:ext uri="{FF2B5EF4-FFF2-40B4-BE49-F238E27FC236}">
              <a16:creationId xmlns:a16="http://schemas.microsoft.com/office/drawing/2014/main" id="{F7759A05-A26B-98DA-2544-8549E64066FB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48</xdr:row>
      <xdr:rowOff>0</xdr:rowOff>
    </xdr:from>
    <xdr:to>
      <xdr:col>0</xdr:col>
      <xdr:colOff>0</xdr:colOff>
      <xdr:row>48</xdr:row>
      <xdr:rowOff>0</xdr:rowOff>
    </xdr:to>
    <xdr:sp macro="" textlink="">
      <xdr:nvSpPr>
        <xdr:cNvPr id="11" name="Text Box 155">
          <a:extLst>
            <a:ext uri="{FF2B5EF4-FFF2-40B4-BE49-F238E27FC236}">
              <a16:creationId xmlns:a16="http://schemas.microsoft.com/office/drawing/2014/main" id="{BDB4FA80-FC62-7D37-0DC1-4AAC0C5F7E7D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Reconditioning and Maintenance Service for Wood Fence.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48</xdr:row>
      <xdr:rowOff>0</xdr:rowOff>
    </xdr:from>
    <xdr:to>
      <xdr:col>0</xdr:col>
      <xdr:colOff>0</xdr:colOff>
      <xdr:row>48</xdr:row>
      <xdr:rowOff>0</xdr:rowOff>
    </xdr:to>
    <xdr:sp macro="" textlink="">
      <xdr:nvSpPr>
        <xdr:cNvPr id="12" name="Text Box 156">
          <a:extLst>
            <a:ext uri="{FF2B5EF4-FFF2-40B4-BE49-F238E27FC236}">
              <a16:creationId xmlns:a16="http://schemas.microsoft.com/office/drawing/2014/main" id="{AB30A41A-6290-44C9-331D-991C0E71466E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PROVIDE A UNIT PRICE FOR THE REMOVAL AND DISPOSAL OF FENCE COMPLETE, FENCE POSTS, BARBWIRE, BARBED TAPE.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IN ACCORDANCE WITH SECTION C, C.10.1.l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ELIN A001EW through A001FI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48</xdr:row>
      <xdr:rowOff>0</xdr:rowOff>
    </xdr:from>
    <xdr:to>
      <xdr:col>0</xdr:col>
      <xdr:colOff>0</xdr:colOff>
      <xdr:row>48</xdr:row>
      <xdr:rowOff>0</xdr:rowOff>
    </xdr:to>
    <xdr:sp macro="" textlink="">
      <xdr:nvSpPr>
        <xdr:cNvPr id="13" name="Text Box 157">
          <a:extLst>
            <a:ext uri="{FF2B5EF4-FFF2-40B4-BE49-F238E27FC236}">
              <a16:creationId xmlns:a16="http://schemas.microsoft.com/office/drawing/2014/main" id="{E3B6F3FA-69CE-82AB-E46B-8839621E29FB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48</xdr:row>
      <xdr:rowOff>0</xdr:rowOff>
    </xdr:from>
    <xdr:to>
      <xdr:col>0</xdr:col>
      <xdr:colOff>0</xdr:colOff>
      <xdr:row>48</xdr:row>
      <xdr:rowOff>0</xdr:rowOff>
    </xdr:to>
    <xdr:sp macro="" textlink="">
      <xdr:nvSpPr>
        <xdr:cNvPr id="14" name="Text Box 158">
          <a:extLst>
            <a:ext uri="{FF2B5EF4-FFF2-40B4-BE49-F238E27FC236}">
              <a16:creationId xmlns:a16="http://schemas.microsoft.com/office/drawing/2014/main" id="{935B306F-4C0A-F464-9D05-E5141A333415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Removal Service for Chain link Fence.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Including Fabric, Posts, Gates, Rails, Tension Wire, Barbwire/Barbed Tape.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48</xdr:row>
      <xdr:rowOff>0</xdr:rowOff>
    </xdr:from>
    <xdr:to>
      <xdr:col>0</xdr:col>
      <xdr:colOff>0</xdr:colOff>
      <xdr:row>48</xdr:row>
      <xdr:rowOff>0</xdr:rowOff>
    </xdr:to>
    <xdr:sp macro="" textlink="">
      <xdr:nvSpPr>
        <xdr:cNvPr id="15" name="Text Box 159">
          <a:extLst>
            <a:ext uri="{FF2B5EF4-FFF2-40B4-BE49-F238E27FC236}">
              <a16:creationId xmlns:a16="http://schemas.microsoft.com/office/drawing/2014/main" id="{85C3F2EA-F008-5FD6-E6C2-37C652A2001D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48</xdr:row>
      <xdr:rowOff>0</xdr:rowOff>
    </xdr:from>
    <xdr:to>
      <xdr:col>0</xdr:col>
      <xdr:colOff>0</xdr:colOff>
      <xdr:row>48</xdr:row>
      <xdr:rowOff>0</xdr:rowOff>
    </xdr:to>
    <xdr:sp macro="" textlink="">
      <xdr:nvSpPr>
        <xdr:cNvPr id="16" name="Text Box 160">
          <a:extLst>
            <a:ext uri="{FF2B5EF4-FFF2-40B4-BE49-F238E27FC236}">
              <a16:creationId xmlns:a16="http://schemas.microsoft.com/office/drawing/2014/main" id="{7D84D03C-C9C1-D6EC-ECF6-59EEFC4C3ECA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Removal Service for Chain link Fence Gates including tracks (not posts).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48</xdr:row>
      <xdr:rowOff>0</xdr:rowOff>
    </xdr:from>
    <xdr:to>
      <xdr:col>0</xdr:col>
      <xdr:colOff>0</xdr:colOff>
      <xdr:row>48</xdr:row>
      <xdr:rowOff>0</xdr:rowOff>
    </xdr:to>
    <xdr:sp macro="" textlink="">
      <xdr:nvSpPr>
        <xdr:cNvPr id="17" name="Text Box 161">
          <a:extLst>
            <a:ext uri="{FF2B5EF4-FFF2-40B4-BE49-F238E27FC236}">
              <a16:creationId xmlns:a16="http://schemas.microsoft.com/office/drawing/2014/main" id="{9A143E11-F715-7CED-E0A3-A28993CE567E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48</xdr:row>
      <xdr:rowOff>0</xdr:rowOff>
    </xdr:from>
    <xdr:to>
      <xdr:col>0</xdr:col>
      <xdr:colOff>0</xdr:colOff>
      <xdr:row>48</xdr:row>
      <xdr:rowOff>0</xdr:rowOff>
    </xdr:to>
    <xdr:sp macro="" textlink="">
      <xdr:nvSpPr>
        <xdr:cNvPr id="18" name="Text Box 162">
          <a:extLst>
            <a:ext uri="{FF2B5EF4-FFF2-40B4-BE49-F238E27FC236}">
              <a16:creationId xmlns:a16="http://schemas.microsoft.com/office/drawing/2014/main" id="{D55BBD36-2E24-0728-09E7-D19AA51CC7AA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Removal Service for Ornamental Steel Fence.  Including Posts and Gates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48</xdr:row>
      <xdr:rowOff>0</xdr:rowOff>
    </xdr:from>
    <xdr:to>
      <xdr:col>0</xdr:col>
      <xdr:colOff>0</xdr:colOff>
      <xdr:row>48</xdr:row>
      <xdr:rowOff>0</xdr:rowOff>
    </xdr:to>
    <xdr:sp macro="" textlink="">
      <xdr:nvSpPr>
        <xdr:cNvPr id="19" name="Text Box 163">
          <a:extLst>
            <a:ext uri="{FF2B5EF4-FFF2-40B4-BE49-F238E27FC236}">
              <a16:creationId xmlns:a16="http://schemas.microsoft.com/office/drawing/2014/main" id="{40E4818F-8A81-D51A-FF56-B5C064A62088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48</xdr:row>
      <xdr:rowOff>0</xdr:rowOff>
    </xdr:from>
    <xdr:to>
      <xdr:col>0</xdr:col>
      <xdr:colOff>0</xdr:colOff>
      <xdr:row>48</xdr:row>
      <xdr:rowOff>0</xdr:rowOff>
    </xdr:to>
    <xdr:sp macro="" textlink="">
      <xdr:nvSpPr>
        <xdr:cNvPr id="20" name="Text Box 164">
          <a:extLst>
            <a:ext uri="{FF2B5EF4-FFF2-40B4-BE49-F238E27FC236}">
              <a16:creationId xmlns:a16="http://schemas.microsoft.com/office/drawing/2014/main" id="{FF4DDB84-07BE-16D3-11A2-B6E1D9C1FC29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Removal Service for Wood Fence.  Including Posts and Gates.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48</xdr:row>
      <xdr:rowOff>0</xdr:rowOff>
    </xdr:from>
    <xdr:to>
      <xdr:col>0</xdr:col>
      <xdr:colOff>0</xdr:colOff>
      <xdr:row>48</xdr:row>
      <xdr:rowOff>0</xdr:rowOff>
    </xdr:to>
    <xdr:sp macro="" textlink="">
      <xdr:nvSpPr>
        <xdr:cNvPr id="21" name="Text Box 165">
          <a:extLst>
            <a:ext uri="{FF2B5EF4-FFF2-40B4-BE49-F238E27FC236}">
              <a16:creationId xmlns:a16="http://schemas.microsoft.com/office/drawing/2014/main" id="{714D6150-6E1B-2C59-B1B2-28D4831A1E64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48</xdr:row>
      <xdr:rowOff>0</xdr:rowOff>
    </xdr:from>
    <xdr:to>
      <xdr:col>0</xdr:col>
      <xdr:colOff>0</xdr:colOff>
      <xdr:row>48</xdr:row>
      <xdr:rowOff>0</xdr:rowOff>
    </xdr:to>
    <xdr:sp macro="" textlink="">
      <xdr:nvSpPr>
        <xdr:cNvPr id="22" name="Text Box 166">
          <a:extLst>
            <a:ext uri="{FF2B5EF4-FFF2-40B4-BE49-F238E27FC236}">
              <a16:creationId xmlns:a16="http://schemas.microsoft.com/office/drawing/2014/main" id="{FA047810-89C2-A552-1992-D2745F28AEF1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Removal Service for Barbwire Fence.  Including Posts and all wire.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48</xdr:row>
      <xdr:rowOff>0</xdr:rowOff>
    </xdr:from>
    <xdr:to>
      <xdr:col>0</xdr:col>
      <xdr:colOff>0</xdr:colOff>
      <xdr:row>48</xdr:row>
      <xdr:rowOff>0</xdr:rowOff>
    </xdr:to>
    <xdr:sp macro="" textlink="">
      <xdr:nvSpPr>
        <xdr:cNvPr id="23" name="Text Box 167">
          <a:extLst>
            <a:ext uri="{FF2B5EF4-FFF2-40B4-BE49-F238E27FC236}">
              <a16:creationId xmlns:a16="http://schemas.microsoft.com/office/drawing/2014/main" id="{DED1F01A-9EE9-F68B-EB80-CEE0DDDD9D45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48</xdr:row>
      <xdr:rowOff>0</xdr:rowOff>
    </xdr:from>
    <xdr:to>
      <xdr:col>0</xdr:col>
      <xdr:colOff>0</xdr:colOff>
      <xdr:row>48</xdr:row>
      <xdr:rowOff>0</xdr:rowOff>
    </xdr:to>
    <xdr:sp macro="" textlink="">
      <xdr:nvSpPr>
        <xdr:cNvPr id="24" name="Text Box 168">
          <a:extLst>
            <a:ext uri="{FF2B5EF4-FFF2-40B4-BE49-F238E27FC236}">
              <a16:creationId xmlns:a16="http://schemas.microsoft.com/office/drawing/2014/main" id="{4C4F683F-E8C6-04C5-0B0D-83A3908690C8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Each to Provide Removal Service for Fence Posts.  Including Posts Footing with Braces and Supports as Required.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48</xdr:row>
      <xdr:rowOff>0</xdr:rowOff>
    </xdr:from>
    <xdr:to>
      <xdr:col>0</xdr:col>
      <xdr:colOff>0</xdr:colOff>
      <xdr:row>48</xdr:row>
      <xdr:rowOff>0</xdr:rowOff>
    </xdr:to>
    <xdr:sp macro="" textlink="">
      <xdr:nvSpPr>
        <xdr:cNvPr id="25" name="Text Box 169">
          <a:extLst>
            <a:ext uri="{FF2B5EF4-FFF2-40B4-BE49-F238E27FC236}">
              <a16:creationId xmlns:a16="http://schemas.microsoft.com/office/drawing/2014/main" id="{D9447AF4-F5BB-0CB1-0D53-83D515997377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48</xdr:row>
      <xdr:rowOff>0</xdr:rowOff>
    </xdr:from>
    <xdr:to>
      <xdr:col>0</xdr:col>
      <xdr:colOff>0</xdr:colOff>
      <xdr:row>48</xdr:row>
      <xdr:rowOff>0</xdr:rowOff>
    </xdr:to>
    <xdr:sp macro="" textlink="">
      <xdr:nvSpPr>
        <xdr:cNvPr id="26" name="Text Box 170">
          <a:extLst>
            <a:ext uri="{FF2B5EF4-FFF2-40B4-BE49-F238E27FC236}">
              <a16:creationId xmlns:a16="http://schemas.microsoft.com/office/drawing/2014/main" id="{91AC52E1-8285-76E0-B700-0C55FD7D0F62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Each to Provide Removal Service for Fence Posts.  Post Cut-off Flush.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48</xdr:row>
      <xdr:rowOff>0</xdr:rowOff>
    </xdr:from>
    <xdr:to>
      <xdr:col>0</xdr:col>
      <xdr:colOff>0</xdr:colOff>
      <xdr:row>48</xdr:row>
      <xdr:rowOff>0</xdr:rowOff>
    </xdr:to>
    <xdr:sp macro="" textlink="">
      <xdr:nvSpPr>
        <xdr:cNvPr id="27" name="Text Box 171">
          <a:extLst>
            <a:ext uri="{FF2B5EF4-FFF2-40B4-BE49-F238E27FC236}">
              <a16:creationId xmlns:a16="http://schemas.microsoft.com/office/drawing/2014/main" id="{F9D38F36-EE0C-25E4-38A6-CD60216636ED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48</xdr:row>
      <xdr:rowOff>0</xdr:rowOff>
    </xdr:from>
    <xdr:to>
      <xdr:col>0</xdr:col>
      <xdr:colOff>0</xdr:colOff>
      <xdr:row>48</xdr:row>
      <xdr:rowOff>0</xdr:rowOff>
    </xdr:to>
    <xdr:sp macro="" textlink="">
      <xdr:nvSpPr>
        <xdr:cNvPr id="28" name="Text Box 172">
          <a:extLst>
            <a:ext uri="{FF2B5EF4-FFF2-40B4-BE49-F238E27FC236}">
              <a16:creationId xmlns:a16="http://schemas.microsoft.com/office/drawing/2014/main" id="{807117AE-D8A6-33B4-D56C-F7A15BAE49F8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Each to Provide Removal Service for Fence Posts.  Driven Post.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48</xdr:row>
      <xdr:rowOff>0</xdr:rowOff>
    </xdr:from>
    <xdr:to>
      <xdr:col>0</xdr:col>
      <xdr:colOff>0</xdr:colOff>
      <xdr:row>48</xdr:row>
      <xdr:rowOff>0</xdr:rowOff>
    </xdr:to>
    <xdr:sp macro="" textlink="">
      <xdr:nvSpPr>
        <xdr:cNvPr id="29" name="Text Box 173">
          <a:extLst>
            <a:ext uri="{FF2B5EF4-FFF2-40B4-BE49-F238E27FC236}">
              <a16:creationId xmlns:a16="http://schemas.microsoft.com/office/drawing/2014/main" id="{844067DD-7180-450F-3EC0-1E5DA946ABB5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48</xdr:row>
      <xdr:rowOff>0</xdr:rowOff>
    </xdr:from>
    <xdr:to>
      <xdr:col>0</xdr:col>
      <xdr:colOff>0</xdr:colOff>
      <xdr:row>48</xdr:row>
      <xdr:rowOff>0</xdr:rowOff>
    </xdr:to>
    <xdr:sp macro="" textlink="">
      <xdr:nvSpPr>
        <xdr:cNvPr id="30" name="Text Box 174">
          <a:extLst>
            <a:ext uri="{FF2B5EF4-FFF2-40B4-BE49-F238E27FC236}">
              <a16:creationId xmlns:a16="http://schemas.microsoft.com/office/drawing/2014/main" id="{B057745C-0875-0927-9700-81B02109C4A1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Each to Provide Removal Service for Fence Posts.  Including Posts Footing with Braces and Supports as Required.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Posts Set in Concrete/Asphalt.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48</xdr:row>
      <xdr:rowOff>0</xdr:rowOff>
    </xdr:from>
    <xdr:to>
      <xdr:col>0</xdr:col>
      <xdr:colOff>0</xdr:colOff>
      <xdr:row>48</xdr:row>
      <xdr:rowOff>0</xdr:rowOff>
    </xdr:to>
    <xdr:sp macro="" textlink="">
      <xdr:nvSpPr>
        <xdr:cNvPr id="31" name="Text Box 175">
          <a:extLst>
            <a:ext uri="{FF2B5EF4-FFF2-40B4-BE49-F238E27FC236}">
              <a16:creationId xmlns:a16="http://schemas.microsoft.com/office/drawing/2014/main" id="{0E6EF0C5-6530-0CD8-E96A-05D5B769B479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48</xdr:row>
      <xdr:rowOff>0</xdr:rowOff>
    </xdr:from>
    <xdr:to>
      <xdr:col>0</xdr:col>
      <xdr:colOff>0</xdr:colOff>
      <xdr:row>48</xdr:row>
      <xdr:rowOff>0</xdr:rowOff>
    </xdr:to>
    <xdr:sp macro="" textlink="">
      <xdr:nvSpPr>
        <xdr:cNvPr id="32" name="Text Box 176">
          <a:extLst>
            <a:ext uri="{FF2B5EF4-FFF2-40B4-BE49-F238E27FC236}">
              <a16:creationId xmlns:a16="http://schemas.microsoft.com/office/drawing/2014/main" id="{4A4DA17B-B9F7-7F39-22D6-154458F48FF6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Square Foot to Patch and Refinish Concrete or Asphalt Surface.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Surface Depth to Match Surrounding.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48</xdr:row>
      <xdr:rowOff>0</xdr:rowOff>
    </xdr:from>
    <xdr:to>
      <xdr:col>0</xdr:col>
      <xdr:colOff>0</xdr:colOff>
      <xdr:row>48</xdr:row>
      <xdr:rowOff>0</xdr:rowOff>
    </xdr:to>
    <xdr:sp macro="" textlink="">
      <xdr:nvSpPr>
        <xdr:cNvPr id="33" name="Text Box 177">
          <a:extLst>
            <a:ext uri="{FF2B5EF4-FFF2-40B4-BE49-F238E27FC236}">
              <a16:creationId xmlns:a16="http://schemas.microsoft.com/office/drawing/2014/main" id="{6087381B-9569-EC1C-7096-3D230C1AA360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Each to Remove and Dispose of or Save and Store (for reuse) Barbwire Single Arm Support.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48</xdr:row>
      <xdr:rowOff>0</xdr:rowOff>
    </xdr:from>
    <xdr:to>
      <xdr:col>0</xdr:col>
      <xdr:colOff>0</xdr:colOff>
      <xdr:row>48</xdr:row>
      <xdr:rowOff>0</xdr:rowOff>
    </xdr:to>
    <xdr:sp macro="" textlink="">
      <xdr:nvSpPr>
        <xdr:cNvPr id="34" name="Text Box 178">
          <a:extLst>
            <a:ext uri="{FF2B5EF4-FFF2-40B4-BE49-F238E27FC236}">
              <a16:creationId xmlns:a16="http://schemas.microsoft.com/office/drawing/2014/main" id="{3235BE5C-A395-5FF9-B6B0-A92DF44C1C20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Each to remove and Dispose of or Save and Store (for reuse) Barbwire Double (V) Arm Support.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48</xdr:row>
      <xdr:rowOff>0</xdr:rowOff>
    </xdr:from>
    <xdr:to>
      <xdr:col>0</xdr:col>
      <xdr:colOff>0</xdr:colOff>
      <xdr:row>48</xdr:row>
      <xdr:rowOff>0</xdr:rowOff>
    </xdr:to>
    <xdr:sp macro="" textlink="">
      <xdr:nvSpPr>
        <xdr:cNvPr id="35" name="Text Box 179">
          <a:extLst>
            <a:ext uri="{FF2B5EF4-FFF2-40B4-BE49-F238E27FC236}">
              <a16:creationId xmlns:a16="http://schemas.microsoft.com/office/drawing/2014/main" id="{3C246409-3C4A-3B4F-D0FA-FE0F97C94561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Lump Sum Price for the recycling of removed materials.  Based on a Percentage Added to Removal Item Ordered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48</xdr:row>
      <xdr:rowOff>0</xdr:rowOff>
    </xdr:from>
    <xdr:to>
      <xdr:col>0</xdr:col>
      <xdr:colOff>0</xdr:colOff>
      <xdr:row>48</xdr:row>
      <xdr:rowOff>0</xdr:rowOff>
    </xdr:to>
    <xdr:sp macro="" textlink="">
      <xdr:nvSpPr>
        <xdr:cNvPr id="36" name="Text Box 180">
          <a:extLst>
            <a:ext uri="{FF2B5EF4-FFF2-40B4-BE49-F238E27FC236}">
              <a16:creationId xmlns:a16="http://schemas.microsoft.com/office/drawing/2014/main" id="{152E4B3B-C3AB-FF1D-310E-5F594B70BEE5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SECTION J</a:t>
          </a:r>
        </a:p>
        <a:p>
          <a:pPr algn="ct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EXHIBIT A</a:t>
          </a:r>
        </a:p>
      </xdr:txBody>
    </xdr:sp>
    <xdr:clientData/>
  </xdr:twoCellAnchor>
  <xdr:twoCellAnchor>
    <xdr:from>
      <xdr:col>0</xdr:col>
      <xdr:colOff>0</xdr:colOff>
      <xdr:row>48</xdr:row>
      <xdr:rowOff>0</xdr:rowOff>
    </xdr:from>
    <xdr:to>
      <xdr:col>0</xdr:col>
      <xdr:colOff>0</xdr:colOff>
      <xdr:row>48</xdr:row>
      <xdr:rowOff>0</xdr:rowOff>
    </xdr:to>
    <xdr:sp macro="" textlink="">
      <xdr:nvSpPr>
        <xdr:cNvPr id="37" name="Text Box 181">
          <a:extLst>
            <a:ext uri="{FF2B5EF4-FFF2-40B4-BE49-F238E27FC236}">
              <a16:creationId xmlns:a16="http://schemas.microsoft.com/office/drawing/2014/main" id="{ED61BE2C-1F5D-3767-ED94-27A5E2D0D7B2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Lump Sum Price for the Recycling of Removed Materials.  Based on a Percentage Added to Removal Item Ordered, ELIN A001EK to A001EW. Figured on a Quantity of 1,000.  The Quantity Provided is for Establishing the Percentage Rate Only. 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48</xdr:row>
      <xdr:rowOff>0</xdr:rowOff>
    </xdr:from>
    <xdr:to>
      <xdr:col>0</xdr:col>
      <xdr:colOff>0</xdr:colOff>
      <xdr:row>48</xdr:row>
      <xdr:rowOff>0</xdr:rowOff>
    </xdr:to>
    <xdr:sp macro="" textlink="">
      <xdr:nvSpPr>
        <xdr:cNvPr id="38" name="Text Box 182">
          <a:extLst>
            <a:ext uri="{FF2B5EF4-FFF2-40B4-BE49-F238E27FC236}">
              <a16:creationId xmlns:a16="http://schemas.microsoft.com/office/drawing/2014/main" id="{15EA6E45-5692-BFB5-8380-931D7F7AF00F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PROVIDE A UNIT PRICE TO PERFORM EXPEDITED SERVICES.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IN ACCORDANCE WITH SECTION C, C.10.2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ELIN A001FJ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48</xdr:row>
      <xdr:rowOff>0</xdr:rowOff>
    </xdr:from>
    <xdr:to>
      <xdr:col>0</xdr:col>
      <xdr:colOff>0</xdr:colOff>
      <xdr:row>48</xdr:row>
      <xdr:rowOff>0</xdr:rowOff>
    </xdr:to>
    <xdr:sp macro="" textlink="">
      <xdr:nvSpPr>
        <xdr:cNvPr id="39" name="Text Box 183">
          <a:extLst>
            <a:ext uri="{FF2B5EF4-FFF2-40B4-BE49-F238E27FC236}">
              <a16:creationId xmlns:a16="http://schemas.microsoft.com/office/drawing/2014/main" id="{E9FE0959-27E3-178B-52A2-945A8AF3673B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Lump Sum Price for Expedited Maintenance and Repair Services.  Based on a Percentage Added to Task Order Total. Figured on a Quantity of 1,000.  The Quantity Provided is for Establishing the Percentage Rate Only. 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48</xdr:row>
      <xdr:rowOff>0</xdr:rowOff>
    </xdr:from>
    <xdr:to>
      <xdr:col>0</xdr:col>
      <xdr:colOff>0</xdr:colOff>
      <xdr:row>48</xdr:row>
      <xdr:rowOff>0</xdr:rowOff>
    </xdr:to>
    <xdr:sp macro="" textlink="">
      <xdr:nvSpPr>
        <xdr:cNvPr id="40" name="Text Box 187">
          <a:extLst>
            <a:ext uri="{FF2B5EF4-FFF2-40B4-BE49-F238E27FC236}">
              <a16:creationId xmlns:a16="http://schemas.microsoft.com/office/drawing/2014/main" id="{E77E2873-F0C7-E2D0-0966-A32D51780076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SECTION J</a:t>
          </a:r>
        </a:p>
        <a:p>
          <a:pPr algn="ct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EXHIBIT A</a:t>
          </a:r>
        </a:p>
      </xdr:txBody>
    </xdr:sp>
    <xdr:clientData/>
  </xdr:twoCellAnchor>
  <xdr:twoCellAnchor>
    <xdr:from>
      <xdr:col>0</xdr:col>
      <xdr:colOff>0</xdr:colOff>
      <xdr:row>48</xdr:row>
      <xdr:rowOff>0</xdr:rowOff>
    </xdr:from>
    <xdr:to>
      <xdr:col>0</xdr:col>
      <xdr:colOff>0</xdr:colOff>
      <xdr:row>48</xdr:row>
      <xdr:rowOff>0</xdr:rowOff>
    </xdr:to>
    <xdr:sp macro="" textlink="">
      <xdr:nvSpPr>
        <xdr:cNvPr id="41" name="Text Box 188">
          <a:extLst>
            <a:ext uri="{FF2B5EF4-FFF2-40B4-BE49-F238E27FC236}">
              <a16:creationId xmlns:a16="http://schemas.microsoft.com/office/drawing/2014/main" id="{7B2E75A7-91AC-AA55-DD70-0A8C9AAEEE9D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SECTION J</a:t>
          </a:r>
        </a:p>
        <a:p>
          <a:pPr algn="ct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EXHIBIT A</a:t>
          </a:r>
        </a:p>
      </xdr:txBody>
    </xdr:sp>
    <xdr:clientData/>
  </xdr:twoCellAnchor>
  <xdr:twoCellAnchor>
    <xdr:from>
      <xdr:col>0</xdr:col>
      <xdr:colOff>0</xdr:colOff>
      <xdr:row>48</xdr:row>
      <xdr:rowOff>0</xdr:rowOff>
    </xdr:from>
    <xdr:to>
      <xdr:col>0</xdr:col>
      <xdr:colOff>0</xdr:colOff>
      <xdr:row>48</xdr:row>
      <xdr:rowOff>0</xdr:rowOff>
    </xdr:to>
    <xdr:sp macro="" textlink="">
      <xdr:nvSpPr>
        <xdr:cNvPr id="42" name="Text Box 189">
          <a:extLst>
            <a:ext uri="{FF2B5EF4-FFF2-40B4-BE49-F238E27FC236}">
              <a16:creationId xmlns:a16="http://schemas.microsoft.com/office/drawing/2014/main" id="{3A5E8BC1-5261-5A3A-48ED-87465F9ECF70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PROVIDE A UNIT PRICE FOR THE RENTAL OF TEMPORARY CHAIN LINK FENCE.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IN ACCORDANCE WITH SECTION C, C.10.3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ELIN A001FK THROUGH A001FP</a:t>
          </a:r>
        </a:p>
      </xdr:txBody>
    </xdr:sp>
    <xdr:clientData/>
  </xdr:twoCellAnchor>
  <xdr:twoCellAnchor>
    <xdr:from>
      <xdr:col>0</xdr:col>
      <xdr:colOff>0</xdr:colOff>
      <xdr:row>48</xdr:row>
      <xdr:rowOff>0</xdr:rowOff>
    </xdr:from>
    <xdr:to>
      <xdr:col>0</xdr:col>
      <xdr:colOff>0</xdr:colOff>
      <xdr:row>48</xdr:row>
      <xdr:rowOff>0</xdr:rowOff>
    </xdr:to>
    <xdr:sp macro="" textlink="">
      <xdr:nvSpPr>
        <xdr:cNvPr id="43" name="Text Box 190">
          <a:extLst>
            <a:ext uri="{FF2B5EF4-FFF2-40B4-BE49-F238E27FC236}">
              <a16:creationId xmlns:a16="http://schemas.microsoft.com/office/drawing/2014/main" id="{4A4F423D-986E-6EE0-BFE4-9C089F9F8481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48</xdr:row>
      <xdr:rowOff>0</xdr:rowOff>
    </xdr:from>
    <xdr:to>
      <xdr:col>0</xdr:col>
      <xdr:colOff>0</xdr:colOff>
      <xdr:row>48</xdr:row>
      <xdr:rowOff>0</xdr:rowOff>
    </xdr:to>
    <xdr:sp macro="" textlink="">
      <xdr:nvSpPr>
        <xdr:cNvPr id="44" name="Text Box 191">
          <a:extLst>
            <a:ext uri="{FF2B5EF4-FFF2-40B4-BE49-F238E27FC236}">
              <a16:creationId xmlns:a16="http://schemas.microsoft.com/office/drawing/2014/main" id="{26631542-E02B-7644-6BC7-DA800C216699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Temporary Chain link Fence.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6' Fence Height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Driven Posts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48</xdr:row>
      <xdr:rowOff>0</xdr:rowOff>
    </xdr:from>
    <xdr:to>
      <xdr:col>0</xdr:col>
      <xdr:colOff>0</xdr:colOff>
      <xdr:row>48</xdr:row>
      <xdr:rowOff>0</xdr:rowOff>
    </xdr:to>
    <xdr:sp macro="" textlink="">
      <xdr:nvSpPr>
        <xdr:cNvPr id="45" name="Text Box 192">
          <a:extLst>
            <a:ext uri="{FF2B5EF4-FFF2-40B4-BE49-F238E27FC236}">
              <a16:creationId xmlns:a16="http://schemas.microsoft.com/office/drawing/2014/main" id="{A71AABB9-3589-64FC-2BBA-8D569EE694B5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48</xdr:row>
      <xdr:rowOff>0</xdr:rowOff>
    </xdr:from>
    <xdr:to>
      <xdr:col>0</xdr:col>
      <xdr:colOff>0</xdr:colOff>
      <xdr:row>48</xdr:row>
      <xdr:rowOff>0</xdr:rowOff>
    </xdr:to>
    <xdr:sp macro="" textlink="">
      <xdr:nvSpPr>
        <xdr:cNvPr id="46" name="Text Box 193">
          <a:extLst>
            <a:ext uri="{FF2B5EF4-FFF2-40B4-BE49-F238E27FC236}">
              <a16:creationId xmlns:a16="http://schemas.microsoft.com/office/drawing/2014/main" id="{B793041A-7105-A891-9C0C-9CA4306E8C78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Temporary Chain link Fence.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12' Panel, 6' Height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Driven Posts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48</xdr:row>
      <xdr:rowOff>0</xdr:rowOff>
    </xdr:from>
    <xdr:to>
      <xdr:col>0</xdr:col>
      <xdr:colOff>0</xdr:colOff>
      <xdr:row>48</xdr:row>
      <xdr:rowOff>0</xdr:rowOff>
    </xdr:to>
    <xdr:sp macro="" textlink="">
      <xdr:nvSpPr>
        <xdr:cNvPr id="47" name="Text Box 194">
          <a:extLst>
            <a:ext uri="{FF2B5EF4-FFF2-40B4-BE49-F238E27FC236}">
              <a16:creationId xmlns:a16="http://schemas.microsoft.com/office/drawing/2014/main" id="{3BA39344-91CD-DFCD-8EA3-72ACA601DC0E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48</xdr:row>
      <xdr:rowOff>0</xdr:rowOff>
    </xdr:from>
    <xdr:to>
      <xdr:col>0</xdr:col>
      <xdr:colOff>0</xdr:colOff>
      <xdr:row>48</xdr:row>
      <xdr:rowOff>0</xdr:rowOff>
    </xdr:to>
    <xdr:sp macro="" textlink="">
      <xdr:nvSpPr>
        <xdr:cNvPr id="48" name="Text Box 195">
          <a:extLst>
            <a:ext uri="{FF2B5EF4-FFF2-40B4-BE49-F238E27FC236}">
              <a16:creationId xmlns:a16="http://schemas.microsoft.com/office/drawing/2014/main" id="{3850CC8D-A768-D540-695A-5FA0A49C96D1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Temporary Chain link Fence.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12' Panel, 6' Height, Free-Standing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48</xdr:row>
      <xdr:rowOff>0</xdr:rowOff>
    </xdr:from>
    <xdr:to>
      <xdr:col>0</xdr:col>
      <xdr:colOff>0</xdr:colOff>
      <xdr:row>48</xdr:row>
      <xdr:rowOff>0</xdr:rowOff>
    </xdr:to>
    <xdr:sp macro="" textlink="">
      <xdr:nvSpPr>
        <xdr:cNvPr id="49" name="Text Box 196">
          <a:extLst>
            <a:ext uri="{FF2B5EF4-FFF2-40B4-BE49-F238E27FC236}">
              <a16:creationId xmlns:a16="http://schemas.microsoft.com/office/drawing/2014/main" id="{090253E5-C7ED-FDF4-38EA-DE97BDB972E8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48</xdr:row>
      <xdr:rowOff>0</xdr:rowOff>
    </xdr:from>
    <xdr:to>
      <xdr:col>0</xdr:col>
      <xdr:colOff>0</xdr:colOff>
      <xdr:row>48</xdr:row>
      <xdr:rowOff>0</xdr:rowOff>
    </xdr:to>
    <xdr:sp macro="" textlink="">
      <xdr:nvSpPr>
        <xdr:cNvPr id="50" name="Text Box 197">
          <a:extLst>
            <a:ext uri="{FF2B5EF4-FFF2-40B4-BE49-F238E27FC236}">
              <a16:creationId xmlns:a16="http://schemas.microsoft.com/office/drawing/2014/main" id="{18E67E7F-3CE9-E511-8B2F-8487E67E97A4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48</xdr:row>
      <xdr:rowOff>0</xdr:rowOff>
    </xdr:from>
    <xdr:to>
      <xdr:col>0</xdr:col>
      <xdr:colOff>0</xdr:colOff>
      <xdr:row>48</xdr:row>
      <xdr:rowOff>0</xdr:rowOff>
    </xdr:to>
    <xdr:sp macro="" textlink="">
      <xdr:nvSpPr>
        <xdr:cNvPr id="51" name="Text Box 198">
          <a:extLst>
            <a:ext uri="{FF2B5EF4-FFF2-40B4-BE49-F238E27FC236}">
              <a16:creationId xmlns:a16="http://schemas.microsoft.com/office/drawing/2014/main" id="{34254B37-08E4-2CAA-B98D-EC47F48A2F0F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Temporary Chain link Fence.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Driven Posts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With Barbwire, 7' Fence Height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48</xdr:row>
      <xdr:rowOff>0</xdr:rowOff>
    </xdr:from>
    <xdr:to>
      <xdr:col>0</xdr:col>
      <xdr:colOff>0</xdr:colOff>
      <xdr:row>48</xdr:row>
      <xdr:rowOff>0</xdr:rowOff>
    </xdr:to>
    <xdr:sp macro="" textlink="">
      <xdr:nvSpPr>
        <xdr:cNvPr id="52" name="Text Box 199">
          <a:extLst>
            <a:ext uri="{FF2B5EF4-FFF2-40B4-BE49-F238E27FC236}">
              <a16:creationId xmlns:a16="http://schemas.microsoft.com/office/drawing/2014/main" id="{321E03F9-6E97-E024-69A1-69F75D2FAB08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48</xdr:row>
      <xdr:rowOff>0</xdr:rowOff>
    </xdr:from>
    <xdr:to>
      <xdr:col>0</xdr:col>
      <xdr:colOff>0</xdr:colOff>
      <xdr:row>48</xdr:row>
      <xdr:rowOff>0</xdr:rowOff>
    </xdr:to>
    <xdr:sp macro="" textlink="">
      <xdr:nvSpPr>
        <xdr:cNvPr id="53" name="Text Box 200">
          <a:extLst>
            <a:ext uri="{FF2B5EF4-FFF2-40B4-BE49-F238E27FC236}">
              <a16:creationId xmlns:a16="http://schemas.microsoft.com/office/drawing/2014/main" id="{129EB8DF-FD0D-1399-1F4F-EDD1A72F864F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Temporary Chain link Fence.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12' Panel, With Barbwire, 7' Height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Driven Posts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48</xdr:row>
      <xdr:rowOff>0</xdr:rowOff>
    </xdr:from>
    <xdr:to>
      <xdr:col>0</xdr:col>
      <xdr:colOff>0</xdr:colOff>
      <xdr:row>48</xdr:row>
      <xdr:rowOff>0</xdr:rowOff>
    </xdr:to>
    <xdr:sp macro="" textlink="">
      <xdr:nvSpPr>
        <xdr:cNvPr id="54" name="Text Box 201">
          <a:extLst>
            <a:ext uri="{FF2B5EF4-FFF2-40B4-BE49-F238E27FC236}">
              <a16:creationId xmlns:a16="http://schemas.microsoft.com/office/drawing/2014/main" id="{17FE82DB-77F7-45EE-9843-1DE57CD41EB4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48</xdr:row>
      <xdr:rowOff>0</xdr:rowOff>
    </xdr:from>
    <xdr:to>
      <xdr:col>0</xdr:col>
      <xdr:colOff>0</xdr:colOff>
      <xdr:row>48</xdr:row>
      <xdr:rowOff>0</xdr:rowOff>
    </xdr:to>
    <xdr:sp macro="" textlink="">
      <xdr:nvSpPr>
        <xdr:cNvPr id="55" name="Text Box 202">
          <a:extLst>
            <a:ext uri="{FF2B5EF4-FFF2-40B4-BE49-F238E27FC236}">
              <a16:creationId xmlns:a16="http://schemas.microsoft.com/office/drawing/2014/main" id="{1CC57523-7E74-F513-8EEB-78373BDAC2A5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Temporary Chain link Fence.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12' Panel, With Barbwire, 7' Height,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Free-Standing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2</xdr:col>
      <xdr:colOff>172694</xdr:colOff>
      <xdr:row>0</xdr:row>
      <xdr:rowOff>0</xdr:rowOff>
    </xdr:to>
    <xdr:sp macro="" textlink="">
      <xdr:nvSpPr>
        <xdr:cNvPr id="56" name="Text Box 223">
          <a:extLst>
            <a:ext uri="{FF2B5EF4-FFF2-40B4-BE49-F238E27FC236}">
              <a16:creationId xmlns:a16="http://schemas.microsoft.com/office/drawing/2014/main" id="{01BE0689-B0E5-5986-FA50-149283DC7C4C}"/>
            </a:ext>
          </a:extLst>
        </xdr:cNvPr>
        <xdr:cNvSpPr txBox="1">
          <a:spLocks noChangeArrowheads="1"/>
        </xdr:cNvSpPr>
      </xdr:nvSpPr>
      <xdr:spPr bwMode="auto">
        <a:xfrm>
          <a:off x="666750" y="0"/>
          <a:ext cx="3276600" cy="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Line Item 0002     Base Year - Indefinite Quantity Work</a:t>
          </a: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ELIN A0016 through A0030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3</xdr:col>
      <xdr:colOff>627165</xdr:colOff>
      <xdr:row>0</xdr:row>
      <xdr:rowOff>0</xdr:rowOff>
    </xdr:to>
    <xdr:sp macro="" textlink="">
      <xdr:nvSpPr>
        <xdr:cNvPr id="57" name="Text Box 225">
          <a:extLst>
            <a:ext uri="{FF2B5EF4-FFF2-40B4-BE49-F238E27FC236}">
              <a16:creationId xmlns:a16="http://schemas.microsoft.com/office/drawing/2014/main" id="{3AE0AD42-8AA3-3B1A-C62C-F1E8BE422961}"/>
            </a:ext>
          </a:extLst>
        </xdr:cNvPr>
        <xdr:cNvSpPr txBox="1">
          <a:spLocks noChangeArrowheads="1"/>
        </xdr:cNvSpPr>
      </xdr:nvSpPr>
      <xdr:spPr bwMode="auto">
        <a:xfrm>
          <a:off x="666750" y="0"/>
          <a:ext cx="4457700" cy="0"/>
        </a:xfrm>
        <a:prstGeom prst="rect">
          <a:avLst/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PROVIDE UNIT PRICES FOR INDEFINITE QUANTITY WORK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IN ACCORDANCE WITH SECTION C, Item 4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ELIN A0016 through A0030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931545</xdr:colOff>
      <xdr:row>0</xdr:row>
      <xdr:rowOff>0</xdr:rowOff>
    </xdr:from>
    <xdr:to>
      <xdr:col>3</xdr:col>
      <xdr:colOff>605175</xdr:colOff>
      <xdr:row>0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619D340F-7798-254E-CEE1-DDC01BA3EE06}"/>
            </a:ext>
          </a:extLst>
        </xdr:cNvPr>
        <xdr:cNvSpPr txBox="1">
          <a:spLocks noChangeArrowheads="1"/>
        </xdr:cNvSpPr>
      </xdr:nvSpPr>
      <xdr:spPr bwMode="auto">
        <a:xfrm>
          <a:off x="1609725" y="0"/>
          <a:ext cx="34956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SECTION J</a:t>
          </a:r>
        </a:p>
        <a:p>
          <a:pPr algn="ct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EXHIBIT A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3</xdr:col>
      <xdr:colOff>627197</xdr:colOff>
      <xdr:row>0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CC03475-6094-D7A5-7344-07FC729B5680}"/>
            </a:ext>
          </a:extLst>
        </xdr:cNvPr>
        <xdr:cNvSpPr txBox="1">
          <a:spLocks noChangeArrowheads="1"/>
        </xdr:cNvSpPr>
      </xdr:nvSpPr>
      <xdr:spPr bwMode="auto">
        <a:xfrm>
          <a:off x="666750" y="0"/>
          <a:ext cx="4457700" cy="0"/>
        </a:xfrm>
        <a:prstGeom prst="rect">
          <a:avLst/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PROVIDE PRICES TO MAINTAIN GROUNDS - FIRM FIXED PRICE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IN ACCORDANCE WITH SECTION C, Items 3.1, 3.2, 3.3, and 3.4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ELIN A001 through A0015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2</xdr:col>
      <xdr:colOff>1911</xdr:colOff>
      <xdr:row>0</xdr:row>
      <xdr:rowOff>0</xdr:rowOff>
    </xdr:to>
    <xdr:sp macro="" textlink="">
      <xdr:nvSpPr>
        <xdr:cNvPr id="4" name="Text Box 13">
          <a:extLst>
            <a:ext uri="{FF2B5EF4-FFF2-40B4-BE49-F238E27FC236}">
              <a16:creationId xmlns:a16="http://schemas.microsoft.com/office/drawing/2014/main" id="{DF2E5D3D-8700-A4B1-552C-C1992B1B5EBA}"/>
            </a:ext>
          </a:extLst>
        </xdr:cNvPr>
        <xdr:cNvSpPr txBox="1">
          <a:spLocks noChangeArrowheads="1"/>
        </xdr:cNvSpPr>
      </xdr:nvSpPr>
      <xdr:spPr bwMode="auto">
        <a:xfrm>
          <a:off x="666750" y="0"/>
          <a:ext cx="3124200" cy="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Line Item 0001     Base Year - Firm Fixed Price</a:t>
          </a: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ELIN A001 through A0015</a:t>
          </a:r>
        </a:p>
      </xdr:txBody>
    </xdr:sp>
    <xdr:clientData/>
  </xdr:twoCellAnchor>
  <xdr:twoCellAnchor>
    <xdr:from>
      <xdr:col>0</xdr:col>
      <xdr:colOff>0</xdr:colOff>
      <xdr:row>37</xdr:row>
      <xdr:rowOff>0</xdr:rowOff>
    </xdr:from>
    <xdr:to>
      <xdr:col>0</xdr:col>
      <xdr:colOff>0</xdr:colOff>
      <xdr:row>37</xdr:row>
      <xdr:rowOff>0</xdr:rowOff>
    </xdr:to>
    <xdr:sp macro="" textlink="">
      <xdr:nvSpPr>
        <xdr:cNvPr id="5" name="Text Box 145">
          <a:extLst>
            <a:ext uri="{FF2B5EF4-FFF2-40B4-BE49-F238E27FC236}">
              <a16:creationId xmlns:a16="http://schemas.microsoft.com/office/drawing/2014/main" id="{6369ECCD-1F60-F9CA-BCA9-AC89F149BE61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SECTION J</a:t>
          </a:r>
        </a:p>
        <a:p>
          <a:pPr algn="ct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EXHIBIT A</a:t>
          </a:r>
        </a:p>
      </xdr:txBody>
    </xdr:sp>
    <xdr:clientData/>
  </xdr:twoCellAnchor>
  <xdr:twoCellAnchor>
    <xdr:from>
      <xdr:col>0</xdr:col>
      <xdr:colOff>0</xdr:colOff>
      <xdr:row>37</xdr:row>
      <xdr:rowOff>0</xdr:rowOff>
    </xdr:from>
    <xdr:to>
      <xdr:col>0</xdr:col>
      <xdr:colOff>0</xdr:colOff>
      <xdr:row>37</xdr:row>
      <xdr:rowOff>0</xdr:rowOff>
    </xdr:to>
    <xdr:sp macro="" textlink="">
      <xdr:nvSpPr>
        <xdr:cNvPr id="6" name="Text Box 150">
          <a:extLst>
            <a:ext uri="{FF2B5EF4-FFF2-40B4-BE49-F238E27FC236}">
              <a16:creationId xmlns:a16="http://schemas.microsoft.com/office/drawing/2014/main" id="{7D3E1984-DC2E-882A-F5E1-3F9DB46D2ABC}"/>
            </a:ext>
          </a:extLst>
        </xdr:cNvPr>
        <xdr:cNvSpPr txBox="1">
          <a:spLocks noChangeArrowheads="1"/>
        </xdr:cNvSpPr>
      </xdr:nvSpPr>
      <xdr:spPr bwMode="auto">
        <a:xfrm>
          <a:off x="0" y="72294750"/>
          <a:ext cx="0" cy="190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37</xdr:row>
      <xdr:rowOff>0</xdr:rowOff>
    </xdr:from>
    <xdr:to>
      <xdr:col>0</xdr:col>
      <xdr:colOff>0</xdr:colOff>
      <xdr:row>37</xdr:row>
      <xdr:rowOff>0</xdr:rowOff>
    </xdr:to>
    <xdr:sp macro="" textlink="">
      <xdr:nvSpPr>
        <xdr:cNvPr id="7" name="Text Box 151">
          <a:extLst>
            <a:ext uri="{FF2B5EF4-FFF2-40B4-BE49-F238E27FC236}">
              <a16:creationId xmlns:a16="http://schemas.microsoft.com/office/drawing/2014/main" id="{2802777A-D1D8-FE9C-1922-574DE6FFC967}"/>
            </a:ext>
          </a:extLst>
        </xdr:cNvPr>
        <xdr:cNvSpPr txBox="1">
          <a:spLocks noChangeArrowheads="1"/>
        </xdr:cNvSpPr>
      </xdr:nvSpPr>
      <xdr:spPr bwMode="auto">
        <a:xfrm>
          <a:off x="0" y="72304275"/>
          <a:ext cx="0" cy="533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Reconditioning and Maintenance Service for Barbwire Fence.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37</xdr:row>
      <xdr:rowOff>0</xdr:rowOff>
    </xdr:from>
    <xdr:to>
      <xdr:col>0</xdr:col>
      <xdr:colOff>0</xdr:colOff>
      <xdr:row>37</xdr:row>
      <xdr:rowOff>0</xdr:rowOff>
    </xdr:to>
    <xdr:sp macro="" textlink="">
      <xdr:nvSpPr>
        <xdr:cNvPr id="8" name="Text Box 152">
          <a:extLst>
            <a:ext uri="{FF2B5EF4-FFF2-40B4-BE49-F238E27FC236}">
              <a16:creationId xmlns:a16="http://schemas.microsoft.com/office/drawing/2014/main" id="{EEBB201E-6CFC-5412-C95B-9E37470336EF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37</xdr:row>
      <xdr:rowOff>0</xdr:rowOff>
    </xdr:from>
    <xdr:to>
      <xdr:col>0</xdr:col>
      <xdr:colOff>0</xdr:colOff>
      <xdr:row>37</xdr:row>
      <xdr:rowOff>0</xdr:rowOff>
    </xdr:to>
    <xdr:sp macro="" textlink="">
      <xdr:nvSpPr>
        <xdr:cNvPr id="9" name="Text Box 153">
          <a:extLst>
            <a:ext uri="{FF2B5EF4-FFF2-40B4-BE49-F238E27FC236}">
              <a16:creationId xmlns:a16="http://schemas.microsoft.com/office/drawing/2014/main" id="{BADC87F7-AE2F-7C86-B31E-67CEC1346019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Reconditioning and Maintenance Service for Ornamental Steel Fence.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37</xdr:row>
      <xdr:rowOff>0</xdr:rowOff>
    </xdr:from>
    <xdr:to>
      <xdr:col>0</xdr:col>
      <xdr:colOff>0</xdr:colOff>
      <xdr:row>37</xdr:row>
      <xdr:rowOff>0</xdr:rowOff>
    </xdr:to>
    <xdr:sp macro="" textlink="">
      <xdr:nvSpPr>
        <xdr:cNvPr id="10" name="Text Box 154">
          <a:extLst>
            <a:ext uri="{FF2B5EF4-FFF2-40B4-BE49-F238E27FC236}">
              <a16:creationId xmlns:a16="http://schemas.microsoft.com/office/drawing/2014/main" id="{32300822-BB45-6C60-DF36-E3F240644397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37</xdr:row>
      <xdr:rowOff>0</xdr:rowOff>
    </xdr:from>
    <xdr:to>
      <xdr:col>0</xdr:col>
      <xdr:colOff>0</xdr:colOff>
      <xdr:row>37</xdr:row>
      <xdr:rowOff>0</xdr:rowOff>
    </xdr:to>
    <xdr:sp macro="" textlink="">
      <xdr:nvSpPr>
        <xdr:cNvPr id="11" name="Text Box 155">
          <a:extLst>
            <a:ext uri="{FF2B5EF4-FFF2-40B4-BE49-F238E27FC236}">
              <a16:creationId xmlns:a16="http://schemas.microsoft.com/office/drawing/2014/main" id="{A03823BD-93BF-9B87-4324-98D320DA8CD0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Reconditioning and Maintenance Service for Wood Fence.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37</xdr:row>
      <xdr:rowOff>0</xdr:rowOff>
    </xdr:from>
    <xdr:to>
      <xdr:col>0</xdr:col>
      <xdr:colOff>0</xdr:colOff>
      <xdr:row>37</xdr:row>
      <xdr:rowOff>0</xdr:rowOff>
    </xdr:to>
    <xdr:sp macro="" textlink="">
      <xdr:nvSpPr>
        <xdr:cNvPr id="12" name="Text Box 156">
          <a:extLst>
            <a:ext uri="{FF2B5EF4-FFF2-40B4-BE49-F238E27FC236}">
              <a16:creationId xmlns:a16="http://schemas.microsoft.com/office/drawing/2014/main" id="{FF4BF0EA-F7EA-CB2A-E958-E159071E22DD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PROVIDE A UNIT PRICE FOR THE REMOVAL AND DISPOSAL OF FENCE COMPLETE, FENCE POSTS, BARBWIRE, BARBED TAPE.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IN ACCORDANCE WITH SECTION C, C.10.1.l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ELIN A001EW through A001FI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37</xdr:row>
      <xdr:rowOff>0</xdr:rowOff>
    </xdr:from>
    <xdr:to>
      <xdr:col>0</xdr:col>
      <xdr:colOff>0</xdr:colOff>
      <xdr:row>37</xdr:row>
      <xdr:rowOff>0</xdr:rowOff>
    </xdr:to>
    <xdr:sp macro="" textlink="">
      <xdr:nvSpPr>
        <xdr:cNvPr id="13" name="Text Box 157">
          <a:extLst>
            <a:ext uri="{FF2B5EF4-FFF2-40B4-BE49-F238E27FC236}">
              <a16:creationId xmlns:a16="http://schemas.microsoft.com/office/drawing/2014/main" id="{2E0E9FBE-3F82-8826-E319-2221186410B4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37</xdr:row>
      <xdr:rowOff>0</xdr:rowOff>
    </xdr:from>
    <xdr:to>
      <xdr:col>0</xdr:col>
      <xdr:colOff>0</xdr:colOff>
      <xdr:row>37</xdr:row>
      <xdr:rowOff>0</xdr:rowOff>
    </xdr:to>
    <xdr:sp macro="" textlink="">
      <xdr:nvSpPr>
        <xdr:cNvPr id="14" name="Text Box 158">
          <a:extLst>
            <a:ext uri="{FF2B5EF4-FFF2-40B4-BE49-F238E27FC236}">
              <a16:creationId xmlns:a16="http://schemas.microsoft.com/office/drawing/2014/main" id="{E6253F8A-D7FD-3F83-4FF3-22922F6B1769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Removal Service for Chain link Fence.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Including Fabric, Posts, Gates, Rails, Tension Wire, Barbwire/Barbed Tape.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37</xdr:row>
      <xdr:rowOff>0</xdr:rowOff>
    </xdr:from>
    <xdr:to>
      <xdr:col>0</xdr:col>
      <xdr:colOff>0</xdr:colOff>
      <xdr:row>37</xdr:row>
      <xdr:rowOff>0</xdr:rowOff>
    </xdr:to>
    <xdr:sp macro="" textlink="">
      <xdr:nvSpPr>
        <xdr:cNvPr id="15" name="Text Box 159">
          <a:extLst>
            <a:ext uri="{FF2B5EF4-FFF2-40B4-BE49-F238E27FC236}">
              <a16:creationId xmlns:a16="http://schemas.microsoft.com/office/drawing/2014/main" id="{CA83FC69-43AF-5DBA-CB4B-88F338570F72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37</xdr:row>
      <xdr:rowOff>0</xdr:rowOff>
    </xdr:from>
    <xdr:to>
      <xdr:col>0</xdr:col>
      <xdr:colOff>0</xdr:colOff>
      <xdr:row>37</xdr:row>
      <xdr:rowOff>0</xdr:rowOff>
    </xdr:to>
    <xdr:sp macro="" textlink="">
      <xdr:nvSpPr>
        <xdr:cNvPr id="16" name="Text Box 160">
          <a:extLst>
            <a:ext uri="{FF2B5EF4-FFF2-40B4-BE49-F238E27FC236}">
              <a16:creationId xmlns:a16="http://schemas.microsoft.com/office/drawing/2014/main" id="{E95C9AC0-A034-E61E-D3D8-7594DA4C97CD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Removal Service for Chain link Fence Gates including tracks (not posts).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37</xdr:row>
      <xdr:rowOff>0</xdr:rowOff>
    </xdr:from>
    <xdr:to>
      <xdr:col>0</xdr:col>
      <xdr:colOff>0</xdr:colOff>
      <xdr:row>37</xdr:row>
      <xdr:rowOff>0</xdr:rowOff>
    </xdr:to>
    <xdr:sp macro="" textlink="">
      <xdr:nvSpPr>
        <xdr:cNvPr id="17" name="Text Box 161">
          <a:extLst>
            <a:ext uri="{FF2B5EF4-FFF2-40B4-BE49-F238E27FC236}">
              <a16:creationId xmlns:a16="http://schemas.microsoft.com/office/drawing/2014/main" id="{294DF845-D42C-76F1-C495-2A568465FA9F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37</xdr:row>
      <xdr:rowOff>0</xdr:rowOff>
    </xdr:from>
    <xdr:to>
      <xdr:col>0</xdr:col>
      <xdr:colOff>0</xdr:colOff>
      <xdr:row>37</xdr:row>
      <xdr:rowOff>0</xdr:rowOff>
    </xdr:to>
    <xdr:sp macro="" textlink="">
      <xdr:nvSpPr>
        <xdr:cNvPr id="18" name="Text Box 162">
          <a:extLst>
            <a:ext uri="{FF2B5EF4-FFF2-40B4-BE49-F238E27FC236}">
              <a16:creationId xmlns:a16="http://schemas.microsoft.com/office/drawing/2014/main" id="{069D3C80-61AF-A9F2-4F3A-4BFD565BE9B6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Removal Service for Ornamental Steel Fence.  Including Posts and Gates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37</xdr:row>
      <xdr:rowOff>0</xdr:rowOff>
    </xdr:from>
    <xdr:to>
      <xdr:col>0</xdr:col>
      <xdr:colOff>0</xdr:colOff>
      <xdr:row>37</xdr:row>
      <xdr:rowOff>0</xdr:rowOff>
    </xdr:to>
    <xdr:sp macro="" textlink="">
      <xdr:nvSpPr>
        <xdr:cNvPr id="19" name="Text Box 163">
          <a:extLst>
            <a:ext uri="{FF2B5EF4-FFF2-40B4-BE49-F238E27FC236}">
              <a16:creationId xmlns:a16="http://schemas.microsoft.com/office/drawing/2014/main" id="{FD360BE8-FCE0-B7F4-2F46-0B936CFC6675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37</xdr:row>
      <xdr:rowOff>0</xdr:rowOff>
    </xdr:from>
    <xdr:to>
      <xdr:col>0</xdr:col>
      <xdr:colOff>0</xdr:colOff>
      <xdr:row>37</xdr:row>
      <xdr:rowOff>0</xdr:rowOff>
    </xdr:to>
    <xdr:sp macro="" textlink="">
      <xdr:nvSpPr>
        <xdr:cNvPr id="20" name="Text Box 164">
          <a:extLst>
            <a:ext uri="{FF2B5EF4-FFF2-40B4-BE49-F238E27FC236}">
              <a16:creationId xmlns:a16="http://schemas.microsoft.com/office/drawing/2014/main" id="{97BE4830-373C-7D8F-F3A8-07AC742C0C38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Removal Service for Wood Fence.  Including Posts and Gates.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37</xdr:row>
      <xdr:rowOff>0</xdr:rowOff>
    </xdr:from>
    <xdr:to>
      <xdr:col>0</xdr:col>
      <xdr:colOff>0</xdr:colOff>
      <xdr:row>37</xdr:row>
      <xdr:rowOff>0</xdr:rowOff>
    </xdr:to>
    <xdr:sp macro="" textlink="">
      <xdr:nvSpPr>
        <xdr:cNvPr id="21" name="Text Box 165">
          <a:extLst>
            <a:ext uri="{FF2B5EF4-FFF2-40B4-BE49-F238E27FC236}">
              <a16:creationId xmlns:a16="http://schemas.microsoft.com/office/drawing/2014/main" id="{1442B14B-9578-C774-9311-F11A9C8D4B23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37</xdr:row>
      <xdr:rowOff>0</xdr:rowOff>
    </xdr:from>
    <xdr:to>
      <xdr:col>0</xdr:col>
      <xdr:colOff>0</xdr:colOff>
      <xdr:row>37</xdr:row>
      <xdr:rowOff>0</xdr:rowOff>
    </xdr:to>
    <xdr:sp macro="" textlink="">
      <xdr:nvSpPr>
        <xdr:cNvPr id="22" name="Text Box 166">
          <a:extLst>
            <a:ext uri="{FF2B5EF4-FFF2-40B4-BE49-F238E27FC236}">
              <a16:creationId xmlns:a16="http://schemas.microsoft.com/office/drawing/2014/main" id="{B25340D3-A4BB-3373-4616-D411332E616F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Removal Service for Barbwire Fence.  Including Posts and all wire.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37</xdr:row>
      <xdr:rowOff>0</xdr:rowOff>
    </xdr:from>
    <xdr:to>
      <xdr:col>0</xdr:col>
      <xdr:colOff>0</xdr:colOff>
      <xdr:row>37</xdr:row>
      <xdr:rowOff>0</xdr:rowOff>
    </xdr:to>
    <xdr:sp macro="" textlink="">
      <xdr:nvSpPr>
        <xdr:cNvPr id="23" name="Text Box 167">
          <a:extLst>
            <a:ext uri="{FF2B5EF4-FFF2-40B4-BE49-F238E27FC236}">
              <a16:creationId xmlns:a16="http://schemas.microsoft.com/office/drawing/2014/main" id="{BBEC431F-0787-EC2A-2DA2-E3F93F2BE23C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37</xdr:row>
      <xdr:rowOff>0</xdr:rowOff>
    </xdr:from>
    <xdr:to>
      <xdr:col>0</xdr:col>
      <xdr:colOff>0</xdr:colOff>
      <xdr:row>37</xdr:row>
      <xdr:rowOff>0</xdr:rowOff>
    </xdr:to>
    <xdr:sp macro="" textlink="">
      <xdr:nvSpPr>
        <xdr:cNvPr id="24" name="Text Box 168">
          <a:extLst>
            <a:ext uri="{FF2B5EF4-FFF2-40B4-BE49-F238E27FC236}">
              <a16:creationId xmlns:a16="http://schemas.microsoft.com/office/drawing/2014/main" id="{96B522E4-3157-1216-110E-578592B160A5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Each to Provide Removal Service for Fence Posts.  Including Posts Footing with Braces and Supports as Required.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37</xdr:row>
      <xdr:rowOff>0</xdr:rowOff>
    </xdr:from>
    <xdr:to>
      <xdr:col>0</xdr:col>
      <xdr:colOff>0</xdr:colOff>
      <xdr:row>37</xdr:row>
      <xdr:rowOff>0</xdr:rowOff>
    </xdr:to>
    <xdr:sp macro="" textlink="">
      <xdr:nvSpPr>
        <xdr:cNvPr id="25" name="Text Box 169">
          <a:extLst>
            <a:ext uri="{FF2B5EF4-FFF2-40B4-BE49-F238E27FC236}">
              <a16:creationId xmlns:a16="http://schemas.microsoft.com/office/drawing/2014/main" id="{0C5FE997-CC97-7450-5801-72AEC88CC932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37</xdr:row>
      <xdr:rowOff>0</xdr:rowOff>
    </xdr:from>
    <xdr:to>
      <xdr:col>0</xdr:col>
      <xdr:colOff>0</xdr:colOff>
      <xdr:row>37</xdr:row>
      <xdr:rowOff>0</xdr:rowOff>
    </xdr:to>
    <xdr:sp macro="" textlink="">
      <xdr:nvSpPr>
        <xdr:cNvPr id="26" name="Text Box 170">
          <a:extLst>
            <a:ext uri="{FF2B5EF4-FFF2-40B4-BE49-F238E27FC236}">
              <a16:creationId xmlns:a16="http://schemas.microsoft.com/office/drawing/2014/main" id="{4AF6EF99-54E1-F878-9273-AF01365D8C8C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Each to Provide Removal Service for Fence Posts.  Post Cut-off Flush.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37</xdr:row>
      <xdr:rowOff>0</xdr:rowOff>
    </xdr:from>
    <xdr:to>
      <xdr:col>0</xdr:col>
      <xdr:colOff>0</xdr:colOff>
      <xdr:row>37</xdr:row>
      <xdr:rowOff>0</xdr:rowOff>
    </xdr:to>
    <xdr:sp macro="" textlink="">
      <xdr:nvSpPr>
        <xdr:cNvPr id="27" name="Text Box 171">
          <a:extLst>
            <a:ext uri="{FF2B5EF4-FFF2-40B4-BE49-F238E27FC236}">
              <a16:creationId xmlns:a16="http://schemas.microsoft.com/office/drawing/2014/main" id="{4E1D5A8A-C523-459D-4312-E7A6CFD9C589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37</xdr:row>
      <xdr:rowOff>0</xdr:rowOff>
    </xdr:from>
    <xdr:to>
      <xdr:col>0</xdr:col>
      <xdr:colOff>0</xdr:colOff>
      <xdr:row>37</xdr:row>
      <xdr:rowOff>0</xdr:rowOff>
    </xdr:to>
    <xdr:sp macro="" textlink="">
      <xdr:nvSpPr>
        <xdr:cNvPr id="28" name="Text Box 172">
          <a:extLst>
            <a:ext uri="{FF2B5EF4-FFF2-40B4-BE49-F238E27FC236}">
              <a16:creationId xmlns:a16="http://schemas.microsoft.com/office/drawing/2014/main" id="{2AEBF961-8D6B-76E4-D9FF-18A7A964F7AC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Each to Provide Removal Service for Fence Posts.  Driven Post.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37</xdr:row>
      <xdr:rowOff>0</xdr:rowOff>
    </xdr:from>
    <xdr:to>
      <xdr:col>0</xdr:col>
      <xdr:colOff>0</xdr:colOff>
      <xdr:row>37</xdr:row>
      <xdr:rowOff>0</xdr:rowOff>
    </xdr:to>
    <xdr:sp macro="" textlink="">
      <xdr:nvSpPr>
        <xdr:cNvPr id="29" name="Text Box 173">
          <a:extLst>
            <a:ext uri="{FF2B5EF4-FFF2-40B4-BE49-F238E27FC236}">
              <a16:creationId xmlns:a16="http://schemas.microsoft.com/office/drawing/2014/main" id="{28690C98-CD3B-3906-C079-5A9F211FAF77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37</xdr:row>
      <xdr:rowOff>0</xdr:rowOff>
    </xdr:from>
    <xdr:to>
      <xdr:col>0</xdr:col>
      <xdr:colOff>0</xdr:colOff>
      <xdr:row>37</xdr:row>
      <xdr:rowOff>0</xdr:rowOff>
    </xdr:to>
    <xdr:sp macro="" textlink="">
      <xdr:nvSpPr>
        <xdr:cNvPr id="30" name="Text Box 174">
          <a:extLst>
            <a:ext uri="{FF2B5EF4-FFF2-40B4-BE49-F238E27FC236}">
              <a16:creationId xmlns:a16="http://schemas.microsoft.com/office/drawing/2014/main" id="{AF542F5C-C9B3-73E7-C5B9-0A6A584719A6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Each to Provide Removal Service for Fence Posts.  Including Posts Footing with Braces and Supports as Required.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Posts Set in Concrete/Asphalt.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37</xdr:row>
      <xdr:rowOff>0</xdr:rowOff>
    </xdr:from>
    <xdr:to>
      <xdr:col>0</xdr:col>
      <xdr:colOff>0</xdr:colOff>
      <xdr:row>37</xdr:row>
      <xdr:rowOff>0</xdr:rowOff>
    </xdr:to>
    <xdr:sp macro="" textlink="">
      <xdr:nvSpPr>
        <xdr:cNvPr id="31" name="Text Box 175">
          <a:extLst>
            <a:ext uri="{FF2B5EF4-FFF2-40B4-BE49-F238E27FC236}">
              <a16:creationId xmlns:a16="http://schemas.microsoft.com/office/drawing/2014/main" id="{8ED48214-755E-FCF4-A0C1-9B0EE9B535AC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37</xdr:row>
      <xdr:rowOff>0</xdr:rowOff>
    </xdr:from>
    <xdr:to>
      <xdr:col>0</xdr:col>
      <xdr:colOff>0</xdr:colOff>
      <xdr:row>37</xdr:row>
      <xdr:rowOff>0</xdr:rowOff>
    </xdr:to>
    <xdr:sp macro="" textlink="">
      <xdr:nvSpPr>
        <xdr:cNvPr id="32" name="Text Box 176">
          <a:extLst>
            <a:ext uri="{FF2B5EF4-FFF2-40B4-BE49-F238E27FC236}">
              <a16:creationId xmlns:a16="http://schemas.microsoft.com/office/drawing/2014/main" id="{C1FCA2BE-5CC8-53E3-A145-3D2E26575ADE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Square Foot to Patch and Refinish Concrete or Asphalt Surface.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Surface Depth to Match Surrounding.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37</xdr:row>
      <xdr:rowOff>0</xdr:rowOff>
    </xdr:from>
    <xdr:to>
      <xdr:col>0</xdr:col>
      <xdr:colOff>0</xdr:colOff>
      <xdr:row>37</xdr:row>
      <xdr:rowOff>0</xdr:rowOff>
    </xdr:to>
    <xdr:sp macro="" textlink="">
      <xdr:nvSpPr>
        <xdr:cNvPr id="33" name="Text Box 177">
          <a:extLst>
            <a:ext uri="{FF2B5EF4-FFF2-40B4-BE49-F238E27FC236}">
              <a16:creationId xmlns:a16="http://schemas.microsoft.com/office/drawing/2014/main" id="{582589B4-5DC6-3A9C-868E-8F4B07E5B9C4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Each to Remove and Dispose of or Save and Store (for reuse) Barbwire Single Arm Support.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37</xdr:row>
      <xdr:rowOff>0</xdr:rowOff>
    </xdr:from>
    <xdr:to>
      <xdr:col>0</xdr:col>
      <xdr:colOff>0</xdr:colOff>
      <xdr:row>37</xdr:row>
      <xdr:rowOff>0</xdr:rowOff>
    </xdr:to>
    <xdr:sp macro="" textlink="">
      <xdr:nvSpPr>
        <xdr:cNvPr id="34" name="Text Box 178">
          <a:extLst>
            <a:ext uri="{FF2B5EF4-FFF2-40B4-BE49-F238E27FC236}">
              <a16:creationId xmlns:a16="http://schemas.microsoft.com/office/drawing/2014/main" id="{5BD45383-37C0-E312-48DE-010C2A03B5C4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Each to remove and Dispose of or Save and Store (for reuse) Barbwire Double (V) Arm Support.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37</xdr:row>
      <xdr:rowOff>0</xdr:rowOff>
    </xdr:from>
    <xdr:to>
      <xdr:col>0</xdr:col>
      <xdr:colOff>0</xdr:colOff>
      <xdr:row>37</xdr:row>
      <xdr:rowOff>0</xdr:rowOff>
    </xdr:to>
    <xdr:sp macro="" textlink="">
      <xdr:nvSpPr>
        <xdr:cNvPr id="35" name="Text Box 179">
          <a:extLst>
            <a:ext uri="{FF2B5EF4-FFF2-40B4-BE49-F238E27FC236}">
              <a16:creationId xmlns:a16="http://schemas.microsoft.com/office/drawing/2014/main" id="{A59BB868-B8D8-8FAC-4C02-9625E506D108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Lump Sum Price for the recycling of removed materials.  Based on a Percentage Added to Removal Item Ordered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37</xdr:row>
      <xdr:rowOff>0</xdr:rowOff>
    </xdr:from>
    <xdr:to>
      <xdr:col>0</xdr:col>
      <xdr:colOff>0</xdr:colOff>
      <xdr:row>37</xdr:row>
      <xdr:rowOff>0</xdr:rowOff>
    </xdr:to>
    <xdr:sp macro="" textlink="">
      <xdr:nvSpPr>
        <xdr:cNvPr id="36" name="Text Box 180">
          <a:extLst>
            <a:ext uri="{FF2B5EF4-FFF2-40B4-BE49-F238E27FC236}">
              <a16:creationId xmlns:a16="http://schemas.microsoft.com/office/drawing/2014/main" id="{2963E619-1620-C941-3432-8570A917CA2D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SECTION J</a:t>
          </a:r>
        </a:p>
        <a:p>
          <a:pPr algn="ct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EXHIBIT A</a:t>
          </a:r>
        </a:p>
      </xdr:txBody>
    </xdr:sp>
    <xdr:clientData/>
  </xdr:twoCellAnchor>
  <xdr:twoCellAnchor>
    <xdr:from>
      <xdr:col>0</xdr:col>
      <xdr:colOff>0</xdr:colOff>
      <xdr:row>37</xdr:row>
      <xdr:rowOff>0</xdr:rowOff>
    </xdr:from>
    <xdr:to>
      <xdr:col>0</xdr:col>
      <xdr:colOff>0</xdr:colOff>
      <xdr:row>37</xdr:row>
      <xdr:rowOff>0</xdr:rowOff>
    </xdr:to>
    <xdr:sp macro="" textlink="">
      <xdr:nvSpPr>
        <xdr:cNvPr id="37" name="Text Box 181">
          <a:extLst>
            <a:ext uri="{FF2B5EF4-FFF2-40B4-BE49-F238E27FC236}">
              <a16:creationId xmlns:a16="http://schemas.microsoft.com/office/drawing/2014/main" id="{6893178B-502E-D877-CFB0-F34ADE135D99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Lump Sum Price for the Recycling of Removed Materials.  Based on a Percentage Added to Removal Item Ordered, ELIN A001EK to A001EW. Figured on a Quantity of 1,000.  The Quantity Provided is for Establishing the Percentage Rate Only. 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37</xdr:row>
      <xdr:rowOff>0</xdr:rowOff>
    </xdr:from>
    <xdr:to>
      <xdr:col>0</xdr:col>
      <xdr:colOff>0</xdr:colOff>
      <xdr:row>37</xdr:row>
      <xdr:rowOff>0</xdr:rowOff>
    </xdr:to>
    <xdr:sp macro="" textlink="">
      <xdr:nvSpPr>
        <xdr:cNvPr id="38" name="Text Box 182">
          <a:extLst>
            <a:ext uri="{FF2B5EF4-FFF2-40B4-BE49-F238E27FC236}">
              <a16:creationId xmlns:a16="http://schemas.microsoft.com/office/drawing/2014/main" id="{9CACB1A7-DB38-5A9F-96B5-8D4E67292518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PROVIDE A UNIT PRICE TO PERFORM EXPEDITED SERVICES.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IN ACCORDANCE WITH SECTION C, C.10.2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ELIN A001FJ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37</xdr:row>
      <xdr:rowOff>0</xdr:rowOff>
    </xdr:from>
    <xdr:to>
      <xdr:col>0</xdr:col>
      <xdr:colOff>0</xdr:colOff>
      <xdr:row>37</xdr:row>
      <xdr:rowOff>0</xdr:rowOff>
    </xdr:to>
    <xdr:sp macro="" textlink="">
      <xdr:nvSpPr>
        <xdr:cNvPr id="39" name="Text Box 183">
          <a:extLst>
            <a:ext uri="{FF2B5EF4-FFF2-40B4-BE49-F238E27FC236}">
              <a16:creationId xmlns:a16="http://schemas.microsoft.com/office/drawing/2014/main" id="{350EA3E7-F98D-FC19-4D62-C4FA7E6709EC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Lump Sum Price for Expedited Maintenance and Repair Services.  Based on a Percentage Added to Task Order Total. Figured on a Quantity of 1,000.  The Quantity Provided is for Establishing the Percentage Rate Only. 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37</xdr:row>
      <xdr:rowOff>0</xdr:rowOff>
    </xdr:from>
    <xdr:to>
      <xdr:col>0</xdr:col>
      <xdr:colOff>0</xdr:colOff>
      <xdr:row>37</xdr:row>
      <xdr:rowOff>0</xdr:rowOff>
    </xdr:to>
    <xdr:sp macro="" textlink="">
      <xdr:nvSpPr>
        <xdr:cNvPr id="40" name="Text Box 187">
          <a:extLst>
            <a:ext uri="{FF2B5EF4-FFF2-40B4-BE49-F238E27FC236}">
              <a16:creationId xmlns:a16="http://schemas.microsoft.com/office/drawing/2014/main" id="{68E9EA00-0CF8-8F4F-C4E2-63B969461C47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SECTION J</a:t>
          </a:r>
        </a:p>
        <a:p>
          <a:pPr algn="ct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EXHIBIT A</a:t>
          </a:r>
        </a:p>
      </xdr:txBody>
    </xdr:sp>
    <xdr:clientData/>
  </xdr:twoCellAnchor>
  <xdr:twoCellAnchor>
    <xdr:from>
      <xdr:col>0</xdr:col>
      <xdr:colOff>0</xdr:colOff>
      <xdr:row>37</xdr:row>
      <xdr:rowOff>0</xdr:rowOff>
    </xdr:from>
    <xdr:to>
      <xdr:col>0</xdr:col>
      <xdr:colOff>0</xdr:colOff>
      <xdr:row>37</xdr:row>
      <xdr:rowOff>0</xdr:rowOff>
    </xdr:to>
    <xdr:sp macro="" textlink="">
      <xdr:nvSpPr>
        <xdr:cNvPr id="41" name="Text Box 188">
          <a:extLst>
            <a:ext uri="{FF2B5EF4-FFF2-40B4-BE49-F238E27FC236}">
              <a16:creationId xmlns:a16="http://schemas.microsoft.com/office/drawing/2014/main" id="{B7166C3E-F6AC-D34A-57F3-4EBC3A195A52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SECTION J</a:t>
          </a:r>
        </a:p>
        <a:p>
          <a:pPr algn="ct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EXHIBIT A</a:t>
          </a:r>
        </a:p>
      </xdr:txBody>
    </xdr:sp>
    <xdr:clientData/>
  </xdr:twoCellAnchor>
  <xdr:twoCellAnchor>
    <xdr:from>
      <xdr:col>0</xdr:col>
      <xdr:colOff>0</xdr:colOff>
      <xdr:row>37</xdr:row>
      <xdr:rowOff>0</xdr:rowOff>
    </xdr:from>
    <xdr:to>
      <xdr:col>0</xdr:col>
      <xdr:colOff>0</xdr:colOff>
      <xdr:row>37</xdr:row>
      <xdr:rowOff>0</xdr:rowOff>
    </xdr:to>
    <xdr:sp macro="" textlink="">
      <xdr:nvSpPr>
        <xdr:cNvPr id="42" name="Text Box 189">
          <a:extLst>
            <a:ext uri="{FF2B5EF4-FFF2-40B4-BE49-F238E27FC236}">
              <a16:creationId xmlns:a16="http://schemas.microsoft.com/office/drawing/2014/main" id="{7A72CACF-FAF5-04DE-F68B-553765B4A6F6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PROVIDE A UNIT PRICE FOR THE RENTAL OF TEMPORARY CHAIN LINK FENCE.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IN ACCORDANCE WITH SECTION C, C.10.3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ELIN A001FK THROUGH A001FP</a:t>
          </a:r>
        </a:p>
      </xdr:txBody>
    </xdr:sp>
    <xdr:clientData/>
  </xdr:twoCellAnchor>
  <xdr:twoCellAnchor>
    <xdr:from>
      <xdr:col>0</xdr:col>
      <xdr:colOff>0</xdr:colOff>
      <xdr:row>37</xdr:row>
      <xdr:rowOff>0</xdr:rowOff>
    </xdr:from>
    <xdr:to>
      <xdr:col>0</xdr:col>
      <xdr:colOff>0</xdr:colOff>
      <xdr:row>37</xdr:row>
      <xdr:rowOff>0</xdr:rowOff>
    </xdr:to>
    <xdr:sp macro="" textlink="">
      <xdr:nvSpPr>
        <xdr:cNvPr id="43" name="Text Box 190">
          <a:extLst>
            <a:ext uri="{FF2B5EF4-FFF2-40B4-BE49-F238E27FC236}">
              <a16:creationId xmlns:a16="http://schemas.microsoft.com/office/drawing/2014/main" id="{18CDCC32-FB12-9EFC-4302-51897B6BA32C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37</xdr:row>
      <xdr:rowOff>0</xdr:rowOff>
    </xdr:from>
    <xdr:to>
      <xdr:col>0</xdr:col>
      <xdr:colOff>0</xdr:colOff>
      <xdr:row>37</xdr:row>
      <xdr:rowOff>0</xdr:rowOff>
    </xdr:to>
    <xdr:sp macro="" textlink="">
      <xdr:nvSpPr>
        <xdr:cNvPr id="44" name="Text Box 191">
          <a:extLst>
            <a:ext uri="{FF2B5EF4-FFF2-40B4-BE49-F238E27FC236}">
              <a16:creationId xmlns:a16="http://schemas.microsoft.com/office/drawing/2014/main" id="{911A3740-175F-5596-C9D3-F9C72B5073A4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Temporary Chain link Fence.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6' Fence Height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Driven Posts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37</xdr:row>
      <xdr:rowOff>0</xdr:rowOff>
    </xdr:from>
    <xdr:to>
      <xdr:col>0</xdr:col>
      <xdr:colOff>0</xdr:colOff>
      <xdr:row>37</xdr:row>
      <xdr:rowOff>0</xdr:rowOff>
    </xdr:to>
    <xdr:sp macro="" textlink="">
      <xdr:nvSpPr>
        <xdr:cNvPr id="45" name="Text Box 192">
          <a:extLst>
            <a:ext uri="{FF2B5EF4-FFF2-40B4-BE49-F238E27FC236}">
              <a16:creationId xmlns:a16="http://schemas.microsoft.com/office/drawing/2014/main" id="{BF039022-9BD8-C01E-B50E-8A465662C1A8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37</xdr:row>
      <xdr:rowOff>0</xdr:rowOff>
    </xdr:from>
    <xdr:to>
      <xdr:col>0</xdr:col>
      <xdr:colOff>0</xdr:colOff>
      <xdr:row>37</xdr:row>
      <xdr:rowOff>0</xdr:rowOff>
    </xdr:to>
    <xdr:sp macro="" textlink="">
      <xdr:nvSpPr>
        <xdr:cNvPr id="46" name="Text Box 193">
          <a:extLst>
            <a:ext uri="{FF2B5EF4-FFF2-40B4-BE49-F238E27FC236}">
              <a16:creationId xmlns:a16="http://schemas.microsoft.com/office/drawing/2014/main" id="{2588C814-C6E0-7C21-65AB-E5A7095E3139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Temporary Chain link Fence.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12' Panel, 6' Height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Driven Posts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37</xdr:row>
      <xdr:rowOff>0</xdr:rowOff>
    </xdr:from>
    <xdr:to>
      <xdr:col>0</xdr:col>
      <xdr:colOff>0</xdr:colOff>
      <xdr:row>37</xdr:row>
      <xdr:rowOff>0</xdr:rowOff>
    </xdr:to>
    <xdr:sp macro="" textlink="">
      <xdr:nvSpPr>
        <xdr:cNvPr id="47" name="Text Box 194">
          <a:extLst>
            <a:ext uri="{FF2B5EF4-FFF2-40B4-BE49-F238E27FC236}">
              <a16:creationId xmlns:a16="http://schemas.microsoft.com/office/drawing/2014/main" id="{A55C9DBA-EA5F-1254-201A-8DAFAA7F83E1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37</xdr:row>
      <xdr:rowOff>0</xdr:rowOff>
    </xdr:from>
    <xdr:to>
      <xdr:col>0</xdr:col>
      <xdr:colOff>0</xdr:colOff>
      <xdr:row>37</xdr:row>
      <xdr:rowOff>0</xdr:rowOff>
    </xdr:to>
    <xdr:sp macro="" textlink="">
      <xdr:nvSpPr>
        <xdr:cNvPr id="48" name="Text Box 195">
          <a:extLst>
            <a:ext uri="{FF2B5EF4-FFF2-40B4-BE49-F238E27FC236}">
              <a16:creationId xmlns:a16="http://schemas.microsoft.com/office/drawing/2014/main" id="{A703195F-D370-407D-5321-306DCB37EEBC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Temporary Chain link Fence.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12' Panel, 6' Height, Free-Standing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37</xdr:row>
      <xdr:rowOff>0</xdr:rowOff>
    </xdr:from>
    <xdr:to>
      <xdr:col>0</xdr:col>
      <xdr:colOff>0</xdr:colOff>
      <xdr:row>37</xdr:row>
      <xdr:rowOff>0</xdr:rowOff>
    </xdr:to>
    <xdr:sp macro="" textlink="">
      <xdr:nvSpPr>
        <xdr:cNvPr id="49" name="Text Box 196">
          <a:extLst>
            <a:ext uri="{FF2B5EF4-FFF2-40B4-BE49-F238E27FC236}">
              <a16:creationId xmlns:a16="http://schemas.microsoft.com/office/drawing/2014/main" id="{487CD2B1-AC53-4263-A8F2-9C0A84624CDF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37</xdr:row>
      <xdr:rowOff>0</xdr:rowOff>
    </xdr:from>
    <xdr:to>
      <xdr:col>0</xdr:col>
      <xdr:colOff>0</xdr:colOff>
      <xdr:row>37</xdr:row>
      <xdr:rowOff>0</xdr:rowOff>
    </xdr:to>
    <xdr:sp macro="" textlink="">
      <xdr:nvSpPr>
        <xdr:cNvPr id="50" name="Text Box 197">
          <a:extLst>
            <a:ext uri="{FF2B5EF4-FFF2-40B4-BE49-F238E27FC236}">
              <a16:creationId xmlns:a16="http://schemas.microsoft.com/office/drawing/2014/main" id="{7160C39C-8391-FE09-4398-9846941C7111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37</xdr:row>
      <xdr:rowOff>0</xdr:rowOff>
    </xdr:from>
    <xdr:to>
      <xdr:col>0</xdr:col>
      <xdr:colOff>0</xdr:colOff>
      <xdr:row>37</xdr:row>
      <xdr:rowOff>0</xdr:rowOff>
    </xdr:to>
    <xdr:sp macro="" textlink="">
      <xdr:nvSpPr>
        <xdr:cNvPr id="51" name="Text Box 198">
          <a:extLst>
            <a:ext uri="{FF2B5EF4-FFF2-40B4-BE49-F238E27FC236}">
              <a16:creationId xmlns:a16="http://schemas.microsoft.com/office/drawing/2014/main" id="{2D84123B-52DF-C43F-236E-CCA1BA903557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Temporary Chain link Fence.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Driven Posts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With Barbwire, 7' Fence Height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37</xdr:row>
      <xdr:rowOff>0</xdr:rowOff>
    </xdr:from>
    <xdr:to>
      <xdr:col>0</xdr:col>
      <xdr:colOff>0</xdr:colOff>
      <xdr:row>37</xdr:row>
      <xdr:rowOff>0</xdr:rowOff>
    </xdr:to>
    <xdr:sp macro="" textlink="">
      <xdr:nvSpPr>
        <xdr:cNvPr id="52" name="Text Box 199">
          <a:extLst>
            <a:ext uri="{FF2B5EF4-FFF2-40B4-BE49-F238E27FC236}">
              <a16:creationId xmlns:a16="http://schemas.microsoft.com/office/drawing/2014/main" id="{A2AEF873-930F-382D-4985-2610E80DF2D5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37</xdr:row>
      <xdr:rowOff>0</xdr:rowOff>
    </xdr:from>
    <xdr:to>
      <xdr:col>0</xdr:col>
      <xdr:colOff>0</xdr:colOff>
      <xdr:row>37</xdr:row>
      <xdr:rowOff>0</xdr:rowOff>
    </xdr:to>
    <xdr:sp macro="" textlink="">
      <xdr:nvSpPr>
        <xdr:cNvPr id="53" name="Text Box 200">
          <a:extLst>
            <a:ext uri="{FF2B5EF4-FFF2-40B4-BE49-F238E27FC236}">
              <a16:creationId xmlns:a16="http://schemas.microsoft.com/office/drawing/2014/main" id="{A33B5988-C99F-F717-1F3A-2B3F48460F32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Temporary Chain link Fence.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12' Panel, With Barbwire, 7' Height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Driven Posts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37</xdr:row>
      <xdr:rowOff>0</xdr:rowOff>
    </xdr:from>
    <xdr:to>
      <xdr:col>0</xdr:col>
      <xdr:colOff>0</xdr:colOff>
      <xdr:row>37</xdr:row>
      <xdr:rowOff>0</xdr:rowOff>
    </xdr:to>
    <xdr:sp macro="" textlink="">
      <xdr:nvSpPr>
        <xdr:cNvPr id="54" name="Text Box 201">
          <a:extLst>
            <a:ext uri="{FF2B5EF4-FFF2-40B4-BE49-F238E27FC236}">
              <a16:creationId xmlns:a16="http://schemas.microsoft.com/office/drawing/2014/main" id="{BC1D5FA5-B6A0-8667-5312-CAC233EF8B2E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37</xdr:row>
      <xdr:rowOff>0</xdr:rowOff>
    </xdr:from>
    <xdr:to>
      <xdr:col>0</xdr:col>
      <xdr:colOff>0</xdr:colOff>
      <xdr:row>37</xdr:row>
      <xdr:rowOff>0</xdr:rowOff>
    </xdr:to>
    <xdr:sp macro="" textlink="">
      <xdr:nvSpPr>
        <xdr:cNvPr id="55" name="Text Box 202">
          <a:extLst>
            <a:ext uri="{FF2B5EF4-FFF2-40B4-BE49-F238E27FC236}">
              <a16:creationId xmlns:a16="http://schemas.microsoft.com/office/drawing/2014/main" id="{E8E34632-7516-7C4C-0B81-C8209374C8B2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Temporary Chain link Fence.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12' Panel, With Barbwire, 7' Height,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Free-Standing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2</xdr:col>
      <xdr:colOff>153645</xdr:colOff>
      <xdr:row>0</xdr:row>
      <xdr:rowOff>0</xdr:rowOff>
    </xdr:to>
    <xdr:sp macro="" textlink="">
      <xdr:nvSpPr>
        <xdr:cNvPr id="56" name="Text Box 223">
          <a:extLst>
            <a:ext uri="{FF2B5EF4-FFF2-40B4-BE49-F238E27FC236}">
              <a16:creationId xmlns:a16="http://schemas.microsoft.com/office/drawing/2014/main" id="{C7B632DC-F4FC-0ED3-11D1-183BC42BE28A}"/>
            </a:ext>
          </a:extLst>
        </xdr:cNvPr>
        <xdr:cNvSpPr txBox="1">
          <a:spLocks noChangeArrowheads="1"/>
        </xdr:cNvSpPr>
      </xdr:nvSpPr>
      <xdr:spPr bwMode="auto">
        <a:xfrm>
          <a:off x="666750" y="0"/>
          <a:ext cx="3276600" cy="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Line Item 0002     Base Year - Indefinite Quantity Work</a:t>
          </a: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ELIN A0016 through A0030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3</xdr:col>
      <xdr:colOff>627197</xdr:colOff>
      <xdr:row>0</xdr:row>
      <xdr:rowOff>0</xdr:rowOff>
    </xdr:to>
    <xdr:sp macro="" textlink="">
      <xdr:nvSpPr>
        <xdr:cNvPr id="57" name="Text Box 225">
          <a:extLst>
            <a:ext uri="{FF2B5EF4-FFF2-40B4-BE49-F238E27FC236}">
              <a16:creationId xmlns:a16="http://schemas.microsoft.com/office/drawing/2014/main" id="{BE160FD1-40C4-5F1B-E681-891C74F3EA8B}"/>
            </a:ext>
          </a:extLst>
        </xdr:cNvPr>
        <xdr:cNvSpPr txBox="1">
          <a:spLocks noChangeArrowheads="1"/>
        </xdr:cNvSpPr>
      </xdr:nvSpPr>
      <xdr:spPr bwMode="auto">
        <a:xfrm>
          <a:off x="666750" y="0"/>
          <a:ext cx="4457700" cy="0"/>
        </a:xfrm>
        <a:prstGeom prst="rect">
          <a:avLst/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PROVIDE UNIT PRICES FOR INDEFINITE QUANTITY WORK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IN ACCORDANCE WITH SECTION C, Item 4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ELIN A0016 through A0030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931545</xdr:colOff>
      <xdr:row>0</xdr:row>
      <xdr:rowOff>0</xdr:rowOff>
    </xdr:from>
    <xdr:to>
      <xdr:col>3</xdr:col>
      <xdr:colOff>622354</xdr:colOff>
      <xdr:row>0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3CF89F44-D5FB-5B3E-2774-D860C265AA03}"/>
            </a:ext>
          </a:extLst>
        </xdr:cNvPr>
        <xdr:cNvSpPr txBox="1">
          <a:spLocks noChangeArrowheads="1"/>
        </xdr:cNvSpPr>
      </xdr:nvSpPr>
      <xdr:spPr bwMode="auto">
        <a:xfrm>
          <a:off x="1609725" y="0"/>
          <a:ext cx="34956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SECTION J</a:t>
          </a:r>
        </a:p>
        <a:p>
          <a:pPr algn="ct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EXHIBIT A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3</xdr:col>
      <xdr:colOff>644334</xdr:colOff>
      <xdr:row>0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1B9EE0DD-365E-D26B-4513-C7378626B50E}"/>
            </a:ext>
          </a:extLst>
        </xdr:cNvPr>
        <xdr:cNvSpPr txBox="1">
          <a:spLocks noChangeArrowheads="1"/>
        </xdr:cNvSpPr>
      </xdr:nvSpPr>
      <xdr:spPr bwMode="auto">
        <a:xfrm>
          <a:off x="666750" y="0"/>
          <a:ext cx="4457700" cy="0"/>
        </a:xfrm>
        <a:prstGeom prst="rect">
          <a:avLst/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PROVIDE PRICES TO MAINTAIN GROUNDS - FIRM FIXED PRICE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IN ACCORDANCE WITH SECTION C, Items 3.1, 3.2, 3.3, and 3.4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ELIN A001 through A0015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2</xdr:col>
      <xdr:colOff>9525</xdr:colOff>
      <xdr:row>0</xdr:row>
      <xdr:rowOff>0</xdr:rowOff>
    </xdr:to>
    <xdr:sp macro="" textlink="">
      <xdr:nvSpPr>
        <xdr:cNvPr id="4" name="Text Box 13">
          <a:extLst>
            <a:ext uri="{FF2B5EF4-FFF2-40B4-BE49-F238E27FC236}">
              <a16:creationId xmlns:a16="http://schemas.microsoft.com/office/drawing/2014/main" id="{69D85E38-7ADB-2313-016B-8B0239E1A48B}"/>
            </a:ext>
          </a:extLst>
        </xdr:cNvPr>
        <xdr:cNvSpPr txBox="1">
          <a:spLocks noChangeArrowheads="1"/>
        </xdr:cNvSpPr>
      </xdr:nvSpPr>
      <xdr:spPr bwMode="auto">
        <a:xfrm>
          <a:off x="666750" y="0"/>
          <a:ext cx="3124200" cy="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Line Item 0001     Base Year - Firm Fixed Price</a:t>
          </a: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ELIN A001 through A0015</a:t>
          </a:r>
        </a:p>
      </xdr:txBody>
    </xdr:sp>
    <xdr:clientData/>
  </xdr:twoCellAnchor>
  <xdr:twoCellAnchor>
    <xdr:from>
      <xdr:col>0</xdr:col>
      <xdr:colOff>0</xdr:colOff>
      <xdr:row>41</xdr:row>
      <xdr:rowOff>0</xdr:rowOff>
    </xdr:from>
    <xdr:to>
      <xdr:col>0</xdr:col>
      <xdr:colOff>0</xdr:colOff>
      <xdr:row>41</xdr:row>
      <xdr:rowOff>0</xdr:rowOff>
    </xdr:to>
    <xdr:sp macro="" textlink="">
      <xdr:nvSpPr>
        <xdr:cNvPr id="5" name="Text Box 145">
          <a:extLst>
            <a:ext uri="{FF2B5EF4-FFF2-40B4-BE49-F238E27FC236}">
              <a16:creationId xmlns:a16="http://schemas.microsoft.com/office/drawing/2014/main" id="{793ACF9F-AF5B-971F-09BF-CFE5AAB0A7BB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SECTION J</a:t>
          </a:r>
        </a:p>
        <a:p>
          <a:pPr algn="ct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EXHIBIT A</a:t>
          </a:r>
        </a:p>
      </xdr:txBody>
    </xdr:sp>
    <xdr:clientData/>
  </xdr:twoCellAnchor>
  <xdr:twoCellAnchor>
    <xdr:from>
      <xdr:col>0</xdr:col>
      <xdr:colOff>0</xdr:colOff>
      <xdr:row>41</xdr:row>
      <xdr:rowOff>0</xdr:rowOff>
    </xdr:from>
    <xdr:to>
      <xdr:col>0</xdr:col>
      <xdr:colOff>0</xdr:colOff>
      <xdr:row>41</xdr:row>
      <xdr:rowOff>0</xdr:rowOff>
    </xdr:to>
    <xdr:sp macro="" textlink="">
      <xdr:nvSpPr>
        <xdr:cNvPr id="6" name="Text Box 150">
          <a:extLst>
            <a:ext uri="{FF2B5EF4-FFF2-40B4-BE49-F238E27FC236}">
              <a16:creationId xmlns:a16="http://schemas.microsoft.com/office/drawing/2014/main" id="{C7EC0617-4B35-C53D-32A2-D2F4974B32A0}"/>
            </a:ext>
          </a:extLst>
        </xdr:cNvPr>
        <xdr:cNvSpPr txBox="1">
          <a:spLocks noChangeArrowheads="1"/>
        </xdr:cNvSpPr>
      </xdr:nvSpPr>
      <xdr:spPr bwMode="auto">
        <a:xfrm>
          <a:off x="0" y="72294750"/>
          <a:ext cx="0" cy="190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</xdr:row>
      <xdr:rowOff>0</xdr:rowOff>
    </xdr:from>
    <xdr:to>
      <xdr:col>0</xdr:col>
      <xdr:colOff>0</xdr:colOff>
      <xdr:row>41</xdr:row>
      <xdr:rowOff>0</xdr:rowOff>
    </xdr:to>
    <xdr:sp macro="" textlink="">
      <xdr:nvSpPr>
        <xdr:cNvPr id="7" name="Text Box 151">
          <a:extLst>
            <a:ext uri="{FF2B5EF4-FFF2-40B4-BE49-F238E27FC236}">
              <a16:creationId xmlns:a16="http://schemas.microsoft.com/office/drawing/2014/main" id="{A1A11876-B304-2FEF-1ECB-1661C50597B2}"/>
            </a:ext>
          </a:extLst>
        </xdr:cNvPr>
        <xdr:cNvSpPr txBox="1">
          <a:spLocks noChangeArrowheads="1"/>
        </xdr:cNvSpPr>
      </xdr:nvSpPr>
      <xdr:spPr bwMode="auto">
        <a:xfrm>
          <a:off x="0" y="72304275"/>
          <a:ext cx="0" cy="533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Reconditioning and Maintenance Service for Barbwire Fence.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</xdr:row>
      <xdr:rowOff>0</xdr:rowOff>
    </xdr:from>
    <xdr:to>
      <xdr:col>0</xdr:col>
      <xdr:colOff>0</xdr:colOff>
      <xdr:row>41</xdr:row>
      <xdr:rowOff>0</xdr:rowOff>
    </xdr:to>
    <xdr:sp macro="" textlink="">
      <xdr:nvSpPr>
        <xdr:cNvPr id="8" name="Text Box 152">
          <a:extLst>
            <a:ext uri="{FF2B5EF4-FFF2-40B4-BE49-F238E27FC236}">
              <a16:creationId xmlns:a16="http://schemas.microsoft.com/office/drawing/2014/main" id="{6C24031D-A1B5-5B65-D183-29A2627F104C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</xdr:row>
      <xdr:rowOff>0</xdr:rowOff>
    </xdr:from>
    <xdr:to>
      <xdr:col>0</xdr:col>
      <xdr:colOff>0</xdr:colOff>
      <xdr:row>41</xdr:row>
      <xdr:rowOff>0</xdr:rowOff>
    </xdr:to>
    <xdr:sp macro="" textlink="">
      <xdr:nvSpPr>
        <xdr:cNvPr id="9" name="Text Box 153">
          <a:extLst>
            <a:ext uri="{FF2B5EF4-FFF2-40B4-BE49-F238E27FC236}">
              <a16:creationId xmlns:a16="http://schemas.microsoft.com/office/drawing/2014/main" id="{5E58A84B-2E9E-3ADA-2A01-8328DA5880DD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Reconditioning and Maintenance Service for Ornamental Steel Fence.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</xdr:row>
      <xdr:rowOff>0</xdr:rowOff>
    </xdr:from>
    <xdr:to>
      <xdr:col>0</xdr:col>
      <xdr:colOff>0</xdr:colOff>
      <xdr:row>41</xdr:row>
      <xdr:rowOff>0</xdr:rowOff>
    </xdr:to>
    <xdr:sp macro="" textlink="">
      <xdr:nvSpPr>
        <xdr:cNvPr id="10" name="Text Box 154">
          <a:extLst>
            <a:ext uri="{FF2B5EF4-FFF2-40B4-BE49-F238E27FC236}">
              <a16:creationId xmlns:a16="http://schemas.microsoft.com/office/drawing/2014/main" id="{ACD2DA4F-DA57-D164-83A9-A1837906FAF2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</xdr:row>
      <xdr:rowOff>0</xdr:rowOff>
    </xdr:from>
    <xdr:to>
      <xdr:col>0</xdr:col>
      <xdr:colOff>0</xdr:colOff>
      <xdr:row>41</xdr:row>
      <xdr:rowOff>0</xdr:rowOff>
    </xdr:to>
    <xdr:sp macro="" textlink="">
      <xdr:nvSpPr>
        <xdr:cNvPr id="11" name="Text Box 155">
          <a:extLst>
            <a:ext uri="{FF2B5EF4-FFF2-40B4-BE49-F238E27FC236}">
              <a16:creationId xmlns:a16="http://schemas.microsoft.com/office/drawing/2014/main" id="{E474CD45-D9E3-1533-2D01-3848E3249781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Reconditioning and Maintenance Service for Wood Fence.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</xdr:row>
      <xdr:rowOff>0</xdr:rowOff>
    </xdr:from>
    <xdr:to>
      <xdr:col>0</xdr:col>
      <xdr:colOff>0</xdr:colOff>
      <xdr:row>41</xdr:row>
      <xdr:rowOff>0</xdr:rowOff>
    </xdr:to>
    <xdr:sp macro="" textlink="">
      <xdr:nvSpPr>
        <xdr:cNvPr id="12" name="Text Box 156">
          <a:extLst>
            <a:ext uri="{FF2B5EF4-FFF2-40B4-BE49-F238E27FC236}">
              <a16:creationId xmlns:a16="http://schemas.microsoft.com/office/drawing/2014/main" id="{612C7209-1A2B-830A-FF7F-313262100651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PROVIDE A UNIT PRICE FOR THE REMOVAL AND DISPOSAL OF FENCE COMPLETE, FENCE POSTS, BARBWIRE, BARBED TAPE.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IN ACCORDANCE WITH SECTION C, C.10.1.l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ELIN A001EW through A001FI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</xdr:row>
      <xdr:rowOff>0</xdr:rowOff>
    </xdr:from>
    <xdr:to>
      <xdr:col>0</xdr:col>
      <xdr:colOff>0</xdr:colOff>
      <xdr:row>41</xdr:row>
      <xdr:rowOff>0</xdr:rowOff>
    </xdr:to>
    <xdr:sp macro="" textlink="">
      <xdr:nvSpPr>
        <xdr:cNvPr id="13" name="Text Box 157">
          <a:extLst>
            <a:ext uri="{FF2B5EF4-FFF2-40B4-BE49-F238E27FC236}">
              <a16:creationId xmlns:a16="http://schemas.microsoft.com/office/drawing/2014/main" id="{9DF89461-5950-0597-1DD0-DF6BF7AE4792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</xdr:row>
      <xdr:rowOff>0</xdr:rowOff>
    </xdr:from>
    <xdr:to>
      <xdr:col>0</xdr:col>
      <xdr:colOff>0</xdr:colOff>
      <xdr:row>41</xdr:row>
      <xdr:rowOff>0</xdr:rowOff>
    </xdr:to>
    <xdr:sp macro="" textlink="">
      <xdr:nvSpPr>
        <xdr:cNvPr id="14" name="Text Box 158">
          <a:extLst>
            <a:ext uri="{FF2B5EF4-FFF2-40B4-BE49-F238E27FC236}">
              <a16:creationId xmlns:a16="http://schemas.microsoft.com/office/drawing/2014/main" id="{15977DCB-0E6C-7A65-1231-2BA4D47803AF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Removal Service for Chain link Fence.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Including Fabric, Posts, Gates, Rails, Tension Wire, Barbwire/Barbed Tape.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</xdr:row>
      <xdr:rowOff>0</xdr:rowOff>
    </xdr:from>
    <xdr:to>
      <xdr:col>0</xdr:col>
      <xdr:colOff>0</xdr:colOff>
      <xdr:row>41</xdr:row>
      <xdr:rowOff>0</xdr:rowOff>
    </xdr:to>
    <xdr:sp macro="" textlink="">
      <xdr:nvSpPr>
        <xdr:cNvPr id="15" name="Text Box 159">
          <a:extLst>
            <a:ext uri="{FF2B5EF4-FFF2-40B4-BE49-F238E27FC236}">
              <a16:creationId xmlns:a16="http://schemas.microsoft.com/office/drawing/2014/main" id="{02B0DBAE-3AB9-4CF7-A362-0E0257022896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</xdr:row>
      <xdr:rowOff>0</xdr:rowOff>
    </xdr:from>
    <xdr:to>
      <xdr:col>0</xdr:col>
      <xdr:colOff>0</xdr:colOff>
      <xdr:row>41</xdr:row>
      <xdr:rowOff>0</xdr:rowOff>
    </xdr:to>
    <xdr:sp macro="" textlink="">
      <xdr:nvSpPr>
        <xdr:cNvPr id="16" name="Text Box 160">
          <a:extLst>
            <a:ext uri="{FF2B5EF4-FFF2-40B4-BE49-F238E27FC236}">
              <a16:creationId xmlns:a16="http://schemas.microsoft.com/office/drawing/2014/main" id="{47A7C2C1-DB36-ED88-C3C7-708825B9AEBA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Removal Service for Chain link Fence Gates including tracks (not posts).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</xdr:row>
      <xdr:rowOff>0</xdr:rowOff>
    </xdr:from>
    <xdr:to>
      <xdr:col>0</xdr:col>
      <xdr:colOff>0</xdr:colOff>
      <xdr:row>41</xdr:row>
      <xdr:rowOff>0</xdr:rowOff>
    </xdr:to>
    <xdr:sp macro="" textlink="">
      <xdr:nvSpPr>
        <xdr:cNvPr id="17" name="Text Box 161">
          <a:extLst>
            <a:ext uri="{FF2B5EF4-FFF2-40B4-BE49-F238E27FC236}">
              <a16:creationId xmlns:a16="http://schemas.microsoft.com/office/drawing/2014/main" id="{39E7DD2E-47A4-C0AD-3550-F4DDC53175A4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</xdr:row>
      <xdr:rowOff>0</xdr:rowOff>
    </xdr:from>
    <xdr:to>
      <xdr:col>0</xdr:col>
      <xdr:colOff>0</xdr:colOff>
      <xdr:row>41</xdr:row>
      <xdr:rowOff>0</xdr:rowOff>
    </xdr:to>
    <xdr:sp macro="" textlink="">
      <xdr:nvSpPr>
        <xdr:cNvPr id="18" name="Text Box 162">
          <a:extLst>
            <a:ext uri="{FF2B5EF4-FFF2-40B4-BE49-F238E27FC236}">
              <a16:creationId xmlns:a16="http://schemas.microsoft.com/office/drawing/2014/main" id="{A0255043-9AF3-2600-C53B-269CD43692A3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Removal Service for Ornamental Steel Fence.  Including Posts and Gates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</xdr:row>
      <xdr:rowOff>0</xdr:rowOff>
    </xdr:from>
    <xdr:to>
      <xdr:col>0</xdr:col>
      <xdr:colOff>0</xdr:colOff>
      <xdr:row>41</xdr:row>
      <xdr:rowOff>0</xdr:rowOff>
    </xdr:to>
    <xdr:sp macro="" textlink="">
      <xdr:nvSpPr>
        <xdr:cNvPr id="19" name="Text Box 163">
          <a:extLst>
            <a:ext uri="{FF2B5EF4-FFF2-40B4-BE49-F238E27FC236}">
              <a16:creationId xmlns:a16="http://schemas.microsoft.com/office/drawing/2014/main" id="{6347D179-0AA4-D650-EA8F-9CED6706C2B7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</xdr:row>
      <xdr:rowOff>0</xdr:rowOff>
    </xdr:from>
    <xdr:to>
      <xdr:col>0</xdr:col>
      <xdr:colOff>0</xdr:colOff>
      <xdr:row>41</xdr:row>
      <xdr:rowOff>0</xdr:rowOff>
    </xdr:to>
    <xdr:sp macro="" textlink="">
      <xdr:nvSpPr>
        <xdr:cNvPr id="20" name="Text Box 164">
          <a:extLst>
            <a:ext uri="{FF2B5EF4-FFF2-40B4-BE49-F238E27FC236}">
              <a16:creationId xmlns:a16="http://schemas.microsoft.com/office/drawing/2014/main" id="{BDD1D695-63BB-7D5A-11B1-25EDFB97D737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Removal Service for Wood Fence.  Including Posts and Gates.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</xdr:row>
      <xdr:rowOff>0</xdr:rowOff>
    </xdr:from>
    <xdr:to>
      <xdr:col>0</xdr:col>
      <xdr:colOff>0</xdr:colOff>
      <xdr:row>41</xdr:row>
      <xdr:rowOff>0</xdr:rowOff>
    </xdr:to>
    <xdr:sp macro="" textlink="">
      <xdr:nvSpPr>
        <xdr:cNvPr id="21" name="Text Box 165">
          <a:extLst>
            <a:ext uri="{FF2B5EF4-FFF2-40B4-BE49-F238E27FC236}">
              <a16:creationId xmlns:a16="http://schemas.microsoft.com/office/drawing/2014/main" id="{E1BDC3C0-9629-6091-4348-B0DC1158A97A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</xdr:row>
      <xdr:rowOff>0</xdr:rowOff>
    </xdr:from>
    <xdr:to>
      <xdr:col>0</xdr:col>
      <xdr:colOff>0</xdr:colOff>
      <xdr:row>41</xdr:row>
      <xdr:rowOff>0</xdr:rowOff>
    </xdr:to>
    <xdr:sp macro="" textlink="">
      <xdr:nvSpPr>
        <xdr:cNvPr id="22" name="Text Box 166">
          <a:extLst>
            <a:ext uri="{FF2B5EF4-FFF2-40B4-BE49-F238E27FC236}">
              <a16:creationId xmlns:a16="http://schemas.microsoft.com/office/drawing/2014/main" id="{5C8461B1-5A7A-D21A-C1EA-61AEDDE9FF0C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Removal Service for Barbwire Fence.  Including Posts and all wire.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</xdr:row>
      <xdr:rowOff>0</xdr:rowOff>
    </xdr:from>
    <xdr:to>
      <xdr:col>0</xdr:col>
      <xdr:colOff>0</xdr:colOff>
      <xdr:row>41</xdr:row>
      <xdr:rowOff>0</xdr:rowOff>
    </xdr:to>
    <xdr:sp macro="" textlink="">
      <xdr:nvSpPr>
        <xdr:cNvPr id="23" name="Text Box 167">
          <a:extLst>
            <a:ext uri="{FF2B5EF4-FFF2-40B4-BE49-F238E27FC236}">
              <a16:creationId xmlns:a16="http://schemas.microsoft.com/office/drawing/2014/main" id="{65E668E8-35EB-2CE9-1F08-1C9A5343F7FC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</xdr:row>
      <xdr:rowOff>0</xdr:rowOff>
    </xdr:from>
    <xdr:to>
      <xdr:col>0</xdr:col>
      <xdr:colOff>0</xdr:colOff>
      <xdr:row>41</xdr:row>
      <xdr:rowOff>0</xdr:rowOff>
    </xdr:to>
    <xdr:sp macro="" textlink="">
      <xdr:nvSpPr>
        <xdr:cNvPr id="24" name="Text Box 168">
          <a:extLst>
            <a:ext uri="{FF2B5EF4-FFF2-40B4-BE49-F238E27FC236}">
              <a16:creationId xmlns:a16="http://schemas.microsoft.com/office/drawing/2014/main" id="{30F9A08E-659F-CBC9-3DA5-AEFB9C32CFEE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Each to Provide Removal Service for Fence Posts.  Including Posts Footing with Braces and Supports as Required.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</xdr:row>
      <xdr:rowOff>0</xdr:rowOff>
    </xdr:from>
    <xdr:to>
      <xdr:col>0</xdr:col>
      <xdr:colOff>0</xdr:colOff>
      <xdr:row>41</xdr:row>
      <xdr:rowOff>0</xdr:rowOff>
    </xdr:to>
    <xdr:sp macro="" textlink="">
      <xdr:nvSpPr>
        <xdr:cNvPr id="25" name="Text Box 169">
          <a:extLst>
            <a:ext uri="{FF2B5EF4-FFF2-40B4-BE49-F238E27FC236}">
              <a16:creationId xmlns:a16="http://schemas.microsoft.com/office/drawing/2014/main" id="{1FB80415-F0B7-5F4E-0A2E-7050D25D7F19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</xdr:row>
      <xdr:rowOff>0</xdr:rowOff>
    </xdr:from>
    <xdr:to>
      <xdr:col>0</xdr:col>
      <xdr:colOff>0</xdr:colOff>
      <xdr:row>41</xdr:row>
      <xdr:rowOff>0</xdr:rowOff>
    </xdr:to>
    <xdr:sp macro="" textlink="">
      <xdr:nvSpPr>
        <xdr:cNvPr id="26" name="Text Box 170">
          <a:extLst>
            <a:ext uri="{FF2B5EF4-FFF2-40B4-BE49-F238E27FC236}">
              <a16:creationId xmlns:a16="http://schemas.microsoft.com/office/drawing/2014/main" id="{97DAB9DD-FA2E-DCC5-1585-AB5FED3BA922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Each to Provide Removal Service for Fence Posts.  Post Cut-off Flush.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</xdr:row>
      <xdr:rowOff>0</xdr:rowOff>
    </xdr:from>
    <xdr:to>
      <xdr:col>0</xdr:col>
      <xdr:colOff>0</xdr:colOff>
      <xdr:row>41</xdr:row>
      <xdr:rowOff>0</xdr:rowOff>
    </xdr:to>
    <xdr:sp macro="" textlink="">
      <xdr:nvSpPr>
        <xdr:cNvPr id="27" name="Text Box 171">
          <a:extLst>
            <a:ext uri="{FF2B5EF4-FFF2-40B4-BE49-F238E27FC236}">
              <a16:creationId xmlns:a16="http://schemas.microsoft.com/office/drawing/2014/main" id="{CB873FDA-160E-FF88-C20E-8A3150AE7AA4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</xdr:row>
      <xdr:rowOff>0</xdr:rowOff>
    </xdr:from>
    <xdr:to>
      <xdr:col>0</xdr:col>
      <xdr:colOff>0</xdr:colOff>
      <xdr:row>41</xdr:row>
      <xdr:rowOff>0</xdr:rowOff>
    </xdr:to>
    <xdr:sp macro="" textlink="">
      <xdr:nvSpPr>
        <xdr:cNvPr id="28" name="Text Box 172">
          <a:extLst>
            <a:ext uri="{FF2B5EF4-FFF2-40B4-BE49-F238E27FC236}">
              <a16:creationId xmlns:a16="http://schemas.microsoft.com/office/drawing/2014/main" id="{B967B9A7-7D75-26A0-C8B8-A258604A8DFA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Each to Provide Removal Service for Fence Posts.  Driven Post.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</xdr:row>
      <xdr:rowOff>0</xdr:rowOff>
    </xdr:from>
    <xdr:to>
      <xdr:col>0</xdr:col>
      <xdr:colOff>0</xdr:colOff>
      <xdr:row>41</xdr:row>
      <xdr:rowOff>0</xdr:rowOff>
    </xdr:to>
    <xdr:sp macro="" textlink="">
      <xdr:nvSpPr>
        <xdr:cNvPr id="29" name="Text Box 173">
          <a:extLst>
            <a:ext uri="{FF2B5EF4-FFF2-40B4-BE49-F238E27FC236}">
              <a16:creationId xmlns:a16="http://schemas.microsoft.com/office/drawing/2014/main" id="{E1236BDF-FAD0-DFBA-65F7-7DE5DCA99F5F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</xdr:row>
      <xdr:rowOff>0</xdr:rowOff>
    </xdr:from>
    <xdr:to>
      <xdr:col>0</xdr:col>
      <xdr:colOff>0</xdr:colOff>
      <xdr:row>41</xdr:row>
      <xdr:rowOff>0</xdr:rowOff>
    </xdr:to>
    <xdr:sp macro="" textlink="">
      <xdr:nvSpPr>
        <xdr:cNvPr id="30" name="Text Box 174">
          <a:extLst>
            <a:ext uri="{FF2B5EF4-FFF2-40B4-BE49-F238E27FC236}">
              <a16:creationId xmlns:a16="http://schemas.microsoft.com/office/drawing/2014/main" id="{A2122093-B364-4A10-A885-A7C744949020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Each to Provide Removal Service for Fence Posts.  Including Posts Footing with Braces and Supports as Required.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Posts Set in Concrete/Asphalt.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</xdr:row>
      <xdr:rowOff>0</xdr:rowOff>
    </xdr:from>
    <xdr:to>
      <xdr:col>0</xdr:col>
      <xdr:colOff>0</xdr:colOff>
      <xdr:row>41</xdr:row>
      <xdr:rowOff>0</xdr:rowOff>
    </xdr:to>
    <xdr:sp macro="" textlink="">
      <xdr:nvSpPr>
        <xdr:cNvPr id="31" name="Text Box 175">
          <a:extLst>
            <a:ext uri="{FF2B5EF4-FFF2-40B4-BE49-F238E27FC236}">
              <a16:creationId xmlns:a16="http://schemas.microsoft.com/office/drawing/2014/main" id="{DCB39FE4-08C5-075D-EA42-EB4C1EE01353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</xdr:row>
      <xdr:rowOff>0</xdr:rowOff>
    </xdr:from>
    <xdr:to>
      <xdr:col>0</xdr:col>
      <xdr:colOff>0</xdr:colOff>
      <xdr:row>41</xdr:row>
      <xdr:rowOff>0</xdr:rowOff>
    </xdr:to>
    <xdr:sp macro="" textlink="">
      <xdr:nvSpPr>
        <xdr:cNvPr id="32" name="Text Box 176">
          <a:extLst>
            <a:ext uri="{FF2B5EF4-FFF2-40B4-BE49-F238E27FC236}">
              <a16:creationId xmlns:a16="http://schemas.microsoft.com/office/drawing/2014/main" id="{6F86513C-C5C1-B135-986B-CAFBB90BFAC0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Square Foot to Patch and Refinish Concrete or Asphalt Surface.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Surface Depth to Match Surrounding.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</xdr:row>
      <xdr:rowOff>0</xdr:rowOff>
    </xdr:from>
    <xdr:to>
      <xdr:col>0</xdr:col>
      <xdr:colOff>0</xdr:colOff>
      <xdr:row>41</xdr:row>
      <xdr:rowOff>0</xdr:rowOff>
    </xdr:to>
    <xdr:sp macro="" textlink="">
      <xdr:nvSpPr>
        <xdr:cNvPr id="33" name="Text Box 177">
          <a:extLst>
            <a:ext uri="{FF2B5EF4-FFF2-40B4-BE49-F238E27FC236}">
              <a16:creationId xmlns:a16="http://schemas.microsoft.com/office/drawing/2014/main" id="{4933CD74-1137-646C-046E-C850EC920594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Each to Remove and Dispose of or Save and Store (for reuse) Barbwire Single Arm Support.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</xdr:row>
      <xdr:rowOff>0</xdr:rowOff>
    </xdr:from>
    <xdr:to>
      <xdr:col>0</xdr:col>
      <xdr:colOff>0</xdr:colOff>
      <xdr:row>41</xdr:row>
      <xdr:rowOff>0</xdr:rowOff>
    </xdr:to>
    <xdr:sp macro="" textlink="">
      <xdr:nvSpPr>
        <xdr:cNvPr id="34" name="Text Box 178">
          <a:extLst>
            <a:ext uri="{FF2B5EF4-FFF2-40B4-BE49-F238E27FC236}">
              <a16:creationId xmlns:a16="http://schemas.microsoft.com/office/drawing/2014/main" id="{AB9C3624-AA7F-8D5A-2CD4-E7B58915E38A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Each to remove and Dispose of or Save and Store (for reuse) Barbwire Double (V) Arm Support.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</xdr:row>
      <xdr:rowOff>0</xdr:rowOff>
    </xdr:from>
    <xdr:to>
      <xdr:col>0</xdr:col>
      <xdr:colOff>0</xdr:colOff>
      <xdr:row>41</xdr:row>
      <xdr:rowOff>0</xdr:rowOff>
    </xdr:to>
    <xdr:sp macro="" textlink="">
      <xdr:nvSpPr>
        <xdr:cNvPr id="35" name="Text Box 179">
          <a:extLst>
            <a:ext uri="{FF2B5EF4-FFF2-40B4-BE49-F238E27FC236}">
              <a16:creationId xmlns:a16="http://schemas.microsoft.com/office/drawing/2014/main" id="{8DD477E0-4C64-95B1-0E37-E6866879644A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Lump Sum Price for the recycling of removed materials.  Based on a Percentage Added to Removal Item Ordered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</xdr:row>
      <xdr:rowOff>0</xdr:rowOff>
    </xdr:from>
    <xdr:to>
      <xdr:col>0</xdr:col>
      <xdr:colOff>0</xdr:colOff>
      <xdr:row>41</xdr:row>
      <xdr:rowOff>0</xdr:rowOff>
    </xdr:to>
    <xdr:sp macro="" textlink="">
      <xdr:nvSpPr>
        <xdr:cNvPr id="36" name="Text Box 180">
          <a:extLst>
            <a:ext uri="{FF2B5EF4-FFF2-40B4-BE49-F238E27FC236}">
              <a16:creationId xmlns:a16="http://schemas.microsoft.com/office/drawing/2014/main" id="{D87225D6-97D0-DC27-5B59-E3F5BAB0B07A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SECTION J</a:t>
          </a:r>
        </a:p>
        <a:p>
          <a:pPr algn="ct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EXHIBIT A</a:t>
          </a:r>
        </a:p>
      </xdr:txBody>
    </xdr:sp>
    <xdr:clientData/>
  </xdr:twoCellAnchor>
  <xdr:twoCellAnchor>
    <xdr:from>
      <xdr:col>0</xdr:col>
      <xdr:colOff>0</xdr:colOff>
      <xdr:row>41</xdr:row>
      <xdr:rowOff>0</xdr:rowOff>
    </xdr:from>
    <xdr:to>
      <xdr:col>0</xdr:col>
      <xdr:colOff>0</xdr:colOff>
      <xdr:row>41</xdr:row>
      <xdr:rowOff>0</xdr:rowOff>
    </xdr:to>
    <xdr:sp macro="" textlink="">
      <xdr:nvSpPr>
        <xdr:cNvPr id="37" name="Text Box 181">
          <a:extLst>
            <a:ext uri="{FF2B5EF4-FFF2-40B4-BE49-F238E27FC236}">
              <a16:creationId xmlns:a16="http://schemas.microsoft.com/office/drawing/2014/main" id="{EC6B5C42-504C-7DBE-E6B8-D957E2F83539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Lump Sum Price for the Recycling of Removed Materials.  Based on a Percentage Added to Removal Item Ordered, ELIN A001EK to A001EW. Figured on a Quantity of 1,000.  The Quantity Provided is for Establishing the Percentage Rate Only. 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</xdr:row>
      <xdr:rowOff>0</xdr:rowOff>
    </xdr:from>
    <xdr:to>
      <xdr:col>0</xdr:col>
      <xdr:colOff>0</xdr:colOff>
      <xdr:row>41</xdr:row>
      <xdr:rowOff>0</xdr:rowOff>
    </xdr:to>
    <xdr:sp macro="" textlink="">
      <xdr:nvSpPr>
        <xdr:cNvPr id="38" name="Text Box 182">
          <a:extLst>
            <a:ext uri="{FF2B5EF4-FFF2-40B4-BE49-F238E27FC236}">
              <a16:creationId xmlns:a16="http://schemas.microsoft.com/office/drawing/2014/main" id="{5C1E90A6-56CA-372D-DC1C-1DDFDDB73694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PROVIDE A UNIT PRICE TO PERFORM EXPEDITED SERVICES.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IN ACCORDANCE WITH SECTION C, C.10.2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ELIN A001FJ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</xdr:row>
      <xdr:rowOff>0</xdr:rowOff>
    </xdr:from>
    <xdr:to>
      <xdr:col>0</xdr:col>
      <xdr:colOff>0</xdr:colOff>
      <xdr:row>41</xdr:row>
      <xdr:rowOff>0</xdr:rowOff>
    </xdr:to>
    <xdr:sp macro="" textlink="">
      <xdr:nvSpPr>
        <xdr:cNvPr id="39" name="Text Box 183">
          <a:extLst>
            <a:ext uri="{FF2B5EF4-FFF2-40B4-BE49-F238E27FC236}">
              <a16:creationId xmlns:a16="http://schemas.microsoft.com/office/drawing/2014/main" id="{5FEC523E-53E0-FAF6-2455-89BAAF415A7F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Lump Sum Price for Expedited Maintenance and Repair Services.  Based on a Percentage Added to Task Order Total. Figured on a Quantity of 1,000.  The Quantity Provided is for Establishing the Percentage Rate Only. 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</xdr:row>
      <xdr:rowOff>0</xdr:rowOff>
    </xdr:from>
    <xdr:to>
      <xdr:col>0</xdr:col>
      <xdr:colOff>0</xdr:colOff>
      <xdr:row>41</xdr:row>
      <xdr:rowOff>0</xdr:rowOff>
    </xdr:to>
    <xdr:sp macro="" textlink="">
      <xdr:nvSpPr>
        <xdr:cNvPr id="40" name="Text Box 187">
          <a:extLst>
            <a:ext uri="{FF2B5EF4-FFF2-40B4-BE49-F238E27FC236}">
              <a16:creationId xmlns:a16="http://schemas.microsoft.com/office/drawing/2014/main" id="{EA9F2A9F-858E-F6AA-4373-36965345A13F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SECTION J</a:t>
          </a:r>
        </a:p>
        <a:p>
          <a:pPr algn="ct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EXHIBIT A</a:t>
          </a:r>
        </a:p>
      </xdr:txBody>
    </xdr:sp>
    <xdr:clientData/>
  </xdr:twoCellAnchor>
  <xdr:twoCellAnchor>
    <xdr:from>
      <xdr:col>0</xdr:col>
      <xdr:colOff>0</xdr:colOff>
      <xdr:row>41</xdr:row>
      <xdr:rowOff>0</xdr:rowOff>
    </xdr:from>
    <xdr:to>
      <xdr:col>0</xdr:col>
      <xdr:colOff>0</xdr:colOff>
      <xdr:row>41</xdr:row>
      <xdr:rowOff>0</xdr:rowOff>
    </xdr:to>
    <xdr:sp macro="" textlink="">
      <xdr:nvSpPr>
        <xdr:cNvPr id="41" name="Text Box 188">
          <a:extLst>
            <a:ext uri="{FF2B5EF4-FFF2-40B4-BE49-F238E27FC236}">
              <a16:creationId xmlns:a16="http://schemas.microsoft.com/office/drawing/2014/main" id="{C51A9A98-C92E-D592-8D69-35CBB5FA405A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SECTION J</a:t>
          </a:r>
        </a:p>
        <a:p>
          <a:pPr algn="ct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EXHIBIT A</a:t>
          </a:r>
        </a:p>
      </xdr:txBody>
    </xdr:sp>
    <xdr:clientData/>
  </xdr:twoCellAnchor>
  <xdr:twoCellAnchor>
    <xdr:from>
      <xdr:col>0</xdr:col>
      <xdr:colOff>0</xdr:colOff>
      <xdr:row>41</xdr:row>
      <xdr:rowOff>0</xdr:rowOff>
    </xdr:from>
    <xdr:to>
      <xdr:col>0</xdr:col>
      <xdr:colOff>0</xdr:colOff>
      <xdr:row>41</xdr:row>
      <xdr:rowOff>0</xdr:rowOff>
    </xdr:to>
    <xdr:sp macro="" textlink="">
      <xdr:nvSpPr>
        <xdr:cNvPr id="42" name="Text Box 189">
          <a:extLst>
            <a:ext uri="{FF2B5EF4-FFF2-40B4-BE49-F238E27FC236}">
              <a16:creationId xmlns:a16="http://schemas.microsoft.com/office/drawing/2014/main" id="{A978EE52-F131-9CB2-E9D7-97551986F3D9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PROVIDE A UNIT PRICE FOR THE RENTAL OF TEMPORARY CHAIN LINK FENCE.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IN ACCORDANCE WITH SECTION C, C.10.3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ELIN A001FK THROUGH A001FP</a:t>
          </a:r>
        </a:p>
      </xdr:txBody>
    </xdr:sp>
    <xdr:clientData/>
  </xdr:twoCellAnchor>
  <xdr:twoCellAnchor>
    <xdr:from>
      <xdr:col>0</xdr:col>
      <xdr:colOff>0</xdr:colOff>
      <xdr:row>41</xdr:row>
      <xdr:rowOff>0</xdr:rowOff>
    </xdr:from>
    <xdr:to>
      <xdr:col>0</xdr:col>
      <xdr:colOff>0</xdr:colOff>
      <xdr:row>41</xdr:row>
      <xdr:rowOff>0</xdr:rowOff>
    </xdr:to>
    <xdr:sp macro="" textlink="">
      <xdr:nvSpPr>
        <xdr:cNvPr id="43" name="Text Box 190">
          <a:extLst>
            <a:ext uri="{FF2B5EF4-FFF2-40B4-BE49-F238E27FC236}">
              <a16:creationId xmlns:a16="http://schemas.microsoft.com/office/drawing/2014/main" id="{9B78808C-AE21-98CD-9A79-0876718644E3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</xdr:row>
      <xdr:rowOff>0</xdr:rowOff>
    </xdr:from>
    <xdr:to>
      <xdr:col>0</xdr:col>
      <xdr:colOff>0</xdr:colOff>
      <xdr:row>41</xdr:row>
      <xdr:rowOff>0</xdr:rowOff>
    </xdr:to>
    <xdr:sp macro="" textlink="">
      <xdr:nvSpPr>
        <xdr:cNvPr id="44" name="Text Box 191">
          <a:extLst>
            <a:ext uri="{FF2B5EF4-FFF2-40B4-BE49-F238E27FC236}">
              <a16:creationId xmlns:a16="http://schemas.microsoft.com/office/drawing/2014/main" id="{A93BA68F-7A82-3E76-CEFA-FDACEA3CA6BA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Temporary Chain link Fence.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6' Fence Height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Driven Posts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</xdr:row>
      <xdr:rowOff>0</xdr:rowOff>
    </xdr:from>
    <xdr:to>
      <xdr:col>0</xdr:col>
      <xdr:colOff>0</xdr:colOff>
      <xdr:row>41</xdr:row>
      <xdr:rowOff>0</xdr:rowOff>
    </xdr:to>
    <xdr:sp macro="" textlink="">
      <xdr:nvSpPr>
        <xdr:cNvPr id="45" name="Text Box 192">
          <a:extLst>
            <a:ext uri="{FF2B5EF4-FFF2-40B4-BE49-F238E27FC236}">
              <a16:creationId xmlns:a16="http://schemas.microsoft.com/office/drawing/2014/main" id="{FC62D483-9789-8660-ADF8-AE25CC1527F1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</xdr:row>
      <xdr:rowOff>0</xdr:rowOff>
    </xdr:from>
    <xdr:to>
      <xdr:col>0</xdr:col>
      <xdr:colOff>0</xdr:colOff>
      <xdr:row>41</xdr:row>
      <xdr:rowOff>0</xdr:rowOff>
    </xdr:to>
    <xdr:sp macro="" textlink="">
      <xdr:nvSpPr>
        <xdr:cNvPr id="46" name="Text Box 193">
          <a:extLst>
            <a:ext uri="{FF2B5EF4-FFF2-40B4-BE49-F238E27FC236}">
              <a16:creationId xmlns:a16="http://schemas.microsoft.com/office/drawing/2014/main" id="{E6B0C8A6-9A1F-3AF9-BE40-70D90542B118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Temporary Chain link Fence.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12' Panel, 6' Height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Driven Posts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</xdr:row>
      <xdr:rowOff>0</xdr:rowOff>
    </xdr:from>
    <xdr:to>
      <xdr:col>0</xdr:col>
      <xdr:colOff>0</xdr:colOff>
      <xdr:row>41</xdr:row>
      <xdr:rowOff>0</xdr:rowOff>
    </xdr:to>
    <xdr:sp macro="" textlink="">
      <xdr:nvSpPr>
        <xdr:cNvPr id="47" name="Text Box 194">
          <a:extLst>
            <a:ext uri="{FF2B5EF4-FFF2-40B4-BE49-F238E27FC236}">
              <a16:creationId xmlns:a16="http://schemas.microsoft.com/office/drawing/2014/main" id="{554B2053-9738-994E-EBB7-A9DCE235125C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</xdr:row>
      <xdr:rowOff>0</xdr:rowOff>
    </xdr:from>
    <xdr:to>
      <xdr:col>0</xdr:col>
      <xdr:colOff>0</xdr:colOff>
      <xdr:row>41</xdr:row>
      <xdr:rowOff>0</xdr:rowOff>
    </xdr:to>
    <xdr:sp macro="" textlink="">
      <xdr:nvSpPr>
        <xdr:cNvPr id="48" name="Text Box 195">
          <a:extLst>
            <a:ext uri="{FF2B5EF4-FFF2-40B4-BE49-F238E27FC236}">
              <a16:creationId xmlns:a16="http://schemas.microsoft.com/office/drawing/2014/main" id="{820C726F-79C8-C577-198E-9870B6A9760F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Temporary Chain link Fence.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12' Panel, 6' Height, Free-Standing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</xdr:row>
      <xdr:rowOff>0</xdr:rowOff>
    </xdr:from>
    <xdr:to>
      <xdr:col>0</xdr:col>
      <xdr:colOff>0</xdr:colOff>
      <xdr:row>41</xdr:row>
      <xdr:rowOff>0</xdr:rowOff>
    </xdr:to>
    <xdr:sp macro="" textlink="">
      <xdr:nvSpPr>
        <xdr:cNvPr id="49" name="Text Box 196">
          <a:extLst>
            <a:ext uri="{FF2B5EF4-FFF2-40B4-BE49-F238E27FC236}">
              <a16:creationId xmlns:a16="http://schemas.microsoft.com/office/drawing/2014/main" id="{FE8F4BFE-91DD-3F8E-6902-8666DB1098AE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</xdr:row>
      <xdr:rowOff>0</xdr:rowOff>
    </xdr:from>
    <xdr:to>
      <xdr:col>0</xdr:col>
      <xdr:colOff>0</xdr:colOff>
      <xdr:row>41</xdr:row>
      <xdr:rowOff>0</xdr:rowOff>
    </xdr:to>
    <xdr:sp macro="" textlink="">
      <xdr:nvSpPr>
        <xdr:cNvPr id="50" name="Text Box 197">
          <a:extLst>
            <a:ext uri="{FF2B5EF4-FFF2-40B4-BE49-F238E27FC236}">
              <a16:creationId xmlns:a16="http://schemas.microsoft.com/office/drawing/2014/main" id="{813629A8-DA0A-7BEA-607B-54CCD21568E5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</xdr:row>
      <xdr:rowOff>0</xdr:rowOff>
    </xdr:from>
    <xdr:to>
      <xdr:col>0</xdr:col>
      <xdr:colOff>0</xdr:colOff>
      <xdr:row>41</xdr:row>
      <xdr:rowOff>0</xdr:rowOff>
    </xdr:to>
    <xdr:sp macro="" textlink="">
      <xdr:nvSpPr>
        <xdr:cNvPr id="51" name="Text Box 198">
          <a:extLst>
            <a:ext uri="{FF2B5EF4-FFF2-40B4-BE49-F238E27FC236}">
              <a16:creationId xmlns:a16="http://schemas.microsoft.com/office/drawing/2014/main" id="{3476F3DF-6687-7767-5800-5133147DDDAF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Temporary Chain link Fence.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Driven Posts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With Barbwire, 7' Fence Height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</xdr:row>
      <xdr:rowOff>0</xdr:rowOff>
    </xdr:from>
    <xdr:to>
      <xdr:col>0</xdr:col>
      <xdr:colOff>0</xdr:colOff>
      <xdr:row>41</xdr:row>
      <xdr:rowOff>0</xdr:rowOff>
    </xdr:to>
    <xdr:sp macro="" textlink="">
      <xdr:nvSpPr>
        <xdr:cNvPr id="52" name="Text Box 199">
          <a:extLst>
            <a:ext uri="{FF2B5EF4-FFF2-40B4-BE49-F238E27FC236}">
              <a16:creationId xmlns:a16="http://schemas.microsoft.com/office/drawing/2014/main" id="{DAA8949E-3645-786B-EDDE-72CE89A825C8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</xdr:row>
      <xdr:rowOff>0</xdr:rowOff>
    </xdr:from>
    <xdr:to>
      <xdr:col>0</xdr:col>
      <xdr:colOff>0</xdr:colOff>
      <xdr:row>41</xdr:row>
      <xdr:rowOff>0</xdr:rowOff>
    </xdr:to>
    <xdr:sp macro="" textlink="">
      <xdr:nvSpPr>
        <xdr:cNvPr id="53" name="Text Box 200">
          <a:extLst>
            <a:ext uri="{FF2B5EF4-FFF2-40B4-BE49-F238E27FC236}">
              <a16:creationId xmlns:a16="http://schemas.microsoft.com/office/drawing/2014/main" id="{35BE41A1-14B6-D17D-D666-EA7EA58A1F54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Temporary Chain link Fence.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12' Panel, With Barbwire, 7' Height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Driven Posts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</xdr:row>
      <xdr:rowOff>0</xdr:rowOff>
    </xdr:from>
    <xdr:to>
      <xdr:col>0</xdr:col>
      <xdr:colOff>0</xdr:colOff>
      <xdr:row>41</xdr:row>
      <xdr:rowOff>0</xdr:rowOff>
    </xdr:to>
    <xdr:sp macro="" textlink="">
      <xdr:nvSpPr>
        <xdr:cNvPr id="54" name="Text Box 201">
          <a:extLst>
            <a:ext uri="{FF2B5EF4-FFF2-40B4-BE49-F238E27FC236}">
              <a16:creationId xmlns:a16="http://schemas.microsoft.com/office/drawing/2014/main" id="{D346B395-6531-E7BB-0B2C-8A0F2C6F55C2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</xdr:row>
      <xdr:rowOff>0</xdr:rowOff>
    </xdr:from>
    <xdr:to>
      <xdr:col>0</xdr:col>
      <xdr:colOff>0</xdr:colOff>
      <xdr:row>41</xdr:row>
      <xdr:rowOff>0</xdr:rowOff>
    </xdr:to>
    <xdr:sp macro="" textlink="">
      <xdr:nvSpPr>
        <xdr:cNvPr id="55" name="Text Box 202">
          <a:extLst>
            <a:ext uri="{FF2B5EF4-FFF2-40B4-BE49-F238E27FC236}">
              <a16:creationId xmlns:a16="http://schemas.microsoft.com/office/drawing/2014/main" id="{EF0B1911-F646-EBD9-2686-F5BDE0415D7A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Temporary Chain link Fence.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12' Panel, With Barbwire, 7' Height,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Free-Standing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2</xdr:col>
      <xdr:colOff>161280</xdr:colOff>
      <xdr:row>0</xdr:row>
      <xdr:rowOff>0</xdr:rowOff>
    </xdr:to>
    <xdr:sp macro="" textlink="">
      <xdr:nvSpPr>
        <xdr:cNvPr id="56" name="Text Box 223">
          <a:extLst>
            <a:ext uri="{FF2B5EF4-FFF2-40B4-BE49-F238E27FC236}">
              <a16:creationId xmlns:a16="http://schemas.microsoft.com/office/drawing/2014/main" id="{612F0469-7D62-F595-BDA4-0DC69D6A16F3}"/>
            </a:ext>
          </a:extLst>
        </xdr:cNvPr>
        <xdr:cNvSpPr txBox="1">
          <a:spLocks noChangeArrowheads="1"/>
        </xdr:cNvSpPr>
      </xdr:nvSpPr>
      <xdr:spPr bwMode="auto">
        <a:xfrm>
          <a:off x="666750" y="0"/>
          <a:ext cx="3276600" cy="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Line Item 0002     Base Year - Indefinite Quantity Work</a:t>
          </a: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ELIN A0016 through A0030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3</xdr:col>
      <xdr:colOff>644334</xdr:colOff>
      <xdr:row>0</xdr:row>
      <xdr:rowOff>0</xdr:rowOff>
    </xdr:to>
    <xdr:sp macro="" textlink="">
      <xdr:nvSpPr>
        <xdr:cNvPr id="57" name="Text Box 225">
          <a:extLst>
            <a:ext uri="{FF2B5EF4-FFF2-40B4-BE49-F238E27FC236}">
              <a16:creationId xmlns:a16="http://schemas.microsoft.com/office/drawing/2014/main" id="{799D4313-6DEB-2CD0-2C2B-BA7F82E791FB}"/>
            </a:ext>
          </a:extLst>
        </xdr:cNvPr>
        <xdr:cNvSpPr txBox="1">
          <a:spLocks noChangeArrowheads="1"/>
        </xdr:cNvSpPr>
      </xdr:nvSpPr>
      <xdr:spPr bwMode="auto">
        <a:xfrm>
          <a:off x="666750" y="0"/>
          <a:ext cx="4457700" cy="0"/>
        </a:xfrm>
        <a:prstGeom prst="rect">
          <a:avLst/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PROVIDE UNIT PRICES FOR INDEFINITE QUANTITY WORK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IN ACCORDANCE WITH SECTION C, Item 4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ELIN A0016 through A0030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931545</xdr:colOff>
      <xdr:row>0</xdr:row>
      <xdr:rowOff>0</xdr:rowOff>
    </xdr:from>
    <xdr:to>
      <xdr:col>3</xdr:col>
      <xdr:colOff>603239</xdr:colOff>
      <xdr:row>0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67B7BEA1-45D3-84DA-F5D0-BF32BA80B18E}"/>
            </a:ext>
          </a:extLst>
        </xdr:cNvPr>
        <xdr:cNvSpPr txBox="1">
          <a:spLocks noChangeArrowheads="1"/>
        </xdr:cNvSpPr>
      </xdr:nvSpPr>
      <xdr:spPr bwMode="auto">
        <a:xfrm>
          <a:off x="1609725" y="0"/>
          <a:ext cx="34956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SECTION J</a:t>
          </a:r>
        </a:p>
        <a:p>
          <a:pPr algn="ct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EXHIBIT A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3</xdr:col>
      <xdr:colOff>634807</xdr:colOff>
      <xdr:row>0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FD7C4D14-20ED-FAC8-C446-F4E88E7B744F}"/>
            </a:ext>
          </a:extLst>
        </xdr:cNvPr>
        <xdr:cNvSpPr txBox="1">
          <a:spLocks noChangeArrowheads="1"/>
        </xdr:cNvSpPr>
      </xdr:nvSpPr>
      <xdr:spPr bwMode="auto">
        <a:xfrm>
          <a:off x="666750" y="0"/>
          <a:ext cx="4457700" cy="0"/>
        </a:xfrm>
        <a:prstGeom prst="rect">
          <a:avLst/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PROVIDE PRICES TO MAINTAIN GROUNDS - FIRM FIXED PRICE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IN ACCORDANCE WITH SECTION C, Items 3.1, 3.2, 3.3, and 3.4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ELIN A001 through A0015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2</xdr:col>
      <xdr:colOff>9525</xdr:colOff>
      <xdr:row>0</xdr:row>
      <xdr:rowOff>0</xdr:rowOff>
    </xdr:to>
    <xdr:sp macro="" textlink="">
      <xdr:nvSpPr>
        <xdr:cNvPr id="4" name="Text Box 13">
          <a:extLst>
            <a:ext uri="{FF2B5EF4-FFF2-40B4-BE49-F238E27FC236}">
              <a16:creationId xmlns:a16="http://schemas.microsoft.com/office/drawing/2014/main" id="{4DF91F9F-3F6E-F344-3A89-75FF59E9EC86}"/>
            </a:ext>
          </a:extLst>
        </xdr:cNvPr>
        <xdr:cNvSpPr txBox="1">
          <a:spLocks noChangeArrowheads="1"/>
        </xdr:cNvSpPr>
      </xdr:nvSpPr>
      <xdr:spPr bwMode="auto">
        <a:xfrm>
          <a:off x="666750" y="0"/>
          <a:ext cx="3124200" cy="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Line Item 0001     Base Year - Firm Fixed Price</a:t>
          </a: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ELIN A001 through A0015</a:t>
          </a:r>
        </a:p>
      </xdr:txBody>
    </xdr:sp>
    <xdr:clientData/>
  </xdr:twoCellAnchor>
  <xdr:twoCellAnchor>
    <xdr:from>
      <xdr:col>0</xdr:col>
      <xdr:colOff>0</xdr:colOff>
      <xdr:row>36</xdr:row>
      <xdr:rowOff>0</xdr:rowOff>
    </xdr:from>
    <xdr:to>
      <xdr:col>0</xdr:col>
      <xdr:colOff>0</xdr:colOff>
      <xdr:row>36</xdr:row>
      <xdr:rowOff>0</xdr:rowOff>
    </xdr:to>
    <xdr:sp macro="" textlink="">
      <xdr:nvSpPr>
        <xdr:cNvPr id="5" name="Text Box 145">
          <a:extLst>
            <a:ext uri="{FF2B5EF4-FFF2-40B4-BE49-F238E27FC236}">
              <a16:creationId xmlns:a16="http://schemas.microsoft.com/office/drawing/2014/main" id="{C620B27C-93DF-77B1-34CD-7750A8DF81DD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SECTION J</a:t>
          </a:r>
        </a:p>
        <a:p>
          <a:pPr algn="ct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EXHIBIT A</a:t>
          </a:r>
        </a:p>
      </xdr:txBody>
    </xdr:sp>
    <xdr:clientData/>
  </xdr:twoCellAnchor>
  <xdr:twoCellAnchor>
    <xdr:from>
      <xdr:col>0</xdr:col>
      <xdr:colOff>0</xdr:colOff>
      <xdr:row>36</xdr:row>
      <xdr:rowOff>0</xdr:rowOff>
    </xdr:from>
    <xdr:to>
      <xdr:col>0</xdr:col>
      <xdr:colOff>0</xdr:colOff>
      <xdr:row>36</xdr:row>
      <xdr:rowOff>0</xdr:rowOff>
    </xdr:to>
    <xdr:sp macro="" textlink="">
      <xdr:nvSpPr>
        <xdr:cNvPr id="6" name="Text Box 150">
          <a:extLst>
            <a:ext uri="{FF2B5EF4-FFF2-40B4-BE49-F238E27FC236}">
              <a16:creationId xmlns:a16="http://schemas.microsoft.com/office/drawing/2014/main" id="{1E6AEC15-233F-B8F6-C483-C4E5B713D1E2}"/>
            </a:ext>
          </a:extLst>
        </xdr:cNvPr>
        <xdr:cNvSpPr txBox="1">
          <a:spLocks noChangeArrowheads="1"/>
        </xdr:cNvSpPr>
      </xdr:nvSpPr>
      <xdr:spPr bwMode="auto">
        <a:xfrm>
          <a:off x="0" y="72294750"/>
          <a:ext cx="0" cy="190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36</xdr:row>
      <xdr:rowOff>0</xdr:rowOff>
    </xdr:from>
    <xdr:to>
      <xdr:col>0</xdr:col>
      <xdr:colOff>0</xdr:colOff>
      <xdr:row>36</xdr:row>
      <xdr:rowOff>0</xdr:rowOff>
    </xdr:to>
    <xdr:sp macro="" textlink="">
      <xdr:nvSpPr>
        <xdr:cNvPr id="7" name="Text Box 151">
          <a:extLst>
            <a:ext uri="{FF2B5EF4-FFF2-40B4-BE49-F238E27FC236}">
              <a16:creationId xmlns:a16="http://schemas.microsoft.com/office/drawing/2014/main" id="{A38FE53D-98FB-86DD-8880-FFAB065EA86D}"/>
            </a:ext>
          </a:extLst>
        </xdr:cNvPr>
        <xdr:cNvSpPr txBox="1">
          <a:spLocks noChangeArrowheads="1"/>
        </xdr:cNvSpPr>
      </xdr:nvSpPr>
      <xdr:spPr bwMode="auto">
        <a:xfrm>
          <a:off x="0" y="72304275"/>
          <a:ext cx="0" cy="533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Reconditioning and Maintenance Service for Barbwire Fence.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36</xdr:row>
      <xdr:rowOff>0</xdr:rowOff>
    </xdr:from>
    <xdr:to>
      <xdr:col>0</xdr:col>
      <xdr:colOff>0</xdr:colOff>
      <xdr:row>36</xdr:row>
      <xdr:rowOff>0</xdr:rowOff>
    </xdr:to>
    <xdr:sp macro="" textlink="">
      <xdr:nvSpPr>
        <xdr:cNvPr id="8" name="Text Box 152">
          <a:extLst>
            <a:ext uri="{FF2B5EF4-FFF2-40B4-BE49-F238E27FC236}">
              <a16:creationId xmlns:a16="http://schemas.microsoft.com/office/drawing/2014/main" id="{E8E1C9D4-76EF-1A4E-2B95-7AFC94D300A6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36</xdr:row>
      <xdr:rowOff>0</xdr:rowOff>
    </xdr:from>
    <xdr:to>
      <xdr:col>0</xdr:col>
      <xdr:colOff>0</xdr:colOff>
      <xdr:row>36</xdr:row>
      <xdr:rowOff>0</xdr:rowOff>
    </xdr:to>
    <xdr:sp macro="" textlink="">
      <xdr:nvSpPr>
        <xdr:cNvPr id="9" name="Text Box 153">
          <a:extLst>
            <a:ext uri="{FF2B5EF4-FFF2-40B4-BE49-F238E27FC236}">
              <a16:creationId xmlns:a16="http://schemas.microsoft.com/office/drawing/2014/main" id="{8F4E09B4-BBE7-5EFD-DF42-261C0D270CD7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Reconditioning and Maintenance Service for Ornamental Steel Fence.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36</xdr:row>
      <xdr:rowOff>0</xdr:rowOff>
    </xdr:from>
    <xdr:to>
      <xdr:col>0</xdr:col>
      <xdr:colOff>0</xdr:colOff>
      <xdr:row>36</xdr:row>
      <xdr:rowOff>0</xdr:rowOff>
    </xdr:to>
    <xdr:sp macro="" textlink="">
      <xdr:nvSpPr>
        <xdr:cNvPr id="10" name="Text Box 154">
          <a:extLst>
            <a:ext uri="{FF2B5EF4-FFF2-40B4-BE49-F238E27FC236}">
              <a16:creationId xmlns:a16="http://schemas.microsoft.com/office/drawing/2014/main" id="{97B58087-3E06-5406-4C95-527D21CF2CD5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36</xdr:row>
      <xdr:rowOff>0</xdr:rowOff>
    </xdr:from>
    <xdr:to>
      <xdr:col>0</xdr:col>
      <xdr:colOff>0</xdr:colOff>
      <xdr:row>36</xdr:row>
      <xdr:rowOff>0</xdr:rowOff>
    </xdr:to>
    <xdr:sp macro="" textlink="">
      <xdr:nvSpPr>
        <xdr:cNvPr id="11" name="Text Box 155">
          <a:extLst>
            <a:ext uri="{FF2B5EF4-FFF2-40B4-BE49-F238E27FC236}">
              <a16:creationId xmlns:a16="http://schemas.microsoft.com/office/drawing/2014/main" id="{BA079367-5970-2347-C7B0-C2A84A0C1EA9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Reconditioning and Maintenance Service for Wood Fence.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36</xdr:row>
      <xdr:rowOff>0</xdr:rowOff>
    </xdr:from>
    <xdr:to>
      <xdr:col>0</xdr:col>
      <xdr:colOff>0</xdr:colOff>
      <xdr:row>36</xdr:row>
      <xdr:rowOff>0</xdr:rowOff>
    </xdr:to>
    <xdr:sp macro="" textlink="">
      <xdr:nvSpPr>
        <xdr:cNvPr id="12" name="Text Box 156">
          <a:extLst>
            <a:ext uri="{FF2B5EF4-FFF2-40B4-BE49-F238E27FC236}">
              <a16:creationId xmlns:a16="http://schemas.microsoft.com/office/drawing/2014/main" id="{D139C7B2-B931-DF9C-361C-09A9DA2ED964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PROVIDE A UNIT PRICE FOR THE REMOVAL AND DISPOSAL OF FENCE COMPLETE, FENCE POSTS, BARBWIRE, BARBED TAPE.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IN ACCORDANCE WITH SECTION C, C.10.1.l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ELIN A001EW through A001FI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36</xdr:row>
      <xdr:rowOff>0</xdr:rowOff>
    </xdr:from>
    <xdr:to>
      <xdr:col>0</xdr:col>
      <xdr:colOff>0</xdr:colOff>
      <xdr:row>36</xdr:row>
      <xdr:rowOff>0</xdr:rowOff>
    </xdr:to>
    <xdr:sp macro="" textlink="">
      <xdr:nvSpPr>
        <xdr:cNvPr id="13" name="Text Box 157">
          <a:extLst>
            <a:ext uri="{FF2B5EF4-FFF2-40B4-BE49-F238E27FC236}">
              <a16:creationId xmlns:a16="http://schemas.microsoft.com/office/drawing/2014/main" id="{34992E04-8214-CAB9-9B1D-5F3063DB87BA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36</xdr:row>
      <xdr:rowOff>0</xdr:rowOff>
    </xdr:from>
    <xdr:to>
      <xdr:col>0</xdr:col>
      <xdr:colOff>0</xdr:colOff>
      <xdr:row>36</xdr:row>
      <xdr:rowOff>0</xdr:rowOff>
    </xdr:to>
    <xdr:sp macro="" textlink="">
      <xdr:nvSpPr>
        <xdr:cNvPr id="14" name="Text Box 158">
          <a:extLst>
            <a:ext uri="{FF2B5EF4-FFF2-40B4-BE49-F238E27FC236}">
              <a16:creationId xmlns:a16="http://schemas.microsoft.com/office/drawing/2014/main" id="{A3ED84D8-3218-CC2A-C1D1-8FD79A041C58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Removal Service for Chain link Fence.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Including Fabric, Posts, Gates, Rails, Tension Wire, Barbwire/Barbed Tape.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36</xdr:row>
      <xdr:rowOff>0</xdr:rowOff>
    </xdr:from>
    <xdr:to>
      <xdr:col>0</xdr:col>
      <xdr:colOff>0</xdr:colOff>
      <xdr:row>36</xdr:row>
      <xdr:rowOff>0</xdr:rowOff>
    </xdr:to>
    <xdr:sp macro="" textlink="">
      <xdr:nvSpPr>
        <xdr:cNvPr id="15" name="Text Box 159">
          <a:extLst>
            <a:ext uri="{FF2B5EF4-FFF2-40B4-BE49-F238E27FC236}">
              <a16:creationId xmlns:a16="http://schemas.microsoft.com/office/drawing/2014/main" id="{3EA96862-64C5-5CED-EE18-B1BE1041E78C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36</xdr:row>
      <xdr:rowOff>0</xdr:rowOff>
    </xdr:from>
    <xdr:to>
      <xdr:col>0</xdr:col>
      <xdr:colOff>0</xdr:colOff>
      <xdr:row>36</xdr:row>
      <xdr:rowOff>0</xdr:rowOff>
    </xdr:to>
    <xdr:sp macro="" textlink="">
      <xdr:nvSpPr>
        <xdr:cNvPr id="16" name="Text Box 160">
          <a:extLst>
            <a:ext uri="{FF2B5EF4-FFF2-40B4-BE49-F238E27FC236}">
              <a16:creationId xmlns:a16="http://schemas.microsoft.com/office/drawing/2014/main" id="{4D930428-BEA9-28EC-B142-42ABC3638442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Removal Service for Chain link Fence Gates including tracks (not posts).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36</xdr:row>
      <xdr:rowOff>0</xdr:rowOff>
    </xdr:from>
    <xdr:to>
      <xdr:col>0</xdr:col>
      <xdr:colOff>0</xdr:colOff>
      <xdr:row>36</xdr:row>
      <xdr:rowOff>0</xdr:rowOff>
    </xdr:to>
    <xdr:sp macro="" textlink="">
      <xdr:nvSpPr>
        <xdr:cNvPr id="17" name="Text Box 161">
          <a:extLst>
            <a:ext uri="{FF2B5EF4-FFF2-40B4-BE49-F238E27FC236}">
              <a16:creationId xmlns:a16="http://schemas.microsoft.com/office/drawing/2014/main" id="{22C47AF8-40A4-FF78-EA51-AFDAA51A3331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36</xdr:row>
      <xdr:rowOff>0</xdr:rowOff>
    </xdr:from>
    <xdr:to>
      <xdr:col>0</xdr:col>
      <xdr:colOff>0</xdr:colOff>
      <xdr:row>36</xdr:row>
      <xdr:rowOff>0</xdr:rowOff>
    </xdr:to>
    <xdr:sp macro="" textlink="">
      <xdr:nvSpPr>
        <xdr:cNvPr id="18" name="Text Box 162">
          <a:extLst>
            <a:ext uri="{FF2B5EF4-FFF2-40B4-BE49-F238E27FC236}">
              <a16:creationId xmlns:a16="http://schemas.microsoft.com/office/drawing/2014/main" id="{29C8AB86-36AC-C318-516F-FD9C62BC654E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Removal Service for Ornamental Steel Fence.  Including Posts and Gates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36</xdr:row>
      <xdr:rowOff>0</xdr:rowOff>
    </xdr:from>
    <xdr:to>
      <xdr:col>0</xdr:col>
      <xdr:colOff>0</xdr:colOff>
      <xdr:row>36</xdr:row>
      <xdr:rowOff>0</xdr:rowOff>
    </xdr:to>
    <xdr:sp macro="" textlink="">
      <xdr:nvSpPr>
        <xdr:cNvPr id="19" name="Text Box 163">
          <a:extLst>
            <a:ext uri="{FF2B5EF4-FFF2-40B4-BE49-F238E27FC236}">
              <a16:creationId xmlns:a16="http://schemas.microsoft.com/office/drawing/2014/main" id="{8868CF14-EC77-4BF9-6FE6-671CD5771414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36</xdr:row>
      <xdr:rowOff>0</xdr:rowOff>
    </xdr:from>
    <xdr:to>
      <xdr:col>0</xdr:col>
      <xdr:colOff>0</xdr:colOff>
      <xdr:row>36</xdr:row>
      <xdr:rowOff>0</xdr:rowOff>
    </xdr:to>
    <xdr:sp macro="" textlink="">
      <xdr:nvSpPr>
        <xdr:cNvPr id="20" name="Text Box 164">
          <a:extLst>
            <a:ext uri="{FF2B5EF4-FFF2-40B4-BE49-F238E27FC236}">
              <a16:creationId xmlns:a16="http://schemas.microsoft.com/office/drawing/2014/main" id="{6372E6C1-E8E9-4240-D209-B05B2AEDD1FC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Removal Service for Wood Fence.  Including Posts and Gates.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36</xdr:row>
      <xdr:rowOff>0</xdr:rowOff>
    </xdr:from>
    <xdr:to>
      <xdr:col>0</xdr:col>
      <xdr:colOff>0</xdr:colOff>
      <xdr:row>36</xdr:row>
      <xdr:rowOff>0</xdr:rowOff>
    </xdr:to>
    <xdr:sp macro="" textlink="">
      <xdr:nvSpPr>
        <xdr:cNvPr id="21" name="Text Box 165">
          <a:extLst>
            <a:ext uri="{FF2B5EF4-FFF2-40B4-BE49-F238E27FC236}">
              <a16:creationId xmlns:a16="http://schemas.microsoft.com/office/drawing/2014/main" id="{98C06F85-9E5B-B631-ECC6-17B8A317E7E4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36</xdr:row>
      <xdr:rowOff>0</xdr:rowOff>
    </xdr:from>
    <xdr:to>
      <xdr:col>0</xdr:col>
      <xdr:colOff>0</xdr:colOff>
      <xdr:row>36</xdr:row>
      <xdr:rowOff>0</xdr:rowOff>
    </xdr:to>
    <xdr:sp macro="" textlink="">
      <xdr:nvSpPr>
        <xdr:cNvPr id="22" name="Text Box 166">
          <a:extLst>
            <a:ext uri="{FF2B5EF4-FFF2-40B4-BE49-F238E27FC236}">
              <a16:creationId xmlns:a16="http://schemas.microsoft.com/office/drawing/2014/main" id="{8692334C-DA5A-2AB7-476C-53F1418F4CBB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Removal Service for Barbwire Fence.  Including Posts and all wire.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36</xdr:row>
      <xdr:rowOff>0</xdr:rowOff>
    </xdr:from>
    <xdr:to>
      <xdr:col>0</xdr:col>
      <xdr:colOff>0</xdr:colOff>
      <xdr:row>36</xdr:row>
      <xdr:rowOff>0</xdr:rowOff>
    </xdr:to>
    <xdr:sp macro="" textlink="">
      <xdr:nvSpPr>
        <xdr:cNvPr id="23" name="Text Box 167">
          <a:extLst>
            <a:ext uri="{FF2B5EF4-FFF2-40B4-BE49-F238E27FC236}">
              <a16:creationId xmlns:a16="http://schemas.microsoft.com/office/drawing/2014/main" id="{0DF1BEB7-E2A2-0FBA-2197-00B65C07AF35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36</xdr:row>
      <xdr:rowOff>0</xdr:rowOff>
    </xdr:from>
    <xdr:to>
      <xdr:col>0</xdr:col>
      <xdr:colOff>0</xdr:colOff>
      <xdr:row>36</xdr:row>
      <xdr:rowOff>0</xdr:rowOff>
    </xdr:to>
    <xdr:sp macro="" textlink="">
      <xdr:nvSpPr>
        <xdr:cNvPr id="24" name="Text Box 168">
          <a:extLst>
            <a:ext uri="{FF2B5EF4-FFF2-40B4-BE49-F238E27FC236}">
              <a16:creationId xmlns:a16="http://schemas.microsoft.com/office/drawing/2014/main" id="{A943CBAB-D554-FC8D-01CB-DA57B4471D39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Each to Provide Removal Service for Fence Posts.  Including Posts Footing with Braces and Supports as Required.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36</xdr:row>
      <xdr:rowOff>0</xdr:rowOff>
    </xdr:from>
    <xdr:to>
      <xdr:col>0</xdr:col>
      <xdr:colOff>0</xdr:colOff>
      <xdr:row>36</xdr:row>
      <xdr:rowOff>0</xdr:rowOff>
    </xdr:to>
    <xdr:sp macro="" textlink="">
      <xdr:nvSpPr>
        <xdr:cNvPr id="25" name="Text Box 169">
          <a:extLst>
            <a:ext uri="{FF2B5EF4-FFF2-40B4-BE49-F238E27FC236}">
              <a16:creationId xmlns:a16="http://schemas.microsoft.com/office/drawing/2014/main" id="{2BC248EA-B331-8368-ADFB-7C4EE1E6F615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36</xdr:row>
      <xdr:rowOff>0</xdr:rowOff>
    </xdr:from>
    <xdr:to>
      <xdr:col>0</xdr:col>
      <xdr:colOff>0</xdr:colOff>
      <xdr:row>36</xdr:row>
      <xdr:rowOff>0</xdr:rowOff>
    </xdr:to>
    <xdr:sp macro="" textlink="">
      <xdr:nvSpPr>
        <xdr:cNvPr id="26" name="Text Box 170">
          <a:extLst>
            <a:ext uri="{FF2B5EF4-FFF2-40B4-BE49-F238E27FC236}">
              <a16:creationId xmlns:a16="http://schemas.microsoft.com/office/drawing/2014/main" id="{5EEA23CF-C186-2DD1-2F26-088E803F38C4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Each to Provide Removal Service for Fence Posts.  Post Cut-off Flush.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36</xdr:row>
      <xdr:rowOff>0</xdr:rowOff>
    </xdr:from>
    <xdr:to>
      <xdr:col>0</xdr:col>
      <xdr:colOff>0</xdr:colOff>
      <xdr:row>36</xdr:row>
      <xdr:rowOff>0</xdr:rowOff>
    </xdr:to>
    <xdr:sp macro="" textlink="">
      <xdr:nvSpPr>
        <xdr:cNvPr id="27" name="Text Box 171">
          <a:extLst>
            <a:ext uri="{FF2B5EF4-FFF2-40B4-BE49-F238E27FC236}">
              <a16:creationId xmlns:a16="http://schemas.microsoft.com/office/drawing/2014/main" id="{0309E991-313C-5FE6-D397-3F5F65E076DF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36</xdr:row>
      <xdr:rowOff>0</xdr:rowOff>
    </xdr:from>
    <xdr:to>
      <xdr:col>0</xdr:col>
      <xdr:colOff>0</xdr:colOff>
      <xdr:row>36</xdr:row>
      <xdr:rowOff>0</xdr:rowOff>
    </xdr:to>
    <xdr:sp macro="" textlink="">
      <xdr:nvSpPr>
        <xdr:cNvPr id="28" name="Text Box 172">
          <a:extLst>
            <a:ext uri="{FF2B5EF4-FFF2-40B4-BE49-F238E27FC236}">
              <a16:creationId xmlns:a16="http://schemas.microsoft.com/office/drawing/2014/main" id="{19EBF5EC-A482-7C31-FD43-B63367AA8677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Each to Provide Removal Service for Fence Posts.  Driven Post.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36</xdr:row>
      <xdr:rowOff>0</xdr:rowOff>
    </xdr:from>
    <xdr:to>
      <xdr:col>0</xdr:col>
      <xdr:colOff>0</xdr:colOff>
      <xdr:row>36</xdr:row>
      <xdr:rowOff>0</xdr:rowOff>
    </xdr:to>
    <xdr:sp macro="" textlink="">
      <xdr:nvSpPr>
        <xdr:cNvPr id="29" name="Text Box 173">
          <a:extLst>
            <a:ext uri="{FF2B5EF4-FFF2-40B4-BE49-F238E27FC236}">
              <a16:creationId xmlns:a16="http://schemas.microsoft.com/office/drawing/2014/main" id="{3E505299-5D9D-99E5-AC7E-641B730DF916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36</xdr:row>
      <xdr:rowOff>0</xdr:rowOff>
    </xdr:from>
    <xdr:to>
      <xdr:col>0</xdr:col>
      <xdr:colOff>0</xdr:colOff>
      <xdr:row>36</xdr:row>
      <xdr:rowOff>0</xdr:rowOff>
    </xdr:to>
    <xdr:sp macro="" textlink="">
      <xdr:nvSpPr>
        <xdr:cNvPr id="30" name="Text Box 174">
          <a:extLst>
            <a:ext uri="{FF2B5EF4-FFF2-40B4-BE49-F238E27FC236}">
              <a16:creationId xmlns:a16="http://schemas.microsoft.com/office/drawing/2014/main" id="{F6744DCF-0D43-1AD6-DBB6-E61B896C6551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Each to Provide Removal Service for Fence Posts.  Including Posts Footing with Braces and Supports as Required.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Posts Set in Concrete/Asphalt.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36</xdr:row>
      <xdr:rowOff>0</xdr:rowOff>
    </xdr:from>
    <xdr:to>
      <xdr:col>0</xdr:col>
      <xdr:colOff>0</xdr:colOff>
      <xdr:row>36</xdr:row>
      <xdr:rowOff>0</xdr:rowOff>
    </xdr:to>
    <xdr:sp macro="" textlink="">
      <xdr:nvSpPr>
        <xdr:cNvPr id="31" name="Text Box 175">
          <a:extLst>
            <a:ext uri="{FF2B5EF4-FFF2-40B4-BE49-F238E27FC236}">
              <a16:creationId xmlns:a16="http://schemas.microsoft.com/office/drawing/2014/main" id="{BCADA359-6E87-1F86-4D2F-6E7E41FDAC75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36</xdr:row>
      <xdr:rowOff>0</xdr:rowOff>
    </xdr:from>
    <xdr:to>
      <xdr:col>0</xdr:col>
      <xdr:colOff>0</xdr:colOff>
      <xdr:row>36</xdr:row>
      <xdr:rowOff>0</xdr:rowOff>
    </xdr:to>
    <xdr:sp macro="" textlink="">
      <xdr:nvSpPr>
        <xdr:cNvPr id="32" name="Text Box 176">
          <a:extLst>
            <a:ext uri="{FF2B5EF4-FFF2-40B4-BE49-F238E27FC236}">
              <a16:creationId xmlns:a16="http://schemas.microsoft.com/office/drawing/2014/main" id="{ED9FEEC8-C95F-2C90-5B9F-5369E2121829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Square Foot to Patch and Refinish Concrete or Asphalt Surface.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Surface Depth to Match Surrounding.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36</xdr:row>
      <xdr:rowOff>0</xdr:rowOff>
    </xdr:from>
    <xdr:to>
      <xdr:col>0</xdr:col>
      <xdr:colOff>0</xdr:colOff>
      <xdr:row>36</xdr:row>
      <xdr:rowOff>0</xdr:rowOff>
    </xdr:to>
    <xdr:sp macro="" textlink="">
      <xdr:nvSpPr>
        <xdr:cNvPr id="33" name="Text Box 177">
          <a:extLst>
            <a:ext uri="{FF2B5EF4-FFF2-40B4-BE49-F238E27FC236}">
              <a16:creationId xmlns:a16="http://schemas.microsoft.com/office/drawing/2014/main" id="{72B74833-9FAD-D738-BD8B-91E96521235C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Each to Remove and Dispose of or Save and Store (for reuse) Barbwire Single Arm Support.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36</xdr:row>
      <xdr:rowOff>0</xdr:rowOff>
    </xdr:from>
    <xdr:to>
      <xdr:col>0</xdr:col>
      <xdr:colOff>0</xdr:colOff>
      <xdr:row>36</xdr:row>
      <xdr:rowOff>0</xdr:rowOff>
    </xdr:to>
    <xdr:sp macro="" textlink="">
      <xdr:nvSpPr>
        <xdr:cNvPr id="34" name="Text Box 178">
          <a:extLst>
            <a:ext uri="{FF2B5EF4-FFF2-40B4-BE49-F238E27FC236}">
              <a16:creationId xmlns:a16="http://schemas.microsoft.com/office/drawing/2014/main" id="{5846D778-56E7-D246-9752-1DC1628C862C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Each to remove and Dispose of or Save and Store (for reuse) Barbwire Double (V) Arm Support.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36</xdr:row>
      <xdr:rowOff>0</xdr:rowOff>
    </xdr:from>
    <xdr:to>
      <xdr:col>0</xdr:col>
      <xdr:colOff>0</xdr:colOff>
      <xdr:row>36</xdr:row>
      <xdr:rowOff>0</xdr:rowOff>
    </xdr:to>
    <xdr:sp macro="" textlink="">
      <xdr:nvSpPr>
        <xdr:cNvPr id="35" name="Text Box 179">
          <a:extLst>
            <a:ext uri="{FF2B5EF4-FFF2-40B4-BE49-F238E27FC236}">
              <a16:creationId xmlns:a16="http://schemas.microsoft.com/office/drawing/2014/main" id="{59D62EA4-2066-68A4-7660-253FC8E9CDFC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Lump Sum Price for the recycling of removed materials.  Based on a Percentage Added to Removal Item Ordered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36</xdr:row>
      <xdr:rowOff>0</xdr:rowOff>
    </xdr:from>
    <xdr:to>
      <xdr:col>0</xdr:col>
      <xdr:colOff>0</xdr:colOff>
      <xdr:row>36</xdr:row>
      <xdr:rowOff>0</xdr:rowOff>
    </xdr:to>
    <xdr:sp macro="" textlink="">
      <xdr:nvSpPr>
        <xdr:cNvPr id="36" name="Text Box 180">
          <a:extLst>
            <a:ext uri="{FF2B5EF4-FFF2-40B4-BE49-F238E27FC236}">
              <a16:creationId xmlns:a16="http://schemas.microsoft.com/office/drawing/2014/main" id="{5E50A61B-DCC5-5194-044A-A180752B4904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SECTION J</a:t>
          </a:r>
        </a:p>
        <a:p>
          <a:pPr algn="ct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EXHIBIT A</a:t>
          </a:r>
        </a:p>
      </xdr:txBody>
    </xdr:sp>
    <xdr:clientData/>
  </xdr:twoCellAnchor>
  <xdr:twoCellAnchor>
    <xdr:from>
      <xdr:col>0</xdr:col>
      <xdr:colOff>0</xdr:colOff>
      <xdr:row>36</xdr:row>
      <xdr:rowOff>0</xdr:rowOff>
    </xdr:from>
    <xdr:to>
      <xdr:col>0</xdr:col>
      <xdr:colOff>0</xdr:colOff>
      <xdr:row>36</xdr:row>
      <xdr:rowOff>0</xdr:rowOff>
    </xdr:to>
    <xdr:sp macro="" textlink="">
      <xdr:nvSpPr>
        <xdr:cNvPr id="37" name="Text Box 181">
          <a:extLst>
            <a:ext uri="{FF2B5EF4-FFF2-40B4-BE49-F238E27FC236}">
              <a16:creationId xmlns:a16="http://schemas.microsoft.com/office/drawing/2014/main" id="{97E23463-2057-050F-B7ED-634E4A5507B9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Lump Sum Price for the Recycling of Removed Materials.  Based on a Percentage Added to Removal Item Ordered, ELIN A001EK to A001EW. Figured on a Quantity of 1,000.  The Quantity Provided is for Establishing the Percentage Rate Only. 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36</xdr:row>
      <xdr:rowOff>0</xdr:rowOff>
    </xdr:from>
    <xdr:to>
      <xdr:col>0</xdr:col>
      <xdr:colOff>0</xdr:colOff>
      <xdr:row>36</xdr:row>
      <xdr:rowOff>0</xdr:rowOff>
    </xdr:to>
    <xdr:sp macro="" textlink="">
      <xdr:nvSpPr>
        <xdr:cNvPr id="38" name="Text Box 182">
          <a:extLst>
            <a:ext uri="{FF2B5EF4-FFF2-40B4-BE49-F238E27FC236}">
              <a16:creationId xmlns:a16="http://schemas.microsoft.com/office/drawing/2014/main" id="{C22CB9F8-A3F9-D08D-BA3B-C02DEA64D9AD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PROVIDE A UNIT PRICE TO PERFORM EXPEDITED SERVICES.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IN ACCORDANCE WITH SECTION C, C.10.2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ELIN A001FJ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36</xdr:row>
      <xdr:rowOff>0</xdr:rowOff>
    </xdr:from>
    <xdr:to>
      <xdr:col>0</xdr:col>
      <xdr:colOff>0</xdr:colOff>
      <xdr:row>36</xdr:row>
      <xdr:rowOff>0</xdr:rowOff>
    </xdr:to>
    <xdr:sp macro="" textlink="">
      <xdr:nvSpPr>
        <xdr:cNvPr id="39" name="Text Box 183">
          <a:extLst>
            <a:ext uri="{FF2B5EF4-FFF2-40B4-BE49-F238E27FC236}">
              <a16:creationId xmlns:a16="http://schemas.microsoft.com/office/drawing/2014/main" id="{773E274A-E371-7533-9AFF-A701EA250E08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Lump Sum Price for Expedited Maintenance and Repair Services.  Based on a Percentage Added to Task Order Total. Figured on a Quantity of 1,000.  The Quantity Provided is for Establishing the Percentage Rate Only. 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36</xdr:row>
      <xdr:rowOff>0</xdr:rowOff>
    </xdr:from>
    <xdr:to>
      <xdr:col>0</xdr:col>
      <xdr:colOff>0</xdr:colOff>
      <xdr:row>36</xdr:row>
      <xdr:rowOff>0</xdr:rowOff>
    </xdr:to>
    <xdr:sp macro="" textlink="">
      <xdr:nvSpPr>
        <xdr:cNvPr id="40" name="Text Box 187">
          <a:extLst>
            <a:ext uri="{FF2B5EF4-FFF2-40B4-BE49-F238E27FC236}">
              <a16:creationId xmlns:a16="http://schemas.microsoft.com/office/drawing/2014/main" id="{7D58B45C-233E-F8A8-EC7B-7CCA385F9521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SECTION J</a:t>
          </a:r>
        </a:p>
        <a:p>
          <a:pPr algn="ct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EXHIBIT A</a:t>
          </a:r>
        </a:p>
      </xdr:txBody>
    </xdr:sp>
    <xdr:clientData/>
  </xdr:twoCellAnchor>
  <xdr:twoCellAnchor>
    <xdr:from>
      <xdr:col>0</xdr:col>
      <xdr:colOff>0</xdr:colOff>
      <xdr:row>36</xdr:row>
      <xdr:rowOff>0</xdr:rowOff>
    </xdr:from>
    <xdr:to>
      <xdr:col>0</xdr:col>
      <xdr:colOff>0</xdr:colOff>
      <xdr:row>36</xdr:row>
      <xdr:rowOff>0</xdr:rowOff>
    </xdr:to>
    <xdr:sp macro="" textlink="">
      <xdr:nvSpPr>
        <xdr:cNvPr id="41" name="Text Box 188">
          <a:extLst>
            <a:ext uri="{FF2B5EF4-FFF2-40B4-BE49-F238E27FC236}">
              <a16:creationId xmlns:a16="http://schemas.microsoft.com/office/drawing/2014/main" id="{565E7E1D-171C-A964-2963-FD56DB52694F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SECTION J</a:t>
          </a:r>
        </a:p>
        <a:p>
          <a:pPr algn="ct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EXHIBIT A</a:t>
          </a:r>
        </a:p>
      </xdr:txBody>
    </xdr:sp>
    <xdr:clientData/>
  </xdr:twoCellAnchor>
  <xdr:twoCellAnchor>
    <xdr:from>
      <xdr:col>0</xdr:col>
      <xdr:colOff>0</xdr:colOff>
      <xdr:row>36</xdr:row>
      <xdr:rowOff>0</xdr:rowOff>
    </xdr:from>
    <xdr:to>
      <xdr:col>0</xdr:col>
      <xdr:colOff>0</xdr:colOff>
      <xdr:row>36</xdr:row>
      <xdr:rowOff>0</xdr:rowOff>
    </xdr:to>
    <xdr:sp macro="" textlink="">
      <xdr:nvSpPr>
        <xdr:cNvPr id="42" name="Text Box 189">
          <a:extLst>
            <a:ext uri="{FF2B5EF4-FFF2-40B4-BE49-F238E27FC236}">
              <a16:creationId xmlns:a16="http://schemas.microsoft.com/office/drawing/2014/main" id="{DCECD915-064F-36CB-28E9-DAB46DEC23E2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PROVIDE A UNIT PRICE FOR THE RENTAL OF TEMPORARY CHAIN LINK FENCE.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IN ACCORDANCE WITH SECTION C, C.10.3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ELIN A001FK THROUGH A001FP</a:t>
          </a:r>
        </a:p>
      </xdr:txBody>
    </xdr:sp>
    <xdr:clientData/>
  </xdr:twoCellAnchor>
  <xdr:twoCellAnchor>
    <xdr:from>
      <xdr:col>0</xdr:col>
      <xdr:colOff>0</xdr:colOff>
      <xdr:row>36</xdr:row>
      <xdr:rowOff>0</xdr:rowOff>
    </xdr:from>
    <xdr:to>
      <xdr:col>0</xdr:col>
      <xdr:colOff>0</xdr:colOff>
      <xdr:row>36</xdr:row>
      <xdr:rowOff>0</xdr:rowOff>
    </xdr:to>
    <xdr:sp macro="" textlink="">
      <xdr:nvSpPr>
        <xdr:cNvPr id="43" name="Text Box 190">
          <a:extLst>
            <a:ext uri="{FF2B5EF4-FFF2-40B4-BE49-F238E27FC236}">
              <a16:creationId xmlns:a16="http://schemas.microsoft.com/office/drawing/2014/main" id="{9B4B7131-A4A5-A7B1-A9AD-D6489DE449C3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36</xdr:row>
      <xdr:rowOff>0</xdr:rowOff>
    </xdr:from>
    <xdr:to>
      <xdr:col>0</xdr:col>
      <xdr:colOff>0</xdr:colOff>
      <xdr:row>36</xdr:row>
      <xdr:rowOff>0</xdr:rowOff>
    </xdr:to>
    <xdr:sp macro="" textlink="">
      <xdr:nvSpPr>
        <xdr:cNvPr id="44" name="Text Box 191">
          <a:extLst>
            <a:ext uri="{FF2B5EF4-FFF2-40B4-BE49-F238E27FC236}">
              <a16:creationId xmlns:a16="http://schemas.microsoft.com/office/drawing/2014/main" id="{33D11856-D014-70B8-4682-8D324B894B97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Temporary Chain link Fence.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6' Fence Height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Driven Posts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36</xdr:row>
      <xdr:rowOff>0</xdr:rowOff>
    </xdr:from>
    <xdr:to>
      <xdr:col>0</xdr:col>
      <xdr:colOff>0</xdr:colOff>
      <xdr:row>36</xdr:row>
      <xdr:rowOff>0</xdr:rowOff>
    </xdr:to>
    <xdr:sp macro="" textlink="">
      <xdr:nvSpPr>
        <xdr:cNvPr id="45" name="Text Box 192">
          <a:extLst>
            <a:ext uri="{FF2B5EF4-FFF2-40B4-BE49-F238E27FC236}">
              <a16:creationId xmlns:a16="http://schemas.microsoft.com/office/drawing/2014/main" id="{F0B3EBCE-F9B5-983A-C142-B75CFED91212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36</xdr:row>
      <xdr:rowOff>0</xdr:rowOff>
    </xdr:from>
    <xdr:to>
      <xdr:col>0</xdr:col>
      <xdr:colOff>0</xdr:colOff>
      <xdr:row>36</xdr:row>
      <xdr:rowOff>0</xdr:rowOff>
    </xdr:to>
    <xdr:sp macro="" textlink="">
      <xdr:nvSpPr>
        <xdr:cNvPr id="46" name="Text Box 193">
          <a:extLst>
            <a:ext uri="{FF2B5EF4-FFF2-40B4-BE49-F238E27FC236}">
              <a16:creationId xmlns:a16="http://schemas.microsoft.com/office/drawing/2014/main" id="{0A80CA16-8188-21B1-C536-960AA47E019C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Temporary Chain link Fence.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12' Panel, 6' Height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Driven Posts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36</xdr:row>
      <xdr:rowOff>0</xdr:rowOff>
    </xdr:from>
    <xdr:to>
      <xdr:col>0</xdr:col>
      <xdr:colOff>0</xdr:colOff>
      <xdr:row>36</xdr:row>
      <xdr:rowOff>0</xdr:rowOff>
    </xdr:to>
    <xdr:sp macro="" textlink="">
      <xdr:nvSpPr>
        <xdr:cNvPr id="47" name="Text Box 194">
          <a:extLst>
            <a:ext uri="{FF2B5EF4-FFF2-40B4-BE49-F238E27FC236}">
              <a16:creationId xmlns:a16="http://schemas.microsoft.com/office/drawing/2014/main" id="{ADB9246B-7639-BBC4-C9F3-7EED0760BC66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36</xdr:row>
      <xdr:rowOff>0</xdr:rowOff>
    </xdr:from>
    <xdr:to>
      <xdr:col>0</xdr:col>
      <xdr:colOff>0</xdr:colOff>
      <xdr:row>36</xdr:row>
      <xdr:rowOff>0</xdr:rowOff>
    </xdr:to>
    <xdr:sp macro="" textlink="">
      <xdr:nvSpPr>
        <xdr:cNvPr id="48" name="Text Box 195">
          <a:extLst>
            <a:ext uri="{FF2B5EF4-FFF2-40B4-BE49-F238E27FC236}">
              <a16:creationId xmlns:a16="http://schemas.microsoft.com/office/drawing/2014/main" id="{AD8C81A4-0F51-934E-C949-1E57810286F3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Temporary Chain link Fence.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12' Panel, 6' Height, Free-Standing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36</xdr:row>
      <xdr:rowOff>0</xdr:rowOff>
    </xdr:from>
    <xdr:to>
      <xdr:col>0</xdr:col>
      <xdr:colOff>0</xdr:colOff>
      <xdr:row>36</xdr:row>
      <xdr:rowOff>0</xdr:rowOff>
    </xdr:to>
    <xdr:sp macro="" textlink="">
      <xdr:nvSpPr>
        <xdr:cNvPr id="49" name="Text Box 196">
          <a:extLst>
            <a:ext uri="{FF2B5EF4-FFF2-40B4-BE49-F238E27FC236}">
              <a16:creationId xmlns:a16="http://schemas.microsoft.com/office/drawing/2014/main" id="{EDEAC510-9A24-0CFD-E4AF-EB7CE86F2347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36</xdr:row>
      <xdr:rowOff>0</xdr:rowOff>
    </xdr:from>
    <xdr:to>
      <xdr:col>0</xdr:col>
      <xdr:colOff>0</xdr:colOff>
      <xdr:row>36</xdr:row>
      <xdr:rowOff>0</xdr:rowOff>
    </xdr:to>
    <xdr:sp macro="" textlink="">
      <xdr:nvSpPr>
        <xdr:cNvPr id="50" name="Text Box 197">
          <a:extLst>
            <a:ext uri="{FF2B5EF4-FFF2-40B4-BE49-F238E27FC236}">
              <a16:creationId xmlns:a16="http://schemas.microsoft.com/office/drawing/2014/main" id="{50BF4CEE-CF17-02ED-0539-5876BE02C50D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36</xdr:row>
      <xdr:rowOff>0</xdr:rowOff>
    </xdr:from>
    <xdr:to>
      <xdr:col>0</xdr:col>
      <xdr:colOff>0</xdr:colOff>
      <xdr:row>36</xdr:row>
      <xdr:rowOff>0</xdr:rowOff>
    </xdr:to>
    <xdr:sp macro="" textlink="">
      <xdr:nvSpPr>
        <xdr:cNvPr id="51" name="Text Box 198">
          <a:extLst>
            <a:ext uri="{FF2B5EF4-FFF2-40B4-BE49-F238E27FC236}">
              <a16:creationId xmlns:a16="http://schemas.microsoft.com/office/drawing/2014/main" id="{8C996133-A0D0-FD20-D3A7-29DA51D36ABD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Temporary Chain link Fence.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Driven Posts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With Barbwire, 7' Fence Height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36</xdr:row>
      <xdr:rowOff>0</xdr:rowOff>
    </xdr:from>
    <xdr:to>
      <xdr:col>0</xdr:col>
      <xdr:colOff>0</xdr:colOff>
      <xdr:row>36</xdr:row>
      <xdr:rowOff>0</xdr:rowOff>
    </xdr:to>
    <xdr:sp macro="" textlink="">
      <xdr:nvSpPr>
        <xdr:cNvPr id="52" name="Text Box 199">
          <a:extLst>
            <a:ext uri="{FF2B5EF4-FFF2-40B4-BE49-F238E27FC236}">
              <a16:creationId xmlns:a16="http://schemas.microsoft.com/office/drawing/2014/main" id="{00842E24-9F0A-4F23-5977-9EB853F83B08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36</xdr:row>
      <xdr:rowOff>0</xdr:rowOff>
    </xdr:from>
    <xdr:to>
      <xdr:col>0</xdr:col>
      <xdr:colOff>0</xdr:colOff>
      <xdr:row>36</xdr:row>
      <xdr:rowOff>0</xdr:rowOff>
    </xdr:to>
    <xdr:sp macro="" textlink="">
      <xdr:nvSpPr>
        <xdr:cNvPr id="53" name="Text Box 200">
          <a:extLst>
            <a:ext uri="{FF2B5EF4-FFF2-40B4-BE49-F238E27FC236}">
              <a16:creationId xmlns:a16="http://schemas.microsoft.com/office/drawing/2014/main" id="{C95D3837-E3FE-0104-9DD2-4A2B3C43916C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Temporary Chain link Fence.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12' Panel, With Barbwire, 7' Height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Driven Posts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36</xdr:row>
      <xdr:rowOff>0</xdr:rowOff>
    </xdr:from>
    <xdr:to>
      <xdr:col>0</xdr:col>
      <xdr:colOff>0</xdr:colOff>
      <xdr:row>36</xdr:row>
      <xdr:rowOff>0</xdr:rowOff>
    </xdr:to>
    <xdr:sp macro="" textlink="">
      <xdr:nvSpPr>
        <xdr:cNvPr id="54" name="Text Box 201">
          <a:extLst>
            <a:ext uri="{FF2B5EF4-FFF2-40B4-BE49-F238E27FC236}">
              <a16:creationId xmlns:a16="http://schemas.microsoft.com/office/drawing/2014/main" id="{1D9CD191-B4BF-0A3E-424F-2D886A71673C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36</xdr:row>
      <xdr:rowOff>0</xdr:rowOff>
    </xdr:from>
    <xdr:to>
      <xdr:col>0</xdr:col>
      <xdr:colOff>0</xdr:colOff>
      <xdr:row>36</xdr:row>
      <xdr:rowOff>0</xdr:rowOff>
    </xdr:to>
    <xdr:sp macro="" textlink="">
      <xdr:nvSpPr>
        <xdr:cNvPr id="55" name="Text Box 202">
          <a:extLst>
            <a:ext uri="{FF2B5EF4-FFF2-40B4-BE49-F238E27FC236}">
              <a16:creationId xmlns:a16="http://schemas.microsoft.com/office/drawing/2014/main" id="{4778E73E-AF95-8258-908D-EE1C3200594B}"/>
            </a:ext>
          </a:extLst>
        </xdr:cNvPr>
        <xdr:cNvSpPr txBox="1">
          <a:spLocks noChangeArrowheads="1"/>
        </xdr:cNvSpPr>
      </xdr:nvSpPr>
      <xdr:spPr bwMode="auto">
        <a:xfrm>
          <a:off x="0" y="734282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Temporary Chain link Fence.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12' Panel, With Barbwire, 7' Height,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Free-Standing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2</xdr:col>
      <xdr:colOff>172689</xdr:colOff>
      <xdr:row>0</xdr:row>
      <xdr:rowOff>0</xdr:rowOff>
    </xdr:to>
    <xdr:sp macro="" textlink="">
      <xdr:nvSpPr>
        <xdr:cNvPr id="56" name="Text Box 223">
          <a:extLst>
            <a:ext uri="{FF2B5EF4-FFF2-40B4-BE49-F238E27FC236}">
              <a16:creationId xmlns:a16="http://schemas.microsoft.com/office/drawing/2014/main" id="{9C17693C-28A1-8C28-AA2F-0BFF17F03434}"/>
            </a:ext>
          </a:extLst>
        </xdr:cNvPr>
        <xdr:cNvSpPr txBox="1">
          <a:spLocks noChangeArrowheads="1"/>
        </xdr:cNvSpPr>
      </xdr:nvSpPr>
      <xdr:spPr bwMode="auto">
        <a:xfrm>
          <a:off x="666750" y="0"/>
          <a:ext cx="3276600" cy="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Line Item 0002     Base Year - Indefinite Quantity Work</a:t>
          </a: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ELIN A0016 through A0030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3</xdr:col>
      <xdr:colOff>634807</xdr:colOff>
      <xdr:row>0</xdr:row>
      <xdr:rowOff>0</xdr:rowOff>
    </xdr:to>
    <xdr:sp macro="" textlink="">
      <xdr:nvSpPr>
        <xdr:cNvPr id="57" name="Text Box 225">
          <a:extLst>
            <a:ext uri="{FF2B5EF4-FFF2-40B4-BE49-F238E27FC236}">
              <a16:creationId xmlns:a16="http://schemas.microsoft.com/office/drawing/2014/main" id="{3EEA3B90-C993-99AC-6365-58F52F7031E5}"/>
            </a:ext>
          </a:extLst>
        </xdr:cNvPr>
        <xdr:cNvSpPr txBox="1">
          <a:spLocks noChangeArrowheads="1"/>
        </xdr:cNvSpPr>
      </xdr:nvSpPr>
      <xdr:spPr bwMode="auto">
        <a:xfrm>
          <a:off x="666750" y="0"/>
          <a:ext cx="4457700" cy="0"/>
        </a:xfrm>
        <a:prstGeom prst="rect">
          <a:avLst/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PROVIDE UNIT PRICES FOR INDEFINITE QUANTITY WORK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IN ACCORDANCE WITH SECTION C, Item 4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ELIN A0016 through A0030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9D555-AEF9-4687-A9A8-2B41248BC18D}">
  <sheetPr>
    <pageSetUpPr fitToPage="1"/>
  </sheetPr>
  <dimension ref="A1:K19"/>
  <sheetViews>
    <sheetView tabSelected="1" zoomScaleNormal="100" workbookViewId="0">
      <selection activeCell="I18" sqref="I18"/>
    </sheetView>
  </sheetViews>
  <sheetFormatPr defaultRowHeight="12.75" x14ac:dyDescent="0.2"/>
  <cols>
    <col min="1" max="1" width="5.5703125" style="78" customWidth="1"/>
    <col min="2" max="2" width="34.140625" style="78" customWidth="1"/>
    <col min="3" max="3" width="17.85546875" style="78" customWidth="1"/>
    <col min="4" max="4" width="18.85546875" style="82" customWidth="1"/>
    <col min="5" max="5" width="24.7109375" style="78" customWidth="1"/>
    <col min="6" max="6" width="9.42578125" style="78" customWidth="1"/>
    <col min="7" max="7" width="5.85546875" style="78" customWidth="1"/>
    <col min="8" max="8" width="22" style="78" customWidth="1"/>
    <col min="9" max="9" width="19.5703125" style="78" customWidth="1"/>
    <col min="10" max="10" width="19.42578125" style="78" customWidth="1"/>
    <col min="11" max="11" width="21.140625" style="78" customWidth="1"/>
    <col min="12" max="16384" width="9.140625" style="78"/>
  </cols>
  <sheetData>
    <row r="1" spans="1:11" x14ac:dyDescent="0.2">
      <c r="A1" s="144"/>
      <c r="B1" s="145"/>
      <c r="C1" s="145"/>
      <c r="D1" s="145"/>
      <c r="E1" s="145"/>
      <c r="F1" s="145"/>
      <c r="G1" s="146"/>
      <c r="H1" s="77"/>
      <c r="I1" s="77"/>
    </row>
    <row r="2" spans="1:11" ht="15.75" x14ac:dyDescent="0.2">
      <c r="A2" s="147" t="s">
        <v>467</v>
      </c>
      <c r="B2" s="139"/>
      <c r="C2" s="139"/>
      <c r="D2" s="139"/>
      <c r="E2" s="139"/>
      <c r="F2" s="139"/>
      <c r="G2" s="148"/>
      <c r="H2" s="130"/>
      <c r="I2" s="130"/>
      <c r="J2" s="77"/>
    </row>
    <row r="3" spans="1:11" ht="15.75" x14ac:dyDescent="0.2">
      <c r="A3" s="147" t="s">
        <v>0</v>
      </c>
      <c r="B3" s="139"/>
      <c r="C3" s="139"/>
      <c r="D3" s="139"/>
      <c r="E3" s="139"/>
      <c r="F3" s="139"/>
      <c r="G3" s="148"/>
      <c r="H3" s="130"/>
      <c r="I3" s="130"/>
      <c r="J3" s="77"/>
    </row>
    <row r="4" spans="1:11" ht="16.5" thickBot="1" x14ac:dyDescent="0.25">
      <c r="A4" s="149" t="s">
        <v>466</v>
      </c>
      <c r="B4" s="150"/>
      <c r="C4" s="150"/>
      <c r="D4" s="150"/>
      <c r="E4" s="150"/>
      <c r="F4" s="150"/>
      <c r="G4" s="151"/>
      <c r="H4" s="130"/>
      <c r="I4" s="130"/>
      <c r="J4" s="77"/>
    </row>
    <row r="5" spans="1:11" ht="15.75" x14ac:dyDescent="0.2">
      <c r="A5" s="130"/>
      <c r="B5" s="130"/>
      <c r="C5" s="130"/>
      <c r="D5" s="130"/>
      <c r="E5" s="130"/>
      <c r="F5" s="130"/>
      <c r="G5" s="130"/>
      <c r="H5" s="130"/>
      <c r="I5" s="130"/>
      <c r="J5" s="77"/>
    </row>
    <row r="6" spans="1:11" ht="15.75" x14ac:dyDescent="0.25">
      <c r="A6" s="152" t="s">
        <v>2</v>
      </c>
      <c r="B6" s="152"/>
      <c r="C6" s="152"/>
      <c r="D6" s="152"/>
      <c r="E6" s="152"/>
      <c r="F6" s="152"/>
      <c r="G6" s="152"/>
      <c r="H6" s="131"/>
      <c r="I6" s="131"/>
    </row>
    <row r="7" spans="1:11" ht="60" customHeight="1" x14ac:dyDescent="0.25">
      <c r="A7" s="79"/>
      <c r="B7" s="153" t="s">
        <v>468</v>
      </c>
      <c r="C7" s="153"/>
      <c r="D7" s="153"/>
      <c r="E7" s="153"/>
      <c r="F7" s="153"/>
      <c r="G7" s="153"/>
      <c r="H7" s="81"/>
      <c r="I7" s="80"/>
    </row>
    <row r="8" spans="1:11" ht="36" customHeight="1" x14ac:dyDescent="0.25">
      <c r="A8" s="140" t="s">
        <v>3</v>
      </c>
      <c r="B8" s="140"/>
      <c r="C8" s="140"/>
      <c r="D8" s="140"/>
      <c r="E8" s="140"/>
      <c r="F8" s="140"/>
      <c r="G8" s="140"/>
      <c r="H8" s="131"/>
      <c r="I8" s="131"/>
    </row>
    <row r="9" spans="1:11" ht="27.75" customHeight="1" thickBot="1" x14ac:dyDescent="0.25">
      <c r="H9" s="139"/>
      <c r="I9" s="139"/>
      <c r="J9" s="139"/>
      <c r="K9" s="139"/>
    </row>
    <row r="10" spans="1:11" ht="31.5" customHeight="1" x14ac:dyDescent="0.25">
      <c r="B10" s="141" t="s">
        <v>4</v>
      </c>
      <c r="C10" s="142"/>
      <c r="D10" s="142"/>
      <c r="E10" s="143"/>
      <c r="H10" s="121"/>
      <c r="I10" s="122"/>
      <c r="J10" s="123"/>
      <c r="K10" s="123"/>
    </row>
    <row r="11" spans="1:11" ht="31.5" customHeight="1" x14ac:dyDescent="0.25">
      <c r="B11" s="83"/>
      <c r="C11" s="84" t="s">
        <v>5</v>
      </c>
      <c r="D11" s="84" t="s">
        <v>6</v>
      </c>
      <c r="E11" s="85" t="s">
        <v>7</v>
      </c>
      <c r="H11" s="130"/>
      <c r="I11" s="130"/>
      <c r="J11" s="120"/>
      <c r="K11" s="130"/>
    </row>
    <row r="12" spans="1:11" ht="31.5" customHeight="1" x14ac:dyDescent="0.2">
      <c r="B12" s="86" t="s">
        <v>8</v>
      </c>
      <c r="C12" s="87">
        <f>'ELIN-Base Period-Recurring'!F32</f>
        <v>0</v>
      </c>
      <c r="D12" s="88">
        <f>'ELIN Base Period-Non Recurring'!G16</f>
        <v>150000</v>
      </c>
      <c r="E12" s="89">
        <f t="shared" ref="E12:E17" si="0">SUM(C12:D12)</f>
        <v>150000</v>
      </c>
      <c r="H12" s="124"/>
      <c r="I12" s="119"/>
      <c r="J12" s="119"/>
      <c r="K12" s="126"/>
    </row>
    <row r="13" spans="1:11" ht="31.5" customHeight="1" x14ac:dyDescent="0.2">
      <c r="B13" s="86" t="s">
        <v>9</v>
      </c>
      <c r="C13" s="87">
        <f>'ELIN-1st Opt Period-Recurring '!F32</f>
        <v>0</v>
      </c>
      <c r="D13" s="88">
        <f>'ELIN 1st Opt Non-Recurring'!G16</f>
        <v>150000</v>
      </c>
      <c r="E13" s="89">
        <f t="shared" si="0"/>
        <v>150000</v>
      </c>
      <c r="H13" s="124"/>
      <c r="I13" s="119"/>
      <c r="J13" s="119"/>
      <c r="K13" s="125"/>
    </row>
    <row r="14" spans="1:11" ht="32.25" customHeight="1" x14ac:dyDescent="0.2">
      <c r="B14" s="86" t="s">
        <v>10</v>
      </c>
      <c r="C14" s="87">
        <f>'ELIN- 2nd Opt Period-Recurring '!F32</f>
        <v>0</v>
      </c>
      <c r="D14" s="88">
        <f>'ELIN 2nd Opt Non-Recurring '!G16</f>
        <v>150000</v>
      </c>
      <c r="E14" s="89">
        <f t="shared" si="0"/>
        <v>150000</v>
      </c>
      <c r="H14" s="124"/>
      <c r="I14" s="119"/>
      <c r="J14" s="119"/>
      <c r="K14" s="125"/>
    </row>
    <row r="15" spans="1:11" ht="31.5" customHeight="1" x14ac:dyDescent="0.2">
      <c r="B15" s="86" t="s">
        <v>11</v>
      </c>
      <c r="C15" s="87">
        <f>'ELIN- 3rd Opt Period-Recurring'!F32</f>
        <v>0</v>
      </c>
      <c r="D15" s="88">
        <f>'ELIN 3rd Opt Non-Recurring '!G16</f>
        <v>150000</v>
      </c>
      <c r="E15" s="89">
        <f t="shared" si="0"/>
        <v>150000</v>
      </c>
      <c r="H15" s="124"/>
      <c r="I15" s="119"/>
      <c r="J15" s="119"/>
      <c r="K15" s="125"/>
    </row>
    <row r="16" spans="1:11" ht="31.5" customHeight="1" x14ac:dyDescent="0.2">
      <c r="B16" s="90" t="s">
        <v>12</v>
      </c>
      <c r="C16" s="91">
        <f>'ELIN- 4th Opt Period-Recurring'!F32</f>
        <v>0</v>
      </c>
      <c r="D16" s="92">
        <f>'ELIN 4th Opt Non-Recurring '!G16</f>
        <v>150000</v>
      </c>
      <c r="E16" s="89">
        <f t="shared" si="0"/>
        <v>150000</v>
      </c>
      <c r="H16" s="124"/>
      <c r="I16" s="119"/>
      <c r="J16" s="119"/>
      <c r="K16" s="125"/>
    </row>
    <row r="17" spans="2:11" ht="31.5" customHeight="1" thickBot="1" x14ac:dyDescent="0.3">
      <c r="B17" s="93" t="s">
        <v>13</v>
      </c>
      <c r="C17" s="94">
        <f>SUM(C12:C16)</f>
        <v>0</v>
      </c>
      <c r="D17" s="95">
        <f>SUM(D12:D16)</f>
        <v>750000</v>
      </c>
      <c r="E17" s="96">
        <f t="shared" si="0"/>
        <v>750000</v>
      </c>
      <c r="H17" s="130"/>
      <c r="I17" s="123"/>
      <c r="J17" s="123"/>
      <c r="K17" s="123"/>
    </row>
    <row r="18" spans="2:11" ht="31.5" customHeight="1" x14ac:dyDescent="0.2">
      <c r="H18" s="77"/>
      <c r="I18" s="77"/>
      <c r="J18" s="77"/>
      <c r="K18" s="77"/>
    </row>
    <row r="19" spans="2:11" ht="31.5" customHeight="1" x14ac:dyDescent="0.2"/>
  </sheetData>
  <mergeCells count="9">
    <mergeCell ref="H9:K9"/>
    <mergeCell ref="A8:G8"/>
    <mergeCell ref="B10:E10"/>
    <mergeCell ref="A1:G1"/>
    <mergeCell ref="A2:G2"/>
    <mergeCell ref="A3:G3"/>
    <mergeCell ref="A4:G4"/>
    <mergeCell ref="A6:G6"/>
    <mergeCell ref="B7:G7"/>
  </mergeCells>
  <pageMargins left="0.7" right="0.7" top="0.75" bottom="0.75" header="0.3" footer="0.3"/>
  <pageSetup scale="9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2884D-BC8E-4DAA-AE8A-9B1139D0CE9D}">
  <sheetPr>
    <pageSetUpPr fitToPage="1"/>
  </sheetPr>
  <dimension ref="A1:P35"/>
  <sheetViews>
    <sheetView topLeftCell="A6" zoomScale="130" zoomScaleNormal="130" workbookViewId="0">
      <selection activeCell="B22" sqref="B22"/>
    </sheetView>
  </sheetViews>
  <sheetFormatPr defaultRowHeight="12.75" x14ac:dyDescent="0.2"/>
  <cols>
    <col min="1" max="1" width="10" style="1" customWidth="1"/>
    <col min="2" max="2" width="49" style="1" customWidth="1"/>
    <col min="3" max="3" width="10.5703125" style="1" customWidth="1"/>
    <col min="4" max="4" width="12.5703125" style="1" customWidth="1"/>
    <col min="5" max="5" width="10.7109375" style="1" customWidth="1"/>
    <col min="6" max="7" width="11.7109375" style="1" customWidth="1"/>
    <col min="8" max="8" width="9.140625" style="1"/>
    <col min="9" max="9" width="16.7109375" style="1" customWidth="1"/>
    <col min="10" max="10" width="17.42578125" style="1" customWidth="1"/>
    <col min="11" max="11" width="17" style="1" customWidth="1"/>
    <col min="12" max="15" width="9.140625" style="1"/>
    <col min="16" max="16" width="9.85546875" style="1" bestFit="1" customWidth="1"/>
    <col min="17" max="16384" width="9.140625" style="1"/>
  </cols>
  <sheetData>
    <row r="1" spans="1:16" x14ac:dyDescent="0.2">
      <c r="A1" s="48"/>
      <c r="B1" s="49"/>
      <c r="C1" s="49"/>
      <c r="D1" s="49"/>
      <c r="E1" s="49"/>
      <c r="F1" s="49"/>
      <c r="G1" s="50"/>
    </row>
    <row r="2" spans="1:16" x14ac:dyDescent="0.2">
      <c r="A2" s="154" t="s">
        <v>455</v>
      </c>
      <c r="B2" s="155"/>
      <c r="C2" s="155"/>
      <c r="D2" s="155"/>
      <c r="E2" s="155"/>
      <c r="F2" s="155"/>
      <c r="G2" s="156"/>
    </row>
    <row r="3" spans="1:16" x14ac:dyDescent="0.2">
      <c r="A3" s="154" t="s">
        <v>0</v>
      </c>
      <c r="B3" s="155"/>
      <c r="C3" s="155"/>
      <c r="D3" s="155"/>
      <c r="E3" s="155"/>
      <c r="F3" s="155"/>
      <c r="G3" s="156"/>
    </row>
    <row r="4" spans="1:16" x14ac:dyDescent="0.2">
      <c r="A4" s="157" t="s">
        <v>14</v>
      </c>
      <c r="B4" s="158"/>
      <c r="C4" s="158"/>
      <c r="D4" s="158"/>
      <c r="E4" s="158"/>
      <c r="F4" s="158"/>
      <c r="G4" s="159"/>
    </row>
    <row r="5" spans="1:16" x14ac:dyDescent="0.2">
      <c r="A5" s="154" t="s">
        <v>456</v>
      </c>
      <c r="B5" s="155"/>
      <c r="C5" s="155"/>
      <c r="D5" s="155"/>
      <c r="E5" s="155"/>
      <c r="F5" s="155"/>
      <c r="G5" s="156"/>
    </row>
    <row r="6" spans="1:16" ht="14.25" x14ac:dyDescent="0.2">
      <c r="A6" s="128"/>
      <c r="B6" s="25"/>
      <c r="C6" s="26"/>
      <c r="D6" s="27"/>
      <c r="E6" s="27"/>
      <c r="F6" s="132"/>
      <c r="G6" s="133"/>
    </row>
    <row r="7" spans="1:16" ht="14.25" x14ac:dyDescent="0.2">
      <c r="A7" s="163" t="s">
        <v>15</v>
      </c>
      <c r="B7" s="164"/>
      <c r="C7" s="164"/>
      <c r="D7" s="164"/>
      <c r="E7" s="164"/>
      <c r="F7" s="164"/>
      <c r="G7" s="165"/>
    </row>
    <row r="8" spans="1:16" x14ac:dyDescent="0.2">
      <c r="A8" s="169" t="s">
        <v>16</v>
      </c>
      <c r="B8" s="170"/>
      <c r="C8" s="170"/>
      <c r="D8" s="170"/>
      <c r="E8" s="170"/>
      <c r="F8" s="170"/>
      <c r="G8" s="171"/>
    </row>
    <row r="9" spans="1:16" s="34" customFormat="1" x14ac:dyDescent="0.2">
      <c r="A9" s="166" t="s">
        <v>450</v>
      </c>
      <c r="B9" s="167"/>
      <c r="C9" s="167"/>
      <c r="D9" s="167"/>
      <c r="E9" s="167"/>
      <c r="F9" s="167"/>
      <c r="G9" s="168"/>
    </row>
    <row r="10" spans="1:16" ht="13.5" thickBot="1" x14ac:dyDescent="0.25">
      <c r="A10" s="160" t="s">
        <v>17</v>
      </c>
      <c r="B10" s="161"/>
      <c r="C10" s="161"/>
      <c r="D10" s="161"/>
      <c r="E10" s="161"/>
      <c r="F10" s="161"/>
      <c r="G10" s="162"/>
    </row>
    <row r="11" spans="1:16" ht="25.5" x14ac:dyDescent="0.2">
      <c r="A11" s="98" t="s">
        <v>18</v>
      </c>
      <c r="B11" s="45" t="s">
        <v>19</v>
      </c>
      <c r="C11" s="46" t="s">
        <v>20</v>
      </c>
      <c r="D11" s="44" t="s">
        <v>21</v>
      </c>
      <c r="E11" s="47" t="s">
        <v>22</v>
      </c>
      <c r="F11" s="47" t="s">
        <v>23</v>
      </c>
      <c r="G11" s="45" t="s">
        <v>24</v>
      </c>
    </row>
    <row r="12" spans="1:16" x14ac:dyDescent="0.2">
      <c r="A12" s="40"/>
      <c r="B12" s="10"/>
      <c r="C12" s="11"/>
      <c r="D12" s="12"/>
      <c r="E12" s="13"/>
      <c r="F12" s="14"/>
      <c r="G12" s="39"/>
    </row>
    <row r="13" spans="1:16" s="23" customFormat="1" ht="25.5" x14ac:dyDescent="0.2">
      <c r="A13" s="17" t="s">
        <v>25</v>
      </c>
      <c r="B13" s="127" t="s">
        <v>26</v>
      </c>
      <c r="C13" s="18"/>
      <c r="D13" s="20"/>
      <c r="E13" s="21"/>
      <c r="F13" s="22"/>
      <c r="G13" s="38"/>
      <c r="H13" s="23" t="s">
        <v>17</v>
      </c>
      <c r="J13" s="103"/>
      <c r="K13" s="103"/>
      <c r="L13" s="103"/>
      <c r="M13" s="103"/>
      <c r="N13" s="103"/>
      <c r="O13" s="103"/>
      <c r="P13" s="103"/>
    </row>
    <row r="14" spans="1:16" x14ac:dyDescent="0.2">
      <c r="A14" s="41" t="s">
        <v>27</v>
      </c>
      <c r="B14" s="35" t="s">
        <v>28</v>
      </c>
      <c r="C14" s="15">
        <v>12</v>
      </c>
      <c r="D14" s="16" t="s">
        <v>29</v>
      </c>
      <c r="E14" s="24">
        <v>0</v>
      </c>
      <c r="F14" s="24">
        <f>E14*C14</f>
        <v>0</v>
      </c>
      <c r="G14" s="39"/>
      <c r="I14" s="102"/>
      <c r="J14" s="102"/>
      <c r="K14" s="102"/>
      <c r="P14" s="102"/>
    </row>
    <row r="15" spans="1:16" x14ac:dyDescent="0.2">
      <c r="A15" s="41" t="s">
        <v>30</v>
      </c>
      <c r="B15" s="35" t="s">
        <v>31</v>
      </c>
      <c r="C15" s="15">
        <v>12</v>
      </c>
      <c r="D15" s="16" t="s">
        <v>29</v>
      </c>
      <c r="E15" s="24">
        <v>0</v>
      </c>
      <c r="F15" s="24">
        <f>E15*C15</f>
        <v>0</v>
      </c>
      <c r="G15" s="39"/>
      <c r="I15" s="102"/>
      <c r="J15" s="102"/>
      <c r="K15" s="102"/>
    </row>
    <row r="16" spans="1:16" x14ac:dyDescent="0.2">
      <c r="A16" s="41" t="s">
        <v>32</v>
      </c>
      <c r="B16" s="35" t="s">
        <v>33</v>
      </c>
      <c r="C16" s="15">
        <v>12</v>
      </c>
      <c r="D16" s="16" t="s">
        <v>29</v>
      </c>
      <c r="E16" s="24">
        <v>0</v>
      </c>
      <c r="F16" s="24">
        <f>E16*C16</f>
        <v>0</v>
      </c>
      <c r="G16" s="39"/>
      <c r="I16" s="102"/>
      <c r="J16" s="102"/>
      <c r="K16" s="102"/>
    </row>
    <row r="17" spans="1:13" x14ac:dyDescent="0.2">
      <c r="A17" s="41" t="s">
        <v>34</v>
      </c>
      <c r="B17" s="35" t="s">
        <v>35</v>
      </c>
      <c r="C17" s="15">
        <v>12</v>
      </c>
      <c r="D17" s="16" t="s">
        <v>29</v>
      </c>
      <c r="E17" s="24">
        <v>0</v>
      </c>
      <c r="F17" s="24">
        <f t="shared" ref="F17:F19" si="0">E17*C17</f>
        <v>0</v>
      </c>
      <c r="G17" s="39"/>
      <c r="I17" s="102"/>
      <c r="J17" s="102"/>
      <c r="K17" s="102"/>
    </row>
    <row r="18" spans="1:13" x14ac:dyDescent="0.2">
      <c r="A18" s="99" t="s">
        <v>36</v>
      </c>
      <c r="B18" s="35" t="s">
        <v>37</v>
      </c>
      <c r="C18" s="15">
        <v>12</v>
      </c>
      <c r="D18" s="16" t="s">
        <v>29</v>
      </c>
      <c r="E18" s="24">
        <v>0</v>
      </c>
      <c r="F18" s="24">
        <f t="shared" si="0"/>
        <v>0</v>
      </c>
      <c r="G18" s="39"/>
      <c r="I18" s="102"/>
      <c r="J18" s="102"/>
      <c r="K18" s="102"/>
    </row>
    <row r="19" spans="1:13" x14ac:dyDescent="0.2">
      <c r="A19" s="39" t="s">
        <v>38</v>
      </c>
      <c r="B19" s="35" t="s">
        <v>39</v>
      </c>
      <c r="C19" s="15">
        <v>12</v>
      </c>
      <c r="D19" s="16" t="s">
        <v>40</v>
      </c>
      <c r="E19" s="24">
        <v>0</v>
      </c>
      <c r="F19" s="24">
        <f t="shared" si="0"/>
        <v>0</v>
      </c>
      <c r="G19" s="39"/>
      <c r="I19" s="102"/>
      <c r="J19" s="102"/>
      <c r="K19" s="102"/>
    </row>
    <row r="20" spans="1:13" x14ac:dyDescent="0.2">
      <c r="A20" s="41"/>
      <c r="B20" s="17" t="s">
        <v>41</v>
      </c>
      <c r="C20" s="134"/>
      <c r="D20" s="135"/>
      <c r="E20" s="24"/>
      <c r="F20" s="51">
        <f>SUM(F14:F19)</f>
        <v>0</v>
      </c>
      <c r="G20" s="136"/>
      <c r="I20" s="102"/>
    </row>
    <row r="21" spans="1:13" x14ac:dyDescent="0.2">
      <c r="A21" s="41"/>
      <c r="B21" s="35"/>
      <c r="C21" s="15"/>
      <c r="D21" s="16"/>
      <c r="E21" s="24"/>
      <c r="F21" s="24"/>
      <c r="G21" s="39"/>
      <c r="I21" s="102"/>
    </row>
    <row r="22" spans="1:13" s="23" customFormat="1" x14ac:dyDescent="0.2">
      <c r="A22" s="17" t="s">
        <v>42</v>
      </c>
      <c r="B22" s="19" t="s">
        <v>43</v>
      </c>
      <c r="C22" s="18"/>
      <c r="D22" s="20"/>
      <c r="E22" s="24"/>
      <c r="F22" s="22"/>
      <c r="G22" s="38"/>
      <c r="I22" s="102"/>
    </row>
    <row r="23" spans="1:13" x14ac:dyDescent="0.2">
      <c r="A23" s="41" t="s">
        <v>44</v>
      </c>
      <c r="B23" s="35" t="s">
        <v>28</v>
      </c>
      <c r="C23" s="15">
        <v>12</v>
      </c>
      <c r="D23" s="16" t="s">
        <v>29</v>
      </c>
      <c r="E23" s="24">
        <v>0</v>
      </c>
      <c r="F23" s="24">
        <f t="shared" ref="F23:F28" si="1">E23*C23</f>
        <v>0</v>
      </c>
      <c r="G23" s="39"/>
      <c r="I23" s="102"/>
    </row>
    <row r="24" spans="1:13" x14ac:dyDescent="0.2">
      <c r="A24" s="41" t="s">
        <v>45</v>
      </c>
      <c r="B24" s="35" t="s">
        <v>31</v>
      </c>
      <c r="C24" s="15">
        <v>12</v>
      </c>
      <c r="D24" s="16" t="s">
        <v>29</v>
      </c>
      <c r="E24" s="24">
        <v>0</v>
      </c>
      <c r="F24" s="24">
        <f t="shared" si="1"/>
        <v>0</v>
      </c>
      <c r="G24" s="39"/>
      <c r="I24" s="102"/>
      <c r="K24" s="1" t="s">
        <v>17</v>
      </c>
    </row>
    <row r="25" spans="1:13" x14ac:dyDescent="0.2">
      <c r="A25" s="41" t="s">
        <v>46</v>
      </c>
      <c r="B25" s="35" t="s">
        <v>33</v>
      </c>
      <c r="C25" s="15">
        <v>12</v>
      </c>
      <c r="D25" s="16" t="s">
        <v>29</v>
      </c>
      <c r="E25" s="24">
        <v>0</v>
      </c>
      <c r="F25" s="24">
        <f t="shared" si="1"/>
        <v>0</v>
      </c>
      <c r="G25" s="39"/>
      <c r="I25" s="102"/>
    </row>
    <row r="26" spans="1:13" x14ac:dyDescent="0.2">
      <c r="A26" s="41" t="s">
        <v>47</v>
      </c>
      <c r="B26" s="35" t="s">
        <v>35</v>
      </c>
      <c r="C26" s="15">
        <v>12</v>
      </c>
      <c r="D26" s="16" t="s">
        <v>29</v>
      </c>
      <c r="E26" s="24">
        <v>0</v>
      </c>
      <c r="F26" s="24">
        <f t="shared" si="1"/>
        <v>0</v>
      </c>
      <c r="G26" s="39"/>
      <c r="I26" s="102"/>
      <c r="M26" s="1" t="s">
        <v>17</v>
      </c>
    </row>
    <row r="27" spans="1:13" x14ac:dyDescent="0.2">
      <c r="A27" s="41" t="s">
        <v>48</v>
      </c>
      <c r="B27" s="35" t="s">
        <v>37</v>
      </c>
      <c r="C27" s="15">
        <v>12</v>
      </c>
      <c r="D27" s="16" t="s">
        <v>29</v>
      </c>
      <c r="E27" s="24">
        <v>0</v>
      </c>
      <c r="F27" s="24">
        <f t="shared" si="1"/>
        <v>0</v>
      </c>
      <c r="G27" s="39"/>
      <c r="I27" s="102"/>
    </row>
    <row r="28" spans="1:13" x14ac:dyDescent="0.2">
      <c r="A28" s="99" t="s">
        <v>49</v>
      </c>
      <c r="B28" s="35" t="s">
        <v>39</v>
      </c>
      <c r="C28" s="15">
        <v>2</v>
      </c>
      <c r="D28" s="16" t="s">
        <v>40</v>
      </c>
      <c r="E28" s="24">
        <v>0</v>
      </c>
      <c r="F28" s="24">
        <f t="shared" si="1"/>
        <v>0</v>
      </c>
      <c r="G28" s="39"/>
      <c r="I28" s="102"/>
      <c r="L28" s="1" t="s">
        <v>17</v>
      </c>
    </row>
    <row r="29" spans="1:13" x14ac:dyDescent="0.2">
      <c r="A29" s="41"/>
      <c r="B29" s="17" t="s">
        <v>50</v>
      </c>
      <c r="C29" s="134"/>
      <c r="D29" s="135"/>
      <c r="E29" s="24"/>
      <c r="F29" s="51">
        <f>SUM(F23:F28)</f>
        <v>0</v>
      </c>
      <c r="G29" s="136"/>
      <c r="I29" s="102"/>
    </row>
    <row r="30" spans="1:13" x14ac:dyDescent="0.2">
      <c r="A30" s="41"/>
      <c r="B30" s="17"/>
      <c r="C30" s="15"/>
      <c r="D30" s="16"/>
      <c r="E30" s="36"/>
      <c r="F30" s="37"/>
      <c r="G30" s="39"/>
      <c r="K30" s="102"/>
    </row>
    <row r="31" spans="1:13" x14ac:dyDescent="0.2">
      <c r="A31" s="41"/>
      <c r="B31" s="17"/>
      <c r="C31" s="15"/>
      <c r="D31" s="16"/>
      <c r="E31" s="36"/>
      <c r="F31" s="37"/>
      <c r="G31" s="39"/>
    </row>
    <row r="32" spans="1:13" ht="26.25" x14ac:dyDescent="0.25">
      <c r="A32" s="41"/>
      <c r="B32" s="76" t="s">
        <v>51</v>
      </c>
      <c r="C32" s="17"/>
      <c r="D32" s="42"/>
      <c r="E32" s="43" t="s">
        <v>52</v>
      </c>
      <c r="F32" s="97">
        <f>F20+F29</f>
        <v>0</v>
      </c>
      <c r="G32" s="39"/>
    </row>
    <row r="33" spans="2:6" x14ac:dyDescent="0.2">
      <c r="B33" s="2"/>
      <c r="C33" s="3"/>
      <c r="D33" s="4"/>
      <c r="E33" s="5"/>
      <c r="F33" s="5"/>
    </row>
    <row r="35" spans="2:6" x14ac:dyDescent="0.2">
      <c r="B35" s="2"/>
      <c r="C35" s="3"/>
      <c r="D35" s="4"/>
      <c r="E35" s="5"/>
      <c r="F35" s="5"/>
    </row>
  </sheetData>
  <mergeCells count="8">
    <mergeCell ref="A2:G2"/>
    <mergeCell ref="A3:G3"/>
    <mergeCell ref="A4:G4"/>
    <mergeCell ref="A5:G5"/>
    <mergeCell ref="A10:G10"/>
    <mergeCell ref="A7:G7"/>
    <mergeCell ref="A9:G9"/>
    <mergeCell ref="A8:G8"/>
  </mergeCells>
  <phoneticPr fontId="0" type="noConversion"/>
  <printOptions horizontalCentered="1"/>
  <pageMargins left="1" right="1" top="1" bottom="1" header="0.5" footer="0.5"/>
  <pageSetup scale="66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47780-0BB1-4C51-B07D-2925B02340D8}">
  <sheetPr>
    <pageSetUpPr fitToPage="1"/>
  </sheetPr>
  <dimension ref="A1:H176"/>
  <sheetViews>
    <sheetView zoomScale="99" zoomScaleNormal="99" workbookViewId="0">
      <selection activeCell="O14" sqref="O14"/>
    </sheetView>
  </sheetViews>
  <sheetFormatPr defaultRowHeight="12.75" x14ac:dyDescent="0.2"/>
  <cols>
    <col min="1" max="1" width="8.7109375" style="1" customWidth="1"/>
    <col min="2" max="2" width="25.7109375" style="1" customWidth="1"/>
    <col min="3" max="3" width="45.85546875" style="1" customWidth="1"/>
    <col min="4" max="6" width="12.7109375" style="1" customWidth="1"/>
    <col min="7" max="7" width="14.140625" style="1" customWidth="1"/>
    <col min="8" max="8" width="8.7109375" style="1" customWidth="1"/>
    <col min="9" max="16384" width="9.140625" style="1"/>
  </cols>
  <sheetData>
    <row r="1" spans="1:8" x14ac:dyDescent="0.2">
      <c r="A1" s="155" t="s">
        <v>455</v>
      </c>
      <c r="B1" s="155"/>
      <c r="C1" s="155"/>
      <c r="D1" s="155"/>
      <c r="E1" s="155"/>
      <c r="F1" s="155"/>
      <c r="G1" s="155"/>
      <c r="H1" s="155"/>
    </row>
    <row r="2" spans="1:8" x14ac:dyDescent="0.2">
      <c r="A2" s="155" t="s">
        <v>0</v>
      </c>
      <c r="B2" s="155"/>
      <c r="C2" s="155"/>
      <c r="D2" s="155"/>
      <c r="E2" s="155"/>
      <c r="F2" s="155"/>
      <c r="G2" s="155"/>
      <c r="H2" s="155"/>
    </row>
    <row r="3" spans="1:8" x14ac:dyDescent="0.2">
      <c r="A3" s="158" t="s">
        <v>14</v>
      </c>
      <c r="B3" s="158"/>
      <c r="C3" s="158"/>
      <c r="D3" s="158"/>
      <c r="E3" s="158"/>
      <c r="F3" s="158"/>
      <c r="G3" s="158"/>
      <c r="H3" s="158"/>
    </row>
    <row r="4" spans="1:8" x14ac:dyDescent="0.2">
      <c r="A4" s="155" t="s">
        <v>457</v>
      </c>
      <c r="B4" s="155"/>
      <c r="C4" s="155"/>
      <c r="D4" s="155"/>
      <c r="E4" s="155"/>
      <c r="F4" s="155"/>
      <c r="G4" s="155"/>
      <c r="H4" s="155"/>
    </row>
    <row r="5" spans="1:8" x14ac:dyDescent="0.2">
      <c r="A5" s="56"/>
      <c r="B5" s="7"/>
      <c r="C5" s="7"/>
      <c r="D5" s="7"/>
      <c r="E5" s="7"/>
      <c r="F5" s="7"/>
      <c r="G5" s="7"/>
      <c r="H5" s="7"/>
    </row>
    <row r="6" spans="1:8" x14ac:dyDescent="0.2">
      <c r="A6" s="172" t="s">
        <v>53</v>
      </c>
      <c r="B6" s="172"/>
      <c r="C6" s="172"/>
      <c r="D6" s="172"/>
      <c r="E6" s="172"/>
      <c r="F6" s="172"/>
      <c r="G6" s="172"/>
      <c r="H6" s="172"/>
    </row>
    <row r="7" spans="1:8" x14ac:dyDescent="0.2">
      <c r="A7" s="173" t="s">
        <v>54</v>
      </c>
      <c r="B7" s="173"/>
      <c r="C7" s="173"/>
      <c r="D7" s="173"/>
      <c r="E7" s="173"/>
      <c r="F7" s="173"/>
      <c r="G7" s="173"/>
      <c r="H7" s="173"/>
    </row>
    <row r="8" spans="1:8" x14ac:dyDescent="0.2">
      <c r="A8" s="170" t="s">
        <v>55</v>
      </c>
      <c r="B8" s="170"/>
      <c r="C8" s="170"/>
      <c r="D8" s="170"/>
      <c r="E8" s="170"/>
      <c r="F8" s="170"/>
      <c r="G8" s="170"/>
      <c r="H8" s="170"/>
    </row>
    <row r="9" spans="1:8" ht="13.5" thickBo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38.25" x14ac:dyDescent="0.2">
      <c r="A10" s="109" t="s">
        <v>56</v>
      </c>
      <c r="B10" s="60" t="s">
        <v>57</v>
      </c>
      <c r="C10" s="60" t="s">
        <v>58</v>
      </c>
      <c r="D10" s="60" t="s">
        <v>59</v>
      </c>
      <c r="E10" s="60" t="s">
        <v>60</v>
      </c>
      <c r="F10" s="60" t="s">
        <v>22</v>
      </c>
      <c r="G10" s="61" t="s">
        <v>61</v>
      </c>
      <c r="H10" s="62" t="s">
        <v>62</v>
      </c>
    </row>
    <row r="11" spans="1:8" ht="63.75" x14ac:dyDescent="0.2">
      <c r="A11" s="63" t="s">
        <v>63</v>
      </c>
      <c r="B11" s="10" t="s">
        <v>64</v>
      </c>
      <c r="C11" s="57" t="s">
        <v>65</v>
      </c>
      <c r="D11" s="71">
        <v>900</v>
      </c>
      <c r="E11" s="108" t="s">
        <v>66</v>
      </c>
      <c r="F11" s="112">
        <v>0</v>
      </c>
      <c r="G11" s="24">
        <f>D11*F11</f>
        <v>0</v>
      </c>
      <c r="H11" s="72"/>
    </row>
    <row r="12" spans="1:8" ht="63.75" x14ac:dyDescent="0.2">
      <c r="A12" s="63" t="s">
        <v>67</v>
      </c>
      <c r="B12" s="73" t="s">
        <v>68</v>
      </c>
      <c r="C12" s="57" t="s">
        <v>65</v>
      </c>
      <c r="D12" s="71">
        <v>440</v>
      </c>
      <c r="E12" s="108" t="s">
        <v>66</v>
      </c>
      <c r="F12" s="112">
        <v>0</v>
      </c>
      <c r="G12" s="24">
        <f>D12*F12</f>
        <v>0</v>
      </c>
      <c r="H12" s="72"/>
    </row>
    <row r="13" spans="1:8" ht="57" customHeight="1" x14ac:dyDescent="0.2">
      <c r="A13" s="63" t="s">
        <v>69</v>
      </c>
      <c r="B13" s="73" t="s">
        <v>70</v>
      </c>
      <c r="C13" s="57" t="s">
        <v>71</v>
      </c>
      <c r="D13" s="71">
        <v>100</v>
      </c>
      <c r="E13" s="108" t="s">
        <v>66</v>
      </c>
      <c r="F13" s="112">
        <v>0</v>
      </c>
      <c r="G13" s="24">
        <f>D13*F13</f>
        <v>0</v>
      </c>
      <c r="H13" s="72"/>
    </row>
    <row r="14" spans="1:8" ht="63.75" x14ac:dyDescent="0.2">
      <c r="A14" s="63" t="s">
        <v>72</v>
      </c>
      <c r="B14" s="73" t="s">
        <v>68</v>
      </c>
      <c r="C14" s="57" t="s">
        <v>71</v>
      </c>
      <c r="D14" s="71">
        <v>50</v>
      </c>
      <c r="E14" s="108" t="s">
        <v>66</v>
      </c>
      <c r="F14" s="112">
        <v>0</v>
      </c>
      <c r="G14" s="24">
        <f>D14*F14</f>
        <v>0</v>
      </c>
      <c r="H14" s="72"/>
    </row>
    <row r="15" spans="1:8" ht="38.25" x14ac:dyDescent="0.2">
      <c r="A15" s="63" t="s">
        <v>73</v>
      </c>
      <c r="B15" s="10" t="s">
        <v>74</v>
      </c>
      <c r="C15" s="57" t="s">
        <v>75</v>
      </c>
      <c r="D15" s="74">
        <v>1</v>
      </c>
      <c r="E15" s="74" t="s">
        <v>40</v>
      </c>
      <c r="F15" s="118">
        <v>150000</v>
      </c>
      <c r="G15" s="24">
        <f>D15*F15</f>
        <v>150000</v>
      </c>
      <c r="H15" s="52"/>
    </row>
    <row r="16" spans="1:8" ht="27" x14ac:dyDescent="0.2">
      <c r="A16" s="64"/>
      <c r="B16" s="65"/>
      <c r="C16" s="66" t="s">
        <v>76</v>
      </c>
      <c r="D16" s="39"/>
      <c r="E16" s="39"/>
      <c r="F16" s="24"/>
      <c r="G16" s="106">
        <f>SUM(G11:G15)</f>
        <v>150000</v>
      </c>
      <c r="H16" s="53"/>
    </row>
    <row r="17" spans="1:8" x14ac:dyDescent="0.2">
      <c r="A17" s="56"/>
      <c r="B17"/>
      <c r="C17"/>
      <c r="D17"/>
      <c r="E17" s="137"/>
      <c r="F17" s="137"/>
      <c r="G17"/>
      <c r="H17"/>
    </row>
    <row r="18" spans="1:8" x14ac:dyDescent="0.2">
      <c r="A18" s="70"/>
      <c r="B18" s="7"/>
      <c r="C18"/>
      <c r="D18"/>
      <c r="E18" s="137"/>
      <c r="F18" s="137"/>
      <c r="G18"/>
      <c r="H18"/>
    </row>
    <row r="19" spans="1:8" x14ac:dyDescent="0.2">
      <c r="A19" s="70"/>
      <c r="B19" s="7"/>
      <c r="C19"/>
      <c r="D19"/>
      <c r="E19" s="137"/>
      <c r="F19" s="137"/>
      <c r="G19"/>
      <c r="H19"/>
    </row>
    <row r="20" spans="1:8" x14ac:dyDescent="0.2">
      <c r="A20" s="70"/>
      <c r="B20" s="7"/>
      <c r="C20"/>
      <c r="D20"/>
      <c r="E20" s="137"/>
      <c r="F20" s="137"/>
      <c r="G20"/>
      <c r="H20"/>
    </row>
    <row r="21" spans="1:8" x14ac:dyDescent="0.2">
      <c r="A21" s="70"/>
      <c r="B21" s="7"/>
      <c r="C21"/>
      <c r="D21"/>
      <c r="E21" s="137"/>
      <c r="F21" s="137"/>
      <c r="G21"/>
      <c r="H21"/>
    </row>
    <row r="22" spans="1:8" x14ac:dyDescent="0.2">
      <c r="A22" s="70"/>
      <c r="B22" s="7"/>
      <c r="C22"/>
      <c r="D22"/>
      <c r="E22" s="137"/>
      <c r="F22" s="137"/>
      <c r="G22"/>
      <c r="H22"/>
    </row>
    <row r="23" spans="1:8" x14ac:dyDescent="0.2">
      <c r="A23" s="70"/>
      <c r="B23" s="7"/>
      <c r="C23"/>
      <c r="D23"/>
      <c r="E23" s="137"/>
      <c r="F23" s="137"/>
      <c r="G23"/>
      <c r="H23"/>
    </row>
    <row r="24" spans="1:8" x14ac:dyDescent="0.2">
      <c r="A24" s="70"/>
      <c r="B24" s="7"/>
      <c r="C24"/>
      <c r="D24"/>
      <c r="E24" s="137"/>
      <c r="F24" s="137"/>
      <c r="G24"/>
      <c r="H24"/>
    </row>
    <row r="25" spans="1:8" x14ac:dyDescent="0.2">
      <c r="A25" s="70"/>
      <c r="B25" s="7"/>
      <c r="C25"/>
      <c r="D25"/>
      <c r="E25" s="137"/>
      <c r="F25" s="137"/>
      <c r="G25"/>
      <c r="H25"/>
    </row>
    <row r="26" spans="1:8" x14ac:dyDescent="0.2">
      <c r="A26" s="70"/>
      <c r="B26" s="7"/>
      <c r="C26"/>
      <c r="D26"/>
      <c r="E26" s="137"/>
      <c r="F26" s="137"/>
      <c r="G26"/>
      <c r="H26"/>
    </row>
    <row r="27" spans="1:8" x14ac:dyDescent="0.2">
      <c r="A27" s="70"/>
      <c r="B27" s="7"/>
      <c r="C27"/>
      <c r="D27"/>
      <c r="E27" s="137"/>
      <c r="F27" s="137"/>
      <c r="G27"/>
      <c r="H27"/>
    </row>
    <row r="28" spans="1:8" x14ac:dyDescent="0.2">
      <c r="A28" s="70"/>
      <c r="B28" s="7"/>
      <c r="C28"/>
      <c r="D28"/>
      <c r="E28" s="137"/>
      <c r="F28" s="137"/>
      <c r="G28"/>
      <c r="H28"/>
    </row>
    <row r="29" spans="1:8" x14ac:dyDescent="0.2">
      <c r="A29" s="70"/>
      <c r="B29" s="7"/>
      <c r="C29"/>
      <c r="D29"/>
      <c r="E29" s="137"/>
      <c r="F29" s="137"/>
      <c r="G29"/>
      <c r="H29"/>
    </row>
    <row r="30" spans="1:8" x14ac:dyDescent="0.2">
      <c r="A30" s="70"/>
      <c r="B30" s="7"/>
      <c r="C30"/>
      <c r="D30"/>
      <c r="E30" s="137"/>
      <c r="F30" s="137"/>
      <c r="G30"/>
      <c r="H30"/>
    </row>
    <row r="31" spans="1:8" x14ac:dyDescent="0.2">
      <c r="A31" s="70"/>
      <c r="B31" s="7"/>
      <c r="C31"/>
      <c r="D31"/>
      <c r="E31" s="137"/>
      <c r="F31" s="137"/>
      <c r="G31"/>
      <c r="H31"/>
    </row>
    <row r="32" spans="1:8" x14ac:dyDescent="0.2">
      <c r="A32" s="70"/>
      <c r="B32" s="7"/>
    </row>
    <row r="33" spans="1:2" x14ac:dyDescent="0.2">
      <c r="A33" s="70"/>
      <c r="B33" s="7"/>
    </row>
    <row r="34" spans="1:2" x14ac:dyDescent="0.2">
      <c r="A34" s="70"/>
      <c r="B34" s="7"/>
    </row>
    <row r="35" spans="1:2" x14ac:dyDescent="0.2">
      <c r="A35" s="70"/>
      <c r="B35" s="7"/>
    </row>
    <row r="36" spans="1:2" x14ac:dyDescent="0.2">
      <c r="A36" s="70"/>
      <c r="B36" s="7"/>
    </row>
    <row r="37" spans="1:2" x14ac:dyDescent="0.2">
      <c r="A37" s="70"/>
      <c r="B37" s="7"/>
    </row>
    <row r="38" spans="1:2" x14ac:dyDescent="0.2">
      <c r="A38" s="70"/>
      <c r="B38" s="7"/>
    </row>
    <row r="39" spans="1:2" x14ac:dyDescent="0.2">
      <c r="A39" s="70"/>
      <c r="B39" s="7"/>
    </row>
    <row r="40" spans="1:2" x14ac:dyDescent="0.2">
      <c r="A40" s="70"/>
      <c r="B40" s="7"/>
    </row>
    <row r="41" spans="1:2" x14ac:dyDescent="0.2">
      <c r="A41" s="70"/>
      <c r="B41" s="7"/>
    </row>
    <row r="42" spans="1:2" x14ac:dyDescent="0.2">
      <c r="A42" s="70"/>
      <c r="B42" s="7"/>
    </row>
    <row r="43" spans="1:2" x14ac:dyDescent="0.2">
      <c r="A43" s="70"/>
      <c r="B43" s="7"/>
    </row>
    <row r="44" spans="1:2" x14ac:dyDescent="0.2">
      <c r="A44" s="70"/>
      <c r="B44" s="7"/>
    </row>
    <row r="45" spans="1:2" x14ac:dyDescent="0.2">
      <c r="A45" s="70"/>
      <c r="B45" s="7"/>
    </row>
    <row r="46" spans="1:2" x14ac:dyDescent="0.2">
      <c r="A46" s="70"/>
      <c r="B46" s="7"/>
    </row>
    <row r="47" spans="1:2" x14ac:dyDescent="0.2">
      <c r="A47" s="70"/>
      <c r="B47" s="7"/>
    </row>
    <row r="48" spans="1:2" x14ac:dyDescent="0.2">
      <c r="A48" s="70"/>
      <c r="B48" s="7"/>
    </row>
    <row r="49" spans="1:2" x14ac:dyDescent="0.2">
      <c r="A49" s="70"/>
      <c r="B49" s="7"/>
    </row>
    <row r="50" spans="1:2" x14ac:dyDescent="0.2">
      <c r="A50" s="70"/>
      <c r="B50" s="7"/>
    </row>
    <row r="51" spans="1:2" x14ac:dyDescent="0.2">
      <c r="A51" s="70"/>
      <c r="B51" s="7"/>
    </row>
    <row r="52" spans="1:2" x14ac:dyDescent="0.2">
      <c r="A52" s="70"/>
      <c r="B52" s="7"/>
    </row>
    <row r="53" spans="1:2" x14ac:dyDescent="0.2">
      <c r="A53" s="70"/>
      <c r="B53" s="7"/>
    </row>
    <row r="54" spans="1:2" x14ac:dyDescent="0.2">
      <c r="A54" s="70"/>
      <c r="B54" s="7"/>
    </row>
    <row r="55" spans="1:2" x14ac:dyDescent="0.2">
      <c r="A55" s="70"/>
      <c r="B55" s="7"/>
    </row>
    <row r="56" spans="1:2" x14ac:dyDescent="0.2">
      <c r="A56" s="70"/>
      <c r="B56" s="7"/>
    </row>
    <row r="57" spans="1:2" x14ac:dyDescent="0.2">
      <c r="A57" s="70"/>
      <c r="B57" s="7"/>
    </row>
    <row r="58" spans="1:2" x14ac:dyDescent="0.2">
      <c r="A58" s="70"/>
      <c r="B58" s="7"/>
    </row>
    <row r="59" spans="1:2" x14ac:dyDescent="0.2">
      <c r="A59" s="70"/>
      <c r="B59" s="7"/>
    </row>
    <row r="60" spans="1:2" x14ac:dyDescent="0.2">
      <c r="A60" s="70"/>
      <c r="B60" s="7"/>
    </row>
    <row r="61" spans="1:2" x14ac:dyDescent="0.2">
      <c r="A61" s="70"/>
      <c r="B61" s="7"/>
    </row>
    <row r="62" spans="1:2" x14ac:dyDescent="0.2">
      <c r="A62" s="70"/>
      <c r="B62" s="7"/>
    </row>
    <row r="63" spans="1:2" x14ac:dyDescent="0.2">
      <c r="A63" s="70"/>
      <c r="B63" s="7"/>
    </row>
    <row r="64" spans="1:2" x14ac:dyDescent="0.2">
      <c r="A64" s="70"/>
      <c r="B64" s="7"/>
    </row>
    <row r="65" spans="1:2" x14ac:dyDescent="0.2">
      <c r="A65" s="70"/>
      <c r="B65" s="7"/>
    </row>
    <row r="66" spans="1:2" x14ac:dyDescent="0.2">
      <c r="A66" s="70"/>
      <c r="B66" s="7"/>
    </row>
    <row r="67" spans="1:2" x14ac:dyDescent="0.2">
      <c r="A67" s="70"/>
      <c r="B67" s="7"/>
    </row>
    <row r="68" spans="1:2" x14ac:dyDescent="0.2">
      <c r="A68" s="70"/>
      <c r="B68" s="7"/>
    </row>
    <row r="69" spans="1:2" x14ac:dyDescent="0.2">
      <c r="A69" s="70"/>
      <c r="B69" s="7"/>
    </row>
    <row r="70" spans="1:2" x14ac:dyDescent="0.2">
      <c r="A70" s="70"/>
      <c r="B70" s="7"/>
    </row>
    <row r="71" spans="1:2" x14ac:dyDescent="0.2">
      <c r="A71" s="70"/>
      <c r="B71" s="7"/>
    </row>
    <row r="72" spans="1:2" x14ac:dyDescent="0.2">
      <c r="A72" s="70"/>
      <c r="B72" s="7"/>
    </row>
    <row r="73" spans="1:2" x14ac:dyDescent="0.2">
      <c r="A73" s="70"/>
      <c r="B73" s="7"/>
    </row>
    <row r="74" spans="1:2" x14ac:dyDescent="0.2">
      <c r="A74" s="70"/>
      <c r="B74" s="7"/>
    </row>
    <row r="75" spans="1:2" x14ac:dyDescent="0.2">
      <c r="A75" s="70"/>
      <c r="B75" s="7"/>
    </row>
    <row r="76" spans="1:2" x14ac:dyDescent="0.2">
      <c r="A76" s="70"/>
      <c r="B76" s="7"/>
    </row>
    <row r="77" spans="1:2" x14ac:dyDescent="0.2">
      <c r="A77" s="70"/>
      <c r="B77" s="7"/>
    </row>
    <row r="78" spans="1:2" x14ac:dyDescent="0.2">
      <c r="A78" s="70"/>
      <c r="B78" s="7"/>
    </row>
    <row r="79" spans="1:2" x14ac:dyDescent="0.2">
      <c r="A79" s="70"/>
      <c r="B79" s="7"/>
    </row>
    <row r="80" spans="1:2" x14ac:dyDescent="0.2">
      <c r="A80" s="70"/>
      <c r="B80" s="7"/>
    </row>
    <row r="81" spans="1:2" x14ac:dyDescent="0.2">
      <c r="A81" s="70"/>
      <c r="B81" s="7"/>
    </row>
    <row r="82" spans="1:2" x14ac:dyDescent="0.2">
      <c r="A82" s="70"/>
      <c r="B82" s="7"/>
    </row>
    <row r="83" spans="1:2" x14ac:dyDescent="0.2">
      <c r="A83" s="70"/>
      <c r="B83" s="7"/>
    </row>
    <row r="84" spans="1:2" x14ac:dyDescent="0.2">
      <c r="A84" s="70"/>
      <c r="B84" s="7"/>
    </row>
    <row r="85" spans="1:2" x14ac:dyDescent="0.2">
      <c r="A85" s="70"/>
      <c r="B85" s="7"/>
    </row>
    <row r="86" spans="1:2" x14ac:dyDescent="0.2">
      <c r="A86" s="70"/>
      <c r="B86" s="7"/>
    </row>
    <row r="87" spans="1:2" x14ac:dyDescent="0.2">
      <c r="A87" s="70"/>
      <c r="B87" s="7"/>
    </row>
    <row r="88" spans="1:2" x14ac:dyDescent="0.2">
      <c r="A88" s="70"/>
      <c r="B88" s="7"/>
    </row>
    <row r="89" spans="1:2" x14ac:dyDescent="0.2">
      <c r="A89" s="70"/>
      <c r="B89" s="7"/>
    </row>
    <row r="90" spans="1:2" x14ac:dyDescent="0.2">
      <c r="A90" s="70"/>
      <c r="B90" s="7"/>
    </row>
    <row r="91" spans="1:2" x14ac:dyDescent="0.2">
      <c r="A91" s="70"/>
      <c r="B91" s="7"/>
    </row>
    <row r="92" spans="1:2" x14ac:dyDescent="0.2">
      <c r="A92" s="70"/>
      <c r="B92" s="7"/>
    </row>
    <row r="93" spans="1:2" x14ac:dyDescent="0.2">
      <c r="A93" s="70"/>
      <c r="B93" s="7"/>
    </row>
    <row r="94" spans="1:2" x14ac:dyDescent="0.2">
      <c r="A94" s="70"/>
      <c r="B94" s="7"/>
    </row>
    <row r="95" spans="1:2" x14ac:dyDescent="0.2">
      <c r="A95" s="70"/>
      <c r="B95" s="7"/>
    </row>
    <row r="96" spans="1:2" x14ac:dyDescent="0.2">
      <c r="A96" s="70"/>
      <c r="B96" s="7"/>
    </row>
    <row r="97" spans="1:2" x14ac:dyDescent="0.2">
      <c r="A97" s="70"/>
      <c r="B97" s="7"/>
    </row>
    <row r="98" spans="1:2" x14ac:dyDescent="0.2">
      <c r="A98" s="70"/>
      <c r="B98" s="7"/>
    </row>
    <row r="99" spans="1:2" x14ac:dyDescent="0.2">
      <c r="A99" s="70"/>
      <c r="B99" s="7"/>
    </row>
    <row r="100" spans="1:2" x14ac:dyDescent="0.2">
      <c r="A100" s="70"/>
      <c r="B100" s="7"/>
    </row>
    <row r="101" spans="1:2" x14ac:dyDescent="0.2">
      <c r="A101" s="70"/>
      <c r="B101" s="7"/>
    </row>
    <row r="102" spans="1:2" x14ac:dyDescent="0.2">
      <c r="A102" s="70"/>
      <c r="B102" s="7"/>
    </row>
    <row r="103" spans="1:2" x14ac:dyDescent="0.2">
      <c r="A103" s="70"/>
      <c r="B103" s="7"/>
    </row>
    <row r="104" spans="1:2" x14ac:dyDescent="0.2">
      <c r="A104" s="70"/>
      <c r="B104" s="7"/>
    </row>
    <row r="105" spans="1:2" x14ac:dyDescent="0.2">
      <c r="A105" s="70"/>
      <c r="B105" s="7"/>
    </row>
    <row r="106" spans="1:2" x14ac:dyDescent="0.2">
      <c r="A106" s="70"/>
      <c r="B106" s="7"/>
    </row>
    <row r="107" spans="1:2" x14ac:dyDescent="0.2">
      <c r="A107" s="70"/>
      <c r="B107" s="7"/>
    </row>
    <row r="108" spans="1:2" x14ac:dyDescent="0.2">
      <c r="A108" s="70"/>
      <c r="B108" s="7"/>
    </row>
    <row r="109" spans="1:2" x14ac:dyDescent="0.2">
      <c r="A109" s="70"/>
      <c r="B109" s="7"/>
    </row>
    <row r="110" spans="1:2" x14ac:dyDescent="0.2">
      <c r="A110" s="70"/>
      <c r="B110" s="7"/>
    </row>
    <row r="111" spans="1:2" x14ac:dyDescent="0.2">
      <c r="A111" s="70"/>
      <c r="B111" s="7"/>
    </row>
    <row r="112" spans="1:2" x14ac:dyDescent="0.2">
      <c r="A112" s="70"/>
      <c r="B112" s="7"/>
    </row>
    <row r="113" spans="1:2" x14ac:dyDescent="0.2">
      <c r="A113" s="70"/>
      <c r="B113" s="7"/>
    </row>
    <row r="114" spans="1:2" x14ac:dyDescent="0.2">
      <c r="A114" s="70"/>
      <c r="B114" s="7"/>
    </row>
    <row r="115" spans="1:2" x14ac:dyDescent="0.2">
      <c r="A115" s="70"/>
      <c r="B115" s="7"/>
    </row>
    <row r="116" spans="1:2" x14ac:dyDescent="0.2">
      <c r="A116" s="70"/>
      <c r="B116" s="7"/>
    </row>
    <row r="117" spans="1:2" x14ac:dyDescent="0.2">
      <c r="A117" s="70"/>
      <c r="B117" s="7"/>
    </row>
    <row r="118" spans="1:2" x14ac:dyDescent="0.2">
      <c r="A118" s="70"/>
      <c r="B118" s="7"/>
    </row>
    <row r="119" spans="1:2" x14ac:dyDescent="0.2">
      <c r="A119" s="70"/>
      <c r="B119" s="7"/>
    </row>
    <row r="120" spans="1:2" x14ac:dyDescent="0.2">
      <c r="A120" s="70"/>
      <c r="B120" s="7"/>
    </row>
    <row r="121" spans="1:2" x14ac:dyDescent="0.2">
      <c r="A121" s="70"/>
      <c r="B121" s="7"/>
    </row>
    <row r="122" spans="1:2" x14ac:dyDescent="0.2">
      <c r="A122" s="70"/>
      <c r="B122" s="7"/>
    </row>
    <row r="123" spans="1:2" x14ac:dyDescent="0.2">
      <c r="A123" s="70"/>
      <c r="B123" s="7"/>
    </row>
    <row r="124" spans="1:2" x14ac:dyDescent="0.2">
      <c r="A124" s="70"/>
      <c r="B124" s="7"/>
    </row>
    <row r="125" spans="1:2" x14ac:dyDescent="0.2">
      <c r="A125" s="70"/>
      <c r="B125" s="7"/>
    </row>
    <row r="126" spans="1:2" x14ac:dyDescent="0.2">
      <c r="A126" s="70"/>
      <c r="B126" s="7"/>
    </row>
    <row r="127" spans="1:2" x14ac:dyDescent="0.2">
      <c r="A127" s="70"/>
      <c r="B127" s="7"/>
    </row>
    <row r="128" spans="1:2" x14ac:dyDescent="0.2">
      <c r="A128" s="70"/>
      <c r="B128" s="7"/>
    </row>
    <row r="129" spans="1:2" x14ac:dyDescent="0.2">
      <c r="A129" s="70"/>
      <c r="B129" s="7"/>
    </row>
    <row r="130" spans="1:2" x14ac:dyDescent="0.2">
      <c r="A130" s="70"/>
      <c r="B130" s="7"/>
    </row>
    <row r="131" spans="1:2" x14ac:dyDescent="0.2">
      <c r="A131" s="70"/>
      <c r="B131" s="7"/>
    </row>
    <row r="132" spans="1:2" x14ac:dyDescent="0.2">
      <c r="A132" s="70"/>
      <c r="B132" s="7"/>
    </row>
    <row r="133" spans="1:2" x14ac:dyDescent="0.2">
      <c r="A133" s="70"/>
      <c r="B133" s="7"/>
    </row>
    <row r="134" spans="1:2" x14ac:dyDescent="0.2">
      <c r="A134" s="70"/>
      <c r="B134" s="7"/>
    </row>
    <row r="135" spans="1:2" x14ac:dyDescent="0.2">
      <c r="A135" s="70"/>
      <c r="B135" s="7"/>
    </row>
    <row r="136" spans="1:2" x14ac:dyDescent="0.2">
      <c r="A136" s="70"/>
      <c r="B136" s="7"/>
    </row>
    <row r="137" spans="1:2" x14ac:dyDescent="0.2">
      <c r="A137" s="70"/>
      <c r="B137" s="7"/>
    </row>
    <row r="138" spans="1:2" x14ac:dyDescent="0.2">
      <c r="A138" s="70"/>
      <c r="B138" s="7"/>
    </row>
    <row r="139" spans="1:2" x14ac:dyDescent="0.2">
      <c r="A139" s="70"/>
      <c r="B139" s="7"/>
    </row>
    <row r="140" spans="1:2" x14ac:dyDescent="0.2">
      <c r="A140" s="70"/>
      <c r="B140" s="7"/>
    </row>
    <row r="141" spans="1:2" x14ac:dyDescent="0.2">
      <c r="A141" s="70"/>
      <c r="B141" s="7"/>
    </row>
    <row r="142" spans="1:2" x14ac:dyDescent="0.2">
      <c r="A142" s="70"/>
      <c r="B142" s="7"/>
    </row>
    <row r="143" spans="1:2" x14ac:dyDescent="0.2">
      <c r="A143" s="70"/>
      <c r="B143" s="7"/>
    </row>
    <row r="144" spans="1:2" x14ac:dyDescent="0.2">
      <c r="A144" s="70"/>
      <c r="B144" s="7"/>
    </row>
    <row r="145" spans="1:2" x14ac:dyDescent="0.2">
      <c r="A145" s="70"/>
      <c r="B145" s="7"/>
    </row>
    <row r="146" spans="1:2" x14ac:dyDescent="0.2">
      <c r="A146" s="70"/>
      <c r="B146" s="7"/>
    </row>
    <row r="147" spans="1:2" x14ac:dyDescent="0.2">
      <c r="A147" s="70"/>
      <c r="B147" s="7"/>
    </row>
    <row r="148" spans="1:2" x14ac:dyDescent="0.2">
      <c r="A148" s="70"/>
      <c r="B148" s="7"/>
    </row>
    <row r="149" spans="1:2" x14ac:dyDescent="0.2">
      <c r="A149" s="70"/>
      <c r="B149" s="7"/>
    </row>
    <row r="150" spans="1:2" x14ac:dyDescent="0.2">
      <c r="A150" s="70"/>
      <c r="B150" s="7"/>
    </row>
    <row r="151" spans="1:2" x14ac:dyDescent="0.2">
      <c r="A151" s="70"/>
      <c r="B151" s="7"/>
    </row>
    <row r="152" spans="1:2" x14ac:dyDescent="0.2">
      <c r="A152" s="70"/>
      <c r="B152" s="7"/>
    </row>
    <row r="153" spans="1:2" x14ac:dyDescent="0.2">
      <c r="A153" s="70"/>
      <c r="B153" s="7"/>
    </row>
    <row r="154" spans="1:2" x14ac:dyDescent="0.2">
      <c r="A154" s="70"/>
      <c r="B154" s="7"/>
    </row>
    <row r="155" spans="1:2" x14ac:dyDescent="0.2">
      <c r="A155" s="70"/>
      <c r="B155" s="7"/>
    </row>
    <row r="156" spans="1:2" x14ac:dyDescent="0.2">
      <c r="A156" s="70"/>
      <c r="B156" s="7"/>
    </row>
    <row r="157" spans="1:2" x14ac:dyDescent="0.2">
      <c r="A157" s="70"/>
      <c r="B157" s="7"/>
    </row>
    <row r="158" spans="1:2" x14ac:dyDescent="0.2">
      <c r="A158" s="70"/>
      <c r="B158" s="7"/>
    </row>
    <row r="159" spans="1:2" x14ac:dyDescent="0.2">
      <c r="A159" s="70"/>
      <c r="B159" s="7"/>
    </row>
    <row r="160" spans="1:2" x14ac:dyDescent="0.2">
      <c r="A160" s="70"/>
      <c r="B160" s="7"/>
    </row>
    <row r="161" spans="1:2" x14ac:dyDescent="0.2">
      <c r="A161" s="70"/>
      <c r="B161" s="7"/>
    </row>
    <row r="162" spans="1:2" x14ac:dyDescent="0.2">
      <c r="A162" s="70"/>
      <c r="B162" s="7"/>
    </row>
    <row r="163" spans="1:2" x14ac:dyDescent="0.2">
      <c r="A163" s="70"/>
      <c r="B163" s="7"/>
    </row>
    <row r="164" spans="1:2" x14ac:dyDescent="0.2">
      <c r="A164" s="70"/>
      <c r="B164" s="7"/>
    </row>
    <row r="165" spans="1:2" x14ac:dyDescent="0.2">
      <c r="A165" s="70"/>
      <c r="B165" s="7"/>
    </row>
    <row r="166" spans="1:2" x14ac:dyDescent="0.2">
      <c r="A166" s="70"/>
      <c r="B166" s="7"/>
    </row>
    <row r="167" spans="1:2" x14ac:dyDescent="0.2">
      <c r="A167" s="70"/>
      <c r="B167" s="7"/>
    </row>
    <row r="168" spans="1:2" x14ac:dyDescent="0.2">
      <c r="A168" s="70"/>
      <c r="B168" s="7"/>
    </row>
    <row r="169" spans="1:2" x14ac:dyDescent="0.2">
      <c r="A169" s="70"/>
      <c r="B169" s="7"/>
    </row>
    <row r="170" spans="1:2" x14ac:dyDescent="0.2">
      <c r="A170" s="70"/>
      <c r="B170" s="7"/>
    </row>
    <row r="171" spans="1:2" x14ac:dyDescent="0.2">
      <c r="A171" s="70"/>
      <c r="B171" s="7"/>
    </row>
    <row r="172" spans="1:2" x14ac:dyDescent="0.2">
      <c r="A172" s="70"/>
      <c r="B172" s="7"/>
    </row>
    <row r="173" spans="1:2" x14ac:dyDescent="0.2">
      <c r="A173" s="70"/>
      <c r="B173" s="7"/>
    </row>
    <row r="174" spans="1:2" x14ac:dyDescent="0.2">
      <c r="A174" s="70"/>
      <c r="B174" s="7"/>
    </row>
    <row r="175" spans="1:2" x14ac:dyDescent="0.2">
      <c r="A175" s="70"/>
      <c r="B175" s="7"/>
    </row>
    <row r="176" spans="1:2" x14ac:dyDescent="0.2">
      <c r="A176" s="70"/>
      <c r="B176" s="7"/>
    </row>
  </sheetData>
  <mergeCells count="7">
    <mergeCell ref="A8:H8"/>
    <mergeCell ref="A1:H1"/>
    <mergeCell ref="A2:H2"/>
    <mergeCell ref="A3:H3"/>
    <mergeCell ref="A4:H4"/>
    <mergeCell ref="A6:H6"/>
    <mergeCell ref="A7:H7"/>
  </mergeCells>
  <pageMargins left="0.39" right="0.21" top="1" bottom="1" header="0.5" footer="0.5"/>
  <pageSetup scale="96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BDCCE-F188-4976-A94E-63E6D2286CBB}">
  <sheetPr>
    <pageSetUpPr fitToPage="1"/>
  </sheetPr>
  <dimension ref="A1:J48"/>
  <sheetViews>
    <sheetView zoomScale="120" zoomScaleNormal="120" workbookViewId="0">
      <selection activeCell="B22" sqref="B22"/>
    </sheetView>
  </sheetViews>
  <sheetFormatPr defaultRowHeight="12.75" x14ac:dyDescent="0.2"/>
  <cols>
    <col min="1" max="1" width="10" style="1" customWidth="1"/>
    <col min="2" max="2" width="51.7109375" style="1" customWidth="1"/>
    <col min="3" max="3" width="10.5703125" style="1" customWidth="1"/>
    <col min="4" max="4" width="12.5703125" style="1" customWidth="1"/>
    <col min="5" max="5" width="10.7109375" style="1" customWidth="1"/>
    <col min="6" max="7" width="11.7109375" style="1" customWidth="1"/>
    <col min="8" max="8" width="9.140625" style="1"/>
    <col min="9" max="9" width="12.28515625" style="1" customWidth="1"/>
    <col min="10" max="16384" width="9.140625" style="1"/>
  </cols>
  <sheetData>
    <row r="1" spans="1:10" x14ac:dyDescent="0.2">
      <c r="A1" s="48"/>
      <c r="B1" s="49"/>
      <c r="C1" s="49"/>
      <c r="D1" s="49"/>
      <c r="E1" s="49"/>
      <c r="F1" s="49"/>
      <c r="G1" s="50"/>
    </row>
    <row r="2" spans="1:10" x14ac:dyDescent="0.2">
      <c r="A2" s="154" t="s">
        <v>455</v>
      </c>
      <c r="B2" s="155"/>
      <c r="C2" s="155"/>
      <c r="D2" s="155"/>
      <c r="E2" s="155"/>
      <c r="F2" s="155"/>
      <c r="G2" s="156"/>
    </row>
    <row r="3" spans="1:10" x14ac:dyDescent="0.2">
      <c r="A3" s="154" t="s">
        <v>0</v>
      </c>
      <c r="B3" s="155"/>
      <c r="C3" s="155"/>
      <c r="D3" s="155"/>
      <c r="E3" s="155"/>
      <c r="F3" s="155"/>
      <c r="G3" s="156"/>
    </row>
    <row r="4" spans="1:10" x14ac:dyDescent="0.2">
      <c r="A4" s="157" t="s">
        <v>14</v>
      </c>
      <c r="B4" s="158"/>
      <c r="C4" s="158"/>
      <c r="D4" s="158"/>
      <c r="E4" s="158"/>
      <c r="F4" s="158"/>
      <c r="G4" s="159"/>
    </row>
    <row r="5" spans="1:10" x14ac:dyDescent="0.2">
      <c r="A5" s="154" t="s">
        <v>458</v>
      </c>
      <c r="B5" s="155"/>
      <c r="C5" s="155"/>
      <c r="D5" s="155"/>
      <c r="E5" s="155"/>
      <c r="F5" s="155"/>
      <c r="G5" s="156"/>
    </row>
    <row r="6" spans="1:10" ht="14.25" x14ac:dyDescent="0.2">
      <c r="A6" s="128"/>
      <c r="B6" s="25"/>
      <c r="C6" s="26"/>
      <c r="D6" s="27"/>
      <c r="E6" s="27"/>
      <c r="F6" s="132"/>
      <c r="G6" s="133"/>
    </row>
    <row r="7" spans="1:10" ht="14.25" x14ac:dyDescent="0.2">
      <c r="A7" s="163" t="s">
        <v>77</v>
      </c>
      <c r="B7" s="164"/>
      <c r="C7" s="164"/>
      <c r="D7" s="164"/>
      <c r="E7" s="164"/>
      <c r="F7" s="164"/>
      <c r="G7" s="165"/>
    </row>
    <row r="8" spans="1:10" x14ac:dyDescent="0.2">
      <c r="A8" s="169" t="s">
        <v>78</v>
      </c>
      <c r="B8" s="170"/>
      <c r="C8" s="170"/>
      <c r="D8" s="170"/>
      <c r="E8" s="170"/>
      <c r="F8" s="170"/>
      <c r="G8" s="171"/>
    </row>
    <row r="9" spans="1:10" s="34" customFormat="1" x14ac:dyDescent="0.2">
      <c r="A9" s="166" t="s">
        <v>451</v>
      </c>
      <c r="B9" s="167"/>
      <c r="C9" s="167"/>
      <c r="D9" s="167"/>
      <c r="E9" s="167"/>
      <c r="F9" s="167"/>
      <c r="G9" s="168"/>
    </row>
    <row r="10" spans="1:10" ht="13.5" thickBot="1" x14ac:dyDescent="0.25">
      <c r="A10" s="160" t="s">
        <v>17</v>
      </c>
      <c r="B10" s="161"/>
      <c r="C10" s="161"/>
      <c r="D10" s="161"/>
      <c r="E10" s="161"/>
      <c r="F10" s="161"/>
      <c r="G10" s="162"/>
    </row>
    <row r="11" spans="1:10" ht="25.5" x14ac:dyDescent="0.2">
      <c r="A11" s="98" t="s">
        <v>18</v>
      </c>
      <c r="B11" s="45" t="s">
        <v>19</v>
      </c>
      <c r="C11" s="46" t="s">
        <v>20</v>
      </c>
      <c r="D11" s="44" t="s">
        <v>21</v>
      </c>
      <c r="E11" s="47" t="s">
        <v>22</v>
      </c>
      <c r="F11" s="47" t="s">
        <v>23</v>
      </c>
      <c r="G11" s="45" t="s">
        <v>24</v>
      </c>
    </row>
    <row r="12" spans="1:10" x14ac:dyDescent="0.2">
      <c r="A12" s="40"/>
      <c r="B12" s="10"/>
      <c r="C12" s="11"/>
      <c r="D12" s="12"/>
      <c r="E12" s="13"/>
      <c r="F12" s="14"/>
      <c r="G12" s="39"/>
    </row>
    <row r="13" spans="1:10" s="23" customFormat="1" x14ac:dyDescent="0.2">
      <c r="A13" s="17" t="s">
        <v>79</v>
      </c>
      <c r="B13" s="75" t="s">
        <v>26</v>
      </c>
      <c r="C13" s="18"/>
      <c r="D13" s="20"/>
      <c r="E13" s="21"/>
      <c r="F13" s="22"/>
      <c r="G13" s="38"/>
    </row>
    <row r="14" spans="1:10" x14ac:dyDescent="0.2">
      <c r="A14" s="41" t="s">
        <v>80</v>
      </c>
      <c r="B14" s="35" t="s">
        <v>28</v>
      </c>
      <c r="C14" s="15">
        <v>12</v>
      </c>
      <c r="D14" s="16" t="s">
        <v>29</v>
      </c>
      <c r="E14" s="101">
        <v>0</v>
      </c>
      <c r="F14" s="24">
        <f t="shared" ref="F14:F19" si="0">E14*C14</f>
        <v>0</v>
      </c>
      <c r="G14" s="39"/>
      <c r="I14" s="104"/>
      <c r="J14" s="102"/>
    </row>
    <row r="15" spans="1:10" x14ac:dyDescent="0.2">
      <c r="A15" s="41" t="s">
        <v>81</v>
      </c>
      <c r="B15" s="35" t="s">
        <v>31</v>
      </c>
      <c r="C15" s="15">
        <v>12</v>
      </c>
      <c r="D15" s="16" t="s">
        <v>29</v>
      </c>
      <c r="E15" s="101">
        <v>0</v>
      </c>
      <c r="F15" s="24">
        <f t="shared" si="0"/>
        <v>0</v>
      </c>
      <c r="G15" s="39"/>
      <c r="I15" s="104"/>
      <c r="J15" s="102"/>
    </row>
    <row r="16" spans="1:10" x14ac:dyDescent="0.2">
      <c r="A16" s="41" t="s">
        <v>82</v>
      </c>
      <c r="B16" s="35" t="s">
        <v>33</v>
      </c>
      <c r="C16" s="15">
        <v>12</v>
      </c>
      <c r="D16" s="16" t="s">
        <v>29</v>
      </c>
      <c r="E16" s="101">
        <v>0</v>
      </c>
      <c r="F16" s="24">
        <f t="shared" si="0"/>
        <v>0</v>
      </c>
      <c r="G16" s="39"/>
      <c r="I16" s="104"/>
      <c r="J16" s="102"/>
    </row>
    <row r="17" spans="1:10" x14ac:dyDescent="0.2">
      <c r="A17" s="41" t="s">
        <v>83</v>
      </c>
      <c r="B17" s="35" t="s">
        <v>35</v>
      </c>
      <c r="C17" s="15">
        <v>12</v>
      </c>
      <c r="D17" s="16" t="s">
        <v>29</v>
      </c>
      <c r="E17" s="101">
        <v>0</v>
      </c>
      <c r="F17" s="24">
        <f t="shared" si="0"/>
        <v>0</v>
      </c>
      <c r="G17" s="39"/>
      <c r="I17" s="104"/>
      <c r="J17" s="102"/>
    </row>
    <row r="18" spans="1:10" x14ac:dyDescent="0.2">
      <c r="A18" s="99" t="s">
        <v>84</v>
      </c>
      <c r="B18" s="35" t="s">
        <v>37</v>
      </c>
      <c r="C18" s="15">
        <v>12</v>
      </c>
      <c r="D18" s="16" t="s">
        <v>29</v>
      </c>
      <c r="E18" s="101">
        <v>0</v>
      </c>
      <c r="F18" s="24">
        <f t="shared" si="0"/>
        <v>0</v>
      </c>
      <c r="G18" s="39"/>
      <c r="I18" s="104"/>
      <c r="J18" s="102"/>
    </row>
    <row r="19" spans="1:10" x14ac:dyDescent="0.2">
      <c r="A19" s="39" t="s">
        <v>85</v>
      </c>
      <c r="B19" s="35" t="s">
        <v>39</v>
      </c>
      <c r="C19" s="15">
        <v>12</v>
      </c>
      <c r="D19" s="16" t="s">
        <v>40</v>
      </c>
      <c r="E19" s="101">
        <v>0</v>
      </c>
      <c r="F19" s="24">
        <f t="shared" si="0"/>
        <v>0</v>
      </c>
      <c r="G19" s="39"/>
      <c r="I19" s="104"/>
      <c r="J19" s="102"/>
    </row>
    <row r="20" spans="1:10" x14ac:dyDescent="0.2">
      <c r="A20" s="41"/>
      <c r="B20" s="17" t="s">
        <v>41</v>
      </c>
      <c r="C20" s="134"/>
      <c r="D20" s="135"/>
      <c r="E20" s="16"/>
      <c r="F20" s="51">
        <f>SUM(F14:F19)</f>
        <v>0</v>
      </c>
      <c r="G20" s="136"/>
      <c r="I20" s="104"/>
    </row>
    <row r="21" spans="1:10" x14ac:dyDescent="0.2">
      <c r="A21" s="41"/>
      <c r="B21" s="35"/>
      <c r="C21" s="15"/>
      <c r="D21" s="16"/>
      <c r="E21" s="16"/>
      <c r="F21" s="24"/>
      <c r="G21" s="39"/>
      <c r="I21" s="104"/>
    </row>
    <row r="22" spans="1:10" s="23" customFormat="1" x14ac:dyDescent="0.2">
      <c r="A22" s="17" t="s">
        <v>86</v>
      </c>
      <c r="B22" s="19" t="s">
        <v>43</v>
      </c>
      <c r="C22" s="18"/>
      <c r="D22" s="20"/>
      <c r="E22" s="16"/>
      <c r="F22" s="22"/>
      <c r="G22" s="38"/>
      <c r="I22" s="104"/>
    </row>
    <row r="23" spans="1:10" x14ac:dyDescent="0.2">
      <c r="A23" s="41" t="s">
        <v>87</v>
      </c>
      <c r="B23" s="35" t="s">
        <v>28</v>
      </c>
      <c r="C23" s="15">
        <v>12</v>
      </c>
      <c r="D23" s="16" t="s">
        <v>29</v>
      </c>
      <c r="E23" s="101">
        <v>0</v>
      </c>
      <c r="F23" s="24">
        <f>E23*C23</f>
        <v>0</v>
      </c>
      <c r="G23" s="39"/>
      <c r="I23" s="104"/>
    </row>
    <row r="24" spans="1:10" x14ac:dyDescent="0.2">
      <c r="A24" s="41" t="s">
        <v>88</v>
      </c>
      <c r="B24" s="35" t="s">
        <v>31</v>
      </c>
      <c r="C24" s="15">
        <v>12</v>
      </c>
      <c r="D24" s="16" t="s">
        <v>29</v>
      </c>
      <c r="E24" s="101">
        <v>0</v>
      </c>
      <c r="F24" s="24">
        <f t="shared" ref="F24:F28" si="1">E24*C24</f>
        <v>0</v>
      </c>
      <c r="G24" s="39"/>
      <c r="I24" s="104"/>
    </row>
    <row r="25" spans="1:10" x14ac:dyDescent="0.2">
      <c r="A25" s="41" t="s">
        <v>89</v>
      </c>
      <c r="B25" s="35" t="s">
        <v>33</v>
      </c>
      <c r="C25" s="15">
        <v>12</v>
      </c>
      <c r="D25" s="16" t="s">
        <v>29</v>
      </c>
      <c r="E25" s="101">
        <v>0</v>
      </c>
      <c r="F25" s="24">
        <f t="shared" si="1"/>
        <v>0</v>
      </c>
      <c r="G25" s="39"/>
      <c r="I25" s="104"/>
    </row>
    <row r="26" spans="1:10" x14ac:dyDescent="0.2">
      <c r="A26" s="41" t="s">
        <v>90</v>
      </c>
      <c r="B26" s="35" t="s">
        <v>35</v>
      </c>
      <c r="C26" s="15">
        <v>12</v>
      </c>
      <c r="D26" s="16" t="s">
        <v>29</v>
      </c>
      <c r="E26" s="101">
        <v>0</v>
      </c>
      <c r="F26" s="24">
        <f t="shared" si="1"/>
        <v>0</v>
      </c>
      <c r="G26" s="39"/>
      <c r="I26" s="104"/>
    </row>
    <row r="27" spans="1:10" x14ac:dyDescent="0.2">
      <c r="A27" s="41" t="s">
        <v>91</v>
      </c>
      <c r="B27" s="35" t="s">
        <v>37</v>
      </c>
      <c r="C27" s="15">
        <v>12</v>
      </c>
      <c r="D27" s="16" t="s">
        <v>29</v>
      </c>
      <c r="E27" s="101">
        <v>0</v>
      </c>
      <c r="F27" s="24">
        <f t="shared" si="1"/>
        <v>0</v>
      </c>
      <c r="G27" s="39"/>
      <c r="I27" s="104"/>
    </row>
    <row r="28" spans="1:10" x14ac:dyDescent="0.2">
      <c r="A28" s="99" t="s">
        <v>92</v>
      </c>
      <c r="B28" s="35" t="s">
        <v>39</v>
      </c>
      <c r="C28" s="15">
        <v>2</v>
      </c>
      <c r="D28" s="16" t="s">
        <v>40</v>
      </c>
      <c r="E28" s="101">
        <v>0</v>
      </c>
      <c r="F28" s="24">
        <f t="shared" si="1"/>
        <v>0</v>
      </c>
      <c r="G28" s="39"/>
      <c r="I28" s="104"/>
    </row>
    <row r="29" spans="1:10" x14ac:dyDescent="0.2">
      <c r="A29" s="41"/>
      <c r="B29" s="17" t="s">
        <v>50</v>
      </c>
      <c r="C29" s="134"/>
      <c r="D29" s="135"/>
      <c r="E29" s="16"/>
      <c r="F29" s="51">
        <f>SUM(F23:F28)</f>
        <v>0</v>
      </c>
      <c r="G29" s="136"/>
      <c r="I29" s="104"/>
    </row>
    <row r="30" spans="1:10" x14ac:dyDescent="0.2">
      <c r="A30" s="41"/>
      <c r="B30" s="17"/>
      <c r="C30" s="15"/>
      <c r="D30" s="16"/>
      <c r="E30" s="36"/>
      <c r="F30" s="37"/>
      <c r="G30" s="39"/>
    </row>
    <row r="31" spans="1:10" x14ac:dyDescent="0.2">
      <c r="A31" s="41"/>
      <c r="B31" s="17"/>
      <c r="C31" s="134"/>
      <c r="D31" s="135"/>
      <c r="E31" s="36"/>
      <c r="F31" s="105"/>
      <c r="G31" s="39"/>
    </row>
    <row r="32" spans="1:10" ht="26.25" x14ac:dyDescent="0.25">
      <c r="A32" s="39"/>
      <c r="B32" s="76" t="s">
        <v>93</v>
      </c>
      <c r="C32" s="17"/>
      <c r="D32" s="42"/>
      <c r="E32" s="43" t="s">
        <v>52</v>
      </c>
      <c r="F32" s="97">
        <f>F20+F29</f>
        <v>0</v>
      </c>
      <c r="G32" s="39"/>
    </row>
    <row r="33" spans="2:6" x14ac:dyDescent="0.2">
      <c r="B33" s="2"/>
      <c r="C33" s="3"/>
      <c r="D33" s="4"/>
      <c r="E33" s="5"/>
    </row>
    <row r="34" spans="2:6" x14ac:dyDescent="0.2">
      <c r="B34" s="2"/>
      <c r="C34" s="3"/>
      <c r="D34" s="4"/>
      <c r="E34" s="5"/>
      <c r="F34" s="5"/>
    </row>
    <row r="36" spans="2:6" x14ac:dyDescent="0.2">
      <c r="B36" s="2"/>
      <c r="C36" s="3"/>
      <c r="D36" s="4"/>
      <c r="E36" s="5"/>
      <c r="F36" s="5"/>
    </row>
    <row r="37" spans="2:6" x14ac:dyDescent="0.2">
      <c r="B37" s="6"/>
      <c r="C37" s="8"/>
      <c r="D37" s="129"/>
      <c r="E37" s="9"/>
      <c r="F37" s="7"/>
    </row>
    <row r="38" spans="2:6" x14ac:dyDescent="0.2">
      <c r="B38" s="7"/>
      <c r="C38" s="7"/>
      <c r="D38" s="7"/>
      <c r="E38" s="7"/>
      <c r="F38" s="7"/>
    </row>
    <row r="39" spans="2:6" x14ac:dyDescent="0.2">
      <c r="B39" s="2"/>
      <c r="C39" s="3"/>
      <c r="D39" s="4"/>
      <c r="E39" s="5"/>
      <c r="F39" s="5"/>
    </row>
    <row r="40" spans="2:6" x14ac:dyDescent="0.2">
      <c r="B40" s="2"/>
      <c r="C40" s="3"/>
      <c r="D40" s="4"/>
      <c r="E40" s="5"/>
    </row>
    <row r="41" spans="2:6" x14ac:dyDescent="0.2">
      <c r="B41" s="2"/>
      <c r="C41" s="3"/>
      <c r="D41" s="4"/>
      <c r="E41" s="5"/>
      <c r="F41" s="5"/>
    </row>
    <row r="47" spans="2:6" x14ac:dyDescent="0.2">
      <c r="B47" s="2"/>
      <c r="C47" s="3"/>
      <c r="D47" s="4"/>
      <c r="E47" s="5"/>
      <c r="F47" s="5"/>
    </row>
    <row r="48" spans="2:6" x14ac:dyDescent="0.2">
      <c r="B48" s="2"/>
      <c r="C48" s="3"/>
      <c r="D48" s="4"/>
      <c r="E48" s="5"/>
    </row>
  </sheetData>
  <mergeCells count="8">
    <mergeCell ref="A9:G9"/>
    <mergeCell ref="A10:G10"/>
    <mergeCell ref="A2:G2"/>
    <mergeCell ref="A3:G3"/>
    <mergeCell ref="A4:G4"/>
    <mergeCell ref="A5:G5"/>
    <mergeCell ref="A7:G7"/>
    <mergeCell ref="A8:G8"/>
  </mergeCells>
  <printOptions horizontalCentered="1"/>
  <pageMargins left="0" right="0" top="0" bottom="0.25" header="0.3" footer="0"/>
  <pageSetup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AFCB1-7FD9-4FE2-88EE-90C4EFD88416}">
  <sheetPr>
    <pageSetUpPr fitToPage="1"/>
  </sheetPr>
  <dimension ref="A1:H176"/>
  <sheetViews>
    <sheetView zoomScale="99" zoomScaleNormal="99" workbookViewId="0">
      <selection activeCell="O14" sqref="O14"/>
    </sheetView>
  </sheetViews>
  <sheetFormatPr defaultRowHeight="12.75" x14ac:dyDescent="0.2"/>
  <cols>
    <col min="1" max="1" width="8.7109375" style="1" customWidth="1"/>
    <col min="2" max="2" width="25.7109375" style="1" customWidth="1"/>
    <col min="3" max="3" width="45.85546875" style="1" customWidth="1"/>
    <col min="4" max="4" width="12.7109375" style="1" customWidth="1"/>
    <col min="5" max="5" width="10.5703125" style="1" customWidth="1"/>
    <col min="6" max="6" width="14.7109375" style="1" customWidth="1"/>
    <col min="7" max="7" width="15.42578125" style="1" customWidth="1"/>
    <col min="8" max="16384" width="9.140625" style="1"/>
  </cols>
  <sheetData>
    <row r="1" spans="1:8" x14ac:dyDescent="0.2">
      <c r="A1" s="155" t="s">
        <v>455</v>
      </c>
      <c r="B1" s="155"/>
      <c r="C1" s="155"/>
      <c r="D1" s="155"/>
      <c r="E1" s="155"/>
      <c r="F1" s="155"/>
    </row>
    <row r="2" spans="1:8" x14ac:dyDescent="0.2">
      <c r="A2" s="155" t="s">
        <v>0</v>
      </c>
      <c r="B2" s="155"/>
      <c r="C2" s="155"/>
      <c r="D2" s="155"/>
      <c r="E2" s="155"/>
      <c r="F2" s="155"/>
    </row>
    <row r="3" spans="1:8" x14ac:dyDescent="0.2">
      <c r="A3" s="158" t="s">
        <v>14</v>
      </c>
      <c r="B3" s="158"/>
      <c r="C3" s="158"/>
      <c r="D3" s="158"/>
      <c r="E3" s="158"/>
      <c r="F3" s="158"/>
    </row>
    <row r="4" spans="1:8" x14ac:dyDescent="0.2">
      <c r="A4" s="155" t="s">
        <v>459</v>
      </c>
      <c r="B4" s="155"/>
      <c r="C4" s="155"/>
      <c r="D4" s="155"/>
      <c r="E4" s="155"/>
      <c r="F4" s="155"/>
    </row>
    <row r="5" spans="1:8" x14ac:dyDescent="0.2">
      <c r="A5" s="56"/>
      <c r="B5" s="7"/>
      <c r="C5" s="7"/>
      <c r="D5" s="7"/>
      <c r="E5" s="7"/>
      <c r="F5" s="7"/>
    </row>
    <row r="6" spans="1:8" x14ac:dyDescent="0.2">
      <c r="A6" s="172" t="s">
        <v>94</v>
      </c>
      <c r="B6" s="172"/>
      <c r="C6" s="172"/>
      <c r="D6" s="172"/>
      <c r="E6" s="172"/>
      <c r="F6" s="172"/>
    </row>
    <row r="7" spans="1:8" x14ac:dyDescent="0.2">
      <c r="A7" s="173" t="s">
        <v>54</v>
      </c>
      <c r="B7" s="173"/>
      <c r="C7" s="173"/>
      <c r="D7" s="173"/>
      <c r="E7" s="173"/>
      <c r="F7" s="173"/>
    </row>
    <row r="8" spans="1:8" x14ac:dyDescent="0.2">
      <c r="A8" s="170" t="s">
        <v>95</v>
      </c>
      <c r="B8" s="170"/>
      <c r="C8" s="170"/>
      <c r="D8" s="170"/>
      <c r="E8" s="170"/>
      <c r="F8" s="170"/>
    </row>
    <row r="9" spans="1:8" ht="13.5" thickBot="1" x14ac:dyDescent="0.25">
      <c r="A9" s="100"/>
      <c r="B9" s="100"/>
      <c r="C9" s="100"/>
      <c r="D9" s="100"/>
      <c r="E9" s="100"/>
      <c r="F9" s="100"/>
    </row>
    <row r="10" spans="1:8" ht="25.5" x14ac:dyDescent="0.2">
      <c r="A10" s="109" t="s">
        <v>56</v>
      </c>
      <c r="B10" s="60" t="s">
        <v>57</v>
      </c>
      <c r="C10" s="60" t="s">
        <v>58</v>
      </c>
      <c r="D10" s="60" t="s">
        <v>59</v>
      </c>
      <c r="E10" s="60" t="s">
        <v>60</v>
      </c>
      <c r="F10" s="60" t="s">
        <v>22</v>
      </c>
      <c r="G10" s="110" t="s">
        <v>96</v>
      </c>
      <c r="H10" s="62" t="s">
        <v>62</v>
      </c>
    </row>
    <row r="11" spans="1:8" ht="63.75" x14ac:dyDescent="0.2">
      <c r="A11" s="63" t="s">
        <v>97</v>
      </c>
      <c r="B11" s="10" t="s">
        <v>64</v>
      </c>
      <c r="C11" s="57" t="s">
        <v>65</v>
      </c>
      <c r="D11" s="71">
        <v>900</v>
      </c>
      <c r="E11" s="108" t="s">
        <v>66</v>
      </c>
      <c r="F11" s="112">
        <v>0</v>
      </c>
      <c r="G11" s="24">
        <f>F11*D11</f>
        <v>0</v>
      </c>
      <c r="H11" s="72"/>
    </row>
    <row r="12" spans="1:8" ht="63.75" x14ac:dyDescent="0.2">
      <c r="A12" s="63" t="s">
        <v>98</v>
      </c>
      <c r="B12" s="73" t="s">
        <v>68</v>
      </c>
      <c r="C12" s="57" t="s">
        <v>65</v>
      </c>
      <c r="D12" s="71">
        <v>440</v>
      </c>
      <c r="E12" s="108" t="s">
        <v>66</v>
      </c>
      <c r="F12" s="112">
        <v>0</v>
      </c>
      <c r="G12" s="24">
        <f>F12*D12</f>
        <v>0</v>
      </c>
      <c r="H12" s="72"/>
    </row>
    <row r="13" spans="1:8" ht="57" customHeight="1" x14ac:dyDescent="0.2">
      <c r="A13" s="63" t="s">
        <v>99</v>
      </c>
      <c r="B13" s="73" t="s">
        <v>70</v>
      </c>
      <c r="C13" s="57" t="s">
        <v>71</v>
      </c>
      <c r="D13" s="71">
        <v>100</v>
      </c>
      <c r="E13" s="108" t="s">
        <v>66</v>
      </c>
      <c r="F13" s="112">
        <v>0</v>
      </c>
      <c r="G13" s="24">
        <f>F13*D13</f>
        <v>0</v>
      </c>
      <c r="H13" s="72"/>
    </row>
    <row r="14" spans="1:8" ht="63.75" x14ac:dyDescent="0.2">
      <c r="A14" s="63" t="s">
        <v>100</v>
      </c>
      <c r="B14" s="73" t="s">
        <v>68</v>
      </c>
      <c r="C14" s="57" t="s">
        <v>71</v>
      </c>
      <c r="D14" s="71">
        <v>50</v>
      </c>
      <c r="E14" s="108" t="s">
        <v>66</v>
      </c>
      <c r="F14" s="112">
        <v>0</v>
      </c>
      <c r="G14" s="24">
        <f>F14*D14</f>
        <v>0</v>
      </c>
      <c r="H14" s="72"/>
    </row>
    <row r="15" spans="1:8" ht="38.25" x14ac:dyDescent="0.2">
      <c r="A15" s="63" t="s">
        <v>101</v>
      </c>
      <c r="B15" s="10" t="s">
        <v>74</v>
      </c>
      <c r="C15" s="57" t="s">
        <v>75</v>
      </c>
      <c r="D15" s="74">
        <v>1</v>
      </c>
      <c r="E15" s="74" t="s">
        <v>40</v>
      </c>
      <c r="F15" s="118">
        <v>150000</v>
      </c>
      <c r="G15" s="24">
        <f>F15*D15</f>
        <v>150000</v>
      </c>
      <c r="H15" s="52"/>
    </row>
    <row r="16" spans="1:8" ht="27" x14ac:dyDescent="0.2">
      <c r="A16" s="64"/>
      <c r="B16" s="65"/>
      <c r="C16" s="66" t="s">
        <v>102</v>
      </c>
      <c r="D16" s="39"/>
      <c r="E16" s="39"/>
      <c r="F16" s="24"/>
      <c r="G16" s="111">
        <f>SUM(G11:G15)</f>
        <v>150000</v>
      </c>
      <c r="H16" s="39"/>
    </row>
    <row r="17" spans="1:6" x14ac:dyDescent="0.2">
      <c r="A17" s="56"/>
      <c r="B17"/>
      <c r="C17"/>
      <c r="D17"/>
      <c r="E17"/>
      <c r="F17"/>
    </row>
    <row r="18" spans="1:6" x14ac:dyDescent="0.2">
      <c r="A18" s="70"/>
      <c r="B18" s="7"/>
      <c r="C18"/>
      <c r="D18"/>
      <c r="E18"/>
      <c r="F18"/>
    </row>
    <row r="19" spans="1:6" x14ac:dyDescent="0.2">
      <c r="A19" s="70"/>
      <c r="B19" s="7"/>
      <c r="C19"/>
      <c r="D19"/>
      <c r="E19"/>
      <c r="F19"/>
    </row>
    <row r="20" spans="1:6" x14ac:dyDescent="0.2">
      <c r="A20" s="70"/>
      <c r="B20" s="7"/>
      <c r="C20"/>
      <c r="D20"/>
      <c r="E20"/>
      <c r="F20"/>
    </row>
    <row r="21" spans="1:6" x14ac:dyDescent="0.2">
      <c r="A21" s="70"/>
      <c r="B21" s="7"/>
      <c r="C21"/>
      <c r="D21"/>
      <c r="E21"/>
      <c r="F21"/>
    </row>
    <row r="22" spans="1:6" x14ac:dyDescent="0.2">
      <c r="A22" s="70"/>
      <c r="B22" s="7"/>
      <c r="C22"/>
      <c r="D22"/>
      <c r="E22"/>
      <c r="F22"/>
    </row>
    <row r="23" spans="1:6" x14ac:dyDescent="0.2">
      <c r="A23" s="70"/>
      <c r="B23" s="7"/>
      <c r="C23"/>
      <c r="D23"/>
      <c r="E23"/>
      <c r="F23"/>
    </row>
    <row r="24" spans="1:6" x14ac:dyDescent="0.2">
      <c r="A24" s="70"/>
      <c r="B24" s="7"/>
      <c r="C24"/>
      <c r="D24"/>
      <c r="E24"/>
      <c r="F24"/>
    </row>
    <row r="25" spans="1:6" x14ac:dyDescent="0.2">
      <c r="A25" s="70"/>
      <c r="B25" s="7"/>
      <c r="C25"/>
      <c r="D25"/>
      <c r="E25"/>
      <c r="F25"/>
    </row>
    <row r="26" spans="1:6" x14ac:dyDescent="0.2">
      <c r="A26" s="70"/>
      <c r="B26" s="7"/>
      <c r="C26"/>
      <c r="D26"/>
      <c r="E26"/>
      <c r="F26"/>
    </row>
    <row r="27" spans="1:6" x14ac:dyDescent="0.2">
      <c r="A27" s="70"/>
      <c r="B27" s="7"/>
      <c r="C27"/>
      <c r="D27"/>
      <c r="E27"/>
      <c r="F27"/>
    </row>
    <row r="28" spans="1:6" x14ac:dyDescent="0.2">
      <c r="A28" s="70"/>
      <c r="B28" s="7"/>
      <c r="C28"/>
      <c r="D28"/>
      <c r="E28"/>
      <c r="F28"/>
    </row>
    <row r="29" spans="1:6" x14ac:dyDescent="0.2">
      <c r="A29" s="70"/>
      <c r="B29" s="7"/>
      <c r="C29"/>
      <c r="D29"/>
      <c r="E29"/>
      <c r="F29"/>
    </row>
    <row r="30" spans="1:6" x14ac:dyDescent="0.2">
      <c r="A30" s="70"/>
      <c r="B30" s="7"/>
      <c r="C30"/>
      <c r="D30"/>
      <c r="E30"/>
      <c r="F30"/>
    </row>
    <row r="31" spans="1:6" x14ac:dyDescent="0.2">
      <c r="A31" s="70"/>
      <c r="B31" s="7"/>
      <c r="C31"/>
      <c r="D31"/>
      <c r="E31"/>
      <c r="F31"/>
    </row>
    <row r="32" spans="1:6" x14ac:dyDescent="0.2">
      <c r="A32" s="70"/>
      <c r="B32" s="7"/>
    </row>
    <row r="33" spans="1:2" x14ac:dyDescent="0.2">
      <c r="A33" s="70"/>
      <c r="B33" s="7"/>
    </row>
    <row r="34" spans="1:2" x14ac:dyDescent="0.2">
      <c r="A34" s="70"/>
      <c r="B34" s="7"/>
    </row>
    <row r="35" spans="1:2" x14ac:dyDescent="0.2">
      <c r="A35" s="70"/>
      <c r="B35" s="7"/>
    </row>
    <row r="36" spans="1:2" x14ac:dyDescent="0.2">
      <c r="A36" s="70"/>
      <c r="B36" s="7"/>
    </row>
    <row r="37" spans="1:2" x14ac:dyDescent="0.2">
      <c r="A37" s="70"/>
      <c r="B37" s="7"/>
    </row>
    <row r="38" spans="1:2" x14ac:dyDescent="0.2">
      <c r="A38" s="70"/>
      <c r="B38" s="7"/>
    </row>
    <row r="39" spans="1:2" x14ac:dyDescent="0.2">
      <c r="A39" s="70"/>
      <c r="B39" s="7"/>
    </row>
    <row r="40" spans="1:2" x14ac:dyDescent="0.2">
      <c r="A40" s="70"/>
      <c r="B40" s="7"/>
    </row>
    <row r="41" spans="1:2" x14ac:dyDescent="0.2">
      <c r="A41" s="70"/>
      <c r="B41" s="7"/>
    </row>
    <row r="42" spans="1:2" x14ac:dyDescent="0.2">
      <c r="A42" s="70"/>
      <c r="B42" s="7"/>
    </row>
    <row r="43" spans="1:2" x14ac:dyDescent="0.2">
      <c r="A43" s="70"/>
      <c r="B43" s="7"/>
    </row>
    <row r="44" spans="1:2" x14ac:dyDescent="0.2">
      <c r="A44" s="70"/>
      <c r="B44" s="7"/>
    </row>
    <row r="45" spans="1:2" x14ac:dyDescent="0.2">
      <c r="A45" s="70"/>
      <c r="B45" s="7"/>
    </row>
    <row r="46" spans="1:2" x14ac:dyDescent="0.2">
      <c r="A46" s="70"/>
      <c r="B46" s="7"/>
    </row>
    <row r="47" spans="1:2" x14ac:dyDescent="0.2">
      <c r="A47" s="70"/>
      <c r="B47" s="7"/>
    </row>
    <row r="48" spans="1:2" x14ac:dyDescent="0.2">
      <c r="A48" s="70"/>
      <c r="B48" s="7"/>
    </row>
    <row r="49" spans="1:2" x14ac:dyDescent="0.2">
      <c r="A49" s="70"/>
      <c r="B49" s="7"/>
    </row>
    <row r="50" spans="1:2" x14ac:dyDescent="0.2">
      <c r="A50" s="70"/>
      <c r="B50" s="7"/>
    </row>
    <row r="51" spans="1:2" x14ac:dyDescent="0.2">
      <c r="A51" s="70"/>
      <c r="B51" s="7"/>
    </row>
    <row r="52" spans="1:2" x14ac:dyDescent="0.2">
      <c r="A52" s="70"/>
      <c r="B52" s="7"/>
    </row>
    <row r="53" spans="1:2" x14ac:dyDescent="0.2">
      <c r="A53" s="70"/>
      <c r="B53" s="7"/>
    </row>
    <row r="54" spans="1:2" x14ac:dyDescent="0.2">
      <c r="A54" s="70"/>
      <c r="B54" s="7"/>
    </row>
    <row r="55" spans="1:2" x14ac:dyDescent="0.2">
      <c r="A55" s="70"/>
      <c r="B55" s="7"/>
    </row>
    <row r="56" spans="1:2" x14ac:dyDescent="0.2">
      <c r="A56" s="70"/>
      <c r="B56" s="7"/>
    </row>
    <row r="57" spans="1:2" x14ac:dyDescent="0.2">
      <c r="A57" s="70"/>
      <c r="B57" s="7"/>
    </row>
    <row r="58" spans="1:2" x14ac:dyDescent="0.2">
      <c r="A58" s="70"/>
      <c r="B58" s="7"/>
    </row>
    <row r="59" spans="1:2" x14ac:dyDescent="0.2">
      <c r="A59" s="70"/>
      <c r="B59" s="7"/>
    </row>
    <row r="60" spans="1:2" x14ac:dyDescent="0.2">
      <c r="A60" s="70"/>
      <c r="B60" s="7"/>
    </row>
    <row r="61" spans="1:2" x14ac:dyDescent="0.2">
      <c r="A61" s="70"/>
      <c r="B61" s="7"/>
    </row>
    <row r="62" spans="1:2" x14ac:dyDescent="0.2">
      <c r="A62" s="70"/>
      <c r="B62" s="7"/>
    </row>
    <row r="63" spans="1:2" x14ac:dyDescent="0.2">
      <c r="A63" s="70"/>
      <c r="B63" s="7"/>
    </row>
    <row r="64" spans="1:2" x14ac:dyDescent="0.2">
      <c r="A64" s="70"/>
      <c r="B64" s="7"/>
    </row>
    <row r="65" spans="1:2" x14ac:dyDescent="0.2">
      <c r="A65" s="70"/>
      <c r="B65" s="7"/>
    </row>
    <row r="66" spans="1:2" x14ac:dyDescent="0.2">
      <c r="A66" s="70"/>
      <c r="B66" s="7"/>
    </row>
    <row r="67" spans="1:2" x14ac:dyDescent="0.2">
      <c r="A67" s="70"/>
      <c r="B67" s="7"/>
    </row>
    <row r="68" spans="1:2" x14ac:dyDescent="0.2">
      <c r="A68" s="70"/>
      <c r="B68" s="7"/>
    </row>
    <row r="69" spans="1:2" x14ac:dyDescent="0.2">
      <c r="A69" s="70"/>
      <c r="B69" s="7"/>
    </row>
    <row r="70" spans="1:2" x14ac:dyDescent="0.2">
      <c r="A70" s="70"/>
      <c r="B70" s="7"/>
    </row>
    <row r="71" spans="1:2" x14ac:dyDescent="0.2">
      <c r="A71" s="70"/>
      <c r="B71" s="7"/>
    </row>
    <row r="72" spans="1:2" x14ac:dyDescent="0.2">
      <c r="A72" s="70"/>
      <c r="B72" s="7"/>
    </row>
    <row r="73" spans="1:2" x14ac:dyDescent="0.2">
      <c r="A73" s="70"/>
      <c r="B73" s="7"/>
    </row>
    <row r="74" spans="1:2" x14ac:dyDescent="0.2">
      <c r="A74" s="70"/>
      <c r="B74" s="7"/>
    </row>
    <row r="75" spans="1:2" x14ac:dyDescent="0.2">
      <c r="A75" s="70"/>
      <c r="B75" s="7"/>
    </row>
    <row r="76" spans="1:2" x14ac:dyDescent="0.2">
      <c r="A76" s="70"/>
      <c r="B76" s="7"/>
    </row>
    <row r="77" spans="1:2" x14ac:dyDescent="0.2">
      <c r="A77" s="70"/>
      <c r="B77" s="7"/>
    </row>
    <row r="78" spans="1:2" x14ac:dyDescent="0.2">
      <c r="A78" s="70"/>
      <c r="B78" s="7"/>
    </row>
    <row r="79" spans="1:2" x14ac:dyDescent="0.2">
      <c r="A79" s="70"/>
      <c r="B79" s="7"/>
    </row>
    <row r="80" spans="1:2" x14ac:dyDescent="0.2">
      <c r="A80" s="70"/>
      <c r="B80" s="7"/>
    </row>
    <row r="81" spans="1:2" x14ac:dyDescent="0.2">
      <c r="A81" s="70"/>
      <c r="B81" s="7"/>
    </row>
    <row r="82" spans="1:2" x14ac:dyDescent="0.2">
      <c r="A82" s="70"/>
      <c r="B82" s="7"/>
    </row>
    <row r="83" spans="1:2" x14ac:dyDescent="0.2">
      <c r="A83" s="70"/>
      <c r="B83" s="7"/>
    </row>
    <row r="84" spans="1:2" x14ac:dyDescent="0.2">
      <c r="A84" s="70"/>
      <c r="B84" s="7"/>
    </row>
    <row r="85" spans="1:2" x14ac:dyDescent="0.2">
      <c r="A85" s="70"/>
      <c r="B85" s="7"/>
    </row>
    <row r="86" spans="1:2" x14ac:dyDescent="0.2">
      <c r="A86" s="70"/>
      <c r="B86" s="7"/>
    </row>
    <row r="87" spans="1:2" x14ac:dyDescent="0.2">
      <c r="A87" s="70"/>
      <c r="B87" s="7"/>
    </row>
    <row r="88" spans="1:2" x14ac:dyDescent="0.2">
      <c r="A88" s="70"/>
      <c r="B88" s="7"/>
    </row>
    <row r="89" spans="1:2" x14ac:dyDescent="0.2">
      <c r="A89" s="70"/>
      <c r="B89" s="7"/>
    </row>
    <row r="90" spans="1:2" x14ac:dyDescent="0.2">
      <c r="A90" s="70"/>
      <c r="B90" s="7"/>
    </row>
    <row r="91" spans="1:2" x14ac:dyDescent="0.2">
      <c r="A91" s="70"/>
      <c r="B91" s="7"/>
    </row>
    <row r="92" spans="1:2" x14ac:dyDescent="0.2">
      <c r="A92" s="70"/>
      <c r="B92" s="7"/>
    </row>
    <row r="93" spans="1:2" x14ac:dyDescent="0.2">
      <c r="A93" s="70"/>
      <c r="B93" s="7"/>
    </row>
    <row r="94" spans="1:2" x14ac:dyDescent="0.2">
      <c r="A94" s="70"/>
      <c r="B94" s="7"/>
    </row>
    <row r="95" spans="1:2" x14ac:dyDescent="0.2">
      <c r="A95" s="70"/>
      <c r="B95" s="7"/>
    </row>
    <row r="96" spans="1:2" x14ac:dyDescent="0.2">
      <c r="A96" s="70"/>
      <c r="B96" s="7"/>
    </row>
    <row r="97" spans="1:2" x14ac:dyDescent="0.2">
      <c r="A97" s="70"/>
      <c r="B97" s="7"/>
    </row>
    <row r="98" spans="1:2" x14ac:dyDescent="0.2">
      <c r="A98" s="70"/>
      <c r="B98" s="7"/>
    </row>
    <row r="99" spans="1:2" x14ac:dyDescent="0.2">
      <c r="A99" s="70"/>
      <c r="B99" s="7"/>
    </row>
    <row r="100" spans="1:2" x14ac:dyDescent="0.2">
      <c r="A100" s="70"/>
      <c r="B100" s="7"/>
    </row>
    <row r="101" spans="1:2" x14ac:dyDescent="0.2">
      <c r="A101" s="70"/>
      <c r="B101" s="7"/>
    </row>
    <row r="102" spans="1:2" x14ac:dyDescent="0.2">
      <c r="A102" s="70"/>
      <c r="B102" s="7"/>
    </row>
    <row r="103" spans="1:2" x14ac:dyDescent="0.2">
      <c r="A103" s="70"/>
      <c r="B103" s="7"/>
    </row>
    <row r="104" spans="1:2" x14ac:dyDescent="0.2">
      <c r="A104" s="70"/>
      <c r="B104" s="7"/>
    </row>
    <row r="105" spans="1:2" x14ac:dyDescent="0.2">
      <c r="A105" s="70"/>
      <c r="B105" s="7"/>
    </row>
    <row r="106" spans="1:2" x14ac:dyDescent="0.2">
      <c r="A106" s="70"/>
      <c r="B106" s="7"/>
    </row>
    <row r="107" spans="1:2" x14ac:dyDescent="0.2">
      <c r="A107" s="70"/>
      <c r="B107" s="7"/>
    </row>
    <row r="108" spans="1:2" x14ac:dyDescent="0.2">
      <c r="A108" s="70"/>
      <c r="B108" s="7"/>
    </row>
    <row r="109" spans="1:2" x14ac:dyDescent="0.2">
      <c r="A109" s="70"/>
      <c r="B109" s="7"/>
    </row>
    <row r="110" spans="1:2" x14ac:dyDescent="0.2">
      <c r="A110" s="70"/>
      <c r="B110" s="7"/>
    </row>
    <row r="111" spans="1:2" x14ac:dyDescent="0.2">
      <c r="A111" s="70"/>
      <c r="B111" s="7"/>
    </row>
    <row r="112" spans="1:2" x14ac:dyDescent="0.2">
      <c r="A112" s="70"/>
      <c r="B112" s="7"/>
    </row>
    <row r="113" spans="1:2" x14ac:dyDescent="0.2">
      <c r="A113" s="70"/>
      <c r="B113" s="7"/>
    </row>
    <row r="114" spans="1:2" x14ac:dyDescent="0.2">
      <c r="A114" s="70"/>
      <c r="B114" s="7"/>
    </row>
    <row r="115" spans="1:2" x14ac:dyDescent="0.2">
      <c r="A115" s="70"/>
      <c r="B115" s="7"/>
    </row>
    <row r="116" spans="1:2" x14ac:dyDescent="0.2">
      <c r="A116" s="70"/>
      <c r="B116" s="7"/>
    </row>
    <row r="117" spans="1:2" x14ac:dyDescent="0.2">
      <c r="A117" s="70"/>
      <c r="B117" s="7"/>
    </row>
    <row r="118" spans="1:2" x14ac:dyDescent="0.2">
      <c r="A118" s="70"/>
      <c r="B118" s="7"/>
    </row>
    <row r="119" spans="1:2" x14ac:dyDescent="0.2">
      <c r="A119" s="70"/>
      <c r="B119" s="7"/>
    </row>
    <row r="120" spans="1:2" x14ac:dyDescent="0.2">
      <c r="A120" s="70"/>
      <c r="B120" s="7"/>
    </row>
    <row r="121" spans="1:2" x14ac:dyDescent="0.2">
      <c r="A121" s="70"/>
      <c r="B121" s="7"/>
    </row>
    <row r="122" spans="1:2" x14ac:dyDescent="0.2">
      <c r="A122" s="70"/>
      <c r="B122" s="7"/>
    </row>
    <row r="123" spans="1:2" x14ac:dyDescent="0.2">
      <c r="A123" s="70"/>
      <c r="B123" s="7"/>
    </row>
    <row r="124" spans="1:2" x14ac:dyDescent="0.2">
      <c r="A124" s="70"/>
      <c r="B124" s="7"/>
    </row>
    <row r="125" spans="1:2" x14ac:dyDescent="0.2">
      <c r="A125" s="70"/>
      <c r="B125" s="7"/>
    </row>
    <row r="126" spans="1:2" x14ac:dyDescent="0.2">
      <c r="A126" s="70"/>
      <c r="B126" s="7"/>
    </row>
    <row r="127" spans="1:2" x14ac:dyDescent="0.2">
      <c r="A127" s="70"/>
      <c r="B127" s="7"/>
    </row>
    <row r="128" spans="1:2" x14ac:dyDescent="0.2">
      <c r="A128" s="70"/>
      <c r="B128" s="7"/>
    </row>
    <row r="129" spans="1:2" x14ac:dyDescent="0.2">
      <c r="A129" s="70"/>
      <c r="B129" s="7"/>
    </row>
    <row r="130" spans="1:2" x14ac:dyDescent="0.2">
      <c r="A130" s="70"/>
      <c r="B130" s="7"/>
    </row>
    <row r="131" spans="1:2" x14ac:dyDescent="0.2">
      <c r="A131" s="70"/>
      <c r="B131" s="7"/>
    </row>
    <row r="132" spans="1:2" x14ac:dyDescent="0.2">
      <c r="A132" s="70"/>
      <c r="B132" s="7"/>
    </row>
    <row r="133" spans="1:2" x14ac:dyDescent="0.2">
      <c r="A133" s="70"/>
      <c r="B133" s="7"/>
    </row>
    <row r="134" spans="1:2" x14ac:dyDescent="0.2">
      <c r="A134" s="70"/>
      <c r="B134" s="7"/>
    </row>
    <row r="135" spans="1:2" x14ac:dyDescent="0.2">
      <c r="A135" s="70"/>
      <c r="B135" s="7"/>
    </row>
    <row r="136" spans="1:2" x14ac:dyDescent="0.2">
      <c r="A136" s="70"/>
      <c r="B136" s="7"/>
    </row>
    <row r="137" spans="1:2" x14ac:dyDescent="0.2">
      <c r="A137" s="70"/>
      <c r="B137" s="7"/>
    </row>
    <row r="138" spans="1:2" x14ac:dyDescent="0.2">
      <c r="A138" s="70"/>
      <c r="B138" s="7"/>
    </row>
    <row r="139" spans="1:2" x14ac:dyDescent="0.2">
      <c r="A139" s="70"/>
      <c r="B139" s="7"/>
    </row>
    <row r="140" spans="1:2" x14ac:dyDescent="0.2">
      <c r="A140" s="70"/>
      <c r="B140" s="7"/>
    </row>
    <row r="141" spans="1:2" x14ac:dyDescent="0.2">
      <c r="A141" s="70"/>
      <c r="B141" s="7"/>
    </row>
    <row r="142" spans="1:2" x14ac:dyDescent="0.2">
      <c r="A142" s="70"/>
      <c r="B142" s="7"/>
    </row>
    <row r="143" spans="1:2" x14ac:dyDescent="0.2">
      <c r="A143" s="70"/>
      <c r="B143" s="7"/>
    </row>
    <row r="144" spans="1:2" x14ac:dyDescent="0.2">
      <c r="A144" s="70"/>
      <c r="B144" s="7"/>
    </row>
    <row r="145" spans="1:2" x14ac:dyDescent="0.2">
      <c r="A145" s="70"/>
      <c r="B145" s="7"/>
    </row>
    <row r="146" spans="1:2" x14ac:dyDescent="0.2">
      <c r="A146" s="70"/>
      <c r="B146" s="7"/>
    </row>
    <row r="147" spans="1:2" x14ac:dyDescent="0.2">
      <c r="A147" s="70"/>
      <c r="B147" s="7"/>
    </row>
    <row r="148" spans="1:2" x14ac:dyDescent="0.2">
      <c r="A148" s="70"/>
      <c r="B148" s="7"/>
    </row>
    <row r="149" spans="1:2" x14ac:dyDescent="0.2">
      <c r="A149" s="70"/>
      <c r="B149" s="7"/>
    </row>
    <row r="150" spans="1:2" x14ac:dyDescent="0.2">
      <c r="A150" s="70"/>
      <c r="B150" s="7"/>
    </row>
    <row r="151" spans="1:2" x14ac:dyDescent="0.2">
      <c r="A151" s="70"/>
      <c r="B151" s="7"/>
    </row>
    <row r="152" spans="1:2" x14ac:dyDescent="0.2">
      <c r="A152" s="70"/>
      <c r="B152" s="7"/>
    </row>
    <row r="153" spans="1:2" x14ac:dyDescent="0.2">
      <c r="A153" s="70"/>
      <c r="B153" s="7"/>
    </row>
    <row r="154" spans="1:2" x14ac:dyDescent="0.2">
      <c r="A154" s="70"/>
      <c r="B154" s="7"/>
    </row>
    <row r="155" spans="1:2" x14ac:dyDescent="0.2">
      <c r="A155" s="70"/>
      <c r="B155" s="7"/>
    </row>
    <row r="156" spans="1:2" x14ac:dyDescent="0.2">
      <c r="A156" s="70"/>
      <c r="B156" s="7"/>
    </row>
    <row r="157" spans="1:2" x14ac:dyDescent="0.2">
      <c r="A157" s="70"/>
      <c r="B157" s="7"/>
    </row>
    <row r="158" spans="1:2" x14ac:dyDescent="0.2">
      <c r="A158" s="70"/>
      <c r="B158" s="7"/>
    </row>
    <row r="159" spans="1:2" x14ac:dyDescent="0.2">
      <c r="A159" s="70"/>
      <c r="B159" s="7"/>
    </row>
    <row r="160" spans="1:2" x14ac:dyDescent="0.2">
      <c r="A160" s="70"/>
      <c r="B160" s="7"/>
    </row>
    <row r="161" spans="1:2" x14ac:dyDescent="0.2">
      <c r="A161" s="70"/>
      <c r="B161" s="7"/>
    </row>
    <row r="162" spans="1:2" x14ac:dyDescent="0.2">
      <c r="A162" s="70"/>
      <c r="B162" s="7"/>
    </row>
    <row r="163" spans="1:2" x14ac:dyDescent="0.2">
      <c r="A163" s="70"/>
      <c r="B163" s="7"/>
    </row>
    <row r="164" spans="1:2" x14ac:dyDescent="0.2">
      <c r="A164" s="70"/>
      <c r="B164" s="7"/>
    </row>
    <row r="165" spans="1:2" x14ac:dyDescent="0.2">
      <c r="A165" s="70"/>
      <c r="B165" s="7"/>
    </row>
    <row r="166" spans="1:2" x14ac:dyDescent="0.2">
      <c r="A166" s="70"/>
      <c r="B166" s="7"/>
    </row>
    <row r="167" spans="1:2" x14ac:dyDescent="0.2">
      <c r="A167" s="70"/>
      <c r="B167" s="7"/>
    </row>
    <row r="168" spans="1:2" x14ac:dyDescent="0.2">
      <c r="A168" s="70"/>
      <c r="B168" s="7"/>
    </row>
    <row r="169" spans="1:2" x14ac:dyDescent="0.2">
      <c r="A169" s="70"/>
      <c r="B169" s="7"/>
    </row>
    <row r="170" spans="1:2" x14ac:dyDescent="0.2">
      <c r="A170" s="70"/>
      <c r="B170" s="7"/>
    </row>
    <row r="171" spans="1:2" x14ac:dyDescent="0.2">
      <c r="A171" s="70"/>
      <c r="B171" s="7"/>
    </row>
    <row r="172" spans="1:2" x14ac:dyDescent="0.2">
      <c r="A172" s="70"/>
      <c r="B172" s="7"/>
    </row>
    <row r="173" spans="1:2" x14ac:dyDescent="0.2">
      <c r="A173" s="70"/>
      <c r="B173" s="7"/>
    </row>
    <row r="174" spans="1:2" x14ac:dyDescent="0.2">
      <c r="A174" s="70"/>
      <c r="B174" s="7"/>
    </row>
    <row r="175" spans="1:2" x14ac:dyDescent="0.2">
      <c r="A175" s="70"/>
      <c r="B175" s="7"/>
    </row>
    <row r="176" spans="1:2" x14ac:dyDescent="0.2">
      <c r="A176" s="70"/>
      <c r="B176" s="7"/>
    </row>
  </sheetData>
  <mergeCells count="7">
    <mergeCell ref="A8:F8"/>
    <mergeCell ref="A1:F1"/>
    <mergeCell ref="A2:F2"/>
    <mergeCell ref="A3:F3"/>
    <mergeCell ref="A4:F4"/>
    <mergeCell ref="A6:F6"/>
    <mergeCell ref="A7:F7"/>
  </mergeCells>
  <pageMargins left="0.39" right="0.21" top="1" bottom="1" header="0.5" footer="0.5"/>
  <pageSetup scale="94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AE92D-94F2-423B-B030-655E22AB0D4F}">
  <sheetPr>
    <pageSetUpPr fitToPage="1"/>
  </sheetPr>
  <dimension ref="A1:I37"/>
  <sheetViews>
    <sheetView zoomScaleNormal="100" workbookViewId="0">
      <selection activeCell="A5" sqref="A5:G5"/>
    </sheetView>
  </sheetViews>
  <sheetFormatPr defaultRowHeight="12.75" x14ac:dyDescent="0.2"/>
  <cols>
    <col min="1" max="1" width="10" style="1" customWidth="1"/>
    <col min="2" max="2" width="55.42578125" style="1" customWidth="1"/>
    <col min="3" max="3" width="10.5703125" style="1" customWidth="1"/>
    <col min="4" max="4" width="12.5703125" style="1" customWidth="1"/>
    <col min="5" max="5" width="10.7109375" style="1" customWidth="1"/>
    <col min="6" max="7" width="11.7109375" style="1" customWidth="1"/>
    <col min="8" max="8" width="9.140625" style="1"/>
    <col min="9" max="9" width="10.28515625" style="1" bestFit="1" customWidth="1"/>
    <col min="10" max="16384" width="9.140625" style="1"/>
  </cols>
  <sheetData>
    <row r="1" spans="1:9" x14ac:dyDescent="0.2">
      <c r="A1" s="48"/>
      <c r="B1" s="49"/>
      <c r="C1" s="49"/>
      <c r="D1" s="49"/>
      <c r="E1" s="49"/>
      <c r="F1" s="49"/>
      <c r="G1" s="50"/>
    </row>
    <row r="2" spans="1:9" x14ac:dyDescent="0.2">
      <c r="A2" s="154" t="s">
        <v>455</v>
      </c>
      <c r="B2" s="155"/>
      <c r="C2" s="155"/>
      <c r="D2" s="155"/>
      <c r="E2" s="155"/>
      <c r="F2" s="155"/>
      <c r="G2" s="156"/>
    </row>
    <row r="3" spans="1:9" x14ac:dyDescent="0.2">
      <c r="A3" s="154" t="s">
        <v>0</v>
      </c>
      <c r="B3" s="155"/>
      <c r="C3" s="155"/>
      <c r="D3" s="155"/>
      <c r="E3" s="155"/>
      <c r="F3" s="155"/>
      <c r="G3" s="156"/>
    </row>
    <row r="4" spans="1:9" x14ac:dyDescent="0.2">
      <c r="A4" s="157" t="s">
        <v>14</v>
      </c>
      <c r="B4" s="158"/>
      <c r="C4" s="158"/>
      <c r="D4" s="158"/>
      <c r="E4" s="158"/>
      <c r="F4" s="158"/>
      <c r="G4" s="159"/>
    </row>
    <row r="5" spans="1:9" x14ac:dyDescent="0.2">
      <c r="A5" s="154" t="s">
        <v>460</v>
      </c>
      <c r="B5" s="155"/>
      <c r="C5" s="155"/>
      <c r="D5" s="155"/>
      <c r="E5" s="155"/>
      <c r="F5" s="155"/>
      <c r="G5" s="156"/>
    </row>
    <row r="6" spans="1:9" ht="14.25" x14ac:dyDescent="0.2">
      <c r="A6" s="128"/>
      <c r="B6" s="25"/>
      <c r="C6" s="26"/>
      <c r="D6" s="27"/>
      <c r="E6" s="27"/>
      <c r="F6" s="132"/>
      <c r="G6" s="133"/>
    </row>
    <row r="7" spans="1:9" ht="14.25" x14ac:dyDescent="0.2">
      <c r="A7" s="163" t="s">
        <v>103</v>
      </c>
      <c r="B7" s="164"/>
      <c r="C7" s="164"/>
      <c r="D7" s="164"/>
      <c r="E7" s="164"/>
      <c r="F7" s="164"/>
      <c r="G7" s="165"/>
    </row>
    <row r="8" spans="1:9" x14ac:dyDescent="0.2">
      <c r="A8" s="169" t="s">
        <v>78</v>
      </c>
      <c r="B8" s="170"/>
      <c r="C8" s="170"/>
      <c r="D8" s="170"/>
      <c r="E8" s="170"/>
      <c r="F8" s="170"/>
      <c r="G8" s="171"/>
    </row>
    <row r="9" spans="1:9" s="34" customFormat="1" x14ac:dyDescent="0.2">
      <c r="A9" s="166" t="s">
        <v>452</v>
      </c>
      <c r="B9" s="167"/>
      <c r="C9" s="167"/>
      <c r="D9" s="167"/>
      <c r="E9" s="167"/>
      <c r="F9" s="167"/>
      <c r="G9" s="168"/>
    </row>
    <row r="10" spans="1:9" ht="13.5" thickBot="1" x14ac:dyDescent="0.25">
      <c r="A10" s="160" t="s">
        <v>17</v>
      </c>
      <c r="B10" s="161"/>
      <c r="C10" s="161"/>
      <c r="D10" s="161"/>
      <c r="E10" s="161"/>
      <c r="F10" s="161"/>
      <c r="G10" s="162"/>
    </row>
    <row r="11" spans="1:9" ht="25.5" x14ac:dyDescent="0.2">
      <c r="A11" s="98" t="s">
        <v>18</v>
      </c>
      <c r="B11" s="45" t="s">
        <v>19</v>
      </c>
      <c r="C11" s="46" t="s">
        <v>20</v>
      </c>
      <c r="D11" s="44" t="s">
        <v>21</v>
      </c>
      <c r="E11" s="47" t="s">
        <v>22</v>
      </c>
      <c r="F11" s="47" t="s">
        <v>23</v>
      </c>
      <c r="G11" s="45" t="s">
        <v>24</v>
      </c>
    </row>
    <row r="12" spans="1:9" x14ac:dyDescent="0.2">
      <c r="A12" s="40"/>
      <c r="B12" s="10"/>
      <c r="C12" s="11"/>
      <c r="D12" s="12"/>
      <c r="E12" s="13"/>
      <c r="F12" s="14"/>
      <c r="G12" s="39"/>
    </row>
    <row r="13" spans="1:9" s="23" customFormat="1" x14ac:dyDescent="0.2">
      <c r="A13" s="17" t="s">
        <v>104</v>
      </c>
      <c r="B13" s="75" t="s">
        <v>26</v>
      </c>
      <c r="C13" s="18"/>
      <c r="D13" s="20"/>
      <c r="E13" s="21"/>
      <c r="F13" s="22"/>
      <c r="G13" s="38"/>
    </row>
    <row r="14" spans="1:9" x14ac:dyDescent="0.2">
      <c r="A14" s="41" t="s">
        <v>105</v>
      </c>
      <c r="B14" s="35" t="s">
        <v>28</v>
      </c>
      <c r="C14" s="15">
        <v>12</v>
      </c>
      <c r="D14" s="16" t="s">
        <v>29</v>
      </c>
      <c r="E14" s="101">
        <v>0</v>
      </c>
      <c r="F14" s="24">
        <f t="shared" ref="F14:F19" si="0">E14*C14</f>
        <v>0</v>
      </c>
      <c r="G14" s="39"/>
      <c r="I14" s="104"/>
    </row>
    <row r="15" spans="1:9" x14ac:dyDescent="0.2">
      <c r="A15" s="41" t="s">
        <v>106</v>
      </c>
      <c r="B15" s="35" t="s">
        <v>31</v>
      </c>
      <c r="C15" s="15">
        <v>12</v>
      </c>
      <c r="D15" s="16" t="s">
        <v>29</v>
      </c>
      <c r="E15" s="101">
        <v>0</v>
      </c>
      <c r="F15" s="24">
        <f>E15*C15</f>
        <v>0</v>
      </c>
      <c r="G15" s="39"/>
      <c r="I15" s="104"/>
    </row>
    <row r="16" spans="1:9" x14ac:dyDescent="0.2">
      <c r="A16" s="41" t="s">
        <v>107</v>
      </c>
      <c r="B16" s="35" t="s">
        <v>33</v>
      </c>
      <c r="C16" s="15">
        <v>12</v>
      </c>
      <c r="D16" s="16" t="s">
        <v>29</v>
      </c>
      <c r="E16" s="138">
        <v>0</v>
      </c>
      <c r="F16" s="24">
        <f t="shared" si="0"/>
        <v>0</v>
      </c>
      <c r="G16" s="39"/>
      <c r="I16" s="104"/>
    </row>
    <row r="17" spans="1:9" x14ac:dyDescent="0.2">
      <c r="A17" s="41" t="s">
        <v>108</v>
      </c>
      <c r="B17" s="35" t="s">
        <v>35</v>
      </c>
      <c r="C17" s="15">
        <v>12</v>
      </c>
      <c r="D17" s="16" t="s">
        <v>29</v>
      </c>
      <c r="E17" s="101">
        <v>0</v>
      </c>
      <c r="F17" s="24">
        <f t="shared" si="0"/>
        <v>0</v>
      </c>
      <c r="G17" s="39"/>
      <c r="I17" s="104"/>
    </row>
    <row r="18" spans="1:9" x14ac:dyDescent="0.2">
      <c r="A18" s="99" t="s">
        <v>109</v>
      </c>
      <c r="B18" s="35" t="s">
        <v>37</v>
      </c>
      <c r="C18" s="15">
        <v>12</v>
      </c>
      <c r="D18" s="16" t="s">
        <v>29</v>
      </c>
      <c r="E18" s="101">
        <v>0</v>
      </c>
      <c r="F18" s="24">
        <f t="shared" si="0"/>
        <v>0</v>
      </c>
      <c r="G18" s="39"/>
      <c r="I18" s="104"/>
    </row>
    <row r="19" spans="1:9" x14ac:dyDescent="0.2">
      <c r="A19" s="39" t="s">
        <v>110</v>
      </c>
      <c r="B19" s="35" t="s">
        <v>39</v>
      </c>
      <c r="C19" s="15">
        <v>12</v>
      </c>
      <c r="D19" s="16" t="s">
        <v>40</v>
      </c>
      <c r="E19" s="101">
        <v>0</v>
      </c>
      <c r="F19" s="24">
        <f t="shared" si="0"/>
        <v>0</v>
      </c>
      <c r="G19" s="39"/>
      <c r="I19" s="104"/>
    </row>
    <row r="20" spans="1:9" x14ac:dyDescent="0.2">
      <c r="A20" s="41"/>
      <c r="B20" s="17" t="s">
        <v>41</v>
      </c>
      <c r="C20" s="134"/>
      <c r="D20" s="135"/>
      <c r="E20" s="135"/>
      <c r="F20" s="51">
        <f>SUM(F14:F19)</f>
        <v>0</v>
      </c>
      <c r="G20" s="136"/>
      <c r="I20" s="104"/>
    </row>
    <row r="21" spans="1:9" x14ac:dyDescent="0.2">
      <c r="A21" s="41"/>
      <c r="B21" s="35"/>
      <c r="C21" s="15"/>
      <c r="D21" s="16"/>
      <c r="E21" s="135"/>
      <c r="F21" s="24"/>
      <c r="G21" s="39"/>
      <c r="I21" s="104"/>
    </row>
    <row r="22" spans="1:9" s="23" customFormat="1" x14ac:dyDescent="0.2">
      <c r="A22" s="17" t="s">
        <v>111</v>
      </c>
      <c r="B22" s="19" t="s">
        <v>43</v>
      </c>
      <c r="C22" s="18"/>
      <c r="D22" s="20"/>
      <c r="E22" s="135"/>
      <c r="F22" s="22"/>
      <c r="G22" s="38"/>
      <c r="I22" s="104"/>
    </row>
    <row r="23" spans="1:9" x14ac:dyDescent="0.2">
      <c r="A23" s="41" t="s">
        <v>112</v>
      </c>
      <c r="B23" s="35" t="s">
        <v>28</v>
      </c>
      <c r="C23" s="15">
        <v>12</v>
      </c>
      <c r="D23" s="16" t="s">
        <v>29</v>
      </c>
      <c r="E23" s="101">
        <v>0</v>
      </c>
      <c r="F23" s="24">
        <f t="shared" ref="F23:F28" si="1">E23*C23</f>
        <v>0</v>
      </c>
      <c r="G23" s="39"/>
      <c r="I23" s="104"/>
    </row>
    <row r="24" spans="1:9" x14ac:dyDescent="0.2">
      <c r="A24" s="41" t="s">
        <v>113</v>
      </c>
      <c r="B24" s="35" t="s">
        <v>31</v>
      </c>
      <c r="C24" s="15">
        <v>12</v>
      </c>
      <c r="D24" s="16" t="s">
        <v>29</v>
      </c>
      <c r="E24" s="101">
        <v>0</v>
      </c>
      <c r="F24" s="24">
        <f t="shared" si="1"/>
        <v>0</v>
      </c>
      <c r="G24" s="39"/>
      <c r="I24" s="104"/>
    </row>
    <row r="25" spans="1:9" x14ac:dyDescent="0.2">
      <c r="A25" s="41" t="s">
        <v>114</v>
      </c>
      <c r="B25" s="35" t="s">
        <v>33</v>
      </c>
      <c r="C25" s="15">
        <v>12</v>
      </c>
      <c r="D25" s="16" t="s">
        <v>29</v>
      </c>
      <c r="E25" s="101">
        <v>0</v>
      </c>
      <c r="F25" s="24">
        <f t="shared" si="1"/>
        <v>0</v>
      </c>
      <c r="G25" s="39"/>
      <c r="I25" s="104"/>
    </row>
    <row r="26" spans="1:9" x14ac:dyDescent="0.2">
      <c r="A26" s="41" t="s">
        <v>115</v>
      </c>
      <c r="B26" s="35" t="s">
        <v>35</v>
      </c>
      <c r="C26" s="15">
        <v>12</v>
      </c>
      <c r="D26" s="16" t="s">
        <v>29</v>
      </c>
      <c r="E26" s="138">
        <v>0</v>
      </c>
      <c r="F26" s="24">
        <f t="shared" si="1"/>
        <v>0</v>
      </c>
      <c r="G26" s="39"/>
      <c r="I26" s="104"/>
    </row>
    <row r="27" spans="1:9" x14ac:dyDescent="0.2">
      <c r="A27" s="41" t="s">
        <v>116</v>
      </c>
      <c r="B27" s="35" t="s">
        <v>37</v>
      </c>
      <c r="C27" s="15">
        <v>12</v>
      </c>
      <c r="D27" s="16" t="s">
        <v>29</v>
      </c>
      <c r="E27" s="138">
        <v>0</v>
      </c>
      <c r="F27" s="24">
        <f t="shared" si="1"/>
        <v>0</v>
      </c>
      <c r="G27" s="39"/>
      <c r="I27" s="104"/>
    </row>
    <row r="28" spans="1:9" x14ac:dyDescent="0.2">
      <c r="A28" s="99" t="s">
        <v>117</v>
      </c>
      <c r="B28" s="35" t="s">
        <v>39</v>
      </c>
      <c r="C28" s="15">
        <v>2</v>
      </c>
      <c r="D28" s="16" t="s">
        <v>40</v>
      </c>
      <c r="E28" s="101">
        <v>0</v>
      </c>
      <c r="F28" s="24">
        <f t="shared" si="1"/>
        <v>0</v>
      </c>
      <c r="G28" s="39"/>
      <c r="I28" s="104"/>
    </row>
    <row r="29" spans="1:9" x14ac:dyDescent="0.2">
      <c r="A29" s="41"/>
      <c r="B29" s="17" t="s">
        <v>50</v>
      </c>
      <c r="C29" s="134"/>
      <c r="D29" s="135"/>
      <c r="E29" s="135"/>
      <c r="F29" s="51">
        <f>SUM(F23:F28)</f>
        <v>0</v>
      </c>
      <c r="G29" s="136"/>
      <c r="I29" s="104"/>
    </row>
    <row r="30" spans="1:9" x14ac:dyDescent="0.2">
      <c r="A30" s="41"/>
      <c r="B30" s="17"/>
      <c r="C30" s="15"/>
      <c r="D30" s="16"/>
      <c r="E30" s="36"/>
      <c r="F30" s="37"/>
      <c r="G30" s="39"/>
    </row>
    <row r="31" spans="1:9" x14ac:dyDescent="0.2">
      <c r="A31" s="41"/>
      <c r="B31" s="17"/>
      <c r="C31" s="134"/>
      <c r="D31" s="135"/>
      <c r="E31" s="36"/>
      <c r="F31" s="105"/>
      <c r="G31" s="136"/>
    </row>
    <row r="32" spans="1:9" ht="15" x14ac:dyDescent="0.25">
      <c r="A32" s="39"/>
      <c r="B32" s="76" t="s">
        <v>118</v>
      </c>
      <c r="C32" s="17"/>
      <c r="D32" s="42"/>
      <c r="E32" s="43" t="s">
        <v>52</v>
      </c>
      <c r="F32" s="97">
        <f>F20+F29</f>
        <v>0</v>
      </c>
      <c r="G32" s="39"/>
    </row>
    <row r="33" spans="2:6" x14ac:dyDescent="0.2">
      <c r="B33" s="2"/>
      <c r="C33" s="3"/>
      <c r="D33" s="4"/>
      <c r="E33" s="5"/>
    </row>
    <row r="34" spans="2:6" x14ac:dyDescent="0.2">
      <c r="B34" s="2"/>
      <c r="C34" s="3"/>
      <c r="D34" s="4"/>
      <c r="E34" s="5"/>
      <c r="F34" s="5"/>
    </row>
    <row r="36" spans="2:6" x14ac:dyDescent="0.2">
      <c r="B36" s="2"/>
      <c r="C36" s="3"/>
      <c r="D36" s="4"/>
      <c r="E36" s="5"/>
      <c r="F36" s="5"/>
    </row>
    <row r="37" spans="2:6" x14ac:dyDescent="0.2">
      <c r="B37" s="6"/>
      <c r="C37" s="8"/>
      <c r="D37" s="129"/>
      <c r="E37" s="9"/>
      <c r="F37" s="7"/>
    </row>
  </sheetData>
  <mergeCells count="8">
    <mergeCell ref="A9:G9"/>
    <mergeCell ref="A10:G10"/>
    <mergeCell ref="A2:G2"/>
    <mergeCell ref="A3:G3"/>
    <mergeCell ref="A4:G4"/>
    <mergeCell ref="A5:G5"/>
    <mergeCell ref="A7:G7"/>
    <mergeCell ref="A8:G8"/>
  </mergeCells>
  <printOptions horizontalCentered="1"/>
  <pageMargins left="0" right="0" top="0" bottom="0.25" header="0.3" footer="0"/>
  <pageSetup scale="90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FF335-FE0E-4DFB-94A2-736E54FD8681}">
  <sheetPr>
    <pageSetUpPr fitToPage="1"/>
  </sheetPr>
  <dimension ref="A1:H176"/>
  <sheetViews>
    <sheetView zoomScale="99" zoomScaleNormal="99" workbookViewId="0">
      <selection activeCell="O14" sqref="O14"/>
    </sheetView>
  </sheetViews>
  <sheetFormatPr defaultRowHeight="12.75" x14ac:dyDescent="0.2"/>
  <cols>
    <col min="1" max="1" width="8.7109375" style="1" customWidth="1"/>
    <col min="2" max="2" width="25.7109375" style="1" customWidth="1"/>
    <col min="3" max="3" width="45.85546875" style="1" customWidth="1"/>
    <col min="4" max="6" width="12.7109375" style="1" customWidth="1"/>
    <col min="7" max="7" width="14.140625" style="1" customWidth="1"/>
    <col min="8" max="8" width="8.7109375" style="1" customWidth="1"/>
    <col min="9" max="16384" width="9.140625" style="1"/>
  </cols>
  <sheetData>
    <row r="1" spans="1:8" x14ac:dyDescent="0.2">
      <c r="A1" s="155" t="s">
        <v>455</v>
      </c>
      <c r="B1" s="155"/>
      <c r="C1" s="155"/>
      <c r="D1" s="155"/>
      <c r="E1" s="155"/>
      <c r="F1" s="155"/>
      <c r="G1" s="155"/>
      <c r="H1" s="155"/>
    </row>
    <row r="2" spans="1:8" x14ac:dyDescent="0.2">
      <c r="A2" s="155" t="s">
        <v>0</v>
      </c>
      <c r="B2" s="155"/>
      <c r="C2" s="155"/>
      <c r="D2" s="155"/>
      <c r="E2" s="155"/>
      <c r="F2" s="155"/>
      <c r="G2" s="155"/>
      <c r="H2" s="155"/>
    </row>
    <row r="3" spans="1:8" x14ac:dyDescent="0.2">
      <c r="A3" s="158" t="s">
        <v>119</v>
      </c>
      <c r="B3" s="158"/>
      <c r="C3" s="158"/>
      <c r="D3" s="158"/>
      <c r="E3" s="158"/>
      <c r="F3" s="158"/>
      <c r="G3" s="158"/>
      <c r="H3" s="158"/>
    </row>
    <row r="4" spans="1:8" x14ac:dyDescent="0.2">
      <c r="A4" s="155" t="s">
        <v>461</v>
      </c>
      <c r="B4" s="155"/>
      <c r="C4" s="155"/>
      <c r="D4" s="155"/>
      <c r="E4" s="155"/>
      <c r="F4" s="155"/>
      <c r="G4" s="155"/>
      <c r="H4" s="155"/>
    </row>
    <row r="5" spans="1:8" x14ac:dyDescent="0.2">
      <c r="A5" s="56"/>
      <c r="B5" s="7"/>
      <c r="C5" s="7"/>
      <c r="D5" s="7"/>
      <c r="E5" s="7"/>
      <c r="F5" s="7"/>
      <c r="G5" s="7"/>
      <c r="H5" s="7"/>
    </row>
    <row r="6" spans="1:8" x14ac:dyDescent="0.2">
      <c r="A6" s="172" t="s">
        <v>120</v>
      </c>
      <c r="B6" s="172"/>
      <c r="C6" s="172"/>
      <c r="D6" s="172"/>
      <c r="E6" s="172"/>
      <c r="F6" s="172"/>
      <c r="G6" s="172"/>
      <c r="H6" s="172"/>
    </row>
    <row r="7" spans="1:8" x14ac:dyDescent="0.2">
      <c r="A7" s="173" t="s">
        <v>54</v>
      </c>
      <c r="B7" s="173"/>
      <c r="C7" s="173"/>
      <c r="D7" s="173"/>
      <c r="E7" s="173"/>
      <c r="F7" s="173"/>
      <c r="G7" s="173"/>
      <c r="H7" s="173"/>
    </row>
    <row r="8" spans="1:8" x14ac:dyDescent="0.2">
      <c r="A8" s="170" t="s">
        <v>121</v>
      </c>
      <c r="B8" s="170"/>
      <c r="C8" s="170"/>
      <c r="D8" s="170"/>
      <c r="E8" s="170"/>
      <c r="F8" s="170"/>
      <c r="G8" s="170"/>
      <c r="H8" s="170"/>
    </row>
    <row r="9" spans="1:8" ht="13.5" thickBo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38.25" x14ac:dyDescent="0.2">
      <c r="A10" s="109" t="s">
        <v>56</v>
      </c>
      <c r="B10" s="60" t="s">
        <v>57</v>
      </c>
      <c r="C10" s="60" t="s">
        <v>58</v>
      </c>
      <c r="D10" s="60" t="s">
        <v>59</v>
      </c>
      <c r="E10" s="60" t="s">
        <v>60</v>
      </c>
      <c r="F10" s="60" t="s">
        <v>22</v>
      </c>
      <c r="G10" s="61" t="s">
        <v>61</v>
      </c>
      <c r="H10" s="62" t="s">
        <v>62</v>
      </c>
    </row>
    <row r="11" spans="1:8" ht="63.75" x14ac:dyDescent="0.2">
      <c r="A11" s="63" t="s">
        <v>122</v>
      </c>
      <c r="B11" s="10" t="s">
        <v>64</v>
      </c>
      <c r="C11" s="57" t="s">
        <v>65</v>
      </c>
      <c r="D11" s="71">
        <v>900</v>
      </c>
      <c r="E11" s="108" t="s">
        <v>66</v>
      </c>
      <c r="F11" s="112">
        <v>0</v>
      </c>
      <c r="G11" s="24">
        <f>F11*D11</f>
        <v>0</v>
      </c>
      <c r="H11" s="72"/>
    </row>
    <row r="12" spans="1:8" ht="63.75" x14ac:dyDescent="0.2">
      <c r="A12" s="63" t="s">
        <v>123</v>
      </c>
      <c r="B12" s="73" t="s">
        <v>68</v>
      </c>
      <c r="C12" s="57" t="s">
        <v>65</v>
      </c>
      <c r="D12" s="71">
        <v>440</v>
      </c>
      <c r="E12" s="108" t="s">
        <v>66</v>
      </c>
      <c r="F12" s="112">
        <v>0</v>
      </c>
      <c r="G12" s="24">
        <f>F12*D12</f>
        <v>0</v>
      </c>
      <c r="H12" s="72"/>
    </row>
    <row r="13" spans="1:8" ht="57" customHeight="1" x14ac:dyDescent="0.2">
      <c r="A13" s="63" t="s">
        <v>124</v>
      </c>
      <c r="B13" s="73" t="s">
        <v>70</v>
      </c>
      <c r="C13" s="57" t="s">
        <v>71</v>
      </c>
      <c r="D13" s="71">
        <v>100</v>
      </c>
      <c r="E13" s="108" t="s">
        <v>66</v>
      </c>
      <c r="F13" s="112">
        <v>0</v>
      </c>
      <c r="G13" s="24">
        <f>F13*D13</f>
        <v>0</v>
      </c>
      <c r="H13" s="72"/>
    </row>
    <row r="14" spans="1:8" ht="63.75" x14ac:dyDescent="0.2">
      <c r="A14" s="63" t="s">
        <v>125</v>
      </c>
      <c r="B14" s="73" t="s">
        <v>68</v>
      </c>
      <c r="C14" s="57" t="s">
        <v>71</v>
      </c>
      <c r="D14" s="71">
        <v>50</v>
      </c>
      <c r="E14" s="108" t="s">
        <v>66</v>
      </c>
      <c r="F14" s="112">
        <v>0</v>
      </c>
      <c r="G14" s="24">
        <f>F14*D14</f>
        <v>0</v>
      </c>
      <c r="H14" s="72"/>
    </row>
    <row r="15" spans="1:8" ht="38.25" x14ac:dyDescent="0.2">
      <c r="A15" s="63" t="s">
        <v>126</v>
      </c>
      <c r="B15" s="10" t="s">
        <v>74</v>
      </c>
      <c r="C15" s="57" t="s">
        <v>75</v>
      </c>
      <c r="D15" s="74">
        <v>1</v>
      </c>
      <c r="E15" s="74" t="s">
        <v>40</v>
      </c>
      <c r="F15" s="118">
        <v>150000</v>
      </c>
      <c r="G15" s="24">
        <f>F15*D15</f>
        <v>150000</v>
      </c>
      <c r="H15" s="52"/>
    </row>
    <row r="16" spans="1:8" ht="27" x14ac:dyDescent="0.2">
      <c r="A16" s="64"/>
      <c r="B16" s="65"/>
      <c r="C16" s="66" t="s">
        <v>127</v>
      </c>
      <c r="D16" s="39"/>
      <c r="E16" s="39"/>
      <c r="F16" s="24"/>
      <c r="G16" s="106">
        <f>SUM(G11:G15)</f>
        <v>150000</v>
      </c>
      <c r="H16" s="53"/>
    </row>
    <row r="17" spans="1:8" x14ac:dyDescent="0.2">
      <c r="A17" s="56"/>
      <c r="B17"/>
      <c r="C17"/>
      <c r="D17"/>
      <c r="E17"/>
      <c r="F17"/>
      <c r="G17"/>
      <c r="H17"/>
    </row>
    <row r="18" spans="1:8" x14ac:dyDescent="0.2">
      <c r="A18" s="70"/>
      <c r="B18" s="7"/>
      <c r="C18"/>
      <c r="D18"/>
      <c r="E18"/>
      <c r="F18"/>
      <c r="G18"/>
      <c r="H18"/>
    </row>
    <row r="19" spans="1:8" x14ac:dyDescent="0.2">
      <c r="A19" s="70"/>
      <c r="B19" s="7"/>
      <c r="C19"/>
      <c r="D19"/>
      <c r="E19"/>
      <c r="F19"/>
      <c r="G19"/>
      <c r="H19"/>
    </row>
    <row r="20" spans="1:8" x14ac:dyDescent="0.2">
      <c r="A20" s="70"/>
      <c r="B20" s="7"/>
      <c r="C20"/>
      <c r="D20"/>
      <c r="E20"/>
      <c r="F20"/>
      <c r="G20"/>
      <c r="H20"/>
    </row>
    <row r="21" spans="1:8" x14ac:dyDescent="0.2">
      <c r="A21" s="70"/>
      <c r="B21" s="7"/>
      <c r="C21"/>
      <c r="D21"/>
      <c r="E21"/>
      <c r="F21"/>
      <c r="G21"/>
      <c r="H21"/>
    </row>
    <row r="22" spans="1:8" x14ac:dyDescent="0.2">
      <c r="A22" s="70"/>
      <c r="B22" s="7"/>
      <c r="C22"/>
      <c r="D22"/>
      <c r="E22"/>
      <c r="F22"/>
      <c r="G22"/>
      <c r="H22"/>
    </row>
    <row r="23" spans="1:8" x14ac:dyDescent="0.2">
      <c r="A23" s="70"/>
      <c r="B23" s="7"/>
      <c r="C23"/>
      <c r="D23"/>
      <c r="E23"/>
      <c r="F23"/>
      <c r="G23"/>
      <c r="H23"/>
    </row>
    <row r="24" spans="1:8" x14ac:dyDescent="0.2">
      <c r="A24" s="70"/>
      <c r="B24" s="7"/>
      <c r="C24"/>
      <c r="D24"/>
      <c r="E24"/>
      <c r="F24"/>
      <c r="G24"/>
      <c r="H24"/>
    </row>
    <row r="25" spans="1:8" x14ac:dyDescent="0.2">
      <c r="A25" s="70"/>
      <c r="B25" s="7"/>
      <c r="C25"/>
      <c r="D25"/>
      <c r="E25"/>
      <c r="F25"/>
      <c r="G25"/>
      <c r="H25"/>
    </row>
    <row r="26" spans="1:8" x14ac:dyDescent="0.2">
      <c r="A26" s="70"/>
      <c r="B26" s="7"/>
      <c r="C26"/>
      <c r="D26"/>
      <c r="E26"/>
      <c r="F26"/>
      <c r="G26"/>
      <c r="H26"/>
    </row>
    <row r="27" spans="1:8" x14ac:dyDescent="0.2">
      <c r="A27" s="70"/>
      <c r="B27" s="7"/>
      <c r="C27"/>
      <c r="D27"/>
      <c r="E27"/>
      <c r="F27"/>
      <c r="G27"/>
      <c r="H27"/>
    </row>
    <row r="28" spans="1:8" x14ac:dyDescent="0.2">
      <c r="A28" s="70"/>
      <c r="B28" s="7"/>
      <c r="C28"/>
      <c r="D28"/>
      <c r="E28"/>
      <c r="F28"/>
      <c r="G28"/>
      <c r="H28"/>
    </row>
    <row r="29" spans="1:8" x14ac:dyDescent="0.2">
      <c r="A29" s="70"/>
      <c r="B29" s="7"/>
      <c r="C29"/>
      <c r="D29"/>
      <c r="E29"/>
      <c r="F29"/>
      <c r="G29"/>
      <c r="H29"/>
    </row>
    <row r="30" spans="1:8" x14ac:dyDescent="0.2">
      <c r="A30" s="70"/>
      <c r="B30" s="7"/>
      <c r="C30"/>
      <c r="D30"/>
      <c r="E30"/>
      <c r="F30"/>
      <c r="G30"/>
      <c r="H30"/>
    </row>
    <row r="31" spans="1:8" x14ac:dyDescent="0.2">
      <c r="A31" s="70"/>
      <c r="B31" s="7"/>
      <c r="C31"/>
      <c r="D31"/>
      <c r="E31"/>
      <c r="F31"/>
      <c r="G31"/>
      <c r="H31"/>
    </row>
    <row r="32" spans="1:8" x14ac:dyDescent="0.2">
      <c r="A32" s="70"/>
      <c r="B32" s="7"/>
    </row>
    <row r="33" spans="1:2" x14ac:dyDescent="0.2">
      <c r="A33" s="70"/>
      <c r="B33" s="7"/>
    </row>
    <row r="34" spans="1:2" x14ac:dyDescent="0.2">
      <c r="A34" s="70"/>
      <c r="B34" s="7"/>
    </row>
    <row r="35" spans="1:2" x14ac:dyDescent="0.2">
      <c r="A35" s="70"/>
      <c r="B35" s="7"/>
    </row>
    <row r="36" spans="1:2" x14ac:dyDescent="0.2">
      <c r="A36" s="70"/>
      <c r="B36" s="7"/>
    </row>
    <row r="37" spans="1:2" x14ac:dyDescent="0.2">
      <c r="A37" s="70"/>
      <c r="B37" s="7"/>
    </row>
    <row r="38" spans="1:2" x14ac:dyDescent="0.2">
      <c r="A38" s="70"/>
      <c r="B38" s="7"/>
    </row>
    <row r="39" spans="1:2" x14ac:dyDescent="0.2">
      <c r="A39" s="70"/>
      <c r="B39" s="7"/>
    </row>
    <row r="40" spans="1:2" x14ac:dyDescent="0.2">
      <c r="A40" s="70"/>
      <c r="B40" s="7"/>
    </row>
    <row r="41" spans="1:2" x14ac:dyDescent="0.2">
      <c r="A41" s="70"/>
      <c r="B41" s="7"/>
    </row>
    <row r="42" spans="1:2" x14ac:dyDescent="0.2">
      <c r="A42" s="70"/>
      <c r="B42" s="7"/>
    </row>
    <row r="43" spans="1:2" x14ac:dyDescent="0.2">
      <c r="A43" s="70"/>
      <c r="B43" s="7"/>
    </row>
    <row r="44" spans="1:2" x14ac:dyDescent="0.2">
      <c r="A44" s="70"/>
      <c r="B44" s="7"/>
    </row>
    <row r="45" spans="1:2" x14ac:dyDescent="0.2">
      <c r="A45" s="70"/>
      <c r="B45" s="7"/>
    </row>
    <row r="46" spans="1:2" x14ac:dyDescent="0.2">
      <c r="A46" s="70"/>
      <c r="B46" s="7"/>
    </row>
    <row r="47" spans="1:2" x14ac:dyDescent="0.2">
      <c r="A47" s="70"/>
      <c r="B47" s="7"/>
    </row>
    <row r="48" spans="1:2" x14ac:dyDescent="0.2">
      <c r="A48" s="70"/>
      <c r="B48" s="7"/>
    </row>
    <row r="49" spans="1:2" x14ac:dyDescent="0.2">
      <c r="A49" s="70"/>
      <c r="B49" s="7"/>
    </row>
    <row r="50" spans="1:2" x14ac:dyDescent="0.2">
      <c r="A50" s="70"/>
      <c r="B50" s="7"/>
    </row>
    <row r="51" spans="1:2" x14ac:dyDescent="0.2">
      <c r="A51" s="70"/>
      <c r="B51" s="7"/>
    </row>
    <row r="52" spans="1:2" x14ac:dyDescent="0.2">
      <c r="A52" s="70"/>
      <c r="B52" s="7"/>
    </row>
    <row r="53" spans="1:2" x14ac:dyDescent="0.2">
      <c r="A53" s="70"/>
      <c r="B53" s="7"/>
    </row>
    <row r="54" spans="1:2" x14ac:dyDescent="0.2">
      <c r="A54" s="70"/>
      <c r="B54" s="7"/>
    </row>
    <row r="55" spans="1:2" x14ac:dyDescent="0.2">
      <c r="A55" s="70"/>
      <c r="B55" s="7"/>
    </row>
    <row r="56" spans="1:2" x14ac:dyDescent="0.2">
      <c r="A56" s="70"/>
      <c r="B56" s="7"/>
    </row>
    <row r="57" spans="1:2" x14ac:dyDescent="0.2">
      <c r="A57" s="70"/>
      <c r="B57" s="7"/>
    </row>
    <row r="58" spans="1:2" x14ac:dyDescent="0.2">
      <c r="A58" s="70"/>
      <c r="B58" s="7"/>
    </row>
    <row r="59" spans="1:2" x14ac:dyDescent="0.2">
      <c r="A59" s="70"/>
      <c r="B59" s="7"/>
    </row>
    <row r="60" spans="1:2" x14ac:dyDescent="0.2">
      <c r="A60" s="70"/>
      <c r="B60" s="7"/>
    </row>
    <row r="61" spans="1:2" x14ac:dyDescent="0.2">
      <c r="A61" s="70"/>
      <c r="B61" s="7"/>
    </row>
    <row r="62" spans="1:2" x14ac:dyDescent="0.2">
      <c r="A62" s="70"/>
      <c r="B62" s="7"/>
    </row>
    <row r="63" spans="1:2" x14ac:dyDescent="0.2">
      <c r="A63" s="70"/>
      <c r="B63" s="7"/>
    </row>
    <row r="64" spans="1:2" x14ac:dyDescent="0.2">
      <c r="A64" s="70"/>
      <c r="B64" s="7"/>
    </row>
    <row r="65" spans="1:2" x14ac:dyDescent="0.2">
      <c r="A65" s="70"/>
      <c r="B65" s="7"/>
    </row>
    <row r="66" spans="1:2" x14ac:dyDescent="0.2">
      <c r="A66" s="70"/>
      <c r="B66" s="7"/>
    </row>
    <row r="67" spans="1:2" x14ac:dyDescent="0.2">
      <c r="A67" s="70"/>
      <c r="B67" s="7"/>
    </row>
    <row r="68" spans="1:2" x14ac:dyDescent="0.2">
      <c r="A68" s="70"/>
      <c r="B68" s="7"/>
    </row>
    <row r="69" spans="1:2" x14ac:dyDescent="0.2">
      <c r="A69" s="70"/>
      <c r="B69" s="7"/>
    </row>
    <row r="70" spans="1:2" x14ac:dyDescent="0.2">
      <c r="A70" s="70"/>
      <c r="B70" s="7"/>
    </row>
    <row r="71" spans="1:2" x14ac:dyDescent="0.2">
      <c r="A71" s="70"/>
      <c r="B71" s="7"/>
    </row>
    <row r="72" spans="1:2" x14ac:dyDescent="0.2">
      <c r="A72" s="70"/>
      <c r="B72" s="7"/>
    </row>
    <row r="73" spans="1:2" x14ac:dyDescent="0.2">
      <c r="A73" s="70"/>
      <c r="B73" s="7"/>
    </row>
    <row r="74" spans="1:2" x14ac:dyDescent="0.2">
      <c r="A74" s="70"/>
      <c r="B74" s="7"/>
    </row>
    <row r="75" spans="1:2" x14ac:dyDescent="0.2">
      <c r="A75" s="70"/>
      <c r="B75" s="7"/>
    </row>
    <row r="76" spans="1:2" x14ac:dyDescent="0.2">
      <c r="A76" s="70"/>
      <c r="B76" s="7"/>
    </row>
    <row r="77" spans="1:2" x14ac:dyDescent="0.2">
      <c r="A77" s="70"/>
      <c r="B77" s="7"/>
    </row>
    <row r="78" spans="1:2" x14ac:dyDescent="0.2">
      <c r="A78" s="70"/>
      <c r="B78" s="7"/>
    </row>
    <row r="79" spans="1:2" x14ac:dyDescent="0.2">
      <c r="A79" s="70"/>
      <c r="B79" s="7"/>
    </row>
    <row r="80" spans="1:2" x14ac:dyDescent="0.2">
      <c r="A80" s="70"/>
      <c r="B80" s="7"/>
    </row>
    <row r="81" spans="1:2" x14ac:dyDescent="0.2">
      <c r="A81" s="70"/>
      <c r="B81" s="7"/>
    </row>
    <row r="82" spans="1:2" x14ac:dyDescent="0.2">
      <c r="A82" s="70"/>
      <c r="B82" s="7"/>
    </row>
    <row r="83" spans="1:2" x14ac:dyDescent="0.2">
      <c r="A83" s="70"/>
      <c r="B83" s="7"/>
    </row>
    <row r="84" spans="1:2" x14ac:dyDescent="0.2">
      <c r="A84" s="70"/>
      <c r="B84" s="7"/>
    </row>
    <row r="85" spans="1:2" x14ac:dyDescent="0.2">
      <c r="A85" s="70"/>
      <c r="B85" s="7"/>
    </row>
    <row r="86" spans="1:2" x14ac:dyDescent="0.2">
      <c r="A86" s="70"/>
      <c r="B86" s="7"/>
    </row>
    <row r="87" spans="1:2" x14ac:dyDescent="0.2">
      <c r="A87" s="70"/>
      <c r="B87" s="7"/>
    </row>
    <row r="88" spans="1:2" x14ac:dyDescent="0.2">
      <c r="A88" s="70"/>
      <c r="B88" s="7"/>
    </row>
    <row r="89" spans="1:2" x14ac:dyDescent="0.2">
      <c r="A89" s="70"/>
      <c r="B89" s="7"/>
    </row>
    <row r="90" spans="1:2" x14ac:dyDescent="0.2">
      <c r="A90" s="70"/>
      <c r="B90" s="7"/>
    </row>
    <row r="91" spans="1:2" x14ac:dyDescent="0.2">
      <c r="A91" s="70"/>
      <c r="B91" s="7"/>
    </row>
    <row r="92" spans="1:2" x14ac:dyDescent="0.2">
      <c r="A92" s="70"/>
      <c r="B92" s="7"/>
    </row>
    <row r="93" spans="1:2" x14ac:dyDescent="0.2">
      <c r="A93" s="70"/>
      <c r="B93" s="7"/>
    </row>
    <row r="94" spans="1:2" x14ac:dyDescent="0.2">
      <c r="A94" s="70"/>
      <c r="B94" s="7"/>
    </row>
    <row r="95" spans="1:2" x14ac:dyDescent="0.2">
      <c r="A95" s="70"/>
      <c r="B95" s="7"/>
    </row>
    <row r="96" spans="1:2" x14ac:dyDescent="0.2">
      <c r="A96" s="70"/>
      <c r="B96" s="7"/>
    </row>
    <row r="97" spans="1:2" x14ac:dyDescent="0.2">
      <c r="A97" s="70"/>
      <c r="B97" s="7"/>
    </row>
    <row r="98" spans="1:2" x14ac:dyDescent="0.2">
      <c r="A98" s="70"/>
      <c r="B98" s="7"/>
    </row>
    <row r="99" spans="1:2" x14ac:dyDescent="0.2">
      <c r="A99" s="70"/>
      <c r="B99" s="7"/>
    </row>
    <row r="100" spans="1:2" x14ac:dyDescent="0.2">
      <c r="A100" s="70"/>
      <c r="B100" s="7"/>
    </row>
    <row r="101" spans="1:2" x14ac:dyDescent="0.2">
      <c r="A101" s="70"/>
      <c r="B101" s="7"/>
    </row>
    <row r="102" spans="1:2" x14ac:dyDescent="0.2">
      <c r="A102" s="70"/>
      <c r="B102" s="7"/>
    </row>
    <row r="103" spans="1:2" x14ac:dyDescent="0.2">
      <c r="A103" s="70"/>
      <c r="B103" s="7"/>
    </row>
    <row r="104" spans="1:2" x14ac:dyDescent="0.2">
      <c r="A104" s="70"/>
      <c r="B104" s="7"/>
    </row>
    <row r="105" spans="1:2" x14ac:dyDescent="0.2">
      <c r="A105" s="70"/>
      <c r="B105" s="7"/>
    </row>
    <row r="106" spans="1:2" x14ac:dyDescent="0.2">
      <c r="A106" s="70"/>
      <c r="B106" s="7"/>
    </row>
    <row r="107" spans="1:2" x14ac:dyDescent="0.2">
      <c r="A107" s="70"/>
      <c r="B107" s="7"/>
    </row>
    <row r="108" spans="1:2" x14ac:dyDescent="0.2">
      <c r="A108" s="70"/>
      <c r="B108" s="7"/>
    </row>
    <row r="109" spans="1:2" x14ac:dyDescent="0.2">
      <c r="A109" s="70"/>
      <c r="B109" s="7"/>
    </row>
    <row r="110" spans="1:2" x14ac:dyDescent="0.2">
      <c r="A110" s="70"/>
      <c r="B110" s="7"/>
    </row>
    <row r="111" spans="1:2" x14ac:dyDescent="0.2">
      <c r="A111" s="70"/>
      <c r="B111" s="7"/>
    </row>
    <row r="112" spans="1:2" x14ac:dyDescent="0.2">
      <c r="A112" s="70"/>
      <c r="B112" s="7"/>
    </row>
    <row r="113" spans="1:2" x14ac:dyDescent="0.2">
      <c r="A113" s="70"/>
      <c r="B113" s="7"/>
    </row>
    <row r="114" spans="1:2" x14ac:dyDescent="0.2">
      <c r="A114" s="70"/>
      <c r="B114" s="7"/>
    </row>
    <row r="115" spans="1:2" x14ac:dyDescent="0.2">
      <c r="A115" s="70"/>
      <c r="B115" s="7"/>
    </row>
    <row r="116" spans="1:2" x14ac:dyDescent="0.2">
      <c r="A116" s="70"/>
      <c r="B116" s="7"/>
    </row>
    <row r="117" spans="1:2" x14ac:dyDescent="0.2">
      <c r="A117" s="70"/>
      <c r="B117" s="7"/>
    </row>
    <row r="118" spans="1:2" x14ac:dyDescent="0.2">
      <c r="A118" s="70"/>
      <c r="B118" s="7"/>
    </row>
    <row r="119" spans="1:2" x14ac:dyDescent="0.2">
      <c r="A119" s="70"/>
      <c r="B119" s="7"/>
    </row>
    <row r="120" spans="1:2" x14ac:dyDescent="0.2">
      <c r="A120" s="70"/>
      <c r="B120" s="7"/>
    </row>
    <row r="121" spans="1:2" x14ac:dyDescent="0.2">
      <c r="A121" s="70"/>
      <c r="B121" s="7"/>
    </row>
    <row r="122" spans="1:2" x14ac:dyDescent="0.2">
      <c r="A122" s="70"/>
      <c r="B122" s="7"/>
    </row>
    <row r="123" spans="1:2" x14ac:dyDescent="0.2">
      <c r="A123" s="70"/>
      <c r="B123" s="7"/>
    </row>
    <row r="124" spans="1:2" x14ac:dyDescent="0.2">
      <c r="A124" s="70"/>
      <c r="B124" s="7"/>
    </row>
    <row r="125" spans="1:2" x14ac:dyDescent="0.2">
      <c r="A125" s="70"/>
      <c r="B125" s="7"/>
    </row>
    <row r="126" spans="1:2" x14ac:dyDescent="0.2">
      <c r="A126" s="70"/>
      <c r="B126" s="7"/>
    </row>
    <row r="127" spans="1:2" x14ac:dyDescent="0.2">
      <c r="A127" s="70"/>
      <c r="B127" s="7"/>
    </row>
    <row r="128" spans="1:2" x14ac:dyDescent="0.2">
      <c r="A128" s="70"/>
      <c r="B128" s="7"/>
    </row>
    <row r="129" spans="1:2" x14ac:dyDescent="0.2">
      <c r="A129" s="70"/>
      <c r="B129" s="7"/>
    </row>
    <row r="130" spans="1:2" x14ac:dyDescent="0.2">
      <c r="A130" s="70"/>
      <c r="B130" s="7"/>
    </row>
    <row r="131" spans="1:2" x14ac:dyDescent="0.2">
      <c r="A131" s="70"/>
      <c r="B131" s="7"/>
    </row>
    <row r="132" spans="1:2" x14ac:dyDescent="0.2">
      <c r="A132" s="70"/>
      <c r="B132" s="7"/>
    </row>
    <row r="133" spans="1:2" x14ac:dyDescent="0.2">
      <c r="A133" s="70"/>
      <c r="B133" s="7"/>
    </row>
    <row r="134" spans="1:2" x14ac:dyDescent="0.2">
      <c r="A134" s="70"/>
      <c r="B134" s="7"/>
    </row>
    <row r="135" spans="1:2" x14ac:dyDescent="0.2">
      <c r="A135" s="70"/>
      <c r="B135" s="7"/>
    </row>
    <row r="136" spans="1:2" x14ac:dyDescent="0.2">
      <c r="A136" s="70"/>
      <c r="B136" s="7"/>
    </row>
    <row r="137" spans="1:2" x14ac:dyDescent="0.2">
      <c r="A137" s="70"/>
      <c r="B137" s="7"/>
    </row>
    <row r="138" spans="1:2" x14ac:dyDescent="0.2">
      <c r="A138" s="70"/>
      <c r="B138" s="7"/>
    </row>
    <row r="139" spans="1:2" x14ac:dyDescent="0.2">
      <c r="A139" s="70"/>
      <c r="B139" s="7"/>
    </row>
    <row r="140" spans="1:2" x14ac:dyDescent="0.2">
      <c r="A140" s="70"/>
      <c r="B140" s="7"/>
    </row>
    <row r="141" spans="1:2" x14ac:dyDescent="0.2">
      <c r="A141" s="70"/>
      <c r="B141" s="7"/>
    </row>
    <row r="142" spans="1:2" x14ac:dyDescent="0.2">
      <c r="A142" s="70"/>
      <c r="B142" s="7"/>
    </row>
    <row r="143" spans="1:2" x14ac:dyDescent="0.2">
      <c r="A143" s="70"/>
      <c r="B143" s="7"/>
    </row>
    <row r="144" spans="1:2" x14ac:dyDescent="0.2">
      <c r="A144" s="70"/>
      <c r="B144" s="7"/>
    </row>
    <row r="145" spans="1:2" x14ac:dyDescent="0.2">
      <c r="A145" s="70"/>
      <c r="B145" s="7"/>
    </row>
    <row r="146" spans="1:2" x14ac:dyDescent="0.2">
      <c r="A146" s="70"/>
      <c r="B146" s="7"/>
    </row>
    <row r="147" spans="1:2" x14ac:dyDescent="0.2">
      <c r="A147" s="70"/>
      <c r="B147" s="7"/>
    </row>
    <row r="148" spans="1:2" x14ac:dyDescent="0.2">
      <c r="A148" s="70"/>
      <c r="B148" s="7"/>
    </row>
    <row r="149" spans="1:2" x14ac:dyDescent="0.2">
      <c r="A149" s="70"/>
      <c r="B149" s="7"/>
    </row>
    <row r="150" spans="1:2" x14ac:dyDescent="0.2">
      <c r="A150" s="70"/>
      <c r="B150" s="7"/>
    </row>
    <row r="151" spans="1:2" x14ac:dyDescent="0.2">
      <c r="A151" s="70"/>
      <c r="B151" s="7"/>
    </row>
    <row r="152" spans="1:2" x14ac:dyDescent="0.2">
      <c r="A152" s="70"/>
      <c r="B152" s="7"/>
    </row>
    <row r="153" spans="1:2" x14ac:dyDescent="0.2">
      <c r="A153" s="70"/>
      <c r="B153" s="7"/>
    </row>
    <row r="154" spans="1:2" x14ac:dyDescent="0.2">
      <c r="A154" s="70"/>
      <c r="B154" s="7"/>
    </row>
    <row r="155" spans="1:2" x14ac:dyDescent="0.2">
      <c r="A155" s="70"/>
      <c r="B155" s="7"/>
    </row>
    <row r="156" spans="1:2" x14ac:dyDescent="0.2">
      <c r="A156" s="70"/>
      <c r="B156" s="7"/>
    </row>
    <row r="157" spans="1:2" x14ac:dyDescent="0.2">
      <c r="A157" s="70"/>
      <c r="B157" s="7"/>
    </row>
    <row r="158" spans="1:2" x14ac:dyDescent="0.2">
      <c r="A158" s="70"/>
      <c r="B158" s="7"/>
    </row>
    <row r="159" spans="1:2" x14ac:dyDescent="0.2">
      <c r="A159" s="70"/>
      <c r="B159" s="7"/>
    </row>
    <row r="160" spans="1:2" x14ac:dyDescent="0.2">
      <c r="A160" s="70"/>
      <c r="B160" s="7"/>
    </row>
    <row r="161" spans="1:2" x14ac:dyDescent="0.2">
      <c r="A161" s="70"/>
      <c r="B161" s="7"/>
    </row>
    <row r="162" spans="1:2" x14ac:dyDescent="0.2">
      <c r="A162" s="70"/>
      <c r="B162" s="7"/>
    </row>
    <row r="163" spans="1:2" x14ac:dyDescent="0.2">
      <c r="A163" s="70"/>
      <c r="B163" s="7"/>
    </row>
    <row r="164" spans="1:2" x14ac:dyDescent="0.2">
      <c r="A164" s="70"/>
      <c r="B164" s="7"/>
    </row>
    <row r="165" spans="1:2" x14ac:dyDescent="0.2">
      <c r="A165" s="70"/>
      <c r="B165" s="7"/>
    </row>
    <row r="166" spans="1:2" x14ac:dyDescent="0.2">
      <c r="A166" s="70"/>
      <c r="B166" s="7"/>
    </row>
    <row r="167" spans="1:2" x14ac:dyDescent="0.2">
      <c r="A167" s="70"/>
      <c r="B167" s="7"/>
    </row>
    <row r="168" spans="1:2" x14ac:dyDescent="0.2">
      <c r="A168" s="70"/>
      <c r="B168" s="7"/>
    </row>
    <row r="169" spans="1:2" x14ac:dyDescent="0.2">
      <c r="A169" s="70"/>
      <c r="B169" s="7"/>
    </row>
    <row r="170" spans="1:2" x14ac:dyDescent="0.2">
      <c r="A170" s="70"/>
      <c r="B170" s="7"/>
    </row>
    <row r="171" spans="1:2" x14ac:dyDescent="0.2">
      <c r="A171" s="70"/>
      <c r="B171" s="7"/>
    </row>
    <row r="172" spans="1:2" x14ac:dyDescent="0.2">
      <c r="A172" s="70"/>
      <c r="B172" s="7"/>
    </row>
    <row r="173" spans="1:2" x14ac:dyDescent="0.2">
      <c r="A173" s="70"/>
      <c r="B173" s="7"/>
    </row>
    <row r="174" spans="1:2" x14ac:dyDescent="0.2">
      <c r="A174" s="70"/>
      <c r="B174" s="7"/>
    </row>
    <row r="175" spans="1:2" x14ac:dyDescent="0.2">
      <c r="A175" s="70"/>
      <c r="B175" s="7"/>
    </row>
    <row r="176" spans="1:2" x14ac:dyDescent="0.2">
      <c r="A176" s="70"/>
      <c r="B176" s="7"/>
    </row>
  </sheetData>
  <mergeCells count="7">
    <mergeCell ref="A8:H8"/>
    <mergeCell ref="A1:H1"/>
    <mergeCell ref="A2:H2"/>
    <mergeCell ref="A3:H3"/>
    <mergeCell ref="A4:H4"/>
    <mergeCell ref="A6:H6"/>
    <mergeCell ref="A7:H7"/>
  </mergeCells>
  <pageMargins left="0.39" right="0.21" top="1" bottom="1" header="0.5" footer="0.5"/>
  <pageSetup scale="96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DC194-5CBB-49A0-A978-8BD8051DB059}">
  <sheetPr>
    <pageSetUpPr fitToPage="1"/>
  </sheetPr>
  <dimension ref="A1:I41"/>
  <sheetViews>
    <sheetView zoomScaleNormal="100" workbookViewId="0">
      <selection activeCell="A5" sqref="A5:G5"/>
    </sheetView>
  </sheetViews>
  <sheetFormatPr defaultRowHeight="12.75" x14ac:dyDescent="0.2"/>
  <cols>
    <col min="1" max="1" width="10" style="1" customWidth="1"/>
    <col min="2" max="2" width="51.85546875" style="1" customWidth="1"/>
    <col min="3" max="3" width="10.5703125" style="1" customWidth="1"/>
    <col min="4" max="4" width="12.5703125" style="1" customWidth="1"/>
    <col min="5" max="5" width="10.7109375" style="1" customWidth="1"/>
    <col min="6" max="7" width="11.7109375" style="1" customWidth="1"/>
    <col min="8" max="8" width="9.140625" style="1"/>
    <col min="9" max="9" width="11" style="1" customWidth="1"/>
    <col min="10" max="16384" width="9.140625" style="1"/>
  </cols>
  <sheetData>
    <row r="1" spans="1:9" x14ac:dyDescent="0.2">
      <c r="A1" s="48"/>
      <c r="B1" s="49"/>
      <c r="C1" s="49"/>
      <c r="D1" s="49"/>
      <c r="E1" s="49"/>
      <c r="F1" s="49"/>
      <c r="G1" s="50"/>
    </row>
    <row r="2" spans="1:9" x14ac:dyDescent="0.2">
      <c r="A2" s="154" t="s">
        <v>455</v>
      </c>
      <c r="B2" s="155"/>
      <c r="C2" s="155"/>
      <c r="D2" s="155"/>
      <c r="E2" s="155"/>
      <c r="F2" s="155"/>
      <c r="G2" s="156"/>
    </row>
    <row r="3" spans="1:9" x14ac:dyDescent="0.2">
      <c r="A3" s="154" t="s">
        <v>0</v>
      </c>
      <c r="B3" s="155"/>
      <c r="C3" s="155"/>
      <c r="D3" s="155"/>
      <c r="E3" s="155"/>
      <c r="F3" s="155"/>
      <c r="G3" s="156"/>
    </row>
    <row r="4" spans="1:9" x14ac:dyDescent="0.2">
      <c r="A4" s="157" t="s">
        <v>14</v>
      </c>
      <c r="B4" s="158"/>
      <c r="C4" s="158"/>
      <c r="D4" s="158"/>
      <c r="E4" s="158"/>
      <c r="F4" s="158"/>
      <c r="G4" s="159"/>
    </row>
    <row r="5" spans="1:9" x14ac:dyDescent="0.2">
      <c r="A5" s="154" t="s">
        <v>462</v>
      </c>
      <c r="B5" s="155"/>
      <c r="C5" s="155"/>
      <c r="D5" s="155"/>
      <c r="E5" s="155"/>
      <c r="F5" s="155"/>
      <c r="G5" s="156"/>
    </row>
    <row r="6" spans="1:9" ht="14.25" x14ac:dyDescent="0.2">
      <c r="A6" s="128"/>
      <c r="B6" s="25"/>
      <c r="C6" s="26"/>
      <c r="D6" s="27"/>
      <c r="E6" s="27"/>
      <c r="F6" s="132"/>
      <c r="G6" s="133"/>
    </row>
    <row r="7" spans="1:9" ht="14.25" x14ac:dyDescent="0.2">
      <c r="A7" s="163" t="s">
        <v>128</v>
      </c>
      <c r="B7" s="164"/>
      <c r="C7" s="164"/>
      <c r="D7" s="164"/>
      <c r="E7" s="164"/>
      <c r="F7" s="164"/>
      <c r="G7" s="165"/>
    </row>
    <row r="8" spans="1:9" x14ac:dyDescent="0.2">
      <c r="A8" s="169" t="s">
        <v>78</v>
      </c>
      <c r="B8" s="170"/>
      <c r="C8" s="170"/>
      <c r="D8" s="170"/>
      <c r="E8" s="170"/>
      <c r="F8" s="170"/>
      <c r="G8" s="171"/>
    </row>
    <row r="9" spans="1:9" s="34" customFormat="1" x14ac:dyDescent="0.2">
      <c r="A9" s="166" t="s">
        <v>453</v>
      </c>
      <c r="B9" s="167"/>
      <c r="C9" s="167"/>
      <c r="D9" s="167"/>
      <c r="E9" s="167"/>
      <c r="F9" s="167"/>
      <c r="G9" s="168"/>
    </row>
    <row r="10" spans="1:9" ht="13.5" thickBot="1" x14ac:dyDescent="0.25">
      <c r="A10" s="160" t="s">
        <v>17</v>
      </c>
      <c r="B10" s="161"/>
      <c r="C10" s="161"/>
      <c r="D10" s="161"/>
      <c r="E10" s="161"/>
      <c r="F10" s="161"/>
      <c r="G10" s="162"/>
    </row>
    <row r="11" spans="1:9" ht="25.5" x14ac:dyDescent="0.2">
      <c r="A11" s="98" t="s">
        <v>18</v>
      </c>
      <c r="B11" s="45" t="s">
        <v>19</v>
      </c>
      <c r="C11" s="46" t="s">
        <v>20</v>
      </c>
      <c r="D11" s="44" t="s">
        <v>21</v>
      </c>
      <c r="E11" s="47" t="s">
        <v>22</v>
      </c>
      <c r="F11" s="47" t="s">
        <v>23</v>
      </c>
      <c r="G11" s="45" t="s">
        <v>24</v>
      </c>
    </row>
    <row r="12" spans="1:9" x14ac:dyDescent="0.2">
      <c r="A12" s="40"/>
      <c r="B12" s="10"/>
      <c r="C12" s="11"/>
      <c r="D12" s="12"/>
      <c r="E12" s="13"/>
      <c r="F12" s="14"/>
      <c r="G12" s="39"/>
    </row>
    <row r="13" spans="1:9" s="23" customFormat="1" x14ac:dyDescent="0.2">
      <c r="A13" s="17" t="s">
        <v>129</v>
      </c>
      <c r="B13" s="75" t="s">
        <v>26</v>
      </c>
      <c r="C13" s="18"/>
      <c r="D13" s="20"/>
      <c r="E13" s="21"/>
      <c r="F13" s="22"/>
      <c r="G13" s="38"/>
    </row>
    <row r="14" spans="1:9" x14ac:dyDescent="0.2">
      <c r="A14" s="41" t="s">
        <v>130</v>
      </c>
      <c r="B14" s="35" t="s">
        <v>28</v>
      </c>
      <c r="C14" s="15">
        <v>12</v>
      </c>
      <c r="D14" s="16" t="s">
        <v>29</v>
      </c>
      <c r="E14" s="101">
        <v>0</v>
      </c>
      <c r="F14" s="24">
        <f t="shared" ref="F14:F19" si="0">E14*C14</f>
        <v>0</v>
      </c>
      <c r="G14" s="39"/>
      <c r="I14" s="104"/>
    </row>
    <row r="15" spans="1:9" x14ac:dyDescent="0.2">
      <c r="A15" s="41" t="s">
        <v>131</v>
      </c>
      <c r="B15" s="35" t="s">
        <v>31</v>
      </c>
      <c r="C15" s="15">
        <v>12</v>
      </c>
      <c r="D15" s="16" t="s">
        <v>29</v>
      </c>
      <c r="E15" s="101">
        <v>0</v>
      </c>
      <c r="F15" s="24">
        <f>E15*C15</f>
        <v>0</v>
      </c>
      <c r="G15" s="39"/>
      <c r="I15" s="104"/>
    </row>
    <row r="16" spans="1:9" x14ac:dyDescent="0.2">
      <c r="A16" s="41" t="s">
        <v>132</v>
      </c>
      <c r="B16" s="35" t="s">
        <v>33</v>
      </c>
      <c r="C16" s="15">
        <v>12</v>
      </c>
      <c r="D16" s="16" t="s">
        <v>29</v>
      </c>
      <c r="E16" s="101">
        <v>0</v>
      </c>
      <c r="F16" s="24">
        <f t="shared" si="0"/>
        <v>0</v>
      </c>
      <c r="G16" s="39"/>
      <c r="I16" s="104"/>
    </row>
    <row r="17" spans="1:9" x14ac:dyDescent="0.2">
      <c r="A17" s="41" t="s">
        <v>133</v>
      </c>
      <c r="B17" s="35" t="s">
        <v>35</v>
      </c>
      <c r="C17" s="15">
        <v>12</v>
      </c>
      <c r="D17" s="16" t="s">
        <v>29</v>
      </c>
      <c r="E17" s="101">
        <v>0</v>
      </c>
      <c r="F17" s="24">
        <f t="shared" si="0"/>
        <v>0</v>
      </c>
      <c r="G17" s="39"/>
      <c r="I17" s="104"/>
    </row>
    <row r="18" spans="1:9" x14ac:dyDescent="0.2">
      <c r="A18" s="99" t="s">
        <v>134</v>
      </c>
      <c r="B18" s="35" t="s">
        <v>37</v>
      </c>
      <c r="C18" s="15">
        <v>12</v>
      </c>
      <c r="D18" s="16" t="s">
        <v>29</v>
      </c>
      <c r="E18" s="101">
        <v>0</v>
      </c>
      <c r="F18" s="24">
        <f t="shared" si="0"/>
        <v>0</v>
      </c>
      <c r="G18" s="39"/>
      <c r="I18" s="104"/>
    </row>
    <row r="19" spans="1:9" x14ac:dyDescent="0.2">
      <c r="A19" s="39" t="s">
        <v>135</v>
      </c>
      <c r="B19" s="35" t="s">
        <v>39</v>
      </c>
      <c r="C19" s="15">
        <v>12</v>
      </c>
      <c r="D19" s="16" t="s">
        <v>40</v>
      </c>
      <c r="E19" s="101">
        <v>0</v>
      </c>
      <c r="F19" s="24">
        <f t="shared" si="0"/>
        <v>0</v>
      </c>
      <c r="G19" s="39"/>
      <c r="I19" s="104"/>
    </row>
    <row r="20" spans="1:9" x14ac:dyDescent="0.2">
      <c r="A20" s="41"/>
      <c r="B20" s="17" t="s">
        <v>41</v>
      </c>
      <c r="C20" s="134"/>
      <c r="D20" s="135"/>
      <c r="E20" s="16"/>
      <c r="F20" s="51">
        <f>SUM(F14:F19)</f>
        <v>0</v>
      </c>
      <c r="G20" s="136"/>
      <c r="I20" s="104"/>
    </row>
    <row r="21" spans="1:9" x14ac:dyDescent="0.2">
      <c r="A21" s="41"/>
      <c r="B21" s="35"/>
      <c r="C21" s="15"/>
      <c r="D21" s="16"/>
      <c r="E21" s="16"/>
      <c r="F21" s="24"/>
      <c r="G21" s="39"/>
      <c r="I21" s="104"/>
    </row>
    <row r="22" spans="1:9" s="23" customFormat="1" x14ac:dyDescent="0.2">
      <c r="A22" s="17" t="s">
        <v>136</v>
      </c>
      <c r="B22" s="19" t="s">
        <v>43</v>
      </c>
      <c r="C22" s="18"/>
      <c r="D22" s="20"/>
      <c r="E22" s="16"/>
      <c r="F22" s="22"/>
      <c r="G22" s="38"/>
      <c r="I22" s="104"/>
    </row>
    <row r="23" spans="1:9" x14ac:dyDescent="0.2">
      <c r="A23" s="41" t="s">
        <v>137</v>
      </c>
      <c r="B23" s="35" t="s">
        <v>28</v>
      </c>
      <c r="C23" s="15">
        <v>12</v>
      </c>
      <c r="D23" s="16" t="s">
        <v>29</v>
      </c>
      <c r="E23" s="101">
        <v>0</v>
      </c>
      <c r="F23" s="24">
        <f t="shared" ref="F23:F28" si="1">E23*C23</f>
        <v>0</v>
      </c>
      <c r="G23" s="39"/>
      <c r="I23" s="104"/>
    </row>
    <row r="24" spans="1:9" x14ac:dyDescent="0.2">
      <c r="A24" s="41" t="s">
        <v>138</v>
      </c>
      <c r="B24" s="35" t="s">
        <v>31</v>
      </c>
      <c r="C24" s="15">
        <v>12</v>
      </c>
      <c r="D24" s="16" t="s">
        <v>29</v>
      </c>
      <c r="E24" s="101">
        <v>0</v>
      </c>
      <c r="F24" s="24">
        <f t="shared" si="1"/>
        <v>0</v>
      </c>
      <c r="G24" s="39"/>
      <c r="I24" s="104"/>
    </row>
    <row r="25" spans="1:9" x14ac:dyDescent="0.2">
      <c r="A25" s="41" t="s">
        <v>139</v>
      </c>
      <c r="B25" s="35" t="s">
        <v>33</v>
      </c>
      <c r="C25" s="15">
        <v>12</v>
      </c>
      <c r="D25" s="16" t="s">
        <v>29</v>
      </c>
      <c r="E25" s="101">
        <v>0</v>
      </c>
      <c r="F25" s="24">
        <f t="shared" si="1"/>
        <v>0</v>
      </c>
      <c r="G25" s="39"/>
      <c r="I25" s="104"/>
    </row>
    <row r="26" spans="1:9" x14ac:dyDescent="0.2">
      <c r="A26" s="41" t="s">
        <v>140</v>
      </c>
      <c r="B26" s="35" t="s">
        <v>35</v>
      </c>
      <c r="C26" s="15">
        <v>12</v>
      </c>
      <c r="D26" s="16" t="s">
        <v>29</v>
      </c>
      <c r="E26" s="101">
        <v>0</v>
      </c>
      <c r="F26" s="24">
        <f t="shared" si="1"/>
        <v>0</v>
      </c>
      <c r="G26" s="39"/>
      <c r="I26" s="104"/>
    </row>
    <row r="27" spans="1:9" x14ac:dyDescent="0.2">
      <c r="A27" s="41" t="s">
        <v>141</v>
      </c>
      <c r="B27" s="35" t="s">
        <v>37</v>
      </c>
      <c r="C27" s="15">
        <v>12</v>
      </c>
      <c r="D27" s="16" t="s">
        <v>29</v>
      </c>
      <c r="E27" s="101">
        <v>0</v>
      </c>
      <c r="F27" s="24">
        <f t="shared" si="1"/>
        <v>0</v>
      </c>
      <c r="G27" s="39"/>
      <c r="I27" s="104"/>
    </row>
    <row r="28" spans="1:9" x14ac:dyDescent="0.2">
      <c r="A28" s="99" t="s">
        <v>142</v>
      </c>
      <c r="B28" s="35" t="s">
        <v>39</v>
      </c>
      <c r="C28" s="15">
        <v>2</v>
      </c>
      <c r="D28" s="16" t="s">
        <v>40</v>
      </c>
      <c r="E28" s="101">
        <v>0</v>
      </c>
      <c r="F28" s="24">
        <f t="shared" si="1"/>
        <v>0</v>
      </c>
      <c r="G28" s="39"/>
      <c r="I28" s="104"/>
    </row>
    <row r="29" spans="1:9" x14ac:dyDescent="0.2">
      <c r="A29" s="41"/>
      <c r="B29" s="17" t="s">
        <v>143</v>
      </c>
      <c r="C29" s="134"/>
      <c r="D29" s="135"/>
      <c r="E29" s="16"/>
      <c r="F29" s="51">
        <f>SUM(F23:F28)</f>
        <v>0</v>
      </c>
      <c r="G29" s="136"/>
      <c r="I29" s="104"/>
    </row>
    <row r="30" spans="1:9" x14ac:dyDescent="0.2">
      <c r="A30" s="41"/>
      <c r="B30" s="17"/>
      <c r="C30" s="134"/>
      <c r="D30" s="135"/>
      <c r="E30" s="36"/>
      <c r="F30" s="51"/>
      <c r="G30" s="136"/>
    </row>
    <row r="31" spans="1:9" x14ac:dyDescent="0.2">
      <c r="A31" s="41"/>
      <c r="B31" s="17"/>
      <c r="C31" s="15"/>
      <c r="D31" s="16"/>
      <c r="E31" s="36"/>
      <c r="F31" s="37"/>
      <c r="G31" s="39"/>
    </row>
    <row r="32" spans="1:9" ht="26.25" x14ac:dyDescent="0.25">
      <c r="A32" s="39"/>
      <c r="B32" s="76" t="s">
        <v>144</v>
      </c>
      <c r="C32" s="17"/>
      <c r="D32" s="42"/>
      <c r="E32" s="43" t="s">
        <v>52</v>
      </c>
      <c r="F32" s="97">
        <f>F20+F29</f>
        <v>0</v>
      </c>
      <c r="G32" s="39"/>
    </row>
    <row r="33" spans="2:6" x14ac:dyDescent="0.2">
      <c r="B33" s="2"/>
      <c r="C33" s="3"/>
      <c r="D33" s="4"/>
      <c r="E33" s="5"/>
    </row>
    <row r="34" spans="2:6" x14ac:dyDescent="0.2">
      <c r="B34" s="2"/>
      <c r="C34" s="3"/>
      <c r="D34" s="4"/>
      <c r="E34" s="5"/>
      <c r="F34" s="5"/>
    </row>
    <row r="36" spans="2:6" x14ac:dyDescent="0.2">
      <c r="B36" s="2"/>
      <c r="C36" s="3"/>
      <c r="D36" s="4"/>
      <c r="E36" s="5"/>
      <c r="F36" s="5"/>
    </row>
    <row r="37" spans="2:6" x14ac:dyDescent="0.2">
      <c r="B37" s="6"/>
      <c r="C37" s="8"/>
      <c r="D37" s="129"/>
      <c r="E37" s="9"/>
      <c r="F37" s="7"/>
    </row>
    <row r="38" spans="2:6" x14ac:dyDescent="0.2">
      <c r="B38" s="7"/>
      <c r="C38" s="7"/>
      <c r="D38" s="7"/>
      <c r="E38" s="7"/>
      <c r="F38" s="7"/>
    </row>
    <row r="39" spans="2:6" x14ac:dyDescent="0.2">
      <c r="B39" s="2"/>
      <c r="C39" s="3"/>
      <c r="D39" s="4"/>
      <c r="E39" s="5"/>
      <c r="F39" s="5"/>
    </row>
    <row r="40" spans="2:6" x14ac:dyDescent="0.2">
      <c r="B40" s="2"/>
      <c r="C40" s="3"/>
      <c r="D40" s="4"/>
      <c r="E40" s="5"/>
    </row>
    <row r="41" spans="2:6" x14ac:dyDescent="0.2">
      <c r="B41" s="2"/>
      <c r="C41" s="3"/>
      <c r="D41" s="4"/>
      <c r="E41" s="5"/>
      <c r="F41" s="5"/>
    </row>
  </sheetData>
  <mergeCells count="8">
    <mergeCell ref="A9:G9"/>
    <mergeCell ref="A10:G10"/>
    <mergeCell ref="A2:G2"/>
    <mergeCell ref="A3:G3"/>
    <mergeCell ref="A4:G4"/>
    <mergeCell ref="A5:G5"/>
    <mergeCell ref="A7:G7"/>
    <mergeCell ref="A8:G8"/>
  </mergeCells>
  <printOptions horizontalCentered="1"/>
  <pageMargins left="1" right="1" top="1" bottom="1" header="0.5" footer="0.5"/>
  <pageSetup scale="66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9C633-D4D5-4902-A008-2D62650ADB08}">
  <sheetPr>
    <pageSetUpPr fitToPage="1"/>
  </sheetPr>
  <dimension ref="A1:H177"/>
  <sheetViews>
    <sheetView zoomScale="99" zoomScaleNormal="99" workbookViewId="0">
      <selection activeCell="O14" sqref="O14"/>
    </sheetView>
  </sheetViews>
  <sheetFormatPr defaultRowHeight="12.75" x14ac:dyDescent="0.2"/>
  <cols>
    <col min="1" max="1" width="8.7109375" style="1" customWidth="1"/>
    <col min="2" max="2" width="25.7109375" style="1" customWidth="1"/>
    <col min="3" max="3" width="45.85546875" style="1" customWidth="1"/>
    <col min="4" max="6" width="12.7109375" style="1" customWidth="1"/>
    <col min="7" max="7" width="14.140625" style="1" customWidth="1"/>
    <col min="8" max="8" width="8.7109375" style="1" customWidth="1"/>
    <col min="9" max="16384" width="9.140625" style="1"/>
  </cols>
  <sheetData>
    <row r="1" spans="1:8" x14ac:dyDescent="0.2">
      <c r="A1" s="154" t="s">
        <v>455</v>
      </c>
      <c r="B1" s="155"/>
      <c r="C1" s="155"/>
      <c r="D1" s="155"/>
      <c r="E1" s="155"/>
      <c r="F1" s="155"/>
      <c r="G1" s="155"/>
      <c r="H1" s="155"/>
    </row>
    <row r="2" spans="1:8" x14ac:dyDescent="0.2">
      <c r="A2" s="155" t="s">
        <v>0</v>
      </c>
      <c r="B2" s="155"/>
      <c r="C2" s="155"/>
      <c r="D2" s="155"/>
      <c r="E2" s="155"/>
      <c r="F2" s="155"/>
      <c r="G2" s="155"/>
      <c r="H2" s="155"/>
    </row>
    <row r="3" spans="1:8" x14ac:dyDescent="0.2">
      <c r="A3" s="158" t="s">
        <v>1</v>
      </c>
      <c r="B3" s="158"/>
      <c r="C3" s="158"/>
      <c r="D3" s="158"/>
      <c r="E3" s="158"/>
      <c r="F3" s="158"/>
      <c r="G3" s="158"/>
      <c r="H3" s="158"/>
    </row>
    <row r="4" spans="1:8" x14ac:dyDescent="0.2">
      <c r="A4" s="155" t="s">
        <v>463</v>
      </c>
      <c r="B4" s="155"/>
      <c r="C4" s="155"/>
      <c r="D4" s="155"/>
      <c r="E4" s="155"/>
      <c r="F4" s="155"/>
      <c r="G4" s="155"/>
      <c r="H4" s="155"/>
    </row>
    <row r="5" spans="1:8" x14ac:dyDescent="0.2">
      <c r="A5" s="56"/>
      <c r="B5" s="7"/>
      <c r="C5" s="7"/>
      <c r="D5" s="7"/>
      <c r="E5" s="7"/>
      <c r="F5" s="7"/>
      <c r="G5" s="7"/>
      <c r="H5" s="7"/>
    </row>
    <row r="6" spans="1:8" x14ac:dyDescent="0.2">
      <c r="A6" s="172" t="s">
        <v>145</v>
      </c>
      <c r="B6" s="172"/>
      <c r="C6" s="172"/>
      <c r="D6" s="172"/>
      <c r="E6" s="172"/>
      <c r="F6" s="172"/>
      <c r="G6" s="172"/>
      <c r="H6" s="172"/>
    </row>
    <row r="7" spans="1:8" x14ac:dyDescent="0.2">
      <c r="A7" s="173" t="s">
        <v>54</v>
      </c>
      <c r="B7" s="173"/>
      <c r="C7" s="173"/>
      <c r="D7" s="173"/>
      <c r="E7" s="173"/>
      <c r="F7" s="173"/>
      <c r="G7" s="173"/>
      <c r="H7" s="173"/>
    </row>
    <row r="8" spans="1:8" x14ac:dyDescent="0.2">
      <c r="A8" s="170" t="s">
        <v>146</v>
      </c>
      <c r="B8" s="170"/>
      <c r="C8" s="170"/>
      <c r="D8" s="170"/>
      <c r="E8" s="170"/>
      <c r="F8" s="170"/>
      <c r="G8" s="170"/>
      <c r="H8" s="170"/>
    </row>
    <row r="9" spans="1:8" ht="13.5" thickBo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38.25" x14ac:dyDescent="0.2">
      <c r="A10" s="109" t="s">
        <v>56</v>
      </c>
      <c r="B10" s="60" t="s">
        <v>57</v>
      </c>
      <c r="C10" s="60" t="s">
        <v>58</v>
      </c>
      <c r="D10" s="60" t="s">
        <v>59</v>
      </c>
      <c r="E10" s="110" t="s">
        <v>60</v>
      </c>
      <c r="F10" s="60" t="s">
        <v>22</v>
      </c>
      <c r="G10" s="61" t="s">
        <v>61</v>
      </c>
      <c r="H10" s="62" t="s">
        <v>62</v>
      </c>
    </row>
    <row r="11" spans="1:8" ht="63.75" x14ac:dyDescent="0.2">
      <c r="A11" s="63" t="s">
        <v>147</v>
      </c>
      <c r="B11" s="10" t="s">
        <v>64</v>
      </c>
      <c r="C11" s="57" t="s">
        <v>65</v>
      </c>
      <c r="D11" s="71">
        <v>900</v>
      </c>
      <c r="E11" s="59" t="s">
        <v>66</v>
      </c>
      <c r="F11" s="113">
        <v>0</v>
      </c>
      <c r="G11" s="24">
        <f>F11*D11</f>
        <v>0</v>
      </c>
      <c r="H11" s="72"/>
    </row>
    <row r="12" spans="1:8" ht="63.75" x14ac:dyDescent="0.2">
      <c r="A12" s="63" t="s">
        <v>148</v>
      </c>
      <c r="B12" s="73" t="s">
        <v>68</v>
      </c>
      <c r="C12" s="57" t="s">
        <v>65</v>
      </c>
      <c r="D12" s="71">
        <v>440</v>
      </c>
      <c r="E12" s="59" t="s">
        <v>66</v>
      </c>
      <c r="F12" s="113">
        <v>0</v>
      </c>
      <c r="G12" s="24">
        <f>F12*D12</f>
        <v>0</v>
      </c>
      <c r="H12" s="72"/>
    </row>
    <row r="13" spans="1:8" ht="57" customHeight="1" x14ac:dyDescent="0.2">
      <c r="A13" s="63" t="s">
        <v>149</v>
      </c>
      <c r="B13" s="73" t="s">
        <v>70</v>
      </c>
      <c r="C13" s="57" t="s">
        <v>71</v>
      </c>
      <c r="D13" s="71">
        <v>100</v>
      </c>
      <c r="E13" s="59" t="s">
        <v>66</v>
      </c>
      <c r="F13" s="113">
        <v>0</v>
      </c>
      <c r="G13" s="24">
        <f>F13*D13</f>
        <v>0</v>
      </c>
      <c r="H13" s="72"/>
    </row>
    <row r="14" spans="1:8" ht="63.75" x14ac:dyDescent="0.2">
      <c r="A14" s="63" t="s">
        <v>150</v>
      </c>
      <c r="B14" s="73" t="s">
        <v>68</v>
      </c>
      <c r="C14" s="57" t="s">
        <v>71</v>
      </c>
      <c r="D14" s="71">
        <v>50</v>
      </c>
      <c r="E14" s="59" t="s">
        <v>66</v>
      </c>
      <c r="F14" s="113">
        <v>0</v>
      </c>
      <c r="G14" s="24">
        <f>F14*D14</f>
        <v>0</v>
      </c>
      <c r="H14" s="72"/>
    </row>
    <row r="15" spans="1:8" ht="38.25" x14ac:dyDescent="0.2">
      <c r="A15" s="63" t="s">
        <v>151</v>
      </c>
      <c r="B15" s="10" t="s">
        <v>74</v>
      </c>
      <c r="C15" s="57" t="s">
        <v>75</v>
      </c>
      <c r="D15" s="74">
        <v>1</v>
      </c>
      <c r="E15" s="59" t="s">
        <v>40</v>
      </c>
      <c r="F15" s="116">
        <v>150000</v>
      </c>
      <c r="G15" s="117">
        <f>F15*D15</f>
        <v>150000</v>
      </c>
      <c r="H15" s="52"/>
    </row>
    <row r="16" spans="1:8" ht="27" x14ac:dyDescent="0.2">
      <c r="A16" s="64"/>
      <c r="B16" s="65"/>
      <c r="C16" s="66" t="s">
        <v>152</v>
      </c>
      <c r="D16" s="39"/>
      <c r="E16" s="58"/>
      <c r="F16" s="114"/>
      <c r="G16" s="24">
        <f>G11+G12+G13+G14+G15</f>
        <v>150000</v>
      </c>
      <c r="H16" s="53"/>
    </row>
    <row r="17" spans="1:8" ht="13.5" thickBot="1" x14ac:dyDescent="0.25">
      <c r="A17" s="67"/>
      <c r="B17" s="68"/>
      <c r="C17" s="54"/>
      <c r="D17" s="54"/>
      <c r="E17" s="69"/>
      <c r="F17" s="115"/>
      <c r="G17" s="54"/>
      <c r="H17" s="55"/>
    </row>
    <row r="18" spans="1:8" x14ac:dyDescent="0.2">
      <c r="A18" s="56"/>
      <c r="B18"/>
      <c r="C18"/>
      <c r="D18"/>
      <c r="E18"/>
      <c r="F18"/>
      <c r="G18"/>
      <c r="H18"/>
    </row>
    <row r="19" spans="1:8" x14ac:dyDescent="0.2">
      <c r="A19" s="70"/>
      <c r="B19" s="7"/>
      <c r="C19"/>
      <c r="D19"/>
      <c r="E19"/>
      <c r="F19"/>
      <c r="G19"/>
      <c r="H19"/>
    </row>
    <row r="20" spans="1:8" x14ac:dyDescent="0.2">
      <c r="A20" s="70"/>
      <c r="B20" s="7"/>
      <c r="C20"/>
      <c r="D20"/>
      <c r="E20"/>
      <c r="F20"/>
      <c r="G20"/>
      <c r="H20"/>
    </row>
    <row r="21" spans="1:8" x14ac:dyDescent="0.2">
      <c r="A21" s="70"/>
      <c r="B21" s="7"/>
      <c r="C21"/>
      <c r="D21"/>
      <c r="E21"/>
      <c r="F21"/>
      <c r="G21"/>
      <c r="H21"/>
    </row>
    <row r="22" spans="1:8" x14ac:dyDescent="0.2">
      <c r="A22" s="70"/>
      <c r="B22" s="7"/>
      <c r="C22"/>
      <c r="D22"/>
      <c r="E22"/>
      <c r="F22"/>
      <c r="G22"/>
      <c r="H22"/>
    </row>
    <row r="23" spans="1:8" x14ac:dyDescent="0.2">
      <c r="A23" s="70"/>
      <c r="B23" s="7"/>
      <c r="C23"/>
      <c r="D23"/>
      <c r="E23"/>
      <c r="F23"/>
      <c r="G23"/>
      <c r="H23"/>
    </row>
    <row r="24" spans="1:8" x14ac:dyDescent="0.2">
      <c r="A24" s="70"/>
      <c r="B24" s="7"/>
      <c r="C24"/>
      <c r="D24"/>
      <c r="E24"/>
      <c r="F24"/>
      <c r="G24"/>
      <c r="H24"/>
    </row>
    <row r="25" spans="1:8" x14ac:dyDescent="0.2">
      <c r="A25" s="70"/>
      <c r="B25" s="7"/>
      <c r="C25"/>
      <c r="D25"/>
      <c r="E25"/>
      <c r="F25"/>
      <c r="G25"/>
      <c r="H25"/>
    </row>
    <row r="26" spans="1:8" x14ac:dyDescent="0.2">
      <c r="A26" s="70"/>
      <c r="B26" s="7"/>
      <c r="C26"/>
      <c r="D26"/>
      <c r="E26"/>
      <c r="F26"/>
      <c r="G26"/>
      <c r="H26"/>
    </row>
    <row r="27" spans="1:8" x14ac:dyDescent="0.2">
      <c r="A27" s="70"/>
      <c r="B27" s="7"/>
      <c r="C27"/>
      <c r="D27"/>
      <c r="E27"/>
      <c r="F27"/>
      <c r="G27"/>
      <c r="H27"/>
    </row>
    <row r="28" spans="1:8" x14ac:dyDescent="0.2">
      <c r="A28" s="70"/>
      <c r="B28" s="7"/>
      <c r="C28"/>
      <c r="D28"/>
      <c r="E28"/>
      <c r="F28"/>
      <c r="G28"/>
      <c r="H28"/>
    </row>
    <row r="29" spans="1:8" x14ac:dyDescent="0.2">
      <c r="A29" s="70"/>
      <c r="B29" s="7"/>
      <c r="C29"/>
      <c r="D29"/>
      <c r="E29"/>
      <c r="F29"/>
      <c r="G29"/>
      <c r="H29"/>
    </row>
    <row r="30" spans="1:8" x14ac:dyDescent="0.2">
      <c r="A30" s="70"/>
      <c r="B30" s="7"/>
      <c r="C30"/>
      <c r="D30"/>
      <c r="E30"/>
      <c r="F30"/>
      <c r="G30"/>
      <c r="H30"/>
    </row>
    <row r="31" spans="1:8" x14ac:dyDescent="0.2">
      <c r="A31" s="70"/>
      <c r="B31" s="7"/>
      <c r="C31"/>
      <c r="D31"/>
      <c r="E31"/>
      <c r="F31"/>
      <c r="G31"/>
      <c r="H31"/>
    </row>
    <row r="32" spans="1:8" x14ac:dyDescent="0.2">
      <c r="A32" s="70"/>
      <c r="B32" s="7"/>
      <c r="C32"/>
      <c r="D32"/>
      <c r="E32"/>
      <c r="F32"/>
      <c r="G32"/>
      <c r="H32"/>
    </row>
    <row r="33" spans="1:2" x14ac:dyDescent="0.2">
      <c r="A33" s="70"/>
      <c r="B33" s="7"/>
    </row>
    <row r="34" spans="1:2" x14ac:dyDescent="0.2">
      <c r="A34" s="70"/>
      <c r="B34" s="7"/>
    </row>
    <row r="35" spans="1:2" x14ac:dyDescent="0.2">
      <c r="A35" s="70"/>
      <c r="B35" s="7"/>
    </row>
    <row r="36" spans="1:2" x14ac:dyDescent="0.2">
      <c r="A36" s="70"/>
      <c r="B36" s="7"/>
    </row>
    <row r="37" spans="1:2" x14ac:dyDescent="0.2">
      <c r="A37" s="70"/>
      <c r="B37" s="7"/>
    </row>
    <row r="38" spans="1:2" x14ac:dyDescent="0.2">
      <c r="A38" s="70"/>
      <c r="B38" s="7"/>
    </row>
    <row r="39" spans="1:2" x14ac:dyDescent="0.2">
      <c r="A39" s="70"/>
      <c r="B39" s="7"/>
    </row>
    <row r="40" spans="1:2" x14ac:dyDescent="0.2">
      <c r="A40" s="70"/>
      <c r="B40" s="7"/>
    </row>
    <row r="41" spans="1:2" x14ac:dyDescent="0.2">
      <c r="A41" s="70"/>
      <c r="B41" s="7"/>
    </row>
    <row r="42" spans="1:2" x14ac:dyDescent="0.2">
      <c r="A42" s="70"/>
      <c r="B42" s="7"/>
    </row>
    <row r="43" spans="1:2" x14ac:dyDescent="0.2">
      <c r="A43" s="70"/>
      <c r="B43" s="7"/>
    </row>
    <row r="44" spans="1:2" x14ac:dyDescent="0.2">
      <c r="A44" s="70"/>
      <c r="B44" s="7"/>
    </row>
    <row r="45" spans="1:2" x14ac:dyDescent="0.2">
      <c r="A45" s="70"/>
      <c r="B45" s="7"/>
    </row>
    <row r="46" spans="1:2" x14ac:dyDescent="0.2">
      <c r="A46" s="70"/>
      <c r="B46" s="7"/>
    </row>
    <row r="47" spans="1:2" x14ac:dyDescent="0.2">
      <c r="A47" s="70"/>
      <c r="B47" s="7"/>
    </row>
    <row r="48" spans="1:2" x14ac:dyDescent="0.2">
      <c r="A48" s="70"/>
      <c r="B48" s="7"/>
    </row>
    <row r="49" spans="1:2" x14ac:dyDescent="0.2">
      <c r="A49" s="70"/>
      <c r="B49" s="7"/>
    </row>
    <row r="50" spans="1:2" x14ac:dyDescent="0.2">
      <c r="A50" s="70"/>
      <c r="B50" s="7"/>
    </row>
    <row r="51" spans="1:2" x14ac:dyDescent="0.2">
      <c r="A51" s="70"/>
      <c r="B51" s="7"/>
    </row>
    <row r="52" spans="1:2" x14ac:dyDescent="0.2">
      <c r="A52" s="70"/>
      <c r="B52" s="7"/>
    </row>
    <row r="53" spans="1:2" x14ac:dyDescent="0.2">
      <c r="A53" s="70"/>
      <c r="B53" s="7"/>
    </row>
    <row r="54" spans="1:2" x14ac:dyDescent="0.2">
      <c r="A54" s="70"/>
      <c r="B54" s="7"/>
    </row>
    <row r="55" spans="1:2" x14ac:dyDescent="0.2">
      <c r="A55" s="70"/>
      <c r="B55" s="7"/>
    </row>
    <row r="56" spans="1:2" x14ac:dyDescent="0.2">
      <c r="A56" s="70"/>
      <c r="B56" s="7"/>
    </row>
    <row r="57" spans="1:2" x14ac:dyDescent="0.2">
      <c r="A57" s="70"/>
      <c r="B57" s="7"/>
    </row>
    <row r="58" spans="1:2" x14ac:dyDescent="0.2">
      <c r="A58" s="70"/>
      <c r="B58" s="7"/>
    </row>
    <row r="59" spans="1:2" x14ac:dyDescent="0.2">
      <c r="A59" s="70"/>
      <c r="B59" s="7"/>
    </row>
    <row r="60" spans="1:2" x14ac:dyDescent="0.2">
      <c r="A60" s="70"/>
      <c r="B60" s="7"/>
    </row>
    <row r="61" spans="1:2" x14ac:dyDescent="0.2">
      <c r="A61" s="70"/>
      <c r="B61" s="7"/>
    </row>
    <row r="62" spans="1:2" x14ac:dyDescent="0.2">
      <c r="A62" s="70"/>
      <c r="B62" s="7"/>
    </row>
    <row r="63" spans="1:2" x14ac:dyDescent="0.2">
      <c r="A63" s="70"/>
      <c r="B63" s="7"/>
    </row>
    <row r="64" spans="1:2" x14ac:dyDescent="0.2">
      <c r="A64" s="70"/>
      <c r="B64" s="7"/>
    </row>
    <row r="65" spans="1:2" x14ac:dyDescent="0.2">
      <c r="A65" s="70"/>
      <c r="B65" s="7"/>
    </row>
    <row r="66" spans="1:2" x14ac:dyDescent="0.2">
      <c r="A66" s="70"/>
      <c r="B66" s="7"/>
    </row>
    <row r="67" spans="1:2" x14ac:dyDescent="0.2">
      <c r="A67" s="70"/>
      <c r="B67" s="7"/>
    </row>
    <row r="68" spans="1:2" x14ac:dyDescent="0.2">
      <c r="A68" s="70"/>
      <c r="B68" s="7"/>
    </row>
    <row r="69" spans="1:2" x14ac:dyDescent="0.2">
      <c r="A69" s="70"/>
      <c r="B69" s="7"/>
    </row>
    <row r="70" spans="1:2" x14ac:dyDescent="0.2">
      <c r="A70" s="70"/>
      <c r="B70" s="7"/>
    </row>
    <row r="71" spans="1:2" x14ac:dyDescent="0.2">
      <c r="A71" s="70"/>
      <c r="B71" s="7"/>
    </row>
    <row r="72" spans="1:2" x14ac:dyDescent="0.2">
      <c r="A72" s="70"/>
      <c r="B72" s="7"/>
    </row>
    <row r="73" spans="1:2" x14ac:dyDescent="0.2">
      <c r="A73" s="70"/>
      <c r="B73" s="7"/>
    </row>
    <row r="74" spans="1:2" x14ac:dyDescent="0.2">
      <c r="A74" s="70"/>
      <c r="B74" s="7"/>
    </row>
    <row r="75" spans="1:2" x14ac:dyDescent="0.2">
      <c r="A75" s="70"/>
      <c r="B75" s="7"/>
    </row>
    <row r="76" spans="1:2" x14ac:dyDescent="0.2">
      <c r="A76" s="70"/>
      <c r="B76" s="7"/>
    </row>
    <row r="77" spans="1:2" x14ac:dyDescent="0.2">
      <c r="A77" s="70"/>
      <c r="B77" s="7"/>
    </row>
    <row r="78" spans="1:2" x14ac:dyDescent="0.2">
      <c r="A78" s="70"/>
      <c r="B78" s="7"/>
    </row>
    <row r="79" spans="1:2" x14ac:dyDescent="0.2">
      <c r="A79" s="70"/>
      <c r="B79" s="7"/>
    </row>
    <row r="80" spans="1:2" x14ac:dyDescent="0.2">
      <c r="A80" s="70"/>
      <c r="B80" s="7"/>
    </row>
    <row r="81" spans="1:2" x14ac:dyDescent="0.2">
      <c r="A81" s="70"/>
      <c r="B81" s="7"/>
    </row>
    <row r="82" spans="1:2" x14ac:dyDescent="0.2">
      <c r="A82" s="70"/>
      <c r="B82" s="7"/>
    </row>
    <row r="83" spans="1:2" x14ac:dyDescent="0.2">
      <c r="A83" s="70"/>
      <c r="B83" s="7"/>
    </row>
    <row r="84" spans="1:2" x14ac:dyDescent="0.2">
      <c r="A84" s="70"/>
      <c r="B84" s="7"/>
    </row>
    <row r="85" spans="1:2" x14ac:dyDescent="0.2">
      <c r="A85" s="70"/>
      <c r="B85" s="7"/>
    </row>
    <row r="86" spans="1:2" x14ac:dyDescent="0.2">
      <c r="A86" s="70"/>
      <c r="B86" s="7"/>
    </row>
    <row r="87" spans="1:2" x14ac:dyDescent="0.2">
      <c r="A87" s="70"/>
      <c r="B87" s="7"/>
    </row>
    <row r="88" spans="1:2" x14ac:dyDescent="0.2">
      <c r="A88" s="70"/>
      <c r="B88" s="7"/>
    </row>
    <row r="89" spans="1:2" x14ac:dyDescent="0.2">
      <c r="A89" s="70"/>
      <c r="B89" s="7"/>
    </row>
    <row r="90" spans="1:2" x14ac:dyDescent="0.2">
      <c r="A90" s="70"/>
      <c r="B90" s="7"/>
    </row>
    <row r="91" spans="1:2" x14ac:dyDescent="0.2">
      <c r="A91" s="70"/>
      <c r="B91" s="7"/>
    </row>
    <row r="92" spans="1:2" x14ac:dyDescent="0.2">
      <c r="A92" s="70"/>
      <c r="B92" s="7"/>
    </row>
    <row r="93" spans="1:2" x14ac:dyDescent="0.2">
      <c r="A93" s="70"/>
      <c r="B93" s="7"/>
    </row>
    <row r="94" spans="1:2" x14ac:dyDescent="0.2">
      <c r="A94" s="70"/>
      <c r="B94" s="7"/>
    </row>
    <row r="95" spans="1:2" x14ac:dyDescent="0.2">
      <c r="A95" s="70"/>
      <c r="B95" s="7"/>
    </row>
    <row r="96" spans="1:2" x14ac:dyDescent="0.2">
      <c r="A96" s="70"/>
      <c r="B96" s="7"/>
    </row>
    <row r="97" spans="1:2" x14ac:dyDescent="0.2">
      <c r="A97" s="70"/>
      <c r="B97" s="7"/>
    </row>
    <row r="98" spans="1:2" x14ac:dyDescent="0.2">
      <c r="A98" s="70"/>
      <c r="B98" s="7"/>
    </row>
    <row r="99" spans="1:2" x14ac:dyDescent="0.2">
      <c r="A99" s="70"/>
      <c r="B99" s="7"/>
    </row>
    <row r="100" spans="1:2" x14ac:dyDescent="0.2">
      <c r="A100" s="70"/>
      <c r="B100" s="7"/>
    </row>
    <row r="101" spans="1:2" x14ac:dyDescent="0.2">
      <c r="A101" s="70"/>
      <c r="B101" s="7"/>
    </row>
    <row r="102" spans="1:2" x14ac:dyDescent="0.2">
      <c r="A102" s="70"/>
      <c r="B102" s="7"/>
    </row>
    <row r="103" spans="1:2" x14ac:dyDescent="0.2">
      <c r="A103" s="70"/>
      <c r="B103" s="7"/>
    </row>
    <row r="104" spans="1:2" x14ac:dyDescent="0.2">
      <c r="A104" s="70"/>
      <c r="B104" s="7"/>
    </row>
    <row r="105" spans="1:2" x14ac:dyDescent="0.2">
      <c r="A105" s="70"/>
      <c r="B105" s="7"/>
    </row>
    <row r="106" spans="1:2" x14ac:dyDescent="0.2">
      <c r="A106" s="70"/>
      <c r="B106" s="7"/>
    </row>
    <row r="107" spans="1:2" x14ac:dyDescent="0.2">
      <c r="A107" s="70"/>
      <c r="B107" s="7"/>
    </row>
    <row r="108" spans="1:2" x14ac:dyDescent="0.2">
      <c r="A108" s="70"/>
      <c r="B108" s="7"/>
    </row>
    <row r="109" spans="1:2" x14ac:dyDescent="0.2">
      <c r="A109" s="70"/>
      <c r="B109" s="7"/>
    </row>
    <row r="110" spans="1:2" x14ac:dyDescent="0.2">
      <c r="A110" s="70"/>
      <c r="B110" s="7"/>
    </row>
    <row r="111" spans="1:2" x14ac:dyDescent="0.2">
      <c r="A111" s="70"/>
      <c r="B111" s="7"/>
    </row>
    <row r="112" spans="1:2" x14ac:dyDescent="0.2">
      <c r="A112" s="70"/>
      <c r="B112" s="7"/>
    </row>
    <row r="113" spans="1:2" x14ac:dyDescent="0.2">
      <c r="A113" s="70"/>
      <c r="B113" s="7"/>
    </row>
    <row r="114" spans="1:2" x14ac:dyDescent="0.2">
      <c r="A114" s="70"/>
      <c r="B114" s="7"/>
    </row>
    <row r="115" spans="1:2" x14ac:dyDescent="0.2">
      <c r="A115" s="70"/>
      <c r="B115" s="7"/>
    </row>
    <row r="116" spans="1:2" x14ac:dyDescent="0.2">
      <c r="A116" s="70"/>
      <c r="B116" s="7"/>
    </row>
    <row r="117" spans="1:2" x14ac:dyDescent="0.2">
      <c r="A117" s="70"/>
      <c r="B117" s="7"/>
    </row>
    <row r="118" spans="1:2" x14ac:dyDescent="0.2">
      <c r="A118" s="70"/>
      <c r="B118" s="7"/>
    </row>
    <row r="119" spans="1:2" x14ac:dyDescent="0.2">
      <c r="A119" s="70"/>
      <c r="B119" s="7"/>
    </row>
    <row r="120" spans="1:2" x14ac:dyDescent="0.2">
      <c r="A120" s="70"/>
      <c r="B120" s="7"/>
    </row>
    <row r="121" spans="1:2" x14ac:dyDescent="0.2">
      <c r="A121" s="70"/>
      <c r="B121" s="7"/>
    </row>
    <row r="122" spans="1:2" x14ac:dyDescent="0.2">
      <c r="A122" s="70"/>
      <c r="B122" s="7"/>
    </row>
    <row r="123" spans="1:2" x14ac:dyDescent="0.2">
      <c r="A123" s="70"/>
      <c r="B123" s="7"/>
    </row>
    <row r="124" spans="1:2" x14ac:dyDescent="0.2">
      <c r="A124" s="70"/>
      <c r="B124" s="7"/>
    </row>
    <row r="125" spans="1:2" x14ac:dyDescent="0.2">
      <c r="A125" s="70"/>
      <c r="B125" s="7"/>
    </row>
    <row r="126" spans="1:2" x14ac:dyDescent="0.2">
      <c r="A126" s="70"/>
      <c r="B126" s="7"/>
    </row>
    <row r="127" spans="1:2" x14ac:dyDescent="0.2">
      <c r="A127" s="70"/>
      <c r="B127" s="7"/>
    </row>
    <row r="128" spans="1:2" x14ac:dyDescent="0.2">
      <c r="A128" s="70"/>
      <c r="B128" s="7"/>
    </row>
    <row r="129" spans="1:2" x14ac:dyDescent="0.2">
      <c r="A129" s="70"/>
      <c r="B129" s="7"/>
    </row>
    <row r="130" spans="1:2" x14ac:dyDescent="0.2">
      <c r="A130" s="70"/>
      <c r="B130" s="7"/>
    </row>
    <row r="131" spans="1:2" x14ac:dyDescent="0.2">
      <c r="A131" s="70"/>
      <c r="B131" s="7"/>
    </row>
    <row r="132" spans="1:2" x14ac:dyDescent="0.2">
      <c r="A132" s="70"/>
      <c r="B132" s="7"/>
    </row>
    <row r="133" spans="1:2" x14ac:dyDescent="0.2">
      <c r="A133" s="70"/>
      <c r="B133" s="7"/>
    </row>
    <row r="134" spans="1:2" x14ac:dyDescent="0.2">
      <c r="A134" s="70"/>
      <c r="B134" s="7"/>
    </row>
    <row r="135" spans="1:2" x14ac:dyDescent="0.2">
      <c r="A135" s="70"/>
      <c r="B135" s="7"/>
    </row>
    <row r="136" spans="1:2" x14ac:dyDescent="0.2">
      <c r="A136" s="70"/>
      <c r="B136" s="7"/>
    </row>
    <row r="137" spans="1:2" x14ac:dyDescent="0.2">
      <c r="A137" s="70"/>
      <c r="B137" s="7"/>
    </row>
    <row r="138" spans="1:2" x14ac:dyDescent="0.2">
      <c r="A138" s="70"/>
      <c r="B138" s="7"/>
    </row>
    <row r="139" spans="1:2" x14ac:dyDescent="0.2">
      <c r="A139" s="70"/>
      <c r="B139" s="7"/>
    </row>
    <row r="140" spans="1:2" x14ac:dyDescent="0.2">
      <c r="A140" s="70"/>
      <c r="B140" s="7"/>
    </row>
    <row r="141" spans="1:2" x14ac:dyDescent="0.2">
      <c r="A141" s="70"/>
      <c r="B141" s="7"/>
    </row>
    <row r="142" spans="1:2" x14ac:dyDescent="0.2">
      <c r="A142" s="70"/>
      <c r="B142" s="7"/>
    </row>
    <row r="143" spans="1:2" x14ac:dyDescent="0.2">
      <c r="A143" s="70"/>
      <c r="B143" s="7"/>
    </row>
    <row r="144" spans="1:2" x14ac:dyDescent="0.2">
      <c r="A144" s="70"/>
      <c r="B144" s="7"/>
    </row>
    <row r="145" spans="1:2" x14ac:dyDescent="0.2">
      <c r="A145" s="70"/>
      <c r="B145" s="7"/>
    </row>
    <row r="146" spans="1:2" x14ac:dyDescent="0.2">
      <c r="A146" s="70"/>
      <c r="B146" s="7"/>
    </row>
    <row r="147" spans="1:2" x14ac:dyDescent="0.2">
      <c r="A147" s="70"/>
      <c r="B147" s="7"/>
    </row>
    <row r="148" spans="1:2" x14ac:dyDescent="0.2">
      <c r="A148" s="70"/>
      <c r="B148" s="7"/>
    </row>
    <row r="149" spans="1:2" x14ac:dyDescent="0.2">
      <c r="A149" s="70"/>
      <c r="B149" s="7"/>
    </row>
    <row r="150" spans="1:2" x14ac:dyDescent="0.2">
      <c r="A150" s="70"/>
      <c r="B150" s="7"/>
    </row>
    <row r="151" spans="1:2" x14ac:dyDescent="0.2">
      <c r="A151" s="70"/>
      <c r="B151" s="7"/>
    </row>
    <row r="152" spans="1:2" x14ac:dyDescent="0.2">
      <c r="A152" s="70"/>
      <c r="B152" s="7"/>
    </row>
    <row r="153" spans="1:2" x14ac:dyDescent="0.2">
      <c r="A153" s="70"/>
      <c r="B153" s="7"/>
    </row>
    <row r="154" spans="1:2" x14ac:dyDescent="0.2">
      <c r="A154" s="70"/>
      <c r="B154" s="7"/>
    </row>
    <row r="155" spans="1:2" x14ac:dyDescent="0.2">
      <c r="A155" s="70"/>
      <c r="B155" s="7"/>
    </row>
    <row r="156" spans="1:2" x14ac:dyDescent="0.2">
      <c r="A156" s="70"/>
      <c r="B156" s="7"/>
    </row>
    <row r="157" spans="1:2" x14ac:dyDescent="0.2">
      <c r="A157" s="70"/>
      <c r="B157" s="7"/>
    </row>
    <row r="158" spans="1:2" x14ac:dyDescent="0.2">
      <c r="A158" s="70"/>
      <c r="B158" s="7"/>
    </row>
    <row r="159" spans="1:2" x14ac:dyDescent="0.2">
      <c r="A159" s="70"/>
      <c r="B159" s="7"/>
    </row>
    <row r="160" spans="1:2" x14ac:dyDescent="0.2">
      <c r="A160" s="70"/>
      <c r="B160" s="7"/>
    </row>
    <row r="161" spans="1:2" x14ac:dyDescent="0.2">
      <c r="A161" s="70"/>
      <c r="B161" s="7"/>
    </row>
    <row r="162" spans="1:2" x14ac:dyDescent="0.2">
      <c r="A162" s="70"/>
      <c r="B162" s="7"/>
    </row>
    <row r="163" spans="1:2" x14ac:dyDescent="0.2">
      <c r="A163" s="70"/>
      <c r="B163" s="7"/>
    </row>
    <row r="164" spans="1:2" x14ac:dyDescent="0.2">
      <c r="A164" s="70"/>
      <c r="B164" s="7"/>
    </row>
    <row r="165" spans="1:2" x14ac:dyDescent="0.2">
      <c r="A165" s="70"/>
      <c r="B165" s="7"/>
    </row>
    <row r="166" spans="1:2" x14ac:dyDescent="0.2">
      <c r="A166" s="70"/>
      <c r="B166" s="7"/>
    </row>
    <row r="167" spans="1:2" x14ac:dyDescent="0.2">
      <c r="A167" s="70"/>
      <c r="B167" s="7"/>
    </row>
    <row r="168" spans="1:2" x14ac:dyDescent="0.2">
      <c r="A168" s="70"/>
      <c r="B168" s="7"/>
    </row>
    <row r="169" spans="1:2" x14ac:dyDescent="0.2">
      <c r="A169" s="70"/>
      <c r="B169" s="7"/>
    </row>
    <row r="170" spans="1:2" x14ac:dyDescent="0.2">
      <c r="A170" s="70"/>
      <c r="B170" s="7"/>
    </row>
    <row r="171" spans="1:2" x14ac:dyDescent="0.2">
      <c r="A171" s="70"/>
      <c r="B171" s="7"/>
    </row>
    <row r="172" spans="1:2" x14ac:dyDescent="0.2">
      <c r="A172" s="70"/>
      <c r="B172" s="7"/>
    </row>
    <row r="173" spans="1:2" x14ac:dyDescent="0.2">
      <c r="A173" s="70"/>
      <c r="B173" s="7"/>
    </row>
    <row r="174" spans="1:2" x14ac:dyDescent="0.2">
      <c r="A174" s="70"/>
      <c r="B174" s="7"/>
    </row>
    <row r="175" spans="1:2" x14ac:dyDescent="0.2">
      <c r="A175" s="70"/>
      <c r="B175" s="7"/>
    </row>
    <row r="176" spans="1:2" x14ac:dyDescent="0.2">
      <c r="A176" s="70"/>
      <c r="B176" s="7"/>
    </row>
    <row r="177" spans="1:2" x14ac:dyDescent="0.2">
      <c r="A177" s="70"/>
      <c r="B177" s="7"/>
    </row>
  </sheetData>
  <mergeCells count="7">
    <mergeCell ref="A8:H8"/>
    <mergeCell ref="A1:H1"/>
    <mergeCell ref="A2:H2"/>
    <mergeCell ref="A3:H3"/>
    <mergeCell ref="A4:H4"/>
    <mergeCell ref="A6:H6"/>
    <mergeCell ref="A7:H7"/>
  </mergeCells>
  <pageMargins left="0.39" right="0.21" top="1" bottom="1" header="0.5" footer="0.5"/>
  <pageSetup scale="96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B7E3E-2B3E-49F3-834C-6793B05E1FCE}">
  <sheetPr>
    <pageSetUpPr fitToPage="1"/>
  </sheetPr>
  <dimension ref="A1:L34"/>
  <sheetViews>
    <sheetView zoomScaleNormal="100" workbookViewId="0">
      <selection activeCell="J30" sqref="J30"/>
    </sheetView>
  </sheetViews>
  <sheetFormatPr defaultRowHeight="12.75" x14ac:dyDescent="0.2"/>
  <cols>
    <col min="1" max="1" width="10" style="1" customWidth="1"/>
    <col min="2" max="2" width="53.5703125" style="1" customWidth="1"/>
    <col min="3" max="3" width="10.5703125" style="1" customWidth="1"/>
    <col min="4" max="4" width="12.5703125" style="1" customWidth="1"/>
    <col min="5" max="5" width="10.7109375" style="1" customWidth="1"/>
    <col min="6" max="7" width="11.7109375" style="1" customWidth="1"/>
    <col min="8" max="9" width="9.140625" style="1"/>
    <col min="10" max="10" width="12" style="1" customWidth="1"/>
    <col min="11" max="11" width="9.140625" style="1"/>
    <col min="12" max="12" width="9.42578125" style="1" bestFit="1" customWidth="1"/>
    <col min="13" max="16384" width="9.140625" style="1"/>
  </cols>
  <sheetData>
    <row r="1" spans="1:12" x14ac:dyDescent="0.2">
      <c r="A1" s="48"/>
      <c r="B1" s="49"/>
      <c r="C1" s="49"/>
      <c r="D1" s="49"/>
      <c r="E1" s="49"/>
      <c r="F1" s="49"/>
      <c r="G1" s="50"/>
    </row>
    <row r="2" spans="1:12" x14ac:dyDescent="0.2">
      <c r="A2" s="154" t="s">
        <v>455</v>
      </c>
      <c r="B2" s="155"/>
      <c r="C2" s="155"/>
      <c r="D2" s="155"/>
      <c r="E2" s="155"/>
      <c r="F2" s="155"/>
      <c r="G2" s="156"/>
    </row>
    <row r="3" spans="1:12" x14ac:dyDescent="0.2">
      <c r="A3" s="154" t="s">
        <v>0</v>
      </c>
      <c r="B3" s="155"/>
      <c r="C3" s="155"/>
      <c r="D3" s="155"/>
      <c r="E3" s="155"/>
      <c r="F3" s="155"/>
      <c r="G3" s="156"/>
    </row>
    <row r="4" spans="1:12" x14ac:dyDescent="0.2">
      <c r="A4" s="157" t="s">
        <v>14</v>
      </c>
      <c r="B4" s="158"/>
      <c r="C4" s="158"/>
      <c r="D4" s="158"/>
      <c r="E4" s="158"/>
      <c r="F4" s="158"/>
      <c r="G4" s="159"/>
    </row>
    <row r="5" spans="1:12" x14ac:dyDescent="0.2">
      <c r="A5" s="154" t="s">
        <v>464</v>
      </c>
      <c r="B5" s="155"/>
      <c r="C5" s="155"/>
      <c r="D5" s="155"/>
      <c r="E5" s="155"/>
      <c r="F5" s="155"/>
      <c r="G5" s="156"/>
    </row>
    <row r="6" spans="1:12" ht="14.25" x14ac:dyDescent="0.2">
      <c r="A6" s="128"/>
      <c r="B6" s="25"/>
      <c r="C6" s="26"/>
      <c r="D6" s="27"/>
      <c r="E6" s="27"/>
      <c r="F6" s="132"/>
      <c r="G6" s="133"/>
    </row>
    <row r="7" spans="1:12" ht="14.25" x14ac:dyDescent="0.2">
      <c r="A7" s="163" t="s">
        <v>153</v>
      </c>
      <c r="B7" s="164"/>
      <c r="C7" s="164"/>
      <c r="D7" s="164"/>
      <c r="E7" s="164"/>
      <c r="F7" s="164"/>
      <c r="G7" s="165"/>
    </row>
    <row r="8" spans="1:12" x14ac:dyDescent="0.2">
      <c r="A8" s="169" t="s">
        <v>78</v>
      </c>
      <c r="B8" s="170"/>
      <c r="C8" s="170"/>
      <c r="D8" s="170"/>
      <c r="E8" s="170"/>
      <c r="F8" s="170"/>
      <c r="G8" s="171"/>
    </row>
    <row r="9" spans="1:12" s="34" customFormat="1" x14ac:dyDescent="0.2">
      <c r="A9" s="166" t="s">
        <v>454</v>
      </c>
      <c r="B9" s="167"/>
      <c r="C9" s="167"/>
      <c r="D9" s="167"/>
      <c r="E9" s="167"/>
      <c r="F9" s="167"/>
      <c r="G9" s="168"/>
    </row>
    <row r="10" spans="1:12" ht="13.5" thickBot="1" x14ac:dyDescent="0.25">
      <c r="A10" s="160" t="s">
        <v>17</v>
      </c>
      <c r="B10" s="161"/>
      <c r="C10" s="161"/>
      <c r="D10" s="161"/>
      <c r="E10" s="161"/>
      <c r="F10" s="161"/>
      <c r="G10" s="162"/>
    </row>
    <row r="11" spans="1:12" ht="25.5" x14ac:dyDescent="0.2">
      <c r="A11" s="98" t="s">
        <v>18</v>
      </c>
      <c r="B11" s="45" t="s">
        <v>19</v>
      </c>
      <c r="C11" s="46" t="s">
        <v>20</v>
      </c>
      <c r="D11" s="44" t="s">
        <v>21</v>
      </c>
      <c r="E11" s="47" t="s">
        <v>22</v>
      </c>
      <c r="F11" s="47" t="s">
        <v>23</v>
      </c>
      <c r="G11" s="45" t="s">
        <v>24</v>
      </c>
    </row>
    <row r="12" spans="1:12" x14ac:dyDescent="0.2">
      <c r="A12" s="40"/>
      <c r="B12" s="10"/>
      <c r="C12" s="11"/>
      <c r="D12" s="12"/>
      <c r="E12" s="13"/>
      <c r="F12" s="14"/>
      <c r="G12" s="39"/>
    </row>
    <row r="13" spans="1:12" s="23" customFormat="1" x14ac:dyDescent="0.2">
      <c r="A13" s="17" t="s">
        <v>154</v>
      </c>
      <c r="B13" s="75" t="s">
        <v>26</v>
      </c>
      <c r="C13" s="18"/>
      <c r="D13" s="20"/>
      <c r="E13" s="21"/>
      <c r="F13" s="22"/>
      <c r="G13" s="38"/>
    </row>
    <row r="14" spans="1:12" x14ac:dyDescent="0.2">
      <c r="A14" s="41" t="s">
        <v>155</v>
      </c>
      <c r="B14" s="35" t="s">
        <v>28</v>
      </c>
      <c r="C14" s="15">
        <v>12</v>
      </c>
      <c r="D14" s="16" t="s">
        <v>29</v>
      </c>
      <c r="E14" s="101">
        <v>0</v>
      </c>
      <c r="F14" s="24">
        <f t="shared" ref="F14:F19" si="0">E14*C14</f>
        <v>0</v>
      </c>
      <c r="G14" s="39"/>
      <c r="J14" s="104"/>
      <c r="K14" s="104"/>
      <c r="L14" s="104"/>
    </row>
    <row r="15" spans="1:12" x14ac:dyDescent="0.2">
      <c r="A15" s="41" t="s">
        <v>156</v>
      </c>
      <c r="B15" s="35" t="s">
        <v>31</v>
      </c>
      <c r="C15" s="15">
        <v>12</v>
      </c>
      <c r="D15" s="16" t="s">
        <v>29</v>
      </c>
      <c r="E15" s="101">
        <v>0</v>
      </c>
      <c r="F15" s="24">
        <f t="shared" si="0"/>
        <v>0</v>
      </c>
      <c r="G15" s="39"/>
      <c r="J15" s="104"/>
      <c r="K15" s="104"/>
      <c r="L15" s="104"/>
    </row>
    <row r="16" spans="1:12" x14ac:dyDescent="0.2">
      <c r="A16" s="41" t="s">
        <v>157</v>
      </c>
      <c r="B16" s="35" t="s">
        <v>33</v>
      </c>
      <c r="C16" s="15">
        <v>12</v>
      </c>
      <c r="D16" s="16" t="s">
        <v>29</v>
      </c>
      <c r="E16" s="101">
        <v>0</v>
      </c>
      <c r="F16" s="24">
        <f t="shared" si="0"/>
        <v>0</v>
      </c>
      <c r="G16" s="39"/>
      <c r="J16" s="104"/>
      <c r="K16" s="104"/>
      <c r="L16" s="104"/>
    </row>
    <row r="17" spans="1:12" x14ac:dyDescent="0.2">
      <c r="A17" s="41" t="s">
        <v>158</v>
      </c>
      <c r="B17" s="35" t="s">
        <v>35</v>
      </c>
      <c r="C17" s="15">
        <v>12</v>
      </c>
      <c r="D17" s="16" t="s">
        <v>29</v>
      </c>
      <c r="E17" s="101">
        <v>0</v>
      </c>
      <c r="F17" s="24">
        <f t="shared" si="0"/>
        <v>0</v>
      </c>
      <c r="G17" s="39"/>
      <c r="J17" s="104"/>
      <c r="K17" s="104"/>
      <c r="L17" s="104"/>
    </row>
    <row r="18" spans="1:12" x14ac:dyDescent="0.2">
      <c r="A18" s="99" t="s">
        <v>159</v>
      </c>
      <c r="B18" s="35" t="s">
        <v>37</v>
      </c>
      <c r="C18" s="15">
        <v>12</v>
      </c>
      <c r="D18" s="16" t="s">
        <v>29</v>
      </c>
      <c r="E18" s="101">
        <v>0</v>
      </c>
      <c r="F18" s="24">
        <f t="shared" si="0"/>
        <v>0</v>
      </c>
      <c r="G18" s="39"/>
      <c r="J18" s="104"/>
      <c r="K18" s="104"/>
      <c r="L18" s="104"/>
    </row>
    <row r="19" spans="1:12" x14ac:dyDescent="0.2">
      <c r="A19" s="39" t="s">
        <v>160</v>
      </c>
      <c r="B19" s="35" t="s">
        <v>39</v>
      </c>
      <c r="C19" s="15">
        <v>12</v>
      </c>
      <c r="D19" s="16" t="s">
        <v>40</v>
      </c>
      <c r="E19" s="101">
        <v>0</v>
      </c>
      <c r="F19" s="24">
        <f t="shared" si="0"/>
        <v>0</v>
      </c>
      <c r="G19" s="39"/>
      <c r="J19" s="104"/>
      <c r="K19" s="104"/>
    </row>
    <row r="20" spans="1:12" x14ac:dyDescent="0.2">
      <c r="A20" s="41"/>
      <c r="B20" s="17" t="s">
        <v>41</v>
      </c>
      <c r="C20" s="134"/>
      <c r="D20" s="135"/>
      <c r="E20" s="16"/>
      <c r="F20" s="51">
        <f>SUM(F14:F19)</f>
        <v>0</v>
      </c>
      <c r="G20" s="136"/>
    </row>
    <row r="21" spans="1:12" x14ac:dyDescent="0.2">
      <c r="A21" s="41"/>
      <c r="B21" s="35"/>
      <c r="C21" s="15"/>
      <c r="D21" s="16"/>
      <c r="E21" s="16"/>
      <c r="F21" s="24"/>
      <c r="G21" s="39"/>
    </row>
    <row r="22" spans="1:12" s="23" customFormat="1" x14ac:dyDescent="0.2">
      <c r="A22" s="17" t="s">
        <v>161</v>
      </c>
      <c r="B22" s="19" t="s">
        <v>43</v>
      </c>
      <c r="C22" s="18"/>
      <c r="D22" s="20"/>
      <c r="E22" s="16"/>
      <c r="F22" s="22"/>
      <c r="G22" s="38"/>
    </row>
    <row r="23" spans="1:12" x14ac:dyDescent="0.2">
      <c r="A23" s="41" t="s">
        <v>162</v>
      </c>
      <c r="B23" s="35" t="s">
        <v>28</v>
      </c>
      <c r="C23" s="15">
        <v>12</v>
      </c>
      <c r="D23" s="16" t="s">
        <v>29</v>
      </c>
      <c r="E23" s="101">
        <v>0</v>
      </c>
      <c r="F23" s="24">
        <f t="shared" ref="F23:F28" si="1">E23*C23</f>
        <v>0</v>
      </c>
      <c r="G23" s="39"/>
    </row>
    <row r="24" spans="1:12" x14ac:dyDescent="0.2">
      <c r="A24" s="41" t="s">
        <v>163</v>
      </c>
      <c r="B24" s="35" t="s">
        <v>31</v>
      </c>
      <c r="C24" s="15">
        <v>12</v>
      </c>
      <c r="D24" s="16" t="s">
        <v>29</v>
      </c>
      <c r="E24" s="101">
        <v>0</v>
      </c>
      <c r="F24" s="24">
        <f t="shared" si="1"/>
        <v>0</v>
      </c>
      <c r="G24" s="39"/>
    </row>
    <row r="25" spans="1:12" x14ac:dyDescent="0.2">
      <c r="A25" s="41" t="s">
        <v>164</v>
      </c>
      <c r="B25" s="35" t="s">
        <v>33</v>
      </c>
      <c r="C25" s="15">
        <v>12</v>
      </c>
      <c r="D25" s="16" t="s">
        <v>29</v>
      </c>
      <c r="E25" s="101">
        <v>0</v>
      </c>
      <c r="F25" s="24">
        <f t="shared" si="1"/>
        <v>0</v>
      </c>
      <c r="G25" s="39"/>
    </row>
    <row r="26" spans="1:12" x14ac:dyDescent="0.2">
      <c r="A26" s="41" t="s">
        <v>165</v>
      </c>
      <c r="B26" s="35" t="s">
        <v>35</v>
      </c>
      <c r="C26" s="15">
        <v>12</v>
      </c>
      <c r="D26" s="16" t="s">
        <v>29</v>
      </c>
      <c r="E26" s="101">
        <v>0</v>
      </c>
      <c r="F26" s="24">
        <f t="shared" si="1"/>
        <v>0</v>
      </c>
      <c r="G26" s="39"/>
    </row>
    <row r="27" spans="1:12" x14ac:dyDescent="0.2">
      <c r="A27" s="41" t="s">
        <v>166</v>
      </c>
      <c r="B27" s="35" t="s">
        <v>37</v>
      </c>
      <c r="C27" s="15">
        <v>12</v>
      </c>
      <c r="D27" s="16" t="s">
        <v>29</v>
      </c>
      <c r="E27" s="101">
        <v>0</v>
      </c>
      <c r="F27" s="24">
        <f t="shared" si="1"/>
        <v>0</v>
      </c>
      <c r="G27" s="39"/>
    </row>
    <row r="28" spans="1:12" x14ac:dyDescent="0.2">
      <c r="A28" s="99" t="s">
        <v>167</v>
      </c>
      <c r="B28" s="35" t="s">
        <v>39</v>
      </c>
      <c r="C28" s="15">
        <v>2</v>
      </c>
      <c r="D28" s="16" t="s">
        <v>40</v>
      </c>
      <c r="E28" s="101">
        <v>0</v>
      </c>
      <c r="F28" s="24">
        <f t="shared" si="1"/>
        <v>0</v>
      </c>
      <c r="G28" s="39"/>
    </row>
    <row r="29" spans="1:12" x14ac:dyDescent="0.2">
      <c r="A29" s="41"/>
      <c r="B29" s="17" t="s">
        <v>50</v>
      </c>
      <c r="C29" s="134"/>
      <c r="D29" s="135"/>
      <c r="E29" s="16"/>
      <c r="F29" s="105">
        <f>SUM(F23:F28)</f>
        <v>0</v>
      </c>
      <c r="G29" s="136"/>
    </row>
    <row r="30" spans="1:12" s="23" customFormat="1" x14ac:dyDescent="0.2">
      <c r="A30" s="17"/>
      <c r="B30" s="19"/>
      <c r="C30" s="18"/>
      <c r="D30" s="20"/>
      <c r="E30" s="16"/>
      <c r="F30" s="107"/>
      <c r="G30" s="38"/>
    </row>
    <row r="31" spans="1:12" x14ac:dyDescent="0.2">
      <c r="A31" s="41"/>
      <c r="B31" s="35"/>
      <c r="C31" s="15"/>
      <c r="D31" s="16"/>
      <c r="E31" s="101"/>
      <c r="F31" s="106"/>
      <c r="G31" s="39"/>
    </row>
    <row r="32" spans="1:12" ht="26.45" customHeight="1" x14ac:dyDescent="0.25">
      <c r="A32" s="39"/>
      <c r="B32" s="76" t="s">
        <v>168</v>
      </c>
      <c r="C32" s="17"/>
      <c r="D32" s="42"/>
      <c r="E32" s="43" t="s">
        <v>52</v>
      </c>
      <c r="F32" s="97">
        <f>F20+F29</f>
        <v>0</v>
      </c>
      <c r="G32" s="39"/>
    </row>
    <row r="33" spans="2:6" x14ac:dyDescent="0.2">
      <c r="B33" s="2"/>
      <c r="C33" s="3"/>
      <c r="D33" s="4"/>
      <c r="E33" s="5"/>
    </row>
    <row r="34" spans="2:6" x14ac:dyDescent="0.2">
      <c r="B34" s="2"/>
      <c r="C34" s="3"/>
      <c r="D34" s="4"/>
      <c r="E34" s="5"/>
      <c r="F34" s="5"/>
    </row>
  </sheetData>
  <mergeCells count="8">
    <mergeCell ref="A9:G9"/>
    <mergeCell ref="A10:G10"/>
    <mergeCell ref="A2:G2"/>
    <mergeCell ref="A3:G3"/>
    <mergeCell ref="A4:G4"/>
    <mergeCell ref="A5:G5"/>
    <mergeCell ref="A7:G7"/>
    <mergeCell ref="A8:G8"/>
  </mergeCells>
  <printOptions horizontalCentered="1"/>
  <pageMargins left="0.5" right="0.5" top="0.5" bottom="0.5" header="0.5" footer="0.5"/>
  <pageSetup scale="79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BA048-81D1-4599-8930-650BDDFEEC23}">
  <sheetPr>
    <pageSetUpPr fitToPage="1"/>
  </sheetPr>
  <dimension ref="A1:H176"/>
  <sheetViews>
    <sheetView zoomScale="99" zoomScaleNormal="99" workbookViewId="0">
      <selection activeCell="O14" sqref="O14"/>
    </sheetView>
  </sheetViews>
  <sheetFormatPr defaultRowHeight="12.75" x14ac:dyDescent="0.2"/>
  <cols>
    <col min="1" max="1" width="8.7109375" style="1" customWidth="1"/>
    <col min="2" max="2" width="25.7109375" style="1" customWidth="1"/>
    <col min="3" max="3" width="45.85546875" style="1" customWidth="1"/>
    <col min="4" max="6" width="12.7109375" style="1" customWidth="1"/>
    <col min="7" max="7" width="14.140625" style="1" customWidth="1"/>
    <col min="8" max="8" width="8.7109375" style="1" customWidth="1"/>
    <col min="9" max="9" width="6.42578125" style="1" customWidth="1"/>
    <col min="10" max="10" width="20.7109375" style="1" customWidth="1"/>
    <col min="11" max="11" width="16.85546875" style="1" customWidth="1"/>
    <col min="12" max="12" width="15.7109375" style="1" customWidth="1"/>
    <col min="13" max="13" width="18.42578125" style="1" customWidth="1"/>
    <col min="14" max="16384" width="9.140625" style="1"/>
  </cols>
  <sheetData>
    <row r="1" spans="1:8" x14ac:dyDescent="0.2">
      <c r="A1" s="154" t="s">
        <v>455</v>
      </c>
      <c r="B1" s="155"/>
      <c r="C1" s="155"/>
      <c r="D1" s="155"/>
      <c r="E1" s="155"/>
      <c r="F1" s="155"/>
      <c r="G1" s="155"/>
      <c r="H1" s="155"/>
    </row>
    <row r="2" spans="1:8" x14ac:dyDescent="0.2">
      <c r="A2" s="155" t="s">
        <v>0</v>
      </c>
      <c r="B2" s="155"/>
      <c r="C2" s="155"/>
      <c r="D2" s="155"/>
      <c r="E2" s="155"/>
      <c r="F2" s="155"/>
      <c r="G2" s="155"/>
      <c r="H2" s="155"/>
    </row>
    <row r="3" spans="1:8" x14ac:dyDescent="0.2">
      <c r="A3" s="158" t="s">
        <v>14</v>
      </c>
      <c r="B3" s="158"/>
      <c r="C3" s="158"/>
      <c r="D3" s="158"/>
      <c r="E3" s="158"/>
      <c r="F3" s="158"/>
      <c r="G3" s="158"/>
      <c r="H3" s="158"/>
    </row>
    <row r="4" spans="1:8" x14ac:dyDescent="0.2">
      <c r="A4" s="155" t="s">
        <v>465</v>
      </c>
      <c r="B4" s="155"/>
      <c r="C4" s="155"/>
      <c r="D4" s="155"/>
      <c r="E4" s="155"/>
      <c r="F4" s="155"/>
      <c r="G4" s="155"/>
      <c r="H4" s="155"/>
    </row>
    <row r="5" spans="1:8" x14ac:dyDescent="0.2">
      <c r="A5" s="56"/>
      <c r="B5" s="7"/>
      <c r="C5" s="7"/>
      <c r="D5" s="7"/>
      <c r="E5" s="7"/>
      <c r="F5" s="7"/>
      <c r="G5" s="7"/>
      <c r="H5" s="7"/>
    </row>
    <row r="6" spans="1:8" x14ac:dyDescent="0.2">
      <c r="A6" s="172" t="s">
        <v>169</v>
      </c>
      <c r="B6" s="172"/>
      <c r="C6" s="172"/>
      <c r="D6" s="172"/>
      <c r="E6" s="172"/>
      <c r="F6" s="172"/>
      <c r="G6" s="172"/>
      <c r="H6" s="172"/>
    </row>
    <row r="7" spans="1:8" x14ac:dyDescent="0.2">
      <c r="A7" s="173" t="s">
        <v>54</v>
      </c>
      <c r="B7" s="173"/>
      <c r="C7" s="173"/>
      <c r="D7" s="173"/>
      <c r="E7" s="173"/>
      <c r="F7" s="173"/>
      <c r="G7" s="173"/>
      <c r="H7" s="173"/>
    </row>
    <row r="8" spans="1:8" x14ac:dyDescent="0.2">
      <c r="A8" s="170" t="s">
        <v>170</v>
      </c>
      <c r="B8" s="170"/>
      <c r="C8" s="170"/>
      <c r="D8" s="170"/>
      <c r="E8" s="170"/>
      <c r="F8" s="170"/>
      <c r="G8" s="170"/>
      <c r="H8" s="170"/>
    </row>
    <row r="9" spans="1:8" ht="13.5" thickBo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38.25" x14ac:dyDescent="0.2">
      <c r="A10" s="109" t="s">
        <v>56</v>
      </c>
      <c r="B10" s="60" t="s">
        <v>57</v>
      </c>
      <c r="C10" s="60" t="s">
        <v>58</v>
      </c>
      <c r="D10" s="60" t="s">
        <v>59</v>
      </c>
      <c r="E10" s="110" t="s">
        <v>60</v>
      </c>
      <c r="F10" s="110" t="s">
        <v>22</v>
      </c>
      <c r="G10" s="61" t="s">
        <v>61</v>
      </c>
      <c r="H10" s="62" t="s">
        <v>62</v>
      </c>
    </row>
    <row r="11" spans="1:8" ht="63.75" x14ac:dyDescent="0.2">
      <c r="A11" s="63" t="s">
        <v>171</v>
      </c>
      <c r="B11" s="10" t="s">
        <v>64</v>
      </c>
      <c r="C11" s="57" t="s">
        <v>65</v>
      </c>
      <c r="D11" s="71">
        <v>900</v>
      </c>
      <c r="E11" s="59" t="s">
        <v>66</v>
      </c>
      <c r="F11" s="113">
        <v>0</v>
      </c>
      <c r="G11" s="24">
        <f>F11*D11</f>
        <v>0</v>
      </c>
      <c r="H11" s="72"/>
    </row>
    <row r="12" spans="1:8" ht="63.75" x14ac:dyDescent="0.2">
      <c r="A12" s="63" t="s">
        <v>172</v>
      </c>
      <c r="B12" s="73" t="s">
        <v>68</v>
      </c>
      <c r="C12" s="57" t="s">
        <v>65</v>
      </c>
      <c r="D12" s="71">
        <v>440</v>
      </c>
      <c r="E12" s="59" t="s">
        <v>66</v>
      </c>
      <c r="F12" s="113">
        <v>0</v>
      </c>
      <c r="G12" s="24">
        <f>F12*D12</f>
        <v>0</v>
      </c>
      <c r="H12" s="72"/>
    </row>
    <row r="13" spans="1:8" ht="57" customHeight="1" x14ac:dyDescent="0.2">
      <c r="A13" s="63" t="s">
        <v>173</v>
      </c>
      <c r="B13" s="73" t="s">
        <v>70</v>
      </c>
      <c r="C13" s="57" t="s">
        <v>71</v>
      </c>
      <c r="D13" s="71">
        <v>100</v>
      </c>
      <c r="E13" s="59" t="s">
        <v>66</v>
      </c>
      <c r="F13" s="113">
        <v>0</v>
      </c>
      <c r="G13" s="24">
        <f>F13*D13</f>
        <v>0</v>
      </c>
      <c r="H13" s="72"/>
    </row>
    <row r="14" spans="1:8" ht="63.75" x14ac:dyDescent="0.2">
      <c r="A14" s="63" t="s">
        <v>174</v>
      </c>
      <c r="B14" s="73" t="s">
        <v>68</v>
      </c>
      <c r="C14" s="57" t="s">
        <v>71</v>
      </c>
      <c r="D14" s="71">
        <v>50</v>
      </c>
      <c r="E14" s="59">
        <v>0</v>
      </c>
      <c r="F14" s="113">
        <v>0</v>
      </c>
      <c r="G14" s="24">
        <f>F14*D14</f>
        <v>0</v>
      </c>
      <c r="H14" s="72"/>
    </row>
    <row r="15" spans="1:8" ht="38.25" x14ac:dyDescent="0.2">
      <c r="A15" s="63" t="s">
        <v>175</v>
      </c>
      <c r="B15" s="10" t="s">
        <v>74</v>
      </c>
      <c r="C15" s="57" t="s">
        <v>75</v>
      </c>
      <c r="D15" s="74">
        <v>1</v>
      </c>
      <c r="E15" s="59">
        <v>0</v>
      </c>
      <c r="F15" s="116">
        <v>150000</v>
      </c>
      <c r="G15" s="24">
        <f>F15*D15</f>
        <v>150000</v>
      </c>
      <c r="H15" s="52"/>
    </row>
    <row r="16" spans="1:8" ht="27" x14ac:dyDescent="0.2">
      <c r="A16" s="64"/>
      <c r="B16" s="65"/>
      <c r="C16" s="66" t="s">
        <v>176</v>
      </c>
      <c r="D16" s="39"/>
      <c r="E16" s="58">
        <v>0</v>
      </c>
      <c r="F16" s="58"/>
      <c r="G16" s="106">
        <f>SUM(G11:G15)</f>
        <v>150000</v>
      </c>
      <c r="H16" s="53"/>
    </row>
    <row r="17" spans="1:8" x14ac:dyDescent="0.2">
      <c r="A17" s="56"/>
      <c r="B17"/>
      <c r="C17"/>
      <c r="D17"/>
      <c r="E17">
        <v>0</v>
      </c>
      <c r="F17"/>
      <c r="G17"/>
      <c r="H17"/>
    </row>
    <row r="18" spans="1:8" x14ac:dyDescent="0.2">
      <c r="A18" s="70"/>
      <c r="B18" s="7"/>
      <c r="C18"/>
      <c r="D18"/>
      <c r="E18">
        <v>0</v>
      </c>
      <c r="F18"/>
      <c r="G18"/>
      <c r="H18"/>
    </row>
    <row r="19" spans="1:8" x14ac:dyDescent="0.2">
      <c r="A19" s="70"/>
      <c r="B19" s="7"/>
      <c r="C19"/>
      <c r="D19"/>
      <c r="E19">
        <v>0</v>
      </c>
      <c r="F19"/>
      <c r="G19"/>
      <c r="H19"/>
    </row>
    <row r="20" spans="1:8" x14ac:dyDescent="0.2">
      <c r="A20" s="70"/>
      <c r="B20" s="7"/>
      <c r="C20"/>
      <c r="D20"/>
      <c r="E20"/>
      <c r="F20"/>
      <c r="G20"/>
      <c r="H20"/>
    </row>
    <row r="21" spans="1:8" x14ac:dyDescent="0.2">
      <c r="A21" s="70"/>
      <c r="B21" s="7"/>
      <c r="C21"/>
      <c r="D21"/>
      <c r="E21"/>
      <c r="F21"/>
      <c r="G21"/>
      <c r="H21"/>
    </row>
    <row r="22" spans="1:8" x14ac:dyDescent="0.2">
      <c r="A22" s="70"/>
      <c r="B22" s="7"/>
      <c r="C22"/>
      <c r="D22"/>
      <c r="E22"/>
      <c r="F22"/>
      <c r="G22"/>
      <c r="H22"/>
    </row>
    <row r="23" spans="1:8" x14ac:dyDescent="0.2">
      <c r="A23" s="70"/>
      <c r="B23" s="7"/>
      <c r="C23"/>
      <c r="D23"/>
      <c r="E23">
        <v>0</v>
      </c>
      <c r="F23"/>
      <c r="G23"/>
      <c r="H23"/>
    </row>
    <row r="24" spans="1:8" x14ac:dyDescent="0.2">
      <c r="A24" s="70"/>
      <c r="B24" s="7"/>
      <c r="C24"/>
      <c r="D24"/>
      <c r="E24">
        <v>0</v>
      </c>
      <c r="F24"/>
      <c r="G24"/>
      <c r="H24"/>
    </row>
    <row r="25" spans="1:8" x14ac:dyDescent="0.2">
      <c r="A25" s="70"/>
      <c r="B25" s="7"/>
      <c r="C25"/>
      <c r="D25"/>
      <c r="E25">
        <v>0</v>
      </c>
      <c r="F25"/>
      <c r="G25"/>
      <c r="H25"/>
    </row>
    <row r="26" spans="1:8" x14ac:dyDescent="0.2">
      <c r="A26" s="70"/>
      <c r="B26" s="7"/>
      <c r="C26"/>
      <c r="D26"/>
      <c r="E26">
        <v>0</v>
      </c>
      <c r="F26"/>
      <c r="G26"/>
      <c r="H26"/>
    </row>
    <row r="27" spans="1:8" x14ac:dyDescent="0.2">
      <c r="A27" s="70"/>
      <c r="B27" s="7"/>
      <c r="C27"/>
      <c r="D27"/>
      <c r="E27">
        <v>0</v>
      </c>
      <c r="F27"/>
      <c r="G27"/>
      <c r="H27"/>
    </row>
    <row r="28" spans="1:8" x14ac:dyDescent="0.2">
      <c r="A28" s="70"/>
      <c r="B28" s="7"/>
      <c r="C28"/>
      <c r="D28"/>
      <c r="E28">
        <v>0</v>
      </c>
      <c r="F28"/>
      <c r="G28"/>
      <c r="H28"/>
    </row>
    <row r="29" spans="1:8" x14ac:dyDescent="0.2">
      <c r="A29" s="70"/>
      <c r="B29" s="7"/>
      <c r="C29"/>
      <c r="D29"/>
      <c r="E29"/>
      <c r="F29"/>
      <c r="G29"/>
      <c r="H29"/>
    </row>
    <row r="30" spans="1:8" x14ac:dyDescent="0.2">
      <c r="A30" s="70"/>
      <c r="B30" s="7"/>
      <c r="C30"/>
      <c r="D30"/>
      <c r="E30"/>
      <c r="F30"/>
      <c r="G30"/>
      <c r="H30"/>
    </row>
    <row r="31" spans="1:8" x14ac:dyDescent="0.2">
      <c r="A31" s="70"/>
      <c r="B31" s="7"/>
      <c r="C31"/>
      <c r="D31"/>
      <c r="E31"/>
      <c r="F31"/>
      <c r="G31"/>
      <c r="H31"/>
    </row>
    <row r="32" spans="1:8" x14ac:dyDescent="0.2">
      <c r="A32" s="70"/>
      <c r="B32" s="7"/>
    </row>
    <row r="33" spans="1:2" x14ac:dyDescent="0.2">
      <c r="A33" s="70"/>
      <c r="B33" s="7"/>
    </row>
    <row r="34" spans="1:2" x14ac:dyDescent="0.2">
      <c r="A34" s="70"/>
      <c r="B34" s="7"/>
    </row>
    <row r="35" spans="1:2" x14ac:dyDescent="0.2">
      <c r="A35" s="70"/>
      <c r="B35" s="7"/>
    </row>
    <row r="36" spans="1:2" x14ac:dyDescent="0.2">
      <c r="A36" s="70"/>
      <c r="B36" s="7"/>
    </row>
    <row r="37" spans="1:2" x14ac:dyDescent="0.2">
      <c r="A37" s="70"/>
      <c r="B37" s="7"/>
    </row>
    <row r="38" spans="1:2" x14ac:dyDescent="0.2">
      <c r="A38" s="70"/>
      <c r="B38" s="7"/>
    </row>
    <row r="39" spans="1:2" x14ac:dyDescent="0.2">
      <c r="A39" s="70"/>
      <c r="B39" s="7"/>
    </row>
    <row r="40" spans="1:2" x14ac:dyDescent="0.2">
      <c r="A40" s="70"/>
      <c r="B40" s="7"/>
    </row>
    <row r="41" spans="1:2" x14ac:dyDescent="0.2">
      <c r="A41" s="70"/>
      <c r="B41" s="7"/>
    </row>
    <row r="42" spans="1:2" x14ac:dyDescent="0.2">
      <c r="A42" s="70"/>
      <c r="B42" s="7"/>
    </row>
    <row r="43" spans="1:2" x14ac:dyDescent="0.2">
      <c r="A43" s="70"/>
      <c r="B43" s="7"/>
    </row>
    <row r="44" spans="1:2" x14ac:dyDescent="0.2">
      <c r="A44" s="70"/>
      <c r="B44" s="7"/>
    </row>
    <row r="45" spans="1:2" x14ac:dyDescent="0.2">
      <c r="A45" s="70"/>
      <c r="B45" s="7"/>
    </row>
    <row r="46" spans="1:2" x14ac:dyDescent="0.2">
      <c r="A46" s="70"/>
      <c r="B46" s="7"/>
    </row>
    <row r="47" spans="1:2" x14ac:dyDescent="0.2">
      <c r="A47" s="70"/>
      <c r="B47" s="7"/>
    </row>
    <row r="48" spans="1:2" x14ac:dyDescent="0.2">
      <c r="A48" s="70"/>
      <c r="B48" s="7"/>
    </row>
    <row r="49" spans="1:2" x14ac:dyDescent="0.2">
      <c r="A49" s="70"/>
      <c r="B49" s="7"/>
    </row>
    <row r="50" spans="1:2" x14ac:dyDescent="0.2">
      <c r="A50" s="70"/>
      <c r="B50" s="7"/>
    </row>
    <row r="51" spans="1:2" x14ac:dyDescent="0.2">
      <c r="A51" s="70"/>
      <c r="B51" s="7"/>
    </row>
    <row r="52" spans="1:2" x14ac:dyDescent="0.2">
      <c r="A52" s="70"/>
      <c r="B52" s="7"/>
    </row>
    <row r="53" spans="1:2" x14ac:dyDescent="0.2">
      <c r="A53" s="70"/>
      <c r="B53" s="7"/>
    </row>
    <row r="54" spans="1:2" x14ac:dyDescent="0.2">
      <c r="A54" s="70"/>
      <c r="B54" s="7"/>
    </row>
    <row r="55" spans="1:2" x14ac:dyDescent="0.2">
      <c r="A55" s="70"/>
      <c r="B55" s="7"/>
    </row>
    <row r="56" spans="1:2" x14ac:dyDescent="0.2">
      <c r="A56" s="70"/>
      <c r="B56" s="7"/>
    </row>
    <row r="57" spans="1:2" x14ac:dyDescent="0.2">
      <c r="A57" s="70"/>
      <c r="B57" s="7"/>
    </row>
    <row r="58" spans="1:2" x14ac:dyDescent="0.2">
      <c r="A58" s="70"/>
      <c r="B58" s="7"/>
    </row>
    <row r="59" spans="1:2" x14ac:dyDescent="0.2">
      <c r="A59" s="70"/>
      <c r="B59" s="7"/>
    </row>
    <row r="60" spans="1:2" x14ac:dyDescent="0.2">
      <c r="A60" s="70"/>
      <c r="B60" s="7"/>
    </row>
    <row r="61" spans="1:2" x14ac:dyDescent="0.2">
      <c r="A61" s="70"/>
      <c r="B61" s="7"/>
    </row>
    <row r="62" spans="1:2" x14ac:dyDescent="0.2">
      <c r="A62" s="70"/>
      <c r="B62" s="7"/>
    </row>
    <row r="63" spans="1:2" x14ac:dyDescent="0.2">
      <c r="A63" s="70"/>
      <c r="B63" s="7"/>
    </row>
    <row r="64" spans="1:2" x14ac:dyDescent="0.2">
      <c r="A64" s="70"/>
      <c r="B64" s="7"/>
    </row>
    <row r="65" spans="1:2" x14ac:dyDescent="0.2">
      <c r="A65" s="70"/>
      <c r="B65" s="7"/>
    </row>
    <row r="66" spans="1:2" x14ac:dyDescent="0.2">
      <c r="A66" s="70"/>
      <c r="B66" s="7"/>
    </row>
    <row r="67" spans="1:2" x14ac:dyDescent="0.2">
      <c r="A67" s="70"/>
      <c r="B67" s="7"/>
    </row>
    <row r="68" spans="1:2" x14ac:dyDescent="0.2">
      <c r="A68" s="70"/>
      <c r="B68" s="7"/>
    </row>
    <row r="69" spans="1:2" x14ac:dyDescent="0.2">
      <c r="A69" s="70"/>
      <c r="B69" s="7"/>
    </row>
    <row r="70" spans="1:2" x14ac:dyDescent="0.2">
      <c r="A70" s="70"/>
      <c r="B70" s="7"/>
    </row>
    <row r="71" spans="1:2" x14ac:dyDescent="0.2">
      <c r="A71" s="70"/>
      <c r="B71" s="7"/>
    </row>
    <row r="72" spans="1:2" x14ac:dyDescent="0.2">
      <c r="A72" s="70"/>
      <c r="B72" s="7"/>
    </row>
    <row r="73" spans="1:2" x14ac:dyDescent="0.2">
      <c r="A73" s="70"/>
      <c r="B73" s="7"/>
    </row>
    <row r="74" spans="1:2" x14ac:dyDescent="0.2">
      <c r="A74" s="70"/>
      <c r="B74" s="7"/>
    </row>
    <row r="75" spans="1:2" x14ac:dyDescent="0.2">
      <c r="A75" s="70"/>
      <c r="B75" s="7"/>
    </row>
    <row r="76" spans="1:2" x14ac:dyDescent="0.2">
      <c r="A76" s="70"/>
      <c r="B76" s="7"/>
    </row>
    <row r="77" spans="1:2" x14ac:dyDescent="0.2">
      <c r="A77" s="70"/>
      <c r="B77" s="7"/>
    </row>
    <row r="78" spans="1:2" x14ac:dyDescent="0.2">
      <c r="A78" s="70"/>
      <c r="B78" s="7"/>
    </row>
    <row r="79" spans="1:2" x14ac:dyDescent="0.2">
      <c r="A79" s="70"/>
      <c r="B79" s="7"/>
    </row>
    <row r="80" spans="1:2" x14ac:dyDescent="0.2">
      <c r="A80" s="70"/>
      <c r="B80" s="7"/>
    </row>
    <row r="81" spans="1:2" x14ac:dyDescent="0.2">
      <c r="A81" s="70"/>
      <c r="B81" s="7"/>
    </row>
    <row r="82" spans="1:2" x14ac:dyDescent="0.2">
      <c r="A82" s="70"/>
      <c r="B82" s="7"/>
    </row>
    <row r="83" spans="1:2" x14ac:dyDescent="0.2">
      <c r="A83" s="70"/>
      <c r="B83" s="7"/>
    </row>
    <row r="84" spans="1:2" x14ac:dyDescent="0.2">
      <c r="A84" s="70"/>
      <c r="B84" s="7"/>
    </row>
    <row r="85" spans="1:2" x14ac:dyDescent="0.2">
      <c r="A85" s="70"/>
      <c r="B85" s="7"/>
    </row>
    <row r="86" spans="1:2" x14ac:dyDescent="0.2">
      <c r="A86" s="70"/>
      <c r="B86" s="7"/>
    </row>
    <row r="87" spans="1:2" x14ac:dyDescent="0.2">
      <c r="A87" s="70"/>
      <c r="B87" s="7"/>
    </row>
    <row r="88" spans="1:2" x14ac:dyDescent="0.2">
      <c r="A88" s="70"/>
      <c r="B88" s="7"/>
    </row>
    <row r="89" spans="1:2" x14ac:dyDescent="0.2">
      <c r="A89" s="70"/>
      <c r="B89" s="7"/>
    </row>
    <row r="90" spans="1:2" x14ac:dyDescent="0.2">
      <c r="A90" s="70"/>
      <c r="B90" s="7"/>
    </row>
    <row r="91" spans="1:2" x14ac:dyDescent="0.2">
      <c r="A91" s="70"/>
      <c r="B91" s="7"/>
    </row>
    <row r="92" spans="1:2" x14ac:dyDescent="0.2">
      <c r="A92" s="70"/>
      <c r="B92" s="7"/>
    </row>
    <row r="93" spans="1:2" x14ac:dyDescent="0.2">
      <c r="A93" s="70"/>
      <c r="B93" s="7"/>
    </row>
    <row r="94" spans="1:2" x14ac:dyDescent="0.2">
      <c r="A94" s="70"/>
      <c r="B94" s="7"/>
    </row>
    <row r="95" spans="1:2" x14ac:dyDescent="0.2">
      <c r="A95" s="70"/>
      <c r="B95" s="7"/>
    </row>
    <row r="96" spans="1:2" x14ac:dyDescent="0.2">
      <c r="A96" s="70"/>
      <c r="B96" s="7"/>
    </row>
    <row r="97" spans="1:2" x14ac:dyDescent="0.2">
      <c r="A97" s="70"/>
      <c r="B97" s="7"/>
    </row>
    <row r="98" spans="1:2" x14ac:dyDescent="0.2">
      <c r="A98" s="70"/>
      <c r="B98" s="7"/>
    </row>
    <row r="99" spans="1:2" x14ac:dyDescent="0.2">
      <c r="A99" s="70"/>
      <c r="B99" s="7"/>
    </row>
    <row r="100" spans="1:2" x14ac:dyDescent="0.2">
      <c r="A100" s="70"/>
      <c r="B100" s="7"/>
    </row>
    <row r="101" spans="1:2" x14ac:dyDescent="0.2">
      <c r="A101" s="70"/>
      <c r="B101" s="7"/>
    </row>
    <row r="102" spans="1:2" x14ac:dyDescent="0.2">
      <c r="A102" s="70"/>
      <c r="B102" s="7"/>
    </row>
    <row r="103" spans="1:2" x14ac:dyDescent="0.2">
      <c r="A103" s="70"/>
      <c r="B103" s="7"/>
    </row>
    <row r="104" spans="1:2" x14ac:dyDescent="0.2">
      <c r="A104" s="70"/>
      <c r="B104" s="7"/>
    </row>
    <row r="105" spans="1:2" x14ac:dyDescent="0.2">
      <c r="A105" s="70"/>
      <c r="B105" s="7"/>
    </row>
    <row r="106" spans="1:2" x14ac:dyDescent="0.2">
      <c r="A106" s="70"/>
      <c r="B106" s="7"/>
    </row>
    <row r="107" spans="1:2" x14ac:dyDescent="0.2">
      <c r="A107" s="70"/>
      <c r="B107" s="7"/>
    </row>
    <row r="108" spans="1:2" x14ac:dyDescent="0.2">
      <c r="A108" s="70"/>
      <c r="B108" s="7"/>
    </row>
    <row r="109" spans="1:2" x14ac:dyDescent="0.2">
      <c r="A109" s="70"/>
      <c r="B109" s="7"/>
    </row>
    <row r="110" spans="1:2" x14ac:dyDescent="0.2">
      <c r="A110" s="70"/>
      <c r="B110" s="7"/>
    </row>
    <row r="111" spans="1:2" x14ac:dyDescent="0.2">
      <c r="A111" s="70"/>
      <c r="B111" s="7"/>
    </row>
    <row r="112" spans="1:2" x14ac:dyDescent="0.2">
      <c r="A112" s="70"/>
      <c r="B112" s="7"/>
    </row>
    <row r="113" spans="1:2" x14ac:dyDescent="0.2">
      <c r="A113" s="70"/>
      <c r="B113" s="7"/>
    </row>
    <row r="114" spans="1:2" x14ac:dyDescent="0.2">
      <c r="A114" s="70"/>
      <c r="B114" s="7"/>
    </row>
    <row r="115" spans="1:2" x14ac:dyDescent="0.2">
      <c r="A115" s="70"/>
      <c r="B115" s="7"/>
    </row>
    <row r="116" spans="1:2" x14ac:dyDescent="0.2">
      <c r="A116" s="70"/>
      <c r="B116" s="7"/>
    </row>
    <row r="117" spans="1:2" x14ac:dyDescent="0.2">
      <c r="A117" s="70"/>
      <c r="B117" s="7"/>
    </row>
    <row r="118" spans="1:2" x14ac:dyDescent="0.2">
      <c r="A118" s="70"/>
      <c r="B118" s="7"/>
    </row>
    <row r="119" spans="1:2" x14ac:dyDescent="0.2">
      <c r="A119" s="70"/>
      <c r="B119" s="7"/>
    </row>
    <row r="120" spans="1:2" x14ac:dyDescent="0.2">
      <c r="A120" s="70"/>
      <c r="B120" s="7"/>
    </row>
    <row r="121" spans="1:2" x14ac:dyDescent="0.2">
      <c r="A121" s="70"/>
      <c r="B121" s="7"/>
    </row>
    <row r="122" spans="1:2" x14ac:dyDescent="0.2">
      <c r="A122" s="70"/>
      <c r="B122" s="7"/>
    </row>
    <row r="123" spans="1:2" x14ac:dyDescent="0.2">
      <c r="A123" s="70"/>
      <c r="B123" s="7"/>
    </row>
    <row r="124" spans="1:2" x14ac:dyDescent="0.2">
      <c r="A124" s="70"/>
      <c r="B124" s="7"/>
    </row>
    <row r="125" spans="1:2" x14ac:dyDescent="0.2">
      <c r="A125" s="70"/>
      <c r="B125" s="7"/>
    </row>
    <row r="126" spans="1:2" x14ac:dyDescent="0.2">
      <c r="A126" s="70"/>
      <c r="B126" s="7"/>
    </row>
    <row r="127" spans="1:2" x14ac:dyDescent="0.2">
      <c r="A127" s="70"/>
      <c r="B127" s="7"/>
    </row>
    <row r="128" spans="1:2" x14ac:dyDescent="0.2">
      <c r="A128" s="70"/>
      <c r="B128" s="7"/>
    </row>
    <row r="129" spans="1:2" x14ac:dyDescent="0.2">
      <c r="A129" s="70"/>
      <c r="B129" s="7"/>
    </row>
    <row r="130" spans="1:2" x14ac:dyDescent="0.2">
      <c r="A130" s="70"/>
      <c r="B130" s="7"/>
    </row>
    <row r="131" spans="1:2" x14ac:dyDescent="0.2">
      <c r="A131" s="70"/>
      <c r="B131" s="7"/>
    </row>
    <row r="132" spans="1:2" x14ac:dyDescent="0.2">
      <c r="A132" s="70"/>
      <c r="B132" s="7"/>
    </row>
    <row r="133" spans="1:2" x14ac:dyDescent="0.2">
      <c r="A133" s="70"/>
      <c r="B133" s="7"/>
    </row>
    <row r="134" spans="1:2" x14ac:dyDescent="0.2">
      <c r="A134" s="70"/>
      <c r="B134" s="7"/>
    </row>
    <row r="135" spans="1:2" x14ac:dyDescent="0.2">
      <c r="A135" s="70"/>
      <c r="B135" s="7"/>
    </row>
    <row r="136" spans="1:2" x14ac:dyDescent="0.2">
      <c r="A136" s="70"/>
      <c r="B136" s="7"/>
    </row>
    <row r="137" spans="1:2" x14ac:dyDescent="0.2">
      <c r="A137" s="70"/>
      <c r="B137" s="7"/>
    </row>
    <row r="138" spans="1:2" x14ac:dyDescent="0.2">
      <c r="A138" s="70"/>
      <c r="B138" s="7"/>
    </row>
    <row r="139" spans="1:2" x14ac:dyDescent="0.2">
      <c r="A139" s="70"/>
      <c r="B139" s="7"/>
    </row>
    <row r="140" spans="1:2" x14ac:dyDescent="0.2">
      <c r="A140" s="70"/>
      <c r="B140" s="7"/>
    </row>
    <row r="141" spans="1:2" x14ac:dyDescent="0.2">
      <c r="A141" s="70"/>
      <c r="B141" s="7"/>
    </row>
    <row r="142" spans="1:2" x14ac:dyDescent="0.2">
      <c r="A142" s="70"/>
      <c r="B142" s="7"/>
    </row>
    <row r="143" spans="1:2" x14ac:dyDescent="0.2">
      <c r="A143" s="70"/>
      <c r="B143" s="7"/>
    </row>
    <row r="144" spans="1:2" x14ac:dyDescent="0.2">
      <c r="A144" s="70"/>
      <c r="B144" s="7"/>
    </row>
    <row r="145" spans="1:2" x14ac:dyDescent="0.2">
      <c r="A145" s="70"/>
      <c r="B145" s="7"/>
    </row>
    <row r="146" spans="1:2" x14ac:dyDescent="0.2">
      <c r="A146" s="70"/>
      <c r="B146" s="7"/>
    </row>
    <row r="147" spans="1:2" x14ac:dyDescent="0.2">
      <c r="A147" s="70"/>
      <c r="B147" s="7"/>
    </row>
    <row r="148" spans="1:2" x14ac:dyDescent="0.2">
      <c r="A148" s="70"/>
      <c r="B148" s="7"/>
    </row>
    <row r="149" spans="1:2" x14ac:dyDescent="0.2">
      <c r="A149" s="70"/>
      <c r="B149" s="7"/>
    </row>
    <row r="150" spans="1:2" x14ac:dyDescent="0.2">
      <c r="A150" s="70"/>
      <c r="B150" s="7"/>
    </row>
    <row r="151" spans="1:2" x14ac:dyDescent="0.2">
      <c r="A151" s="70"/>
      <c r="B151" s="7"/>
    </row>
    <row r="152" spans="1:2" x14ac:dyDescent="0.2">
      <c r="A152" s="70"/>
      <c r="B152" s="7"/>
    </row>
    <row r="153" spans="1:2" x14ac:dyDescent="0.2">
      <c r="A153" s="70"/>
      <c r="B153" s="7"/>
    </row>
    <row r="154" spans="1:2" x14ac:dyDescent="0.2">
      <c r="A154" s="70"/>
      <c r="B154" s="7"/>
    </row>
    <row r="155" spans="1:2" x14ac:dyDescent="0.2">
      <c r="A155" s="70"/>
      <c r="B155" s="7"/>
    </row>
    <row r="156" spans="1:2" x14ac:dyDescent="0.2">
      <c r="A156" s="70"/>
      <c r="B156" s="7"/>
    </row>
    <row r="157" spans="1:2" x14ac:dyDescent="0.2">
      <c r="A157" s="70"/>
      <c r="B157" s="7"/>
    </row>
    <row r="158" spans="1:2" x14ac:dyDescent="0.2">
      <c r="A158" s="70"/>
      <c r="B158" s="7"/>
    </row>
    <row r="159" spans="1:2" x14ac:dyDescent="0.2">
      <c r="A159" s="70"/>
      <c r="B159" s="7"/>
    </row>
    <row r="160" spans="1:2" x14ac:dyDescent="0.2">
      <c r="A160" s="70"/>
      <c r="B160" s="7"/>
    </row>
    <row r="161" spans="1:2" x14ac:dyDescent="0.2">
      <c r="A161" s="70"/>
      <c r="B161" s="7"/>
    </row>
    <row r="162" spans="1:2" x14ac:dyDescent="0.2">
      <c r="A162" s="70"/>
      <c r="B162" s="7"/>
    </row>
    <row r="163" spans="1:2" x14ac:dyDescent="0.2">
      <c r="A163" s="70"/>
      <c r="B163" s="7"/>
    </row>
    <row r="164" spans="1:2" x14ac:dyDescent="0.2">
      <c r="A164" s="70"/>
      <c r="B164" s="7"/>
    </row>
    <row r="165" spans="1:2" x14ac:dyDescent="0.2">
      <c r="A165" s="70"/>
      <c r="B165" s="7"/>
    </row>
    <row r="166" spans="1:2" x14ac:dyDescent="0.2">
      <c r="A166" s="70"/>
      <c r="B166" s="7"/>
    </row>
    <row r="167" spans="1:2" x14ac:dyDescent="0.2">
      <c r="A167" s="70"/>
      <c r="B167" s="7"/>
    </row>
    <row r="168" spans="1:2" x14ac:dyDescent="0.2">
      <c r="A168" s="70"/>
      <c r="B168" s="7"/>
    </row>
    <row r="169" spans="1:2" x14ac:dyDescent="0.2">
      <c r="A169" s="70"/>
      <c r="B169" s="7"/>
    </row>
    <row r="170" spans="1:2" x14ac:dyDescent="0.2">
      <c r="A170" s="70"/>
      <c r="B170" s="7"/>
    </row>
    <row r="171" spans="1:2" x14ac:dyDescent="0.2">
      <c r="A171" s="70"/>
      <c r="B171" s="7"/>
    </row>
    <row r="172" spans="1:2" x14ac:dyDescent="0.2">
      <c r="A172" s="70"/>
      <c r="B172" s="7"/>
    </row>
    <row r="173" spans="1:2" x14ac:dyDescent="0.2">
      <c r="A173" s="70"/>
      <c r="B173" s="7"/>
    </row>
    <row r="174" spans="1:2" x14ac:dyDescent="0.2">
      <c r="A174" s="70"/>
      <c r="B174" s="7"/>
    </row>
    <row r="175" spans="1:2" x14ac:dyDescent="0.2">
      <c r="A175" s="70"/>
      <c r="B175" s="7"/>
    </row>
    <row r="176" spans="1:2" x14ac:dyDescent="0.2">
      <c r="A176" s="70"/>
      <c r="B176" s="7"/>
    </row>
  </sheetData>
  <mergeCells count="7">
    <mergeCell ref="A8:H8"/>
    <mergeCell ref="A1:H1"/>
    <mergeCell ref="A2:H2"/>
    <mergeCell ref="A3:H3"/>
    <mergeCell ref="A4:H4"/>
    <mergeCell ref="A6:H6"/>
    <mergeCell ref="A7:H7"/>
  </mergeCells>
  <pageMargins left="0.39" right="0.21" top="1" bottom="1" header="0.5" footer="0.5"/>
  <pageSetup scale="9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A99C8-E35B-4B89-8C95-17C119EC6386}">
  <dimension ref="A1:H46"/>
  <sheetViews>
    <sheetView view="pageBreakPreview" topLeftCell="A3" zoomScaleNormal="100" zoomScaleSheetLayoutView="100" workbookViewId="0">
      <selection activeCell="A31" sqref="A31"/>
    </sheetView>
  </sheetViews>
  <sheetFormatPr defaultRowHeight="12.75" x14ac:dyDescent="0.2"/>
  <cols>
    <col min="2" max="2" width="15.140625" customWidth="1"/>
    <col min="3" max="3" width="3.7109375" customWidth="1"/>
    <col min="5" max="5" width="20.140625" customWidth="1"/>
    <col min="6" max="6" width="3.5703125" customWidth="1"/>
    <col min="8" max="8" width="19.5703125" customWidth="1"/>
  </cols>
  <sheetData>
    <row r="1" spans="1:8" x14ac:dyDescent="0.2">
      <c r="A1" s="28" t="s">
        <v>177</v>
      </c>
      <c r="B1" s="29" t="s">
        <v>178</v>
      </c>
      <c r="C1" s="30"/>
      <c r="D1" s="31" t="s">
        <v>179</v>
      </c>
      <c r="E1" s="32" t="s">
        <v>180</v>
      </c>
      <c r="F1" s="30"/>
      <c r="G1" s="31" t="s">
        <v>181</v>
      </c>
      <c r="H1" s="32" t="s">
        <v>182</v>
      </c>
    </row>
    <row r="2" spans="1:8" x14ac:dyDescent="0.2">
      <c r="A2" s="31" t="s">
        <v>183</v>
      </c>
      <c r="B2" s="32" t="s">
        <v>184</v>
      </c>
      <c r="C2" s="30"/>
      <c r="D2" s="31" t="s">
        <v>185</v>
      </c>
      <c r="E2" s="32" t="s">
        <v>186</v>
      </c>
      <c r="F2" s="30"/>
      <c r="G2" s="31" t="s">
        <v>187</v>
      </c>
      <c r="H2" s="32" t="s">
        <v>188</v>
      </c>
    </row>
    <row r="3" spans="1:8" x14ac:dyDescent="0.2">
      <c r="A3" s="31" t="s">
        <v>189</v>
      </c>
      <c r="B3" s="32" t="s">
        <v>190</v>
      </c>
      <c r="C3" s="30"/>
      <c r="D3" s="31" t="s">
        <v>191</v>
      </c>
      <c r="E3" s="32" t="s">
        <v>192</v>
      </c>
      <c r="F3" s="30"/>
      <c r="G3" s="31" t="s">
        <v>193</v>
      </c>
      <c r="H3" s="32" t="s">
        <v>194</v>
      </c>
    </row>
    <row r="4" spans="1:8" x14ac:dyDescent="0.2">
      <c r="A4" s="31" t="s">
        <v>195</v>
      </c>
      <c r="B4" s="32" t="s">
        <v>196</v>
      </c>
      <c r="C4" s="30"/>
      <c r="D4" s="31" t="s">
        <v>197</v>
      </c>
      <c r="E4" s="32" t="s">
        <v>198</v>
      </c>
      <c r="F4" s="30"/>
      <c r="G4" s="31" t="s">
        <v>199</v>
      </c>
      <c r="H4" s="32" t="s">
        <v>200</v>
      </c>
    </row>
    <row r="5" spans="1:8" x14ac:dyDescent="0.2">
      <c r="A5" s="31" t="s">
        <v>201</v>
      </c>
      <c r="B5" s="32" t="s">
        <v>202</v>
      </c>
      <c r="C5" s="30"/>
      <c r="D5" s="31" t="s">
        <v>203</v>
      </c>
      <c r="E5" s="32" t="s">
        <v>204</v>
      </c>
      <c r="F5" s="30"/>
      <c r="G5" s="31" t="s">
        <v>205</v>
      </c>
      <c r="H5" s="32" t="s">
        <v>206</v>
      </c>
    </row>
    <row r="6" spans="1:8" x14ac:dyDescent="0.2">
      <c r="A6" s="31" t="s">
        <v>207</v>
      </c>
      <c r="B6" s="32" t="s">
        <v>208</v>
      </c>
      <c r="C6" s="30"/>
      <c r="D6" s="31" t="s">
        <v>209</v>
      </c>
      <c r="E6" s="32" t="s">
        <v>210</v>
      </c>
      <c r="F6" s="30"/>
      <c r="G6" s="31" t="s">
        <v>211</v>
      </c>
      <c r="H6" s="32" t="s">
        <v>212</v>
      </c>
    </row>
    <row r="7" spans="1:8" x14ac:dyDescent="0.2">
      <c r="A7" s="31" t="s">
        <v>213</v>
      </c>
      <c r="B7" s="32" t="s">
        <v>214</v>
      </c>
      <c r="C7" s="30"/>
      <c r="D7" s="31" t="s">
        <v>215</v>
      </c>
      <c r="E7" s="32" t="s">
        <v>216</v>
      </c>
      <c r="F7" s="30"/>
      <c r="G7" s="31" t="s">
        <v>217</v>
      </c>
      <c r="H7" s="32" t="s">
        <v>218</v>
      </c>
    </row>
    <row r="8" spans="1:8" x14ac:dyDescent="0.2">
      <c r="A8" s="31" t="s">
        <v>219</v>
      </c>
      <c r="B8" s="32" t="s">
        <v>220</v>
      </c>
      <c r="C8" s="30"/>
      <c r="D8" s="31" t="s">
        <v>221</v>
      </c>
      <c r="E8" s="32" t="s">
        <v>222</v>
      </c>
      <c r="F8" s="30"/>
      <c r="G8" s="31" t="s">
        <v>223</v>
      </c>
      <c r="H8" s="32" t="s">
        <v>224</v>
      </c>
    </row>
    <row r="9" spans="1:8" x14ac:dyDescent="0.2">
      <c r="A9" s="31" t="s">
        <v>225</v>
      </c>
      <c r="B9" s="32" t="s">
        <v>226</v>
      </c>
      <c r="C9" s="30"/>
      <c r="D9" s="31" t="s">
        <v>227</v>
      </c>
      <c r="E9" s="32" t="s">
        <v>228</v>
      </c>
      <c r="F9" s="30"/>
      <c r="G9" s="31" t="s">
        <v>229</v>
      </c>
      <c r="H9" s="32" t="s">
        <v>230</v>
      </c>
    </row>
    <row r="10" spans="1:8" x14ac:dyDescent="0.2">
      <c r="A10" s="31" t="s">
        <v>231</v>
      </c>
      <c r="B10" s="32" t="s">
        <v>232</v>
      </c>
      <c r="C10" s="30"/>
      <c r="D10" s="31" t="s">
        <v>233</v>
      </c>
      <c r="E10" s="32" t="s">
        <v>234</v>
      </c>
      <c r="F10" s="30"/>
      <c r="G10" s="31" t="s">
        <v>235</v>
      </c>
      <c r="H10" s="32" t="s">
        <v>236</v>
      </c>
    </row>
    <row r="11" spans="1:8" x14ac:dyDescent="0.2">
      <c r="A11" s="31" t="s">
        <v>237</v>
      </c>
      <c r="B11" s="32" t="s">
        <v>238</v>
      </c>
      <c r="C11" s="30"/>
      <c r="D11" s="31" t="s">
        <v>239</v>
      </c>
      <c r="E11" s="32" t="s">
        <v>240</v>
      </c>
      <c r="F11" s="30"/>
      <c r="G11" s="31" t="s">
        <v>241</v>
      </c>
      <c r="H11" s="32" t="s">
        <v>242</v>
      </c>
    </row>
    <row r="12" spans="1:8" x14ac:dyDescent="0.2">
      <c r="A12" s="31" t="s">
        <v>243</v>
      </c>
      <c r="B12" s="32" t="s">
        <v>244</v>
      </c>
      <c r="C12" s="30"/>
      <c r="D12" s="31" t="s">
        <v>245</v>
      </c>
      <c r="E12" s="32" t="s">
        <v>246</v>
      </c>
      <c r="F12" s="30"/>
      <c r="G12" s="31" t="s">
        <v>247</v>
      </c>
      <c r="H12" s="32" t="s">
        <v>248</v>
      </c>
    </row>
    <row r="13" spans="1:8" x14ac:dyDescent="0.2">
      <c r="A13" s="31" t="s">
        <v>249</v>
      </c>
      <c r="B13" s="32" t="s">
        <v>250</v>
      </c>
      <c r="C13" s="30"/>
      <c r="D13" s="31" t="s">
        <v>251</v>
      </c>
      <c r="E13" s="32" t="s">
        <v>252</v>
      </c>
      <c r="F13" s="30"/>
      <c r="G13" s="31" t="s">
        <v>253</v>
      </c>
      <c r="H13" s="32" t="s">
        <v>254</v>
      </c>
    </row>
    <row r="14" spans="1:8" x14ac:dyDescent="0.2">
      <c r="A14" s="31" t="s">
        <v>255</v>
      </c>
      <c r="B14" s="32" t="s">
        <v>256</v>
      </c>
      <c r="C14" s="30"/>
      <c r="D14" s="31" t="s">
        <v>257</v>
      </c>
      <c r="E14" s="32" t="s">
        <v>258</v>
      </c>
      <c r="F14" s="30"/>
      <c r="G14" s="31" t="s">
        <v>259</v>
      </c>
      <c r="H14" s="32" t="s">
        <v>260</v>
      </c>
    </row>
    <row r="15" spans="1:8" x14ac:dyDescent="0.2">
      <c r="A15" s="31" t="s">
        <v>261</v>
      </c>
      <c r="B15" s="32" t="s">
        <v>262</v>
      </c>
      <c r="C15" s="30"/>
      <c r="D15" s="31" t="s">
        <v>263</v>
      </c>
      <c r="E15" s="32" t="s">
        <v>264</v>
      </c>
      <c r="F15" s="30"/>
      <c r="G15" s="31" t="s">
        <v>265</v>
      </c>
      <c r="H15" s="32" t="s">
        <v>266</v>
      </c>
    </row>
    <row r="16" spans="1:8" x14ac:dyDescent="0.2">
      <c r="A16" s="31" t="s">
        <v>267</v>
      </c>
      <c r="B16" s="32" t="s">
        <v>268</v>
      </c>
      <c r="C16" s="30"/>
      <c r="D16" s="28" t="s">
        <v>66</v>
      </c>
      <c r="E16" s="29" t="s">
        <v>269</v>
      </c>
      <c r="F16" s="30"/>
      <c r="G16" s="28" t="s">
        <v>270</v>
      </c>
      <c r="H16" s="29" t="s">
        <v>271</v>
      </c>
    </row>
    <row r="17" spans="1:8" x14ac:dyDescent="0.2">
      <c r="A17" s="31" t="s">
        <v>272</v>
      </c>
      <c r="B17" s="32" t="s">
        <v>273</v>
      </c>
      <c r="C17" s="30"/>
      <c r="D17" s="31" t="s">
        <v>274</v>
      </c>
      <c r="E17" s="32" t="s">
        <v>275</v>
      </c>
      <c r="F17" s="30"/>
      <c r="G17" s="31" t="s">
        <v>276</v>
      </c>
      <c r="H17" s="32" t="s">
        <v>277</v>
      </c>
    </row>
    <row r="18" spans="1:8" x14ac:dyDescent="0.2">
      <c r="A18" s="31" t="s">
        <v>278</v>
      </c>
      <c r="B18" s="32" t="s">
        <v>279</v>
      </c>
      <c r="C18" s="30"/>
      <c r="D18" s="31" t="s">
        <v>280</v>
      </c>
      <c r="E18" s="32" t="s">
        <v>281</v>
      </c>
      <c r="F18" s="30"/>
      <c r="G18" s="31" t="s">
        <v>282</v>
      </c>
      <c r="H18" s="32" t="s">
        <v>283</v>
      </c>
    </row>
    <row r="19" spans="1:8" x14ac:dyDescent="0.2">
      <c r="A19" s="31" t="s">
        <v>284</v>
      </c>
      <c r="B19" s="32" t="s">
        <v>285</v>
      </c>
      <c r="C19" s="30"/>
      <c r="D19" s="31" t="s">
        <v>286</v>
      </c>
      <c r="E19" s="32" t="s">
        <v>287</v>
      </c>
      <c r="F19" s="30"/>
      <c r="G19" s="31" t="s">
        <v>288</v>
      </c>
      <c r="H19" s="32" t="s">
        <v>289</v>
      </c>
    </row>
    <row r="20" spans="1:8" x14ac:dyDescent="0.2">
      <c r="A20" s="31" t="s">
        <v>290</v>
      </c>
      <c r="B20" s="32" t="s">
        <v>291</v>
      </c>
      <c r="C20" s="30"/>
      <c r="D20" s="31" t="s">
        <v>292</v>
      </c>
      <c r="E20" s="32" t="s">
        <v>293</v>
      </c>
      <c r="F20" s="30"/>
      <c r="G20" s="31" t="s">
        <v>294</v>
      </c>
      <c r="H20" s="32" t="s">
        <v>295</v>
      </c>
    </row>
    <row r="21" spans="1:8" x14ac:dyDescent="0.2">
      <c r="A21" s="31" t="s">
        <v>296</v>
      </c>
      <c r="B21" s="32" t="s">
        <v>297</v>
      </c>
      <c r="C21" s="30"/>
      <c r="D21" s="31" t="s">
        <v>298</v>
      </c>
      <c r="E21" s="32" t="s">
        <v>299</v>
      </c>
      <c r="F21" s="30"/>
      <c r="G21" s="31" t="s">
        <v>300</v>
      </c>
      <c r="H21" s="32" t="s">
        <v>301</v>
      </c>
    </row>
    <row r="22" spans="1:8" x14ac:dyDescent="0.2">
      <c r="A22" s="31" t="s">
        <v>302</v>
      </c>
      <c r="B22" s="32" t="s">
        <v>303</v>
      </c>
      <c r="C22" s="30"/>
      <c r="D22" s="31" t="s">
        <v>304</v>
      </c>
      <c r="E22" s="32" t="s">
        <v>305</v>
      </c>
      <c r="F22" s="30"/>
      <c r="G22" s="31" t="s">
        <v>306</v>
      </c>
      <c r="H22" s="32" t="s">
        <v>307</v>
      </c>
    </row>
    <row r="23" spans="1:8" x14ac:dyDescent="0.2">
      <c r="A23" s="31" t="s">
        <v>308</v>
      </c>
      <c r="B23" s="32" t="s">
        <v>309</v>
      </c>
      <c r="C23" s="30"/>
      <c r="D23" s="31" t="s">
        <v>310</v>
      </c>
      <c r="E23" s="32" t="s">
        <v>311</v>
      </c>
      <c r="F23" s="30"/>
      <c r="G23" s="31" t="s">
        <v>312</v>
      </c>
      <c r="H23" s="32" t="s">
        <v>313</v>
      </c>
    </row>
    <row r="24" spans="1:8" x14ac:dyDescent="0.2">
      <c r="A24" s="31" t="s">
        <v>314</v>
      </c>
      <c r="B24" s="32" t="s">
        <v>315</v>
      </c>
      <c r="C24" s="30"/>
      <c r="D24" s="31" t="s">
        <v>316</v>
      </c>
      <c r="E24" s="32" t="s">
        <v>317</v>
      </c>
      <c r="F24" s="30"/>
      <c r="G24" s="31" t="s">
        <v>318</v>
      </c>
      <c r="H24" s="32" t="s">
        <v>319</v>
      </c>
    </row>
    <row r="25" spans="1:8" x14ac:dyDescent="0.2">
      <c r="A25" s="31" t="s">
        <v>320</v>
      </c>
      <c r="B25" s="32" t="s">
        <v>321</v>
      </c>
      <c r="C25" s="30"/>
      <c r="D25" s="31" t="s">
        <v>322</v>
      </c>
      <c r="E25" s="32" t="s">
        <v>323</v>
      </c>
      <c r="F25" s="30"/>
      <c r="G25" s="31" t="s">
        <v>324</v>
      </c>
      <c r="H25" s="32" t="s">
        <v>325</v>
      </c>
    </row>
    <row r="26" spans="1:8" x14ac:dyDescent="0.2">
      <c r="A26" s="31" t="s">
        <v>326</v>
      </c>
      <c r="B26" s="32" t="s">
        <v>327</v>
      </c>
      <c r="C26" s="30"/>
      <c r="D26" s="31" t="s">
        <v>328</v>
      </c>
      <c r="E26" s="32" t="s">
        <v>329</v>
      </c>
      <c r="F26" s="30"/>
      <c r="G26" s="31" t="s">
        <v>330</v>
      </c>
      <c r="H26" s="32" t="s">
        <v>331</v>
      </c>
    </row>
    <row r="27" spans="1:8" x14ac:dyDescent="0.2">
      <c r="A27" s="31" t="s">
        <v>332</v>
      </c>
      <c r="B27" s="32" t="s">
        <v>333</v>
      </c>
      <c r="C27" s="30"/>
      <c r="D27" s="31" t="s">
        <v>334</v>
      </c>
      <c r="E27" s="32" t="s">
        <v>335</v>
      </c>
      <c r="F27" s="30"/>
      <c r="G27" s="31" t="s">
        <v>336</v>
      </c>
      <c r="H27" s="32" t="s">
        <v>337</v>
      </c>
    </row>
    <row r="28" spans="1:8" x14ac:dyDescent="0.2">
      <c r="A28" s="31" t="s">
        <v>338</v>
      </c>
      <c r="B28" s="32" t="s">
        <v>339</v>
      </c>
      <c r="C28" s="30"/>
      <c r="D28" s="31" t="s">
        <v>340</v>
      </c>
      <c r="E28" s="32" t="s">
        <v>341</v>
      </c>
      <c r="F28" s="30"/>
      <c r="G28" s="31" t="s">
        <v>342</v>
      </c>
      <c r="H28" s="32" t="s">
        <v>343</v>
      </c>
    </row>
    <row r="29" spans="1:8" x14ac:dyDescent="0.2">
      <c r="A29" s="31" t="s">
        <v>344</v>
      </c>
      <c r="B29" s="32" t="s">
        <v>345</v>
      </c>
      <c r="C29" s="30"/>
      <c r="D29" s="28" t="s">
        <v>346</v>
      </c>
      <c r="E29" s="29" t="s">
        <v>347</v>
      </c>
      <c r="F29" s="30"/>
      <c r="G29" s="31" t="s">
        <v>348</v>
      </c>
      <c r="H29" s="32" t="s">
        <v>349</v>
      </c>
    </row>
    <row r="30" spans="1:8" x14ac:dyDescent="0.2">
      <c r="A30" s="31" t="s">
        <v>350</v>
      </c>
      <c r="B30" s="32" t="s">
        <v>351</v>
      </c>
      <c r="C30" s="30"/>
      <c r="D30" s="31" t="s">
        <v>352</v>
      </c>
      <c r="E30" s="32" t="s">
        <v>353</v>
      </c>
      <c r="F30" s="30"/>
      <c r="G30" s="31" t="s">
        <v>354</v>
      </c>
      <c r="H30" s="32" t="s">
        <v>355</v>
      </c>
    </row>
    <row r="31" spans="1:8" x14ac:dyDescent="0.2">
      <c r="A31" s="31" t="s">
        <v>356</v>
      </c>
      <c r="B31" s="32" t="s">
        <v>357</v>
      </c>
      <c r="C31" s="30"/>
      <c r="D31" s="28" t="s">
        <v>358</v>
      </c>
      <c r="E31" s="29" t="s">
        <v>359</v>
      </c>
      <c r="F31" s="30"/>
      <c r="G31" s="28" t="s">
        <v>360</v>
      </c>
      <c r="H31" s="29" t="s">
        <v>361</v>
      </c>
    </row>
    <row r="32" spans="1:8" x14ac:dyDescent="0.2">
      <c r="A32" s="31" t="s">
        <v>362</v>
      </c>
      <c r="B32" s="32" t="s">
        <v>363</v>
      </c>
      <c r="C32" s="30"/>
      <c r="D32" s="28" t="s">
        <v>364</v>
      </c>
      <c r="E32" s="29" t="s">
        <v>365</v>
      </c>
      <c r="F32" s="30"/>
      <c r="G32" s="31" t="s">
        <v>366</v>
      </c>
      <c r="H32" s="32" t="s">
        <v>367</v>
      </c>
    </row>
    <row r="33" spans="1:8" x14ac:dyDescent="0.2">
      <c r="A33" s="28" t="s">
        <v>368</v>
      </c>
      <c r="B33" s="29" t="s">
        <v>369</v>
      </c>
      <c r="C33" s="30"/>
      <c r="D33" s="28" t="s">
        <v>370</v>
      </c>
      <c r="E33" s="29" t="s">
        <v>371</v>
      </c>
      <c r="F33" s="30"/>
      <c r="G33" s="31" t="s">
        <v>372</v>
      </c>
      <c r="H33" s="32" t="s">
        <v>373</v>
      </c>
    </row>
    <row r="34" spans="1:8" x14ac:dyDescent="0.2">
      <c r="A34" s="31" t="s">
        <v>374</v>
      </c>
      <c r="B34" s="32" t="s">
        <v>375</v>
      </c>
      <c r="C34" s="30"/>
      <c r="D34" s="28" t="s">
        <v>376</v>
      </c>
      <c r="E34" s="29" t="s">
        <v>377</v>
      </c>
      <c r="F34" s="30"/>
      <c r="G34" s="31" t="s">
        <v>378</v>
      </c>
      <c r="H34" s="32" t="s">
        <v>379</v>
      </c>
    </row>
    <row r="35" spans="1:8" x14ac:dyDescent="0.2">
      <c r="A35" s="31" t="s">
        <v>380</v>
      </c>
      <c r="B35" s="32" t="s">
        <v>381</v>
      </c>
      <c r="C35" s="30"/>
      <c r="D35" s="31" t="s">
        <v>382</v>
      </c>
      <c r="E35" s="32" t="s">
        <v>383</v>
      </c>
      <c r="F35" s="30"/>
      <c r="G35" s="28" t="s">
        <v>384</v>
      </c>
      <c r="H35" s="29" t="s">
        <v>385</v>
      </c>
    </row>
    <row r="36" spans="1:8" x14ac:dyDescent="0.2">
      <c r="A36" s="31" t="s">
        <v>386</v>
      </c>
      <c r="B36" s="32" t="s">
        <v>387</v>
      </c>
      <c r="C36" s="30"/>
      <c r="D36" s="31" t="s">
        <v>388</v>
      </c>
      <c r="E36" s="32" t="s">
        <v>389</v>
      </c>
      <c r="F36" s="30"/>
      <c r="G36" s="31" t="s">
        <v>390</v>
      </c>
      <c r="H36" s="32" t="s">
        <v>391</v>
      </c>
    </row>
    <row r="37" spans="1:8" x14ac:dyDescent="0.2">
      <c r="A37" s="31" t="s">
        <v>392</v>
      </c>
      <c r="B37" s="32" t="s">
        <v>393</v>
      </c>
      <c r="C37" s="30"/>
      <c r="D37" s="31" t="s">
        <v>394</v>
      </c>
      <c r="E37" s="32" t="s">
        <v>395</v>
      </c>
      <c r="F37" s="30"/>
      <c r="G37" s="31" t="s">
        <v>396</v>
      </c>
      <c r="H37" s="32" t="s">
        <v>397</v>
      </c>
    </row>
    <row r="38" spans="1:8" x14ac:dyDescent="0.2">
      <c r="A38" s="31" t="s">
        <v>398</v>
      </c>
      <c r="B38" s="32" t="s">
        <v>399</v>
      </c>
      <c r="C38" s="30"/>
      <c r="D38" s="31" t="s">
        <v>400</v>
      </c>
      <c r="E38" s="32" t="s">
        <v>401</v>
      </c>
      <c r="F38" s="30"/>
      <c r="G38" s="31" t="s">
        <v>402</v>
      </c>
      <c r="H38" s="32" t="s">
        <v>403</v>
      </c>
    </row>
    <row r="39" spans="1:8" x14ac:dyDescent="0.2">
      <c r="A39" s="28" t="s">
        <v>404</v>
      </c>
      <c r="B39" s="29" t="s">
        <v>405</v>
      </c>
      <c r="C39" s="30"/>
      <c r="D39" s="31" t="s">
        <v>406</v>
      </c>
      <c r="E39" s="32" t="s">
        <v>407</v>
      </c>
      <c r="F39" s="30"/>
      <c r="G39" s="31" t="s">
        <v>408</v>
      </c>
      <c r="H39" s="32" t="s">
        <v>409</v>
      </c>
    </row>
    <row r="40" spans="1:8" x14ac:dyDescent="0.2">
      <c r="A40" s="31" t="s">
        <v>410</v>
      </c>
      <c r="B40" s="32" t="s">
        <v>411</v>
      </c>
      <c r="C40" s="30"/>
      <c r="D40" s="31" t="s">
        <v>412</v>
      </c>
      <c r="E40" s="32" t="s">
        <v>413</v>
      </c>
      <c r="F40" s="30"/>
      <c r="G40" s="31" t="s">
        <v>414</v>
      </c>
      <c r="H40" s="32" t="s">
        <v>415</v>
      </c>
    </row>
    <row r="41" spans="1:8" x14ac:dyDescent="0.2">
      <c r="A41" s="31" t="s">
        <v>416</v>
      </c>
      <c r="B41" s="32" t="s">
        <v>417</v>
      </c>
      <c r="C41" s="30"/>
      <c r="D41" s="31" t="s">
        <v>418</v>
      </c>
      <c r="E41" s="32" t="s">
        <v>419</v>
      </c>
      <c r="F41" s="30"/>
      <c r="G41" s="28" t="s">
        <v>420</v>
      </c>
      <c r="H41" s="29" t="s">
        <v>421</v>
      </c>
    </row>
    <row r="42" spans="1:8" x14ac:dyDescent="0.2">
      <c r="A42" s="31" t="s">
        <v>422</v>
      </c>
      <c r="B42" s="32" t="s">
        <v>423</v>
      </c>
      <c r="C42" s="30"/>
      <c r="D42" s="28" t="s">
        <v>29</v>
      </c>
      <c r="E42" s="29" t="s">
        <v>424</v>
      </c>
      <c r="F42" s="30"/>
      <c r="G42" s="31" t="s">
        <v>425</v>
      </c>
      <c r="H42" s="32" t="s">
        <v>426</v>
      </c>
    </row>
    <row r="43" spans="1:8" x14ac:dyDescent="0.2">
      <c r="A43" s="31" t="s">
        <v>40</v>
      </c>
      <c r="B43" s="32" t="s">
        <v>427</v>
      </c>
      <c r="C43" s="30"/>
      <c r="D43" s="31" t="s">
        <v>428</v>
      </c>
      <c r="E43" s="32" t="s">
        <v>429</v>
      </c>
      <c r="F43" s="30"/>
      <c r="G43" s="31" t="s">
        <v>430</v>
      </c>
      <c r="H43" s="32" t="s">
        <v>431</v>
      </c>
    </row>
    <row r="44" spans="1:8" x14ac:dyDescent="0.2">
      <c r="A44" s="28" t="s">
        <v>432</v>
      </c>
      <c r="B44" s="29" t="s">
        <v>433</v>
      </c>
      <c r="C44" s="30"/>
      <c r="D44" s="31" t="s">
        <v>434</v>
      </c>
      <c r="E44" s="32" t="s">
        <v>435</v>
      </c>
      <c r="F44" s="30"/>
      <c r="G44" s="28" t="s">
        <v>436</v>
      </c>
      <c r="H44" s="29" t="s">
        <v>437</v>
      </c>
    </row>
    <row r="45" spans="1:8" x14ac:dyDescent="0.2">
      <c r="A45" s="31" t="s">
        <v>438</v>
      </c>
      <c r="B45" s="32" t="s">
        <v>439</v>
      </c>
      <c r="C45" s="30"/>
      <c r="D45" s="31" t="s">
        <v>440</v>
      </c>
      <c r="E45" s="32" t="s">
        <v>441</v>
      </c>
      <c r="F45" s="30"/>
      <c r="G45" s="31" t="s">
        <v>442</v>
      </c>
      <c r="H45" s="32" t="s">
        <v>443</v>
      </c>
    </row>
    <row r="46" spans="1:8" ht="15" x14ac:dyDescent="0.25">
      <c r="A46" s="31" t="s">
        <v>444</v>
      </c>
      <c r="B46" s="32" t="s">
        <v>445</v>
      </c>
      <c r="C46" s="33"/>
      <c r="D46" s="31" t="s">
        <v>446</v>
      </c>
      <c r="E46" s="32" t="s">
        <v>447</v>
      </c>
      <c r="F46" s="33"/>
      <c r="G46" s="28" t="s">
        <v>448</v>
      </c>
      <c r="H46" s="29" t="s">
        <v>449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LINS_x002f_GE xmlns="b819695d-641f-41e4-8e31-56bd705a297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5FCB6898E955409F6A573D256AA058" ma:contentTypeVersion="5" ma:contentTypeDescription="Create a new document." ma:contentTypeScope="" ma:versionID="1ef72556201b0e99ed59b030e60eb0c6">
  <xsd:schema xmlns:xsd="http://www.w3.org/2001/XMLSchema" xmlns:xs="http://www.w3.org/2001/XMLSchema" xmlns:p="http://schemas.microsoft.com/office/2006/metadata/properties" xmlns:ns2="b819695d-641f-41e4-8e31-56bd705a297e" targetNamespace="http://schemas.microsoft.com/office/2006/metadata/properties" ma:root="true" ma:fieldsID="68b658cfbed18b46b60e9920b04632d7" ns2:_="">
    <xsd:import namespace="b819695d-641f-41e4-8e31-56bd705a29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ELINS_x002f_G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19695d-641f-41e4-8e31-56bd705a29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ELINS_x002f_GE" ma:index="12" nillable="true" ma:displayName="ELINS/GE" ma:description="Still working" ma:format="Dropdown" ma:internalName="ELINS_x002f_GE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920D24D-A8DB-4280-9C4C-B3F0E446966A}">
  <ds:schemaRefs>
    <ds:schemaRef ds:uri="b819695d-641f-41e4-8e31-56bd705a297e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616560B7-A7C5-483F-90A0-3E737CBAD44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B31D9DF-A3E3-4E95-8DE8-1A96BC4798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19695d-641f-41e4-8e31-56bd705a29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8</vt:i4>
      </vt:variant>
    </vt:vector>
  </HeadingPairs>
  <TitlesOfParts>
    <vt:vector size="20" baseType="lpstr">
      <vt:lpstr>Contract Total</vt:lpstr>
      <vt:lpstr>ELIN-Base Period-Recurring</vt:lpstr>
      <vt:lpstr>ELIN Base Period-Non Recurring</vt:lpstr>
      <vt:lpstr>ELIN-1st Opt Period-Recurring </vt:lpstr>
      <vt:lpstr>ELIN 1st Opt Non-Recurring</vt:lpstr>
      <vt:lpstr>ELIN- 2nd Opt Period-Recurring </vt:lpstr>
      <vt:lpstr>ELIN 2nd Opt Non-Recurring </vt:lpstr>
      <vt:lpstr>ELIN- 3rd Opt Period-Recurring</vt:lpstr>
      <vt:lpstr>ELIN 3rd Opt Non-Recurring </vt:lpstr>
      <vt:lpstr>ELIN- 4th Opt Period-Recurring</vt:lpstr>
      <vt:lpstr>ELIN 4th Opt Non-Recurring </vt:lpstr>
      <vt:lpstr>NAVFAC UOMs</vt:lpstr>
      <vt:lpstr>'Contract Total'!Print_Area</vt:lpstr>
      <vt:lpstr>'ELIN-1st Opt Period-Recurring '!Print_Area</vt:lpstr>
      <vt:lpstr>'ELIN-Base Period-Recurring'!Print_Area</vt:lpstr>
      <vt:lpstr>'ELIN- 2nd Opt Period-Recurring '!Print_Titles</vt:lpstr>
      <vt:lpstr>'ELIN- 3rd Opt Period-Recurring'!Print_Titles</vt:lpstr>
      <vt:lpstr>'ELIN- 4th Opt Period-Recurring'!Print_Titles</vt:lpstr>
      <vt:lpstr>'ELIN-1st Opt Period-Recurring '!Print_Titles</vt:lpstr>
      <vt:lpstr>'ELIN-Base Period-Recurring'!Print_Titles</vt:lpstr>
    </vt:vector>
  </TitlesOfParts>
  <Manager/>
  <Company>NAVFAC Southwest Division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DodgeOA</dc:creator>
  <cp:keywords/>
  <dc:description/>
  <cp:lastModifiedBy>Spaulding, Rebecca J CIV USN NAVFAC MIDLANT NOR (USA)</cp:lastModifiedBy>
  <cp:revision/>
  <dcterms:created xsi:type="dcterms:W3CDTF">2002-10-30T13:57:49Z</dcterms:created>
  <dcterms:modified xsi:type="dcterms:W3CDTF">2025-11-24T18:49:50Z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0x010100395FCB6898E955409F6A573D256AA058</vt:lpwstr>
  </property>
</Properties>
</file>