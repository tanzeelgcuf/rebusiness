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\\bilbcrd1fs\Departments\Supply Purchasing\1 - FY 2026\00. Purchase Requests\IHS1520283 MEDRAD PM\B - Solicitation\"/>
    </mc:Choice>
  </mc:AlternateContent>
  <xr:revisionPtr revIDLastSave="0" documentId="13_ncr:1_{C7E7627F-4FBC-4F37-89C7-888252320F8D}" xr6:coauthVersionLast="47" xr6:coauthVersionMax="47" xr10:uidLastSave="{00000000-0000-0000-0000-000000000000}"/>
  <bookViews>
    <workbookView xWindow="630" yWindow="1020" windowWidth="28125" windowHeight="11295" xr2:uid="{00000000-000D-0000-FFFF-FFFF00000000}"/>
  </bookViews>
  <sheets>
    <sheet name="Price Schedu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2" l="1"/>
  <c r="N9" i="2"/>
  <c r="N8" i="2"/>
  <c r="J9" i="2"/>
  <c r="J8" i="2"/>
  <c r="F9" i="2"/>
  <c r="F8" i="2"/>
  <c r="K10" i="2" l="1"/>
  <c r="G10" i="2"/>
  <c r="C10" i="2"/>
</calcChain>
</file>

<file path=xl/sharedStrings.xml><?xml version="1.0" encoding="utf-8"?>
<sst xmlns="http://schemas.openxmlformats.org/spreadsheetml/2006/main" count="33" uniqueCount="20">
  <si>
    <t>Quoter's SAM UEI:</t>
  </si>
  <si>
    <t>**Contractor Fill-In Blue Cells, Form Will Auto-Calculate**</t>
  </si>
  <si>
    <t>Contract Line Item Description</t>
  </si>
  <si>
    <t>BASE YEAR</t>
  </si>
  <si>
    <t>QTY</t>
  </si>
  <si>
    <t>UNIT</t>
  </si>
  <si>
    <t>UNIT PRICE</t>
  </si>
  <si>
    <t>TOTAL PRICE</t>
  </si>
  <si>
    <t>OPTION YEAR 1</t>
  </si>
  <si>
    <t>OPTION YEAR 2</t>
  </si>
  <si>
    <t>EA</t>
  </si>
  <si>
    <t>Contract Year Total Amount</t>
  </si>
  <si>
    <t>TOTAL CONTRACT VALUE</t>
  </si>
  <si>
    <t>RFQ #</t>
  </si>
  <si>
    <t>Quoter's Company Name:</t>
  </si>
  <si>
    <t>TITLE:</t>
  </si>
  <si>
    <t>Medrad Stellant D CT Injection System SERIAL NO. 204358</t>
  </si>
  <si>
    <t>Medrad Portegra2 Overhead Counterpoise System SERIAL NO. 0418/22951</t>
  </si>
  <si>
    <t>75H70926BAO-007-RFQ</t>
  </si>
  <si>
    <t>CSU - MEDRAD Injector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</si>
</sst>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Arial Nova Light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44" fontId="5" fillId="2" borderId="1" xfId="0" applyNumberFormat="1" applyFont="1" applyFill="1" applyBorder="1" applyAlignment="1">
      <alignment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 wrapText="1"/>
    </xf>
    <xf numFmtId="165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4" fontId="5" fillId="2" borderId="11" xfId="0" applyNumberFormat="1" applyFont="1" applyFill="1" applyBorder="1" applyAlignment="1">
      <alignment vertical="center"/>
    </xf>
    <xf numFmtId="164" fontId="5" fillId="0" borderId="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1" fillId="0" borderId="1" xfId="0" applyFont="1" applyBorder="1"/>
    <xf numFmtId="0" fontId="8" fillId="0" borderId="0" xfId="0" applyFont="1"/>
    <xf numFmtId="164" fontId="6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6" fillId="3" borderId="17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2C7E-7665-4B20-9D01-88540BB5CF82}">
  <dimension ref="B2:N13"/>
  <sheetViews>
    <sheetView tabSelected="1" workbookViewId="0">
      <selection activeCell="J18" sqref="J18"/>
    </sheetView>
  </sheetViews>
  <sheetFormatPr defaultColWidth="9.140625" defaultRowHeight="12.75" x14ac:dyDescent="0.2"/>
  <cols>
    <col min="1" max="1" width="2.5703125" style="1" customWidth="1"/>
    <col min="2" max="2" width="50.42578125" style="1" customWidth="1"/>
    <col min="3" max="4" width="7.7109375" style="1" customWidth="1"/>
    <col min="5" max="6" width="11.7109375" style="1" customWidth="1"/>
    <col min="7" max="8" width="7.7109375" style="1" customWidth="1"/>
    <col min="9" max="10" width="11.7109375" style="1" customWidth="1"/>
    <col min="11" max="12" width="7.7109375" style="1" customWidth="1"/>
    <col min="13" max="14" width="11.7109375" style="1" customWidth="1"/>
    <col min="15" max="16384" width="9.140625" style="1"/>
  </cols>
  <sheetData>
    <row r="2" spans="2:14" ht="16.5" customHeight="1" x14ac:dyDescent="0.25">
      <c r="B2" s="16" t="s">
        <v>14</v>
      </c>
      <c r="C2" s="33"/>
      <c r="D2" s="33"/>
      <c r="E2" s="33"/>
      <c r="F2" s="33"/>
      <c r="H2" s="17" t="s">
        <v>13</v>
      </c>
      <c r="I2" s="32" t="s">
        <v>18</v>
      </c>
      <c r="J2" s="32"/>
      <c r="K2" s="17" t="s">
        <v>15</v>
      </c>
      <c r="L2" s="32" t="s">
        <v>19</v>
      </c>
      <c r="M2" s="32"/>
      <c r="N2" s="32"/>
    </row>
    <row r="3" spans="2:14" ht="16.5" customHeight="1" x14ac:dyDescent="0.25">
      <c r="B3" s="16" t="s">
        <v>0</v>
      </c>
      <c r="C3" s="33"/>
      <c r="D3" s="33"/>
      <c r="E3" s="33"/>
      <c r="F3" s="33"/>
      <c r="H3" s="34" t="s">
        <v>1</v>
      </c>
      <c r="I3" s="34"/>
      <c r="J3" s="34"/>
      <c r="K3" s="34"/>
      <c r="L3" s="34"/>
      <c r="M3" s="34"/>
      <c r="N3" s="34"/>
    </row>
    <row r="5" spans="2:14" ht="7.5" customHeight="1" thickBot="1" x14ac:dyDescent="0.25"/>
    <row r="6" spans="2:14" ht="20.25" customHeight="1" x14ac:dyDescent="0.2">
      <c r="B6" s="27" t="s">
        <v>2</v>
      </c>
      <c r="C6" s="24" t="s">
        <v>3</v>
      </c>
      <c r="D6" s="25"/>
      <c r="E6" s="25"/>
      <c r="F6" s="26"/>
      <c r="G6" s="29" t="s">
        <v>8</v>
      </c>
      <c r="H6" s="30"/>
      <c r="I6" s="30"/>
      <c r="J6" s="31"/>
      <c r="K6" s="24" t="s">
        <v>9</v>
      </c>
      <c r="L6" s="25"/>
      <c r="M6" s="25"/>
      <c r="N6" s="26"/>
    </row>
    <row r="7" spans="2:14" ht="13.5" thickBot="1" x14ac:dyDescent="0.25">
      <c r="B7" s="28"/>
      <c r="C7" s="11" t="s">
        <v>4</v>
      </c>
      <c r="D7" s="12" t="s">
        <v>5</v>
      </c>
      <c r="E7" s="12" t="s">
        <v>6</v>
      </c>
      <c r="F7" s="13" t="s">
        <v>7</v>
      </c>
      <c r="G7" s="11" t="s">
        <v>4</v>
      </c>
      <c r="H7" s="12" t="s">
        <v>5</v>
      </c>
      <c r="I7" s="12" t="s">
        <v>6</v>
      </c>
      <c r="J7" s="13" t="s">
        <v>7</v>
      </c>
      <c r="K7" s="11" t="s">
        <v>4</v>
      </c>
      <c r="L7" s="12" t="s">
        <v>5</v>
      </c>
      <c r="M7" s="12" t="s">
        <v>6</v>
      </c>
      <c r="N7" s="13" t="s">
        <v>7</v>
      </c>
    </row>
    <row r="8" spans="2:14" ht="26.25" customHeight="1" thickTop="1" x14ac:dyDescent="0.2">
      <c r="B8" s="6" t="s">
        <v>17</v>
      </c>
      <c r="C8" s="7">
        <v>12</v>
      </c>
      <c r="D8" s="8" t="s">
        <v>10</v>
      </c>
      <c r="E8" s="9">
        <v>0</v>
      </c>
      <c r="F8" s="10">
        <f>E8*C8</f>
        <v>0</v>
      </c>
      <c r="G8" s="7">
        <v>12</v>
      </c>
      <c r="H8" s="8" t="s">
        <v>10</v>
      </c>
      <c r="I8" s="9">
        <v>0</v>
      </c>
      <c r="J8" s="10">
        <f>I8*G8</f>
        <v>0</v>
      </c>
      <c r="K8" s="7">
        <v>12</v>
      </c>
      <c r="L8" s="8" t="s">
        <v>10</v>
      </c>
      <c r="M8" s="9">
        <v>0</v>
      </c>
      <c r="N8" s="10">
        <f>M8*K8</f>
        <v>0</v>
      </c>
    </row>
    <row r="9" spans="2:14" ht="26.25" customHeight="1" thickBot="1" x14ac:dyDescent="0.25">
      <c r="B9" s="6" t="s">
        <v>16</v>
      </c>
      <c r="C9" s="3">
        <v>12</v>
      </c>
      <c r="D9" s="4" t="s">
        <v>10</v>
      </c>
      <c r="E9" s="2">
        <v>0</v>
      </c>
      <c r="F9" s="5">
        <f t="shared" ref="F9" si="0">E9*C9</f>
        <v>0</v>
      </c>
      <c r="G9" s="3">
        <v>12</v>
      </c>
      <c r="H9" s="4" t="s">
        <v>10</v>
      </c>
      <c r="I9" s="2">
        <v>0</v>
      </c>
      <c r="J9" s="5">
        <f t="shared" ref="J9" si="1">I9*G9</f>
        <v>0</v>
      </c>
      <c r="K9" s="3">
        <v>12</v>
      </c>
      <c r="L9" s="4" t="s">
        <v>10</v>
      </c>
      <c r="M9" s="2">
        <v>0</v>
      </c>
      <c r="N9" s="5">
        <f t="shared" ref="N9" si="2">M9*K9</f>
        <v>0</v>
      </c>
    </row>
    <row r="10" spans="2:14" ht="21" customHeight="1" thickBot="1" x14ac:dyDescent="0.25">
      <c r="B10" s="15" t="s">
        <v>11</v>
      </c>
      <c r="C10" s="21">
        <f>SUM(F8:F9)</f>
        <v>0</v>
      </c>
      <c r="D10" s="22"/>
      <c r="E10" s="22"/>
      <c r="F10" s="23"/>
      <c r="G10" s="18">
        <f>SUM(J8:J9)</f>
        <v>0</v>
      </c>
      <c r="H10" s="19"/>
      <c r="I10" s="19"/>
      <c r="J10" s="20"/>
      <c r="K10" s="21">
        <f>SUM(N8:N9)</f>
        <v>0</v>
      </c>
      <c r="L10" s="22"/>
      <c r="M10" s="22"/>
      <c r="N10" s="23"/>
    </row>
    <row r="12" spans="2:14" ht="13.5" thickBot="1" x14ac:dyDescent="0.25"/>
    <row r="13" spans="2:14" ht="19.5" thickBot="1" x14ac:dyDescent="0.25">
      <c r="B13" s="14" t="s">
        <v>12</v>
      </c>
      <c r="C13" s="18">
        <f>C10+G10+K10</f>
        <v>0</v>
      </c>
      <c r="D13" s="19"/>
      <c r="E13" s="19"/>
      <c r="F13" s="20"/>
    </row>
  </sheetData>
  <mergeCells count="13">
    <mergeCell ref="I2:J2"/>
    <mergeCell ref="L2:N2"/>
    <mergeCell ref="C13:F13"/>
    <mergeCell ref="C2:F2"/>
    <mergeCell ref="C3:F3"/>
    <mergeCell ref="C10:F10"/>
    <mergeCell ref="G10:J10"/>
    <mergeCell ref="K10:N10"/>
    <mergeCell ref="H3:N3"/>
    <mergeCell ref="C6:F6"/>
    <mergeCell ref="B6:B7"/>
    <mergeCell ref="G6:J6"/>
    <mergeCell ref="K6:N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Schedule</vt:lpstr>
    </vt:vector>
  </TitlesOfParts>
  <Company>U.S. Customs and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Hansen, Vincent (IHS/BIL/AO)</cp:lastModifiedBy>
  <cp:lastPrinted>2018-05-25T23:16:18Z</cp:lastPrinted>
  <dcterms:created xsi:type="dcterms:W3CDTF">2018-02-12T15:50:52Z</dcterms:created>
  <dcterms:modified xsi:type="dcterms:W3CDTF">2025-11-13T20:49:51Z</dcterms:modified>
</cp:coreProperties>
</file>