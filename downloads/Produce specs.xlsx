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G:\Contracting\CONTRACT FILES\FY-25 Contracts\FOOD SERVICE\Produce\July\"/>
    </mc:Choice>
  </mc:AlternateContent>
  <xr:revisionPtr revIDLastSave="0" documentId="8_{F53C37DE-6F11-4632-AB3A-5662836F9120}" xr6:coauthVersionLast="47" xr6:coauthVersionMax="47" xr10:uidLastSave="{00000000-0000-0000-0000-000000000000}"/>
  <bookViews>
    <workbookView xWindow="28680" yWindow="-120" windowWidth="29040" windowHeight="15840" xr2:uid="{00000000-000D-0000-FFFF-FFFF00000000}"/>
  </bookViews>
  <sheets>
    <sheet name="Sheet1" sheetId="1" r:id="rId1"/>
    <sheet name="Sheet2" sheetId="2" r:id="rId2"/>
    <sheet name="Sheet3" sheetId="3" r:id="rId3"/>
  </sheets>
  <definedNames>
    <definedName name="_xlnm.Print_Area" localSheetId="0">Sheet1!$A$1:$J$28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 l="1"/>
  <c r="J19" i="1" l="1"/>
  <c r="H20" i="1" l="1"/>
  <c r="J5" i="1" l="1"/>
  <c r="J4" i="1" l="1"/>
  <c r="J6" i="1"/>
  <c r="J7" i="1"/>
  <c r="J8" i="1"/>
  <c r="J9" i="1"/>
  <c r="J10" i="1"/>
  <c r="J11" i="1"/>
  <c r="J12" i="1"/>
  <c r="J13" i="1"/>
  <c r="J14" i="1"/>
  <c r="J15" i="1"/>
  <c r="J16" i="1"/>
  <c r="J17" i="1"/>
  <c r="J28" i="1" l="1"/>
  <c r="H23" i="1"/>
  <c r="J23" i="1" s="1"/>
  <c r="J20" i="1"/>
  <c r="H21" i="1"/>
  <c r="J21" i="1" s="1"/>
  <c r="H22" i="1"/>
  <c r="J22" i="1" s="1"/>
  <c r="H24" i="1"/>
  <c r="J24" i="1" s="1"/>
  <c r="H25" i="1"/>
  <c r="J25" i="1" s="1"/>
  <c r="H26" i="1"/>
  <c r="J26" i="1" s="1"/>
</calcChain>
</file>

<file path=xl/sharedStrings.xml><?xml version="1.0" encoding="utf-8"?>
<sst xmlns="http://schemas.openxmlformats.org/spreadsheetml/2006/main" count="36" uniqueCount="36">
  <si>
    <t>NO WOODEN CRATES</t>
  </si>
  <si>
    <t>DELIVERY DATES &amp; QUANTITIES</t>
  </si>
  <si>
    <t>COSTS &amp; TOTALS</t>
  </si>
  <si>
    <t>ITEM #</t>
  </si>
  <si>
    <t>ITEM DESCRIPTION</t>
  </si>
  <si>
    <t>TOTAL</t>
  </si>
  <si>
    <t>ITEM COST</t>
  </si>
  <si>
    <t>TOTAL ITEM COST</t>
  </si>
  <si>
    <t>TOTAL:</t>
  </si>
  <si>
    <r>
      <t xml:space="preserve">CILANTRO, </t>
    </r>
    <r>
      <rPr>
        <sz val="12"/>
        <color theme="1"/>
        <rFont val="Calibri"/>
        <family val="2"/>
        <scheme val="minor"/>
      </rPr>
      <t xml:space="preserve"> US No 1, 10lb/cs</t>
    </r>
  </si>
  <si>
    <r>
      <t xml:space="preserve">CUCUMBERS, </t>
    </r>
    <r>
      <rPr>
        <sz val="12"/>
        <color theme="1"/>
        <rFont val="Calibri"/>
        <family val="2"/>
        <scheme val="minor"/>
      </rPr>
      <t>US No 1, 50 lb/cs</t>
    </r>
  </si>
  <si>
    <r>
      <t xml:space="preserve">PEACHES, </t>
    </r>
    <r>
      <rPr>
        <sz val="12"/>
        <color theme="1"/>
        <rFont val="Calibri"/>
        <family val="2"/>
        <scheme val="minor"/>
      </rPr>
      <t>Fresh: to be packed to U.S. Extra No. 1 Grade standard; freestone; loose-fill 25 lb. box</t>
    </r>
  </si>
  <si>
    <r>
      <rPr>
        <b/>
        <sz val="12"/>
        <color theme="1"/>
        <rFont val="Calibri"/>
        <family val="2"/>
        <scheme val="minor"/>
      </rPr>
      <t>SWEET POTATOES</t>
    </r>
    <r>
      <rPr>
        <sz val="12"/>
        <color theme="1"/>
        <rFont val="Calibri"/>
        <family val="2"/>
        <scheme val="minor"/>
      </rPr>
      <t>, fresh raw, 50 lb/bg medium</t>
    </r>
  </si>
  <si>
    <r>
      <t>BANANAS,</t>
    </r>
    <r>
      <rPr>
        <sz val="12"/>
        <color theme="1"/>
        <rFont val="Calibri"/>
        <family val="2"/>
        <scheme val="minor"/>
      </rPr>
      <t xml:space="preserve"> Fresh, 120 ct. yellow variety, maturity level to ensure ripening, green tip, min 1 1/8 in. dia, min 5.5 fingers/hand. 120 ct</t>
    </r>
    <r>
      <rPr>
        <b/>
        <sz val="12"/>
        <color theme="1"/>
        <rFont val="Calibri"/>
        <family val="2"/>
        <scheme val="minor"/>
      </rPr>
      <t>.</t>
    </r>
  </si>
  <si>
    <r>
      <t xml:space="preserve">WATERMELONS, </t>
    </r>
    <r>
      <rPr>
        <sz val="12"/>
        <color theme="1"/>
        <rFont val="Calibri"/>
        <family val="2"/>
        <scheme val="minor"/>
      </rPr>
      <t>(holiday only) 18-25lb</t>
    </r>
  </si>
  <si>
    <r>
      <t xml:space="preserve">PEARS, </t>
    </r>
    <r>
      <rPr>
        <sz val="12"/>
        <color theme="1"/>
        <rFont val="Calibri"/>
        <family val="2"/>
        <scheme val="minor"/>
      </rPr>
      <t>Fresh: to be packed to U.S. No. 1 Grade standard; any summer or winter variety except Keiffer; 36-lb bulk loose-fill cartons</t>
    </r>
  </si>
  <si>
    <r>
      <t>HONEYDEW MELONS,</t>
    </r>
    <r>
      <rPr>
        <sz val="12"/>
        <color theme="1"/>
        <rFont val="Calibri"/>
        <family val="2"/>
        <scheme val="minor"/>
      </rPr>
      <t xml:space="preserve"> Fresh: to be packed to U.S. No. 1 standard; 30 lb. box; size 4 or 5. ORDER BY EACH</t>
    </r>
  </si>
  <si>
    <r>
      <t xml:space="preserve">APPLES, </t>
    </r>
    <r>
      <rPr>
        <sz val="12"/>
        <color theme="1"/>
        <rFont val="Calibri"/>
        <family val="2"/>
        <scheme val="minor"/>
      </rPr>
      <t>fresh, 125 CT, eating,  yellow, 
sweet, golden delicious, US fancy grade, US 
no 1 gr, or US early gr, 125 to 138 per case, US std for gr</t>
    </r>
  </si>
  <si>
    <r>
      <t>CANTALOUPE,</t>
    </r>
    <r>
      <rPr>
        <sz val="12"/>
        <color theme="1"/>
        <rFont val="Calibri"/>
        <family val="2"/>
        <scheme val="minor"/>
      </rPr>
      <t xml:space="preserve"> Fresh: to be packed to U.S. No. 1 standard, price per each</t>
    </r>
  </si>
  <si>
    <r>
      <t xml:space="preserve">YUCCA, </t>
    </r>
    <r>
      <rPr>
        <sz val="12"/>
        <color theme="1"/>
        <rFont val="Calibri"/>
        <family val="2"/>
        <scheme val="minor"/>
      </rPr>
      <t>US no. 1, 40# case</t>
    </r>
  </si>
  <si>
    <r>
      <t xml:space="preserve">ROMAINE LETTUCE, </t>
    </r>
    <r>
      <rPr>
        <sz val="12"/>
        <color theme="1"/>
        <rFont val="Calibri"/>
        <family val="2"/>
        <scheme val="minor"/>
      </rPr>
      <t>US no 1 gr, 2 dz size, US std for grade</t>
    </r>
  </si>
  <si>
    <r>
      <t xml:space="preserve">STRAWBERRIES, </t>
    </r>
    <r>
      <rPr>
        <sz val="12"/>
        <color theme="1"/>
        <rFont val="Calibri"/>
        <family val="2"/>
        <scheme val="minor"/>
      </rPr>
      <t>Fresh: to be packed to U.S. No. 1 
Grade standard; by the pint</t>
    </r>
  </si>
  <si>
    <t xml:space="preserve">  </t>
  </si>
  <si>
    <t>1
LOW</t>
  </si>
  <si>
    <t>2
MED</t>
  </si>
  <si>
    <t>3
CAMP</t>
  </si>
  <si>
    <t>4
USP1</t>
  </si>
  <si>
    <t>5
USP2</t>
  </si>
  <si>
    <r>
      <t xml:space="preserve">CABBAGE, </t>
    </r>
    <r>
      <rPr>
        <sz val="12"/>
        <color theme="1"/>
        <rFont val="Calibri"/>
        <family val="2"/>
        <scheme val="minor"/>
      </rPr>
      <t>fresh, GREEN US 1 1/2 to 5 lb,
US no 1 gr, US std for gr</t>
    </r>
    <r>
      <rPr>
        <b/>
        <sz val="12"/>
        <color theme="1"/>
        <rFont val="Calibri"/>
        <family val="2"/>
        <scheme val="minor"/>
      </rPr>
      <t>. 50 # bags</t>
    </r>
  </si>
  <si>
    <r>
      <t xml:space="preserve">CARROTS, </t>
    </r>
    <r>
      <rPr>
        <sz val="12"/>
        <color theme="1"/>
        <rFont val="Calibri"/>
        <family val="2"/>
        <scheme val="minor"/>
      </rPr>
      <t>fresh, Topped, US no 1 gr and 
US no 1 jumbo gr, US std for gr</t>
    </r>
    <r>
      <rPr>
        <b/>
        <sz val="12"/>
        <color theme="1"/>
        <rFont val="Calibri"/>
        <family val="2"/>
        <scheme val="minor"/>
      </rPr>
      <t>. 50# bags</t>
    </r>
  </si>
  <si>
    <r>
      <t xml:space="preserve">LETTUCE SALAD MIX FRESH, </t>
    </r>
    <r>
      <rPr>
        <sz val="12"/>
        <color theme="1"/>
        <rFont val="Calibri"/>
        <family val="2"/>
        <scheme val="minor"/>
      </rPr>
      <t>US No 1, 
CID A-A-20316, Type II lettuce, Style B 
chopped iceberg lettuce, shredded red
cabbage and shredded carrots. (Shredded
red cabbage and shredded carrots must be in 
separate bags from lettuce), lettuce shall
have  bright green color and shall be free from odors such as chlorine. ammonia, musty/moldy, sour, and fermented smells and other odors not typical of fresh lettuce. The lettuce and cabbage shall be crisp, firm, not wilted, flabby, or tough. The carrots shall be crisp, not tough, fibrous, or mushy.  20 pound cases</t>
    </r>
  </si>
  <si>
    <r>
      <t xml:space="preserve">CELERY, </t>
    </r>
    <r>
      <rPr>
        <sz val="12"/>
        <color theme="1"/>
        <rFont val="Calibri"/>
        <family val="2"/>
        <scheme val="minor"/>
      </rPr>
      <t>fresh, pascal, washed, US no 1 gr, 24 to 48 size, US std gr</t>
    </r>
    <r>
      <rPr>
        <b/>
        <sz val="12"/>
        <color theme="1"/>
        <rFont val="Calibri"/>
        <family val="2"/>
        <scheme val="minor"/>
      </rPr>
      <t>. 20# cases</t>
    </r>
  </si>
  <si>
    <r>
      <t xml:space="preserve">ONIONS, </t>
    </r>
    <r>
      <rPr>
        <sz val="12"/>
        <color theme="1"/>
        <rFont val="Calibri"/>
        <family val="2"/>
        <scheme val="minor"/>
      </rPr>
      <t>Dry, fresh, US no 1 gr, JUMBO (3" min dia) US std for gr</t>
    </r>
    <r>
      <rPr>
        <b/>
        <sz val="12"/>
        <color theme="1"/>
        <rFont val="Calibri"/>
        <family val="2"/>
        <scheme val="minor"/>
      </rPr>
      <t>. 50# bags</t>
    </r>
  </si>
  <si>
    <r>
      <t xml:space="preserve">GREEN PEPPERS, </t>
    </r>
    <r>
      <rPr>
        <sz val="12"/>
        <color theme="1"/>
        <rFont val="Calibri"/>
        <family val="2"/>
        <scheme val="minor"/>
      </rPr>
      <t>whole, bell or bullnose type, US no 1 gr, 2 1/2 in min dia, US std for gr</t>
    </r>
    <r>
      <rPr>
        <b/>
        <sz val="12"/>
        <color theme="1"/>
        <rFont val="Calibri"/>
        <family val="2"/>
        <scheme val="minor"/>
      </rPr>
      <t>. 25# cases</t>
    </r>
  </si>
  <si>
    <r>
      <rPr>
        <b/>
        <sz val="12"/>
        <color theme="1"/>
        <rFont val="Calibri"/>
        <family val="2"/>
        <scheme val="minor"/>
      </rPr>
      <t xml:space="preserve">POTATOES, </t>
    </r>
    <r>
      <rPr>
        <sz val="12"/>
        <color theme="1"/>
        <rFont val="Calibri"/>
        <family val="2"/>
        <scheme val="minor"/>
      </rPr>
      <t>White, fresh: 50 lb/bg moderately skinned, long or round, US no 1 gr, size A, 2 in min dia, max 16 oz ea, US std for gr. 50# bags</t>
    </r>
  </si>
  <si>
    <r>
      <t xml:space="preserve">TOMATOES, </t>
    </r>
    <r>
      <rPr>
        <sz val="12"/>
        <color theme="1"/>
        <rFont val="Calibri"/>
        <family val="2"/>
        <scheme val="minor"/>
      </rPr>
      <t>fresh, US no 1 gr, 2 1/2 in min dia, US std for gr</t>
    </r>
    <r>
      <rPr>
        <b/>
        <sz val="12"/>
        <color theme="1"/>
        <rFont val="Calibri"/>
        <family val="2"/>
        <scheme val="minor"/>
      </rPr>
      <t>. 25# boxes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</si>
</sst>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4" formatCode="_(&quot;$&quot;* #,##0.00_);_(&quot;$&quot;* \(#,##0.00\);_(&quot;$&quot;* &quot;-&quot;??_);_(@_)"/>
    <numFmt numFmtId="43" formatCode="_(* #,##0.00_);_(* \(#,##0.00\);_(* &quot;-&quot;??_);_(@_)"/>
    <numFmt numFmtId="164" formatCode="&quot;$&quot;#,##0.00"/>
    <numFmt numFmtId="165" formatCode="[$-409]d\-mmm\-yy;@"/>
    <numFmt numFmtId="166" formatCode="_(* #,##0.0000_);_(* \(#,##0.0000\);_(* &quot;-&quot;????_);_(@_)"/>
  </numFmts>
  <fonts count="11"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b/>
      <sz val="12"/>
      <color theme="1"/>
      <name val="Calibri"/>
      <family val="2"/>
      <scheme val="minor"/>
    </font>
    <font>
      <sz val="12"/>
      <color theme="1"/>
      <name val="Calibri"/>
      <family val="2"/>
      <scheme val="minor"/>
    </font>
    <font>
      <b/>
      <sz val="22"/>
      <color theme="1"/>
      <name val="Calibri"/>
      <family val="2"/>
      <scheme val="minor"/>
    </font>
    <font>
      <sz val="8"/>
      <name val="Calibri"/>
      <family val="2"/>
      <scheme val="minor"/>
    </font>
    <font>
      <b/>
      <sz val="12"/>
      <name val="Calibri"/>
      <family val="2"/>
      <scheme val="minor"/>
    </font>
    <font>
      <sz val="12"/>
      <color rgb="FF00000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0" fillId="0" borderId="0" xfId="0"/>
    <xf numFmtId="0" fontId="2" fillId="0" borderId="0" xfId="0" applyFont="1" applyAlignment="1" applyProtection="1">
      <alignment vertical="center"/>
      <protection locked="0"/>
    </xf>
    <xf numFmtId="0" fontId="0" fillId="0" borderId="0" xfId="0" applyAlignment="1" applyProtection="1">
      <alignment vertical="center"/>
      <protection locked="0"/>
    </xf>
    <xf numFmtId="0" fontId="2" fillId="0" borderId="1" xfId="0" applyFont="1" applyBorder="1" applyAlignment="1" applyProtection="1">
      <alignment horizontal="center" vertical="center"/>
    </xf>
    <xf numFmtId="0" fontId="2" fillId="0" borderId="0" xfId="0" applyFont="1" applyAlignment="1" applyProtection="1">
      <alignment vertical="center"/>
    </xf>
    <xf numFmtId="0" fontId="0" fillId="0" borderId="0" xfId="0" applyAlignment="1" applyProtection="1">
      <alignment vertical="center"/>
    </xf>
    <xf numFmtId="0" fontId="0" fillId="0" borderId="0" xfId="0" applyAlignment="1" applyProtection="1">
      <alignment horizontal="center"/>
    </xf>
    <xf numFmtId="44" fontId="2" fillId="0" borderId="0" xfId="1" applyFont="1" applyAlignment="1" applyProtection="1">
      <alignment vertical="center"/>
    </xf>
    <xf numFmtId="44" fontId="0" fillId="0" borderId="0" xfId="1" applyFont="1" applyAlignment="1" applyProtection="1">
      <alignment vertical="center"/>
    </xf>
    <xf numFmtId="43" fontId="2" fillId="0" borderId="0" xfId="0" applyNumberFormat="1" applyFont="1" applyAlignment="1" applyProtection="1">
      <alignment vertical="center"/>
      <protection locked="0"/>
    </xf>
    <xf numFmtId="43" fontId="0" fillId="0" borderId="0" xfId="0" applyNumberFormat="1" applyAlignment="1" applyProtection="1">
      <alignment vertical="center"/>
      <protection locked="0"/>
    </xf>
    <xf numFmtId="0" fontId="2" fillId="0" borderId="0" xfId="0" applyFont="1" applyFill="1" applyAlignment="1" applyProtection="1">
      <alignment vertical="center"/>
      <protection locked="0"/>
    </xf>
    <xf numFmtId="0" fontId="0" fillId="0" borderId="0" xfId="0" applyFill="1" applyAlignment="1" applyProtection="1">
      <alignment vertical="center"/>
      <protection locked="0"/>
    </xf>
    <xf numFmtId="164" fontId="4" fillId="0" borderId="1" xfId="1" applyNumberFormat="1" applyFont="1" applyBorder="1" applyAlignment="1" applyProtection="1">
      <alignment horizontal="center" vertical="center"/>
    </xf>
    <xf numFmtId="0" fontId="5"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6" fillId="0" borderId="1" xfId="0" applyFont="1" applyBorder="1" applyAlignment="1" applyProtection="1">
      <alignment horizontal="left" vertical="center" wrapText="1"/>
    </xf>
    <xf numFmtId="0" fontId="2" fillId="0" borderId="0" xfId="0" applyFont="1" applyAlignment="1" applyProtection="1">
      <alignment horizontal="left" vertical="center" wrapText="1"/>
    </xf>
    <xf numFmtId="0" fontId="0" fillId="0" borderId="0" xfId="0" applyAlignment="1" applyProtection="1">
      <alignment horizontal="left" vertical="center" wrapText="1"/>
    </xf>
    <xf numFmtId="0" fontId="0" fillId="0" borderId="0" xfId="0" applyAlignment="1">
      <alignment horizontal="left" vertical="center"/>
    </xf>
    <xf numFmtId="0" fontId="5" fillId="0" borderId="1" xfId="0" applyFont="1" applyBorder="1" applyAlignment="1" applyProtection="1">
      <alignment horizontal="center" vertical="center"/>
    </xf>
    <xf numFmtId="43" fontId="3" fillId="0" borderId="1" xfId="0" applyNumberFormat="1" applyFont="1" applyBorder="1" applyAlignment="1" applyProtection="1">
      <alignment horizontal="center" vertical="center" wrapText="1"/>
    </xf>
    <xf numFmtId="1" fontId="4" fillId="0" borderId="1" xfId="2" applyNumberFormat="1"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xf>
    <xf numFmtId="0" fontId="2" fillId="0" borderId="0" xfId="0" applyFont="1" applyFill="1" applyAlignment="1">
      <alignment vertical="center"/>
    </xf>
    <xf numFmtId="0" fontId="0" fillId="0" borderId="0" xfId="0" applyFill="1" applyAlignment="1">
      <alignment vertical="center"/>
    </xf>
    <xf numFmtId="0" fontId="0" fillId="0" borderId="0" xfId="0" applyFill="1"/>
    <xf numFmtId="0" fontId="2" fillId="0" borderId="1" xfId="0" applyFont="1" applyFill="1" applyBorder="1" applyAlignment="1" applyProtection="1">
      <alignment horizontal="center" vertical="center"/>
    </xf>
    <xf numFmtId="0" fontId="5" fillId="0" borderId="1" xfId="0" applyFont="1" applyFill="1" applyBorder="1" applyAlignment="1" applyProtection="1">
      <alignment horizontal="left" vertical="center" wrapText="1"/>
    </xf>
    <xf numFmtId="164" fontId="4" fillId="0" borderId="1" xfId="1" applyNumberFormat="1"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44" fontId="3" fillId="0" borderId="1" xfId="1" applyFont="1" applyBorder="1" applyAlignment="1" applyProtection="1">
      <alignment horizontal="center" vertical="center" wrapText="1"/>
    </xf>
    <xf numFmtId="1" fontId="4" fillId="0" borderId="1" xfId="0" applyNumberFormat="1" applyFont="1" applyFill="1" applyBorder="1" applyAlignment="1">
      <alignment horizontal="center" vertical="center"/>
    </xf>
    <xf numFmtId="1" fontId="4" fillId="3" borderId="1" xfId="2" applyNumberFormat="1" applyFont="1" applyFill="1" applyBorder="1" applyAlignment="1" applyProtection="1">
      <alignment horizontal="center" vertical="center"/>
      <protection locked="0"/>
    </xf>
    <xf numFmtId="166" fontId="8" fillId="0" borderId="1" xfId="0" applyNumberFormat="1" applyFont="1" applyFill="1" applyBorder="1" applyAlignment="1" applyProtection="1">
      <alignment horizontal="center" vertical="center"/>
      <protection locked="0"/>
    </xf>
    <xf numFmtId="41" fontId="4" fillId="0" borderId="1" xfId="2" applyNumberFormat="1" applyFont="1" applyBorder="1" applyAlignment="1" applyProtection="1">
      <alignment horizontal="center" vertical="center"/>
      <protection locked="0"/>
    </xf>
    <xf numFmtId="41" fontId="4" fillId="0" borderId="1" xfId="2" applyNumberFormat="1" applyFont="1" applyFill="1" applyBorder="1" applyAlignment="1" applyProtection="1">
      <alignment horizontal="center" vertical="center"/>
      <protection locked="0"/>
    </xf>
    <xf numFmtId="164" fontId="2" fillId="0" borderId="2" xfId="1" applyNumberFormat="1" applyFont="1" applyBorder="1" applyAlignment="1" applyProtection="1">
      <alignment vertical="center"/>
    </xf>
    <xf numFmtId="166" fontId="8" fillId="0" borderId="1" xfId="0" applyNumberFormat="1" applyFont="1" applyFill="1" applyBorder="1" applyAlignment="1" applyProtection="1">
      <alignment horizontal="center" vertical="center" wrapText="1"/>
    </xf>
    <xf numFmtId="165" fontId="8" fillId="0" borderId="1" xfId="0" applyNumberFormat="1" applyFont="1" applyFill="1" applyBorder="1" applyAlignment="1" applyProtection="1">
      <alignment horizontal="center" vertical="center" wrapText="1"/>
    </xf>
    <xf numFmtId="1" fontId="4" fillId="4" borderId="1" xfId="0" applyNumberFormat="1" applyFont="1" applyFill="1" applyBorder="1" applyAlignment="1">
      <alignment horizontal="center" vertical="center"/>
    </xf>
    <xf numFmtId="41" fontId="4" fillId="5" borderId="1" xfId="2" applyNumberFormat="1" applyFont="1" applyFill="1" applyBorder="1" applyAlignment="1" applyProtection="1">
      <alignment horizontal="center" vertical="center"/>
      <protection locked="0"/>
    </xf>
    <xf numFmtId="166" fontId="8" fillId="5" borderId="1" xfId="0" applyNumberFormat="1" applyFont="1" applyFill="1" applyBorder="1" applyAlignment="1" applyProtection="1">
      <alignment horizontal="center" vertical="center"/>
      <protection locked="0"/>
    </xf>
    <xf numFmtId="164" fontId="4" fillId="5" borderId="1" xfId="1" applyNumberFormat="1" applyFont="1" applyFill="1" applyBorder="1" applyAlignment="1" applyProtection="1">
      <alignment horizontal="center" vertical="center"/>
    </xf>
    <xf numFmtId="0" fontId="9" fillId="0" borderId="1" xfId="0" applyFont="1" applyBorder="1" applyAlignment="1" applyProtection="1">
      <alignment vertical="top" wrapText="1"/>
      <protection locked="0"/>
    </xf>
    <xf numFmtId="0" fontId="10" fillId="0" borderId="0" xfId="0" applyFont="1" applyAlignment="1">
      <alignment vertical="center" wrapText="1"/>
    </xf>
    <xf numFmtId="0" fontId="5" fillId="2" borderId="2" xfId="0" applyFont="1" applyFill="1" applyBorder="1" applyAlignment="1" applyProtection="1">
      <alignment horizontal="right" vertical="center" wrapText="1"/>
    </xf>
    <xf numFmtId="0" fontId="5" fillId="2" borderId="3" xfId="0" applyFont="1" applyFill="1" applyBorder="1" applyAlignment="1" applyProtection="1">
      <alignment horizontal="right" vertical="center" wrapText="1"/>
    </xf>
    <xf numFmtId="0" fontId="5" fillId="2" borderId="4" xfId="0" applyFont="1" applyFill="1" applyBorder="1" applyAlignment="1" applyProtection="1">
      <alignment horizontal="right" vertical="center" wrapText="1"/>
    </xf>
    <xf numFmtId="0" fontId="7" fillId="0" borderId="6" xfId="0" applyFont="1" applyBorder="1" applyAlignment="1" applyProtection="1">
      <alignment horizontal="left" vertical="top" wrapText="1"/>
    </xf>
    <xf numFmtId="0" fontId="7" fillId="0" borderId="7" xfId="0" applyFont="1" applyBorder="1" applyAlignment="1" applyProtection="1">
      <alignment horizontal="left" vertical="top" wrapText="1"/>
    </xf>
    <xf numFmtId="0" fontId="7" fillId="0" borderId="8" xfId="0" applyFont="1" applyBorder="1" applyAlignment="1" applyProtection="1">
      <alignment horizontal="left" vertical="top" wrapText="1"/>
    </xf>
    <xf numFmtId="0" fontId="7" fillId="0" borderId="5" xfId="0" applyFont="1" applyBorder="1" applyAlignment="1" applyProtection="1">
      <alignment horizontal="left" vertical="top" wrapText="1"/>
    </xf>
    <xf numFmtId="0" fontId="5" fillId="0" borderId="2"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0" borderId="6" xfId="0" applyFont="1" applyBorder="1" applyAlignment="1" applyProtection="1">
      <alignment horizontal="center" vertical="center"/>
    </xf>
    <xf numFmtId="0" fontId="5" fillId="0" borderId="7" xfId="0" applyFont="1" applyBorder="1" applyAlignment="1" applyProtection="1">
      <alignment horizontal="center" vertical="center"/>
    </xf>
    <xf numFmtId="0" fontId="5" fillId="0" borderId="8" xfId="0" applyFont="1" applyBorder="1" applyAlignment="1" applyProtection="1">
      <alignment horizontal="center" vertical="center"/>
    </xf>
    <xf numFmtId="0" fontId="5" fillId="0" borderId="5" xfId="0" applyFont="1" applyBorder="1" applyAlignment="1" applyProtection="1">
      <alignment horizontal="center" vertical="center"/>
    </xf>
    <xf numFmtId="0" fontId="2" fillId="4" borderId="9" xfId="0" applyFont="1" applyFill="1" applyBorder="1" applyAlignment="1" applyProtection="1">
      <alignment horizontal="center" vertical="center"/>
    </xf>
    <xf numFmtId="0" fontId="2" fillId="4" borderId="10" xfId="0" applyFont="1" applyFill="1" applyBorder="1" applyAlignment="1" applyProtection="1">
      <alignment horizontal="center" vertical="center"/>
    </xf>
  </cellXfs>
  <cellStyles count="3">
    <cellStyle name="Currency" xfId="1" builtinId="4"/>
    <cellStyle name="Normal" xfId="0" builtinId="0"/>
    <cellStyle name="Percent" xfId="2" builtinId="5"/>
  </cellStyles>
  <dxfs count="1">
    <dxf>
      <font>
        <b/>
        <i val="0"/>
        <color rgb="FFFF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6"/>
  <sheetViews>
    <sheetView tabSelected="1" view="pageLayout" zoomScaleNormal="100" zoomScaleSheetLayoutView="100" workbookViewId="0">
      <selection activeCell="N19" sqref="N19"/>
    </sheetView>
  </sheetViews>
  <sheetFormatPr defaultRowHeight="15" x14ac:dyDescent="0.25"/>
  <cols>
    <col min="1" max="1" width="10.7109375" customWidth="1"/>
    <col min="2" max="2" width="50.7109375" style="20" customWidth="1"/>
    <col min="3" max="7" width="8.7109375" bestFit="1" customWidth="1"/>
    <col min="8" max="8" width="7.5703125" style="29" customWidth="1"/>
    <col min="9" max="9" width="10.5703125" customWidth="1"/>
    <col min="10" max="10" width="10.42578125" customWidth="1"/>
  </cols>
  <sheetData>
    <row r="1" spans="1:10" ht="15.75" customHeight="1" x14ac:dyDescent="0.25">
      <c r="A1" s="52" t="s">
        <v>0</v>
      </c>
      <c r="B1" s="53"/>
      <c r="C1" s="56" t="s">
        <v>1</v>
      </c>
      <c r="D1" s="57"/>
      <c r="E1" s="57"/>
      <c r="F1" s="57"/>
      <c r="G1" s="57"/>
      <c r="H1" s="58"/>
      <c r="I1" s="59" t="s">
        <v>2</v>
      </c>
      <c r="J1" s="60"/>
    </row>
    <row r="2" spans="1:10" ht="15" customHeight="1" x14ac:dyDescent="0.25">
      <c r="A2" s="54"/>
      <c r="B2" s="55"/>
      <c r="C2" s="42"/>
      <c r="D2" s="42"/>
      <c r="E2" s="42"/>
      <c r="F2" s="42"/>
      <c r="G2" s="42"/>
      <c r="H2" s="63" t="s">
        <v>5</v>
      </c>
      <c r="I2" s="61"/>
      <c r="J2" s="62"/>
    </row>
    <row r="3" spans="1:10" ht="25.5" x14ac:dyDescent="0.25">
      <c r="A3" s="21" t="s">
        <v>3</v>
      </c>
      <c r="B3" s="15" t="s">
        <v>4</v>
      </c>
      <c r="C3" s="24" t="s">
        <v>23</v>
      </c>
      <c r="D3" s="24" t="s">
        <v>24</v>
      </c>
      <c r="E3" s="25" t="s">
        <v>25</v>
      </c>
      <c r="F3" s="25" t="s">
        <v>26</v>
      </c>
      <c r="G3" s="25" t="s">
        <v>27</v>
      </c>
      <c r="H3" s="64"/>
      <c r="I3" s="22" t="s">
        <v>6</v>
      </c>
      <c r="J3" s="34" t="s">
        <v>7</v>
      </c>
    </row>
    <row r="4" spans="1:10" ht="80.099999999999994" customHeight="1" x14ac:dyDescent="0.25">
      <c r="A4" s="4"/>
      <c r="B4" s="16" t="s">
        <v>17</v>
      </c>
      <c r="C4" s="38"/>
      <c r="D4" s="38"/>
      <c r="E4" s="39"/>
      <c r="F4" s="39"/>
      <c r="G4" s="39"/>
      <c r="H4" s="43">
        <v>300</v>
      </c>
      <c r="I4" s="41">
        <v>0</v>
      </c>
      <c r="J4" s="14">
        <f>PRODUCT(H4,I4)</f>
        <v>0</v>
      </c>
    </row>
    <row r="5" spans="1:10" ht="39.950000000000003" customHeight="1" x14ac:dyDescent="0.25">
      <c r="A5" s="4"/>
      <c r="B5" s="16" t="s">
        <v>28</v>
      </c>
      <c r="C5" s="38"/>
      <c r="D5" s="38"/>
      <c r="E5" s="39"/>
      <c r="F5" s="39"/>
      <c r="G5" s="39"/>
      <c r="H5" s="43">
        <v>50</v>
      </c>
      <c r="I5" s="37">
        <v>0</v>
      </c>
      <c r="J5" s="14">
        <f t="shared" ref="J5:J26" si="0">PRODUCT(H5,I5)</f>
        <v>0</v>
      </c>
    </row>
    <row r="6" spans="1:10" ht="39.950000000000003" customHeight="1" x14ac:dyDescent="0.25">
      <c r="A6" s="4"/>
      <c r="B6" s="16" t="s">
        <v>29</v>
      </c>
      <c r="C6" s="38"/>
      <c r="D6" s="38"/>
      <c r="E6" s="39"/>
      <c r="F6" s="39"/>
      <c r="G6" s="39"/>
      <c r="H6" s="43">
        <v>10</v>
      </c>
      <c r="I6" s="37">
        <v>0</v>
      </c>
      <c r="J6" s="14">
        <f t="shared" si="0"/>
        <v>0</v>
      </c>
    </row>
    <row r="7" spans="1:10" ht="240" customHeight="1" x14ac:dyDescent="0.25">
      <c r="A7" s="4"/>
      <c r="B7" s="16" t="s">
        <v>30</v>
      </c>
      <c r="C7" s="38">
        <v>0</v>
      </c>
      <c r="D7" s="38">
        <v>0</v>
      </c>
      <c r="E7" s="39">
        <v>0</v>
      </c>
      <c r="F7" s="39">
        <v>0</v>
      </c>
      <c r="G7" s="39">
        <v>0</v>
      </c>
      <c r="H7" s="43">
        <v>250</v>
      </c>
      <c r="I7" s="37">
        <v>0</v>
      </c>
      <c r="J7" s="14">
        <f t="shared" si="0"/>
        <v>0</v>
      </c>
    </row>
    <row r="8" spans="1:10" ht="39.950000000000003" customHeight="1" x14ac:dyDescent="0.25">
      <c r="A8" s="4"/>
      <c r="B8" s="16" t="s">
        <v>31</v>
      </c>
      <c r="C8" s="38"/>
      <c r="D8" s="38"/>
      <c r="E8" s="39"/>
      <c r="F8" s="39"/>
      <c r="G8" s="39"/>
      <c r="H8" s="43">
        <v>7</v>
      </c>
      <c r="I8" s="37">
        <v>0</v>
      </c>
      <c r="J8" s="14">
        <f t="shared" si="0"/>
        <v>0</v>
      </c>
    </row>
    <row r="9" spans="1:10" ht="20.100000000000001" customHeight="1" x14ac:dyDescent="0.25">
      <c r="A9" s="4"/>
      <c r="B9" s="16" t="s">
        <v>9</v>
      </c>
      <c r="C9" s="38"/>
      <c r="D9" s="38"/>
      <c r="E9" s="39"/>
      <c r="F9" s="39"/>
      <c r="G9" s="39"/>
      <c r="H9" s="43">
        <v>5</v>
      </c>
      <c r="I9" s="37">
        <v>0</v>
      </c>
      <c r="J9" s="14">
        <f t="shared" si="0"/>
        <v>0</v>
      </c>
    </row>
    <row r="10" spans="1:10" ht="20.100000000000001" customHeight="1" x14ac:dyDescent="0.25">
      <c r="A10" s="4"/>
      <c r="B10" s="16" t="s">
        <v>10</v>
      </c>
      <c r="C10" s="38"/>
      <c r="D10" s="38"/>
      <c r="E10" s="39"/>
      <c r="F10" s="39"/>
      <c r="G10" s="39"/>
      <c r="H10" s="43">
        <v>8</v>
      </c>
      <c r="I10" s="37">
        <v>0</v>
      </c>
      <c r="J10" s="14">
        <f t="shared" si="0"/>
        <v>0</v>
      </c>
    </row>
    <row r="11" spans="1:10" s="29" customFormat="1" ht="60" hidden="1" customHeight="1" x14ac:dyDescent="0.25">
      <c r="A11" s="30"/>
      <c r="B11" s="31" t="s">
        <v>11</v>
      </c>
      <c r="C11" s="39"/>
      <c r="D11" s="39"/>
      <c r="E11" s="39"/>
      <c r="F11" s="39"/>
      <c r="G11" s="39"/>
      <c r="H11" s="43">
        <f t="shared" ref="H11" si="1">SUM(C11:G11)</f>
        <v>0</v>
      </c>
      <c r="I11" s="37"/>
      <c r="J11" s="32">
        <f t="shared" si="0"/>
        <v>0</v>
      </c>
    </row>
    <row r="12" spans="1:10" ht="39.950000000000003" customHeight="1" x14ac:dyDescent="0.25">
      <c r="A12" s="4"/>
      <c r="B12" s="16" t="s">
        <v>32</v>
      </c>
      <c r="C12" s="38"/>
      <c r="D12" s="38"/>
      <c r="E12" s="39"/>
      <c r="F12" s="39"/>
      <c r="G12" s="39"/>
      <c r="H12" s="43">
        <v>60</v>
      </c>
      <c r="I12" s="37">
        <v>0</v>
      </c>
      <c r="J12" s="14">
        <f t="shared" si="0"/>
        <v>0</v>
      </c>
    </row>
    <row r="13" spans="1:10" ht="39.950000000000003" customHeight="1" x14ac:dyDescent="0.25">
      <c r="A13" s="4"/>
      <c r="B13" s="16" t="s">
        <v>33</v>
      </c>
      <c r="C13" s="38"/>
      <c r="D13" s="38"/>
      <c r="E13" s="39"/>
      <c r="F13" s="39"/>
      <c r="G13" s="39"/>
      <c r="H13" s="43">
        <v>50</v>
      </c>
      <c r="I13" s="37">
        <v>0</v>
      </c>
      <c r="J13" s="14">
        <f t="shared" si="0"/>
        <v>0</v>
      </c>
    </row>
    <row r="14" spans="1:10" ht="39.950000000000003" customHeight="1" x14ac:dyDescent="0.25">
      <c r="A14" s="4"/>
      <c r="B14" s="17" t="s">
        <v>12</v>
      </c>
      <c r="C14" s="38"/>
      <c r="D14" s="38"/>
      <c r="E14" s="39"/>
      <c r="F14" s="39">
        <v>0</v>
      </c>
      <c r="G14" s="39">
        <v>0</v>
      </c>
      <c r="H14" s="43">
        <v>45</v>
      </c>
      <c r="I14" s="37">
        <v>0</v>
      </c>
      <c r="J14" s="14">
        <f t="shared" si="0"/>
        <v>0</v>
      </c>
    </row>
    <row r="15" spans="1:10" ht="60" customHeight="1" x14ac:dyDescent="0.25">
      <c r="A15" s="4"/>
      <c r="B15" s="17" t="s">
        <v>34</v>
      </c>
      <c r="C15" s="38"/>
      <c r="D15" s="38"/>
      <c r="E15" s="39"/>
      <c r="F15" s="39"/>
      <c r="G15" s="39"/>
      <c r="H15" s="43">
        <v>350</v>
      </c>
      <c r="I15" s="37">
        <v>0</v>
      </c>
      <c r="J15" s="14">
        <f t="shared" si="0"/>
        <v>0</v>
      </c>
    </row>
    <row r="16" spans="1:10" ht="39.950000000000003" customHeight="1" x14ac:dyDescent="0.25">
      <c r="A16" s="4"/>
      <c r="B16" s="16" t="s">
        <v>35</v>
      </c>
      <c r="C16" s="38"/>
      <c r="D16" s="38"/>
      <c r="E16" s="39"/>
      <c r="F16" s="39"/>
      <c r="G16" s="39"/>
      <c r="H16" s="43">
        <v>45</v>
      </c>
      <c r="I16" s="37">
        <v>0</v>
      </c>
      <c r="J16" s="14">
        <f t="shared" si="0"/>
        <v>0</v>
      </c>
    </row>
    <row r="17" spans="1:10" ht="60" customHeight="1" x14ac:dyDescent="0.25">
      <c r="A17" s="4"/>
      <c r="B17" s="16" t="s">
        <v>13</v>
      </c>
      <c r="C17" s="38"/>
      <c r="D17" s="38"/>
      <c r="E17" s="39"/>
      <c r="F17" s="39"/>
      <c r="G17" s="39"/>
      <c r="H17" s="43">
        <v>120</v>
      </c>
      <c r="I17" s="37">
        <v>0</v>
      </c>
      <c r="J17" s="14">
        <f t="shared" si="0"/>
        <v>0</v>
      </c>
    </row>
    <row r="18" spans="1:10" s="1" customFormat="1" ht="64.5" customHeight="1" x14ac:dyDescent="0.25">
      <c r="A18" s="4"/>
      <c r="B18" s="47"/>
      <c r="C18" s="38"/>
      <c r="D18" s="38"/>
      <c r="E18" s="39"/>
      <c r="F18" s="39"/>
      <c r="G18" s="39"/>
      <c r="H18" s="43"/>
      <c r="I18" s="37"/>
      <c r="J18" s="14"/>
    </row>
    <row r="19" spans="1:10" s="1" customFormat="1" ht="73.5" customHeight="1" x14ac:dyDescent="0.25">
      <c r="A19" s="4"/>
      <c r="B19" s="48"/>
      <c r="C19" s="44"/>
      <c r="D19" s="44"/>
      <c r="E19" s="44"/>
      <c r="F19" s="44"/>
      <c r="G19" s="44"/>
      <c r="H19" s="43"/>
      <c r="I19" s="45">
        <v>0</v>
      </c>
      <c r="J19" s="46">
        <f t="shared" ref="J19" si="2">PRODUCT(H19,I19)</f>
        <v>0</v>
      </c>
    </row>
    <row r="20" spans="1:10" s="29" customFormat="1" ht="39.950000000000003" hidden="1" customHeight="1" x14ac:dyDescent="0.25">
      <c r="A20" s="33"/>
      <c r="B20" s="31" t="s">
        <v>18</v>
      </c>
      <c r="C20" s="36">
        <v>0</v>
      </c>
      <c r="D20" s="36">
        <v>0</v>
      </c>
      <c r="E20" s="23">
        <v>2</v>
      </c>
      <c r="F20" s="36">
        <v>0</v>
      </c>
      <c r="G20" s="36">
        <v>0</v>
      </c>
      <c r="H20" s="35">
        <f t="shared" ref="H20" si="3">SUM(C20:G20)</f>
        <v>2</v>
      </c>
      <c r="I20" s="37">
        <v>0</v>
      </c>
      <c r="J20" s="32">
        <f t="shared" si="0"/>
        <v>0</v>
      </c>
    </row>
    <row r="21" spans="1:10" s="29" customFormat="1" ht="20.100000000000001" hidden="1" customHeight="1" x14ac:dyDescent="0.25">
      <c r="A21" s="33"/>
      <c r="B21" s="31" t="s">
        <v>14</v>
      </c>
      <c r="C21" s="23">
        <v>0</v>
      </c>
      <c r="D21" s="23">
        <v>0</v>
      </c>
      <c r="E21" s="23">
        <v>0</v>
      </c>
      <c r="F21" s="23">
        <v>0</v>
      </c>
      <c r="G21" s="23">
        <v>0</v>
      </c>
      <c r="H21" s="26">
        <f t="shared" ref="H21:H26" si="4">SUM(C21:G21)</f>
        <v>0</v>
      </c>
      <c r="I21" s="37">
        <v>0</v>
      </c>
      <c r="J21" s="32">
        <f t="shared" si="0"/>
        <v>0</v>
      </c>
    </row>
    <row r="22" spans="1:10" s="29" customFormat="1" ht="60" hidden="1" customHeight="1" x14ac:dyDescent="0.25">
      <c r="A22" s="33"/>
      <c r="B22" s="31" t="s">
        <v>15</v>
      </c>
      <c r="C22" s="23">
        <v>0</v>
      </c>
      <c r="D22" s="23">
        <v>0</v>
      </c>
      <c r="E22" s="23">
        <v>0</v>
      </c>
      <c r="F22" s="23">
        <v>0</v>
      </c>
      <c r="G22" s="23">
        <v>0</v>
      </c>
      <c r="H22" s="26">
        <f t="shared" si="4"/>
        <v>0</v>
      </c>
      <c r="I22" s="37">
        <v>0</v>
      </c>
      <c r="J22" s="32">
        <f t="shared" si="0"/>
        <v>0</v>
      </c>
    </row>
    <row r="23" spans="1:10" s="29" customFormat="1" ht="39.950000000000003" hidden="1" customHeight="1" x14ac:dyDescent="0.25">
      <c r="A23" s="33"/>
      <c r="B23" s="31" t="s">
        <v>21</v>
      </c>
      <c r="C23" s="23">
        <v>0</v>
      </c>
      <c r="D23" s="23">
        <v>0</v>
      </c>
      <c r="E23" s="23">
        <v>0</v>
      </c>
      <c r="F23" s="23">
        <v>0</v>
      </c>
      <c r="G23" s="23">
        <v>0</v>
      </c>
      <c r="H23" s="26">
        <f t="shared" ref="H23" si="5">SUM(C23:G23)</f>
        <v>0</v>
      </c>
      <c r="I23" s="37">
        <v>0</v>
      </c>
      <c r="J23" s="32">
        <f t="shared" ref="J23" si="6">PRODUCT(H23,I23)</f>
        <v>0</v>
      </c>
    </row>
    <row r="24" spans="1:10" s="29" customFormat="1" ht="20.100000000000001" hidden="1" customHeight="1" x14ac:dyDescent="0.25">
      <c r="A24" s="33"/>
      <c r="B24" s="31" t="s">
        <v>19</v>
      </c>
      <c r="C24" s="23">
        <v>0</v>
      </c>
      <c r="D24" s="23">
        <v>0</v>
      </c>
      <c r="E24" s="23">
        <v>0</v>
      </c>
      <c r="F24" s="23">
        <v>0</v>
      </c>
      <c r="G24" s="23">
        <v>0</v>
      </c>
      <c r="H24" s="26">
        <f t="shared" si="4"/>
        <v>0</v>
      </c>
      <c r="I24" s="37">
        <v>0</v>
      </c>
      <c r="J24" s="32">
        <f t="shared" si="0"/>
        <v>0</v>
      </c>
    </row>
    <row r="25" spans="1:10" s="29" customFormat="1" ht="60" hidden="1" customHeight="1" x14ac:dyDescent="0.25">
      <c r="A25" s="30"/>
      <c r="B25" s="31" t="s">
        <v>16</v>
      </c>
      <c r="C25" s="23">
        <v>0</v>
      </c>
      <c r="D25" s="23">
        <v>0</v>
      </c>
      <c r="E25" s="23">
        <v>0</v>
      </c>
      <c r="F25" s="23">
        <v>0</v>
      </c>
      <c r="G25" s="23">
        <v>0</v>
      </c>
      <c r="H25" s="26">
        <f t="shared" si="4"/>
        <v>0</v>
      </c>
      <c r="I25" s="37">
        <v>0</v>
      </c>
      <c r="J25" s="32">
        <f t="shared" si="0"/>
        <v>0</v>
      </c>
    </row>
    <row r="26" spans="1:10" s="29" customFormat="1" ht="1.5" hidden="1" customHeight="1" x14ac:dyDescent="0.25">
      <c r="A26" s="30"/>
      <c r="B26" s="31" t="s">
        <v>20</v>
      </c>
      <c r="C26" s="23">
        <v>0</v>
      </c>
      <c r="D26" s="23">
        <v>0</v>
      </c>
      <c r="E26" s="23">
        <v>0</v>
      </c>
      <c r="F26" s="23">
        <v>0</v>
      </c>
      <c r="G26" s="23">
        <v>0</v>
      </c>
      <c r="H26" s="26">
        <f t="shared" si="4"/>
        <v>0</v>
      </c>
      <c r="I26" s="37">
        <v>21.4755</v>
      </c>
      <c r="J26" s="32">
        <f t="shared" si="0"/>
        <v>0</v>
      </c>
    </row>
    <row r="27" spans="1:10" ht="15.75" x14ac:dyDescent="0.25">
      <c r="A27" s="49" t="s">
        <v>22</v>
      </c>
      <c r="B27" s="50"/>
      <c r="C27" s="50"/>
      <c r="D27" s="50"/>
      <c r="E27" s="50"/>
      <c r="F27" s="50"/>
      <c r="G27" s="50"/>
      <c r="H27" s="50"/>
      <c r="I27" s="50"/>
      <c r="J27" s="51"/>
    </row>
    <row r="28" spans="1:10" ht="15.75" x14ac:dyDescent="0.25">
      <c r="A28" s="49" t="s">
        <v>8</v>
      </c>
      <c r="B28" s="50"/>
      <c r="C28" s="50"/>
      <c r="D28" s="50"/>
      <c r="E28" s="50"/>
      <c r="F28" s="50"/>
      <c r="G28" s="50"/>
      <c r="H28" s="50"/>
      <c r="I28" s="51"/>
      <c r="J28" s="40">
        <f>SUM(J19,J17,J16,J15,J14,J13,J12,J10,J9,J8,J7,J6,J5,J4,)</f>
        <v>0</v>
      </c>
    </row>
    <row r="29" spans="1:10" x14ac:dyDescent="0.25">
      <c r="A29" s="5"/>
      <c r="B29" s="18"/>
      <c r="C29" s="2"/>
      <c r="D29" s="2"/>
      <c r="E29" s="12"/>
      <c r="F29" s="12"/>
      <c r="G29" s="12"/>
      <c r="H29" s="27"/>
      <c r="I29" s="10"/>
      <c r="J29" s="8"/>
    </row>
    <row r="30" spans="1:10" x14ac:dyDescent="0.25">
      <c r="A30" s="5"/>
      <c r="B30" s="18"/>
      <c r="C30" s="2"/>
      <c r="D30" s="2"/>
      <c r="E30" s="12"/>
      <c r="F30" s="12"/>
      <c r="G30" s="12"/>
      <c r="H30" s="27"/>
      <c r="I30" s="10"/>
      <c r="J30" s="8"/>
    </row>
    <row r="31" spans="1:10" x14ac:dyDescent="0.25">
      <c r="A31" s="5"/>
      <c r="B31" s="18"/>
      <c r="C31" s="2"/>
      <c r="D31" s="2"/>
      <c r="E31" s="12"/>
      <c r="F31" s="12"/>
      <c r="G31" s="12"/>
      <c r="H31" s="27"/>
      <c r="I31" s="10"/>
      <c r="J31" s="8"/>
    </row>
    <row r="32" spans="1:10" x14ac:dyDescent="0.25">
      <c r="A32" s="6"/>
      <c r="B32" s="19"/>
      <c r="C32" s="3"/>
      <c r="D32" s="3"/>
      <c r="E32" s="13"/>
      <c r="F32" s="13"/>
      <c r="G32" s="13"/>
      <c r="H32" s="28"/>
      <c r="I32" s="11"/>
      <c r="J32" s="9"/>
    </row>
    <row r="33" spans="1:10" x14ac:dyDescent="0.25">
      <c r="A33" s="6"/>
      <c r="B33" s="19"/>
      <c r="C33" s="3"/>
      <c r="D33" s="3"/>
      <c r="E33" s="13"/>
      <c r="F33" s="13"/>
      <c r="G33" s="13"/>
      <c r="H33" s="28"/>
      <c r="I33" s="11"/>
      <c r="J33" s="9"/>
    </row>
    <row r="34" spans="1:10" x14ac:dyDescent="0.25">
      <c r="A34" s="6"/>
      <c r="B34" s="19"/>
      <c r="C34" s="3"/>
      <c r="D34" s="3"/>
      <c r="E34" s="13"/>
      <c r="F34" s="13"/>
      <c r="G34" s="13"/>
      <c r="H34" s="28"/>
      <c r="I34" s="11"/>
      <c r="J34" s="9"/>
    </row>
    <row r="35" spans="1:10" x14ac:dyDescent="0.25">
      <c r="A35" s="6"/>
      <c r="B35" s="19"/>
      <c r="C35" s="3"/>
      <c r="D35" s="3"/>
      <c r="E35" s="13"/>
      <c r="F35" s="13"/>
      <c r="G35" s="13"/>
      <c r="H35" s="28"/>
      <c r="I35" s="11"/>
      <c r="J35" s="9"/>
    </row>
    <row r="36" spans="1:10" x14ac:dyDescent="0.25">
      <c r="A36" s="7"/>
      <c r="C36" s="1"/>
      <c r="D36" s="1"/>
      <c r="E36" s="1"/>
      <c r="F36" s="1"/>
      <c r="G36" s="1"/>
      <c r="I36" s="1"/>
      <c r="J36" s="1"/>
    </row>
  </sheetData>
  <mergeCells count="6">
    <mergeCell ref="A27:J27"/>
    <mergeCell ref="A28:I28"/>
    <mergeCell ref="A1:B2"/>
    <mergeCell ref="C1:H1"/>
    <mergeCell ref="I1:J2"/>
    <mergeCell ref="H2:H3"/>
  </mergeCells>
  <conditionalFormatting sqref="J28">
    <cfRule type="cellIs" dxfId="0" priority="1" operator="greaterThan">
      <formula>20000</formula>
    </cfRule>
  </conditionalFormatting>
  <printOptions horizontalCentered="1"/>
  <pageMargins left="0.25" right="0.25" top="0.75" bottom="0.75" header="0.25" footer="0.25"/>
  <pageSetup fitToHeight="8" orientation="landscape" r:id="rId1"/>
  <headerFooter>
    <oddHeader>&amp;L&amp;"-,Bold"&amp;14&amp;K000000WEEK#24101
02 OCT 23&amp;C&amp;"-,Bold"&amp;12FCC COLEMAN (Coleman, FL) WEEKLY FRESH PRODUCE REQUEST&amp;"-,Regular"&amp;10
&amp;8Call (352)689-3055 or 3052 for any questions&amp;R&amp;14COMPOUND</oddHeader>
    <oddFooter xml:space="preserve">&amp;CNOTE 1: Above items must be USDA inspected with certificate attached to manifest.
NOTE 2: ALL above items must be palletized for easy access and unloading. Partial or total shipments may be refused if these guildelines are not adhered to.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Densmore, Delbert</dc:creator>
  <cp:lastModifiedBy>Frederick, Daniel (BOP)</cp:lastModifiedBy>
  <cp:lastPrinted>2021-06-16T15:11:33Z</cp:lastPrinted>
  <dcterms:created xsi:type="dcterms:W3CDTF">2017-04-21T10:32:52Z</dcterms:created>
  <dcterms:modified xsi:type="dcterms:W3CDTF">2025-06-11T18:39:41Z</dcterms:modified>
</cp:coreProperties>
</file>