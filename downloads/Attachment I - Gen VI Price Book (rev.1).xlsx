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GEN VI Med Surg PV\Amendments\0001\"/>
    </mc:Choice>
  </mc:AlternateContent>
  <xr:revisionPtr revIDLastSave="0" documentId="13_ncr:1_{69660C72-DB62-418F-8211-EE0FD2D6F1D2}" xr6:coauthVersionLast="47" xr6:coauthVersionMax="47" xr10:uidLastSave="{00000000-0000-0000-0000-000000000000}"/>
  <bookViews>
    <workbookView xWindow="28680" yWindow="-120" windowWidth="29040" windowHeight="15720" xr2:uid="{16D98324-4215-415D-99A0-D3A8FC880372}"/>
  </bookViews>
  <sheets>
    <sheet name="Cover Page" sheetId="3" r:id="rId1"/>
    <sheet name="Instructions" sheetId="2" r:id="rId2"/>
    <sheet name="Price Book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" l="1"/>
  <c r="H528" i="1"/>
  <c r="H524" i="1"/>
  <c r="H525" i="1"/>
  <c r="H526" i="1"/>
  <c r="H527" i="1"/>
  <c r="H529" i="1"/>
  <c r="H161" i="1"/>
  <c r="H162" i="1"/>
  <c r="H163" i="1"/>
  <c r="H164" i="1"/>
  <c r="H165" i="1"/>
  <c r="H166" i="1"/>
  <c r="G111" i="1"/>
  <c r="G209" i="1" l="1"/>
  <c r="H209" i="1" s="1"/>
  <c r="H206" i="1"/>
  <c r="G282" i="1"/>
  <c r="H204" i="1"/>
  <c r="H203" i="1"/>
  <c r="H199" i="1"/>
  <c r="H200" i="1"/>
  <c r="H201" i="1"/>
  <c r="H202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1" i="1"/>
  <c r="G440" i="1"/>
  <c r="G439" i="1"/>
  <c r="G421" i="1"/>
  <c r="G420" i="1"/>
  <c r="G419" i="1"/>
  <c r="G418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D390" i="1"/>
  <c r="H390" i="1" s="1"/>
  <c r="D388" i="1"/>
  <c r="H388" i="1" s="1"/>
  <c r="H389" i="1"/>
  <c r="H387" i="1"/>
  <c r="G393" i="1"/>
  <c r="G291" i="1"/>
  <c r="G290" i="1"/>
  <c r="G289" i="1"/>
  <c r="G288" i="1"/>
  <c r="G287" i="1"/>
  <c r="G286" i="1"/>
  <c r="G285" i="1"/>
  <c r="G284" i="1"/>
  <c r="G283" i="1"/>
  <c r="G277" i="1"/>
  <c r="G274" i="1"/>
  <c r="G273" i="1"/>
  <c r="G272" i="1"/>
  <c r="G271" i="1"/>
  <c r="G270" i="1"/>
  <c r="G269" i="1"/>
  <c r="G268" i="1"/>
  <c r="G267" i="1"/>
  <c r="G266" i="1"/>
  <c r="G265" i="1"/>
  <c r="G257" i="1"/>
  <c r="G256" i="1"/>
  <c r="G255" i="1"/>
  <c r="G237" i="1"/>
  <c r="G236" i="1"/>
  <c r="G235" i="1"/>
  <c r="G234" i="1"/>
  <c r="H365" i="1" l="1"/>
  <c r="G260" i="1"/>
  <c r="H260" i="1" s="1"/>
  <c r="G278" i="1"/>
  <c r="H278" i="1" s="1"/>
  <c r="G261" i="1"/>
  <c r="H261" i="1" s="1"/>
  <c r="G279" i="1"/>
  <c r="H279" i="1" s="1"/>
  <c r="G262" i="1"/>
  <c r="H262" i="1" s="1"/>
  <c r="G280" i="1"/>
  <c r="H280" i="1" s="1"/>
  <c r="H205" i="1"/>
  <c r="G263" i="1"/>
  <c r="H263" i="1" s="1"/>
  <c r="G281" i="1"/>
  <c r="H281" i="1" s="1"/>
  <c r="G264" i="1"/>
  <c r="H264" i="1" s="1"/>
  <c r="G226" i="1"/>
  <c r="H226" i="1" s="1"/>
  <c r="G210" i="1"/>
  <c r="H210" i="1" s="1"/>
  <c r="G223" i="1"/>
  <c r="H223" i="1" s="1"/>
  <c r="G222" i="1"/>
  <c r="H222" i="1" s="1"/>
  <c r="G219" i="1"/>
  <c r="H219" i="1" s="1"/>
  <c r="G218" i="1"/>
  <c r="H218" i="1" s="1"/>
  <c r="G215" i="1"/>
  <c r="H215" i="1" s="1"/>
  <c r="G229" i="1"/>
  <c r="H229" i="1" s="1"/>
  <c r="G212" i="1"/>
  <c r="H212" i="1" s="1"/>
  <c r="G225" i="1"/>
  <c r="H225" i="1" s="1"/>
  <c r="G217" i="1"/>
  <c r="H217" i="1" s="1"/>
  <c r="G224" i="1"/>
  <c r="H224" i="1" s="1"/>
  <c r="G216" i="1"/>
  <c r="H216" i="1" s="1"/>
  <c r="G211" i="1"/>
  <c r="H211" i="1" s="1"/>
  <c r="G230" i="1"/>
  <c r="H230" i="1" s="1"/>
  <c r="G227" i="1"/>
  <c r="H227" i="1" s="1"/>
  <c r="G221" i="1"/>
  <c r="H221" i="1" s="1"/>
  <c r="G220" i="1"/>
  <c r="H220" i="1" s="1"/>
  <c r="G232" i="1"/>
  <c r="H232" i="1" s="1"/>
  <c r="G231" i="1"/>
  <c r="H231" i="1" s="1"/>
  <c r="G214" i="1"/>
  <c r="H214" i="1" s="1"/>
  <c r="G213" i="1"/>
  <c r="H213" i="1" s="1"/>
  <c r="G228" i="1"/>
  <c r="H228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7" i="1"/>
  <c r="H77" i="1" s="1"/>
  <c r="G76" i="1"/>
  <c r="H76" i="1" s="1"/>
  <c r="G75" i="1"/>
  <c r="H75" i="1" s="1"/>
  <c r="G57" i="1"/>
  <c r="H57" i="1" s="1"/>
  <c r="G56" i="1"/>
  <c r="H56" i="1" s="1"/>
  <c r="G55" i="1"/>
  <c r="H55" i="1" s="1"/>
  <c r="G54" i="1"/>
  <c r="H54" i="1" s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H35" i="1" s="1"/>
  <c r="G34" i="1"/>
  <c r="H34" i="1" s="1"/>
  <c r="G33" i="1"/>
  <c r="H33" i="1" s="1"/>
  <c r="G32" i="1"/>
  <c r="G31" i="1"/>
  <c r="H31" i="1" s="1"/>
  <c r="G30" i="1"/>
  <c r="H30" i="1" s="1"/>
  <c r="G29" i="1"/>
  <c r="H29" i="1" s="1"/>
  <c r="H532" i="1"/>
  <c r="H531" i="1"/>
  <c r="H530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1" i="1"/>
  <c r="H440" i="1"/>
  <c r="H439" i="1"/>
  <c r="H421" i="1"/>
  <c r="H420" i="1"/>
  <c r="H419" i="1"/>
  <c r="H418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86" i="1"/>
  <c r="H385" i="1"/>
  <c r="H384" i="1"/>
  <c r="H383" i="1"/>
  <c r="H382" i="1"/>
  <c r="H381" i="1"/>
  <c r="H380" i="1"/>
  <c r="H379" i="1"/>
  <c r="H291" i="1"/>
  <c r="H290" i="1"/>
  <c r="H289" i="1"/>
  <c r="H288" i="1"/>
  <c r="H287" i="1"/>
  <c r="H286" i="1"/>
  <c r="H285" i="1"/>
  <c r="H284" i="1"/>
  <c r="H283" i="1"/>
  <c r="H282" i="1"/>
  <c r="H277" i="1"/>
  <c r="H274" i="1"/>
  <c r="H273" i="1"/>
  <c r="H272" i="1"/>
  <c r="H271" i="1"/>
  <c r="H270" i="1"/>
  <c r="H269" i="1"/>
  <c r="H268" i="1"/>
  <c r="H267" i="1"/>
  <c r="H266" i="1"/>
  <c r="H265" i="1"/>
  <c r="H257" i="1"/>
  <c r="H256" i="1"/>
  <c r="H255" i="1"/>
  <c r="H237" i="1"/>
  <c r="H236" i="1"/>
  <c r="H235" i="1"/>
  <c r="H234" i="1"/>
  <c r="H169" i="1"/>
  <c r="H168" i="1"/>
  <c r="H167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26" i="1"/>
  <c r="H25" i="1"/>
  <c r="H24" i="1"/>
  <c r="H23" i="1"/>
  <c r="H22" i="1"/>
  <c r="H21" i="1"/>
  <c r="H20" i="1"/>
  <c r="H19" i="1"/>
  <c r="H186" i="1" l="1"/>
  <c r="H549" i="1"/>
  <c r="H547" i="1"/>
  <c r="H37" i="1"/>
  <c r="H36" i="1"/>
  <c r="H32" i="1"/>
  <c r="H39" i="1" l="1"/>
  <c r="H41" i="1"/>
  <c r="H44" i="1"/>
  <c r="H38" i="1"/>
  <c r="H40" i="1"/>
  <c r="H48" i="1" l="1"/>
  <c r="H47" i="1"/>
  <c r="H42" i="1"/>
  <c r="H43" i="1"/>
  <c r="H45" i="1"/>
  <c r="H50" i="1" l="1"/>
  <c r="H51" i="1"/>
  <c r="H46" i="1"/>
  <c r="H49" i="1" l="1"/>
  <c r="H52" i="1"/>
  <c r="H184" i="1" l="1"/>
</calcChain>
</file>

<file path=xl/sharedStrings.xml><?xml version="1.0" encoding="utf-8"?>
<sst xmlns="http://schemas.openxmlformats.org/spreadsheetml/2006/main" count="1944" uniqueCount="271">
  <si>
    <t>Global North Region</t>
  </si>
  <si>
    <t>Gen V Item No.</t>
  </si>
  <si>
    <t>Description</t>
  </si>
  <si>
    <t>PV Offer</t>
  </si>
  <si>
    <t>Weighted Factor</t>
  </si>
  <si>
    <t>Sales</t>
  </si>
  <si>
    <t>Evaluated Price</t>
  </si>
  <si>
    <t>0001</t>
  </si>
  <si>
    <t>30-mo Cost of Access as the Primary WRM PV % value of inventory</t>
  </si>
  <si>
    <t>0002</t>
  </si>
  <si>
    <t>0003</t>
  </si>
  <si>
    <t>0004</t>
  </si>
  <si>
    <t>Flat Rate “Excess” Emergency Order Expense $</t>
  </si>
  <si>
    <t>0005</t>
  </si>
  <si>
    <t>DVD - Primary PV Distribution Fee %</t>
  </si>
  <si>
    <t>DVD - Back-up PV Distribution Fee %</t>
  </si>
  <si>
    <t>Kitting - Primary PV Distribution Fee %</t>
  </si>
  <si>
    <t>Kitting - Back-up PV Distribution Fee %</t>
  </si>
  <si>
    <t>0006</t>
  </si>
  <si>
    <t>Basic OCONUS Primary PV Distribution Fee %</t>
  </si>
  <si>
    <t>Basic OCONUS Back-up PV Distribution Fee %</t>
  </si>
  <si>
    <t>0007</t>
  </si>
  <si>
    <t>Basic CONUS Primary PV Distribution Fee %</t>
  </si>
  <si>
    <t>Basic CONUS Back-up PV Distribution Fee %</t>
  </si>
  <si>
    <t>0008</t>
  </si>
  <si>
    <t>$1,000,001 to $3,000,000 minus %</t>
  </si>
  <si>
    <t>$3,000,001 to $5,000,000 minus %</t>
  </si>
  <si>
    <t>$5,000,001 to $7,000,000 minus %</t>
  </si>
  <si>
    <t>$7,000,001 to $9,000,000 minus %</t>
  </si>
  <si>
    <t>$9,000,001 to $11,000,000 minus %</t>
  </si>
  <si>
    <t>$11,000,001 to $13,000,000 minus %</t>
  </si>
  <si>
    <t>$13,000,001 to $15,000,000 minus %</t>
  </si>
  <si>
    <t>$15,000,001 to $17,000,000 minus %</t>
  </si>
  <si>
    <t>$17,000,001 to $19,000,000 minus %</t>
  </si>
  <si>
    <t>$19,000,001 to $21,000,000 minus %</t>
  </si>
  <si>
    <t>$21,000,001 to $23,000,000 minus %</t>
  </si>
  <si>
    <t>$23,000,001 to $25,000,000 minus %</t>
  </si>
  <si>
    <t>$25,000,001 to $27,000,000 minus %</t>
  </si>
  <si>
    <t>$27,000,001 to $29,000,000 minus %</t>
  </si>
  <si>
    <t>$29,000,001 to $31,000,000 minus %</t>
  </si>
  <si>
    <t>$31,000,001 to $33,000,000 minus %</t>
  </si>
  <si>
    <t>$33,000,001 to $35,000,000 minus %</t>
  </si>
  <si>
    <t>$35,000,001 to $37,000,000 minus %</t>
  </si>
  <si>
    <t>$37,000,001 to $39,000,000 minus %</t>
  </si>
  <si>
    <t>$39,000,001 to $41,000,000 minus %</t>
  </si>
  <si>
    <t>$41,000,001 to $45,000,000 minus %</t>
  </si>
  <si>
    <t>$45,000,001 to $50,000,000 minus %</t>
  </si>
  <si>
    <t>$50,000,001 to $55,000,000 minus %</t>
  </si>
  <si>
    <t>Over $55,000,000 minus %</t>
  </si>
  <si>
    <t>0009</t>
  </si>
  <si>
    <t>Delivery Frequency Election (CONUS ROFs only)</t>
  </si>
  <si>
    <t>Delivery once per week: minus %</t>
  </si>
  <si>
    <t>Delivery twice per week: minus %</t>
  </si>
  <si>
    <t>Delivery three times per week: minus %</t>
  </si>
  <si>
    <t>Delivery four times per week: minus %</t>
  </si>
  <si>
    <t>Delivery five times per week: Included in Basic Fee</t>
  </si>
  <si>
    <t>0010</t>
  </si>
  <si>
    <t>Stockless (applies to CONUS ROFs only)</t>
  </si>
  <si>
    <t>$10,000-$100,000 APC plus %</t>
  </si>
  <si>
    <t>$100,001-$1,000,000 APC plus %</t>
  </si>
  <si>
    <t>$1,000,001-$2,000,000 APC plus %</t>
  </si>
  <si>
    <t>$2,000,001-$3,000,000 APC plus %</t>
  </si>
  <si>
    <t>$3,000,001-$4,000,000 APC plus %</t>
  </si>
  <si>
    <t>$4,000,001-$5,000,000 APC plus %</t>
  </si>
  <si>
    <t>0011</t>
  </si>
  <si>
    <t>Delivery Location Election (CONUS ROFs only)</t>
  </si>
  <si>
    <t>To facility or dock</t>
  </si>
  <si>
    <t>Up to two additional sites within the facility plus %</t>
  </si>
  <si>
    <t>Three to five additional sites within the facility plus %</t>
  </si>
  <si>
    <t>Six to ten additional sites within the facility plus %</t>
  </si>
  <si>
    <t>0012</t>
  </si>
  <si>
    <t>Outside Delivery Location Election within 25 miles (CONUS ROFs only)</t>
  </si>
  <si>
    <t>Zero additional sites</t>
  </si>
  <si>
    <t>Delivery to one additional site plus %</t>
  </si>
  <si>
    <t>Delivery to two additional sites plus %</t>
  </si>
  <si>
    <t>Delivery to three additional sites plus %</t>
  </si>
  <si>
    <t>Delivery to four additional sites plus %</t>
  </si>
  <si>
    <t>Delivery to five additional sites plus %</t>
  </si>
  <si>
    <t>Delivery to six additional sites plus %</t>
  </si>
  <si>
    <t>Delivery to seven additional sites plus %</t>
  </si>
  <si>
    <t>Delivery to eight additional sites plus %</t>
  </si>
  <si>
    <t>Delivery to nine additional sites plus %</t>
  </si>
  <si>
    <t>Delivery to ten additional sites plus %</t>
  </si>
  <si>
    <t>Delivery to eleven additional sites plus %</t>
  </si>
  <si>
    <t>Delivery to twelve additional sites plus %</t>
  </si>
  <si>
    <t>Delivery to thirteen additional sites plus %</t>
  </si>
  <si>
    <t>Delivery to fourteen additional sites plus %</t>
  </si>
  <si>
    <t>Delivery to fifteen additional sites plus %</t>
  </si>
  <si>
    <t>0013</t>
  </si>
  <si>
    <t>Outside Delivery Location Election &gt; 25 miles (CONUS ROFs only)</t>
  </si>
  <si>
    <t>0014</t>
  </si>
  <si>
    <t>Customer Service Election</t>
  </si>
  <si>
    <t>0014AA</t>
  </si>
  <si>
    <t>Weekly customer service rep visits plus %</t>
  </si>
  <si>
    <t>Monthly customer service rep visits: Included in Basic Fee</t>
  </si>
  <si>
    <t>Quarterly customer service rep visits minus %</t>
  </si>
  <si>
    <t>Telephonic customer service minus %</t>
  </si>
  <si>
    <t>Full-time, on-site rep: APC $1,000,001 to $2,000,000 plus %</t>
  </si>
  <si>
    <t>Full-time, on-site rep: APC $2,000,001 to $3,000,000 plus %</t>
  </si>
  <si>
    <t>Full-time, on-site rep: APC $3,000,001 to $4,000,000 plus %</t>
  </si>
  <si>
    <t>Full-time, on-site rep: APC $4,000,001 to $5,000,000 plus %</t>
  </si>
  <si>
    <t>Full-time, on-site rep: APC $5,000,001 to $8,000,000 plus %</t>
  </si>
  <si>
    <t>Full-time, on-site rep: APC $8,000,001 to $12,000,000 plus %</t>
  </si>
  <si>
    <t>Full-time, on-site rep: APC $12,000,001 to $18,000,000 plus %</t>
  </si>
  <si>
    <t>Full-time, on-site rep: APC $18,000,001 to $25,000,000 plus %</t>
  </si>
  <si>
    <t>Full-time, on-site rep: APC $25,000,001 to $35,000,000 plus %</t>
  </si>
  <si>
    <t>Full-time, on-site rep: APC $35,000,001 to $50,000,000 plus %</t>
  </si>
  <si>
    <t>Full-time, on-site rep: APC $50,000,001 or greater plus %</t>
  </si>
  <si>
    <t>0014AB</t>
  </si>
  <si>
    <t>Full-time, on-site rep (OCONUS)</t>
  </si>
  <si>
    <t>OCONUS on-site rep: APC $1,000,000-$2,500,000 plus %</t>
  </si>
  <si>
    <t>OCONUS on-site rep: APC $2,500,001-$5,000,000 plus %</t>
  </si>
  <si>
    <t>OCONUS on-site rep: APC $5,000,001-$10,000,000 plus %</t>
  </si>
  <si>
    <t>OCONUS on-site rep: APC $10,000,001-$20,000,000 plus %</t>
  </si>
  <si>
    <t>OCONUS on-site rep: APC $20,000,001-$40,000,000 plus %</t>
  </si>
  <si>
    <t>OCONUS on-site rep: APC above $40,000,000 plus %</t>
  </si>
  <si>
    <t>0014AC</t>
  </si>
  <si>
    <t>Centralized On-Site Customer Service Representative</t>
  </si>
  <si>
    <t>APC $20,000,000-$24,999,999 plus %</t>
  </si>
  <si>
    <t>APC $25,000,000-$29,999,999 plus %</t>
  </si>
  <si>
    <t>APC $30,000,000-$34,999,999 plus %</t>
  </si>
  <si>
    <t>APC $35,000,000-$39,999,999 plus %</t>
  </si>
  <si>
    <t>APC $40,000,000-$44,999,999 plus %</t>
  </si>
  <si>
    <t>APC $45,000,000-$49,999,999 plus %</t>
  </si>
  <si>
    <t>APC $50,000,000-$54,999,999 plus %</t>
  </si>
  <si>
    <t>APC $55,000,000-$59,999,999 plus %</t>
  </si>
  <si>
    <t>APC $60,000,000-$64,999,999 plus %</t>
  </si>
  <si>
    <t>APC $65,000,000-$69,999,999 plus %</t>
  </si>
  <si>
    <t>APC $70,000,000-$74,999,999 plus %</t>
  </si>
  <si>
    <t xml:space="preserve">0015 </t>
  </si>
  <si>
    <t>Low Unit of Measure (LUM) exclusively for USAMMA plus %</t>
  </si>
  <si>
    <t>0016</t>
  </si>
  <si>
    <t>Monthly Cross-Docking Fee for DLA Troop Support (EUCOM/CENTCOM/AFRICOM ROFs)</t>
  </si>
  <si>
    <t>0016AA</t>
  </si>
  <si>
    <t>1 – 250 lines per month $</t>
  </si>
  <si>
    <t>251 – 500 lines per month $</t>
  </si>
  <si>
    <t>501 – 750 lines per month $</t>
  </si>
  <si>
    <t>751 – 1000 lines per month $</t>
  </si>
  <si>
    <t>1,001 – 2,000 lines per month $</t>
  </si>
  <si>
    <t>2,001 – 3,000 lines per month $</t>
  </si>
  <si>
    <t>3,001 – 4,000 lines per month $</t>
  </si>
  <si>
    <t>4,001 – 5,000 lines per month $</t>
  </si>
  <si>
    <t>5,001 – 10,000 lines per month $</t>
  </si>
  <si>
    <t>0017</t>
  </si>
  <si>
    <t>Wound Closure Management System (CONUS ROFs only)</t>
  </si>
  <si>
    <t>APC 1,000,001-$2,000,000 plus %</t>
  </si>
  <si>
    <t>APC 2,000,001-$3,000,000 plus %</t>
  </si>
  <si>
    <t>APC 3,000,001-$4,000,000 plus %</t>
  </si>
  <si>
    <t>APC 4,000,001-$5,000,000 plus %</t>
  </si>
  <si>
    <t>APC $5,000,001 and greater plus %</t>
  </si>
  <si>
    <t>0018</t>
  </si>
  <si>
    <t>Multiple Ordering Facilities with one delivery location</t>
  </si>
  <si>
    <t>Ordering Capability for 4-6 sites plus %</t>
  </si>
  <si>
    <t>Ordering Capability for 7-9 sites plus %</t>
  </si>
  <si>
    <t>Ordering Capability for 10-12 sites plus %</t>
  </si>
  <si>
    <t>Ordering Capability for 13-15 sites plus %</t>
  </si>
  <si>
    <t>Ordering Capability for 16-20 sites plus %</t>
  </si>
  <si>
    <t>Ordering Capability for 21-25 sites plus %</t>
  </si>
  <si>
    <t>North Primary</t>
  </si>
  <si>
    <t>North Backup</t>
  </si>
  <si>
    <t>Global South Region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</si>
  <si>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</si>
  <si>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</si>
  <si>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</si>
  <si>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</si>
  <si>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</si>
  <si>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</si>
  <si>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</si>
  <si>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</si>
  <si>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</si>
  <si>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</si>
  <si>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</si>
  <si>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</si>
  <si>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</si>
  <si>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</si>
  <si>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0032AA</t>
  </si>
  <si>
    <t>0032AB</t>
  </si>
  <si>
    <t>0032AC</t>
  </si>
  <si>
    <t>0033</t>
  </si>
  <si>
    <t>Monthly Cross-Docking Fee for DLA Troop Support (SOUTHCOM/NORTHCOM ROFs)</t>
  </si>
  <si>
    <t>0033AA</t>
  </si>
  <si>
    <t>0034</t>
  </si>
  <si>
    <t>0035</t>
  </si>
  <si>
    <t>South Primary</t>
  </si>
  <si>
    <t>South Backup</t>
  </si>
  <si>
    <t>Global West Region</t>
  </si>
  <si>
    <t>0036</t>
  </si>
  <si>
    <t>0037</t>
  </si>
  <si>
    <t>0038</t>
  </si>
  <si>
    <t>0039</t>
  </si>
  <si>
    <t>0040</t>
  </si>
  <si>
    <t>0041</t>
  </si>
  <si>
    <t>PACOM (excl. Hawaii) Primary PV Distribution Fee %</t>
  </si>
  <si>
    <t>PACOM (excl. Hawaii) Back-up PV Distribution Fee %</t>
  </si>
  <si>
    <t>0042</t>
  </si>
  <si>
    <t>Basic CONUS (excl. AK, HI) Primary PV Distribution Fee %</t>
  </si>
  <si>
    <t>Basic CONUS (excl. AK, HI) Back-up PV Distribution Fee %</t>
  </si>
  <si>
    <t>0042AA</t>
  </si>
  <si>
    <t>0042AB</t>
  </si>
  <si>
    <t>0043</t>
  </si>
  <si>
    <t>0044</t>
  </si>
  <si>
    <t>Delivery Frequency Election (CONUS ROFs plus AK, HI)</t>
  </si>
  <si>
    <t>0045</t>
  </si>
  <si>
    <t>Stockless (applies to CONUS ROFs plus AK, HI)</t>
  </si>
  <si>
    <t>0046</t>
  </si>
  <si>
    <t>0047</t>
  </si>
  <si>
    <t>Outside Delivery Location Election within 25 miles (CONUS ROFs plus AK, HI)</t>
  </si>
  <si>
    <t>0048</t>
  </si>
  <si>
    <t>Outside Delivery Location Election &gt; 25 miles (CONUS ROFs plus AK, HI)</t>
  </si>
  <si>
    <t>0049</t>
  </si>
  <si>
    <t>0049AA</t>
  </si>
  <si>
    <t>0049AB</t>
  </si>
  <si>
    <t>0049AC</t>
  </si>
  <si>
    <t>0050</t>
  </si>
  <si>
    <t>Monthly Cross-Docking Fee for DLA Troop Support (PACOM ROFs)</t>
  </si>
  <si>
    <t>0050AA</t>
  </si>
  <si>
    <t>0051</t>
  </si>
  <si>
    <t>Wound Closure Management System (CONUS ROFs plus AK, HI)</t>
  </si>
  <si>
    <t>0052</t>
  </si>
  <si>
    <t>West Primary</t>
  </si>
  <si>
    <t>West Backup</t>
  </si>
  <si>
    <t>Alaska Primary Service Distribution fee plus/minus %</t>
  </si>
  <si>
    <t>Hawaii Primary Service Distribution fee plus/minus %</t>
  </si>
  <si>
    <t>No APC  Reduction - Included in basic fee</t>
  </si>
  <si>
    <t>N/A</t>
  </si>
  <si>
    <t>Offering PV:</t>
  </si>
  <si>
    <t>Customer Service Election For CONUS ROFs plus AK, HI</t>
  </si>
  <si>
    <t>MSPV Gen VI DLA - Attachment I - Price Book</t>
  </si>
  <si>
    <t>Primary:</t>
  </si>
  <si>
    <t>Cage Code:</t>
  </si>
  <si>
    <t>Back-Up:</t>
  </si>
  <si>
    <t>Instructions:</t>
  </si>
  <si>
    <t>APC $75,000,000-$79,999,999 plus %</t>
  </si>
  <si>
    <t>APC $80,000,000-$85,999,999 plus %</t>
  </si>
  <si>
    <t>APC $86,000,000-$89,999,999 plus %</t>
  </si>
  <si>
    <t>APC $90,000,000-$95,999,999 plus %</t>
  </si>
  <si>
    <t>APC $96,000,000-$99,999,999 plus %</t>
  </si>
  <si>
    <t>APC $100,000,000-$199,999,999 plus %</t>
  </si>
  <si>
    <t>APC $200,000,000-$299,999,999 plus %</t>
  </si>
  <si>
    <t>APC $300,000,000-$399,999,999 plus %</t>
  </si>
  <si>
    <t>Alaska Back-Up Service Distribution fee plus/minus % (same as primary if offering as both)</t>
  </si>
  <si>
    <t>Hawaii Back-up Service Distribution fee plus/minus % (same as primary if offering as both)</t>
  </si>
  <si>
    <t>PVWRM Distribution Fee % (same as primary if offering as both)</t>
  </si>
  <si>
    <t>APC $400,000,000-$499,999,999 plus %</t>
  </si>
  <si>
    <t>APC $500,000,000-$599,999,999 plus %</t>
  </si>
  <si>
    <t>APC $600,000,000-$699,999,999 plus %</t>
  </si>
  <si>
    <t>APC $700,000,000-$799,999,999 plus %</t>
  </si>
  <si>
    <t>- Primary line item. Must fill all out.</t>
  </si>
  <si>
    <t>- Both Primary and Back-up required line. Must be the same for both offers and both must be filled out</t>
  </si>
  <si>
    <r>
      <t xml:space="preserve">To offer as the Primary for a region please provide pricing for </t>
    </r>
    <r>
      <rPr>
        <b/>
        <u/>
        <sz val="11"/>
        <color theme="1"/>
        <rFont val="Times New Roman"/>
        <family val="1"/>
      </rPr>
      <t>all</t>
    </r>
    <r>
      <rPr>
        <sz val="11"/>
        <color theme="1"/>
        <rFont val="Times New Roman"/>
        <family val="1"/>
      </rPr>
      <t xml:space="preserve"> cells shaded in accordance with the cell shadings below (</t>
    </r>
    <r>
      <rPr>
        <b/>
        <sz val="11"/>
        <color theme="1"/>
        <rFont val="Times New Roman"/>
        <family val="1"/>
      </rPr>
      <t>Yellow</t>
    </r>
    <r>
      <rPr>
        <sz val="11"/>
        <color theme="1"/>
        <rFont val="Times New Roman"/>
        <family val="1"/>
      </rPr>
      <t xml:space="preserve"> &amp; </t>
    </r>
    <r>
      <rPr>
        <b/>
        <sz val="11"/>
        <color theme="1"/>
        <rFont val="Times New Roman"/>
        <family val="1"/>
      </rPr>
      <t>Patterned</t>
    </r>
    <r>
      <rPr>
        <sz val="11"/>
        <color theme="1"/>
        <rFont val="Times New Roman"/>
        <family val="1"/>
      </rPr>
      <t>) . Please provide pricing expressed in the appropriate format based on what that cell shows.</t>
    </r>
  </si>
  <si>
    <r>
      <t xml:space="preserve">To offer as the Back-Up for a region please provide pricing for </t>
    </r>
    <r>
      <rPr>
        <b/>
        <u/>
        <sz val="11"/>
        <color theme="1"/>
        <rFont val="Times New Roman"/>
        <family val="1"/>
      </rPr>
      <t>all</t>
    </r>
    <r>
      <rPr>
        <sz val="11"/>
        <color theme="1"/>
        <rFont val="Times New Roman"/>
        <family val="1"/>
      </rPr>
      <t xml:space="preserve"> cells shaded in accordance with the cell shadings below (</t>
    </r>
    <r>
      <rPr>
        <b/>
        <sz val="11"/>
        <color theme="1"/>
        <rFont val="Times New Roman"/>
        <family val="1"/>
      </rPr>
      <t>Orange</t>
    </r>
    <r>
      <rPr>
        <sz val="11"/>
        <color theme="1"/>
        <rFont val="Times New Roman"/>
        <family val="1"/>
      </rPr>
      <t xml:space="preserve"> &amp; </t>
    </r>
    <r>
      <rPr>
        <b/>
        <sz val="11"/>
        <color theme="1"/>
        <rFont val="Times New Roman"/>
        <family val="1"/>
      </rPr>
      <t>Patterned</t>
    </r>
    <r>
      <rPr>
        <sz val="11"/>
        <color theme="1"/>
        <rFont val="Times New Roman"/>
        <family val="1"/>
      </rPr>
      <t>). Please provide pricing expressed in the appropriate format based on what that cell shows.</t>
    </r>
  </si>
  <si>
    <t>Solicitation: SPE2DV-25-R-0001</t>
  </si>
  <si>
    <t>- Back-Up line item. Must fill all out.</t>
  </si>
  <si>
    <t>- An offeror submitting a proposal as a Primary PV is not required to offer as a Back-up PV. 
- An offeror submitting a proposal as a Back-up PV is not required to offer as a Primary PV. 
- Offerors may offer as both a Primary PV and a Back-up PV. Please fill out all CLINS in the region offering on. 
- Offerors shall provide their Name and Cage Code at the top of the next tab.
- Offerors shall provide pricing expressed in the correct format, either percent% or dollar value$. This will be specified in the description for each line item on the following tab.
- Offers shall provide pricing for every line required for the role being offered on. Refer below on how to offeror as Primary or Back-Up.</t>
  </si>
  <si>
    <t>APC Discount (Applies to all ROFs)</t>
  </si>
  <si>
    <t>PV-Supplied Readiness Support Manager option $ (PV and Back-Up must be same fee)</t>
  </si>
  <si>
    <t>BU-Supplied Readiness Support Manager option $ (PV and Back-Up must be same fee)</t>
  </si>
  <si>
    <t>PV-Supplied Readiness Support Manager $ (PV and Back-Up must be same fee)</t>
  </si>
  <si>
    <t>BU-Supplied Readiness Support Manager $ (PV and Back-Up must be same fee)</t>
  </si>
  <si>
    <t>$5,000,001-$8,000,000 APC plus %</t>
  </si>
  <si>
    <t>$8,000,001-$12,000,000 APC plus %</t>
  </si>
  <si>
    <t>$12,000,001-$18,000,000 APC plus %</t>
  </si>
  <si>
    <t>$18,000,001-$25,000,000 APC plus %</t>
  </si>
  <si>
    <t>$25,000,001-$35,000,000 APC plus %</t>
  </si>
  <si>
    <t>$35,000,001-$50,000,000 APC plus %</t>
  </si>
  <si>
    <t>$50,000,001-greater APC plus %</t>
  </si>
  <si>
    <t>MSPV Gen VI DLA - Attachment I - Price Book (rev.1)</t>
  </si>
  <si>
    <t>Document Title:</t>
  </si>
  <si>
    <t>Attachment I - Gen VI Price Book (rev.1)</t>
  </si>
  <si>
    <t>30-mo Cost of Access as the Secondary WRM BU % value of inventory</t>
  </si>
  <si>
    <t>30-mo Cost of Access as the Secondary WRM BU% value of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</si>
</sst>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gray0625"/>
    </fill>
    <fill>
      <patternFill patternType="gray0625">
        <bgColor theme="0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2">
    <xf numFmtId="0" fontId="0" fillId="0" borderId="0" xfId="0"/>
    <xf numFmtId="0" fontId="5" fillId="0" borderId="0" xfId="0" applyFont="1"/>
    <xf numFmtId="49" fontId="8" fillId="3" borderId="2" xfId="0" applyNumberFormat="1" applyFont="1" applyFill="1" applyBorder="1" applyProtection="1">
      <protection locked="0"/>
    </xf>
    <xf numFmtId="10" fontId="5" fillId="11" borderId="18" xfId="2" applyNumberFormat="1" applyFont="1" applyFill="1" applyBorder="1" applyAlignment="1" applyProtection="1">
      <alignment horizontal="center"/>
      <protection locked="0"/>
    </xf>
    <xf numFmtId="10" fontId="5" fillId="3" borderId="18" xfId="2" applyNumberFormat="1" applyFont="1" applyFill="1" applyBorder="1" applyAlignment="1" applyProtection="1">
      <alignment horizontal="center"/>
      <protection locked="0"/>
    </xf>
    <xf numFmtId="44" fontId="5" fillId="3" borderId="18" xfId="0" applyNumberFormat="1" applyFont="1" applyFill="1" applyBorder="1" applyAlignment="1" applyProtection="1">
      <alignment horizontal="center"/>
      <protection locked="0"/>
    </xf>
    <xf numFmtId="10" fontId="5" fillId="3" borderId="17" xfId="2" applyNumberFormat="1" applyFont="1" applyFill="1" applyBorder="1" applyAlignment="1" applyProtection="1">
      <alignment horizontal="center"/>
      <protection locked="0"/>
    </xf>
    <xf numFmtId="10" fontId="5" fillId="3" borderId="14" xfId="2" applyNumberFormat="1" applyFont="1" applyFill="1" applyBorder="1" applyAlignment="1" applyProtection="1">
      <alignment horizontal="center"/>
      <protection locked="0"/>
    </xf>
    <xf numFmtId="10" fontId="5" fillId="3" borderId="15" xfId="2" applyNumberFormat="1" applyFont="1" applyFill="1" applyBorder="1" applyAlignment="1" applyProtection="1">
      <alignment horizontal="center"/>
      <protection locked="0"/>
    </xf>
    <xf numFmtId="10" fontId="5" fillId="3" borderId="16" xfId="2" applyNumberFormat="1" applyFont="1" applyFill="1" applyBorder="1" applyAlignment="1" applyProtection="1">
      <alignment horizontal="center"/>
      <protection locked="0"/>
    </xf>
    <xf numFmtId="10" fontId="5" fillId="3" borderId="22" xfId="2" applyNumberFormat="1" applyFont="1" applyFill="1" applyBorder="1" applyAlignment="1" applyProtection="1">
      <alignment horizontal="center"/>
      <protection locked="0"/>
    </xf>
    <xf numFmtId="10" fontId="5" fillId="3" borderId="21" xfId="2" applyNumberFormat="1" applyFont="1" applyFill="1" applyBorder="1" applyAlignment="1" applyProtection="1">
      <alignment horizontal="center"/>
      <protection locked="0"/>
    </xf>
    <xf numFmtId="10" fontId="5" fillId="3" borderId="2" xfId="2" applyNumberFormat="1" applyFont="1" applyFill="1" applyBorder="1" applyAlignment="1" applyProtection="1">
      <alignment horizontal="center"/>
      <protection locked="0"/>
    </xf>
    <xf numFmtId="44" fontId="5" fillId="3" borderId="16" xfId="0" applyNumberFormat="1" applyFont="1" applyFill="1" applyBorder="1" applyAlignment="1" applyProtection="1">
      <alignment horizontal="center"/>
      <protection locked="0"/>
    </xf>
    <xf numFmtId="44" fontId="5" fillId="3" borderId="14" xfId="0" applyNumberFormat="1" applyFont="1" applyFill="1" applyBorder="1" applyAlignment="1" applyProtection="1">
      <alignment horizontal="center"/>
      <protection locked="0"/>
    </xf>
    <xf numFmtId="44" fontId="5" fillId="3" borderId="14" xfId="1" applyFont="1" applyFill="1" applyBorder="1" applyAlignment="1" applyProtection="1">
      <alignment horizontal="center"/>
      <protection locked="0"/>
    </xf>
    <xf numFmtId="44" fontId="5" fillId="3" borderId="22" xfId="0" applyNumberFormat="1" applyFont="1" applyFill="1" applyBorder="1" applyAlignment="1" applyProtection="1">
      <alignment horizontal="center"/>
      <protection locked="0"/>
    </xf>
    <xf numFmtId="10" fontId="5" fillId="11" borderId="14" xfId="2" applyNumberFormat="1" applyFont="1" applyFill="1" applyBorder="1" applyAlignment="1" applyProtection="1">
      <alignment horizontal="center"/>
      <protection locked="0"/>
    </xf>
    <xf numFmtId="10" fontId="5" fillId="11" borderId="22" xfId="2" applyNumberFormat="1" applyFont="1" applyFill="1" applyBorder="1" applyAlignment="1" applyProtection="1">
      <alignment horizontal="center"/>
      <protection locked="0"/>
    </xf>
    <xf numFmtId="44" fontId="5" fillId="3" borderId="15" xfId="0" applyNumberFormat="1" applyFont="1" applyFill="1" applyBorder="1" applyAlignment="1" applyProtection="1">
      <alignment horizontal="center"/>
      <protection locked="0"/>
    </xf>
    <xf numFmtId="0" fontId="5" fillId="3" borderId="2" xfId="0" applyFont="1" applyFill="1" applyBorder="1"/>
    <xf numFmtId="0" fontId="5" fillId="11" borderId="2" xfId="0" applyFont="1" applyFill="1" applyBorder="1"/>
    <xf numFmtId="0" fontId="7" fillId="12" borderId="11" xfId="0" applyFont="1" applyFill="1" applyBorder="1"/>
    <xf numFmtId="0" fontId="5" fillId="12" borderId="31" xfId="0" applyFont="1" applyFill="1" applyBorder="1"/>
    <xf numFmtId="0" fontId="5" fillId="12" borderId="32" xfId="0" applyFont="1" applyFill="1" applyBorder="1"/>
    <xf numFmtId="0" fontId="5" fillId="13" borderId="1" xfId="0" applyFont="1" applyFill="1" applyBorder="1" applyAlignment="1">
      <alignment horizontal="left" wrapText="1"/>
    </xf>
    <xf numFmtId="0" fontId="5" fillId="13" borderId="0" xfId="0" applyFont="1" applyFill="1" applyBorder="1" applyAlignment="1">
      <alignment horizontal="left" wrapText="1"/>
    </xf>
    <xf numFmtId="0" fontId="5" fillId="13" borderId="6" xfId="0" applyFont="1" applyFill="1" applyBorder="1" applyAlignment="1">
      <alignment horizontal="left" wrapText="1"/>
    </xf>
    <xf numFmtId="0" fontId="5" fillId="13" borderId="0" xfId="0" quotePrefix="1" applyFont="1" applyFill="1" applyBorder="1"/>
    <xf numFmtId="0" fontId="5" fillId="13" borderId="0" xfId="0" applyFont="1" applyFill="1" applyBorder="1"/>
    <xf numFmtId="0" fontId="5" fillId="13" borderId="6" xfId="0" applyFont="1" applyFill="1" applyBorder="1"/>
    <xf numFmtId="0" fontId="5" fillId="13" borderId="8" xfId="0" applyFont="1" applyFill="1" applyBorder="1"/>
    <xf numFmtId="0" fontId="5" fillId="13" borderId="9" xfId="0" applyFont="1" applyFill="1" applyBorder="1"/>
    <xf numFmtId="0" fontId="5" fillId="13" borderId="1" xfId="0" applyFont="1" applyFill="1" applyBorder="1"/>
    <xf numFmtId="0" fontId="5" fillId="13" borderId="7" xfId="0" applyFont="1" applyFill="1" applyBorder="1"/>
    <xf numFmtId="0" fontId="7" fillId="0" borderId="0" xfId="0" applyFont="1" applyFill="1" applyBorder="1" applyAlignment="1" applyProtection="1">
      <alignment horizontal="center"/>
    </xf>
    <xf numFmtId="10" fontId="5" fillId="0" borderId="0" xfId="2" applyNumberFormat="1" applyFont="1" applyFill="1" applyBorder="1" applyAlignment="1" applyProtection="1">
      <alignment horizontal="center"/>
    </xf>
    <xf numFmtId="44" fontId="5" fillId="0" borderId="0" xfId="0" applyNumberFormat="1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/>
    <xf numFmtId="2" fontId="7" fillId="0" borderId="0" xfId="0" applyNumberFormat="1" applyFont="1" applyFill="1" applyBorder="1" applyAlignment="1" applyProtection="1">
      <alignment horizontal="center"/>
    </xf>
    <xf numFmtId="2" fontId="5" fillId="0" borderId="0" xfId="0" applyNumberFormat="1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>
      <alignment wrapText="1"/>
    </xf>
    <xf numFmtId="44" fontId="5" fillId="0" borderId="0" xfId="1" applyFont="1" applyFill="1" applyBorder="1" applyAlignment="1" applyProtection="1">
      <alignment horizontal="center"/>
    </xf>
    <xf numFmtId="0" fontId="5" fillId="0" borderId="0" xfId="0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Protection="1"/>
    <xf numFmtId="0" fontId="7" fillId="0" borderId="0" xfId="0" applyFont="1" applyAlignment="1" applyProtection="1">
      <alignment horizontal="center"/>
    </xf>
    <xf numFmtId="44" fontId="5" fillId="0" borderId="0" xfId="1" applyFont="1" applyFill="1" applyProtection="1"/>
    <xf numFmtId="0" fontId="4" fillId="5" borderId="2" xfId="0" applyFont="1" applyFill="1" applyBorder="1" applyAlignment="1" applyProtection="1">
      <alignment horizontal="center"/>
    </xf>
    <xf numFmtId="44" fontId="5" fillId="0" borderId="0" xfId="1" applyFont="1" applyProtection="1"/>
    <xf numFmtId="0" fontId="5" fillId="0" borderId="0" xfId="0" applyFont="1" applyBorder="1" applyProtection="1"/>
    <xf numFmtId="0" fontId="4" fillId="5" borderId="7" xfId="0" applyFont="1" applyFill="1" applyBorder="1" applyAlignment="1" applyProtection="1"/>
    <xf numFmtId="0" fontId="4" fillId="0" borderId="0" xfId="0" applyFont="1" applyFill="1" applyBorder="1" applyAlignment="1" applyProtection="1">
      <alignment wrapText="1"/>
    </xf>
    <xf numFmtId="49" fontId="8" fillId="0" borderId="0" xfId="0" applyNumberFormat="1" applyFont="1" applyFill="1" applyBorder="1" applyProtection="1"/>
    <xf numFmtId="0" fontId="9" fillId="0" borderId="0" xfId="0" applyFont="1" applyFill="1" applyBorder="1" applyAlignment="1" applyProtection="1">
      <alignment horizontal="left" vertical="center"/>
    </xf>
    <xf numFmtId="0" fontId="5" fillId="0" borderId="0" xfId="0" applyFont="1" applyFill="1" applyBorder="1" applyProtection="1"/>
    <xf numFmtId="0" fontId="3" fillId="0" borderId="0" xfId="0" applyFont="1" applyFill="1" applyBorder="1" applyAlignment="1" applyProtection="1">
      <alignment horizontal="right" vertical="center"/>
    </xf>
    <xf numFmtId="0" fontId="7" fillId="8" borderId="2" xfId="0" applyFont="1" applyFill="1" applyBorder="1" applyAlignment="1" applyProtection="1">
      <alignment horizontal="center"/>
    </xf>
    <xf numFmtId="0" fontId="7" fillId="8" borderId="11" xfId="0" applyFont="1" applyFill="1" applyBorder="1" applyAlignment="1" applyProtection="1">
      <alignment horizontal="center"/>
    </xf>
    <xf numFmtId="44" fontId="7" fillId="8" borderId="11" xfId="1" applyFont="1" applyFill="1" applyBorder="1" applyAlignment="1" applyProtection="1">
      <alignment horizontal="center"/>
    </xf>
    <xf numFmtId="49" fontId="5" fillId="0" borderId="16" xfId="0" applyNumberFormat="1" applyFont="1" applyBorder="1" applyProtection="1"/>
    <xf numFmtId="0" fontId="5" fillId="0" borderId="16" xfId="0" applyFont="1" applyBorder="1" applyProtection="1"/>
    <xf numFmtId="10" fontId="5" fillId="9" borderId="16" xfId="0" applyNumberFormat="1" applyFont="1" applyFill="1" applyBorder="1" applyAlignment="1" applyProtection="1">
      <alignment horizontal="center"/>
    </xf>
    <xf numFmtId="49" fontId="5" fillId="0" borderId="14" xfId="0" applyNumberFormat="1" applyFont="1" applyBorder="1" applyProtection="1"/>
    <xf numFmtId="0" fontId="5" fillId="0" borderId="14" xfId="0" applyFont="1" applyBorder="1" applyProtection="1"/>
    <xf numFmtId="10" fontId="5" fillId="9" borderId="14" xfId="0" applyNumberFormat="1" applyFont="1" applyFill="1" applyBorder="1" applyAlignment="1" applyProtection="1">
      <alignment horizontal="center"/>
    </xf>
    <xf numFmtId="44" fontId="5" fillId="9" borderId="14" xfId="1" applyFont="1" applyFill="1" applyBorder="1" applyProtection="1"/>
    <xf numFmtId="0" fontId="5" fillId="0" borderId="22" xfId="0" applyFont="1" applyBorder="1" applyProtection="1"/>
    <xf numFmtId="10" fontId="5" fillId="9" borderId="22" xfId="0" applyNumberFormat="1" applyFont="1" applyFill="1" applyBorder="1" applyAlignment="1" applyProtection="1">
      <alignment horizontal="center"/>
    </xf>
    <xf numFmtId="44" fontId="5" fillId="9" borderId="22" xfId="1" applyFont="1" applyFill="1" applyBorder="1" applyProtection="1"/>
    <xf numFmtId="44" fontId="5" fillId="0" borderId="0" xfId="0" applyNumberFormat="1" applyFont="1" applyProtection="1"/>
    <xf numFmtId="49" fontId="7" fillId="8" borderId="14" xfId="0" applyNumberFormat="1" applyFont="1" applyFill="1" applyBorder="1" applyProtection="1"/>
    <xf numFmtId="0" fontId="7" fillId="8" borderId="12" xfId="0" applyFont="1" applyFill="1" applyBorder="1" applyAlignment="1" applyProtection="1"/>
    <xf numFmtId="0" fontId="7" fillId="8" borderId="10" xfId="0" applyFont="1" applyFill="1" applyBorder="1" applyAlignment="1" applyProtection="1"/>
    <xf numFmtId="49" fontId="7" fillId="0" borderId="14" xfId="0" applyNumberFormat="1" applyFont="1" applyBorder="1" applyProtection="1"/>
    <xf numFmtId="0" fontId="5" fillId="0" borderId="24" xfId="0" applyFont="1" applyBorder="1" applyProtection="1"/>
    <xf numFmtId="2" fontId="7" fillId="8" borderId="16" xfId="0" applyNumberFormat="1" applyFont="1" applyFill="1" applyBorder="1" applyAlignment="1" applyProtection="1">
      <alignment horizontal="center"/>
    </xf>
    <xf numFmtId="10" fontId="5" fillId="8" borderId="16" xfId="0" applyNumberFormat="1" applyFont="1" applyFill="1" applyBorder="1" applyProtection="1"/>
    <xf numFmtId="44" fontId="5" fillId="8" borderId="16" xfId="1" applyFont="1" applyFill="1" applyBorder="1" applyAlignment="1" applyProtection="1">
      <alignment horizontal="center"/>
    </xf>
    <xf numFmtId="0" fontId="5" fillId="0" borderId="20" xfId="0" applyFont="1" applyBorder="1" applyProtection="1"/>
    <xf numFmtId="10" fontId="5" fillId="9" borderId="17" xfId="0" applyNumberFormat="1" applyFont="1" applyFill="1" applyBorder="1" applyProtection="1"/>
    <xf numFmtId="44" fontId="5" fillId="9" borderId="17" xfId="1" applyFont="1" applyFill="1" applyBorder="1" applyProtection="1"/>
    <xf numFmtId="44" fontId="5" fillId="0" borderId="0" xfId="0" applyNumberFormat="1" applyFont="1" applyFill="1" applyProtection="1"/>
    <xf numFmtId="10" fontId="5" fillId="9" borderId="14" xfId="0" applyNumberFormat="1" applyFont="1" applyFill="1" applyBorder="1" applyProtection="1"/>
    <xf numFmtId="49" fontId="5" fillId="0" borderId="22" xfId="0" applyNumberFormat="1" applyFont="1" applyBorder="1" applyProtection="1"/>
    <xf numFmtId="0" fontId="5" fillId="0" borderId="25" xfId="0" applyFont="1" applyBorder="1" applyProtection="1"/>
    <xf numFmtId="10" fontId="5" fillId="9" borderId="15" xfId="0" applyNumberFormat="1" applyFont="1" applyFill="1" applyBorder="1" applyProtection="1"/>
    <xf numFmtId="44" fontId="5" fillId="9" borderId="15" xfId="1" applyFont="1" applyFill="1" applyBorder="1" applyProtection="1"/>
    <xf numFmtId="49" fontId="7" fillId="8" borderId="2" xfId="0" applyNumberFormat="1" applyFont="1" applyFill="1" applyBorder="1" applyProtection="1"/>
    <xf numFmtId="0" fontId="7" fillId="8" borderId="2" xfId="0" applyFont="1" applyFill="1" applyBorder="1" applyProtection="1"/>
    <xf numFmtId="2" fontId="5" fillId="8" borderId="5" xfId="0" applyNumberFormat="1" applyFont="1" applyFill="1" applyBorder="1" applyAlignment="1" applyProtection="1">
      <alignment horizontal="center"/>
    </xf>
    <xf numFmtId="49" fontId="5" fillId="0" borderId="17" xfId="0" applyNumberFormat="1" applyFont="1" applyBorder="1" applyProtection="1"/>
    <xf numFmtId="10" fontId="5" fillId="9" borderId="16" xfId="0" applyNumberFormat="1" applyFont="1" applyFill="1" applyBorder="1" applyProtection="1"/>
    <xf numFmtId="44" fontId="5" fillId="9" borderId="16" xfId="1" applyFont="1" applyFill="1" applyBorder="1" applyProtection="1"/>
    <xf numFmtId="0" fontId="5" fillId="0" borderId="0" xfId="0" applyFont="1" applyFill="1" applyProtection="1"/>
    <xf numFmtId="10" fontId="5" fillId="9" borderId="22" xfId="0" applyNumberFormat="1" applyFont="1" applyFill="1" applyBorder="1" applyProtection="1"/>
    <xf numFmtId="2" fontId="7" fillId="8" borderId="15" xfId="0" applyNumberFormat="1" applyFont="1" applyFill="1" applyBorder="1" applyAlignment="1" applyProtection="1">
      <alignment horizontal="center"/>
    </xf>
    <xf numFmtId="10" fontId="5" fillId="8" borderId="15" xfId="0" applyNumberFormat="1" applyFont="1" applyFill="1" applyBorder="1" applyProtection="1"/>
    <xf numFmtId="44" fontId="5" fillId="8" borderId="15" xfId="1" applyFont="1" applyFill="1" applyBorder="1" applyAlignment="1" applyProtection="1">
      <alignment horizontal="center"/>
    </xf>
    <xf numFmtId="2" fontId="5" fillId="8" borderId="15" xfId="0" applyNumberFormat="1" applyFont="1" applyFill="1" applyBorder="1" applyAlignment="1" applyProtection="1">
      <alignment horizontal="center"/>
    </xf>
    <xf numFmtId="0" fontId="7" fillId="8" borderId="9" xfId="0" applyFont="1" applyFill="1" applyBorder="1" applyAlignment="1" applyProtection="1"/>
    <xf numFmtId="0" fontId="5" fillId="0" borderId="17" xfId="0" applyFont="1" applyBorder="1" applyProtection="1"/>
    <xf numFmtId="49" fontId="5" fillId="0" borderId="15" xfId="0" applyNumberFormat="1" applyFont="1" applyBorder="1" applyProtection="1"/>
    <xf numFmtId="0" fontId="5" fillId="0" borderId="15" xfId="0" applyFont="1" applyBorder="1" applyProtection="1"/>
    <xf numFmtId="49" fontId="7" fillId="8" borderId="17" xfId="0" applyNumberFormat="1" applyFont="1" applyFill="1" applyBorder="1" applyProtection="1"/>
    <xf numFmtId="0" fontId="7" fillId="8" borderId="7" xfId="0" applyFont="1" applyFill="1" applyBorder="1" applyAlignment="1" applyProtection="1"/>
    <xf numFmtId="44" fontId="7" fillId="8" borderId="2" xfId="1" applyFont="1" applyFill="1" applyBorder="1" applyAlignment="1" applyProtection="1">
      <alignment horizontal="center"/>
    </xf>
    <xf numFmtId="10" fontId="5" fillId="8" borderId="17" xfId="0" applyNumberFormat="1" applyFont="1" applyFill="1" applyBorder="1" applyProtection="1"/>
    <xf numFmtId="44" fontId="5" fillId="8" borderId="17" xfId="1" applyFont="1" applyFill="1" applyBorder="1" applyAlignment="1" applyProtection="1">
      <alignment horizontal="center"/>
    </xf>
    <xf numFmtId="2" fontId="5" fillId="8" borderId="17" xfId="0" applyNumberFormat="1" applyFont="1" applyFill="1" applyBorder="1" applyAlignment="1" applyProtection="1">
      <alignment horizontal="center"/>
    </xf>
    <xf numFmtId="10" fontId="5" fillId="9" borderId="17" xfId="0" applyNumberFormat="1" applyFont="1" applyFill="1" applyBorder="1" applyAlignment="1" applyProtection="1">
      <alignment horizontal="center"/>
    </xf>
    <xf numFmtId="44" fontId="5" fillId="9" borderId="17" xfId="1" applyFont="1" applyFill="1" applyBorder="1" applyAlignment="1" applyProtection="1">
      <alignment horizontal="center"/>
    </xf>
    <xf numFmtId="10" fontId="5" fillId="9" borderId="17" xfId="2" applyNumberFormat="1" applyFont="1" applyFill="1" applyBorder="1" applyAlignment="1" applyProtection="1">
      <alignment horizontal="center"/>
    </xf>
    <xf numFmtId="0" fontId="7" fillId="0" borderId="14" xfId="0" applyFont="1" applyBorder="1" applyProtection="1"/>
    <xf numFmtId="0" fontId="7" fillId="0" borderId="20" xfId="0" applyFont="1" applyBorder="1" applyProtection="1"/>
    <xf numFmtId="2" fontId="7" fillId="8" borderId="14" xfId="0" applyNumberFormat="1" applyFont="1" applyFill="1" applyBorder="1" applyAlignment="1" applyProtection="1">
      <alignment horizontal="center"/>
    </xf>
    <xf numFmtId="10" fontId="5" fillId="8" borderId="14" xfId="0" applyNumberFormat="1" applyFont="1" applyFill="1" applyBorder="1" applyAlignment="1" applyProtection="1">
      <alignment horizontal="center"/>
    </xf>
    <xf numFmtId="44" fontId="5" fillId="8" borderId="14" xfId="1" applyFont="1" applyFill="1" applyBorder="1" applyAlignment="1" applyProtection="1">
      <alignment horizontal="center"/>
    </xf>
    <xf numFmtId="2" fontId="5" fillId="8" borderId="14" xfId="0" applyNumberFormat="1" applyFont="1" applyFill="1" applyBorder="1" applyAlignment="1" applyProtection="1">
      <alignment horizontal="center"/>
    </xf>
    <xf numFmtId="44" fontId="5" fillId="9" borderId="14" xfId="1" applyFont="1" applyFill="1" applyBorder="1" applyAlignment="1" applyProtection="1">
      <alignment horizontal="center"/>
    </xf>
    <xf numFmtId="10" fontId="5" fillId="9" borderId="14" xfId="2" applyNumberFormat="1" applyFont="1" applyFill="1" applyBorder="1" applyAlignment="1" applyProtection="1">
      <alignment horizontal="center"/>
    </xf>
    <xf numFmtId="44" fontId="5" fillId="9" borderId="22" xfId="1" applyFont="1" applyFill="1" applyBorder="1" applyAlignment="1" applyProtection="1">
      <alignment horizontal="center"/>
    </xf>
    <xf numFmtId="10" fontId="5" fillId="9" borderId="22" xfId="2" applyNumberFormat="1" applyFont="1" applyFill="1" applyBorder="1" applyAlignment="1" applyProtection="1">
      <alignment horizontal="center"/>
    </xf>
    <xf numFmtId="0" fontId="7" fillId="8" borderId="14" xfId="0" applyFont="1" applyFill="1" applyBorder="1" applyProtection="1"/>
    <xf numFmtId="44" fontId="5" fillId="9" borderId="16" xfId="1" applyFont="1" applyFill="1" applyBorder="1" applyAlignment="1" applyProtection="1">
      <alignment horizontal="center"/>
    </xf>
    <xf numFmtId="10" fontId="5" fillId="9" borderId="16" xfId="2" applyNumberFormat="1" applyFont="1" applyFill="1" applyBorder="1" applyAlignment="1" applyProtection="1">
      <alignment horizontal="center"/>
    </xf>
    <xf numFmtId="0" fontId="7" fillId="8" borderId="12" xfId="0" applyFont="1" applyFill="1" applyBorder="1" applyProtection="1"/>
    <xf numFmtId="10" fontId="5" fillId="9" borderId="2" xfId="0" applyNumberFormat="1" applyFont="1" applyFill="1" applyBorder="1" applyAlignment="1" applyProtection="1">
      <alignment horizontal="center"/>
    </xf>
    <xf numFmtId="44" fontId="5" fillId="9" borderId="2" xfId="1" applyFont="1" applyFill="1" applyBorder="1" applyAlignment="1" applyProtection="1">
      <alignment horizontal="center"/>
    </xf>
    <xf numFmtId="10" fontId="5" fillId="9" borderId="2" xfId="2" applyNumberFormat="1" applyFont="1" applyFill="1" applyBorder="1" applyAlignment="1" applyProtection="1">
      <alignment horizontal="center"/>
    </xf>
    <xf numFmtId="49" fontId="7" fillId="8" borderId="17" xfId="0" applyNumberFormat="1" applyFont="1" applyFill="1" applyBorder="1" applyAlignment="1" applyProtection="1">
      <alignment wrapText="1"/>
    </xf>
    <xf numFmtId="0" fontId="7" fillId="8" borderId="12" xfId="0" applyFont="1" applyFill="1" applyBorder="1" applyAlignment="1" applyProtection="1">
      <alignment wrapText="1"/>
    </xf>
    <xf numFmtId="0" fontId="7" fillId="8" borderId="5" xfId="0" applyFont="1" applyFill="1" applyBorder="1" applyAlignment="1" applyProtection="1">
      <alignment wrapText="1"/>
    </xf>
    <xf numFmtId="0" fontId="5" fillId="9" borderId="16" xfId="1" applyNumberFormat="1" applyFont="1" applyFill="1" applyBorder="1" applyAlignment="1" applyProtection="1">
      <alignment horizontal="right"/>
    </xf>
    <xf numFmtId="44" fontId="5" fillId="9" borderId="16" xfId="0" applyNumberFormat="1" applyFont="1" applyFill="1" applyBorder="1" applyProtection="1"/>
    <xf numFmtId="0" fontId="5" fillId="9" borderId="14" xfId="1" applyNumberFormat="1" applyFont="1" applyFill="1" applyBorder="1" applyAlignment="1" applyProtection="1">
      <alignment horizontal="right"/>
    </xf>
    <xf numFmtId="44" fontId="5" fillId="9" borderId="14" xfId="0" applyNumberFormat="1" applyFont="1" applyFill="1" applyBorder="1" applyProtection="1"/>
    <xf numFmtId="10" fontId="5" fillId="9" borderId="14" xfId="1" applyNumberFormat="1" applyFont="1" applyFill="1" applyBorder="1" applyProtection="1"/>
    <xf numFmtId="0" fontId="5" fillId="9" borderId="22" xfId="1" applyNumberFormat="1" applyFont="1" applyFill="1" applyBorder="1" applyAlignment="1" applyProtection="1">
      <alignment horizontal="right"/>
    </xf>
    <xf numFmtId="44" fontId="5" fillId="9" borderId="22" xfId="0" applyNumberFormat="1" applyFont="1" applyFill="1" applyBorder="1" applyProtection="1"/>
    <xf numFmtId="49" fontId="7" fillId="8" borderId="14" xfId="0" applyNumberFormat="1" applyFont="1" applyFill="1" applyBorder="1" applyAlignment="1" applyProtection="1">
      <alignment wrapText="1"/>
    </xf>
    <xf numFmtId="49" fontId="5" fillId="0" borderId="14" xfId="0" applyNumberFormat="1" applyFont="1" applyBorder="1" applyAlignment="1" applyProtection="1">
      <alignment wrapText="1"/>
    </xf>
    <xf numFmtId="10" fontId="5" fillId="9" borderId="15" xfId="0" applyNumberFormat="1" applyFont="1" applyFill="1" applyBorder="1" applyAlignment="1" applyProtection="1">
      <alignment horizontal="center"/>
    </xf>
    <xf numFmtId="44" fontId="5" fillId="9" borderId="15" xfId="1" applyFont="1" applyFill="1" applyBorder="1" applyAlignment="1" applyProtection="1">
      <alignment horizontal="center"/>
    </xf>
    <xf numFmtId="10" fontId="5" fillId="9" borderId="15" xfId="2" applyNumberFormat="1" applyFont="1" applyFill="1" applyBorder="1" applyAlignment="1" applyProtection="1">
      <alignment horizontal="center"/>
    </xf>
    <xf numFmtId="49" fontId="5" fillId="0" borderId="15" xfId="0" applyNumberFormat="1" applyFont="1" applyBorder="1" applyAlignment="1" applyProtection="1">
      <alignment wrapText="1"/>
    </xf>
    <xf numFmtId="0" fontId="5" fillId="0" borderId="26" xfId="0" applyFont="1" applyBorder="1" applyProtection="1"/>
    <xf numFmtId="44" fontId="5" fillId="0" borderId="0" xfId="1" applyFont="1" applyBorder="1" applyAlignment="1" applyProtection="1">
      <alignment horizontal="center"/>
    </xf>
    <xf numFmtId="44" fontId="10" fillId="8" borderId="2" xfId="0" applyNumberFormat="1" applyFont="1" applyFill="1" applyBorder="1" applyProtection="1"/>
    <xf numFmtId="0" fontId="10" fillId="8" borderId="2" xfId="0" applyFont="1" applyFill="1" applyBorder="1" applyProtection="1"/>
    <xf numFmtId="44" fontId="5" fillId="0" borderId="0" xfId="1" applyFont="1" applyAlignment="1" applyProtection="1">
      <alignment horizontal="center"/>
    </xf>
    <xf numFmtId="0" fontId="6" fillId="4" borderId="28" xfId="0" applyFont="1" applyFill="1" applyBorder="1" applyProtection="1"/>
    <xf numFmtId="0" fontId="6" fillId="4" borderId="29" xfId="0" applyFont="1" applyFill="1" applyBorder="1" applyProtection="1"/>
    <xf numFmtId="0" fontId="7" fillId="0" borderId="0" xfId="0" applyFont="1" applyProtection="1"/>
    <xf numFmtId="49" fontId="5" fillId="0" borderId="0" xfId="0" applyNumberFormat="1" applyFont="1" applyProtection="1"/>
    <xf numFmtId="10" fontId="5" fillId="0" borderId="0" xfId="0" applyNumberFormat="1" applyFont="1" applyProtection="1"/>
    <xf numFmtId="0" fontId="7" fillId="6" borderId="2" xfId="0" applyFont="1" applyFill="1" applyBorder="1" applyProtection="1"/>
    <xf numFmtId="0" fontId="7" fillId="6" borderId="10" xfId="0" applyFont="1" applyFill="1" applyBorder="1" applyProtection="1"/>
    <xf numFmtId="0" fontId="7" fillId="6" borderId="2" xfId="0" applyFont="1" applyFill="1" applyBorder="1" applyAlignment="1" applyProtection="1">
      <alignment horizontal="center"/>
    </xf>
    <xf numFmtId="44" fontId="7" fillId="6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0" fontId="5" fillId="0" borderId="23" xfId="0" applyFont="1" applyBorder="1" applyProtection="1"/>
    <xf numFmtId="0" fontId="5" fillId="7" borderId="17" xfId="0" applyFont="1" applyFill="1" applyBorder="1" applyAlignment="1" applyProtection="1">
      <alignment horizontal="center"/>
    </xf>
    <xf numFmtId="0" fontId="5" fillId="0" borderId="13" xfId="0" applyFont="1" applyBorder="1" applyProtection="1"/>
    <xf numFmtId="0" fontId="5" fillId="7" borderId="20" xfId="0" applyFont="1" applyFill="1" applyBorder="1" applyAlignment="1" applyProtection="1">
      <alignment horizontal="center"/>
    </xf>
    <xf numFmtId="0" fontId="5" fillId="7" borderId="14" xfId="0" applyFont="1" applyFill="1" applyBorder="1" applyAlignment="1" applyProtection="1">
      <alignment horizontal="center"/>
    </xf>
    <xf numFmtId="44" fontId="5" fillId="7" borderId="14" xfId="0" applyNumberFormat="1" applyFont="1" applyFill="1" applyBorder="1" applyProtection="1"/>
    <xf numFmtId="44" fontId="5" fillId="7" borderId="14" xfId="1" applyFont="1" applyFill="1" applyBorder="1" applyProtection="1"/>
    <xf numFmtId="0" fontId="5" fillId="0" borderId="27" xfId="0" applyFont="1" applyBorder="1" applyProtection="1"/>
    <xf numFmtId="0" fontId="5" fillId="7" borderId="25" xfId="0" applyFont="1" applyFill="1" applyBorder="1" applyAlignment="1" applyProtection="1">
      <alignment horizontal="center"/>
    </xf>
    <xf numFmtId="44" fontId="5" fillId="7" borderId="22" xfId="0" applyNumberFormat="1" applyFont="1" applyFill="1" applyBorder="1" applyProtection="1"/>
    <xf numFmtId="44" fontId="5" fillId="7" borderId="22" xfId="1" applyFont="1" applyFill="1" applyBorder="1" applyProtection="1"/>
    <xf numFmtId="49" fontId="7" fillId="6" borderId="2" xfId="0" applyNumberFormat="1" applyFont="1" applyFill="1" applyBorder="1" applyProtection="1"/>
    <xf numFmtId="0" fontId="7" fillId="6" borderId="12" xfId="0" applyFont="1" applyFill="1" applyBorder="1" applyAlignment="1" applyProtection="1"/>
    <xf numFmtId="0" fontId="7" fillId="6" borderId="10" xfId="0" applyFont="1" applyFill="1" applyBorder="1" applyAlignment="1" applyProtection="1"/>
    <xf numFmtId="49" fontId="7" fillId="0" borderId="16" xfId="0" applyNumberFormat="1" applyFont="1" applyFill="1" applyBorder="1" applyProtection="1"/>
    <xf numFmtId="0" fontId="5" fillId="0" borderId="16" xfId="0" applyFont="1" applyFill="1" applyBorder="1" applyProtection="1"/>
    <xf numFmtId="0" fontId="7" fillId="6" borderId="19" xfId="0" applyFont="1" applyFill="1" applyBorder="1" applyAlignment="1" applyProtection="1">
      <alignment horizontal="center"/>
    </xf>
    <xf numFmtId="10" fontId="5" fillId="6" borderId="16" xfId="0" applyNumberFormat="1" applyFont="1" applyFill="1" applyBorder="1" applyProtection="1"/>
    <xf numFmtId="0" fontId="5" fillId="6" borderId="16" xfId="0" applyFont="1" applyFill="1" applyBorder="1" applyAlignment="1" applyProtection="1">
      <alignment horizontal="center"/>
    </xf>
    <xf numFmtId="10" fontId="11" fillId="7" borderId="14" xfId="0" applyNumberFormat="1" applyFont="1" applyFill="1" applyBorder="1" applyProtection="1"/>
    <xf numFmtId="10" fontId="11" fillId="7" borderId="22" xfId="0" applyNumberFormat="1" applyFont="1" applyFill="1" applyBorder="1" applyProtection="1"/>
    <xf numFmtId="49" fontId="7" fillId="6" borderId="16" xfId="0" applyNumberFormat="1" applyFont="1" applyFill="1" applyBorder="1" applyProtection="1"/>
    <xf numFmtId="10" fontId="5" fillId="7" borderId="16" xfId="0" applyNumberFormat="1" applyFont="1" applyFill="1" applyBorder="1" applyProtection="1"/>
    <xf numFmtId="44" fontId="5" fillId="7" borderId="16" xfId="0" applyNumberFormat="1" applyFont="1" applyFill="1" applyBorder="1" applyProtection="1"/>
    <xf numFmtId="44" fontId="5" fillId="7" borderId="16" xfId="1" applyFont="1" applyFill="1" applyBorder="1" applyProtection="1"/>
    <xf numFmtId="10" fontId="5" fillId="7" borderId="14" xfId="0" applyNumberFormat="1" applyFont="1" applyFill="1" applyBorder="1" applyProtection="1"/>
    <xf numFmtId="2" fontId="7" fillId="6" borderId="15" xfId="0" applyNumberFormat="1" applyFont="1" applyFill="1" applyBorder="1" applyAlignment="1" applyProtection="1">
      <alignment horizontal="center"/>
    </xf>
    <xf numFmtId="10" fontId="5" fillId="6" borderId="15" xfId="0" applyNumberFormat="1" applyFont="1" applyFill="1" applyBorder="1" applyProtection="1"/>
    <xf numFmtId="44" fontId="5" fillId="6" borderId="15" xfId="0" applyNumberFormat="1" applyFont="1" applyFill="1" applyBorder="1" applyAlignment="1" applyProtection="1">
      <alignment horizontal="center"/>
    </xf>
    <xf numFmtId="0" fontId="5" fillId="6" borderId="15" xfId="0" applyFont="1" applyFill="1" applyBorder="1" applyAlignment="1" applyProtection="1">
      <alignment horizontal="center"/>
    </xf>
    <xf numFmtId="0" fontId="5" fillId="7" borderId="16" xfId="0" applyFont="1" applyFill="1" applyBorder="1" applyAlignment="1" applyProtection="1">
      <alignment horizontal="center"/>
    </xf>
    <xf numFmtId="0" fontId="5" fillId="7" borderId="22" xfId="0" applyFont="1" applyFill="1" applyBorder="1" applyAlignment="1" applyProtection="1">
      <alignment horizontal="center"/>
    </xf>
    <xf numFmtId="49" fontId="5" fillId="6" borderId="16" xfId="0" applyNumberFormat="1" applyFont="1" applyFill="1" applyBorder="1" applyProtection="1"/>
    <xf numFmtId="0" fontId="5" fillId="6" borderId="16" xfId="0" applyFont="1" applyFill="1" applyBorder="1" applyProtection="1"/>
    <xf numFmtId="2" fontId="5" fillId="6" borderId="16" xfId="0" applyNumberFormat="1" applyFont="1" applyFill="1" applyBorder="1" applyAlignment="1" applyProtection="1">
      <alignment horizontal="center"/>
    </xf>
    <xf numFmtId="10" fontId="11" fillId="6" borderId="16" xfId="0" applyNumberFormat="1" applyFont="1" applyFill="1" applyBorder="1" applyProtection="1"/>
    <xf numFmtId="44" fontId="5" fillId="6" borderId="16" xfId="0" applyNumberFormat="1" applyFont="1" applyFill="1" applyBorder="1" applyAlignment="1" applyProtection="1">
      <alignment horizontal="center"/>
    </xf>
    <xf numFmtId="2" fontId="7" fillId="6" borderId="16" xfId="0" applyNumberFormat="1" applyFont="1" applyFill="1" applyBorder="1" applyAlignment="1" applyProtection="1">
      <alignment horizontal="center"/>
    </xf>
    <xf numFmtId="10" fontId="5" fillId="6" borderId="16" xfId="2" applyNumberFormat="1" applyFont="1" applyFill="1" applyBorder="1" applyProtection="1"/>
    <xf numFmtId="10" fontId="5" fillId="7" borderId="14" xfId="2" applyNumberFormat="1" applyFont="1" applyFill="1" applyBorder="1" applyProtection="1"/>
    <xf numFmtId="10" fontId="5" fillId="7" borderId="22" xfId="2" applyNumberFormat="1" applyFont="1" applyFill="1" applyBorder="1" applyProtection="1"/>
    <xf numFmtId="10" fontId="5" fillId="7" borderId="15" xfId="2" applyNumberFormat="1" applyFont="1" applyFill="1" applyBorder="1" applyProtection="1"/>
    <xf numFmtId="44" fontId="5" fillId="7" borderId="15" xfId="0" applyNumberFormat="1" applyFont="1" applyFill="1" applyBorder="1" applyProtection="1"/>
    <xf numFmtId="44" fontId="5" fillId="7" borderId="15" xfId="1" applyFont="1" applyFill="1" applyBorder="1" applyProtection="1"/>
    <xf numFmtId="49" fontId="7" fillId="6" borderId="24" xfId="0" applyNumberFormat="1" applyFont="1" applyFill="1" applyBorder="1" applyProtection="1"/>
    <xf numFmtId="0" fontId="5" fillId="7" borderId="11" xfId="0" applyFont="1" applyFill="1" applyBorder="1" applyAlignment="1" applyProtection="1">
      <alignment horizontal="center"/>
    </xf>
    <xf numFmtId="0" fontId="5" fillId="7" borderId="15" xfId="0" applyFont="1" applyFill="1" applyBorder="1" applyAlignment="1" applyProtection="1">
      <alignment horizontal="center"/>
    </xf>
    <xf numFmtId="0" fontId="7" fillId="6" borderId="12" xfId="0" applyFont="1" applyFill="1" applyBorder="1" applyAlignment="1" applyProtection="1">
      <alignment wrapText="1"/>
    </xf>
    <xf numFmtId="44" fontId="10" fillId="6" borderId="2" xfId="0" applyNumberFormat="1" applyFont="1" applyFill="1" applyBorder="1" applyProtection="1"/>
    <xf numFmtId="0" fontId="10" fillId="6" borderId="2" xfId="0" applyFont="1" applyFill="1" applyBorder="1" applyProtection="1"/>
    <xf numFmtId="0" fontId="10" fillId="4" borderId="2" xfId="0" applyFont="1" applyFill="1" applyBorder="1" applyProtection="1"/>
    <xf numFmtId="0" fontId="6" fillId="4" borderId="2" xfId="0" applyFont="1" applyFill="1" applyBorder="1" applyProtection="1"/>
    <xf numFmtId="44" fontId="7" fillId="0" borderId="0" xfId="0" applyNumberFormat="1" applyFont="1" applyProtection="1"/>
    <xf numFmtId="0" fontId="7" fillId="10" borderId="2" xfId="0" applyFont="1" applyFill="1" applyBorder="1" applyProtection="1"/>
    <xf numFmtId="0" fontId="7" fillId="10" borderId="2" xfId="0" applyFont="1" applyFill="1" applyBorder="1" applyAlignment="1" applyProtection="1">
      <alignment horizontal="center"/>
    </xf>
    <xf numFmtId="44" fontId="7" fillId="10" borderId="2" xfId="1" applyFont="1" applyFill="1" applyBorder="1" applyAlignment="1" applyProtection="1">
      <alignment horizontal="center"/>
    </xf>
    <xf numFmtId="0" fontId="5" fillId="2" borderId="16" xfId="0" applyFont="1" applyFill="1" applyBorder="1" applyAlignment="1" applyProtection="1">
      <alignment horizontal="center"/>
    </xf>
    <xf numFmtId="0" fontId="5" fillId="2" borderId="14" xfId="0" applyFont="1" applyFill="1" applyBorder="1" applyAlignment="1" applyProtection="1">
      <alignment horizontal="center"/>
    </xf>
    <xf numFmtId="44" fontId="5" fillId="2" borderId="14" xfId="1" applyFont="1" applyFill="1" applyBorder="1" applyProtection="1"/>
    <xf numFmtId="10" fontId="5" fillId="2" borderId="14" xfId="2" applyNumberFormat="1" applyFont="1" applyFill="1" applyBorder="1" applyAlignment="1" applyProtection="1">
      <alignment horizontal="center"/>
    </xf>
    <xf numFmtId="10" fontId="5" fillId="2" borderId="22" xfId="2" applyNumberFormat="1" applyFont="1" applyFill="1" applyBorder="1" applyAlignment="1" applyProtection="1">
      <alignment horizontal="center"/>
    </xf>
    <xf numFmtId="0" fontId="5" fillId="2" borderId="22" xfId="0" applyFont="1" applyFill="1" applyBorder="1" applyAlignment="1" applyProtection="1">
      <alignment horizontal="center"/>
    </xf>
    <xf numFmtId="44" fontId="5" fillId="2" borderId="22" xfId="1" applyFont="1" applyFill="1" applyBorder="1" applyProtection="1"/>
    <xf numFmtId="49" fontId="7" fillId="10" borderId="2" xfId="0" applyNumberFormat="1" applyFont="1" applyFill="1" applyBorder="1" applyProtection="1"/>
    <xf numFmtId="0" fontId="7" fillId="10" borderId="12" xfId="0" applyFont="1" applyFill="1" applyBorder="1" applyAlignment="1" applyProtection="1"/>
    <xf numFmtId="0" fontId="7" fillId="10" borderId="10" xfId="0" applyFont="1" applyFill="1" applyBorder="1" applyAlignment="1" applyProtection="1"/>
    <xf numFmtId="49" fontId="5" fillId="0" borderId="16" xfId="0" applyNumberFormat="1" applyFont="1" applyFill="1" applyBorder="1" applyProtection="1"/>
    <xf numFmtId="0" fontId="5" fillId="0" borderId="16" xfId="0" applyFont="1" applyFill="1" applyBorder="1" applyAlignment="1" applyProtection="1">
      <alignment horizontal="left"/>
    </xf>
    <xf numFmtId="0" fontId="7" fillId="10" borderId="16" xfId="0" applyFont="1" applyFill="1" applyBorder="1" applyAlignment="1" applyProtection="1">
      <alignment horizontal="center"/>
    </xf>
    <xf numFmtId="0" fontId="5" fillId="10" borderId="16" xfId="0" applyFont="1" applyFill="1" applyBorder="1" applyAlignment="1" applyProtection="1">
      <alignment horizontal="center"/>
    </xf>
    <xf numFmtId="10" fontId="5" fillId="2" borderId="14" xfId="2" applyNumberFormat="1" applyFont="1" applyFill="1" applyBorder="1" applyProtection="1"/>
    <xf numFmtId="10" fontId="5" fillId="2" borderId="22" xfId="2" applyNumberFormat="1" applyFont="1" applyFill="1" applyBorder="1" applyProtection="1"/>
    <xf numFmtId="10" fontId="5" fillId="2" borderId="16" xfId="2" applyNumberFormat="1" applyFont="1" applyFill="1" applyBorder="1" applyProtection="1"/>
    <xf numFmtId="44" fontId="5" fillId="2" borderId="16" xfId="1" applyFont="1" applyFill="1" applyBorder="1" applyProtection="1"/>
    <xf numFmtId="2" fontId="7" fillId="10" borderId="22" xfId="0" applyNumberFormat="1" applyFont="1" applyFill="1" applyBorder="1" applyAlignment="1" applyProtection="1">
      <alignment horizontal="center"/>
    </xf>
    <xf numFmtId="10" fontId="5" fillId="10" borderId="22" xfId="2" applyNumberFormat="1" applyFont="1" applyFill="1" applyBorder="1" applyProtection="1"/>
    <xf numFmtId="44" fontId="5" fillId="10" borderId="22" xfId="1" applyFont="1" applyFill="1" applyBorder="1" applyAlignment="1" applyProtection="1">
      <alignment horizontal="center"/>
    </xf>
    <xf numFmtId="0" fontId="5" fillId="10" borderId="22" xfId="0" applyFont="1" applyFill="1" applyBorder="1" applyAlignment="1" applyProtection="1">
      <alignment horizontal="center"/>
    </xf>
    <xf numFmtId="2" fontId="7" fillId="10" borderId="16" xfId="0" applyNumberFormat="1" applyFont="1" applyFill="1" applyBorder="1" applyAlignment="1" applyProtection="1">
      <alignment horizontal="center"/>
    </xf>
    <xf numFmtId="10" fontId="5" fillId="10" borderId="16" xfId="2" applyNumberFormat="1" applyFont="1" applyFill="1" applyBorder="1" applyProtection="1"/>
    <xf numFmtId="44" fontId="5" fillId="10" borderId="16" xfId="1" applyFont="1" applyFill="1" applyBorder="1" applyAlignment="1" applyProtection="1">
      <alignment horizontal="center"/>
    </xf>
    <xf numFmtId="2" fontId="5" fillId="0" borderId="14" xfId="0" applyNumberFormat="1" applyFont="1" applyBorder="1" applyProtection="1"/>
    <xf numFmtId="2" fontId="7" fillId="0" borderId="14" xfId="0" applyNumberFormat="1" applyFont="1" applyBorder="1" applyProtection="1"/>
    <xf numFmtId="2" fontId="7" fillId="10" borderId="14" xfId="0" applyNumberFormat="1" applyFont="1" applyFill="1" applyBorder="1" applyAlignment="1" applyProtection="1">
      <alignment horizontal="center"/>
    </xf>
    <xf numFmtId="0" fontId="5" fillId="10" borderId="14" xfId="0" applyFont="1" applyFill="1" applyBorder="1" applyAlignment="1" applyProtection="1">
      <alignment horizontal="center"/>
    </xf>
    <xf numFmtId="2" fontId="5" fillId="0" borderId="22" xfId="0" applyNumberFormat="1" applyFont="1" applyBorder="1" applyProtection="1"/>
    <xf numFmtId="0" fontId="7" fillId="10" borderId="12" xfId="0" applyFont="1" applyFill="1" applyBorder="1" applyAlignment="1" applyProtection="1">
      <alignment wrapText="1"/>
    </xf>
    <xf numFmtId="0" fontId="7" fillId="10" borderId="10" xfId="0" applyFont="1" applyFill="1" applyBorder="1" applyAlignment="1" applyProtection="1">
      <alignment wrapText="1"/>
    </xf>
    <xf numFmtId="0" fontId="5" fillId="2" borderId="16" xfId="1" applyNumberFormat="1" applyFont="1" applyFill="1" applyBorder="1" applyProtection="1"/>
    <xf numFmtId="0" fontId="5" fillId="2" borderId="14" xfId="1" applyNumberFormat="1" applyFont="1" applyFill="1" applyBorder="1" applyProtection="1"/>
    <xf numFmtId="0" fontId="5" fillId="2" borderId="22" xfId="1" applyNumberFormat="1" applyFont="1" applyFill="1" applyBorder="1" applyProtection="1"/>
    <xf numFmtId="0" fontId="5" fillId="2" borderId="15" xfId="0" applyFont="1" applyFill="1" applyBorder="1" applyAlignment="1" applyProtection="1">
      <alignment horizontal="center"/>
    </xf>
    <xf numFmtId="44" fontId="10" fillId="10" borderId="2" xfId="0" applyNumberFormat="1" applyFont="1" applyFill="1" applyBorder="1" applyProtection="1"/>
    <xf numFmtId="0" fontId="10" fillId="10" borderId="2" xfId="0" applyFont="1" applyFill="1" applyBorder="1" applyProtection="1"/>
    <xf numFmtId="0" fontId="5" fillId="0" borderId="22" xfId="0" applyFont="1" applyBorder="1"/>
    <xf numFmtId="0" fontId="5" fillId="0" borderId="33" xfId="0" applyFont="1" applyBorder="1"/>
    <xf numFmtId="0" fontId="5" fillId="0" borderId="14" xfId="0" applyFont="1" applyBorder="1"/>
    <xf numFmtId="10" fontId="5" fillId="14" borderId="18" xfId="2" applyNumberFormat="1" applyFont="1" applyFill="1" applyBorder="1" applyAlignment="1" applyProtection="1">
      <alignment horizontal="center"/>
      <protection locked="0"/>
    </xf>
    <xf numFmtId="0" fontId="7" fillId="6" borderId="11" xfId="0" applyFont="1" applyFill="1" applyBorder="1" applyProtection="1"/>
    <xf numFmtId="0" fontId="5" fillId="0" borderId="34" xfId="0" applyFont="1" applyBorder="1" applyProtection="1"/>
    <xf numFmtId="10" fontId="5" fillId="3" borderId="31" xfId="2" applyNumberFormat="1" applyFont="1" applyFill="1" applyBorder="1" applyAlignment="1" applyProtection="1">
      <alignment horizontal="center"/>
      <protection locked="0"/>
    </xf>
    <xf numFmtId="0" fontId="5" fillId="0" borderId="20" xfId="0" applyFont="1" applyBorder="1"/>
    <xf numFmtId="0" fontId="5" fillId="0" borderId="26" xfId="0" applyFont="1" applyBorder="1"/>
    <xf numFmtId="0" fontId="7" fillId="6" borderId="9" xfId="0" applyFont="1" applyFill="1" applyBorder="1" applyAlignment="1" applyProtection="1">
      <alignment wrapText="1"/>
    </xf>
    <xf numFmtId="0" fontId="5" fillId="0" borderId="24" xfId="0" applyFont="1" applyBorder="1"/>
    <xf numFmtId="10" fontId="5" fillId="15" borderId="14" xfId="2" applyNumberFormat="1" applyFont="1" applyFill="1" applyBorder="1" applyAlignment="1" applyProtection="1">
      <alignment horizontal="center"/>
      <protection locked="0"/>
    </xf>
    <xf numFmtId="0" fontId="5" fillId="15" borderId="2" xfId="0" applyFont="1" applyFill="1" applyBorder="1"/>
    <xf numFmtId="49" fontId="7" fillId="0" borderId="17" xfId="0" applyNumberFormat="1" applyFont="1" applyBorder="1" applyProtection="1"/>
    <xf numFmtId="10" fontId="5" fillId="11" borderId="36" xfId="2" applyNumberFormat="1" applyFont="1" applyFill="1" applyBorder="1" applyAlignment="1" applyProtection="1">
      <alignment horizontal="center"/>
      <protection locked="0"/>
    </xf>
    <xf numFmtId="0" fontId="7" fillId="8" borderId="35" xfId="0" applyFont="1" applyFill="1" applyBorder="1" applyProtection="1"/>
    <xf numFmtId="49" fontId="5" fillId="0" borderId="24" xfId="0" applyNumberFormat="1" applyFont="1" applyBorder="1" applyProtection="1"/>
    <xf numFmtId="49" fontId="5" fillId="0" borderId="20" xfId="0" applyNumberFormat="1" applyFont="1" applyBorder="1" applyProtection="1"/>
    <xf numFmtId="49" fontId="5" fillId="0" borderId="26" xfId="0" applyNumberFormat="1" applyFont="1" applyBorder="1" applyProtection="1"/>
    <xf numFmtId="0" fontId="5" fillId="2" borderId="17" xfId="0" applyFont="1" applyFill="1" applyBorder="1" applyAlignment="1" applyProtection="1">
      <alignment horizontal="center"/>
    </xf>
    <xf numFmtId="10" fontId="7" fillId="6" borderId="12" xfId="0" applyNumberFormat="1" applyFont="1" applyFill="1" applyBorder="1" applyAlignment="1" applyProtection="1">
      <alignment horizontal="center"/>
    </xf>
    <xf numFmtId="9" fontId="5" fillId="3" borderId="30" xfId="2" applyFont="1" applyFill="1" applyBorder="1" applyAlignment="1" applyProtection="1">
      <alignment horizontal="center"/>
      <protection locked="0"/>
    </xf>
    <xf numFmtId="44" fontId="5" fillId="14" borderId="18" xfId="1" applyFont="1" applyFill="1" applyBorder="1" applyAlignment="1" applyProtection="1">
      <alignment horizontal="center"/>
      <protection locked="0"/>
    </xf>
    <xf numFmtId="9" fontId="5" fillId="11" borderId="14" xfId="2" applyFont="1" applyFill="1" applyBorder="1" applyAlignment="1" applyProtection="1">
      <alignment horizontal="center"/>
      <protection locked="0"/>
    </xf>
    <xf numFmtId="9" fontId="5" fillId="3" borderId="14" xfId="2" applyFont="1" applyFill="1" applyBorder="1" applyAlignment="1" applyProtection="1">
      <alignment horizontal="center"/>
      <protection locked="0"/>
    </xf>
    <xf numFmtId="44" fontId="5" fillId="15" borderId="14" xfId="1" applyFont="1" applyFill="1" applyBorder="1" applyAlignment="1" applyProtection="1">
      <alignment horizontal="center"/>
      <protection locked="0"/>
    </xf>
    <xf numFmtId="10" fontId="7" fillId="8" borderId="11" xfId="0" applyNumberFormat="1" applyFont="1" applyFill="1" applyBorder="1" applyAlignment="1" applyProtection="1">
      <alignment horizontal="center"/>
    </xf>
    <xf numFmtId="10" fontId="7" fillId="8" borderId="2" xfId="0" applyNumberFormat="1" applyFont="1" applyFill="1" applyBorder="1" applyAlignment="1" applyProtection="1">
      <alignment horizontal="center"/>
    </xf>
    <xf numFmtId="10" fontId="5" fillId="7" borderId="24" xfId="0" applyNumberFormat="1" applyFont="1" applyFill="1" applyBorder="1" applyAlignment="1" applyProtection="1">
      <alignment horizontal="center"/>
    </xf>
    <xf numFmtId="10" fontId="5" fillId="7" borderId="20" xfId="0" applyNumberFormat="1" applyFont="1" applyFill="1" applyBorder="1" applyAlignment="1" applyProtection="1">
      <alignment horizontal="center"/>
    </xf>
    <xf numFmtId="10" fontId="5" fillId="7" borderId="25" xfId="0" applyNumberFormat="1" applyFont="1" applyFill="1" applyBorder="1" applyAlignment="1" applyProtection="1">
      <alignment horizontal="center"/>
    </xf>
    <xf numFmtId="10" fontId="5" fillId="7" borderId="16" xfId="0" applyNumberFormat="1" applyFont="1" applyFill="1" applyBorder="1" applyAlignment="1" applyProtection="1">
      <alignment horizontal="center"/>
    </xf>
    <xf numFmtId="10" fontId="5" fillId="7" borderId="14" xfId="0" applyNumberFormat="1" applyFont="1" applyFill="1" applyBorder="1" applyAlignment="1" applyProtection="1">
      <alignment horizontal="center"/>
    </xf>
    <xf numFmtId="10" fontId="5" fillId="7" borderId="22" xfId="0" applyNumberFormat="1" applyFont="1" applyFill="1" applyBorder="1" applyAlignment="1" applyProtection="1">
      <alignment horizontal="center"/>
    </xf>
    <xf numFmtId="10" fontId="5" fillId="7" borderId="11" xfId="0" applyNumberFormat="1" applyFont="1" applyFill="1" applyBorder="1" applyAlignment="1" applyProtection="1">
      <alignment horizontal="center"/>
    </xf>
    <xf numFmtId="10" fontId="5" fillId="7" borderId="15" xfId="0" applyNumberFormat="1" applyFont="1" applyFill="1" applyBorder="1" applyAlignment="1" applyProtection="1">
      <alignment horizontal="center"/>
    </xf>
    <xf numFmtId="10" fontId="7" fillId="10" borderId="2" xfId="0" applyNumberFormat="1" applyFont="1" applyFill="1" applyBorder="1" applyAlignment="1" applyProtection="1">
      <alignment horizontal="center"/>
    </xf>
    <xf numFmtId="10" fontId="5" fillId="2" borderId="16" xfId="0" applyNumberFormat="1" applyFont="1" applyFill="1" applyBorder="1" applyAlignment="1" applyProtection="1">
      <alignment horizontal="center"/>
    </xf>
    <xf numFmtId="10" fontId="5" fillId="2" borderId="17" xfId="0" applyNumberFormat="1" applyFont="1" applyFill="1" applyBorder="1" applyAlignment="1" applyProtection="1">
      <alignment horizontal="center"/>
    </xf>
    <xf numFmtId="10" fontId="5" fillId="2" borderId="14" xfId="0" applyNumberFormat="1" applyFont="1" applyFill="1" applyBorder="1" applyAlignment="1" applyProtection="1">
      <alignment horizontal="center"/>
    </xf>
    <xf numFmtId="10" fontId="5" fillId="2" borderId="22" xfId="0" applyNumberFormat="1" applyFont="1" applyFill="1" applyBorder="1" applyAlignment="1" applyProtection="1">
      <alignment horizontal="center"/>
    </xf>
    <xf numFmtId="10" fontId="5" fillId="10" borderId="14" xfId="0" applyNumberFormat="1" applyFont="1" applyFill="1" applyBorder="1" applyAlignment="1" applyProtection="1">
      <alignment horizontal="center"/>
    </xf>
    <xf numFmtId="10" fontId="5" fillId="2" borderId="15" xfId="0" applyNumberFormat="1" applyFont="1" applyFill="1" applyBorder="1" applyAlignment="1" applyProtection="1">
      <alignment horizontal="center"/>
    </xf>
    <xf numFmtId="9" fontId="5" fillId="3" borderId="18" xfId="2" applyFont="1" applyFill="1" applyBorder="1" applyAlignment="1" applyProtection="1">
      <alignment horizontal="center"/>
      <protection locked="0"/>
    </xf>
    <xf numFmtId="10" fontId="0" fillId="3" borderId="31" xfId="2" applyNumberFormat="1" applyFont="1" applyFill="1" applyBorder="1" applyProtection="1">
      <protection locked="0"/>
    </xf>
    <xf numFmtId="0" fontId="13" fillId="0" borderId="0" xfId="0" applyFont="1"/>
    <xf numFmtId="0" fontId="5" fillId="13" borderId="3" xfId="0" applyFont="1" applyFill="1" applyBorder="1" applyAlignment="1">
      <alignment horizontal="left" wrapText="1"/>
    </xf>
    <xf numFmtId="0" fontId="5" fillId="13" borderId="4" xfId="0" applyFont="1" applyFill="1" applyBorder="1" applyAlignment="1">
      <alignment horizontal="left" wrapText="1"/>
    </xf>
    <xf numFmtId="0" fontId="5" fillId="13" borderId="5" xfId="0" applyFont="1" applyFill="1" applyBorder="1" applyAlignment="1">
      <alignment horizontal="left" wrapText="1"/>
    </xf>
    <xf numFmtId="0" fontId="5" fillId="13" borderId="1" xfId="0" applyFont="1" applyFill="1" applyBorder="1" applyAlignment="1">
      <alignment horizontal="left" wrapText="1"/>
    </xf>
    <xf numFmtId="0" fontId="5" fillId="13" borderId="0" xfId="0" applyFont="1" applyFill="1" applyBorder="1" applyAlignment="1">
      <alignment horizontal="left" wrapText="1"/>
    </xf>
    <xf numFmtId="0" fontId="5" fillId="13" borderId="6" xfId="0" applyFont="1" applyFill="1" applyBorder="1" applyAlignment="1">
      <alignment horizontal="left" wrapText="1"/>
    </xf>
    <xf numFmtId="0" fontId="3" fillId="13" borderId="3" xfId="0" quotePrefix="1" applyFont="1" applyFill="1" applyBorder="1" applyAlignment="1">
      <alignment horizontal="left" vertical="top" wrapText="1"/>
    </xf>
    <xf numFmtId="0" fontId="3" fillId="13" borderId="4" xfId="0" quotePrefix="1" applyFont="1" applyFill="1" applyBorder="1" applyAlignment="1">
      <alignment horizontal="left" vertical="top" wrapText="1"/>
    </xf>
    <xf numFmtId="0" fontId="3" fillId="13" borderId="5" xfId="0" quotePrefix="1" applyFont="1" applyFill="1" applyBorder="1" applyAlignment="1">
      <alignment horizontal="left" vertical="top" wrapText="1"/>
    </xf>
    <xf numFmtId="0" fontId="3" fillId="13" borderId="1" xfId="0" quotePrefix="1" applyFont="1" applyFill="1" applyBorder="1" applyAlignment="1">
      <alignment horizontal="left" vertical="top" wrapText="1"/>
    </xf>
    <xf numFmtId="0" fontId="3" fillId="13" borderId="0" xfId="0" quotePrefix="1" applyFont="1" applyFill="1" applyBorder="1" applyAlignment="1">
      <alignment horizontal="left" vertical="top" wrapText="1"/>
    </xf>
    <xf numFmtId="0" fontId="3" fillId="13" borderId="6" xfId="0" quotePrefix="1" applyFont="1" applyFill="1" applyBorder="1" applyAlignment="1">
      <alignment horizontal="left" vertical="top" wrapText="1"/>
    </xf>
    <xf numFmtId="0" fontId="3" fillId="13" borderId="7" xfId="0" quotePrefix="1" applyFont="1" applyFill="1" applyBorder="1" applyAlignment="1">
      <alignment horizontal="left" vertical="top" wrapText="1"/>
    </xf>
    <xf numFmtId="0" fontId="3" fillId="13" borderId="8" xfId="0" quotePrefix="1" applyFont="1" applyFill="1" applyBorder="1" applyAlignment="1">
      <alignment horizontal="left" vertical="top" wrapText="1"/>
    </xf>
    <xf numFmtId="0" fontId="3" fillId="13" borderId="9" xfId="0" quotePrefix="1" applyFont="1" applyFill="1" applyBorder="1" applyAlignment="1">
      <alignment horizontal="left" vertical="top" wrapText="1"/>
    </xf>
    <xf numFmtId="0" fontId="4" fillId="12" borderId="3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2" borderId="9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 vertical="top"/>
    </xf>
    <xf numFmtId="0" fontId="7" fillId="12" borderId="31" xfId="0" applyFont="1" applyFill="1" applyBorder="1" applyAlignment="1">
      <alignment horizontal="center" vertical="top"/>
    </xf>
    <xf numFmtId="0" fontId="4" fillId="10" borderId="3" xfId="0" applyFont="1" applyFill="1" applyBorder="1" applyAlignment="1" applyProtection="1">
      <alignment horizontal="center" vertical="center"/>
    </xf>
    <xf numFmtId="0" fontId="4" fillId="10" borderId="4" xfId="0" applyFont="1" applyFill="1" applyBorder="1" applyAlignment="1" applyProtection="1">
      <alignment horizontal="center" vertical="center"/>
    </xf>
    <xf numFmtId="0" fontId="4" fillId="10" borderId="5" xfId="0" applyFont="1" applyFill="1" applyBorder="1" applyAlignment="1" applyProtection="1">
      <alignment horizontal="center" vertical="center"/>
    </xf>
    <xf numFmtId="0" fontId="4" fillId="10" borderId="1" xfId="0" applyFont="1" applyFill="1" applyBorder="1" applyAlignment="1" applyProtection="1">
      <alignment horizontal="center" vertical="center"/>
    </xf>
    <xf numFmtId="0" fontId="4" fillId="10" borderId="0" xfId="0" applyFont="1" applyFill="1" applyAlignment="1" applyProtection="1">
      <alignment horizontal="center" vertical="center"/>
    </xf>
    <xf numFmtId="0" fontId="4" fillId="10" borderId="6" xfId="0" applyFont="1" applyFill="1" applyBorder="1" applyAlignment="1" applyProtection="1">
      <alignment horizontal="center" vertical="center"/>
    </xf>
    <xf numFmtId="0" fontId="4" fillId="10" borderId="7" xfId="0" applyFont="1" applyFill="1" applyBorder="1" applyAlignment="1" applyProtection="1">
      <alignment horizontal="center" vertical="center"/>
    </xf>
    <xf numFmtId="0" fontId="4" fillId="10" borderId="8" xfId="0" applyFont="1" applyFill="1" applyBorder="1" applyAlignment="1" applyProtection="1">
      <alignment horizontal="center" vertical="center"/>
    </xf>
    <xf numFmtId="0" fontId="4" fillId="10" borderId="9" xfId="0" applyFont="1" applyFill="1" applyBorder="1" applyAlignment="1" applyProtection="1">
      <alignment horizontal="center" vertical="center"/>
    </xf>
    <xf numFmtId="0" fontId="4" fillId="6" borderId="3" xfId="0" applyFont="1" applyFill="1" applyBorder="1" applyAlignment="1" applyProtection="1">
      <alignment horizontal="center" vertical="center"/>
    </xf>
    <xf numFmtId="0" fontId="4" fillId="6" borderId="4" xfId="0" applyFont="1" applyFill="1" applyBorder="1" applyAlignment="1" applyProtection="1">
      <alignment horizontal="center" vertical="center"/>
    </xf>
    <xf numFmtId="0" fontId="4" fillId="6" borderId="5" xfId="0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center" vertical="center"/>
    </xf>
    <xf numFmtId="0" fontId="4" fillId="6" borderId="0" xfId="0" applyFont="1" applyFill="1" applyAlignment="1" applyProtection="1">
      <alignment horizontal="center" vertical="center"/>
    </xf>
    <xf numFmtId="0" fontId="4" fillId="6" borderId="6" xfId="0" applyFont="1" applyFill="1" applyBorder="1" applyAlignment="1" applyProtection="1">
      <alignment horizontal="center" vertical="center"/>
    </xf>
    <xf numFmtId="0" fontId="4" fillId="6" borderId="7" xfId="0" applyFont="1" applyFill="1" applyBorder="1" applyAlignment="1" applyProtection="1">
      <alignment horizontal="center" vertical="center"/>
    </xf>
    <xf numFmtId="0" fontId="4" fillId="6" borderId="8" xfId="0" applyFont="1" applyFill="1" applyBorder="1" applyAlignment="1" applyProtection="1">
      <alignment horizontal="center" vertical="center"/>
    </xf>
    <xf numFmtId="0" fontId="4" fillId="6" borderId="9" xfId="0" applyFont="1" applyFill="1" applyBorder="1" applyAlignment="1" applyProtection="1">
      <alignment horizontal="center" vertical="center"/>
    </xf>
    <xf numFmtId="0" fontId="4" fillId="5" borderId="3" xfId="0" applyFont="1" applyFill="1" applyBorder="1" applyAlignment="1" applyProtection="1">
      <alignment horizontal="center"/>
    </xf>
    <xf numFmtId="0" fontId="4" fillId="5" borderId="4" xfId="0" applyFont="1" applyFill="1" applyBorder="1" applyAlignment="1" applyProtection="1">
      <alignment horizontal="center"/>
    </xf>
    <xf numFmtId="0" fontId="4" fillId="5" borderId="5" xfId="0" applyFont="1" applyFill="1" applyBorder="1" applyAlignment="1" applyProtection="1">
      <alignment horizontal="center"/>
    </xf>
    <xf numFmtId="0" fontId="4" fillId="5" borderId="7" xfId="0" applyFont="1" applyFill="1" applyBorder="1" applyAlignment="1" applyProtection="1">
      <alignment horizontal="center"/>
    </xf>
    <xf numFmtId="0" fontId="4" fillId="5" borderId="8" xfId="0" applyFont="1" applyFill="1" applyBorder="1" applyAlignment="1" applyProtection="1">
      <alignment horizontal="center"/>
    </xf>
    <xf numFmtId="0" fontId="4" fillId="5" borderId="9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 vertical="center"/>
    </xf>
    <xf numFmtId="0" fontId="4" fillId="8" borderId="4" xfId="0" applyFont="1" applyFill="1" applyBorder="1" applyAlignment="1" applyProtection="1">
      <alignment horizontal="center" vertical="center"/>
    </xf>
    <xf numFmtId="0" fontId="4" fillId="8" borderId="5" xfId="0" applyFont="1" applyFill="1" applyBorder="1" applyAlignment="1" applyProtection="1">
      <alignment horizontal="center" vertical="center"/>
    </xf>
    <xf numFmtId="0" fontId="4" fillId="8" borderId="1" xfId="0" applyFont="1" applyFill="1" applyBorder="1" applyAlignment="1" applyProtection="1">
      <alignment horizontal="center" vertical="center"/>
    </xf>
    <xf numFmtId="0" fontId="4" fillId="8" borderId="0" xfId="0" applyFont="1" applyFill="1" applyAlignment="1" applyProtection="1">
      <alignment horizontal="center" vertical="center"/>
    </xf>
    <xf numFmtId="0" fontId="4" fillId="8" borderId="6" xfId="0" applyFont="1" applyFill="1" applyBorder="1" applyAlignment="1" applyProtection="1">
      <alignment horizontal="center" vertical="center"/>
    </xf>
    <xf numFmtId="0" fontId="4" fillId="8" borderId="7" xfId="0" applyFont="1" applyFill="1" applyBorder="1" applyAlignment="1" applyProtection="1">
      <alignment horizontal="center" vertical="center"/>
    </xf>
    <xf numFmtId="0" fontId="4" fillId="8" borderId="8" xfId="0" applyFont="1" applyFill="1" applyBorder="1" applyAlignment="1" applyProtection="1">
      <alignment horizontal="center" vertical="center"/>
    </xf>
    <xf numFmtId="0" fontId="4" fillId="8" borderId="9" xfId="0" applyFont="1" applyFill="1" applyBorder="1" applyAlignment="1" applyProtection="1">
      <alignment horizontal="center" vertical="center"/>
    </xf>
    <xf numFmtId="0" fontId="7" fillId="6" borderId="12" xfId="0" applyFont="1" applyFill="1" applyBorder="1" applyAlignment="1" applyProtection="1">
      <alignment horizontal="left"/>
    </xf>
    <xf numFmtId="0" fontId="7" fillId="6" borderId="10" xfId="0" applyFont="1" applyFill="1" applyBorder="1" applyAlignment="1" applyProtection="1">
      <alignment horizontal="left"/>
    </xf>
    <xf numFmtId="10" fontId="7" fillId="6" borderId="12" xfId="0" applyNumberFormat="1" applyFont="1" applyFill="1" applyBorder="1" applyAlignment="1" applyProtection="1">
      <alignment horizontal="center"/>
    </xf>
    <xf numFmtId="10" fontId="7" fillId="6" borderId="35" xfId="0" applyNumberFormat="1" applyFont="1" applyFill="1" applyBorder="1" applyAlignment="1" applyProtection="1">
      <alignment horizontal="center"/>
    </xf>
    <xf numFmtId="10" fontId="7" fillId="6" borderId="10" xfId="0" applyNumberFormat="1" applyFont="1" applyFill="1" applyBorder="1" applyAlignment="1" applyProtection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5050"/>
      <color rgb="FFF6B1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B4DD-2DB2-4B70-8EE2-A793C23F5FF4}">
  <dimension ref="A1:B1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2" x14ac:dyDescent="0.25">
      <c r="A1" s="300" t="s">
        <v>267</v>
      </c>
      <c r="B1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0BD1-2C9F-42D9-A5FB-3050BA1D98B0}">
  <dimension ref="B1:M29"/>
  <sheetViews>
    <sheetView showGridLines="0" workbookViewId="0">
      <selection activeCell="R16" sqref="R16"/>
    </sheetView>
  </sheetViews>
  <sheetFormatPr defaultRowHeight="15" x14ac:dyDescent="0.25"/>
  <cols>
    <col min="1" max="1" width="2.5703125" style="1" customWidth="1"/>
    <col min="2" max="2" width="15.28515625" style="1" customWidth="1"/>
    <col min="3" max="5" width="9.140625" style="1"/>
    <col min="6" max="6" width="9.42578125" style="1" bestFit="1" customWidth="1"/>
    <col min="7" max="12" width="9.140625" style="1"/>
    <col min="13" max="13" width="18.28515625" style="1" customWidth="1"/>
    <col min="14" max="16384" width="9.140625" style="1"/>
  </cols>
  <sheetData>
    <row r="1" spans="2:13" ht="15.75" thickBot="1" x14ac:dyDescent="0.3"/>
    <row r="2" spans="2:13" ht="25.5" x14ac:dyDescent="0.35">
      <c r="B2" s="316" t="s">
        <v>266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2:13" ht="26.25" thickBot="1" x14ac:dyDescent="0.4">
      <c r="B3" s="319" t="s">
        <v>251</v>
      </c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1"/>
    </row>
    <row r="4" spans="2:13" ht="15.75" thickBot="1" x14ac:dyDescent="0.3"/>
    <row r="5" spans="2:13" ht="15" customHeight="1" x14ac:dyDescent="0.25">
      <c r="B5" s="322" t="s">
        <v>231</v>
      </c>
      <c r="C5" s="307" t="s">
        <v>253</v>
      </c>
      <c r="D5" s="308"/>
      <c r="E5" s="308"/>
      <c r="F5" s="308"/>
      <c r="G5" s="308"/>
      <c r="H5" s="308"/>
      <c r="I5" s="308"/>
      <c r="J5" s="308"/>
      <c r="K5" s="308"/>
      <c r="L5" s="308"/>
      <c r="M5" s="309"/>
    </row>
    <row r="6" spans="2:13" ht="15" customHeight="1" x14ac:dyDescent="0.25">
      <c r="B6" s="323"/>
      <c r="C6" s="310"/>
      <c r="D6" s="311"/>
      <c r="E6" s="311"/>
      <c r="F6" s="311"/>
      <c r="G6" s="311"/>
      <c r="H6" s="311"/>
      <c r="I6" s="311"/>
      <c r="J6" s="311"/>
      <c r="K6" s="311"/>
      <c r="L6" s="311"/>
      <c r="M6" s="312"/>
    </row>
    <row r="7" spans="2:13" ht="15" customHeight="1" x14ac:dyDescent="0.25">
      <c r="B7" s="323"/>
      <c r="C7" s="310"/>
      <c r="D7" s="311"/>
      <c r="E7" s="311"/>
      <c r="F7" s="311"/>
      <c r="G7" s="311"/>
      <c r="H7" s="311"/>
      <c r="I7" s="311"/>
      <c r="J7" s="311"/>
      <c r="K7" s="311"/>
      <c r="L7" s="311"/>
      <c r="M7" s="312"/>
    </row>
    <row r="8" spans="2:13" ht="15.75" customHeight="1" x14ac:dyDescent="0.25">
      <c r="B8" s="323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2"/>
    </row>
    <row r="9" spans="2:13" ht="15" customHeight="1" x14ac:dyDescent="0.25">
      <c r="B9" s="23"/>
      <c r="C9" s="310"/>
      <c r="D9" s="311"/>
      <c r="E9" s="311"/>
      <c r="F9" s="311"/>
      <c r="G9" s="311"/>
      <c r="H9" s="311"/>
      <c r="I9" s="311"/>
      <c r="J9" s="311"/>
      <c r="K9" s="311"/>
      <c r="L9" s="311"/>
      <c r="M9" s="312"/>
    </row>
    <row r="10" spans="2:13" ht="15" customHeight="1" x14ac:dyDescent="0.25">
      <c r="B10" s="23"/>
      <c r="C10" s="310"/>
      <c r="D10" s="311"/>
      <c r="E10" s="311"/>
      <c r="F10" s="311"/>
      <c r="G10" s="311"/>
      <c r="H10" s="311"/>
      <c r="I10" s="311"/>
      <c r="J10" s="311"/>
      <c r="K10" s="311"/>
      <c r="L10" s="311"/>
      <c r="M10" s="312"/>
    </row>
    <row r="11" spans="2:13" ht="15" customHeight="1" x14ac:dyDescent="0.25">
      <c r="B11" s="23"/>
      <c r="C11" s="310"/>
      <c r="D11" s="311"/>
      <c r="E11" s="311"/>
      <c r="F11" s="311"/>
      <c r="G11" s="311"/>
      <c r="H11" s="311"/>
      <c r="I11" s="311"/>
      <c r="J11" s="311"/>
      <c r="K11" s="311"/>
      <c r="L11" s="311"/>
      <c r="M11" s="312"/>
    </row>
    <row r="12" spans="2:13" x14ac:dyDescent="0.25">
      <c r="B12" s="23"/>
      <c r="C12" s="310"/>
      <c r="D12" s="311"/>
      <c r="E12" s="311"/>
      <c r="F12" s="311"/>
      <c r="G12" s="311"/>
      <c r="H12" s="311"/>
      <c r="I12" s="311"/>
      <c r="J12" s="311"/>
      <c r="K12" s="311"/>
      <c r="L12" s="311"/>
      <c r="M12" s="312"/>
    </row>
    <row r="13" spans="2:13" ht="15.75" thickBot="1" x14ac:dyDescent="0.3">
      <c r="B13" s="24"/>
      <c r="C13" s="313"/>
      <c r="D13" s="314"/>
      <c r="E13" s="314"/>
      <c r="F13" s="314"/>
      <c r="G13" s="314"/>
      <c r="H13" s="314"/>
      <c r="I13" s="314"/>
      <c r="J13" s="314"/>
      <c r="K13" s="314"/>
      <c r="L13" s="314"/>
      <c r="M13" s="315"/>
    </row>
    <row r="14" spans="2:13" ht="15.75" thickBot="1" x14ac:dyDescent="0.3"/>
    <row r="15" spans="2:13" x14ac:dyDescent="0.25">
      <c r="B15" s="22" t="s">
        <v>228</v>
      </c>
      <c r="C15" s="301" t="s">
        <v>249</v>
      </c>
      <c r="D15" s="302"/>
      <c r="E15" s="302"/>
      <c r="F15" s="302"/>
      <c r="G15" s="302"/>
      <c r="H15" s="302"/>
      <c r="I15" s="302"/>
      <c r="J15" s="302"/>
      <c r="K15" s="302"/>
      <c r="L15" s="302"/>
      <c r="M15" s="303"/>
    </row>
    <row r="16" spans="2:13" x14ac:dyDescent="0.25">
      <c r="B16" s="23"/>
      <c r="C16" s="304"/>
      <c r="D16" s="305"/>
      <c r="E16" s="305"/>
      <c r="F16" s="305"/>
      <c r="G16" s="305"/>
      <c r="H16" s="305"/>
      <c r="I16" s="305"/>
      <c r="J16" s="305"/>
      <c r="K16" s="305"/>
      <c r="L16" s="305"/>
      <c r="M16" s="306"/>
    </row>
    <row r="17" spans="2:13" ht="15.75" thickBot="1" x14ac:dyDescent="0.3">
      <c r="B17" s="23"/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7"/>
    </row>
    <row r="18" spans="2:13" ht="15.75" thickBot="1" x14ac:dyDescent="0.3">
      <c r="B18" s="23"/>
      <c r="C18" s="33"/>
      <c r="D18" s="20"/>
      <c r="E18" s="28" t="s">
        <v>247</v>
      </c>
      <c r="F18" s="29"/>
      <c r="G18" s="29"/>
      <c r="H18" s="29"/>
      <c r="I18" s="29"/>
      <c r="J18" s="29"/>
      <c r="K18" s="29"/>
      <c r="L18" s="29"/>
      <c r="M18" s="30"/>
    </row>
    <row r="19" spans="2:13" ht="15.75" thickBot="1" x14ac:dyDescent="0.3">
      <c r="B19" s="23"/>
      <c r="C19" s="33"/>
      <c r="D19" s="29"/>
      <c r="E19" s="28"/>
      <c r="F19" s="29"/>
      <c r="G19" s="29"/>
      <c r="H19" s="29"/>
      <c r="I19" s="29"/>
      <c r="J19" s="29"/>
      <c r="K19" s="29"/>
      <c r="L19" s="29"/>
      <c r="M19" s="30"/>
    </row>
    <row r="20" spans="2:13" ht="15.75" thickBot="1" x14ac:dyDescent="0.3">
      <c r="B20" s="23"/>
      <c r="C20" s="33"/>
      <c r="D20" s="267"/>
      <c r="E20" s="28" t="s">
        <v>248</v>
      </c>
      <c r="F20" s="29"/>
      <c r="G20" s="29"/>
      <c r="H20" s="29"/>
      <c r="I20" s="29"/>
      <c r="J20" s="29"/>
      <c r="K20" s="29"/>
      <c r="L20" s="29"/>
      <c r="M20" s="30"/>
    </row>
    <row r="21" spans="2:13" ht="15.75" thickBot="1" x14ac:dyDescent="0.3">
      <c r="B21" s="24"/>
      <c r="C21" s="34"/>
      <c r="D21" s="31"/>
      <c r="E21" s="31"/>
      <c r="F21" s="31"/>
      <c r="G21" s="31"/>
      <c r="H21" s="31"/>
      <c r="I21" s="31"/>
      <c r="J21" s="31"/>
      <c r="K21" s="31"/>
      <c r="L21" s="31"/>
      <c r="M21" s="32"/>
    </row>
    <row r="22" spans="2:13" ht="15.75" thickBot="1" x14ac:dyDescent="0.3"/>
    <row r="23" spans="2:13" x14ac:dyDescent="0.25">
      <c r="B23" s="22" t="s">
        <v>230</v>
      </c>
      <c r="C23" s="301" t="s">
        <v>250</v>
      </c>
      <c r="D23" s="302"/>
      <c r="E23" s="302"/>
      <c r="F23" s="302"/>
      <c r="G23" s="302"/>
      <c r="H23" s="302"/>
      <c r="I23" s="302"/>
      <c r="J23" s="302"/>
      <c r="K23" s="302"/>
      <c r="L23" s="302"/>
      <c r="M23" s="303"/>
    </row>
    <row r="24" spans="2:13" x14ac:dyDescent="0.25">
      <c r="B24" s="23"/>
      <c r="C24" s="304"/>
      <c r="D24" s="305"/>
      <c r="E24" s="305"/>
      <c r="F24" s="305"/>
      <c r="G24" s="305"/>
      <c r="H24" s="305"/>
      <c r="I24" s="305"/>
      <c r="J24" s="305"/>
      <c r="K24" s="305"/>
      <c r="L24" s="305"/>
      <c r="M24" s="306"/>
    </row>
    <row r="25" spans="2:13" ht="15.75" thickBot="1" x14ac:dyDescent="0.3">
      <c r="B25" s="23"/>
      <c r="C25" s="33"/>
      <c r="D25" s="29"/>
      <c r="E25" s="29"/>
      <c r="F25" s="29"/>
      <c r="G25" s="29"/>
      <c r="H25" s="29"/>
      <c r="I25" s="29"/>
      <c r="J25" s="29"/>
      <c r="K25" s="29"/>
      <c r="L25" s="29"/>
      <c r="M25" s="30"/>
    </row>
    <row r="26" spans="2:13" ht="15.75" thickBot="1" x14ac:dyDescent="0.3">
      <c r="B26" s="23"/>
      <c r="C26" s="33"/>
      <c r="D26" s="21"/>
      <c r="E26" s="28" t="s">
        <v>252</v>
      </c>
      <c r="F26" s="29"/>
      <c r="G26" s="29"/>
      <c r="H26" s="29"/>
      <c r="I26" s="29"/>
      <c r="J26" s="29"/>
      <c r="K26" s="29"/>
      <c r="L26" s="29"/>
      <c r="M26" s="30"/>
    </row>
    <row r="27" spans="2:13" ht="15.75" thickBot="1" x14ac:dyDescent="0.3">
      <c r="B27" s="23"/>
      <c r="C27" s="33"/>
      <c r="D27" s="29"/>
      <c r="E27" s="28"/>
      <c r="F27" s="29"/>
      <c r="G27" s="29"/>
      <c r="H27" s="29"/>
      <c r="I27" s="29"/>
      <c r="J27" s="29"/>
      <c r="K27" s="29"/>
      <c r="L27" s="29"/>
      <c r="M27" s="30"/>
    </row>
    <row r="28" spans="2:13" ht="15.75" thickBot="1" x14ac:dyDescent="0.3">
      <c r="B28" s="23"/>
      <c r="C28" s="33"/>
      <c r="D28" s="267"/>
      <c r="E28" s="28" t="s">
        <v>248</v>
      </c>
      <c r="F28" s="29"/>
      <c r="G28" s="29"/>
      <c r="H28" s="29"/>
      <c r="I28" s="29"/>
      <c r="J28" s="29"/>
      <c r="K28" s="29"/>
      <c r="L28" s="29"/>
      <c r="M28" s="30"/>
    </row>
    <row r="29" spans="2:13" ht="15.75" thickBot="1" x14ac:dyDescent="0.3">
      <c r="B29" s="24"/>
      <c r="C29" s="34"/>
      <c r="D29" s="31"/>
      <c r="E29" s="31"/>
      <c r="F29" s="31"/>
      <c r="G29" s="31"/>
      <c r="H29" s="31"/>
      <c r="I29" s="31"/>
      <c r="J29" s="31"/>
      <c r="K29" s="31"/>
      <c r="L29" s="31"/>
      <c r="M29" s="32"/>
    </row>
  </sheetData>
  <sheetProtection algorithmName="SHA-512" hashValue="et3J08rcoNlacKoc1tgQKO51QxuzMhIGzVrGr4EOkRKCEqZOL/aq5uufW/gwRvJfxvSCFM0J2g+MFHrrlx9avA==" saltValue="xT1xR0pFr7y1mCVaJBM+kw==" spinCount="100000" sheet="1" objects="1" scenarios="1" selectLockedCells="1"/>
  <mergeCells count="6">
    <mergeCell ref="C15:M16"/>
    <mergeCell ref="C5:M13"/>
    <mergeCell ref="C23:M24"/>
    <mergeCell ref="B2:M2"/>
    <mergeCell ref="B3:M3"/>
    <mergeCell ref="B5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152A-820B-4440-87EF-D9F469D1DC38}">
  <dimension ref="B1:AO549"/>
  <sheetViews>
    <sheetView showGridLines="0" zoomScale="85" zoomScaleNormal="85" workbookViewId="0">
      <selection activeCell="C375" sqref="C375"/>
    </sheetView>
  </sheetViews>
  <sheetFormatPr defaultRowHeight="15" x14ac:dyDescent="0.25"/>
  <cols>
    <col min="1" max="1" width="3.85546875" style="43" customWidth="1"/>
    <col min="2" max="2" width="23.5703125" style="43" bestFit="1" customWidth="1"/>
    <col min="3" max="3" width="92.85546875" style="43" bestFit="1" customWidth="1"/>
    <col min="4" max="4" width="36.7109375" style="44" customWidth="1"/>
    <col min="5" max="5" width="6.140625" style="44" customWidth="1"/>
    <col min="6" max="6" width="15.85546875" style="155" customWidth="1"/>
    <col min="7" max="7" width="18" style="43" customWidth="1"/>
    <col min="8" max="8" width="24.85546875" style="43" customWidth="1"/>
    <col min="9" max="9" width="21.140625" style="43" customWidth="1"/>
    <col min="10" max="10" width="19" style="43" customWidth="1"/>
    <col min="11" max="13" width="9.140625" style="43"/>
    <col min="14" max="14" width="11.28515625" style="43" customWidth="1"/>
    <col min="15" max="16384" width="9.140625" style="43"/>
  </cols>
  <sheetData>
    <row r="1" spans="2:15" ht="15.75" thickBot="1" x14ac:dyDescent="0.3"/>
    <row r="2" spans="2:15" s="45" customFormat="1" ht="25.5" x14ac:dyDescent="0.35">
      <c r="B2" s="342" t="s">
        <v>227</v>
      </c>
      <c r="C2" s="343"/>
      <c r="D2" s="343"/>
      <c r="E2" s="343"/>
      <c r="F2" s="343"/>
      <c r="G2" s="343"/>
      <c r="H2" s="344"/>
    </row>
    <row r="3" spans="2:15" s="45" customFormat="1" ht="26.25" thickBot="1" x14ac:dyDescent="0.4">
      <c r="B3" s="345" t="s">
        <v>251</v>
      </c>
      <c r="C3" s="346"/>
      <c r="D3" s="346"/>
      <c r="E3" s="346"/>
      <c r="F3" s="346"/>
      <c r="G3" s="346"/>
      <c r="H3" s="347"/>
    </row>
    <row r="4" spans="2:15" ht="15.75" thickBot="1" x14ac:dyDescent="0.3">
      <c r="B4" s="46"/>
      <c r="C4" s="46"/>
      <c r="D4" s="46"/>
      <c r="E4" s="46"/>
      <c r="G4" s="47"/>
    </row>
    <row r="5" spans="2:15" ht="27" thickBot="1" x14ac:dyDescent="0.45">
      <c r="B5" s="48" t="s">
        <v>225</v>
      </c>
      <c r="C5" s="2"/>
      <c r="G5" s="49"/>
      <c r="L5" s="50"/>
      <c r="M5" s="50"/>
      <c r="N5" s="50"/>
      <c r="O5" s="50"/>
    </row>
    <row r="6" spans="2:15" ht="27" thickBot="1" x14ac:dyDescent="0.45">
      <c r="B6" s="51" t="s">
        <v>229</v>
      </c>
      <c r="C6" s="2"/>
      <c r="G6" s="49"/>
      <c r="L6" s="50"/>
      <c r="M6" s="50"/>
      <c r="N6" s="50"/>
      <c r="O6" s="50"/>
    </row>
    <row r="7" spans="2:15" ht="27" thickBot="1" x14ac:dyDescent="0.45">
      <c r="B7" s="52"/>
      <c r="C7" s="53"/>
      <c r="G7" s="49"/>
      <c r="L7" s="50"/>
      <c r="M7" s="50"/>
      <c r="N7" s="50"/>
      <c r="O7" s="50"/>
    </row>
    <row r="8" spans="2:15" x14ac:dyDescent="0.25">
      <c r="B8" s="348" t="s">
        <v>0</v>
      </c>
      <c r="C8" s="349"/>
      <c r="D8" s="349"/>
      <c r="E8" s="349"/>
      <c r="F8" s="349"/>
      <c r="G8" s="349"/>
      <c r="H8" s="350"/>
      <c r="L8" s="50"/>
      <c r="M8" s="50"/>
      <c r="N8" s="50"/>
      <c r="O8" s="50"/>
    </row>
    <row r="9" spans="2:15" ht="18.75" x14ac:dyDescent="0.25">
      <c r="B9" s="351"/>
      <c r="C9" s="352"/>
      <c r="D9" s="352"/>
      <c r="E9" s="352"/>
      <c r="F9" s="352"/>
      <c r="G9" s="352"/>
      <c r="H9" s="353"/>
      <c r="L9" s="50"/>
      <c r="M9" s="50"/>
      <c r="N9" s="54"/>
      <c r="O9" s="50"/>
    </row>
    <row r="10" spans="2:15" ht="15.75" thickBot="1" x14ac:dyDescent="0.3">
      <c r="B10" s="354"/>
      <c r="C10" s="355"/>
      <c r="D10" s="355"/>
      <c r="E10" s="355"/>
      <c r="F10" s="355"/>
      <c r="G10" s="355"/>
      <c r="H10" s="356"/>
      <c r="L10" s="50"/>
      <c r="M10" s="50"/>
      <c r="N10" s="55"/>
      <c r="O10" s="50"/>
    </row>
    <row r="11" spans="2:15" ht="16.5" thickBot="1" x14ac:dyDescent="0.3">
      <c r="G11" s="49"/>
      <c r="L11" s="50"/>
      <c r="M11" s="50"/>
      <c r="N11" s="56"/>
      <c r="O11" s="50"/>
    </row>
    <row r="12" spans="2:15" ht="15.75" thickBot="1" x14ac:dyDescent="0.3">
      <c r="B12" s="89" t="s">
        <v>1</v>
      </c>
      <c r="C12" s="270" t="s">
        <v>2</v>
      </c>
      <c r="D12" s="57" t="s">
        <v>3</v>
      </c>
      <c r="E12" s="35"/>
      <c r="F12" s="281" t="s">
        <v>4</v>
      </c>
      <c r="G12" s="59" t="s">
        <v>5</v>
      </c>
      <c r="H12" s="58" t="s">
        <v>6</v>
      </c>
      <c r="L12" s="50"/>
      <c r="M12" s="50"/>
      <c r="N12" s="50"/>
      <c r="O12" s="50"/>
    </row>
    <row r="13" spans="2:15" x14ac:dyDescent="0.25">
      <c r="B13" s="271" t="s">
        <v>7</v>
      </c>
      <c r="C13" s="61" t="s">
        <v>8</v>
      </c>
      <c r="D13" s="276"/>
      <c r="E13" s="36"/>
      <c r="F13" s="62" t="s">
        <v>224</v>
      </c>
      <c r="G13" s="62" t="s">
        <v>224</v>
      </c>
      <c r="H13" s="62" t="s">
        <v>224</v>
      </c>
      <c r="L13" s="50"/>
      <c r="M13" s="50"/>
      <c r="N13" s="50"/>
      <c r="O13" s="50"/>
    </row>
    <row r="14" spans="2:15" x14ac:dyDescent="0.25">
      <c r="B14" s="272" t="s">
        <v>7</v>
      </c>
      <c r="C14" s="64" t="s">
        <v>269</v>
      </c>
      <c r="D14" s="3"/>
      <c r="E14" s="36"/>
      <c r="F14" s="110" t="s">
        <v>224</v>
      </c>
      <c r="G14" s="110" t="s">
        <v>224</v>
      </c>
      <c r="H14" s="110" t="s">
        <v>224</v>
      </c>
      <c r="L14" s="50"/>
      <c r="M14" s="50"/>
      <c r="N14" s="50"/>
      <c r="O14" s="50"/>
    </row>
    <row r="15" spans="2:15" x14ac:dyDescent="0.25">
      <c r="B15" s="271" t="s">
        <v>9</v>
      </c>
      <c r="C15" s="101" t="s">
        <v>242</v>
      </c>
      <c r="D15" s="258"/>
      <c r="E15" s="36"/>
      <c r="F15" s="65" t="s">
        <v>224</v>
      </c>
      <c r="G15" s="65" t="s">
        <v>224</v>
      </c>
      <c r="H15" s="65" t="s">
        <v>224</v>
      </c>
      <c r="L15" s="50"/>
      <c r="M15" s="50"/>
      <c r="N15" s="50"/>
      <c r="O15" s="50"/>
    </row>
    <row r="16" spans="2:15" x14ac:dyDescent="0.25">
      <c r="B16" s="272" t="s">
        <v>10</v>
      </c>
      <c r="C16" s="64" t="s">
        <v>255</v>
      </c>
      <c r="D16" s="277"/>
      <c r="E16" s="37"/>
      <c r="F16" s="65" t="s">
        <v>224</v>
      </c>
      <c r="G16" s="65" t="s">
        <v>224</v>
      </c>
      <c r="H16" s="65" t="s">
        <v>224</v>
      </c>
      <c r="L16" s="50"/>
      <c r="M16" s="50"/>
      <c r="N16" s="50"/>
      <c r="O16" s="50"/>
    </row>
    <row r="17" spans="2:15" x14ac:dyDescent="0.25">
      <c r="B17" s="272" t="s">
        <v>10</v>
      </c>
      <c r="C17" s="64" t="s">
        <v>256</v>
      </c>
      <c r="D17" s="277"/>
      <c r="E17" s="37"/>
      <c r="F17" s="65" t="s">
        <v>224</v>
      </c>
      <c r="G17" s="65" t="s">
        <v>224</v>
      </c>
      <c r="H17" s="65" t="s">
        <v>224</v>
      </c>
      <c r="L17" s="50"/>
      <c r="M17" s="50"/>
      <c r="N17" s="50"/>
      <c r="O17" s="50"/>
    </row>
    <row r="18" spans="2:15" x14ac:dyDescent="0.25">
      <c r="B18" s="272" t="s">
        <v>11</v>
      </c>
      <c r="C18" s="64" t="s">
        <v>12</v>
      </c>
      <c r="D18" s="5"/>
      <c r="E18" s="37"/>
      <c r="F18" s="65" t="s">
        <v>224</v>
      </c>
      <c r="G18" s="65" t="s">
        <v>224</v>
      </c>
      <c r="H18" s="65" t="s">
        <v>224</v>
      </c>
      <c r="L18" s="50"/>
      <c r="M18" s="50"/>
      <c r="N18" s="50"/>
      <c r="O18" s="50"/>
    </row>
    <row r="19" spans="2:15" x14ac:dyDescent="0.25">
      <c r="B19" s="272" t="s">
        <v>13</v>
      </c>
      <c r="C19" s="64" t="s">
        <v>14</v>
      </c>
      <c r="D19" s="298"/>
      <c r="E19" s="36"/>
      <c r="F19" s="65" t="s">
        <v>224</v>
      </c>
      <c r="G19" s="66">
        <v>45141019.731936902</v>
      </c>
      <c r="H19" s="66">
        <f>D19*G19</f>
        <v>0</v>
      </c>
      <c r="L19" s="50"/>
      <c r="M19" s="50"/>
      <c r="N19" s="50"/>
      <c r="O19" s="50"/>
    </row>
    <row r="20" spans="2:15" x14ac:dyDescent="0.25">
      <c r="B20" s="272" t="s">
        <v>13</v>
      </c>
      <c r="C20" s="64" t="s">
        <v>15</v>
      </c>
      <c r="D20" s="3"/>
      <c r="E20" s="36"/>
      <c r="F20" s="65" t="s">
        <v>224</v>
      </c>
      <c r="G20" s="66">
        <v>7504451.36914053</v>
      </c>
      <c r="H20" s="66">
        <f t="shared" ref="H20:H26" si="0">D20*G20</f>
        <v>0</v>
      </c>
      <c r="L20" s="50"/>
      <c r="M20" s="50"/>
      <c r="N20" s="50"/>
      <c r="O20" s="50"/>
    </row>
    <row r="21" spans="2:15" x14ac:dyDescent="0.25">
      <c r="B21" s="272" t="s">
        <v>13</v>
      </c>
      <c r="C21" s="64" t="s">
        <v>16</v>
      </c>
      <c r="D21" s="4"/>
      <c r="E21" s="36"/>
      <c r="F21" s="65" t="s">
        <v>224</v>
      </c>
      <c r="G21" s="66">
        <v>38519.105684760587</v>
      </c>
      <c r="H21" s="66">
        <f t="shared" si="0"/>
        <v>0</v>
      </c>
      <c r="L21" s="50"/>
      <c r="M21" s="50"/>
      <c r="N21" s="50"/>
      <c r="O21" s="50"/>
    </row>
    <row r="22" spans="2:15" x14ac:dyDescent="0.25">
      <c r="B22" s="272" t="s">
        <v>13</v>
      </c>
      <c r="C22" s="64" t="s">
        <v>17</v>
      </c>
      <c r="D22" s="3"/>
      <c r="E22" s="36"/>
      <c r="F22" s="65" t="s">
        <v>224</v>
      </c>
      <c r="G22" s="66">
        <v>2139225.9667702103</v>
      </c>
      <c r="H22" s="66">
        <f t="shared" si="0"/>
        <v>0</v>
      </c>
      <c r="L22" s="50"/>
      <c r="M22" s="50"/>
      <c r="N22" s="50"/>
      <c r="O22" s="50"/>
    </row>
    <row r="23" spans="2:15" x14ac:dyDescent="0.25">
      <c r="B23" s="272" t="s">
        <v>18</v>
      </c>
      <c r="C23" s="64" t="s">
        <v>19</v>
      </c>
      <c r="D23" s="4"/>
      <c r="E23" s="36"/>
      <c r="F23" s="65" t="s">
        <v>224</v>
      </c>
      <c r="G23" s="66">
        <v>861127742.73541987</v>
      </c>
      <c r="H23" s="66">
        <f t="shared" si="0"/>
        <v>0</v>
      </c>
      <c r="L23" s="50"/>
      <c r="M23" s="50"/>
      <c r="N23" s="50"/>
      <c r="O23" s="50"/>
    </row>
    <row r="24" spans="2:15" x14ac:dyDescent="0.25">
      <c r="B24" s="272" t="s">
        <v>18</v>
      </c>
      <c r="C24" s="64" t="s">
        <v>20</v>
      </c>
      <c r="D24" s="3"/>
      <c r="E24" s="36"/>
      <c r="F24" s="65" t="s">
        <v>224</v>
      </c>
      <c r="G24" s="66">
        <v>353852429.46468616</v>
      </c>
      <c r="H24" s="66">
        <f t="shared" si="0"/>
        <v>0</v>
      </c>
      <c r="L24" s="50"/>
      <c r="M24" s="50"/>
      <c r="N24" s="50"/>
      <c r="O24" s="50"/>
    </row>
    <row r="25" spans="2:15" x14ac:dyDescent="0.25">
      <c r="B25" s="272" t="s">
        <v>21</v>
      </c>
      <c r="C25" s="64" t="s">
        <v>22</v>
      </c>
      <c r="D25" s="4"/>
      <c r="E25" s="36"/>
      <c r="F25" s="65" t="s">
        <v>224</v>
      </c>
      <c r="G25" s="66">
        <v>3080700218.0384245</v>
      </c>
      <c r="H25" s="66">
        <f t="shared" si="0"/>
        <v>0</v>
      </c>
      <c r="L25" s="50"/>
      <c r="M25" s="50"/>
      <c r="N25" s="50"/>
      <c r="O25" s="50"/>
    </row>
    <row r="26" spans="2:15" ht="15.75" thickBot="1" x14ac:dyDescent="0.3">
      <c r="B26" s="273" t="s">
        <v>21</v>
      </c>
      <c r="C26" s="103" t="s">
        <v>23</v>
      </c>
      <c r="D26" s="269"/>
      <c r="E26" s="36"/>
      <c r="F26" s="68" t="s">
        <v>224</v>
      </c>
      <c r="G26" s="69">
        <v>560817613.78228509</v>
      </c>
      <c r="H26" s="69">
        <f t="shared" si="0"/>
        <v>0</v>
      </c>
      <c r="I26" s="70"/>
      <c r="J26" s="70"/>
      <c r="L26" s="50"/>
      <c r="M26" s="50"/>
      <c r="N26" s="50"/>
      <c r="O26" s="50"/>
    </row>
    <row r="27" spans="2:15" ht="15.75" thickBot="1" x14ac:dyDescent="0.3">
      <c r="B27" s="88" t="s">
        <v>24</v>
      </c>
      <c r="C27" s="72" t="s">
        <v>254</v>
      </c>
      <c r="D27" s="73"/>
      <c r="E27" s="38"/>
      <c r="F27" s="281" t="s">
        <v>4</v>
      </c>
      <c r="G27" s="59" t="s">
        <v>5</v>
      </c>
      <c r="H27" s="58" t="s">
        <v>6</v>
      </c>
      <c r="L27" s="50"/>
      <c r="M27" s="50"/>
      <c r="N27" s="50"/>
      <c r="O27" s="50"/>
    </row>
    <row r="28" spans="2:15" x14ac:dyDescent="0.25">
      <c r="B28" s="268" t="s">
        <v>24</v>
      </c>
      <c r="C28" s="75" t="s">
        <v>223</v>
      </c>
      <c r="D28" s="76" t="s">
        <v>224</v>
      </c>
      <c r="E28" s="39"/>
      <c r="F28" s="77">
        <v>0.79083094555873923</v>
      </c>
      <c r="G28" s="78" t="s">
        <v>224</v>
      </c>
      <c r="H28" s="78" t="s">
        <v>224</v>
      </c>
      <c r="L28" s="50"/>
      <c r="M28" s="50"/>
      <c r="N28" s="50"/>
      <c r="O28" s="50"/>
    </row>
    <row r="29" spans="2:15" x14ac:dyDescent="0.25">
      <c r="B29" s="63" t="s">
        <v>24</v>
      </c>
      <c r="C29" s="79" t="s">
        <v>25</v>
      </c>
      <c r="D29" s="6"/>
      <c r="E29" s="36"/>
      <c r="F29" s="80">
        <v>6.3037249283667621E-2</v>
      </c>
      <c r="G29" s="81">
        <f>G23+G25</f>
        <v>3941827960.7738442</v>
      </c>
      <c r="H29" s="81">
        <f t="shared" ref="H29:H52" si="1">D29*F29*G29</f>
        <v>0</v>
      </c>
      <c r="I29" s="82"/>
      <c r="L29" s="50"/>
      <c r="M29" s="50"/>
      <c r="N29" s="50"/>
      <c r="O29" s="50"/>
    </row>
    <row r="30" spans="2:15" x14ac:dyDescent="0.25">
      <c r="B30" s="63" t="s">
        <v>24</v>
      </c>
      <c r="C30" s="79" t="s">
        <v>26</v>
      </c>
      <c r="D30" s="7"/>
      <c r="E30" s="36"/>
      <c r="F30" s="83">
        <v>5.1575931232091692E-2</v>
      </c>
      <c r="G30" s="66">
        <f>G23+G25</f>
        <v>3941827960.7738442</v>
      </c>
      <c r="H30" s="66">
        <f t="shared" si="1"/>
        <v>0</v>
      </c>
      <c r="L30" s="50"/>
      <c r="M30" s="50"/>
      <c r="N30" s="50"/>
      <c r="O30" s="50"/>
    </row>
    <row r="31" spans="2:15" x14ac:dyDescent="0.25">
      <c r="B31" s="63" t="s">
        <v>24</v>
      </c>
      <c r="C31" s="79" t="s">
        <v>27</v>
      </c>
      <c r="D31" s="7"/>
      <c r="E31" s="36"/>
      <c r="F31" s="83">
        <v>5.7306590257879654E-3</v>
      </c>
      <c r="G31" s="66">
        <f>G23+G25</f>
        <v>3941827960.7738442</v>
      </c>
      <c r="H31" s="66">
        <f t="shared" si="1"/>
        <v>0</v>
      </c>
      <c r="L31" s="50"/>
      <c r="M31" s="50"/>
      <c r="N31" s="50"/>
      <c r="O31" s="50"/>
    </row>
    <row r="32" spans="2:15" x14ac:dyDescent="0.25">
      <c r="B32" s="63" t="s">
        <v>24</v>
      </c>
      <c r="C32" s="79" t="s">
        <v>28</v>
      </c>
      <c r="D32" s="7"/>
      <c r="E32" s="36"/>
      <c r="F32" s="83">
        <v>5.7306590257879654E-3</v>
      </c>
      <c r="G32" s="66">
        <f>G23+G25</f>
        <v>3941827960.7738442</v>
      </c>
      <c r="H32" s="66">
        <f t="shared" si="1"/>
        <v>0</v>
      </c>
      <c r="L32" s="50"/>
      <c r="M32" s="50"/>
      <c r="N32" s="50"/>
      <c r="O32" s="50"/>
    </row>
    <row r="33" spans="2:15" x14ac:dyDescent="0.25">
      <c r="B33" s="63" t="s">
        <v>24</v>
      </c>
      <c r="C33" s="79" t="s">
        <v>29</v>
      </c>
      <c r="D33" s="7"/>
      <c r="E33" s="36"/>
      <c r="F33" s="83">
        <v>5.7306590257879654E-3</v>
      </c>
      <c r="G33" s="66">
        <f>G23+G25</f>
        <v>3941827960.7738442</v>
      </c>
      <c r="H33" s="66">
        <f t="shared" si="1"/>
        <v>0</v>
      </c>
      <c r="L33" s="50"/>
      <c r="M33" s="50"/>
      <c r="N33" s="50"/>
      <c r="O33" s="50"/>
    </row>
    <row r="34" spans="2:15" x14ac:dyDescent="0.25">
      <c r="B34" s="63" t="s">
        <v>24</v>
      </c>
      <c r="C34" s="79" t="s">
        <v>30</v>
      </c>
      <c r="D34" s="7"/>
      <c r="E34" s="36"/>
      <c r="F34" s="83">
        <v>5.7306590257879654E-3</v>
      </c>
      <c r="G34" s="66">
        <f>G23+G25</f>
        <v>3941827960.7738442</v>
      </c>
      <c r="H34" s="66">
        <f t="shared" si="1"/>
        <v>0</v>
      </c>
      <c r="L34" s="50"/>
      <c r="M34" s="50"/>
      <c r="N34" s="50"/>
      <c r="O34" s="50"/>
    </row>
    <row r="35" spans="2:15" x14ac:dyDescent="0.25">
      <c r="B35" s="63" t="s">
        <v>24</v>
      </c>
      <c r="C35" s="79" t="s">
        <v>31</v>
      </c>
      <c r="D35" s="7"/>
      <c r="E35" s="36"/>
      <c r="F35" s="83">
        <v>2.8653295128939827E-3</v>
      </c>
      <c r="G35" s="66">
        <f>G23+G25</f>
        <v>3941827960.7738442</v>
      </c>
      <c r="H35" s="66">
        <f t="shared" si="1"/>
        <v>0</v>
      </c>
      <c r="L35" s="50"/>
      <c r="M35" s="50"/>
      <c r="N35" s="50"/>
      <c r="O35" s="50"/>
    </row>
    <row r="36" spans="2:15" x14ac:dyDescent="0.25">
      <c r="B36" s="63" t="s">
        <v>24</v>
      </c>
      <c r="C36" s="79" t="s">
        <v>32</v>
      </c>
      <c r="D36" s="7"/>
      <c r="E36" s="36"/>
      <c r="F36" s="83">
        <v>5.7306590257879654E-3</v>
      </c>
      <c r="G36" s="66">
        <f>G23+G25</f>
        <v>3941827960.7738442</v>
      </c>
      <c r="H36" s="66">
        <f t="shared" si="1"/>
        <v>0</v>
      </c>
      <c r="L36" s="50"/>
      <c r="M36" s="50"/>
      <c r="N36" s="50"/>
      <c r="O36" s="50"/>
    </row>
    <row r="37" spans="2:15" x14ac:dyDescent="0.25">
      <c r="B37" s="63" t="s">
        <v>24</v>
      </c>
      <c r="C37" s="79" t="s">
        <v>33</v>
      </c>
      <c r="D37" s="7"/>
      <c r="E37" s="36"/>
      <c r="F37" s="83">
        <v>2.8653295128939827E-3</v>
      </c>
      <c r="G37" s="66">
        <f>G23+G25</f>
        <v>3941827960.7738442</v>
      </c>
      <c r="H37" s="66">
        <f t="shared" si="1"/>
        <v>0</v>
      </c>
      <c r="L37" s="50"/>
      <c r="M37" s="50"/>
      <c r="N37" s="50"/>
      <c r="O37" s="50"/>
    </row>
    <row r="38" spans="2:15" x14ac:dyDescent="0.25">
      <c r="B38" s="63" t="s">
        <v>24</v>
      </c>
      <c r="C38" s="79" t="s">
        <v>34</v>
      </c>
      <c r="D38" s="7"/>
      <c r="E38" s="36"/>
      <c r="F38" s="83">
        <v>2.8653295128939827E-3</v>
      </c>
      <c r="G38" s="66">
        <f>G23+G25</f>
        <v>3941827960.7738442</v>
      </c>
      <c r="H38" s="66">
        <f t="shared" si="1"/>
        <v>0</v>
      </c>
      <c r="L38" s="50"/>
      <c r="M38" s="50"/>
      <c r="N38" s="50"/>
      <c r="O38" s="50"/>
    </row>
    <row r="39" spans="2:15" x14ac:dyDescent="0.25">
      <c r="B39" s="63" t="s">
        <v>24</v>
      </c>
      <c r="C39" s="79" t="s">
        <v>35</v>
      </c>
      <c r="D39" s="7"/>
      <c r="E39" s="36"/>
      <c r="F39" s="83">
        <v>2.8653295128939827E-3</v>
      </c>
      <c r="G39" s="66">
        <f>G23+G25</f>
        <v>3941827960.7738442</v>
      </c>
      <c r="H39" s="66">
        <f t="shared" si="1"/>
        <v>0</v>
      </c>
      <c r="L39" s="50"/>
      <c r="M39" s="50"/>
      <c r="N39" s="50"/>
      <c r="O39" s="50"/>
    </row>
    <row r="40" spans="2:15" x14ac:dyDescent="0.25">
      <c r="B40" s="63" t="s">
        <v>24</v>
      </c>
      <c r="C40" s="79" t="s">
        <v>36</v>
      </c>
      <c r="D40" s="7"/>
      <c r="E40" s="36"/>
      <c r="F40" s="83">
        <v>1.1461318051575931E-2</v>
      </c>
      <c r="G40" s="66">
        <f>G23+G25</f>
        <v>3941827960.7738442</v>
      </c>
      <c r="H40" s="66">
        <f t="shared" si="1"/>
        <v>0</v>
      </c>
      <c r="L40" s="50"/>
      <c r="M40" s="50"/>
      <c r="N40" s="50"/>
      <c r="O40" s="50"/>
    </row>
    <row r="41" spans="2:15" x14ac:dyDescent="0.25">
      <c r="B41" s="63" t="s">
        <v>24</v>
      </c>
      <c r="C41" s="79" t="s">
        <v>37</v>
      </c>
      <c r="D41" s="7"/>
      <c r="E41" s="36"/>
      <c r="F41" s="83">
        <v>2.8653295128939827E-3</v>
      </c>
      <c r="G41" s="66">
        <f>G23+G25</f>
        <v>3941827960.7738442</v>
      </c>
      <c r="H41" s="66">
        <f t="shared" si="1"/>
        <v>0</v>
      </c>
      <c r="L41" s="50"/>
      <c r="M41" s="50"/>
      <c r="N41" s="50"/>
      <c r="O41" s="50"/>
    </row>
    <row r="42" spans="2:15" x14ac:dyDescent="0.25">
      <c r="B42" s="63" t="s">
        <v>24</v>
      </c>
      <c r="C42" s="79" t="s">
        <v>38</v>
      </c>
      <c r="D42" s="7"/>
      <c r="E42" s="36"/>
      <c r="F42" s="83">
        <v>2.8653295128939827E-3</v>
      </c>
      <c r="G42" s="66">
        <f>G23+G25</f>
        <v>3941827960.7738442</v>
      </c>
      <c r="H42" s="66">
        <f t="shared" si="1"/>
        <v>0</v>
      </c>
      <c r="L42" s="50"/>
      <c r="M42" s="50"/>
      <c r="N42" s="50"/>
      <c r="O42" s="50"/>
    </row>
    <row r="43" spans="2:15" x14ac:dyDescent="0.25">
      <c r="B43" s="63" t="s">
        <v>24</v>
      </c>
      <c r="C43" s="79" t="s">
        <v>39</v>
      </c>
      <c r="D43" s="7"/>
      <c r="E43" s="36"/>
      <c r="F43" s="83">
        <v>2.8653295128939827E-3</v>
      </c>
      <c r="G43" s="66">
        <f>G23+G25</f>
        <v>3941827960.7738442</v>
      </c>
      <c r="H43" s="66">
        <f t="shared" si="1"/>
        <v>0</v>
      </c>
      <c r="L43" s="50"/>
      <c r="M43" s="50"/>
      <c r="N43" s="50"/>
      <c r="O43" s="50"/>
    </row>
    <row r="44" spans="2:15" x14ac:dyDescent="0.25">
      <c r="B44" s="63" t="s">
        <v>24</v>
      </c>
      <c r="C44" s="79" t="s">
        <v>40</v>
      </c>
      <c r="D44" s="7"/>
      <c r="E44" s="36"/>
      <c r="F44" s="83">
        <v>2.8653295128939827E-3</v>
      </c>
      <c r="G44" s="66">
        <f>G23+G25</f>
        <v>3941827960.7738442</v>
      </c>
      <c r="H44" s="66">
        <f t="shared" si="1"/>
        <v>0</v>
      </c>
      <c r="L44" s="50"/>
      <c r="M44" s="50"/>
      <c r="N44" s="50"/>
      <c r="O44" s="50"/>
    </row>
    <row r="45" spans="2:15" x14ac:dyDescent="0.25">
      <c r="B45" s="63" t="s">
        <v>24</v>
      </c>
      <c r="C45" s="79" t="s">
        <v>41</v>
      </c>
      <c r="D45" s="7"/>
      <c r="E45" s="36"/>
      <c r="F45" s="83">
        <v>2.8653295128939827E-3</v>
      </c>
      <c r="G45" s="66">
        <f>G23+G25</f>
        <v>3941827960.7738442</v>
      </c>
      <c r="H45" s="66">
        <f t="shared" si="1"/>
        <v>0</v>
      </c>
      <c r="L45" s="50"/>
      <c r="M45" s="50"/>
      <c r="N45" s="50"/>
      <c r="O45" s="50"/>
    </row>
    <row r="46" spans="2:15" x14ac:dyDescent="0.25">
      <c r="B46" s="63" t="s">
        <v>24</v>
      </c>
      <c r="C46" s="79" t="s">
        <v>42</v>
      </c>
      <c r="D46" s="7"/>
      <c r="E46" s="36"/>
      <c r="F46" s="83">
        <v>2.8653295128939827E-3</v>
      </c>
      <c r="G46" s="66">
        <f>G23+G25</f>
        <v>3941827960.7738442</v>
      </c>
      <c r="H46" s="66">
        <f t="shared" si="1"/>
        <v>0</v>
      </c>
      <c r="L46" s="50"/>
      <c r="M46" s="50"/>
      <c r="N46" s="50"/>
      <c r="O46" s="50"/>
    </row>
    <row r="47" spans="2:15" x14ac:dyDescent="0.25">
      <c r="B47" s="63" t="s">
        <v>24</v>
      </c>
      <c r="C47" s="79" t="s">
        <v>43</v>
      </c>
      <c r="D47" s="7"/>
      <c r="E47" s="36"/>
      <c r="F47" s="83">
        <v>2.8653295128939827E-3</v>
      </c>
      <c r="G47" s="66">
        <f>G23+G25</f>
        <v>3941827960.7738442</v>
      </c>
      <c r="H47" s="66">
        <f t="shared" si="1"/>
        <v>0</v>
      </c>
      <c r="L47" s="50"/>
      <c r="M47" s="50"/>
      <c r="N47" s="50"/>
      <c r="O47" s="50"/>
    </row>
    <row r="48" spans="2:15" x14ac:dyDescent="0.25">
      <c r="B48" s="63" t="s">
        <v>24</v>
      </c>
      <c r="C48" s="79" t="s">
        <v>44</v>
      </c>
      <c r="D48" s="7"/>
      <c r="E48" s="36"/>
      <c r="F48" s="83">
        <v>2.8653295128939827E-3</v>
      </c>
      <c r="G48" s="66">
        <f>G23+G25</f>
        <v>3941827960.7738442</v>
      </c>
      <c r="H48" s="66">
        <f t="shared" si="1"/>
        <v>0</v>
      </c>
      <c r="L48" s="50"/>
      <c r="M48" s="50"/>
      <c r="N48" s="50"/>
      <c r="O48" s="50"/>
    </row>
    <row r="49" spans="2:15" x14ac:dyDescent="0.25">
      <c r="B49" s="63" t="s">
        <v>24</v>
      </c>
      <c r="C49" s="79" t="s">
        <v>45</v>
      </c>
      <c r="D49" s="7"/>
      <c r="E49" s="36"/>
      <c r="F49" s="83">
        <v>1.1461318051575931E-2</v>
      </c>
      <c r="G49" s="66">
        <f>G23+G25</f>
        <v>3941827960.7738442</v>
      </c>
      <c r="H49" s="66">
        <f t="shared" si="1"/>
        <v>0</v>
      </c>
      <c r="L49" s="50"/>
      <c r="M49" s="50"/>
      <c r="N49" s="50"/>
      <c r="O49" s="50"/>
    </row>
    <row r="50" spans="2:15" x14ac:dyDescent="0.25">
      <c r="B50" s="63" t="s">
        <v>24</v>
      </c>
      <c r="C50" s="79" t="s">
        <v>46</v>
      </c>
      <c r="D50" s="7"/>
      <c r="E50" s="36"/>
      <c r="F50" s="83">
        <v>2.8653295128939827E-3</v>
      </c>
      <c r="G50" s="66">
        <f>G23+G25</f>
        <v>3941827960.7738442</v>
      </c>
      <c r="H50" s="66">
        <f t="shared" si="1"/>
        <v>0</v>
      </c>
      <c r="L50" s="50"/>
      <c r="M50" s="50"/>
      <c r="N50" s="50"/>
      <c r="O50" s="50"/>
    </row>
    <row r="51" spans="2:15" x14ac:dyDescent="0.25">
      <c r="B51" s="63" t="s">
        <v>24</v>
      </c>
      <c r="C51" s="79" t="s">
        <v>47</v>
      </c>
      <c r="D51" s="7"/>
      <c r="E51" s="36"/>
      <c r="F51" s="83">
        <v>2.8653295128939827E-3</v>
      </c>
      <c r="G51" s="66">
        <f>G23+G25</f>
        <v>3941827960.7738442</v>
      </c>
      <c r="H51" s="66">
        <f t="shared" si="1"/>
        <v>0</v>
      </c>
      <c r="L51" s="50"/>
      <c r="M51" s="50"/>
      <c r="N51" s="50"/>
      <c r="O51" s="50"/>
    </row>
    <row r="52" spans="2:15" ht="15.75" thickBot="1" x14ac:dyDescent="0.3">
      <c r="B52" s="84" t="s">
        <v>24</v>
      </c>
      <c r="C52" s="85" t="s">
        <v>48</v>
      </c>
      <c r="D52" s="8"/>
      <c r="E52" s="36"/>
      <c r="F52" s="86">
        <v>2.8653295128939827E-3</v>
      </c>
      <c r="G52" s="87">
        <f>G23+G25</f>
        <v>3941827960.7738442</v>
      </c>
      <c r="H52" s="87">
        <f t="shared" si="1"/>
        <v>0</v>
      </c>
      <c r="J52" s="70"/>
      <c r="L52" s="50"/>
      <c r="M52" s="50"/>
      <c r="N52" s="50"/>
      <c r="O52" s="50"/>
    </row>
    <row r="53" spans="2:15" ht="15.75" thickBot="1" x14ac:dyDescent="0.3">
      <c r="B53" s="88" t="s">
        <v>49</v>
      </c>
      <c r="C53" s="89" t="s">
        <v>50</v>
      </c>
      <c r="D53" s="90"/>
      <c r="E53" s="40"/>
      <c r="F53" s="281" t="s">
        <v>4</v>
      </c>
      <c r="G53" s="59" t="s">
        <v>5</v>
      </c>
      <c r="H53" s="58" t="s">
        <v>6</v>
      </c>
      <c r="L53" s="50"/>
      <c r="M53" s="50"/>
      <c r="N53" s="50"/>
      <c r="O53" s="50"/>
    </row>
    <row r="54" spans="2:15" x14ac:dyDescent="0.25">
      <c r="B54" s="91" t="s">
        <v>49</v>
      </c>
      <c r="C54" s="75" t="s">
        <v>51</v>
      </c>
      <c r="D54" s="9"/>
      <c r="E54" s="36"/>
      <c r="F54" s="92">
        <v>2.6490066225165563E-2</v>
      </c>
      <c r="G54" s="93">
        <f>G25</f>
        <v>3080700218.0384245</v>
      </c>
      <c r="H54" s="93">
        <f>D54*F54*G54</f>
        <v>0</v>
      </c>
      <c r="I54" s="94"/>
      <c r="L54" s="50"/>
      <c r="M54" s="50"/>
      <c r="N54" s="50"/>
      <c r="O54" s="50"/>
    </row>
    <row r="55" spans="2:15" x14ac:dyDescent="0.25">
      <c r="B55" s="63" t="s">
        <v>49</v>
      </c>
      <c r="C55" s="79" t="s">
        <v>52</v>
      </c>
      <c r="D55" s="7"/>
      <c r="E55" s="36"/>
      <c r="F55" s="83">
        <v>3.3112582781456956E-2</v>
      </c>
      <c r="G55" s="66">
        <f>G25</f>
        <v>3080700218.0384245</v>
      </c>
      <c r="H55" s="66">
        <f>D55*F55*G55</f>
        <v>0</v>
      </c>
      <c r="L55" s="50"/>
      <c r="M55" s="50"/>
      <c r="N55" s="50"/>
      <c r="O55" s="50"/>
    </row>
    <row r="56" spans="2:15" x14ac:dyDescent="0.25">
      <c r="B56" s="63" t="s">
        <v>49</v>
      </c>
      <c r="C56" s="79" t="s">
        <v>53</v>
      </c>
      <c r="D56" s="7"/>
      <c r="E56" s="36"/>
      <c r="F56" s="83">
        <v>3.9735099337748346E-2</v>
      </c>
      <c r="G56" s="66">
        <f>G25</f>
        <v>3080700218.0384245</v>
      </c>
      <c r="H56" s="66">
        <f>D56*F56*G56</f>
        <v>0</v>
      </c>
      <c r="L56" s="50"/>
      <c r="M56" s="50"/>
      <c r="N56" s="50"/>
      <c r="O56" s="50"/>
    </row>
    <row r="57" spans="2:15" x14ac:dyDescent="0.25">
      <c r="B57" s="63" t="s">
        <v>49</v>
      </c>
      <c r="C57" s="79" t="s">
        <v>54</v>
      </c>
      <c r="D57" s="10"/>
      <c r="E57" s="36"/>
      <c r="F57" s="95">
        <v>4.6357615894039736E-2</v>
      </c>
      <c r="G57" s="69">
        <f>G25</f>
        <v>3080700218.0384245</v>
      </c>
      <c r="H57" s="69">
        <f>D57*F57*G57</f>
        <v>0</v>
      </c>
      <c r="J57" s="70"/>
      <c r="L57" s="50"/>
      <c r="M57" s="50"/>
      <c r="N57" s="50"/>
      <c r="O57" s="50"/>
    </row>
    <row r="58" spans="2:15" ht="15.75" thickBot="1" x14ac:dyDescent="0.3">
      <c r="B58" s="84" t="s">
        <v>49</v>
      </c>
      <c r="C58" s="85" t="s">
        <v>55</v>
      </c>
      <c r="D58" s="96" t="s">
        <v>224</v>
      </c>
      <c r="E58" s="39"/>
      <c r="F58" s="97">
        <v>0.85430463576158944</v>
      </c>
      <c r="G58" s="98" t="s">
        <v>224</v>
      </c>
      <c r="H58" s="99" t="s">
        <v>224</v>
      </c>
      <c r="L58" s="50"/>
      <c r="M58" s="50"/>
      <c r="N58" s="50"/>
      <c r="O58" s="50"/>
    </row>
    <row r="59" spans="2:15" ht="15.75" thickBot="1" x14ac:dyDescent="0.3">
      <c r="B59" s="88" t="s">
        <v>56</v>
      </c>
      <c r="C59" s="72" t="s">
        <v>57</v>
      </c>
      <c r="D59" s="100"/>
      <c r="E59" s="38"/>
      <c r="F59" s="281" t="s">
        <v>4</v>
      </c>
      <c r="G59" s="59" t="s">
        <v>5</v>
      </c>
      <c r="H59" s="58" t="s">
        <v>6</v>
      </c>
      <c r="L59" s="50"/>
      <c r="M59" s="50"/>
      <c r="N59" s="50"/>
      <c r="O59" s="50"/>
    </row>
    <row r="60" spans="2:15" ht="15.75" thickBot="1" x14ac:dyDescent="0.3">
      <c r="B60" s="91" t="s">
        <v>56</v>
      </c>
      <c r="C60" s="101" t="s">
        <v>58</v>
      </c>
      <c r="D60" s="9"/>
      <c r="E60" s="36"/>
      <c r="F60" s="62" t="s">
        <v>224</v>
      </c>
      <c r="G60" s="62" t="s">
        <v>224</v>
      </c>
      <c r="H60" s="62" t="s">
        <v>224</v>
      </c>
      <c r="L60" s="50"/>
      <c r="M60" s="50"/>
      <c r="N60" s="50"/>
      <c r="O60" s="50"/>
    </row>
    <row r="61" spans="2:15" ht="15.75" thickBot="1" x14ac:dyDescent="0.3">
      <c r="B61" s="63" t="s">
        <v>56</v>
      </c>
      <c r="C61" s="64" t="s">
        <v>59</v>
      </c>
      <c r="D61" s="9"/>
      <c r="E61" s="36"/>
      <c r="F61" s="65" t="s">
        <v>224</v>
      </c>
      <c r="G61" s="65" t="s">
        <v>224</v>
      </c>
      <c r="H61" s="65" t="s">
        <v>224</v>
      </c>
      <c r="L61" s="50"/>
      <c r="M61" s="50"/>
      <c r="N61" s="50"/>
      <c r="O61" s="50"/>
    </row>
    <row r="62" spans="2:15" ht="15.75" thickBot="1" x14ac:dyDescent="0.3">
      <c r="B62" s="63" t="s">
        <v>56</v>
      </c>
      <c r="C62" s="64" t="s">
        <v>60</v>
      </c>
      <c r="D62" s="9"/>
      <c r="E62" s="36"/>
      <c r="F62" s="65" t="s">
        <v>224</v>
      </c>
      <c r="G62" s="65" t="s">
        <v>224</v>
      </c>
      <c r="H62" s="65" t="s">
        <v>224</v>
      </c>
      <c r="L62" s="50"/>
      <c r="M62" s="50"/>
      <c r="N62" s="50"/>
      <c r="O62" s="50"/>
    </row>
    <row r="63" spans="2:15" ht="15.75" thickBot="1" x14ac:dyDescent="0.3">
      <c r="B63" s="63" t="s">
        <v>56</v>
      </c>
      <c r="C63" s="64" t="s">
        <v>61</v>
      </c>
      <c r="D63" s="9"/>
      <c r="E63" s="36"/>
      <c r="F63" s="65" t="s">
        <v>224</v>
      </c>
      <c r="G63" s="65" t="s">
        <v>224</v>
      </c>
      <c r="H63" s="65" t="s">
        <v>224</v>
      </c>
      <c r="L63" s="50"/>
      <c r="M63" s="50"/>
      <c r="N63" s="50"/>
      <c r="O63" s="50"/>
    </row>
    <row r="64" spans="2:15" ht="15.75" thickBot="1" x14ac:dyDescent="0.3">
      <c r="B64" s="63" t="s">
        <v>56</v>
      </c>
      <c r="C64" s="64" t="s">
        <v>62</v>
      </c>
      <c r="D64" s="9"/>
      <c r="E64" s="36"/>
      <c r="F64" s="65" t="s">
        <v>224</v>
      </c>
      <c r="G64" s="65" t="s">
        <v>224</v>
      </c>
      <c r="H64" s="65" t="s">
        <v>224</v>
      </c>
      <c r="L64" s="50"/>
      <c r="M64" s="50"/>
      <c r="N64" s="50"/>
      <c r="O64" s="50"/>
    </row>
    <row r="65" spans="2:15" ht="15.75" thickBot="1" x14ac:dyDescent="0.3">
      <c r="B65" s="63" t="s">
        <v>56</v>
      </c>
      <c r="C65" s="64" t="s">
        <v>63</v>
      </c>
      <c r="D65" s="9"/>
      <c r="E65" s="36"/>
      <c r="F65" s="65" t="s">
        <v>224</v>
      </c>
      <c r="G65" s="65" t="s">
        <v>224</v>
      </c>
      <c r="H65" s="65" t="s">
        <v>224</v>
      </c>
      <c r="L65" s="50"/>
      <c r="M65" s="50"/>
      <c r="N65" s="50"/>
      <c r="O65" s="50"/>
    </row>
    <row r="66" spans="2:15" ht="15.75" thickBot="1" x14ac:dyDescent="0.3">
      <c r="B66" s="63" t="s">
        <v>56</v>
      </c>
      <c r="C66" s="79" t="s">
        <v>259</v>
      </c>
      <c r="D66" s="9"/>
      <c r="E66" s="36"/>
      <c r="F66" s="65" t="s">
        <v>224</v>
      </c>
      <c r="G66" s="119" t="s">
        <v>224</v>
      </c>
      <c r="H66" s="120" t="s">
        <v>224</v>
      </c>
      <c r="L66" s="50"/>
      <c r="M66" s="50"/>
      <c r="N66" s="50"/>
      <c r="O66" s="50"/>
    </row>
    <row r="67" spans="2:15" ht="15.75" thickBot="1" x14ac:dyDescent="0.3">
      <c r="B67" s="63" t="s">
        <v>56</v>
      </c>
      <c r="C67" s="79" t="s">
        <v>260</v>
      </c>
      <c r="D67" s="9"/>
      <c r="E67" s="36"/>
      <c r="F67" s="65" t="s">
        <v>224</v>
      </c>
      <c r="G67" s="119" t="s">
        <v>224</v>
      </c>
      <c r="H67" s="120" t="s">
        <v>224</v>
      </c>
      <c r="L67" s="50"/>
      <c r="M67" s="50"/>
      <c r="N67" s="50"/>
      <c r="O67" s="50"/>
    </row>
    <row r="68" spans="2:15" ht="15.75" thickBot="1" x14ac:dyDescent="0.3">
      <c r="B68" s="63" t="s">
        <v>56</v>
      </c>
      <c r="C68" s="79" t="s">
        <v>261</v>
      </c>
      <c r="D68" s="9"/>
      <c r="E68" s="36"/>
      <c r="F68" s="65" t="s">
        <v>224</v>
      </c>
      <c r="G68" s="119" t="s">
        <v>224</v>
      </c>
      <c r="H68" s="120" t="s">
        <v>224</v>
      </c>
      <c r="L68" s="50"/>
      <c r="M68" s="50"/>
      <c r="N68" s="50"/>
      <c r="O68" s="50"/>
    </row>
    <row r="69" spans="2:15" ht="15.75" thickBot="1" x14ac:dyDescent="0.3">
      <c r="B69" s="63" t="s">
        <v>56</v>
      </c>
      <c r="C69" s="79" t="s">
        <v>262</v>
      </c>
      <c r="D69" s="9"/>
      <c r="E69" s="36"/>
      <c r="F69" s="65" t="s">
        <v>224</v>
      </c>
      <c r="G69" s="119" t="s">
        <v>224</v>
      </c>
      <c r="H69" s="120" t="s">
        <v>224</v>
      </c>
      <c r="L69" s="50"/>
      <c r="M69" s="50"/>
      <c r="N69" s="50"/>
      <c r="O69" s="50"/>
    </row>
    <row r="70" spans="2:15" ht="15.75" thickBot="1" x14ac:dyDescent="0.3">
      <c r="B70" s="63" t="s">
        <v>56</v>
      </c>
      <c r="C70" s="79" t="s">
        <v>263</v>
      </c>
      <c r="D70" s="9"/>
      <c r="E70" s="36"/>
      <c r="F70" s="65" t="s">
        <v>224</v>
      </c>
      <c r="G70" s="119" t="s">
        <v>224</v>
      </c>
      <c r="H70" s="120" t="s">
        <v>224</v>
      </c>
      <c r="L70" s="50"/>
      <c r="M70" s="50"/>
      <c r="N70" s="50"/>
      <c r="O70" s="50"/>
    </row>
    <row r="71" spans="2:15" ht="15.75" thickBot="1" x14ac:dyDescent="0.3">
      <c r="B71" s="63" t="s">
        <v>56</v>
      </c>
      <c r="C71" s="79" t="s">
        <v>264</v>
      </c>
      <c r="D71" s="9"/>
      <c r="E71" s="36"/>
      <c r="F71" s="65" t="s">
        <v>224</v>
      </c>
      <c r="G71" s="119" t="s">
        <v>224</v>
      </c>
      <c r="H71" s="120" t="s">
        <v>224</v>
      </c>
      <c r="L71" s="50"/>
      <c r="M71" s="50"/>
      <c r="N71" s="50"/>
      <c r="O71" s="50"/>
    </row>
    <row r="72" spans="2:15" ht="15.75" thickBot="1" x14ac:dyDescent="0.3">
      <c r="B72" s="63" t="s">
        <v>56</v>
      </c>
      <c r="C72" s="85" t="s">
        <v>265</v>
      </c>
      <c r="D72" s="9"/>
      <c r="E72" s="36"/>
      <c r="F72" s="68" t="s">
        <v>224</v>
      </c>
      <c r="G72" s="121" t="s">
        <v>224</v>
      </c>
      <c r="H72" s="122" t="s">
        <v>224</v>
      </c>
      <c r="L72" s="50"/>
      <c r="M72" s="50"/>
      <c r="N72" s="50"/>
      <c r="O72" s="50"/>
    </row>
    <row r="73" spans="2:15" ht="15.75" thickBot="1" x14ac:dyDescent="0.3">
      <c r="B73" s="88" t="s">
        <v>64</v>
      </c>
      <c r="C73" s="72" t="s">
        <v>65</v>
      </c>
      <c r="D73" s="73"/>
      <c r="E73" s="38"/>
      <c r="F73" s="281" t="s">
        <v>4</v>
      </c>
      <c r="G73" s="59" t="s">
        <v>5</v>
      </c>
      <c r="H73" s="58" t="s">
        <v>6</v>
      </c>
      <c r="L73" s="50"/>
      <c r="M73" s="50"/>
      <c r="N73" s="50"/>
      <c r="O73" s="50"/>
    </row>
    <row r="74" spans="2:15" x14ac:dyDescent="0.25">
      <c r="B74" s="60" t="s">
        <v>64</v>
      </c>
      <c r="C74" s="61" t="s">
        <v>66</v>
      </c>
      <c r="D74" s="76" t="s">
        <v>224</v>
      </c>
      <c r="E74" s="39"/>
      <c r="F74" s="77">
        <v>0.93069306930693074</v>
      </c>
      <c r="G74" s="78" t="s">
        <v>224</v>
      </c>
      <c r="H74" s="78" t="s">
        <v>224</v>
      </c>
      <c r="L74" s="50"/>
      <c r="M74" s="50"/>
      <c r="N74" s="50"/>
      <c r="O74" s="50"/>
    </row>
    <row r="75" spans="2:15" x14ac:dyDescent="0.25">
      <c r="B75" s="63" t="s">
        <v>64</v>
      </c>
      <c r="C75" s="64" t="s">
        <v>67</v>
      </c>
      <c r="D75" s="7"/>
      <c r="E75" s="36"/>
      <c r="F75" s="83">
        <v>5.2805280528052806E-2</v>
      </c>
      <c r="G75" s="66">
        <f>G25</f>
        <v>3080700218.0384245</v>
      </c>
      <c r="H75" s="66">
        <f>D75*F75*G75</f>
        <v>0</v>
      </c>
      <c r="I75" s="94"/>
      <c r="J75" s="70"/>
      <c r="L75" s="50"/>
      <c r="M75" s="50"/>
      <c r="N75" s="50"/>
      <c r="O75" s="50"/>
    </row>
    <row r="76" spans="2:15" x14ac:dyDescent="0.25">
      <c r="B76" s="63" t="s">
        <v>64</v>
      </c>
      <c r="C76" s="64" t="s">
        <v>68</v>
      </c>
      <c r="D76" s="7"/>
      <c r="E76" s="36"/>
      <c r="F76" s="83">
        <v>1.3201320132013201E-2</v>
      </c>
      <c r="G76" s="66">
        <f>G25</f>
        <v>3080700218.0384245</v>
      </c>
      <c r="H76" s="66">
        <f>D76*F76*G76</f>
        <v>0</v>
      </c>
      <c r="L76" s="50"/>
      <c r="M76" s="50"/>
      <c r="N76" s="50"/>
      <c r="O76" s="50"/>
    </row>
    <row r="77" spans="2:15" ht="15.75" thickBot="1" x14ac:dyDescent="0.3">
      <c r="B77" s="102" t="s">
        <v>64</v>
      </c>
      <c r="C77" s="103" t="s">
        <v>69</v>
      </c>
      <c r="D77" s="8"/>
      <c r="E77" s="36"/>
      <c r="F77" s="86">
        <v>3.3003300330033004E-3</v>
      </c>
      <c r="G77" s="87">
        <f>G25</f>
        <v>3080700218.0384245</v>
      </c>
      <c r="H77" s="87">
        <f>D77*F77*G77</f>
        <v>0</v>
      </c>
      <c r="L77" s="50"/>
      <c r="M77" s="50"/>
      <c r="N77" s="50"/>
      <c r="O77" s="50"/>
    </row>
    <row r="78" spans="2:15" ht="15.75" thickBot="1" x14ac:dyDescent="0.3">
      <c r="B78" s="104" t="s">
        <v>70</v>
      </c>
      <c r="C78" s="105" t="s">
        <v>71</v>
      </c>
      <c r="D78" s="100"/>
      <c r="E78" s="38"/>
      <c r="F78" s="282" t="s">
        <v>4</v>
      </c>
      <c r="G78" s="106" t="s">
        <v>5</v>
      </c>
      <c r="H78" s="57" t="s">
        <v>6</v>
      </c>
      <c r="L78" s="50"/>
      <c r="M78" s="50"/>
      <c r="N78" s="50"/>
      <c r="O78" s="50"/>
    </row>
    <row r="79" spans="2:15" x14ac:dyDescent="0.25">
      <c r="B79" s="63" t="s">
        <v>70</v>
      </c>
      <c r="C79" s="75" t="s">
        <v>72</v>
      </c>
      <c r="D79" s="76" t="s">
        <v>224</v>
      </c>
      <c r="E79" s="39"/>
      <c r="F79" s="107">
        <v>0.92356687898089174</v>
      </c>
      <c r="G79" s="108" t="s">
        <v>224</v>
      </c>
      <c r="H79" s="109" t="s">
        <v>224</v>
      </c>
      <c r="L79" s="50"/>
      <c r="M79" s="50"/>
      <c r="N79" s="50"/>
      <c r="O79" s="50"/>
    </row>
    <row r="80" spans="2:15" x14ac:dyDescent="0.25">
      <c r="B80" s="63" t="s">
        <v>70</v>
      </c>
      <c r="C80" s="79" t="s">
        <v>73</v>
      </c>
      <c r="D80" s="6"/>
      <c r="E80" s="36"/>
      <c r="F80" s="80">
        <v>2.5477707006369428E-2</v>
      </c>
      <c r="G80" s="81">
        <f>G25</f>
        <v>3080700218.0384245</v>
      </c>
      <c r="H80" s="81">
        <f t="shared" ref="H80:H94" si="2">D80*F80*G80</f>
        <v>0</v>
      </c>
      <c r="I80" s="94"/>
      <c r="L80" s="50"/>
      <c r="M80" s="50"/>
      <c r="N80" s="50"/>
      <c r="O80" s="50"/>
    </row>
    <row r="81" spans="2:15" x14ac:dyDescent="0.25">
      <c r="B81" s="63" t="s">
        <v>70</v>
      </c>
      <c r="C81" s="79" t="s">
        <v>74</v>
      </c>
      <c r="D81" s="7"/>
      <c r="E81" s="36"/>
      <c r="F81" s="83">
        <v>3.1847133757961785E-3</v>
      </c>
      <c r="G81" s="66">
        <f>G25</f>
        <v>3080700218.0384245</v>
      </c>
      <c r="H81" s="66">
        <f t="shared" si="2"/>
        <v>0</v>
      </c>
      <c r="L81" s="50"/>
      <c r="M81" s="50"/>
      <c r="N81" s="50"/>
      <c r="O81" s="50"/>
    </row>
    <row r="82" spans="2:15" x14ac:dyDescent="0.25">
      <c r="B82" s="63" t="s">
        <v>70</v>
      </c>
      <c r="C82" s="79" t="s">
        <v>75</v>
      </c>
      <c r="D82" s="7"/>
      <c r="E82" s="36"/>
      <c r="F82" s="83">
        <v>6.369426751592357E-3</v>
      </c>
      <c r="G82" s="66">
        <f>G25</f>
        <v>3080700218.0384245</v>
      </c>
      <c r="H82" s="66">
        <f t="shared" si="2"/>
        <v>0</v>
      </c>
      <c r="L82" s="50"/>
      <c r="M82" s="50"/>
      <c r="N82" s="50"/>
      <c r="O82" s="50"/>
    </row>
    <row r="83" spans="2:15" x14ac:dyDescent="0.25">
      <c r="B83" s="63" t="s">
        <v>70</v>
      </c>
      <c r="C83" s="79" t="s">
        <v>76</v>
      </c>
      <c r="D83" s="7"/>
      <c r="E83" s="36"/>
      <c r="F83" s="83">
        <v>3.1847133757961785E-3</v>
      </c>
      <c r="G83" s="66">
        <f>G25</f>
        <v>3080700218.0384245</v>
      </c>
      <c r="H83" s="66">
        <f t="shared" si="2"/>
        <v>0</v>
      </c>
      <c r="L83" s="50"/>
      <c r="M83" s="50"/>
      <c r="N83" s="50"/>
      <c r="O83" s="50"/>
    </row>
    <row r="84" spans="2:15" x14ac:dyDescent="0.25">
      <c r="B84" s="63" t="s">
        <v>70</v>
      </c>
      <c r="C84" s="79" t="s">
        <v>77</v>
      </c>
      <c r="D84" s="7"/>
      <c r="E84" s="36"/>
      <c r="F84" s="83">
        <v>3.1847133757961785E-3</v>
      </c>
      <c r="G84" s="66">
        <f>G25</f>
        <v>3080700218.0384245</v>
      </c>
      <c r="H84" s="66">
        <f t="shared" si="2"/>
        <v>0</v>
      </c>
      <c r="L84" s="50"/>
      <c r="M84" s="50"/>
      <c r="N84" s="50"/>
      <c r="O84" s="50"/>
    </row>
    <row r="85" spans="2:15" x14ac:dyDescent="0.25">
      <c r="B85" s="63" t="s">
        <v>70</v>
      </c>
      <c r="C85" s="79" t="s">
        <v>78</v>
      </c>
      <c r="D85" s="7"/>
      <c r="E85" s="36"/>
      <c r="F85" s="83">
        <v>3.1847133757961785E-3</v>
      </c>
      <c r="G85" s="66">
        <f>G25</f>
        <v>3080700218.0384245</v>
      </c>
      <c r="H85" s="66">
        <f t="shared" si="2"/>
        <v>0</v>
      </c>
      <c r="L85" s="50"/>
      <c r="M85" s="50"/>
      <c r="N85" s="50"/>
      <c r="O85" s="50"/>
    </row>
    <row r="86" spans="2:15" x14ac:dyDescent="0.25">
      <c r="B86" s="63" t="s">
        <v>70</v>
      </c>
      <c r="C86" s="79" t="s">
        <v>79</v>
      </c>
      <c r="D86" s="7"/>
      <c r="E86" s="36"/>
      <c r="F86" s="83">
        <v>6.369426751592357E-3</v>
      </c>
      <c r="G86" s="66">
        <f>G25</f>
        <v>3080700218.0384245</v>
      </c>
      <c r="H86" s="66">
        <f t="shared" si="2"/>
        <v>0</v>
      </c>
      <c r="L86" s="50"/>
      <c r="M86" s="50"/>
      <c r="N86" s="50"/>
      <c r="O86" s="50"/>
    </row>
    <row r="87" spans="2:15" x14ac:dyDescent="0.25">
      <c r="B87" s="63" t="s">
        <v>70</v>
      </c>
      <c r="C87" s="79" t="s">
        <v>80</v>
      </c>
      <c r="D87" s="7"/>
      <c r="E87" s="36"/>
      <c r="F87" s="83">
        <v>3.1847133757961785E-3</v>
      </c>
      <c r="G87" s="66">
        <f>G25</f>
        <v>3080700218.0384245</v>
      </c>
      <c r="H87" s="66">
        <f t="shared" si="2"/>
        <v>0</v>
      </c>
      <c r="L87" s="50"/>
      <c r="M87" s="50"/>
      <c r="N87" s="50"/>
      <c r="O87" s="50"/>
    </row>
    <row r="88" spans="2:15" x14ac:dyDescent="0.25">
      <c r="B88" s="63" t="s">
        <v>70</v>
      </c>
      <c r="C88" s="79" t="s">
        <v>81</v>
      </c>
      <c r="D88" s="7"/>
      <c r="E88" s="36"/>
      <c r="F88" s="83">
        <v>3.1847133757961785E-3</v>
      </c>
      <c r="G88" s="66">
        <f>G25</f>
        <v>3080700218.0384245</v>
      </c>
      <c r="H88" s="66">
        <f t="shared" si="2"/>
        <v>0</v>
      </c>
      <c r="L88" s="50"/>
      <c r="M88" s="50"/>
      <c r="N88" s="50"/>
      <c r="O88" s="50"/>
    </row>
    <row r="89" spans="2:15" x14ac:dyDescent="0.25">
      <c r="B89" s="63" t="s">
        <v>70</v>
      </c>
      <c r="C89" s="79" t="s">
        <v>82</v>
      </c>
      <c r="D89" s="7"/>
      <c r="E89" s="36"/>
      <c r="F89" s="83">
        <v>3.1847133757961785E-3</v>
      </c>
      <c r="G89" s="66">
        <f>G25</f>
        <v>3080700218.0384245</v>
      </c>
      <c r="H89" s="66">
        <f t="shared" si="2"/>
        <v>0</v>
      </c>
      <c r="L89" s="50"/>
      <c r="M89" s="50"/>
      <c r="N89" s="50"/>
      <c r="O89" s="50"/>
    </row>
    <row r="90" spans="2:15" x14ac:dyDescent="0.25">
      <c r="B90" s="63" t="s">
        <v>70</v>
      </c>
      <c r="C90" s="79" t="s">
        <v>83</v>
      </c>
      <c r="D90" s="7"/>
      <c r="E90" s="36"/>
      <c r="F90" s="83">
        <v>3.1847133757961785E-3</v>
      </c>
      <c r="G90" s="66">
        <f>G25</f>
        <v>3080700218.0384245</v>
      </c>
      <c r="H90" s="66">
        <f t="shared" si="2"/>
        <v>0</v>
      </c>
      <c r="L90" s="50"/>
      <c r="M90" s="50"/>
      <c r="N90" s="50"/>
      <c r="O90" s="50"/>
    </row>
    <row r="91" spans="2:15" x14ac:dyDescent="0.25">
      <c r="B91" s="63" t="s">
        <v>70</v>
      </c>
      <c r="C91" s="79" t="s">
        <v>84</v>
      </c>
      <c r="D91" s="7"/>
      <c r="E91" s="36"/>
      <c r="F91" s="83">
        <v>3.1847133757961785E-3</v>
      </c>
      <c r="G91" s="66">
        <f>G25</f>
        <v>3080700218.0384245</v>
      </c>
      <c r="H91" s="66">
        <f t="shared" si="2"/>
        <v>0</v>
      </c>
      <c r="L91" s="50"/>
      <c r="M91" s="50"/>
      <c r="N91" s="50"/>
      <c r="O91" s="50"/>
    </row>
    <row r="92" spans="2:15" x14ac:dyDescent="0.25">
      <c r="B92" s="63" t="s">
        <v>70</v>
      </c>
      <c r="C92" s="79" t="s">
        <v>85</v>
      </c>
      <c r="D92" s="7"/>
      <c r="E92" s="36"/>
      <c r="F92" s="83">
        <v>3.1847133757961785E-3</v>
      </c>
      <c r="G92" s="66">
        <f>G25</f>
        <v>3080700218.0384245</v>
      </c>
      <c r="H92" s="66">
        <f t="shared" si="2"/>
        <v>0</v>
      </c>
      <c r="L92" s="50"/>
      <c r="M92" s="50"/>
      <c r="N92" s="50"/>
      <c r="O92" s="50"/>
    </row>
    <row r="93" spans="2:15" x14ac:dyDescent="0.25">
      <c r="B93" s="63" t="s">
        <v>70</v>
      </c>
      <c r="C93" s="79" t="s">
        <v>86</v>
      </c>
      <c r="D93" s="7"/>
      <c r="E93" s="36"/>
      <c r="F93" s="83">
        <v>3.1847133757961785E-3</v>
      </c>
      <c r="G93" s="66">
        <f>G25</f>
        <v>3080700218.0384245</v>
      </c>
      <c r="H93" s="66">
        <f t="shared" si="2"/>
        <v>0</v>
      </c>
      <c r="L93" s="50"/>
      <c r="M93" s="50"/>
      <c r="N93" s="50"/>
      <c r="O93" s="50"/>
    </row>
    <row r="94" spans="2:15" ht="15.75" thickBot="1" x14ac:dyDescent="0.3">
      <c r="B94" s="63" t="s">
        <v>70</v>
      </c>
      <c r="C94" s="85" t="s">
        <v>87</v>
      </c>
      <c r="D94" s="8"/>
      <c r="E94" s="36"/>
      <c r="F94" s="86">
        <v>3.1847133757961785E-3</v>
      </c>
      <c r="G94" s="87">
        <f>G25</f>
        <v>3080700218.0384245</v>
      </c>
      <c r="H94" s="87">
        <f t="shared" si="2"/>
        <v>0</v>
      </c>
      <c r="J94" s="70"/>
      <c r="L94" s="50"/>
      <c r="M94" s="50"/>
      <c r="N94" s="50"/>
      <c r="O94" s="50"/>
    </row>
    <row r="95" spans="2:15" ht="15.75" thickBot="1" x14ac:dyDescent="0.3">
      <c r="B95" s="71" t="s">
        <v>88</v>
      </c>
      <c r="C95" s="72" t="s">
        <v>89</v>
      </c>
      <c r="D95" s="73"/>
      <c r="E95" s="38"/>
      <c r="F95" s="282" t="s">
        <v>4</v>
      </c>
      <c r="G95" s="106" t="s">
        <v>5</v>
      </c>
      <c r="H95" s="57" t="s">
        <v>6</v>
      </c>
      <c r="L95" s="50"/>
      <c r="M95" s="50"/>
      <c r="N95" s="50"/>
      <c r="O95" s="50"/>
    </row>
    <row r="96" spans="2:15" x14ac:dyDescent="0.25">
      <c r="B96" s="63" t="s">
        <v>88</v>
      </c>
      <c r="C96" s="75" t="s">
        <v>72</v>
      </c>
      <c r="D96" s="76" t="s">
        <v>224</v>
      </c>
      <c r="E96" s="39"/>
      <c r="F96" s="107">
        <v>0.91373801916932906</v>
      </c>
      <c r="G96" s="108" t="s">
        <v>224</v>
      </c>
      <c r="H96" s="109" t="s">
        <v>224</v>
      </c>
      <c r="L96" s="50"/>
      <c r="M96" s="50"/>
      <c r="N96" s="50"/>
      <c r="O96" s="50"/>
    </row>
    <row r="97" spans="2:15" x14ac:dyDescent="0.25">
      <c r="B97" s="63" t="s">
        <v>88</v>
      </c>
      <c r="C97" s="79" t="s">
        <v>73</v>
      </c>
      <c r="D97" s="6"/>
      <c r="E97" s="36"/>
      <c r="F97" s="80">
        <v>2.5559105431309903E-2</v>
      </c>
      <c r="G97" s="81">
        <f>G25</f>
        <v>3080700218.0384245</v>
      </c>
      <c r="H97" s="81">
        <f t="shared" ref="H97:H111" si="3">D97*F97*G97</f>
        <v>0</v>
      </c>
      <c r="I97" s="94"/>
      <c r="L97" s="50"/>
      <c r="M97" s="50"/>
      <c r="N97" s="50"/>
      <c r="O97" s="50"/>
    </row>
    <row r="98" spans="2:15" x14ac:dyDescent="0.25">
      <c r="B98" s="63" t="s">
        <v>88</v>
      </c>
      <c r="C98" s="79" t="s">
        <v>74</v>
      </c>
      <c r="D98" s="7"/>
      <c r="E98" s="36"/>
      <c r="F98" s="83">
        <v>1.2779552715654952E-2</v>
      </c>
      <c r="G98" s="66">
        <f>G25</f>
        <v>3080700218.0384245</v>
      </c>
      <c r="H98" s="66">
        <f t="shared" si="3"/>
        <v>0</v>
      </c>
      <c r="L98" s="50"/>
      <c r="M98" s="50"/>
      <c r="N98" s="50"/>
      <c r="O98" s="50"/>
    </row>
    <row r="99" spans="2:15" x14ac:dyDescent="0.25">
      <c r="B99" s="63" t="s">
        <v>88</v>
      </c>
      <c r="C99" s="79" t="s">
        <v>75</v>
      </c>
      <c r="D99" s="7"/>
      <c r="E99" s="36"/>
      <c r="F99" s="83">
        <v>3.1948881789137379E-3</v>
      </c>
      <c r="G99" s="66">
        <f>G25</f>
        <v>3080700218.0384245</v>
      </c>
      <c r="H99" s="66">
        <f t="shared" si="3"/>
        <v>0</v>
      </c>
      <c r="L99" s="50"/>
      <c r="M99" s="50"/>
      <c r="N99" s="50"/>
      <c r="O99" s="50"/>
    </row>
    <row r="100" spans="2:15" x14ac:dyDescent="0.25">
      <c r="B100" s="63" t="s">
        <v>88</v>
      </c>
      <c r="C100" s="79" t="s">
        <v>76</v>
      </c>
      <c r="D100" s="7"/>
      <c r="E100" s="36"/>
      <c r="F100" s="83">
        <v>6.3897763578274758E-3</v>
      </c>
      <c r="G100" s="66">
        <f>G25</f>
        <v>3080700218.0384245</v>
      </c>
      <c r="H100" s="66">
        <f t="shared" si="3"/>
        <v>0</v>
      </c>
      <c r="L100" s="50"/>
      <c r="M100" s="50"/>
      <c r="N100" s="50"/>
      <c r="O100" s="50"/>
    </row>
    <row r="101" spans="2:15" x14ac:dyDescent="0.25">
      <c r="B101" s="63" t="s">
        <v>88</v>
      </c>
      <c r="C101" s="79" t="s">
        <v>77</v>
      </c>
      <c r="D101" s="7"/>
      <c r="E101" s="36"/>
      <c r="F101" s="83">
        <v>3.1948881789137379E-3</v>
      </c>
      <c r="G101" s="66">
        <f>G25</f>
        <v>3080700218.0384245</v>
      </c>
      <c r="H101" s="66">
        <f t="shared" si="3"/>
        <v>0</v>
      </c>
      <c r="L101" s="50"/>
      <c r="M101" s="50"/>
      <c r="N101" s="50"/>
      <c r="O101" s="50"/>
    </row>
    <row r="102" spans="2:15" x14ac:dyDescent="0.25">
      <c r="B102" s="63" t="s">
        <v>88</v>
      </c>
      <c r="C102" s="79" t="s">
        <v>78</v>
      </c>
      <c r="D102" s="7"/>
      <c r="E102" s="36"/>
      <c r="F102" s="83">
        <v>3.1948881789137379E-3</v>
      </c>
      <c r="G102" s="66">
        <f>G25</f>
        <v>3080700218.0384245</v>
      </c>
      <c r="H102" s="66">
        <f t="shared" si="3"/>
        <v>0</v>
      </c>
      <c r="L102" s="50"/>
      <c r="M102" s="50"/>
      <c r="N102" s="50"/>
      <c r="O102" s="50"/>
    </row>
    <row r="103" spans="2:15" x14ac:dyDescent="0.25">
      <c r="B103" s="63" t="s">
        <v>88</v>
      </c>
      <c r="C103" s="79" t="s">
        <v>79</v>
      </c>
      <c r="D103" s="7"/>
      <c r="E103" s="36"/>
      <c r="F103" s="83">
        <v>3.1948881789137379E-3</v>
      </c>
      <c r="G103" s="66">
        <f>G25</f>
        <v>3080700218.0384245</v>
      </c>
      <c r="H103" s="66">
        <f t="shared" si="3"/>
        <v>0</v>
      </c>
      <c r="L103" s="50"/>
      <c r="M103" s="50"/>
      <c r="N103" s="50"/>
      <c r="O103" s="50"/>
    </row>
    <row r="104" spans="2:15" x14ac:dyDescent="0.25">
      <c r="B104" s="63" t="s">
        <v>88</v>
      </c>
      <c r="C104" s="79" t="s">
        <v>80</v>
      </c>
      <c r="D104" s="7"/>
      <c r="E104" s="36"/>
      <c r="F104" s="83">
        <v>6.3897763578274758E-3</v>
      </c>
      <c r="G104" s="66">
        <f>G25</f>
        <v>3080700218.0384245</v>
      </c>
      <c r="H104" s="66">
        <f t="shared" si="3"/>
        <v>0</v>
      </c>
      <c r="L104" s="50"/>
      <c r="M104" s="50"/>
      <c r="N104" s="50"/>
      <c r="O104" s="50"/>
    </row>
    <row r="105" spans="2:15" x14ac:dyDescent="0.25">
      <c r="B105" s="63" t="s">
        <v>88</v>
      </c>
      <c r="C105" s="79" t="s">
        <v>81</v>
      </c>
      <c r="D105" s="7"/>
      <c r="E105" s="36"/>
      <c r="F105" s="83">
        <v>3.1948881789137379E-3</v>
      </c>
      <c r="G105" s="66">
        <f>G25</f>
        <v>3080700218.0384245</v>
      </c>
      <c r="H105" s="66">
        <f t="shared" si="3"/>
        <v>0</v>
      </c>
      <c r="L105" s="50"/>
      <c r="M105" s="50"/>
      <c r="N105" s="50"/>
      <c r="O105" s="50"/>
    </row>
    <row r="106" spans="2:15" x14ac:dyDescent="0.25">
      <c r="B106" s="63" t="s">
        <v>88</v>
      </c>
      <c r="C106" s="79" t="s">
        <v>82</v>
      </c>
      <c r="D106" s="7"/>
      <c r="E106" s="36"/>
      <c r="F106" s="83">
        <v>3.1948881789137379E-3</v>
      </c>
      <c r="G106" s="66">
        <f>G25</f>
        <v>3080700218.0384245</v>
      </c>
      <c r="H106" s="66">
        <f t="shared" si="3"/>
        <v>0</v>
      </c>
      <c r="L106" s="50"/>
      <c r="M106" s="50"/>
      <c r="N106" s="50"/>
      <c r="O106" s="50"/>
    </row>
    <row r="107" spans="2:15" x14ac:dyDescent="0.25">
      <c r="B107" s="63" t="s">
        <v>88</v>
      </c>
      <c r="C107" s="79" t="s">
        <v>83</v>
      </c>
      <c r="D107" s="7"/>
      <c r="E107" s="36"/>
      <c r="F107" s="83">
        <v>3.1948881789137379E-3</v>
      </c>
      <c r="G107" s="66">
        <f>G25</f>
        <v>3080700218.0384245</v>
      </c>
      <c r="H107" s="66">
        <f t="shared" si="3"/>
        <v>0</v>
      </c>
      <c r="L107" s="50"/>
      <c r="M107" s="50"/>
      <c r="N107" s="50"/>
      <c r="O107" s="50"/>
    </row>
    <row r="108" spans="2:15" x14ac:dyDescent="0.25">
      <c r="B108" s="63" t="s">
        <v>88</v>
      </c>
      <c r="C108" s="79" t="s">
        <v>84</v>
      </c>
      <c r="D108" s="7"/>
      <c r="E108" s="36"/>
      <c r="F108" s="83">
        <v>3.1948881789137379E-3</v>
      </c>
      <c r="G108" s="66">
        <f>G25</f>
        <v>3080700218.0384245</v>
      </c>
      <c r="H108" s="66">
        <f t="shared" si="3"/>
        <v>0</v>
      </c>
      <c r="L108" s="50"/>
      <c r="M108" s="50"/>
      <c r="N108" s="50"/>
      <c r="O108" s="50"/>
    </row>
    <row r="109" spans="2:15" x14ac:dyDescent="0.25">
      <c r="B109" s="63" t="s">
        <v>88</v>
      </c>
      <c r="C109" s="79" t="s">
        <v>85</v>
      </c>
      <c r="D109" s="7"/>
      <c r="E109" s="36"/>
      <c r="F109" s="83">
        <v>3.1948881789137379E-3</v>
      </c>
      <c r="G109" s="66">
        <f>G25</f>
        <v>3080700218.0384245</v>
      </c>
      <c r="H109" s="66">
        <f t="shared" si="3"/>
        <v>0</v>
      </c>
      <c r="L109" s="50"/>
      <c r="M109" s="50"/>
      <c r="N109" s="50"/>
      <c r="O109" s="50"/>
    </row>
    <row r="110" spans="2:15" x14ac:dyDescent="0.25">
      <c r="B110" s="63" t="s">
        <v>88</v>
      </c>
      <c r="C110" s="79" t="s">
        <v>86</v>
      </c>
      <c r="D110" s="7"/>
      <c r="E110" s="36"/>
      <c r="F110" s="83">
        <v>3.1948881789137379E-3</v>
      </c>
      <c r="G110" s="66">
        <f>G25</f>
        <v>3080700218.0384245</v>
      </c>
      <c r="H110" s="66">
        <f t="shared" si="3"/>
        <v>0</v>
      </c>
      <c r="L110" s="50"/>
      <c r="M110" s="50"/>
      <c r="N110" s="50"/>
      <c r="O110" s="50"/>
    </row>
    <row r="111" spans="2:15" ht="15.75" thickBot="1" x14ac:dyDescent="0.3">
      <c r="B111" s="63" t="s">
        <v>88</v>
      </c>
      <c r="C111" s="85" t="s">
        <v>87</v>
      </c>
      <c r="D111" s="10"/>
      <c r="E111" s="36"/>
      <c r="F111" s="95">
        <v>3.1948881789137379E-3</v>
      </c>
      <c r="G111" s="69">
        <f>G25</f>
        <v>3080700218.0384245</v>
      </c>
      <c r="H111" s="69">
        <f t="shared" si="3"/>
        <v>0</v>
      </c>
      <c r="J111" s="70"/>
      <c r="L111" s="50"/>
      <c r="M111" s="50"/>
      <c r="N111" s="50"/>
      <c r="O111" s="50"/>
    </row>
    <row r="112" spans="2:15" ht="15.75" thickBot="1" x14ac:dyDescent="0.3">
      <c r="B112" s="71" t="s">
        <v>90</v>
      </c>
      <c r="C112" s="72" t="s">
        <v>91</v>
      </c>
      <c r="D112" s="73"/>
      <c r="E112" s="38"/>
      <c r="F112" s="282" t="s">
        <v>4</v>
      </c>
      <c r="G112" s="106" t="s">
        <v>5</v>
      </c>
      <c r="H112" s="57" t="s">
        <v>6</v>
      </c>
      <c r="L112" s="50"/>
      <c r="M112" s="50"/>
      <c r="N112" s="50"/>
      <c r="O112" s="50"/>
    </row>
    <row r="113" spans="2:15" x14ac:dyDescent="0.25">
      <c r="B113" s="64" t="s">
        <v>92</v>
      </c>
      <c r="C113" s="75" t="s">
        <v>93</v>
      </c>
      <c r="D113" s="6"/>
      <c r="E113" s="36"/>
      <c r="F113" s="110" t="s">
        <v>224</v>
      </c>
      <c r="G113" s="111" t="s">
        <v>224</v>
      </c>
      <c r="H113" s="112" t="s">
        <v>224</v>
      </c>
      <c r="L113" s="50"/>
      <c r="M113" s="50"/>
      <c r="N113" s="50"/>
      <c r="O113" s="50"/>
    </row>
    <row r="114" spans="2:15" x14ac:dyDescent="0.25">
      <c r="B114" s="113" t="s">
        <v>92</v>
      </c>
      <c r="C114" s="114" t="s">
        <v>94</v>
      </c>
      <c r="D114" s="115" t="s">
        <v>224</v>
      </c>
      <c r="E114" s="39"/>
      <c r="F114" s="116" t="s">
        <v>224</v>
      </c>
      <c r="G114" s="117" t="s">
        <v>224</v>
      </c>
      <c r="H114" s="118" t="s">
        <v>224</v>
      </c>
      <c r="L114" s="50"/>
      <c r="M114" s="50"/>
      <c r="N114" s="50"/>
      <c r="O114" s="50"/>
    </row>
    <row r="115" spans="2:15" x14ac:dyDescent="0.25">
      <c r="B115" s="64" t="s">
        <v>92</v>
      </c>
      <c r="C115" s="79" t="s">
        <v>95</v>
      </c>
      <c r="D115" s="7"/>
      <c r="E115" s="36"/>
      <c r="F115" s="65" t="s">
        <v>224</v>
      </c>
      <c r="G115" s="119" t="s">
        <v>224</v>
      </c>
      <c r="H115" s="120" t="s">
        <v>224</v>
      </c>
      <c r="L115" s="50"/>
      <c r="M115" s="50"/>
      <c r="N115" s="50"/>
      <c r="O115" s="50"/>
    </row>
    <row r="116" spans="2:15" x14ac:dyDescent="0.25">
      <c r="B116" s="64" t="s">
        <v>92</v>
      </c>
      <c r="C116" s="79" t="s">
        <v>96</v>
      </c>
      <c r="D116" s="7"/>
      <c r="E116" s="36"/>
      <c r="F116" s="65" t="s">
        <v>224</v>
      </c>
      <c r="G116" s="119" t="s">
        <v>224</v>
      </c>
      <c r="H116" s="120" t="s">
        <v>224</v>
      </c>
      <c r="L116" s="50"/>
      <c r="M116" s="50"/>
      <c r="N116" s="50"/>
      <c r="O116" s="50"/>
    </row>
    <row r="117" spans="2:15" x14ac:dyDescent="0.25">
      <c r="B117" s="64" t="s">
        <v>92</v>
      </c>
      <c r="C117" s="79" t="s">
        <v>97</v>
      </c>
      <c r="D117" s="7"/>
      <c r="E117" s="36"/>
      <c r="F117" s="65" t="s">
        <v>224</v>
      </c>
      <c r="G117" s="119" t="s">
        <v>224</v>
      </c>
      <c r="H117" s="120" t="s">
        <v>224</v>
      </c>
      <c r="L117" s="50"/>
      <c r="M117" s="50"/>
      <c r="N117" s="50"/>
      <c r="O117" s="50"/>
    </row>
    <row r="118" spans="2:15" x14ac:dyDescent="0.25">
      <c r="B118" s="64" t="s">
        <v>92</v>
      </c>
      <c r="C118" s="79" t="s">
        <v>98</v>
      </c>
      <c r="D118" s="7"/>
      <c r="E118" s="36"/>
      <c r="F118" s="65" t="s">
        <v>224</v>
      </c>
      <c r="G118" s="119" t="s">
        <v>224</v>
      </c>
      <c r="H118" s="120" t="s">
        <v>224</v>
      </c>
      <c r="L118" s="50"/>
      <c r="M118" s="50"/>
      <c r="N118" s="50"/>
      <c r="O118" s="50"/>
    </row>
    <row r="119" spans="2:15" x14ac:dyDescent="0.25">
      <c r="B119" s="64" t="s">
        <v>92</v>
      </c>
      <c r="C119" s="79" t="s">
        <v>99</v>
      </c>
      <c r="D119" s="7"/>
      <c r="E119" s="36"/>
      <c r="F119" s="65" t="s">
        <v>224</v>
      </c>
      <c r="G119" s="119" t="s">
        <v>224</v>
      </c>
      <c r="H119" s="120" t="s">
        <v>224</v>
      </c>
      <c r="L119" s="50"/>
      <c r="M119" s="50"/>
      <c r="N119" s="50"/>
      <c r="O119" s="50"/>
    </row>
    <row r="120" spans="2:15" x14ac:dyDescent="0.25">
      <c r="B120" s="64" t="s">
        <v>92</v>
      </c>
      <c r="C120" s="79" t="s">
        <v>100</v>
      </c>
      <c r="D120" s="7"/>
      <c r="E120" s="36"/>
      <c r="F120" s="65" t="s">
        <v>224</v>
      </c>
      <c r="G120" s="119" t="s">
        <v>224</v>
      </c>
      <c r="H120" s="120" t="s">
        <v>224</v>
      </c>
      <c r="L120" s="50"/>
      <c r="M120" s="50"/>
      <c r="N120" s="50"/>
      <c r="O120" s="50"/>
    </row>
    <row r="121" spans="2:15" x14ac:dyDescent="0.25">
      <c r="B121" s="64" t="s">
        <v>92</v>
      </c>
      <c r="C121" s="79" t="s">
        <v>101</v>
      </c>
      <c r="D121" s="7"/>
      <c r="E121" s="36"/>
      <c r="F121" s="65" t="s">
        <v>224</v>
      </c>
      <c r="G121" s="119" t="s">
        <v>224</v>
      </c>
      <c r="H121" s="120" t="s">
        <v>224</v>
      </c>
      <c r="L121" s="50"/>
      <c r="M121" s="50"/>
      <c r="N121" s="50"/>
      <c r="O121" s="50"/>
    </row>
    <row r="122" spans="2:15" x14ac:dyDescent="0.25">
      <c r="B122" s="64" t="s">
        <v>92</v>
      </c>
      <c r="C122" s="79" t="s">
        <v>102</v>
      </c>
      <c r="D122" s="7"/>
      <c r="E122" s="36"/>
      <c r="F122" s="65" t="s">
        <v>224</v>
      </c>
      <c r="G122" s="119" t="s">
        <v>224</v>
      </c>
      <c r="H122" s="120" t="s">
        <v>224</v>
      </c>
      <c r="L122" s="50"/>
      <c r="M122" s="50"/>
      <c r="N122" s="50"/>
      <c r="O122" s="50"/>
    </row>
    <row r="123" spans="2:15" x14ac:dyDescent="0.25">
      <c r="B123" s="64" t="s">
        <v>92</v>
      </c>
      <c r="C123" s="79" t="s">
        <v>103</v>
      </c>
      <c r="D123" s="7"/>
      <c r="E123" s="36"/>
      <c r="F123" s="65" t="s">
        <v>224</v>
      </c>
      <c r="G123" s="119" t="s">
        <v>224</v>
      </c>
      <c r="H123" s="120" t="s">
        <v>224</v>
      </c>
      <c r="L123" s="50"/>
      <c r="M123" s="50"/>
      <c r="N123" s="50"/>
      <c r="O123" s="50"/>
    </row>
    <row r="124" spans="2:15" x14ac:dyDescent="0.25">
      <c r="B124" s="64" t="s">
        <v>92</v>
      </c>
      <c r="C124" s="79" t="s">
        <v>104</v>
      </c>
      <c r="D124" s="7"/>
      <c r="E124" s="36"/>
      <c r="F124" s="65" t="s">
        <v>224</v>
      </c>
      <c r="G124" s="119" t="s">
        <v>224</v>
      </c>
      <c r="H124" s="120" t="s">
        <v>224</v>
      </c>
      <c r="L124" s="50"/>
      <c r="M124" s="50"/>
      <c r="N124" s="50"/>
      <c r="O124" s="50"/>
    </row>
    <row r="125" spans="2:15" x14ac:dyDescent="0.25">
      <c r="B125" s="64" t="s">
        <v>92</v>
      </c>
      <c r="C125" s="79" t="s">
        <v>105</v>
      </c>
      <c r="D125" s="7"/>
      <c r="E125" s="36"/>
      <c r="F125" s="65" t="s">
        <v>224</v>
      </c>
      <c r="G125" s="119" t="s">
        <v>224</v>
      </c>
      <c r="H125" s="120" t="s">
        <v>224</v>
      </c>
      <c r="L125" s="50"/>
      <c r="M125" s="50"/>
      <c r="N125" s="50"/>
      <c r="O125" s="50"/>
    </row>
    <row r="126" spans="2:15" x14ac:dyDescent="0.25">
      <c r="B126" s="64" t="s">
        <v>92</v>
      </c>
      <c r="C126" s="79" t="s">
        <v>106</v>
      </c>
      <c r="D126" s="7"/>
      <c r="E126" s="36"/>
      <c r="F126" s="65" t="s">
        <v>224</v>
      </c>
      <c r="G126" s="119" t="s">
        <v>224</v>
      </c>
      <c r="H126" s="120" t="s">
        <v>224</v>
      </c>
      <c r="L126" s="50"/>
      <c r="M126" s="50"/>
      <c r="N126" s="50"/>
      <c r="O126" s="50"/>
    </row>
    <row r="127" spans="2:15" ht="15.75" thickBot="1" x14ac:dyDescent="0.3">
      <c r="B127" s="64" t="s">
        <v>92</v>
      </c>
      <c r="C127" s="85" t="s">
        <v>107</v>
      </c>
      <c r="D127" s="10"/>
      <c r="E127" s="36"/>
      <c r="F127" s="68" t="s">
        <v>224</v>
      </c>
      <c r="G127" s="121" t="s">
        <v>224</v>
      </c>
      <c r="H127" s="122" t="s">
        <v>224</v>
      </c>
      <c r="L127" s="50"/>
      <c r="M127" s="50"/>
      <c r="N127" s="50"/>
      <c r="O127" s="50"/>
    </row>
    <row r="128" spans="2:15" ht="15.75" thickBot="1" x14ac:dyDescent="0.3">
      <c r="B128" s="123" t="s">
        <v>108</v>
      </c>
      <c r="C128" s="72" t="s">
        <v>109</v>
      </c>
      <c r="D128" s="73"/>
      <c r="E128" s="38"/>
      <c r="F128" s="282" t="s">
        <v>4</v>
      </c>
      <c r="G128" s="106" t="s">
        <v>5</v>
      </c>
      <c r="H128" s="57" t="s">
        <v>6</v>
      </c>
      <c r="L128" s="50"/>
      <c r="M128" s="50"/>
      <c r="N128" s="50"/>
      <c r="O128" s="50"/>
    </row>
    <row r="129" spans="2:15" x14ac:dyDescent="0.25">
      <c r="B129" s="64" t="s">
        <v>108</v>
      </c>
      <c r="C129" s="75" t="s">
        <v>110</v>
      </c>
      <c r="D129" s="9"/>
      <c r="E129" s="36"/>
      <c r="F129" s="62" t="s">
        <v>224</v>
      </c>
      <c r="G129" s="124" t="s">
        <v>224</v>
      </c>
      <c r="H129" s="125" t="s">
        <v>224</v>
      </c>
      <c r="L129" s="50"/>
      <c r="M129" s="50"/>
      <c r="N129" s="50"/>
      <c r="O129" s="50"/>
    </row>
    <row r="130" spans="2:15" x14ac:dyDescent="0.25">
      <c r="B130" s="64" t="s">
        <v>108</v>
      </c>
      <c r="C130" s="79" t="s">
        <v>111</v>
      </c>
      <c r="D130" s="7"/>
      <c r="E130" s="36"/>
      <c r="F130" s="65" t="s">
        <v>224</v>
      </c>
      <c r="G130" s="119" t="s">
        <v>224</v>
      </c>
      <c r="H130" s="120" t="s">
        <v>224</v>
      </c>
      <c r="L130" s="50"/>
      <c r="M130" s="50"/>
      <c r="N130" s="50"/>
      <c r="O130" s="50"/>
    </row>
    <row r="131" spans="2:15" x14ac:dyDescent="0.25">
      <c r="B131" s="64" t="s">
        <v>108</v>
      </c>
      <c r="C131" s="79" t="s">
        <v>112</v>
      </c>
      <c r="D131" s="7"/>
      <c r="E131" s="36"/>
      <c r="F131" s="65" t="s">
        <v>224</v>
      </c>
      <c r="G131" s="119" t="s">
        <v>224</v>
      </c>
      <c r="H131" s="120" t="s">
        <v>224</v>
      </c>
      <c r="L131" s="50"/>
      <c r="M131" s="50"/>
      <c r="N131" s="50"/>
      <c r="O131" s="50"/>
    </row>
    <row r="132" spans="2:15" x14ac:dyDescent="0.25">
      <c r="B132" s="64" t="s">
        <v>108</v>
      </c>
      <c r="C132" s="79" t="s">
        <v>113</v>
      </c>
      <c r="D132" s="7"/>
      <c r="E132" s="36"/>
      <c r="F132" s="65" t="s">
        <v>224</v>
      </c>
      <c r="G132" s="119" t="s">
        <v>224</v>
      </c>
      <c r="H132" s="120" t="s">
        <v>224</v>
      </c>
      <c r="L132" s="50"/>
      <c r="M132" s="50"/>
      <c r="N132" s="50"/>
      <c r="O132" s="50"/>
    </row>
    <row r="133" spans="2:15" x14ac:dyDescent="0.25">
      <c r="B133" s="64" t="s">
        <v>108</v>
      </c>
      <c r="C133" s="79" t="s">
        <v>114</v>
      </c>
      <c r="D133" s="7"/>
      <c r="E133" s="36"/>
      <c r="F133" s="65" t="s">
        <v>224</v>
      </c>
      <c r="G133" s="119" t="s">
        <v>224</v>
      </c>
      <c r="H133" s="120" t="s">
        <v>224</v>
      </c>
      <c r="L133" s="50"/>
      <c r="M133" s="50"/>
      <c r="N133" s="50"/>
      <c r="O133" s="50"/>
    </row>
    <row r="134" spans="2:15" ht="15.75" thickBot="1" x14ac:dyDescent="0.3">
      <c r="B134" s="64" t="s">
        <v>108</v>
      </c>
      <c r="C134" s="85" t="s">
        <v>115</v>
      </c>
      <c r="D134" s="10"/>
      <c r="E134" s="36"/>
      <c r="F134" s="68" t="s">
        <v>224</v>
      </c>
      <c r="G134" s="121" t="s">
        <v>224</v>
      </c>
      <c r="H134" s="122" t="s">
        <v>224</v>
      </c>
      <c r="L134" s="50"/>
      <c r="M134" s="50"/>
      <c r="N134" s="50"/>
      <c r="O134" s="50"/>
    </row>
    <row r="135" spans="2:15" ht="15.75" thickBot="1" x14ac:dyDescent="0.3">
      <c r="B135" s="123" t="s">
        <v>116</v>
      </c>
      <c r="C135" s="72" t="s">
        <v>117</v>
      </c>
      <c r="D135" s="73"/>
      <c r="E135" s="38"/>
      <c r="F135" s="282" t="s">
        <v>4</v>
      </c>
      <c r="G135" s="106" t="s">
        <v>5</v>
      </c>
      <c r="H135" s="57" t="s">
        <v>6</v>
      </c>
      <c r="L135" s="50"/>
      <c r="M135" s="50"/>
      <c r="N135" s="50"/>
      <c r="O135" s="50"/>
    </row>
    <row r="136" spans="2:15" ht="15.75" thickBot="1" x14ac:dyDescent="0.3">
      <c r="B136" s="64" t="s">
        <v>116</v>
      </c>
      <c r="C136" s="75" t="s">
        <v>118</v>
      </c>
      <c r="D136" s="9"/>
      <c r="E136" s="36"/>
      <c r="F136" s="62" t="s">
        <v>224</v>
      </c>
      <c r="G136" s="124" t="s">
        <v>224</v>
      </c>
      <c r="H136" s="125" t="s">
        <v>224</v>
      </c>
      <c r="L136" s="50"/>
      <c r="M136" s="50"/>
      <c r="N136" s="50"/>
      <c r="O136" s="50"/>
    </row>
    <row r="137" spans="2:15" ht="15.75" thickBot="1" x14ac:dyDescent="0.3">
      <c r="B137" s="64" t="s">
        <v>116</v>
      </c>
      <c r="C137" s="79" t="s">
        <v>119</v>
      </c>
      <c r="D137" s="9"/>
      <c r="E137" s="36"/>
      <c r="F137" s="65" t="s">
        <v>224</v>
      </c>
      <c r="G137" s="119" t="s">
        <v>224</v>
      </c>
      <c r="H137" s="120" t="s">
        <v>224</v>
      </c>
      <c r="L137" s="50"/>
      <c r="M137" s="50"/>
      <c r="N137" s="50"/>
      <c r="O137" s="50"/>
    </row>
    <row r="138" spans="2:15" ht="15.75" thickBot="1" x14ac:dyDescent="0.3">
      <c r="B138" s="64" t="s">
        <v>116</v>
      </c>
      <c r="C138" s="79" t="s">
        <v>120</v>
      </c>
      <c r="D138" s="9"/>
      <c r="E138" s="36"/>
      <c r="F138" s="65" t="s">
        <v>224</v>
      </c>
      <c r="G138" s="119" t="s">
        <v>224</v>
      </c>
      <c r="H138" s="120" t="s">
        <v>224</v>
      </c>
      <c r="L138" s="50"/>
      <c r="M138" s="50"/>
      <c r="N138" s="50"/>
      <c r="O138" s="50"/>
    </row>
    <row r="139" spans="2:15" ht="15.75" thickBot="1" x14ac:dyDescent="0.3">
      <c r="B139" s="64" t="s">
        <v>116</v>
      </c>
      <c r="C139" s="79" t="s">
        <v>121</v>
      </c>
      <c r="D139" s="9"/>
      <c r="E139" s="36"/>
      <c r="F139" s="65" t="s">
        <v>224</v>
      </c>
      <c r="G139" s="119" t="s">
        <v>224</v>
      </c>
      <c r="H139" s="120" t="s">
        <v>224</v>
      </c>
      <c r="L139" s="50"/>
      <c r="M139" s="50"/>
      <c r="N139" s="50"/>
      <c r="O139" s="50"/>
    </row>
    <row r="140" spans="2:15" ht="15.75" thickBot="1" x14ac:dyDescent="0.3">
      <c r="B140" s="64" t="s">
        <v>116</v>
      </c>
      <c r="C140" s="79" t="s">
        <v>122</v>
      </c>
      <c r="D140" s="9"/>
      <c r="E140" s="36"/>
      <c r="F140" s="65" t="s">
        <v>224</v>
      </c>
      <c r="G140" s="119" t="s">
        <v>224</v>
      </c>
      <c r="H140" s="120" t="s">
        <v>224</v>
      </c>
      <c r="L140" s="50"/>
      <c r="M140" s="50"/>
      <c r="N140" s="50"/>
      <c r="O140" s="50"/>
    </row>
    <row r="141" spans="2:15" ht="15.75" thickBot="1" x14ac:dyDescent="0.3">
      <c r="B141" s="64" t="s">
        <v>116</v>
      </c>
      <c r="C141" s="79" t="s">
        <v>123</v>
      </c>
      <c r="D141" s="9"/>
      <c r="E141" s="36"/>
      <c r="F141" s="65" t="s">
        <v>224</v>
      </c>
      <c r="G141" s="119" t="s">
        <v>224</v>
      </c>
      <c r="H141" s="120" t="s">
        <v>224</v>
      </c>
      <c r="L141" s="50"/>
      <c r="M141" s="50"/>
      <c r="N141" s="50"/>
      <c r="O141" s="50"/>
    </row>
    <row r="142" spans="2:15" ht="15.75" thickBot="1" x14ac:dyDescent="0.3">
      <c r="B142" s="64" t="s">
        <v>116</v>
      </c>
      <c r="C142" s="79" t="s">
        <v>124</v>
      </c>
      <c r="D142" s="9"/>
      <c r="E142" s="36"/>
      <c r="F142" s="65" t="s">
        <v>224</v>
      </c>
      <c r="G142" s="119" t="s">
        <v>224</v>
      </c>
      <c r="H142" s="120" t="s">
        <v>224</v>
      </c>
      <c r="L142" s="50"/>
      <c r="M142" s="50"/>
      <c r="N142" s="50"/>
      <c r="O142" s="50"/>
    </row>
    <row r="143" spans="2:15" ht="15.75" thickBot="1" x14ac:dyDescent="0.3">
      <c r="B143" s="64" t="s">
        <v>116</v>
      </c>
      <c r="C143" s="79" t="s">
        <v>125</v>
      </c>
      <c r="D143" s="9"/>
      <c r="E143" s="36"/>
      <c r="F143" s="65" t="s">
        <v>224</v>
      </c>
      <c r="G143" s="119" t="s">
        <v>224</v>
      </c>
      <c r="H143" s="120" t="s">
        <v>224</v>
      </c>
      <c r="L143" s="50"/>
      <c r="M143" s="50"/>
      <c r="N143" s="50"/>
      <c r="O143" s="50"/>
    </row>
    <row r="144" spans="2:15" ht="15.75" thickBot="1" x14ac:dyDescent="0.3">
      <c r="B144" s="64" t="s">
        <v>116</v>
      </c>
      <c r="C144" s="79" t="s">
        <v>126</v>
      </c>
      <c r="D144" s="9"/>
      <c r="E144" s="36"/>
      <c r="F144" s="65" t="s">
        <v>224</v>
      </c>
      <c r="G144" s="119" t="s">
        <v>224</v>
      </c>
      <c r="H144" s="120" t="s">
        <v>224</v>
      </c>
      <c r="L144" s="50"/>
      <c r="M144" s="50"/>
      <c r="N144" s="50"/>
      <c r="O144" s="50"/>
    </row>
    <row r="145" spans="2:41" ht="15.75" thickBot="1" x14ac:dyDescent="0.3">
      <c r="B145" s="64" t="s">
        <v>116</v>
      </c>
      <c r="C145" s="79" t="s">
        <v>127</v>
      </c>
      <c r="D145" s="9"/>
      <c r="E145" s="36"/>
      <c r="F145" s="65" t="s">
        <v>224</v>
      </c>
      <c r="G145" s="119" t="s">
        <v>224</v>
      </c>
      <c r="H145" s="120" t="s">
        <v>224</v>
      </c>
      <c r="L145" s="50"/>
      <c r="M145" s="50"/>
      <c r="N145" s="50"/>
      <c r="O145" s="50"/>
    </row>
    <row r="146" spans="2:41" ht="15.75" thickBot="1" x14ac:dyDescent="0.3">
      <c r="B146" s="67" t="s">
        <v>116</v>
      </c>
      <c r="C146" s="85" t="s">
        <v>128</v>
      </c>
      <c r="D146" s="9"/>
      <c r="E146" s="36"/>
      <c r="F146" s="68" t="s">
        <v>224</v>
      </c>
      <c r="G146" s="121" t="s">
        <v>224</v>
      </c>
      <c r="H146" s="122" t="s">
        <v>224</v>
      </c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</row>
    <row r="147" spans="2:41" s="1" customFormat="1" ht="15.75" thickBot="1" x14ac:dyDescent="0.3">
      <c r="B147" s="67" t="s">
        <v>116</v>
      </c>
      <c r="C147" s="256" t="s">
        <v>232</v>
      </c>
      <c r="D147" s="9"/>
      <c r="E147" s="36"/>
      <c r="F147" s="68" t="s">
        <v>224</v>
      </c>
      <c r="G147" s="121" t="s">
        <v>224</v>
      </c>
      <c r="H147" s="122" t="s">
        <v>224</v>
      </c>
    </row>
    <row r="148" spans="2:41" s="1" customFormat="1" ht="15.75" customHeight="1" thickBot="1" x14ac:dyDescent="0.3">
      <c r="B148" s="67" t="s">
        <v>116</v>
      </c>
      <c r="C148" s="256" t="s">
        <v>233</v>
      </c>
      <c r="D148" s="9"/>
      <c r="E148" s="36"/>
      <c r="F148" s="68" t="s">
        <v>224</v>
      </c>
      <c r="G148" s="121" t="s">
        <v>224</v>
      </c>
      <c r="H148" s="122" t="s">
        <v>224</v>
      </c>
    </row>
    <row r="149" spans="2:41" s="1" customFormat="1" ht="15.75" thickBot="1" x14ac:dyDescent="0.3">
      <c r="B149" s="67" t="s">
        <v>116</v>
      </c>
      <c r="C149" s="256" t="s">
        <v>234</v>
      </c>
      <c r="D149" s="9"/>
      <c r="E149" s="36"/>
      <c r="F149" s="68" t="s">
        <v>224</v>
      </c>
      <c r="G149" s="121" t="s">
        <v>224</v>
      </c>
      <c r="H149" s="122" t="s">
        <v>224</v>
      </c>
    </row>
    <row r="150" spans="2:41" s="1" customFormat="1" ht="15.75" thickBot="1" x14ac:dyDescent="0.3">
      <c r="B150" s="67" t="s">
        <v>116</v>
      </c>
      <c r="C150" s="256" t="s">
        <v>235</v>
      </c>
      <c r="D150" s="9"/>
      <c r="E150" s="36"/>
      <c r="F150" s="68" t="s">
        <v>224</v>
      </c>
      <c r="G150" s="121" t="s">
        <v>224</v>
      </c>
      <c r="H150" s="122" t="s">
        <v>224</v>
      </c>
    </row>
    <row r="151" spans="2:41" s="1" customFormat="1" ht="15.75" thickBot="1" x14ac:dyDescent="0.3">
      <c r="B151" s="67" t="s">
        <v>116</v>
      </c>
      <c r="C151" s="256" t="s">
        <v>236</v>
      </c>
      <c r="D151" s="9"/>
      <c r="E151" s="36"/>
      <c r="F151" s="68" t="s">
        <v>224</v>
      </c>
      <c r="G151" s="121" t="s">
        <v>224</v>
      </c>
      <c r="H151" s="122" t="s">
        <v>224</v>
      </c>
    </row>
    <row r="152" spans="2:41" s="1" customFormat="1" ht="15.75" thickBot="1" x14ac:dyDescent="0.3">
      <c r="B152" s="67" t="s">
        <v>116</v>
      </c>
      <c r="C152" s="256" t="s">
        <v>237</v>
      </c>
      <c r="D152" s="9"/>
      <c r="E152" s="36"/>
      <c r="F152" s="68" t="s">
        <v>224</v>
      </c>
      <c r="G152" s="121" t="s">
        <v>224</v>
      </c>
      <c r="H152" s="122" t="s">
        <v>224</v>
      </c>
    </row>
    <row r="153" spans="2:41" s="1" customFormat="1" ht="15.75" thickBot="1" x14ac:dyDescent="0.3">
      <c r="B153" s="67" t="s">
        <v>116</v>
      </c>
      <c r="C153" s="256" t="s">
        <v>238</v>
      </c>
      <c r="D153" s="9"/>
      <c r="E153" s="36"/>
      <c r="F153" s="68" t="s">
        <v>224</v>
      </c>
      <c r="G153" s="121" t="s">
        <v>224</v>
      </c>
      <c r="H153" s="122" t="s">
        <v>224</v>
      </c>
    </row>
    <row r="154" spans="2:41" s="1" customFormat="1" ht="15.75" thickBot="1" x14ac:dyDescent="0.3">
      <c r="B154" s="67" t="s">
        <v>116</v>
      </c>
      <c r="C154" s="256" t="s">
        <v>239</v>
      </c>
      <c r="D154" s="9"/>
      <c r="E154" s="36"/>
      <c r="F154" s="68" t="s">
        <v>224</v>
      </c>
      <c r="G154" s="121" t="s">
        <v>224</v>
      </c>
      <c r="H154" s="122" t="s">
        <v>224</v>
      </c>
    </row>
    <row r="155" spans="2:41" s="1" customFormat="1" ht="15.75" thickBot="1" x14ac:dyDescent="0.3">
      <c r="B155" s="67" t="s">
        <v>116</v>
      </c>
      <c r="C155" s="256" t="s">
        <v>243</v>
      </c>
      <c r="D155" s="9"/>
      <c r="E155" s="36"/>
      <c r="F155" s="68" t="s">
        <v>224</v>
      </c>
      <c r="G155" s="121" t="s">
        <v>224</v>
      </c>
      <c r="H155" s="122" t="s">
        <v>224</v>
      </c>
    </row>
    <row r="156" spans="2:41" s="1" customFormat="1" ht="15.75" thickBot="1" x14ac:dyDescent="0.3">
      <c r="B156" s="67" t="s">
        <v>116</v>
      </c>
      <c r="C156" s="256" t="s">
        <v>244</v>
      </c>
      <c r="D156" s="9"/>
      <c r="E156" s="36"/>
      <c r="F156" s="68" t="s">
        <v>224</v>
      </c>
      <c r="G156" s="121" t="s">
        <v>224</v>
      </c>
      <c r="H156" s="122" t="s">
        <v>224</v>
      </c>
    </row>
    <row r="157" spans="2:41" s="1" customFormat="1" ht="15.75" thickBot="1" x14ac:dyDescent="0.3">
      <c r="B157" s="67" t="s">
        <v>116</v>
      </c>
      <c r="C157" s="256" t="s">
        <v>245</v>
      </c>
      <c r="D157" s="9"/>
      <c r="E157" s="36"/>
      <c r="F157" s="68" t="s">
        <v>224</v>
      </c>
      <c r="G157" s="121" t="s">
        <v>224</v>
      </c>
      <c r="H157" s="122" t="s">
        <v>224</v>
      </c>
    </row>
    <row r="158" spans="2:41" s="1" customFormat="1" ht="15.75" thickBot="1" x14ac:dyDescent="0.3">
      <c r="B158" s="67" t="s">
        <v>116</v>
      </c>
      <c r="C158" s="256" t="s">
        <v>246</v>
      </c>
      <c r="D158" s="9"/>
      <c r="E158" s="36"/>
      <c r="F158" s="68" t="s">
        <v>224</v>
      </c>
      <c r="G158" s="121" t="s">
        <v>224</v>
      </c>
      <c r="H158" s="122" t="s">
        <v>224</v>
      </c>
    </row>
    <row r="159" spans="2:41" ht="15.75" thickBot="1" x14ac:dyDescent="0.3">
      <c r="B159" s="88" t="s">
        <v>129</v>
      </c>
      <c r="C159" s="126" t="s">
        <v>130</v>
      </c>
      <c r="D159" s="12"/>
      <c r="E159" s="36"/>
      <c r="F159" s="127" t="s">
        <v>224</v>
      </c>
      <c r="G159" s="128" t="s">
        <v>224</v>
      </c>
      <c r="H159" s="129" t="s">
        <v>224</v>
      </c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</row>
    <row r="160" spans="2:41" ht="15.75" customHeight="1" thickBot="1" x14ac:dyDescent="0.3">
      <c r="B160" s="130" t="s">
        <v>131</v>
      </c>
      <c r="C160" s="131" t="s">
        <v>132</v>
      </c>
      <c r="D160" s="132"/>
      <c r="E160" s="41"/>
      <c r="F160" s="282" t="s">
        <v>4</v>
      </c>
      <c r="G160" s="106" t="s">
        <v>5</v>
      </c>
      <c r="H160" s="57" t="s">
        <v>6</v>
      </c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</row>
    <row r="161" spans="2:41" x14ac:dyDescent="0.25">
      <c r="B161" s="64" t="s">
        <v>133</v>
      </c>
      <c r="C161" s="75" t="s">
        <v>134</v>
      </c>
      <c r="D161" s="13"/>
      <c r="E161" s="37"/>
      <c r="F161" s="92">
        <v>0.37037037037037035</v>
      </c>
      <c r="G161" s="133">
        <v>120</v>
      </c>
      <c r="H161" s="134">
        <f t="shared" ref="H161:H169" si="4">D161*F161*G161</f>
        <v>0</v>
      </c>
      <c r="I161" s="94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</row>
    <row r="162" spans="2:41" x14ac:dyDescent="0.25">
      <c r="B162" s="64" t="s">
        <v>133</v>
      </c>
      <c r="C162" s="79" t="s">
        <v>135</v>
      </c>
      <c r="D162" s="14"/>
      <c r="E162" s="37"/>
      <c r="F162" s="83">
        <v>7.407407407407407E-2</v>
      </c>
      <c r="G162" s="135">
        <v>120</v>
      </c>
      <c r="H162" s="136">
        <f t="shared" si="4"/>
        <v>0</v>
      </c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</row>
    <row r="163" spans="2:41" x14ac:dyDescent="0.25">
      <c r="B163" s="64" t="s">
        <v>133</v>
      </c>
      <c r="C163" s="79" t="s">
        <v>136</v>
      </c>
      <c r="D163" s="14"/>
      <c r="E163" s="37"/>
      <c r="F163" s="83">
        <v>1.8518518518518517E-2</v>
      </c>
      <c r="G163" s="135">
        <v>120</v>
      </c>
      <c r="H163" s="136">
        <f t="shared" si="4"/>
        <v>0</v>
      </c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</row>
    <row r="164" spans="2:41" x14ac:dyDescent="0.25">
      <c r="B164" s="64" t="s">
        <v>133</v>
      </c>
      <c r="C164" s="79" t="s">
        <v>137</v>
      </c>
      <c r="D164" s="14"/>
      <c r="E164" s="37"/>
      <c r="F164" s="83">
        <v>1.8518518518518517E-2</v>
      </c>
      <c r="G164" s="135">
        <v>120</v>
      </c>
      <c r="H164" s="136">
        <f t="shared" si="4"/>
        <v>0</v>
      </c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</row>
    <row r="165" spans="2:41" x14ac:dyDescent="0.25">
      <c r="B165" s="64" t="s">
        <v>133</v>
      </c>
      <c r="C165" s="79" t="s">
        <v>138</v>
      </c>
      <c r="D165" s="15"/>
      <c r="E165" s="42"/>
      <c r="F165" s="137">
        <v>0.44444444444444442</v>
      </c>
      <c r="G165" s="135">
        <v>120</v>
      </c>
      <c r="H165" s="66">
        <f t="shared" si="4"/>
        <v>0</v>
      </c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</row>
    <row r="166" spans="2:41" x14ac:dyDescent="0.25">
      <c r="B166" s="64" t="s">
        <v>133</v>
      </c>
      <c r="C166" s="79" t="s">
        <v>139</v>
      </c>
      <c r="D166" s="15"/>
      <c r="E166" s="42"/>
      <c r="F166" s="137">
        <v>1.8518518518518517E-2</v>
      </c>
      <c r="G166" s="135">
        <v>120</v>
      </c>
      <c r="H166" s="66">
        <f t="shared" si="4"/>
        <v>0</v>
      </c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</row>
    <row r="167" spans="2:41" x14ac:dyDescent="0.25">
      <c r="B167" s="64" t="s">
        <v>133</v>
      </c>
      <c r="C167" s="79" t="s">
        <v>140</v>
      </c>
      <c r="D167" s="15"/>
      <c r="E167" s="42"/>
      <c r="F167" s="137">
        <v>1.8518518518518517E-2</v>
      </c>
      <c r="G167" s="135">
        <v>120</v>
      </c>
      <c r="H167" s="66">
        <f t="shared" si="4"/>
        <v>0</v>
      </c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</row>
    <row r="168" spans="2:41" x14ac:dyDescent="0.25">
      <c r="B168" s="64" t="s">
        <v>133</v>
      </c>
      <c r="C168" s="79" t="s">
        <v>141</v>
      </c>
      <c r="D168" s="15"/>
      <c r="E168" s="42"/>
      <c r="F168" s="137">
        <v>1.8518518518518517E-2</v>
      </c>
      <c r="G168" s="135">
        <v>120</v>
      </c>
      <c r="H168" s="66">
        <f t="shared" si="4"/>
        <v>0</v>
      </c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</row>
    <row r="169" spans="2:41" ht="15.75" thickBot="1" x14ac:dyDescent="0.3">
      <c r="B169" s="64" t="s">
        <v>133</v>
      </c>
      <c r="C169" s="85" t="s">
        <v>142</v>
      </c>
      <c r="D169" s="16"/>
      <c r="E169" s="37"/>
      <c r="F169" s="95">
        <v>1.8518518518518517E-2</v>
      </c>
      <c r="G169" s="138">
        <v>120</v>
      </c>
      <c r="H169" s="139">
        <f t="shared" si="4"/>
        <v>0</v>
      </c>
      <c r="J169" s="7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</row>
    <row r="170" spans="2:41" ht="15.75" thickBot="1" x14ac:dyDescent="0.3">
      <c r="B170" s="140" t="s">
        <v>143</v>
      </c>
      <c r="C170" s="72" t="s">
        <v>144</v>
      </c>
      <c r="D170" s="73"/>
      <c r="E170" s="38"/>
      <c r="F170" s="282" t="s">
        <v>4</v>
      </c>
      <c r="G170" s="106" t="s">
        <v>5</v>
      </c>
      <c r="H170" s="57" t="s">
        <v>6</v>
      </c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</row>
    <row r="171" spans="2:41" x14ac:dyDescent="0.25">
      <c r="B171" s="141" t="s">
        <v>143</v>
      </c>
      <c r="C171" s="75" t="s">
        <v>145</v>
      </c>
      <c r="D171" s="9"/>
      <c r="E171" s="36"/>
      <c r="F171" s="62" t="s">
        <v>224</v>
      </c>
      <c r="G171" s="124" t="s">
        <v>224</v>
      </c>
      <c r="H171" s="125" t="s">
        <v>224</v>
      </c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</row>
    <row r="172" spans="2:41" x14ac:dyDescent="0.25">
      <c r="B172" s="141" t="s">
        <v>143</v>
      </c>
      <c r="C172" s="79" t="s">
        <v>146</v>
      </c>
      <c r="D172" s="7"/>
      <c r="E172" s="36"/>
      <c r="F172" s="65" t="s">
        <v>224</v>
      </c>
      <c r="G172" s="119" t="s">
        <v>224</v>
      </c>
      <c r="H172" s="120" t="s">
        <v>224</v>
      </c>
      <c r="L172" s="50"/>
      <c r="M172" s="50"/>
      <c r="N172" s="50"/>
      <c r="O172" s="50"/>
    </row>
    <row r="173" spans="2:41" x14ac:dyDescent="0.25">
      <c r="B173" s="141" t="s">
        <v>143</v>
      </c>
      <c r="C173" s="79" t="s">
        <v>147</v>
      </c>
      <c r="D173" s="7"/>
      <c r="E173" s="36"/>
      <c r="F173" s="65" t="s">
        <v>224</v>
      </c>
      <c r="G173" s="119" t="s">
        <v>224</v>
      </c>
      <c r="H173" s="120" t="s">
        <v>224</v>
      </c>
      <c r="L173" s="50"/>
      <c r="M173" s="50"/>
      <c r="N173" s="50"/>
      <c r="O173" s="50"/>
    </row>
    <row r="174" spans="2:41" x14ac:dyDescent="0.25">
      <c r="B174" s="141" t="s">
        <v>143</v>
      </c>
      <c r="C174" s="79" t="s">
        <v>148</v>
      </c>
      <c r="D174" s="7"/>
      <c r="E174" s="36"/>
      <c r="F174" s="65" t="s">
        <v>224</v>
      </c>
      <c r="G174" s="119" t="s">
        <v>224</v>
      </c>
      <c r="H174" s="120" t="s">
        <v>224</v>
      </c>
      <c r="L174" s="50"/>
      <c r="M174" s="50"/>
      <c r="N174" s="50"/>
      <c r="O174" s="50"/>
    </row>
    <row r="175" spans="2:41" ht="15.75" thickBot="1" x14ac:dyDescent="0.3">
      <c r="B175" s="141" t="s">
        <v>143</v>
      </c>
      <c r="C175" s="85" t="s">
        <v>149</v>
      </c>
      <c r="D175" s="8"/>
      <c r="E175" s="36"/>
      <c r="F175" s="142" t="s">
        <v>224</v>
      </c>
      <c r="G175" s="143" t="s">
        <v>224</v>
      </c>
      <c r="H175" s="144" t="s">
        <v>224</v>
      </c>
      <c r="L175" s="50"/>
      <c r="M175" s="50"/>
      <c r="N175" s="50"/>
      <c r="O175" s="50"/>
    </row>
    <row r="176" spans="2:41" ht="15.75" thickBot="1" x14ac:dyDescent="0.3">
      <c r="B176" s="140" t="s">
        <v>150</v>
      </c>
      <c r="C176" s="72" t="s">
        <v>151</v>
      </c>
      <c r="D176" s="100"/>
      <c r="E176" s="38"/>
      <c r="F176" s="282" t="s">
        <v>4</v>
      </c>
      <c r="G176" s="106" t="s">
        <v>5</v>
      </c>
      <c r="H176" s="57" t="s">
        <v>6</v>
      </c>
      <c r="L176" s="50"/>
      <c r="M176" s="50"/>
      <c r="N176" s="50"/>
      <c r="O176" s="50"/>
    </row>
    <row r="177" spans="2:15" x14ac:dyDescent="0.25">
      <c r="B177" s="141" t="s">
        <v>150</v>
      </c>
      <c r="C177" s="75" t="s">
        <v>152</v>
      </c>
      <c r="D177" s="9"/>
      <c r="E177" s="36"/>
      <c r="F177" s="62" t="s">
        <v>224</v>
      </c>
      <c r="G177" s="124" t="s">
        <v>224</v>
      </c>
      <c r="H177" s="125" t="s">
        <v>224</v>
      </c>
      <c r="L177" s="50"/>
      <c r="M177" s="50"/>
      <c r="N177" s="50"/>
      <c r="O177" s="50"/>
    </row>
    <row r="178" spans="2:15" x14ac:dyDescent="0.25">
      <c r="B178" s="141" t="s">
        <v>150</v>
      </c>
      <c r="C178" s="79" t="s">
        <v>153</v>
      </c>
      <c r="D178" s="7"/>
      <c r="E178" s="36"/>
      <c r="F178" s="65" t="s">
        <v>224</v>
      </c>
      <c r="G178" s="119" t="s">
        <v>224</v>
      </c>
      <c r="H178" s="120" t="s">
        <v>224</v>
      </c>
      <c r="L178" s="50"/>
      <c r="M178" s="50"/>
      <c r="N178" s="50"/>
      <c r="O178" s="50"/>
    </row>
    <row r="179" spans="2:15" x14ac:dyDescent="0.25">
      <c r="B179" s="141" t="s">
        <v>150</v>
      </c>
      <c r="C179" s="79" t="s">
        <v>154</v>
      </c>
      <c r="D179" s="7"/>
      <c r="E179" s="36"/>
      <c r="F179" s="65" t="s">
        <v>224</v>
      </c>
      <c r="G179" s="119" t="s">
        <v>224</v>
      </c>
      <c r="H179" s="120" t="s">
        <v>224</v>
      </c>
      <c r="L179" s="50"/>
      <c r="M179" s="50"/>
      <c r="N179" s="50"/>
      <c r="O179" s="50"/>
    </row>
    <row r="180" spans="2:15" x14ac:dyDescent="0.25">
      <c r="B180" s="141" t="s">
        <v>150</v>
      </c>
      <c r="C180" s="79" t="s">
        <v>155</v>
      </c>
      <c r="D180" s="7"/>
      <c r="E180" s="36"/>
      <c r="F180" s="65" t="s">
        <v>224</v>
      </c>
      <c r="G180" s="119" t="s">
        <v>224</v>
      </c>
      <c r="H180" s="120" t="s">
        <v>224</v>
      </c>
      <c r="L180" s="50"/>
      <c r="M180" s="50"/>
      <c r="N180" s="50"/>
      <c r="O180" s="50"/>
    </row>
    <row r="181" spans="2:15" x14ac:dyDescent="0.25">
      <c r="B181" s="141" t="s">
        <v>150</v>
      </c>
      <c r="C181" s="79" t="s">
        <v>156</v>
      </c>
      <c r="D181" s="7"/>
      <c r="E181" s="36"/>
      <c r="F181" s="65" t="s">
        <v>224</v>
      </c>
      <c r="G181" s="119" t="s">
        <v>224</v>
      </c>
      <c r="H181" s="120" t="s">
        <v>224</v>
      </c>
      <c r="L181" s="50"/>
      <c r="M181" s="50"/>
      <c r="N181" s="50"/>
      <c r="O181" s="50"/>
    </row>
    <row r="182" spans="2:15" ht="15.75" thickBot="1" x14ac:dyDescent="0.3">
      <c r="B182" s="145" t="s">
        <v>150</v>
      </c>
      <c r="C182" s="146" t="s">
        <v>157</v>
      </c>
      <c r="D182" s="8"/>
      <c r="E182" s="36"/>
      <c r="F182" s="142" t="s">
        <v>224</v>
      </c>
      <c r="G182" s="143" t="s">
        <v>224</v>
      </c>
      <c r="H182" s="144" t="s">
        <v>224</v>
      </c>
      <c r="L182" s="50"/>
      <c r="M182" s="50"/>
      <c r="N182" s="50"/>
      <c r="O182" s="50"/>
    </row>
    <row r="183" spans="2:15" ht="15.75" thickBot="1" x14ac:dyDescent="0.3">
      <c r="B183" s="50"/>
      <c r="C183" s="50"/>
      <c r="D183" s="147"/>
      <c r="E183" s="147"/>
      <c r="G183" s="49"/>
      <c r="L183" s="50"/>
      <c r="M183" s="50"/>
      <c r="N183" s="50"/>
      <c r="O183" s="50"/>
    </row>
    <row r="184" spans="2:15" ht="21" thickBot="1" x14ac:dyDescent="0.35">
      <c r="B184" s="50"/>
      <c r="C184" s="50"/>
      <c r="D184" s="147"/>
      <c r="E184" s="147"/>
      <c r="G184" s="49"/>
      <c r="H184" s="148">
        <f>SUM(D18,D16,H19,H21,H23,H25,H29:H52,H54:H57,H75:H77,H80:H94,H97:H111,H161:H169)</f>
        <v>0</v>
      </c>
      <c r="I184" s="149" t="s">
        <v>158</v>
      </c>
      <c r="L184" s="50"/>
      <c r="M184" s="50"/>
      <c r="N184" s="50"/>
      <c r="O184" s="50"/>
    </row>
    <row r="185" spans="2:15" ht="21" thickBot="1" x14ac:dyDescent="0.35">
      <c r="D185" s="150"/>
      <c r="E185" s="150"/>
      <c r="G185" s="49"/>
      <c r="H185" s="151"/>
      <c r="I185" s="152"/>
      <c r="L185" s="50"/>
      <c r="M185" s="50"/>
      <c r="N185" s="50"/>
      <c r="O185" s="50"/>
    </row>
    <row r="186" spans="2:15" ht="21" thickBot="1" x14ac:dyDescent="0.35">
      <c r="D186" s="150"/>
      <c r="E186" s="150"/>
      <c r="G186" s="49"/>
      <c r="H186" s="148">
        <f>SUM(D17,H20,H22,H24,H26)</f>
        <v>0</v>
      </c>
      <c r="I186" s="149" t="s">
        <v>159</v>
      </c>
      <c r="L186" s="50"/>
      <c r="M186" s="50"/>
      <c r="N186" s="50"/>
      <c r="O186" s="50"/>
    </row>
    <row r="187" spans="2:15" ht="15.75" thickBot="1" x14ac:dyDescent="0.3">
      <c r="B187" s="153"/>
      <c r="C187" s="154"/>
      <c r="G187" s="70"/>
      <c r="L187" s="50"/>
      <c r="M187" s="50"/>
      <c r="N187" s="50"/>
      <c r="O187" s="50"/>
    </row>
    <row r="188" spans="2:15" x14ac:dyDescent="0.25">
      <c r="B188" s="333" t="s">
        <v>160</v>
      </c>
      <c r="C188" s="334"/>
      <c r="D188" s="334"/>
      <c r="E188" s="334"/>
      <c r="F188" s="334"/>
      <c r="G188" s="334"/>
      <c r="H188" s="335"/>
      <c r="L188" s="50"/>
      <c r="M188" s="50"/>
      <c r="N188" s="50"/>
      <c r="O188" s="50"/>
    </row>
    <row r="189" spans="2:15" x14ac:dyDescent="0.25">
      <c r="B189" s="336"/>
      <c r="C189" s="337"/>
      <c r="D189" s="337"/>
      <c r="E189" s="337"/>
      <c r="F189" s="337"/>
      <c r="G189" s="337"/>
      <c r="H189" s="338"/>
      <c r="L189" s="55"/>
      <c r="M189" s="50"/>
      <c r="N189" s="50"/>
      <c r="O189" s="50"/>
    </row>
    <row r="190" spans="2:15" ht="15.75" thickBot="1" x14ac:dyDescent="0.3">
      <c r="B190" s="339"/>
      <c r="C190" s="340"/>
      <c r="D190" s="340"/>
      <c r="E190" s="340"/>
      <c r="F190" s="340"/>
      <c r="G190" s="340"/>
      <c r="H190" s="341"/>
      <c r="L190" s="55"/>
      <c r="M190" s="50"/>
      <c r="N190" s="50"/>
      <c r="O190" s="50"/>
    </row>
    <row r="191" spans="2:15" ht="15.75" thickBot="1" x14ac:dyDescent="0.3">
      <c r="B191" s="153"/>
      <c r="C191" s="154"/>
      <c r="G191" s="70"/>
      <c r="L191" s="55"/>
      <c r="M191" s="50"/>
      <c r="N191" s="50"/>
      <c r="O191" s="50"/>
    </row>
    <row r="192" spans="2:15" ht="16.5" thickBot="1" x14ac:dyDescent="0.3">
      <c r="B192" s="156" t="s">
        <v>1</v>
      </c>
      <c r="C192" s="157" t="s">
        <v>2</v>
      </c>
      <c r="D192" s="158" t="s">
        <v>3</v>
      </c>
      <c r="E192" s="35"/>
      <c r="F192" s="275" t="s">
        <v>4</v>
      </c>
      <c r="G192" s="159" t="s">
        <v>5</v>
      </c>
      <c r="H192" s="158" t="s">
        <v>6</v>
      </c>
      <c r="L192" s="160"/>
      <c r="M192" s="50"/>
      <c r="N192" s="50"/>
      <c r="O192" s="50"/>
    </row>
    <row r="193" spans="2:15" x14ac:dyDescent="0.25">
      <c r="B193" s="91" t="s">
        <v>161</v>
      </c>
      <c r="C193" s="161" t="s">
        <v>8</v>
      </c>
      <c r="D193" s="279"/>
      <c r="E193" s="36"/>
      <c r="F193" s="283" t="s">
        <v>224</v>
      </c>
      <c r="G193" s="162" t="s">
        <v>224</v>
      </c>
      <c r="H193" s="162" t="s">
        <v>224</v>
      </c>
      <c r="L193" s="55"/>
      <c r="M193" s="50"/>
      <c r="N193" s="50"/>
      <c r="O193" s="50"/>
    </row>
    <row r="194" spans="2:15" x14ac:dyDescent="0.25">
      <c r="B194" s="91" t="s">
        <v>161</v>
      </c>
      <c r="C194" s="161" t="s">
        <v>269</v>
      </c>
      <c r="D194" s="278"/>
      <c r="E194" s="36"/>
      <c r="F194" s="283" t="s">
        <v>224</v>
      </c>
      <c r="G194" s="162" t="s">
        <v>224</v>
      </c>
      <c r="H194" s="162" t="s">
        <v>224</v>
      </c>
      <c r="L194" s="55"/>
      <c r="M194" s="50"/>
      <c r="N194" s="50"/>
      <c r="O194" s="50"/>
    </row>
    <row r="195" spans="2:15" x14ac:dyDescent="0.25">
      <c r="B195" s="63" t="s">
        <v>162</v>
      </c>
      <c r="C195" s="163" t="s">
        <v>242</v>
      </c>
      <c r="D195" s="266"/>
      <c r="E195" s="36"/>
      <c r="F195" s="284" t="s">
        <v>224</v>
      </c>
      <c r="G195" s="165" t="s">
        <v>224</v>
      </c>
      <c r="H195" s="165" t="s">
        <v>224</v>
      </c>
      <c r="L195" s="55"/>
      <c r="M195" s="50"/>
      <c r="N195" s="50"/>
      <c r="O195" s="50"/>
    </row>
    <row r="196" spans="2:15" x14ac:dyDescent="0.25">
      <c r="B196" s="63" t="s">
        <v>163</v>
      </c>
      <c r="C196" s="163" t="s">
        <v>257</v>
      </c>
      <c r="D196" s="280"/>
      <c r="E196" s="37"/>
      <c r="F196" s="284" t="s">
        <v>224</v>
      </c>
      <c r="G196" s="165" t="s">
        <v>224</v>
      </c>
      <c r="H196" s="165" t="s">
        <v>224</v>
      </c>
      <c r="L196" s="55"/>
      <c r="M196" s="50"/>
      <c r="N196" s="50"/>
      <c r="O196" s="50"/>
    </row>
    <row r="197" spans="2:15" x14ac:dyDescent="0.25">
      <c r="B197" s="63" t="s">
        <v>163</v>
      </c>
      <c r="C197" s="163" t="s">
        <v>258</v>
      </c>
      <c r="D197" s="280"/>
      <c r="E197" s="37"/>
      <c r="F197" s="284" t="s">
        <v>224</v>
      </c>
      <c r="G197" s="165" t="s">
        <v>224</v>
      </c>
      <c r="H197" s="165" t="s">
        <v>224</v>
      </c>
      <c r="L197" s="55"/>
      <c r="M197" s="50"/>
      <c r="N197" s="50"/>
      <c r="O197" s="50"/>
    </row>
    <row r="198" spans="2:15" x14ac:dyDescent="0.25">
      <c r="B198" s="63" t="s">
        <v>164</v>
      </c>
      <c r="C198" s="163" t="s">
        <v>12</v>
      </c>
      <c r="D198" s="14"/>
      <c r="E198" s="37"/>
      <c r="F198" s="284" t="s">
        <v>224</v>
      </c>
      <c r="G198" s="165" t="s">
        <v>224</v>
      </c>
      <c r="H198" s="165" t="s">
        <v>224</v>
      </c>
      <c r="L198" s="50"/>
      <c r="M198" s="50"/>
      <c r="N198" s="50"/>
      <c r="O198" s="50"/>
    </row>
    <row r="199" spans="2:15" x14ac:dyDescent="0.25">
      <c r="B199" s="63" t="s">
        <v>165</v>
      </c>
      <c r="C199" s="163" t="s">
        <v>14</v>
      </c>
      <c r="D199" s="7"/>
      <c r="E199" s="36"/>
      <c r="F199" s="284" t="s">
        <v>224</v>
      </c>
      <c r="G199" s="166">
        <v>11285254.932984222</v>
      </c>
      <c r="H199" s="166">
        <f t="shared" ref="H199:H206" si="5">D199*G199</f>
        <v>0</v>
      </c>
      <c r="L199" s="50"/>
      <c r="M199" s="50"/>
      <c r="N199" s="50"/>
      <c r="O199" s="50"/>
    </row>
    <row r="200" spans="2:15" x14ac:dyDescent="0.25">
      <c r="B200" s="63" t="s">
        <v>165</v>
      </c>
      <c r="C200" s="163" t="s">
        <v>15</v>
      </c>
      <c r="D200" s="17"/>
      <c r="E200" s="36"/>
      <c r="F200" s="284" t="s">
        <v>224</v>
      </c>
      <c r="G200" s="166">
        <v>1876112.8422851325</v>
      </c>
      <c r="H200" s="166">
        <f t="shared" si="5"/>
        <v>0</v>
      </c>
      <c r="L200" s="50"/>
      <c r="M200" s="50"/>
      <c r="N200" s="50"/>
      <c r="O200" s="50"/>
    </row>
    <row r="201" spans="2:15" x14ac:dyDescent="0.25">
      <c r="B201" s="63" t="s">
        <v>165</v>
      </c>
      <c r="C201" s="163" t="s">
        <v>16</v>
      </c>
      <c r="D201" s="7"/>
      <c r="E201" s="36"/>
      <c r="F201" s="284" t="s">
        <v>224</v>
      </c>
      <c r="G201" s="166">
        <v>0</v>
      </c>
      <c r="H201" s="167">
        <f t="shared" si="5"/>
        <v>0</v>
      </c>
      <c r="L201" s="50"/>
      <c r="M201" s="50"/>
      <c r="N201" s="50"/>
      <c r="O201" s="50"/>
    </row>
    <row r="202" spans="2:15" x14ac:dyDescent="0.25">
      <c r="B202" s="63" t="s">
        <v>165</v>
      </c>
      <c r="C202" s="163" t="s">
        <v>17</v>
      </c>
      <c r="D202" s="17"/>
      <c r="E202" s="36"/>
      <c r="F202" s="284" t="s">
        <v>224</v>
      </c>
      <c r="G202" s="166">
        <v>0</v>
      </c>
      <c r="H202" s="167">
        <f t="shared" si="5"/>
        <v>0</v>
      </c>
      <c r="L202" s="50"/>
      <c r="M202" s="50"/>
      <c r="N202" s="50"/>
      <c r="O202" s="50"/>
    </row>
    <row r="203" spans="2:15" x14ac:dyDescent="0.25">
      <c r="B203" s="63" t="s">
        <v>166</v>
      </c>
      <c r="C203" s="163" t="s">
        <v>19</v>
      </c>
      <c r="D203" s="7"/>
      <c r="E203" s="36"/>
      <c r="F203" s="284" t="s">
        <v>224</v>
      </c>
      <c r="G203" s="166">
        <v>10116176.73786154</v>
      </c>
      <c r="H203" s="167">
        <f t="shared" si="5"/>
        <v>0</v>
      </c>
      <c r="L203" s="50"/>
      <c r="M203" s="50"/>
      <c r="N203" s="50"/>
      <c r="O203" s="50"/>
    </row>
    <row r="204" spans="2:15" x14ac:dyDescent="0.25">
      <c r="B204" s="63" t="s">
        <v>166</v>
      </c>
      <c r="C204" s="163" t="s">
        <v>20</v>
      </c>
      <c r="D204" s="17"/>
      <c r="E204" s="36"/>
      <c r="F204" s="284" t="s">
        <v>224</v>
      </c>
      <c r="G204" s="166">
        <v>786782.44169178267</v>
      </c>
      <c r="H204" s="167">
        <f t="shared" si="5"/>
        <v>0</v>
      </c>
      <c r="L204" s="50"/>
      <c r="M204" s="50"/>
      <c r="N204" s="50"/>
      <c r="O204" s="50"/>
    </row>
    <row r="205" spans="2:15" x14ac:dyDescent="0.25">
      <c r="B205" s="63" t="s">
        <v>167</v>
      </c>
      <c r="C205" s="163" t="s">
        <v>22</v>
      </c>
      <c r="D205" s="7"/>
      <c r="E205" s="36"/>
      <c r="F205" s="284" t="s">
        <v>224</v>
      </c>
      <c r="G205" s="166">
        <v>2096182818.6838796</v>
      </c>
      <c r="H205" s="167">
        <f t="shared" si="5"/>
        <v>0</v>
      </c>
      <c r="L205" s="50"/>
      <c r="M205" s="50"/>
      <c r="N205" s="50"/>
      <c r="O205" s="50"/>
    </row>
    <row r="206" spans="2:15" ht="15.75" thickBot="1" x14ac:dyDescent="0.3">
      <c r="B206" s="102" t="s">
        <v>167</v>
      </c>
      <c r="C206" s="168" t="s">
        <v>23</v>
      </c>
      <c r="D206" s="18"/>
      <c r="E206" s="36"/>
      <c r="F206" s="285" t="s">
        <v>224</v>
      </c>
      <c r="G206" s="170">
        <v>306852595.44178581</v>
      </c>
      <c r="H206" s="171">
        <f t="shared" si="5"/>
        <v>0</v>
      </c>
      <c r="I206" s="70"/>
      <c r="L206" s="50"/>
      <c r="M206" s="50"/>
      <c r="N206" s="50"/>
      <c r="O206" s="50"/>
    </row>
    <row r="207" spans="2:15" ht="15.75" thickBot="1" x14ac:dyDescent="0.3">
      <c r="B207" s="172" t="s">
        <v>168</v>
      </c>
      <c r="C207" s="173" t="s">
        <v>254</v>
      </c>
      <c r="D207" s="174"/>
      <c r="E207" s="38"/>
      <c r="F207" s="275" t="s">
        <v>4</v>
      </c>
      <c r="G207" s="159" t="s">
        <v>5</v>
      </c>
      <c r="H207" s="158" t="s">
        <v>6</v>
      </c>
      <c r="L207" s="50"/>
      <c r="M207" s="50"/>
      <c r="N207" s="50"/>
      <c r="O207" s="50"/>
    </row>
    <row r="208" spans="2:15" x14ac:dyDescent="0.25">
      <c r="B208" s="175" t="s">
        <v>168</v>
      </c>
      <c r="C208" s="176" t="s">
        <v>223</v>
      </c>
      <c r="D208" s="177" t="s">
        <v>224</v>
      </c>
      <c r="E208" s="35"/>
      <c r="F208" s="178">
        <v>0.65030674846625769</v>
      </c>
      <c r="G208" s="179" t="s">
        <v>224</v>
      </c>
      <c r="H208" s="179" t="s">
        <v>224</v>
      </c>
      <c r="L208" s="50"/>
      <c r="M208" s="55"/>
      <c r="N208" s="50"/>
      <c r="O208" s="50"/>
    </row>
    <row r="209" spans="2:15" x14ac:dyDescent="0.25">
      <c r="B209" s="63" t="s">
        <v>168</v>
      </c>
      <c r="C209" s="64" t="s">
        <v>25</v>
      </c>
      <c r="D209" s="4"/>
      <c r="E209" s="36"/>
      <c r="F209" s="180">
        <v>8.5889570552147243E-2</v>
      </c>
      <c r="G209" s="166">
        <f>G203+G205</f>
        <v>2106298995.4217412</v>
      </c>
      <c r="H209" s="167">
        <f t="shared" ref="H209:H232" si="6">D209*F209*G209</f>
        <v>0</v>
      </c>
      <c r="I209" s="82"/>
      <c r="L209" s="50"/>
      <c r="M209" s="50"/>
      <c r="N209" s="50"/>
      <c r="O209" s="50"/>
    </row>
    <row r="210" spans="2:15" x14ac:dyDescent="0.25">
      <c r="B210" s="63" t="s">
        <v>168</v>
      </c>
      <c r="C210" s="64" t="s">
        <v>26</v>
      </c>
      <c r="D210" s="4"/>
      <c r="E210" s="36"/>
      <c r="F210" s="180">
        <v>4.9079754601226995E-2</v>
      </c>
      <c r="G210" s="166">
        <f>G203+G205</f>
        <v>2106298995.4217412</v>
      </c>
      <c r="H210" s="167">
        <f t="shared" si="6"/>
        <v>0</v>
      </c>
      <c r="L210" s="50"/>
      <c r="M210" s="50"/>
      <c r="N210" s="50"/>
      <c r="O210" s="50"/>
    </row>
    <row r="211" spans="2:15" x14ac:dyDescent="0.25">
      <c r="B211" s="63" t="s">
        <v>168</v>
      </c>
      <c r="C211" s="64" t="s">
        <v>27</v>
      </c>
      <c r="D211" s="4"/>
      <c r="E211" s="36"/>
      <c r="F211" s="180">
        <v>4.9079754601226995E-2</v>
      </c>
      <c r="G211" s="166">
        <f>G203+G205</f>
        <v>2106298995.4217412</v>
      </c>
      <c r="H211" s="167">
        <f t="shared" si="6"/>
        <v>0</v>
      </c>
      <c r="L211" s="50"/>
      <c r="M211" s="50"/>
      <c r="N211" s="50"/>
      <c r="O211" s="50"/>
    </row>
    <row r="212" spans="2:15" x14ac:dyDescent="0.25">
      <c r="B212" s="63" t="s">
        <v>168</v>
      </c>
      <c r="C212" s="64" t="s">
        <v>28</v>
      </c>
      <c r="D212" s="4"/>
      <c r="E212" s="36"/>
      <c r="F212" s="180">
        <v>1.2269938650306749E-2</v>
      </c>
      <c r="G212" s="166">
        <f>G203+G205</f>
        <v>2106298995.4217412</v>
      </c>
      <c r="H212" s="167">
        <f t="shared" si="6"/>
        <v>0</v>
      </c>
      <c r="L212" s="50"/>
      <c r="M212" s="50"/>
      <c r="N212" s="50"/>
      <c r="O212" s="50"/>
    </row>
    <row r="213" spans="2:15" x14ac:dyDescent="0.25">
      <c r="B213" s="63" t="s">
        <v>168</v>
      </c>
      <c r="C213" s="64" t="s">
        <v>29</v>
      </c>
      <c r="D213" s="4"/>
      <c r="E213" s="36"/>
      <c r="F213" s="180">
        <v>1.2269938650306749E-2</v>
      </c>
      <c r="G213" s="166">
        <f>G203+G205</f>
        <v>2106298995.4217412</v>
      </c>
      <c r="H213" s="167">
        <f t="shared" si="6"/>
        <v>0</v>
      </c>
      <c r="L213" s="50"/>
      <c r="M213" s="50"/>
      <c r="N213" s="50"/>
      <c r="O213" s="50"/>
    </row>
    <row r="214" spans="2:15" x14ac:dyDescent="0.25">
      <c r="B214" s="63" t="s">
        <v>168</v>
      </c>
      <c r="C214" s="64" t="s">
        <v>30</v>
      </c>
      <c r="D214" s="4"/>
      <c r="E214" s="36"/>
      <c r="F214" s="180">
        <v>6.1349693251533744E-3</v>
      </c>
      <c r="G214" s="166">
        <f>G203+G205</f>
        <v>2106298995.4217412</v>
      </c>
      <c r="H214" s="167">
        <f t="shared" si="6"/>
        <v>0</v>
      </c>
      <c r="L214" s="50"/>
      <c r="M214" s="50"/>
      <c r="N214" s="50"/>
      <c r="O214" s="50"/>
    </row>
    <row r="215" spans="2:15" x14ac:dyDescent="0.25">
      <c r="B215" s="63" t="s">
        <v>168</v>
      </c>
      <c r="C215" s="64" t="s">
        <v>31</v>
      </c>
      <c r="D215" s="4"/>
      <c r="E215" s="36"/>
      <c r="F215" s="180">
        <v>2.4539877300613498E-2</v>
      </c>
      <c r="G215" s="166">
        <f>G203+G205</f>
        <v>2106298995.4217412</v>
      </c>
      <c r="H215" s="167">
        <f t="shared" si="6"/>
        <v>0</v>
      </c>
      <c r="L215" s="50"/>
      <c r="M215" s="50"/>
      <c r="N215" s="50"/>
      <c r="O215" s="50"/>
    </row>
    <row r="216" spans="2:15" x14ac:dyDescent="0.25">
      <c r="B216" s="63" t="s">
        <v>168</v>
      </c>
      <c r="C216" s="64" t="s">
        <v>32</v>
      </c>
      <c r="D216" s="4"/>
      <c r="E216" s="36"/>
      <c r="F216" s="180">
        <v>6.1349693251533744E-3</v>
      </c>
      <c r="G216" s="166">
        <f>G203+G205</f>
        <v>2106298995.4217412</v>
      </c>
      <c r="H216" s="167">
        <f t="shared" si="6"/>
        <v>0</v>
      </c>
      <c r="L216" s="50"/>
      <c r="M216" s="50"/>
      <c r="N216" s="50"/>
      <c r="O216" s="50"/>
    </row>
    <row r="217" spans="2:15" x14ac:dyDescent="0.25">
      <c r="B217" s="63" t="s">
        <v>168</v>
      </c>
      <c r="C217" s="64" t="s">
        <v>33</v>
      </c>
      <c r="D217" s="4"/>
      <c r="E217" s="36"/>
      <c r="F217" s="180">
        <v>6.1349693251533744E-3</v>
      </c>
      <c r="G217" s="166">
        <f>G203+G205</f>
        <v>2106298995.4217412</v>
      </c>
      <c r="H217" s="167">
        <f t="shared" si="6"/>
        <v>0</v>
      </c>
      <c r="L217" s="50"/>
      <c r="M217" s="50"/>
      <c r="N217" s="50"/>
      <c r="O217" s="50"/>
    </row>
    <row r="218" spans="2:15" x14ac:dyDescent="0.25">
      <c r="B218" s="63" t="s">
        <v>168</v>
      </c>
      <c r="C218" s="64" t="s">
        <v>34</v>
      </c>
      <c r="D218" s="4"/>
      <c r="E218" s="36"/>
      <c r="F218" s="180">
        <v>6.1349693251533744E-3</v>
      </c>
      <c r="G218" s="166">
        <f>G203+G205</f>
        <v>2106298995.4217412</v>
      </c>
      <c r="H218" s="167">
        <f t="shared" si="6"/>
        <v>0</v>
      </c>
      <c r="L218" s="50"/>
      <c r="M218" s="50"/>
      <c r="N218" s="50"/>
      <c r="O218" s="50"/>
    </row>
    <row r="219" spans="2:15" x14ac:dyDescent="0.25">
      <c r="B219" s="63" t="s">
        <v>168</v>
      </c>
      <c r="C219" s="64" t="s">
        <v>35</v>
      </c>
      <c r="D219" s="4"/>
      <c r="E219" s="36"/>
      <c r="F219" s="180">
        <v>6.1349693251533744E-3</v>
      </c>
      <c r="G219" s="166">
        <f>G203+G205</f>
        <v>2106298995.4217412</v>
      </c>
      <c r="H219" s="167">
        <f t="shared" si="6"/>
        <v>0</v>
      </c>
      <c r="L219" s="50"/>
      <c r="M219" s="50"/>
      <c r="N219" s="50"/>
      <c r="O219" s="50"/>
    </row>
    <row r="220" spans="2:15" x14ac:dyDescent="0.25">
      <c r="B220" s="63" t="s">
        <v>168</v>
      </c>
      <c r="C220" s="64" t="s">
        <v>36</v>
      </c>
      <c r="D220" s="4"/>
      <c r="E220" s="36"/>
      <c r="F220" s="180">
        <v>6.1349693251533744E-3</v>
      </c>
      <c r="G220" s="166">
        <f>G203+G205</f>
        <v>2106298995.4217412</v>
      </c>
      <c r="H220" s="167">
        <f t="shared" si="6"/>
        <v>0</v>
      </c>
      <c r="L220" s="50"/>
      <c r="M220" s="50"/>
      <c r="N220" s="50"/>
      <c r="O220" s="50"/>
    </row>
    <row r="221" spans="2:15" x14ac:dyDescent="0.25">
      <c r="B221" s="63" t="s">
        <v>168</v>
      </c>
      <c r="C221" s="64" t="s">
        <v>37</v>
      </c>
      <c r="D221" s="4"/>
      <c r="E221" s="36"/>
      <c r="F221" s="180">
        <v>6.1349693251533744E-3</v>
      </c>
      <c r="G221" s="166">
        <f>G203+G205</f>
        <v>2106298995.4217412</v>
      </c>
      <c r="H221" s="167">
        <f t="shared" si="6"/>
        <v>0</v>
      </c>
      <c r="L221" s="50"/>
      <c r="M221" s="50"/>
      <c r="N221" s="50"/>
      <c r="O221" s="50"/>
    </row>
    <row r="222" spans="2:15" x14ac:dyDescent="0.25">
      <c r="B222" s="63" t="s">
        <v>168</v>
      </c>
      <c r="C222" s="64" t="s">
        <v>38</v>
      </c>
      <c r="D222" s="4"/>
      <c r="E222" s="36"/>
      <c r="F222" s="180">
        <v>6.1349693251533744E-3</v>
      </c>
      <c r="G222" s="166">
        <f>G203+G205</f>
        <v>2106298995.4217412</v>
      </c>
      <c r="H222" s="167">
        <f t="shared" si="6"/>
        <v>0</v>
      </c>
      <c r="L222" s="50"/>
      <c r="M222" s="50"/>
      <c r="N222" s="50"/>
      <c r="O222" s="50"/>
    </row>
    <row r="223" spans="2:15" x14ac:dyDescent="0.25">
      <c r="B223" s="63" t="s">
        <v>168</v>
      </c>
      <c r="C223" s="64" t="s">
        <v>39</v>
      </c>
      <c r="D223" s="4"/>
      <c r="E223" s="36"/>
      <c r="F223" s="180">
        <v>6.1349693251533744E-3</v>
      </c>
      <c r="G223" s="166">
        <f>G203+G205</f>
        <v>2106298995.4217412</v>
      </c>
      <c r="H223" s="167">
        <f t="shared" si="6"/>
        <v>0</v>
      </c>
      <c r="L223" s="50"/>
      <c r="M223" s="50"/>
      <c r="N223" s="50"/>
      <c r="O223" s="50"/>
    </row>
    <row r="224" spans="2:15" x14ac:dyDescent="0.25">
      <c r="B224" s="63" t="s">
        <v>168</v>
      </c>
      <c r="C224" s="64" t="s">
        <v>40</v>
      </c>
      <c r="D224" s="4"/>
      <c r="E224" s="36"/>
      <c r="F224" s="180">
        <v>6.1349693251533744E-3</v>
      </c>
      <c r="G224" s="166">
        <f>G203+G205</f>
        <v>2106298995.4217412</v>
      </c>
      <c r="H224" s="167">
        <f t="shared" si="6"/>
        <v>0</v>
      </c>
      <c r="L224" s="50"/>
      <c r="M224" s="50"/>
      <c r="N224" s="50"/>
      <c r="O224" s="50"/>
    </row>
    <row r="225" spans="2:15" x14ac:dyDescent="0.25">
      <c r="B225" s="63" t="s">
        <v>168</v>
      </c>
      <c r="C225" s="64" t="s">
        <v>41</v>
      </c>
      <c r="D225" s="4"/>
      <c r="E225" s="36"/>
      <c r="F225" s="180">
        <v>6.1349693251533744E-3</v>
      </c>
      <c r="G225" s="166">
        <f>G203+G205</f>
        <v>2106298995.4217412</v>
      </c>
      <c r="H225" s="167">
        <f t="shared" si="6"/>
        <v>0</v>
      </c>
      <c r="L225" s="50"/>
      <c r="M225" s="50"/>
      <c r="N225" s="50"/>
      <c r="O225" s="50"/>
    </row>
    <row r="226" spans="2:15" x14ac:dyDescent="0.25">
      <c r="B226" s="63" t="s">
        <v>168</v>
      </c>
      <c r="C226" s="64" t="s">
        <v>42</v>
      </c>
      <c r="D226" s="4"/>
      <c r="E226" s="36"/>
      <c r="F226" s="180">
        <v>6.1349693251533744E-3</v>
      </c>
      <c r="G226" s="166">
        <f>G203+G205</f>
        <v>2106298995.4217412</v>
      </c>
      <c r="H226" s="167">
        <f t="shared" si="6"/>
        <v>0</v>
      </c>
      <c r="L226" s="50"/>
      <c r="M226" s="50"/>
      <c r="N226" s="50"/>
      <c r="O226" s="50"/>
    </row>
    <row r="227" spans="2:15" x14ac:dyDescent="0.25">
      <c r="B227" s="63" t="s">
        <v>168</v>
      </c>
      <c r="C227" s="64" t="s">
        <v>43</v>
      </c>
      <c r="D227" s="4"/>
      <c r="E227" s="36"/>
      <c r="F227" s="180">
        <v>6.1349693251533744E-3</v>
      </c>
      <c r="G227" s="166">
        <f>G203+G205</f>
        <v>2106298995.4217412</v>
      </c>
      <c r="H227" s="167">
        <f t="shared" si="6"/>
        <v>0</v>
      </c>
      <c r="L227" s="50"/>
      <c r="M227" s="50"/>
      <c r="N227" s="50"/>
      <c r="O227" s="50"/>
    </row>
    <row r="228" spans="2:15" x14ac:dyDescent="0.25">
      <c r="B228" s="63" t="s">
        <v>168</v>
      </c>
      <c r="C228" s="64" t="s">
        <v>44</v>
      </c>
      <c r="D228" s="4"/>
      <c r="E228" s="36"/>
      <c r="F228" s="180">
        <v>1.2269938650306749E-2</v>
      </c>
      <c r="G228" s="166">
        <f>G203+G205</f>
        <v>2106298995.4217412</v>
      </c>
      <c r="H228" s="167">
        <f t="shared" si="6"/>
        <v>0</v>
      </c>
      <c r="L228" s="50"/>
      <c r="M228" s="50"/>
      <c r="N228" s="50"/>
      <c r="O228" s="50"/>
    </row>
    <row r="229" spans="2:15" x14ac:dyDescent="0.25">
      <c r="B229" s="63" t="s">
        <v>168</v>
      </c>
      <c r="C229" s="64" t="s">
        <v>45</v>
      </c>
      <c r="D229" s="4"/>
      <c r="E229" s="36"/>
      <c r="F229" s="180">
        <v>6.1349693251533744E-3</v>
      </c>
      <c r="G229" s="166">
        <f>G203+G205</f>
        <v>2106298995.4217412</v>
      </c>
      <c r="H229" s="167">
        <f t="shared" si="6"/>
        <v>0</v>
      </c>
      <c r="L229" s="50"/>
      <c r="M229" s="50"/>
      <c r="N229" s="50"/>
      <c r="O229" s="50"/>
    </row>
    <row r="230" spans="2:15" x14ac:dyDescent="0.25">
      <c r="B230" s="63" t="s">
        <v>168</v>
      </c>
      <c r="C230" s="64" t="s">
        <v>46</v>
      </c>
      <c r="D230" s="4"/>
      <c r="E230" s="36"/>
      <c r="F230" s="180">
        <v>6.1349693251533744E-3</v>
      </c>
      <c r="G230" s="166">
        <f>G203+G205</f>
        <v>2106298995.4217412</v>
      </c>
      <c r="H230" s="167">
        <f t="shared" si="6"/>
        <v>0</v>
      </c>
      <c r="L230" s="50"/>
      <c r="M230" s="50"/>
      <c r="N230" s="50"/>
      <c r="O230" s="50"/>
    </row>
    <row r="231" spans="2:15" x14ac:dyDescent="0.25">
      <c r="B231" s="63" t="s">
        <v>168</v>
      </c>
      <c r="C231" s="64" t="s">
        <v>47</v>
      </c>
      <c r="D231" s="4"/>
      <c r="E231" s="36"/>
      <c r="F231" s="180">
        <v>6.1349693251533744E-3</v>
      </c>
      <c r="G231" s="166">
        <f>G203+G205</f>
        <v>2106298995.4217412</v>
      </c>
      <c r="H231" s="167">
        <f t="shared" si="6"/>
        <v>0</v>
      </c>
      <c r="L231" s="50"/>
      <c r="M231" s="50"/>
      <c r="N231" s="50"/>
      <c r="O231" s="50"/>
    </row>
    <row r="232" spans="2:15" ht="15.75" thickBot="1" x14ac:dyDescent="0.3">
      <c r="B232" s="84" t="s">
        <v>168</v>
      </c>
      <c r="C232" s="67" t="s">
        <v>48</v>
      </c>
      <c r="D232" s="11"/>
      <c r="E232" s="36"/>
      <c r="F232" s="181">
        <v>6.1349693251533744E-3</v>
      </c>
      <c r="G232" s="170">
        <f>G203+G205</f>
        <v>2106298995.4217412</v>
      </c>
      <c r="H232" s="171">
        <f t="shared" si="6"/>
        <v>0</v>
      </c>
      <c r="I232" s="94"/>
      <c r="L232" s="50"/>
      <c r="M232" s="50"/>
      <c r="N232" s="50"/>
      <c r="O232" s="50"/>
    </row>
    <row r="233" spans="2:15" ht="15.75" thickBot="1" x14ac:dyDescent="0.3">
      <c r="B233" s="182" t="s">
        <v>169</v>
      </c>
      <c r="C233" s="173" t="s">
        <v>50</v>
      </c>
      <c r="D233" s="174"/>
      <c r="E233" s="38"/>
      <c r="F233" s="275" t="s">
        <v>4</v>
      </c>
      <c r="G233" s="159" t="s">
        <v>5</v>
      </c>
      <c r="H233" s="158" t="s">
        <v>6</v>
      </c>
      <c r="I233" s="94"/>
      <c r="L233" s="50"/>
      <c r="M233" s="50"/>
      <c r="N233" s="50"/>
      <c r="O233" s="50"/>
    </row>
    <row r="234" spans="2:15" x14ac:dyDescent="0.25">
      <c r="B234" s="63" t="s">
        <v>169</v>
      </c>
      <c r="C234" s="61" t="s">
        <v>51</v>
      </c>
      <c r="D234" s="9"/>
      <c r="E234" s="36"/>
      <c r="F234" s="183">
        <v>4.2253521126760563E-2</v>
      </c>
      <c r="G234" s="184">
        <f>G205</f>
        <v>2096182818.6838796</v>
      </c>
      <c r="H234" s="185">
        <f>D234*F234*G234</f>
        <v>0</v>
      </c>
      <c r="I234" s="94"/>
      <c r="L234" s="50"/>
      <c r="M234" s="50"/>
      <c r="N234" s="50"/>
      <c r="O234" s="50"/>
    </row>
    <row r="235" spans="2:15" x14ac:dyDescent="0.25">
      <c r="B235" s="63" t="s">
        <v>169</v>
      </c>
      <c r="C235" s="64" t="s">
        <v>52</v>
      </c>
      <c r="D235" s="7"/>
      <c r="E235" s="36"/>
      <c r="F235" s="186">
        <v>0.14084507042253522</v>
      </c>
      <c r="G235" s="166">
        <f>G205</f>
        <v>2096182818.6838796</v>
      </c>
      <c r="H235" s="167">
        <f>D235*F235*G235</f>
        <v>0</v>
      </c>
      <c r="I235" s="94"/>
      <c r="L235" s="50"/>
      <c r="M235" s="50"/>
      <c r="N235" s="50"/>
      <c r="O235" s="50"/>
    </row>
    <row r="236" spans="2:15" x14ac:dyDescent="0.25">
      <c r="B236" s="63" t="s">
        <v>169</v>
      </c>
      <c r="C236" s="64" t="s">
        <v>53</v>
      </c>
      <c r="D236" s="7"/>
      <c r="E236" s="36"/>
      <c r="F236" s="186">
        <v>0.14084507042253522</v>
      </c>
      <c r="G236" s="166">
        <f>G205</f>
        <v>2096182818.6838796</v>
      </c>
      <c r="H236" s="167">
        <f>D236*F236*G236</f>
        <v>0</v>
      </c>
      <c r="I236" s="94"/>
      <c r="L236" s="50"/>
      <c r="M236" s="50"/>
      <c r="N236" s="50"/>
      <c r="O236" s="50"/>
    </row>
    <row r="237" spans="2:15" x14ac:dyDescent="0.25">
      <c r="B237" s="63" t="s">
        <v>169</v>
      </c>
      <c r="C237" s="64" t="s">
        <v>54</v>
      </c>
      <c r="D237" s="7"/>
      <c r="E237" s="36"/>
      <c r="F237" s="186">
        <v>0.12676056338028169</v>
      </c>
      <c r="G237" s="166">
        <f>G205</f>
        <v>2096182818.6838796</v>
      </c>
      <c r="H237" s="167">
        <f>D237*F237*G237</f>
        <v>0</v>
      </c>
      <c r="I237" s="94"/>
      <c r="L237" s="50"/>
      <c r="M237" s="50"/>
      <c r="N237" s="50"/>
      <c r="O237" s="50"/>
    </row>
    <row r="238" spans="2:15" ht="15.75" thickBot="1" x14ac:dyDescent="0.3">
      <c r="B238" s="102" t="s">
        <v>169</v>
      </c>
      <c r="C238" s="103" t="s">
        <v>55</v>
      </c>
      <c r="D238" s="187" t="s">
        <v>224</v>
      </c>
      <c r="E238" s="39"/>
      <c r="F238" s="188">
        <v>0.54929577464788737</v>
      </c>
      <c r="G238" s="189" t="s">
        <v>224</v>
      </c>
      <c r="H238" s="190" t="s">
        <v>224</v>
      </c>
      <c r="I238" s="94"/>
      <c r="L238" s="50"/>
      <c r="M238" s="50"/>
      <c r="N238" s="50"/>
      <c r="O238" s="50"/>
    </row>
    <row r="239" spans="2:15" ht="15.75" thickBot="1" x14ac:dyDescent="0.3">
      <c r="B239" s="172" t="s">
        <v>170</v>
      </c>
      <c r="C239" s="173" t="s">
        <v>57</v>
      </c>
      <c r="D239" s="174"/>
      <c r="E239" s="38"/>
      <c r="F239" s="275" t="s">
        <v>4</v>
      </c>
      <c r="G239" s="159" t="s">
        <v>5</v>
      </c>
      <c r="H239" s="158" t="s">
        <v>6</v>
      </c>
      <c r="I239" s="94"/>
      <c r="L239" s="50"/>
      <c r="M239" s="50"/>
      <c r="N239" s="50"/>
      <c r="O239" s="50"/>
    </row>
    <row r="240" spans="2:15" ht="15.75" thickBot="1" x14ac:dyDescent="0.3">
      <c r="B240" s="60" t="s">
        <v>170</v>
      </c>
      <c r="C240" s="61" t="s">
        <v>58</v>
      </c>
      <c r="D240" s="9"/>
      <c r="E240" s="36"/>
      <c r="F240" s="286" t="s">
        <v>224</v>
      </c>
      <c r="G240" s="191" t="s">
        <v>224</v>
      </c>
      <c r="H240" s="191" t="s">
        <v>224</v>
      </c>
      <c r="I240" s="94"/>
      <c r="L240" s="50"/>
      <c r="M240" s="50"/>
      <c r="N240" s="50"/>
      <c r="O240" s="50"/>
    </row>
    <row r="241" spans="2:15" ht="15.75" thickBot="1" x14ac:dyDescent="0.3">
      <c r="B241" s="63" t="s">
        <v>170</v>
      </c>
      <c r="C241" s="64" t="s">
        <v>59</v>
      </c>
      <c r="D241" s="9"/>
      <c r="E241" s="36"/>
      <c r="F241" s="287" t="s">
        <v>224</v>
      </c>
      <c r="G241" s="165" t="s">
        <v>224</v>
      </c>
      <c r="H241" s="165" t="s">
        <v>224</v>
      </c>
      <c r="I241" s="94"/>
      <c r="L241" s="50"/>
      <c r="M241" s="50"/>
      <c r="N241" s="50"/>
      <c r="O241" s="50"/>
    </row>
    <row r="242" spans="2:15" ht="15.75" thickBot="1" x14ac:dyDescent="0.3">
      <c r="B242" s="63" t="s">
        <v>170</v>
      </c>
      <c r="C242" s="64" t="s">
        <v>60</v>
      </c>
      <c r="D242" s="9"/>
      <c r="E242" s="36"/>
      <c r="F242" s="287" t="s">
        <v>224</v>
      </c>
      <c r="G242" s="165" t="s">
        <v>224</v>
      </c>
      <c r="H242" s="165" t="s">
        <v>224</v>
      </c>
      <c r="I242" s="94"/>
      <c r="L242" s="50"/>
      <c r="M242" s="50"/>
      <c r="N242" s="50"/>
      <c r="O242" s="50"/>
    </row>
    <row r="243" spans="2:15" ht="15.75" thickBot="1" x14ac:dyDescent="0.3">
      <c r="B243" s="63" t="s">
        <v>170</v>
      </c>
      <c r="C243" s="64" t="s">
        <v>61</v>
      </c>
      <c r="D243" s="9"/>
      <c r="E243" s="36"/>
      <c r="F243" s="287" t="s">
        <v>224</v>
      </c>
      <c r="G243" s="165" t="s">
        <v>224</v>
      </c>
      <c r="H243" s="165" t="s">
        <v>224</v>
      </c>
      <c r="I243" s="94"/>
      <c r="L243" s="50"/>
      <c r="M243" s="50"/>
      <c r="N243" s="50"/>
      <c r="O243" s="50"/>
    </row>
    <row r="244" spans="2:15" ht="15.75" thickBot="1" x14ac:dyDescent="0.3">
      <c r="B244" s="63" t="s">
        <v>170</v>
      </c>
      <c r="C244" s="64" t="s">
        <v>62</v>
      </c>
      <c r="D244" s="9"/>
      <c r="E244" s="36"/>
      <c r="F244" s="287" t="s">
        <v>224</v>
      </c>
      <c r="G244" s="165" t="s">
        <v>224</v>
      </c>
      <c r="H244" s="165" t="s">
        <v>224</v>
      </c>
      <c r="I244" s="94"/>
      <c r="L244" s="50"/>
      <c r="M244" s="50"/>
      <c r="N244" s="50"/>
      <c r="O244" s="50"/>
    </row>
    <row r="245" spans="2:15" ht="15.75" thickBot="1" x14ac:dyDescent="0.3">
      <c r="B245" s="63" t="s">
        <v>170</v>
      </c>
      <c r="C245" s="64" t="s">
        <v>63</v>
      </c>
      <c r="D245" s="9"/>
      <c r="E245" s="36"/>
      <c r="F245" s="287" t="s">
        <v>224</v>
      </c>
      <c r="G245" s="165" t="s">
        <v>224</v>
      </c>
      <c r="H245" s="165" t="s">
        <v>224</v>
      </c>
      <c r="I245" s="94"/>
      <c r="L245" s="50"/>
      <c r="M245" s="50"/>
      <c r="N245" s="50"/>
      <c r="O245" s="50"/>
    </row>
    <row r="246" spans="2:15" ht="15.75" thickBot="1" x14ac:dyDescent="0.3">
      <c r="B246" s="63" t="s">
        <v>170</v>
      </c>
      <c r="C246" s="79" t="s">
        <v>259</v>
      </c>
      <c r="D246" s="9"/>
      <c r="E246" s="36"/>
      <c r="F246" s="287" t="s">
        <v>224</v>
      </c>
      <c r="G246" s="165" t="s">
        <v>224</v>
      </c>
      <c r="H246" s="165" t="s">
        <v>224</v>
      </c>
      <c r="I246" s="94"/>
      <c r="L246" s="50"/>
      <c r="M246" s="50"/>
      <c r="N246" s="50"/>
      <c r="O246" s="50"/>
    </row>
    <row r="247" spans="2:15" ht="15.75" thickBot="1" x14ac:dyDescent="0.3">
      <c r="B247" s="63" t="s">
        <v>170</v>
      </c>
      <c r="C247" s="79" t="s">
        <v>260</v>
      </c>
      <c r="D247" s="9"/>
      <c r="E247" s="36"/>
      <c r="F247" s="287" t="s">
        <v>224</v>
      </c>
      <c r="G247" s="165" t="s">
        <v>224</v>
      </c>
      <c r="H247" s="165" t="s">
        <v>224</v>
      </c>
      <c r="I247" s="94"/>
      <c r="L247" s="50"/>
      <c r="M247" s="50"/>
      <c r="N247" s="50"/>
      <c r="O247" s="50"/>
    </row>
    <row r="248" spans="2:15" ht="15.75" thickBot="1" x14ac:dyDescent="0.3">
      <c r="B248" s="63" t="s">
        <v>170</v>
      </c>
      <c r="C248" s="79" t="s">
        <v>261</v>
      </c>
      <c r="D248" s="9"/>
      <c r="E248" s="36"/>
      <c r="F248" s="287" t="s">
        <v>224</v>
      </c>
      <c r="G248" s="165" t="s">
        <v>224</v>
      </c>
      <c r="H248" s="165" t="s">
        <v>224</v>
      </c>
      <c r="I248" s="94"/>
      <c r="L248" s="50"/>
      <c r="M248" s="50"/>
      <c r="N248" s="50"/>
      <c r="O248" s="50"/>
    </row>
    <row r="249" spans="2:15" ht="15.75" thickBot="1" x14ac:dyDescent="0.3">
      <c r="B249" s="63" t="s">
        <v>170</v>
      </c>
      <c r="C249" s="79" t="s">
        <v>262</v>
      </c>
      <c r="D249" s="9"/>
      <c r="E249" s="36"/>
      <c r="F249" s="287" t="s">
        <v>224</v>
      </c>
      <c r="G249" s="165" t="s">
        <v>224</v>
      </c>
      <c r="H249" s="165" t="s">
        <v>224</v>
      </c>
      <c r="I249" s="94"/>
      <c r="L249" s="50"/>
      <c r="M249" s="50"/>
      <c r="N249" s="50"/>
      <c r="O249" s="50"/>
    </row>
    <row r="250" spans="2:15" ht="15.75" thickBot="1" x14ac:dyDescent="0.3">
      <c r="B250" s="63" t="s">
        <v>170</v>
      </c>
      <c r="C250" s="79" t="s">
        <v>263</v>
      </c>
      <c r="D250" s="9"/>
      <c r="E250" s="36"/>
      <c r="F250" s="287" t="s">
        <v>224</v>
      </c>
      <c r="G250" s="165" t="s">
        <v>224</v>
      </c>
      <c r="H250" s="165" t="s">
        <v>224</v>
      </c>
      <c r="I250" s="94"/>
      <c r="L250" s="50"/>
      <c r="M250" s="50"/>
      <c r="N250" s="50"/>
      <c r="O250" s="50"/>
    </row>
    <row r="251" spans="2:15" ht="15.75" thickBot="1" x14ac:dyDescent="0.3">
      <c r="B251" s="63" t="s">
        <v>170</v>
      </c>
      <c r="C251" s="79" t="s">
        <v>264</v>
      </c>
      <c r="D251" s="9"/>
      <c r="E251" s="36"/>
      <c r="F251" s="287" t="s">
        <v>224</v>
      </c>
      <c r="G251" s="165" t="s">
        <v>224</v>
      </c>
      <c r="H251" s="165" t="s">
        <v>224</v>
      </c>
      <c r="I251" s="94"/>
      <c r="L251" s="50"/>
      <c r="M251" s="50"/>
      <c r="N251" s="50"/>
      <c r="O251" s="50"/>
    </row>
    <row r="252" spans="2:15" ht="15.75" thickBot="1" x14ac:dyDescent="0.3">
      <c r="B252" s="63" t="s">
        <v>170</v>
      </c>
      <c r="C252" s="85" t="s">
        <v>265</v>
      </c>
      <c r="D252" s="9"/>
      <c r="E252" s="36"/>
      <c r="F252" s="287" t="s">
        <v>224</v>
      </c>
      <c r="G252" s="165" t="s">
        <v>224</v>
      </c>
      <c r="H252" s="165" t="s">
        <v>224</v>
      </c>
      <c r="I252" s="94"/>
      <c r="L252" s="50"/>
      <c r="M252" s="50"/>
      <c r="N252" s="50"/>
      <c r="O252" s="50"/>
    </row>
    <row r="253" spans="2:15" ht="15.75" thickBot="1" x14ac:dyDescent="0.3">
      <c r="B253" s="172" t="s">
        <v>171</v>
      </c>
      <c r="C253" s="173" t="s">
        <v>65</v>
      </c>
      <c r="D253" s="174"/>
      <c r="E253" s="38"/>
      <c r="F253" s="275" t="s">
        <v>4</v>
      </c>
      <c r="G253" s="159" t="s">
        <v>5</v>
      </c>
      <c r="H253" s="158" t="s">
        <v>6</v>
      </c>
      <c r="I253" s="94"/>
      <c r="L253" s="50"/>
      <c r="M253" s="50"/>
      <c r="N253" s="50"/>
      <c r="O253" s="50"/>
    </row>
    <row r="254" spans="2:15" x14ac:dyDescent="0.25">
      <c r="B254" s="193" t="s">
        <v>171</v>
      </c>
      <c r="C254" s="194" t="s">
        <v>66</v>
      </c>
      <c r="D254" s="195"/>
      <c r="E254" s="40"/>
      <c r="F254" s="196">
        <v>0.88111888111888115</v>
      </c>
      <c r="G254" s="197" t="s">
        <v>224</v>
      </c>
      <c r="H254" s="179" t="s">
        <v>224</v>
      </c>
      <c r="I254" s="94"/>
      <c r="L254" s="50"/>
      <c r="M254" s="50"/>
      <c r="N254" s="50"/>
      <c r="O254" s="50"/>
    </row>
    <row r="255" spans="2:15" x14ac:dyDescent="0.25">
      <c r="B255" s="63" t="s">
        <v>171</v>
      </c>
      <c r="C255" s="64" t="s">
        <v>67</v>
      </c>
      <c r="D255" s="7"/>
      <c r="E255" s="36"/>
      <c r="F255" s="180">
        <v>6.9930069930069935E-2</v>
      </c>
      <c r="G255" s="166">
        <f>G205</f>
        <v>2096182818.6838796</v>
      </c>
      <c r="H255" s="167">
        <f>D255*F255*G255</f>
        <v>0</v>
      </c>
      <c r="I255" s="94"/>
      <c r="L255" s="50"/>
      <c r="M255" s="50"/>
      <c r="N255" s="50"/>
      <c r="O255" s="50"/>
    </row>
    <row r="256" spans="2:15" x14ac:dyDescent="0.25">
      <c r="B256" s="63" t="s">
        <v>171</v>
      </c>
      <c r="C256" s="64" t="s">
        <v>68</v>
      </c>
      <c r="D256" s="7"/>
      <c r="E256" s="36"/>
      <c r="F256" s="180">
        <v>4.195804195804196E-2</v>
      </c>
      <c r="G256" s="166">
        <f>G205</f>
        <v>2096182818.6838796</v>
      </c>
      <c r="H256" s="167">
        <f>D256*F256*G256</f>
        <v>0</v>
      </c>
      <c r="I256" s="94"/>
      <c r="L256" s="50"/>
      <c r="M256" s="50"/>
      <c r="N256" s="50"/>
      <c r="O256" s="50"/>
    </row>
    <row r="257" spans="2:15" ht="15.75" thickBot="1" x14ac:dyDescent="0.3">
      <c r="B257" s="84" t="s">
        <v>171</v>
      </c>
      <c r="C257" s="67" t="s">
        <v>69</v>
      </c>
      <c r="D257" s="10"/>
      <c r="E257" s="36"/>
      <c r="F257" s="181">
        <v>6.993006993006993E-3</v>
      </c>
      <c r="G257" s="170">
        <f>G205</f>
        <v>2096182818.6838796</v>
      </c>
      <c r="H257" s="171">
        <f>D257*F257*G257</f>
        <v>0</v>
      </c>
      <c r="I257" s="94"/>
      <c r="L257" s="50"/>
      <c r="M257" s="50"/>
      <c r="N257" s="50"/>
      <c r="O257" s="50"/>
    </row>
    <row r="258" spans="2:15" ht="15.75" thickBot="1" x14ac:dyDescent="0.3">
      <c r="B258" s="172" t="s">
        <v>172</v>
      </c>
      <c r="C258" s="173" t="s">
        <v>71</v>
      </c>
      <c r="D258" s="174"/>
      <c r="E258" s="38"/>
      <c r="F258" s="275" t="s">
        <v>4</v>
      </c>
      <c r="G258" s="159" t="s">
        <v>5</v>
      </c>
      <c r="H258" s="158" t="s">
        <v>6</v>
      </c>
      <c r="I258" s="94"/>
      <c r="L258" s="50"/>
      <c r="M258" s="50"/>
      <c r="N258" s="50"/>
      <c r="O258" s="50"/>
    </row>
    <row r="259" spans="2:15" x14ac:dyDescent="0.25">
      <c r="B259" s="60" t="s">
        <v>172</v>
      </c>
      <c r="C259" s="61" t="s">
        <v>72</v>
      </c>
      <c r="D259" s="198" t="s">
        <v>224</v>
      </c>
      <c r="E259" s="39"/>
      <c r="F259" s="199">
        <v>0.89743589743589747</v>
      </c>
      <c r="G259" s="197" t="s">
        <v>224</v>
      </c>
      <c r="H259" s="179" t="s">
        <v>224</v>
      </c>
      <c r="I259" s="94"/>
      <c r="L259" s="50"/>
      <c r="M259" s="50"/>
      <c r="N259" s="50"/>
      <c r="O259" s="50"/>
    </row>
    <row r="260" spans="2:15" x14ac:dyDescent="0.25">
      <c r="B260" s="63" t="s">
        <v>172</v>
      </c>
      <c r="C260" s="64" t="s">
        <v>73</v>
      </c>
      <c r="D260" s="7"/>
      <c r="E260" s="36"/>
      <c r="F260" s="200">
        <v>1.282051282051282E-2</v>
      </c>
      <c r="G260" s="166">
        <f>G205</f>
        <v>2096182818.6838796</v>
      </c>
      <c r="H260" s="167">
        <f t="shared" ref="H260:H274" si="7">D260*F260*G260</f>
        <v>0</v>
      </c>
      <c r="I260" s="94"/>
      <c r="L260" s="50"/>
      <c r="M260" s="50"/>
      <c r="N260" s="50"/>
      <c r="O260" s="50"/>
    </row>
    <row r="261" spans="2:15" x14ac:dyDescent="0.25">
      <c r="B261" s="63" t="s">
        <v>172</v>
      </c>
      <c r="C261" s="64" t="s">
        <v>74</v>
      </c>
      <c r="D261" s="7"/>
      <c r="E261" s="36"/>
      <c r="F261" s="200">
        <v>6.41025641025641E-3</v>
      </c>
      <c r="G261" s="166">
        <f>G205</f>
        <v>2096182818.6838796</v>
      </c>
      <c r="H261" s="167">
        <f t="shared" si="7"/>
        <v>0</v>
      </c>
      <c r="L261" s="50"/>
      <c r="M261" s="50"/>
      <c r="N261" s="50"/>
      <c r="O261" s="50"/>
    </row>
    <row r="262" spans="2:15" x14ac:dyDescent="0.25">
      <c r="B262" s="63" t="s">
        <v>172</v>
      </c>
      <c r="C262" s="64" t="s">
        <v>75</v>
      </c>
      <c r="D262" s="7"/>
      <c r="E262" s="36"/>
      <c r="F262" s="200">
        <v>6.41025641025641E-3</v>
      </c>
      <c r="G262" s="166">
        <f>G205</f>
        <v>2096182818.6838796</v>
      </c>
      <c r="H262" s="167">
        <f t="shared" si="7"/>
        <v>0</v>
      </c>
      <c r="L262" s="50"/>
      <c r="M262" s="50"/>
      <c r="N262" s="50"/>
      <c r="O262" s="50"/>
    </row>
    <row r="263" spans="2:15" x14ac:dyDescent="0.25">
      <c r="B263" s="63" t="s">
        <v>172</v>
      </c>
      <c r="C263" s="64" t="s">
        <v>76</v>
      </c>
      <c r="D263" s="7"/>
      <c r="E263" s="36"/>
      <c r="F263" s="200">
        <v>6.41025641025641E-3</v>
      </c>
      <c r="G263" s="166">
        <f>G205</f>
        <v>2096182818.6838796</v>
      </c>
      <c r="H263" s="167">
        <f t="shared" si="7"/>
        <v>0</v>
      </c>
      <c r="L263" s="50"/>
      <c r="M263" s="50"/>
      <c r="N263" s="50"/>
      <c r="O263" s="50"/>
    </row>
    <row r="264" spans="2:15" x14ac:dyDescent="0.25">
      <c r="B264" s="63" t="s">
        <v>172</v>
      </c>
      <c r="C264" s="64" t="s">
        <v>77</v>
      </c>
      <c r="D264" s="7"/>
      <c r="E264" s="36"/>
      <c r="F264" s="200">
        <v>6.41025641025641E-3</v>
      </c>
      <c r="G264" s="166">
        <f>G205</f>
        <v>2096182818.6838796</v>
      </c>
      <c r="H264" s="167">
        <f t="shared" si="7"/>
        <v>0</v>
      </c>
      <c r="L264" s="50"/>
      <c r="M264" s="50"/>
      <c r="N264" s="50"/>
      <c r="O264" s="50"/>
    </row>
    <row r="265" spans="2:15" x14ac:dyDescent="0.25">
      <c r="B265" s="63" t="s">
        <v>172</v>
      </c>
      <c r="C265" s="64" t="s">
        <v>78</v>
      </c>
      <c r="D265" s="7"/>
      <c r="E265" s="36"/>
      <c r="F265" s="200">
        <v>6.41025641025641E-3</v>
      </c>
      <c r="G265" s="166">
        <f>G205</f>
        <v>2096182818.6838796</v>
      </c>
      <c r="H265" s="167">
        <f t="shared" si="7"/>
        <v>0</v>
      </c>
      <c r="L265" s="50"/>
      <c r="M265" s="50"/>
      <c r="N265" s="50"/>
      <c r="O265" s="50"/>
    </row>
    <row r="266" spans="2:15" x14ac:dyDescent="0.25">
      <c r="B266" s="63" t="s">
        <v>172</v>
      </c>
      <c r="C266" s="64" t="s">
        <v>79</v>
      </c>
      <c r="D266" s="7"/>
      <c r="E266" s="36"/>
      <c r="F266" s="200">
        <v>6.41025641025641E-3</v>
      </c>
      <c r="G266" s="166">
        <f>G205</f>
        <v>2096182818.6838796</v>
      </c>
      <c r="H266" s="167">
        <f t="shared" si="7"/>
        <v>0</v>
      </c>
      <c r="L266" s="50"/>
      <c r="M266" s="50"/>
      <c r="N266" s="50"/>
      <c r="O266" s="50"/>
    </row>
    <row r="267" spans="2:15" x14ac:dyDescent="0.25">
      <c r="B267" s="63" t="s">
        <v>172</v>
      </c>
      <c r="C267" s="64" t="s">
        <v>80</v>
      </c>
      <c r="D267" s="7"/>
      <c r="E267" s="36"/>
      <c r="F267" s="200">
        <v>6.41025641025641E-3</v>
      </c>
      <c r="G267" s="166">
        <f>G205</f>
        <v>2096182818.6838796</v>
      </c>
      <c r="H267" s="167">
        <f t="shared" si="7"/>
        <v>0</v>
      </c>
      <c r="L267" s="50"/>
      <c r="M267" s="50"/>
      <c r="N267" s="50"/>
      <c r="O267" s="50"/>
    </row>
    <row r="268" spans="2:15" x14ac:dyDescent="0.25">
      <c r="B268" s="63" t="s">
        <v>172</v>
      </c>
      <c r="C268" s="64" t="s">
        <v>81</v>
      </c>
      <c r="D268" s="7"/>
      <c r="E268" s="36"/>
      <c r="F268" s="200">
        <v>6.41025641025641E-3</v>
      </c>
      <c r="G268" s="166">
        <f>G205</f>
        <v>2096182818.6838796</v>
      </c>
      <c r="H268" s="167">
        <f t="shared" si="7"/>
        <v>0</v>
      </c>
      <c r="L268" s="50"/>
      <c r="M268" s="50"/>
      <c r="N268" s="50"/>
      <c r="O268" s="50"/>
    </row>
    <row r="269" spans="2:15" x14ac:dyDescent="0.25">
      <c r="B269" s="63" t="s">
        <v>172</v>
      </c>
      <c r="C269" s="64" t="s">
        <v>82</v>
      </c>
      <c r="D269" s="7"/>
      <c r="E269" s="36"/>
      <c r="F269" s="200">
        <v>6.41025641025641E-3</v>
      </c>
      <c r="G269" s="166">
        <f>G205</f>
        <v>2096182818.6838796</v>
      </c>
      <c r="H269" s="167">
        <f t="shared" si="7"/>
        <v>0</v>
      </c>
      <c r="L269" s="50"/>
      <c r="M269" s="50"/>
      <c r="N269" s="50"/>
      <c r="O269" s="50"/>
    </row>
    <row r="270" spans="2:15" x14ac:dyDescent="0.25">
      <c r="B270" s="63" t="s">
        <v>172</v>
      </c>
      <c r="C270" s="64" t="s">
        <v>83</v>
      </c>
      <c r="D270" s="7"/>
      <c r="E270" s="36"/>
      <c r="F270" s="200">
        <v>6.41025641025641E-3</v>
      </c>
      <c r="G270" s="166">
        <f>G205</f>
        <v>2096182818.6838796</v>
      </c>
      <c r="H270" s="167">
        <f t="shared" si="7"/>
        <v>0</v>
      </c>
      <c r="L270" s="50"/>
      <c r="M270" s="50"/>
      <c r="N270" s="50"/>
      <c r="O270" s="50"/>
    </row>
    <row r="271" spans="2:15" x14ac:dyDescent="0.25">
      <c r="B271" s="63" t="s">
        <v>172</v>
      </c>
      <c r="C271" s="64" t="s">
        <v>84</v>
      </c>
      <c r="D271" s="7"/>
      <c r="E271" s="36"/>
      <c r="F271" s="200">
        <v>6.41025641025641E-3</v>
      </c>
      <c r="G271" s="166">
        <f>G205</f>
        <v>2096182818.6838796</v>
      </c>
      <c r="H271" s="167">
        <f t="shared" si="7"/>
        <v>0</v>
      </c>
      <c r="L271" s="50"/>
      <c r="M271" s="50"/>
      <c r="N271" s="50"/>
      <c r="O271" s="50"/>
    </row>
    <row r="272" spans="2:15" x14ac:dyDescent="0.25">
      <c r="B272" s="63" t="s">
        <v>172</v>
      </c>
      <c r="C272" s="64" t="s">
        <v>85</v>
      </c>
      <c r="D272" s="7"/>
      <c r="E272" s="36"/>
      <c r="F272" s="200">
        <v>6.41025641025641E-3</v>
      </c>
      <c r="G272" s="166">
        <f>G205</f>
        <v>2096182818.6838796</v>
      </c>
      <c r="H272" s="167">
        <f t="shared" si="7"/>
        <v>0</v>
      </c>
      <c r="I272" s="94"/>
      <c r="L272" s="50"/>
      <c r="M272" s="50"/>
      <c r="N272" s="50"/>
      <c r="O272" s="50"/>
    </row>
    <row r="273" spans="2:15" x14ac:dyDescent="0.25">
      <c r="B273" s="63" t="s">
        <v>172</v>
      </c>
      <c r="C273" s="64" t="s">
        <v>86</v>
      </c>
      <c r="D273" s="7"/>
      <c r="E273" s="36"/>
      <c r="F273" s="200">
        <v>6.41025641025641E-3</v>
      </c>
      <c r="G273" s="166">
        <f>G205</f>
        <v>2096182818.6838796</v>
      </c>
      <c r="H273" s="167">
        <f t="shared" si="7"/>
        <v>0</v>
      </c>
      <c r="I273" s="94"/>
      <c r="L273" s="50"/>
      <c r="M273" s="50"/>
      <c r="N273" s="50"/>
      <c r="O273" s="50"/>
    </row>
    <row r="274" spans="2:15" ht="15.75" thickBot="1" x14ac:dyDescent="0.3">
      <c r="B274" s="84" t="s">
        <v>172</v>
      </c>
      <c r="C274" s="67" t="s">
        <v>87</v>
      </c>
      <c r="D274" s="10"/>
      <c r="E274" s="36"/>
      <c r="F274" s="201">
        <v>6.41025641025641E-3</v>
      </c>
      <c r="G274" s="170">
        <f>G205</f>
        <v>2096182818.6838796</v>
      </c>
      <c r="H274" s="171">
        <f t="shared" si="7"/>
        <v>0</v>
      </c>
      <c r="I274" s="94"/>
      <c r="L274" s="50"/>
      <c r="M274" s="50"/>
      <c r="N274" s="50"/>
      <c r="O274" s="50"/>
    </row>
    <row r="275" spans="2:15" ht="15.75" thickBot="1" x14ac:dyDescent="0.3">
      <c r="B275" s="172" t="s">
        <v>173</v>
      </c>
      <c r="C275" s="173" t="s">
        <v>89</v>
      </c>
      <c r="D275" s="174"/>
      <c r="E275" s="38"/>
      <c r="F275" s="275" t="s">
        <v>4</v>
      </c>
      <c r="G275" s="159" t="s">
        <v>5</v>
      </c>
      <c r="H275" s="158" t="s">
        <v>6</v>
      </c>
      <c r="I275" s="94"/>
      <c r="L275" s="50"/>
      <c r="M275" s="50"/>
      <c r="N275" s="50"/>
      <c r="O275" s="50"/>
    </row>
    <row r="276" spans="2:15" x14ac:dyDescent="0.25">
      <c r="B276" s="60" t="s">
        <v>173</v>
      </c>
      <c r="C276" s="61" t="s">
        <v>72</v>
      </c>
      <c r="D276" s="198" t="s">
        <v>224</v>
      </c>
      <c r="E276" s="39"/>
      <c r="F276" s="199">
        <v>0.91549295774647887</v>
      </c>
      <c r="G276" s="197" t="s">
        <v>224</v>
      </c>
      <c r="H276" s="179" t="s">
        <v>224</v>
      </c>
      <c r="I276" s="94"/>
      <c r="L276" s="50"/>
      <c r="M276" s="50"/>
      <c r="N276" s="50"/>
      <c r="O276" s="50"/>
    </row>
    <row r="277" spans="2:15" x14ac:dyDescent="0.25">
      <c r="B277" s="63" t="s">
        <v>173</v>
      </c>
      <c r="C277" s="64" t="s">
        <v>73</v>
      </c>
      <c r="D277" s="7"/>
      <c r="E277" s="36"/>
      <c r="F277" s="200">
        <v>2.8169014084507043E-2</v>
      </c>
      <c r="G277" s="166">
        <f>G205</f>
        <v>2096182818.6838796</v>
      </c>
      <c r="H277" s="167">
        <f t="shared" ref="H277:H291" si="8">D277*F277*G277</f>
        <v>0</v>
      </c>
      <c r="I277" s="94"/>
      <c r="L277" s="50"/>
      <c r="M277" s="50"/>
      <c r="N277" s="50"/>
      <c r="O277" s="50"/>
    </row>
    <row r="278" spans="2:15" x14ac:dyDescent="0.25">
      <c r="B278" s="63" t="s">
        <v>173</v>
      </c>
      <c r="C278" s="64" t="s">
        <v>74</v>
      </c>
      <c r="D278" s="7"/>
      <c r="E278" s="36"/>
      <c r="F278" s="200">
        <v>1.4084507042253521E-2</v>
      </c>
      <c r="G278" s="166">
        <f>G205</f>
        <v>2096182818.6838796</v>
      </c>
      <c r="H278" s="167">
        <f t="shared" si="8"/>
        <v>0</v>
      </c>
      <c r="I278" s="94"/>
      <c r="L278" s="50"/>
      <c r="M278" s="50"/>
      <c r="N278" s="50"/>
      <c r="O278" s="50"/>
    </row>
    <row r="279" spans="2:15" x14ac:dyDescent="0.25">
      <c r="B279" s="63" t="s">
        <v>173</v>
      </c>
      <c r="C279" s="64" t="s">
        <v>75</v>
      </c>
      <c r="D279" s="7"/>
      <c r="E279" s="36"/>
      <c r="F279" s="200">
        <v>0</v>
      </c>
      <c r="G279" s="166">
        <f>G205</f>
        <v>2096182818.6838796</v>
      </c>
      <c r="H279" s="167">
        <f t="shared" si="8"/>
        <v>0</v>
      </c>
      <c r="I279" s="94"/>
      <c r="L279" s="50"/>
      <c r="M279" s="50"/>
      <c r="N279" s="50"/>
      <c r="O279" s="50"/>
    </row>
    <row r="280" spans="2:15" x14ac:dyDescent="0.25">
      <c r="B280" s="63" t="s">
        <v>173</v>
      </c>
      <c r="C280" s="64" t="s">
        <v>76</v>
      </c>
      <c r="D280" s="7"/>
      <c r="E280" s="36"/>
      <c r="F280" s="200">
        <v>2.8169014084507043E-2</v>
      </c>
      <c r="G280" s="166">
        <f>G205</f>
        <v>2096182818.6838796</v>
      </c>
      <c r="H280" s="167">
        <f t="shared" si="8"/>
        <v>0</v>
      </c>
      <c r="I280" s="94"/>
      <c r="L280" s="50"/>
      <c r="M280" s="50"/>
      <c r="N280" s="50"/>
      <c r="O280" s="50"/>
    </row>
    <row r="281" spans="2:15" x14ac:dyDescent="0.25">
      <c r="B281" s="63" t="s">
        <v>173</v>
      </c>
      <c r="C281" s="64" t="s">
        <v>77</v>
      </c>
      <c r="D281" s="7"/>
      <c r="E281" s="36"/>
      <c r="F281" s="200">
        <v>0</v>
      </c>
      <c r="G281" s="166">
        <f>G205</f>
        <v>2096182818.6838796</v>
      </c>
      <c r="H281" s="167">
        <f t="shared" si="8"/>
        <v>0</v>
      </c>
      <c r="I281" s="94"/>
      <c r="L281" s="50"/>
      <c r="M281" s="50"/>
      <c r="N281" s="50"/>
      <c r="O281" s="50"/>
    </row>
    <row r="282" spans="2:15" x14ac:dyDescent="0.25">
      <c r="B282" s="63" t="s">
        <v>173</v>
      </c>
      <c r="C282" s="64" t="s">
        <v>78</v>
      </c>
      <c r="D282" s="7"/>
      <c r="E282" s="36"/>
      <c r="F282" s="200">
        <v>0</v>
      </c>
      <c r="G282" s="166">
        <f>G205</f>
        <v>2096182818.6838796</v>
      </c>
      <c r="H282" s="167">
        <f t="shared" si="8"/>
        <v>0</v>
      </c>
      <c r="I282" s="94"/>
      <c r="L282" s="50"/>
      <c r="M282" s="50"/>
      <c r="N282" s="50"/>
      <c r="O282" s="50"/>
    </row>
    <row r="283" spans="2:15" x14ac:dyDescent="0.25">
      <c r="B283" s="63" t="s">
        <v>173</v>
      </c>
      <c r="C283" s="64" t="s">
        <v>79</v>
      </c>
      <c r="D283" s="7"/>
      <c r="E283" s="36"/>
      <c r="F283" s="200">
        <v>0</v>
      </c>
      <c r="G283" s="166">
        <f>G205</f>
        <v>2096182818.6838796</v>
      </c>
      <c r="H283" s="167">
        <f t="shared" si="8"/>
        <v>0</v>
      </c>
      <c r="I283" s="94"/>
      <c r="L283" s="50"/>
      <c r="M283" s="50"/>
      <c r="N283" s="50"/>
      <c r="O283" s="50"/>
    </row>
    <row r="284" spans="2:15" x14ac:dyDescent="0.25">
      <c r="B284" s="63" t="s">
        <v>173</v>
      </c>
      <c r="C284" s="64" t="s">
        <v>80</v>
      </c>
      <c r="D284" s="7"/>
      <c r="E284" s="36"/>
      <c r="F284" s="200">
        <v>0</v>
      </c>
      <c r="G284" s="166">
        <f>G205</f>
        <v>2096182818.6838796</v>
      </c>
      <c r="H284" s="167">
        <f t="shared" si="8"/>
        <v>0</v>
      </c>
      <c r="I284" s="94"/>
      <c r="L284" s="50"/>
      <c r="M284" s="50"/>
      <c r="N284" s="50"/>
      <c r="O284" s="50"/>
    </row>
    <row r="285" spans="2:15" x14ac:dyDescent="0.25">
      <c r="B285" s="63" t="s">
        <v>173</v>
      </c>
      <c r="C285" s="64" t="s">
        <v>81</v>
      </c>
      <c r="D285" s="7"/>
      <c r="E285" s="36"/>
      <c r="F285" s="200">
        <v>0</v>
      </c>
      <c r="G285" s="166">
        <f>G205</f>
        <v>2096182818.6838796</v>
      </c>
      <c r="H285" s="167">
        <f t="shared" si="8"/>
        <v>0</v>
      </c>
      <c r="L285" s="50"/>
      <c r="M285" s="50"/>
      <c r="N285" s="50"/>
      <c r="O285" s="50"/>
    </row>
    <row r="286" spans="2:15" x14ac:dyDescent="0.25">
      <c r="B286" s="63" t="s">
        <v>173</v>
      </c>
      <c r="C286" s="64" t="s">
        <v>82</v>
      </c>
      <c r="D286" s="7"/>
      <c r="E286" s="36"/>
      <c r="F286" s="200">
        <v>1.4084507042253521E-2</v>
      </c>
      <c r="G286" s="166">
        <f>G205</f>
        <v>2096182818.6838796</v>
      </c>
      <c r="H286" s="167">
        <f t="shared" si="8"/>
        <v>0</v>
      </c>
      <c r="L286" s="50"/>
      <c r="M286" s="50"/>
      <c r="N286" s="50"/>
      <c r="O286" s="50"/>
    </row>
    <row r="287" spans="2:15" x14ac:dyDescent="0.25">
      <c r="B287" s="63" t="s">
        <v>173</v>
      </c>
      <c r="C287" s="64" t="s">
        <v>83</v>
      </c>
      <c r="D287" s="7"/>
      <c r="E287" s="36"/>
      <c r="F287" s="200">
        <v>0</v>
      </c>
      <c r="G287" s="166">
        <f>G205</f>
        <v>2096182818.6838796</v>
      </c>
      <c r="H287" s="167">
        <f t="shared" si="8"/>
        <v>0</v>
      </c>
      <c r="L287" s="50"/>
      <c r="M287" s="50"/>
      <c r="N287" s="50"/>
      <c r="O287" s="50"/>
    </row>
    <row r="288" spans="2:15" x14ac:dyDescent="0.25">
      <c r="B288" s="63" t="s">
        <v>173</v>
      </c>
      <c r="C288" s="64" t="s">
        <v>84</v>
      </c>
      <c r="D288" s="7"/>
      <c r="E288" s="36"/>
      <c r="F288" s="200">
        <v>0</v>
      </c>
      <c r="G288" s="166">
        <f>G205</f>
        <v>2096182818.6838796</v>
      </c>
      <c r="H288" s="167">
        <f t="shared" si="8"/>
        <v>0</v>
      </c>
      <c r="L288" s="50"/>
      <c r="M288" s="50"/>
      <c r="N288" s="50"/>
      <c r="O288" s="50"/>
    </row>
    <row r="289" spans="2:15" x14ac:dyDescent="0.25">
      <c r="B289" s="63" t="s">
        <v>173</v>
      </c>
      <c r="C289" s="64" t="s">
        <v>85</v>
      </c>
      <c r="D289" s="7"/>
      <c r="E289" s="36"/>
      <c r="F289" s="200">
        <v>0</v>
      </c>
      <c r="G289" s="166">
        <f>G205</f>
        <v>2096182818.6838796</v>
      </c>
      <c r="H289" s="167">
        <f t="shared" si="8"/>
        <v>0</v>
      </c>
      <c r="L289" s="50"/>
      <c r="M289" s="50"/>
      <c r="N289" s="50"/>
      <c r="O289" s="50"/>
    </row>
    <row r="290" spans="2:15" x14ac:dyDescent="0.25">
      <c r="B290" s="63" t="s">
        <v>173</v>
      </c>
      <c r="C290" s="64" t="s">
        <v>86</v>
      </c>
      <c r="D290" s="7"/>
      <c r="E290" s="36"/>
      <c r="F290" s="200">
        <v>0</v>
      </c>
      <c r="G290" s="166">
        <f>G205</f>
        <v>2096182818.6838796</v>
      </c>
      <c r="H290" s="167">
        <f t="shared" si="8"/>
        <v>0</v>
      </c>
      <c r="L290" s="50"/>
      <c r="M290" s="50"/>
      <c r="N290" s="50"/>
      <c r="O290" s="50"/>
    </row>
    <row r="291" spans="2:15" ht="15.75" thickBot="1" x14ac:dyDescent="0.3">
      <c r="B291" s="102" t="s">
        <v>173</v>
      </c>
      <c r="C291" s="103" t="s">
        <v>87</v>
      </c>
      <c r="D291" s="8"/>
      <c r="E291" s="36"/>
      <c r="F291" s="202">
        <v>0</v>
      </c>
      <c r="G291" s="203">
        <f>G205</f>
        <v>2096182818.6838796</v>
      </c>
      <c r="H291" s="204">
        <f t="shared" si="8"/>
        <v>0</v>
      </c>
      <c r="L291" s="50"/>
      <c r="M291" s="50"/>
      <c r="N291" s="50"/>
      <c r="O291" s="50"/>
    </row>
    <row r="292" spans="2:15" ht="15.75" thickBot="1" x14ac:dyDescent="0.3">
      <c r="B292" s="205" t="s">
        <v>174</v>
      </c>
      <c r="C292" s="357" t="s">
        <v>91</v>
      </c>
      <c r="D292" s="358"/>
      <c r="E292" s="38"/>
      <c r="F292" s="359"/>
      <c r="G292" s="360"/>
      <c r="H292" s="361"/>
      <c r="L292" s="50"/>
      <c r="M292" s="50"/>
      <c r="N292" s="50"/>
      <c r="O292" s="50"/>
    </row>
    <row r="293" spans="2:15" ht="15.75" thickBot="1" x14ac:dyDescent="0.3">
      <c r="B293" s="259" t="s">
        <v>175</v>
      </c>
      <c r="C293" s="357" t="s">
        <v>94</v>
      </c>
      <c r="D293" s="358"/>
      <c r="E293" s="38"/>
      <c r="F293" s="275" t="s">
        <v>4</v>
      </c>
      <c r="G293" s="159" t="s">
        <v>5</v>
      </c>
      <c r="H293" s="158" t="s">
        <v>6</v>
      </c>
      <c r="L293" s="50"/>
      <c r="M293" s="50"/>
      <c r="N293" s="50"/>
      <c r="O293" s="50"/>
    </row>
    <row r="294" spans="2:15" ht="15.75" thickBot="1" x14ac:dyDescent="0.3">
      <c r="B294" s="61" t="s">
        <v>175</v>
      </c>
      <c r="C294" s="260" t="s">
        <v>93</v>
      </c>
      <c r="D294" s="261"/>
      <c r="E294" s="36"/>
      <c r="F294" s="289" t="s">
        <v>224</v>
      </c>
      <c r="G294" s="206" t="s">
        <v>224</v>
      </c>
      <c r="H294" s="206" t="s">
        <v>224</v>
      </c>
      <c r="L294" s="50"/>
      <c r="M294" s="50"/>
      <c r="N294" s="50"/>
      <c r="O294" s="50"/>
    </row>
    <row r="295" spans="2:15" x14ac:dyDescent="0.25">
      <c r="B295" s="101" t="s">
        <v>175</v>
      </c>
      <c r="C295" s="101" t="s">
        <v>95</v>
      </c>
      <c r="D295" s="7"/>
      <c r="E295" s="36"/>
      <c r="F295" s="286" t="s">
        <v>224</v>
      </c>
      <c r="G295" s="191" t="s">
        <v>224</v>
      </c>
      <c r="H295" s="191" t="s">
        <v>224</v>
      </c>
      <c r="L295" s="50"/>
      <c r="M295" s="50"/>
      <c r="N295" s="50"/>
      <c r="O295" s="50"/>
    </row>
    <row r="296" spans="2:15" x14ac:dyDescent="0.25">
      <c r="B296" s="64" t="s">
        <v>175</v>
      </c>
      <c r="C296" s="64" t="s">
        <v>96</v>
      </c>
      <c r="D296" s="7"/>
      <c r="E296" s="36"/>
      <c r="F296" s="287" t="s">
        <v>224</v>
      </c>
      <c r="G296" s="165" t="s">
        <v>224</v>
      </c>
      <c r="H296" s="165" t="s">
        <v>224</v>
      </c>
      <c r="L296" s="50"/>
      <c r="M296" s="50"/>
      <c r="N296" s="50"/>
      <c r="O296" s="50"/>
    </row>
    <row r="297" spans="2:15" x14ac:dyDescent="0.25">
      <c r="B297" s="64" t="s">
        <v>175</v>
      </c>
      <c r="C297" s="64" t="s">
        <v>97</v>
      </c>
      <c r="D297" s="7"/>
      <c r="E297" s="36"/>
      <c r="F297" s="287" t="s">
        <v>224</v>
      </c>
      <c r="G297" s="165" t="s">
        <v>224</v>
      </c>
      <c r="H297" s="165" t="s">
        <v>224</v>
      </c>
      <c r="L297" s="50"/>
      <c r="M297" s="50"/>
      <c r="N297" s="50"/>
      <c r="O297" s="50"/>
    </row>
    <row r="298" spans="2:15" x14ac:dyDescent="0.25">
      <c r="B298" s="64" t="s">
        <v>175</v>
      </c>
      <c r="C298" s="64" t="s">
        <v>98</v>
      </c>
      <c r="D298" s="7"/>
      <c r="E298" s="36"/>
      <c r="F298" s="287" t="s">
        <v>224</v>
      </c>
      <c r="G298" s="165" t="s">
        <v>224</v>
      </c>
      <c r="H298" s="165" t="s">
        <v>224</v>
      </c>
      <c r="L298" s="50"/>
      <c r="M298" s="50"/>
      <c r="N298" s="50"/>
      <c r="O298" s="50"/>
    </row>
    <row r="299" spans="2:15" x14ac:dyDescent="0.25">
      <c r="B299" s="64" t="s">
        <v>175</v>
      </c>
      <c r="C299" s="64" t="s">
        <v>99</v>
      </c>
      <c r="D299" s="7"/>
      <c r="E299" s="36"/>
      <c r="F299" s="287" t="s">
        <v>224</v>
      </c>
      <c r="G299" s="165" t="s">
        <v>224</v>
      </c>
      <c r="H299" s="165" t="s">
        <v>224</v>
      </c>
      <c r="L299" s="50"/>
      <c r="M299" s="50"/>
      <c r="N299" s="50"/>
      <c r="O299" s="50"/>
    </row>
    <row r="300" spans="2:15" x14ac:dyDescent="0.25">
      <c r="B300" s="64" t="s">
        <v>175</v>
      </c>
      <c r="C300" s="64" t="s">
        <v>100</v>
      </c>
      <c r="D300" s="7"/>
      <c r="E300" s="36"/>
      <c r="F300" s="287" t="s">
        <v>224</v>
      </c>
      <c r="G300" s="165" t="s">
        <v>224</v>
      </c>
      <c r="H300" s="165" t="s">
        <v>224</v>
      </c>
      <c r="L300" s="50"/>
      <c r="M300" s="50"/>
      <c r="N300" s="50"/>
      <c r="O300" s="50"/>
    </row>
    <row r="301" spans="2:15" x14ac:dyDescent="0.25">
      <c r="B301" s="64" t="s">
        <v>175</v>
      </c>
      <c r="C301" s="64" t="s">
        <v>101</v>
      </c>
      <c r="D301" s="7"/>
      <c r="E301" s="36"/>
      <c r="F301" s="287" t="s">
        <v>224</v>
      </c>
      <c r="G301" s="165" t="s">
        <v>224</v>
      </c>
      <c r="H301" s="165" t="s">
        <v>224</v>
      </c>
      <c r="L301" s="50"/>
      <c r="M301" s="50"/>
      <c r="N301" s="50"/>
      <c r="O301" s="50"/>
    </row>
    <row r="302" spans="2:15" x14ac:dyDescent="0.25">
      <c r="B302" s="64" t="s">
        <v>175</v>
      </c>
      <c r="C302" s="64" t="s">
        <v>102</v>
      </c>
      <c r="D302" s="7"/>
      <c r="E302" s="36"/>
      <c r="F302" s="287" t="s">
        <v>224</v>
      </c>
      <c r="G302" s="165" t="s">
        <v>224</v>
      </c>
      <c r="H302" s="165" t="s">
        <v>224</v>
      </c>
      <c r="L302" s="50"/>
      <c r="M302" s="50"/>
      <c r="N302" s="50"/>
      <c r="O302" s="50"/>
    </row>
    <row r="303" spans="2:15" x14ac:dyDescent="0.25">
      <c r="B303" s="64" t="s">
        <v>175</v>
      </c>
      <c r="C303" s="64" t="s">
        <v>103</v>
      </c>
      <c r="D303" s="7"/>
      <c r="E303" s="36"/>
      <c r="F303" s="287" t="s">
        <v>224</v>
      </c>
      <c r="G303" s="165" t="s">
        <v>224</v>
      </c>
      <c r="H303" s="165" t="s">
        <v>224</v>
      </c>
      <c r="L303" s="50"/>
      <c r="M303" s="50"/>
      <c r="N303" s="50"/>
      <c r="O303" s="50"/>
    </row>
    <row r="304" spans="2:15" x14ac:dyDescent="0.25">
      <c r="B304" s="64" t="s">
        <v>175</v>
      </c>
      <c r="C304" s="64" t="s">
        <v>104</v>
      </c>
      <c r="D304" s="7"/>
      <c r="E304" s="36"/>
      <c r="F304" s="287" t="s">
        <v>224</v>
      </c>
      <c r="G304" s="165" t="s">
        <v>224</v>
      </c>
      <c r="H304" s="165" t="s">
        <v>224</v>
      </c>
      <c r="L304" s="50"/>
      <c r="M304" s="50"/>
      <c r="N304" s="50"/>
      <c r="O304" s="50"/>
    </row>
    <row r="305" spans="2:15" x14ac:dyDescent="0.25">
      <c r="B305" s="64" t="s">
        <v>175</v>
      </c>
      <c r="C305" s="64" t="s">
        <v>105</v>
      </c>
      <c r="D305" s="7"/>
      <c r="E305" s="36"/>
      <c r="F305" s="287" t="s">
        <v>224</v>
      </c>
      <c r="G305" s="165" t="s">
        <v>224</v>
      </c>
      <c r="H305" s="165" t="s">
        <v>224</v>
      </c>
      <c r="L305" s="50"/>
      <c r="M305" s="50"/>
      <c r="N305" s="50"/>
      <c r="O305" s="50"/>
    </row>
    <row r="306" spans="2:15" x14ac:dyDescent="0.25">
      <c r="B306" s="64" t="s">
        <v>175</v>
      </c>
      <c r="C306" s="64" t="s">
        <v>106</v>
      </c>
      <c r="D306" s="7"/>
      <c r="E306" s="36"/>
      <c r="F306" s="287" t="s">
        <v>224</v>
      </c>
      <c r="G306" s="165" t="s">
        <v>224</v>
      </c>
      <c r="H306" s="165" t="s">
        <v>224</v>
      </c>
      <c r="L306" s="50"/>
      <c r="M306" s="50"/>
      <c r="N306" s="50"/>
      <c r="O306" s="50"/>
    </row>
    <row r="307" spans="2:15" ht="15.75" thickBot="1" x14ac:dyDescent="0.3">
      <c r="B307" s="67" t="s">
        <v>175</v>
      </c>
      <c r="C307" s="67" t="s">
        <v>107</v>
      </c>
      <c r="D307" s="10"/>
      <c r="E307" s="36"/>
      <c r="F307" s="288" t="s">
        <v>224</v>
      </c>
      <c r="G307" s="192" t="s">
        <v>224</v>
      </c>
      <c r="H307" s="192" t="s">
        <v>224</v>
      </c>
      <c r="L307" s="50"/>
      <c r="M307" s="50"/>
      <c r="N307" s="50"/>
      <c r="O307" s="50"/>
    </row>
    <row r="308" spans="2:15" ht="15.75" thickBot="1" x14ac:dyDescent="0.3">
      <c r="B308" s="156" t="s">
        <v>176</v>
      </c>
      <c r="C308" s="173" t="s">
        <v>109</v>
      </c>
      <c r="D308" s="174"/>
      <c r="E308" s="38"/>
      <c r="F308" s="275" t="s">
        <v>4</v>
      </c>
      <c r="G308" s="159" t="s">
        <v>5</v>
      </c>
      <c r="H308" s="158" t="s">
        <v>6</v>
      </c>
      <c r="L308" s="50"/>
      <c r="M308" s="50"/>
      <c r="N308" s="50"/>
      <c r="O308" s="50"/>
    </row>
    <row r="309" spans="2:15" x14ac:dyDescent="0.25">
      <c r="B309" s="61" t="s">
        <v>176</v>
      </c>
      <c r="C309" s="61" t="s">
        <v>110</v>
      </c>
      <c r="D309" s="9"/>
      <c r="E309" s="36"/>
      <c r="F309" s="286" t="s">
        <v>224</v>
      </c>
      <c r="G309" s="191" t="s">
        <v>224</v>
      </c>
      <c r="H309" s="191" t="s">
        <v>224</v>
      </c>
      <c r="L309" s="50"/>
      <c r="M309" s="50"/>
      <c r="N309" s="50"/>
      <c r="O309" s="50"/>
    </row>
    <row r="310" spans="2:15" x14ac:dyDescent="0.25">
      <c r="B310" s="64" t="s">
        <v>176</v>
      </c>
      <c r="C310" s="64" t="s">
        <v>111</v>
      </c>
      <c r="D310" s="7"/>
      <c r="E310" s="36"/>
      <c r="F310" s="287" t="s">
        <v>224</v>
      </c>
      <c r="G310" s="165" t="s">
        <v>224</v>
      </c>
      <c r="H310" s="165" t="s">
        <v>224</v>
      </c>
      <c r="L310" s="50"/>
      <c r="M310" s="50"/>
      <c r="N310" s="50"/>
      <c r="O310" s="50"/>
    </row>
    <row r="311" spans="2:15" x14ac:dyDescent="0.25">
      <c r="B311" s="64" t="s">
        <v>176</v>
      </c>
      <c r="C311" s="64" t="s">
        <v>112</v>
      </c>
      <c r="D311" s="7"/>
      <c r="E311" s="36"/>
      <c r="F311" s="287" t="s">
        <v>224</v>
      </c>
      <c r="G311" s="165" t="s">
        <v>224</v>
      </c>
      <c r="H311" s="165" t="s">
        <v>224</v>
      </c>
      <c r="L311" s="50"/>
      <c r="M311" s="50"/>
      <c r="N311" s="50"/>
      <c r="O311" s="50"/>
    </row>
    <row r="312" spans="2:15" x14ac:dyDescent="0.25">
      <c r="B312" s="64" t="s">
        <v>176</v>
      </c>
      <c r="C312" s="64" t="s">
        <v>113</v>
      </c>
      <c r="D312" s="7"/>
      <c r="E312" s="36"/>
      <c r="F312" s="287" t="s">
        <v>224</v>
      </c>
      <c r="G312" s="165" t="s">
        <v>224</v>
      </c>
      <c r="H312" s="165" t="s">
        <v>224</v>
      </c>
      <c r="L312" s="50"/>
      <c r="M312" s="50"/>
      <c r="N312" s="50"/>
      <c r="O312" s="50"/>
    </row>
    <row r="313" spans="2:15" x14ac:dyDescent="0.25">
      <c r="B313" s="64" t="s">
        <v>176</v>
      </c>
      <c r="C313" s="64" t="s">
        <v>114</v>
      </c>
      <c r="D313" s="7"/>
      <c r="E313" s="36"/>
      <c r="F313" s="287" t="s">
        <v>224</v>
      </c>
      <c r="G313" s="165" t="s">
        <v>224</v>
      </c>
      <c r="H313" s="165" t="s">
        <v>224</v>
      </c>
      <c r="L313" s="50"/>
      <c r="M313" s="50"/>
      <c r="N313" s="50"/>
      <c r="O313" s="50"/>
    </row>
    <row r="314" spans="2:15" ht="15.75" thickBot="1" x14ac:dyDescent="0.3">
      <c r="B314" s="67" t="s">
        <v>176</v>
      </c>
      <c r="C314" s="67" t="s">
        <v>115</v>
      </c>
      <c r="D314" s="10"/>
      <c r="E314" s="36"/>
      <c r="F314" s="288" t="s">
        <v>224</v>
      </c>
      <c r="G314" s="192" t="s">
        <v>224</v>
      </c>
      <c r="H314" s="192" t="s">
        <v>224</v>
      </c>
      <c r="L314" s="50"/>
      <c r="M314" s="50"/>
      <c r="N314" s="50"/>
      <c r="O314" s="50"/>
    </row>
    <row r="315" spans="2:15" ht="15.75" thickBot="1" x14ac:dyDescent="0.3">
      <c r="B315" s="156" t="s">
        <v>177</v>
      </c>
      <c r="C315" s="173" t="s">
        <v>117</v>
      </c>
      <c r="D315" s="174"/>
      <c r="E315" s="38"/>
      <c r="F315" s="275" t="s">
        <v>4</v>
      </c>
      <c r="G315" s="159" t="s">
        <v>5</v>
      </c>
      <c r="H315" s="158" t="s">
        <v>6</v>
      </c>
      <c r="L315" s="50"/>
      <c r="M315" s="50"/>
      <c r="N315" s="50"/>
      <c r="O315" s="50"/>
    </row>
    <row r="316" spans="2:15" ht="15.75" thickBot="1" x14ac:dyDescent="0.3">
      <c r="B316" s="61" t="s">
        <v>177</v>
      </c>
      <c r="C316" s="61" t="s">
        <v>118</v>
      </c>
      <c r="D316" s="9"/>
      <c r="E316" s="36"/>
      <c r="F316" s="286" t="s">
        <v>224</v>
      </c>
      <c r="G316" s="191" t="s">
        <v>224</v>
      </c>
      <c r="H316" s="191" t="s">
        <v>224</v>
      </c>
      <c r="L316" s="50"/>
      <c r="M316" s="50"/>
      <c r="N316" s="50"/>
      <c r="O316" s="50"/>
    </row>
    <row r="317" spans="2:15" ht="15.75" thickBot="1" x14ac:dyDescent="0.3">
      <c r="B317" s="64" t="s">
        <v>177</v>
      </c>
      <c r="C317" s="64" t="s">
        <v>119</v>
      </c>
      <c r="D317" s="9"/>
      <c r="E317" s="36"/>
      <c r="F317" s="287" t="s">
        <v>224</v>
      </c>
      <c r="G317" s="165" t="s">
        <v>224</v>
      </c>
      <c r="H317" s="165" t="s">
        <v>224</v>
      </c>
      <c r="L317" s="50"/>
      <c r="M317" s="50"/>
      <c r="N317" s="50"/>
      <c r="O317" s="50"/>
    </row>
    <row r="318" spans="2:15" ht="15.75" thickBot="1" x14ac:dyDescent="0.3">
      <c r="B318" s="64" t="s">
        <v>177</v>
      </c>
      <c r="C318" s="64" t="s">
        <v>120</v>
      </c>
      <c r="D318" s="9"/>
      <c r="E318" s="36"/>
      <c r="F318" s="287" t="s">
        <v>224</v>
      </c>
      <c r="G318" s="165" t="s">
        <v>224</v>
      </c>
      <c r="H318" s="165" t="s">
        <v>224</v>
      </c>
      <c r="L318" s="50"/>
      <c r="M318" s="50"/>
      <c r="N318" s="50"/>
      <c r="O318" s="50"/>
    </row>
    <row r="319" spans="2:15" ht="15.75" thickBot="1" x14ac:dyDescent="0.3">
      <c r="B319" s="64" t="s">
        <v>177</v>
      </c>
      <c r="C319" s="64" t="s">
        <v>121</v>
      </c>
      <c r="D319" s="9"/>
      <c r="E319" s="36"/>
      <c r="F319" s="287" t="s">
        <v>224</v>
      </c>
      <c r="G319" s="165" t="s">
        <v>224</v>
      </c>
      <c r="H319" s="165" t="s">
        <v>224</v>
      </c>
      <c r="L319" s="50"/>
      <c r="M319" s="50"/>
      <c r="N319" s="50"/>
      <c r="O319" s="50"/>
    </row>
    <row r="320" spans="2:15" ht="15.75" thickBot="1" x14ac:dyDescent="0.3">
      <c r="B320" s="64" t="s">
        <v>177</v>
      </c>
      <c r="C320" s="64" t="s">
        <v>122</v>
      </c>
      <c r="D320" s="9"/>
      <c r="E320" s="36"/>
      <c r="F320" s="287" t="s">
        <v>224</v>
      </c>
      <c r="G320" s="165" t="s">
        <v>224</v>
      </c>
      <c r="H320" s="192" t="s">
        <v>224</v>
      </c>
      <c r="L320" s="50"/>
      <c r="M320" s="50"/>
      <c r="N320" s="50"/>
      <c r="O320" s="50"/>
    </row>
    <row r="321" spans="2:15" ht="15.75" thickBot="1" x14ac:dyDescent="0.3">
      <c r="B321" s="64" t="s">
        <v>177</v>
      </c>
      <c r="C321" s="64" t="s">
        <v>123</v>
      </c>
      <c r="D321" s="9"/>
      <c r="E321" s="36"/>
      <c r="F321" s="287" t="s">
        <v>224</v>
      </c>
      <c r="G321" s="164" t="s">
        <v>224</v>
      </c>
      <c r="H321" s="165" t="s">
        <v>224</v>
      </c>
      <c r="L321" s="50"/>
      <c r="M321" s="50"/>
      <c r="N321" s="50"/>
      <c r="O321" s="50"/>
    </row>
    <row r="322" spans="2:15" ht="15.75" thickBot="1" x14ac:dyDescent="0.3">
      <c r="B322" s="64" t="s">
        <v>177</v>
      </c>
      <c r="C322" s="64" t="s">
        <v>124</v>
      </c>
      <c r="D322" s="9"/>
      <c r="E322" s="36"/>
      <c r="F322" s="287" t="s">
        <v>224</v>
      </c>
      <c r="G322" s="169" t="s">
        <v>224</v>
      </c>
      <c r="H322" s="165" t="s">
        <v>224</v>
      </c>
      <c r="L322" s="50"/>
      <c r="M322" s="50"/>
      <c r="N322" s="50"/>
      <c r="O322" s="50"/>
    </row>
    <row r="323" spans="2:15" ht="15.75" thickBot="1" x14ac:dyDescent="0.3">
      <c r="B323" s="64" t="s">
        <v>177</v>
      </c>
      <c r="C323" s="64" t="s">
        <v>125</v>
      </c>
      <c r="D323" s="9"/>
      <c r="E323" s="36"/>
      <c r="F323" s="288" t="s">
        <v>224</v>
      </c>
      <c r="G323" s="165" t="s">
        <v>224</v>
      </c>
      <c r="H323" s="165" t="s">
        <v>224</v>
      </c>
      <c r="L323" s="50"/>
      <c r="M323" s="50"/>
      <c r="N323" s="50"/>
      <c r="O323" s="50"/>
    </row>
    <row r="324" spans="2:15" ht="15.75" thickBot="1" x14ac:dyDescent="0.3">
      <c r="B324" s="64" t="s">
        <v>177</v>
      </c>
      <c r="C324" s="64" t="s">
        <v>126</v>
      </c>
      <c r="D324" s="9"/>
      <c r="E324" s="36"/>
      <c r="F324" s="287" t="s">
        <v>224</v>
      </c>
      <c r="G324" s="165" t="s">
        <v>224</v>
      </c>
      <c r="H324" s="165" t="s">
        <v>224</v>
      </c>
      <c r="L324" s="50"/>
      <c r="M324" s="50"/>
      <c r="N324" s="50"/>
      <c r="O324" s="50"/>
    </row>
    <row r="325" spans="2:15" ht="15.75" thickBot="1" x14ac:dyDescent="0.3">
      <c r="B325" s="64" t="s">
        <v>177</v>
      </c>
      <c r="C325" s="64" t="s">
        <v>127</v>
      </c>
      <c r="D325" s="9"/>
      <c r="E325" s="36"/>
      <c r="F325" s="288" t="s">
        <v>224</v>
      </c>
      <c r="G325" s="165" t="s">
        <v>224</v>
      </c>
      <c r="H325" s="192" t="s">
        <v>224</v>
      </c>
      <c r="L325" s="50"/>
      <c r="M325" s="50"/>
      <c r="N325" s="50"/>
      <c r="O325" s="50"/>
    </row>
    <row r="326" spans="2:15" ht="15.75" thickBot="1" x14ac:dyDescent="0.3">
      <c r="B326" s="64" t="s">
        <v>177</v>
      </c>
      <c r="C326" s="67" t="s">
        <v>128</v>
      </c>
      <c r="D326" s="9"/>
      <c r="E326" s="36"/>
      <c r="F326" s="287" t="s">
        <v>224</v>
      </c>
      <c r="G326" s="165" t="s">
        <v>224</v>
      </c>
      <c r="H326" s="192" t="s">
        <v>224</v>
      </c>
      <c r="L326" s="50"/>
      <c r="M326" s="50"/>
      <c r="N326" s="50"/>
      <c r="O326" s="50"/>
    </row>
    <row r="327" spans="2:15" s="1" customFormat="1" ht="15.75" thickBot="1" x14ac:dyDescent="0.3">
      <c r="B327" s="64" t="s">
        <v>177</v>
      </c>
      <c r="C327" s="257" t="s">
        <v>232</v>
      </c>
      <c r="D327" s="9"/>
      <c r="E327" s="36"/>
      <c r="F327" s="288" t="s">
        <v>224</v>
      </c>
      <c r="G327" s="165" t="s">
        <v>224</v>
      </c>
      <c r="H327" s="165" t="s">
        <v>224</v>
      </c>
    </row>
    <row r="328" spans="2:15" s="1" customFormat="1" ht="15.75" customHeight="1" thickBot="1" x14ac:dyDescent="0.3">
      <c r="B328" s="64" t="s">
        <v>177</v>
      </c>
      <c r="C328" s="256" t="s">
        <v>233</v>
      </c>
      <c r="D328" s="9"/>
      <c r="E328" s="36"/>
      <c r="F328" s="287" t="s">
        <v>224</v>
      </c>
      <c r="G328" s="165" t="s">
        <v>224</v>
      </c>
      <c r="H328" s="165" t="s">
        <v>224</v>
      </c>
    </row>
    <row r="329" spans="2:15" s="1" customFormat="1" ht="15.75" thickBot="1" x14ac:dyDescent="0.3">
      <c r="B329" s="64" t="s">
        <v>177</v>
      </c>
      <c r="C329" s="256" t="s">
        <v>234</v>
      </c>
      <c r="D329" s="9"/>
      <c r="E329" s="36"/>
      <c r="F329" s="287" t="s">
        <v>224</v>
      </c>
      <c r="G329" s="165" t="s">
        <v>224</v>
      </c>
      <c r="H329" s="165" t="s">
        <v>224</v>
      </c>
    </row>
    <row r="330" spans="2:15" s="1" customFormat="1" ht="15.75" thickBot="1" x14ac:dyDescent="0.3">
      <c r="B330" s="64" t="s">
        <v>177</v>
      </c>
      <c r="C330" s="256" t="s">
        <v>235</v>
      </c>
      <c r="D330" s="9"/>
      <c r="E330" s="36"/>
      <c r="F330" s="287" t="s">
        <v>224</v>
      </c>
      <c r="G330" s="165" t="s">
        <v>224</v>
      </c>
      <c r="H330" s="165" t="s">
        <v>224</v>
      </c>
    </row>
    <row r="331" spans="2:15" s="1" customFormat="1" ht="15.75" thickBot="1" x14ac:dyDescent="0.3">
      <c r="B331" s="64" t="s">
        <v>177</v>
      </c>
      <c r="C331" s="256" t="s">
        <v>236</v>
      </c>
      <c r="D331" s="9"/>
      <c r="E331" s="36"/>
      <c r="F331" s="287" t="s">
        <v>224</v>
      </c>
      <c r="G331" s="165" t="s">
        <v>224</v>
      </c>
      <c r="H331" s="192" t="s">
        <v>224</v>
      </c>
    </row>
    <row r="332" spans="2:15" s="1" customFormat="1" ht="15.75" thickBot="1" x14ac:dyDescent="0.3">
      <c r="B332" s="64" t="s">
        <v>177</v>
      </c>
      <c r="C332" s="256" t="s">
        <v>237</v>
      </c>
      <c r="D332" s="9"/>
      <c r="E332" s="36"/>
      <c r="F332" s="287" t="s">
        <v>224</v>
      </c>
      <c r="G332" s="165" t="s">
        <v>224</v>
      </c>
      <c r="H332" s="192" t="s">
        <v>224</v>
      </c>
    </row>
    <row r="333" spans="2:15" s="1" customFormat="1" ht="15.75" thickBot="1" x14ac:dyDescent="0.3">
      <c r="B333" s="64" t="s">
        <v>177</v>
      </c>
      <c r="C333" s="256" t="s">
        <v>238</v>
      </c>
      <c r="D333" s="9"/>
      <c r="E333" s="36"/>
      <c r="F333" s="287" t="s">
        <v>224</v>
      </c>
      <c r="G333" s="165" t="s">
        <v>224</v>
      </c>
      <c r="H333" s="192" t="s">
        <v>224</v>
      </c>
    </row>
    <row r="334" spans="2:15" s="1" customFormat="1" ht="15.75" thickBot="1" x14ac:dyDescent="0.3">
      <c r="B334" s="64" t="s">
        <v>177</v>
      </c>
      <c r="C334" s="256" t="s">
        <v>239</v>
      </c>
      <c r="D334" s="9"/>
      <c r="E334" s="36"/>
      <c r="F334" s="287" t="s">
        <v>224</v>
      </c>
      <c r="G334" s="165" t="s">
        <v>224</v>
      </c>
      <c r="H334" s="192" t="s">
        <v>224</v>
      </c>
    </row>
    <row r="335" spans="2:15" s="1" customFormat="1" ht="15.75" thickBot="1" x14ac:dyDescent="0.3">
      <c r="B335" s="101" t="s">
        <v>177</v>
      </c>
      <c r="C335" s="265" t="s">
        <v>243</v>
      </c>
      <c r="D335" s="9"/>
      <c r="E335" s="36"/>
      <c r="F335" s="287" t="s">
        <v>224</v>
      </c>
      <c r="G335" s="165" t="s">
        <v>224</v>
      </c>
      <c r="H335" s="192" t="s">
        <v>224</v>
      </c>
    </row>
    <row r="336" spans="2:15" s="1" customFormat="1" ht="15.75" thickBot="1" x14ac:dyDescent="0.3">
      <c r="B336" s="64" t="s">
        <v>177</v>
      </c>
      <c r="C336" s="262" t="s">
        <v>244</v>
      </c>
      <c r="D336" s="9"/>
      <c r="E336" s="36"/>
      <c r="F336" s="287" t="s">
        <v>224</v>
      </c>
      <c r="G336" s="165" t="s">
        <v>224</v>
      </c>
      <c r="H336" s="192" t="s">
        <v>224</v>
      </c>
    </row>
    <row r="337" spans="2:15" s="1" customFormat="1" ht="15.75" thickBot="1" x14ac:dyDescent="0.3">
      <c r="B337" s="64" t="s">
        <v>177</v>
      </c>
      <c r="C337" s="262" t="s">
        <v>245</v>
      </c>
      <c r="D337" s="9"/>
      <c r="E337" s="36"/>
      <c r="F337" s="287" t="s">
        <v>224</v>
      </c>
      <c r="G337" s="165" t="s">
        <v>224</v>
      </c>
      <c r="H337" s="192" t="s">
        <v>224</v>
      </c>
    </row>
    <row r="338" spans="2:15" s="1" customFormat="1" ht="15.75" thickBot="1" x14ac:dyDescent="0.3">
      <c r="B338" s="64" t="s">
        <v>177</v>
      </c>
      <c r="C338" s="263" t="s">
        <v>246</v>
      </c>
      <c r="D338" s="9"/>
      <c r="E338" s="36"/>
      <c r="F338" s="290" t="s">
        <v>224</v>
      </c>
      <c r="G338" s="207" t="s">
        <v>224</v>
      </c>
      <c r="H338" s="192" t="s">
        <v>224</v>
      </c>
    </row>
    <row r="339" spans="2:15" ht="15.75" customHeight="1" thickBot="1" x14ac:dyDescent="0.3">
      <c r="B339" s="172" t="s">
        <v>178</v>
      </c>
      <c r="C339" s="208" t="s">
        <v>179</v>
      </c>
      <c r="D339" s="264"/>
      <c r="E339" s="41"/>
      <c r="F339" s="275" t="s">
        <v>4</v>
      </c>
      <c r="G339" s="159" t="s">
        <v>5</v>
      </c>
      <c r="H339" s="158" t="s">
        <v>6</v>
      </c>
      <c r="L339" s="50"/>
      <c r="M339" s="50"/>
      <c r="N339" s="50"/>
      <c r="O339" s="50"/>
    </row>
    <row r="340" spans="2:15" x14ac:dyDescent="0.25">
      <c r="B340" s="61" t="s">
        <v>180</v>
      </c>
      <c r="C340" s="61" t="s">
        <v>134</v>
      </c>
      <c r="D340" s="13"/>
      <c r="E340" s="37"/>
      <c r="F340" s="286" t="s">
        <v>224</v>
      </c>
      <c r="G340" s="191" t="s">
        <v>224</v>
      </c>
      <c r="H340" s="191" t="s">
        <v>224</v>
      </c>
      <c r="L340" s="50"/>
      <c r="M340" s="50"/>
      <c r="N340" s="50"/>
      <c r="O340" s="50"/>
    </row>
    <row r="341" spans="2:15" x14ac:dyDescent="0.25">
      <c r="B341" s="64" t="s">
        <v>180</v>
      </c>
      <c r="C341" s="64" t="s">
        <v>135</v>
      </c>
      <c r="D341" s="14"/>
      <c r="E341" s="37"/>
      <c r="F341" s="287" t="s">
        <v>224</v>
      </c>
      <c r="G341" s="165" t="s">
        <v>224</v>
      </c>
      <c r="H341" s="165" t="s">
        <v>224</v>
      </c>
      <c r="L341" s="50"/>
      <c r="M341" s="50"/>
      <c r="N341" s="50"/>
      <c r="O341" s="50"/>
    </row>
    <row r="342" spans="2:15" x14ac:dyDescent="0.25">
      <c r="B342" s="64" t="s">
        <v>180</v>
      </c>
      <c r="C342" s="64" t="s">
        <v>136</v>
      </c>
      <c r="D342" s="14"/>
      <c r="E342" s="37"/>
      <c r="F342" s="287" t="s">
        <v>224</v>
      </c>
      <c r="G342" s="165" t="s">
        <v>224</v>
      </c>
      <c r="H342" s="165" t="s">
        <v>224</v>
      </c>
      <c r="L342" s="50"/>
      <c r="M342" s="50"/>
      <c r="N342" s="50"/>
      <c r="O342" s="50"/>
    </row>
    <row r="343" spans="2:15" x14ac:dyDescent="0.25">
      <c r="B343" s="64" t="s">
        <v>180</v>
      </c>
      <c r="C343" s="64" t="s">
        <v>137</v>
      </c>
      <c r="D343" s="14"/>
      <c r="E343" s="37"/>
      <c r="F343" s="287" t="s">
        <v>224</v>
      </c>
      <c r="G343" s="165" t="s">
        <v>224</v>
      </c>
      <c r="H343" s="165" t="s">
        <v>224</v>
      </c>
      <c r="L343" s="50"/>
      <c r="M343" s="50"/>
      <c r="N343" s="50"/>
      <c r="O343" s="50"/>
    </row>
    <row r="344" spans="2:15" x14ac:dyDescent="0.25">
      <c r="B344" s="64" t="s">
        <v>180</v>
      </c>
      <c r="C344" s="64" t="s">
        <v>138</v>
      </c>
      <c r="D344" s="14"/>
      <c r="E344" s="37"/>
      <c r="F344" s="287" t="s">
        <v>224</v>
      </c>
      <c r="G344" s="165" t="s">
        <v>224</v>
      </c>
      <c r="H344" s="165" t="s">
        <v>224</v>
      </c>
      <c r="L344" s="50"/>
      <c r="M344" s="50"/>
      <c r="N344" s="50"/>
      <c r="O344" s="50"/>
    </row>
    <row r="345" spans="2:15" x14ac:dyDescent="0.25">
      <c r="B345" s="64" t="s">
        <v>180</v>
      </c>
      <c r="C345" s="64" t="s">
        <v>139</v>
      </c>
      <c r="D345" s="14"/>
      <c r="E345" s="37"/>
      <c r="F345" s="287" t="s">
        <v>224</v>
      </c>
      <c r="G345" s="165" t="s">
        <v>224</v>
      </c>
      <c r="H345" s="165" t="s">
        <v>224</v>
      </c>
      <c r="L345" s="50"/>
      <c r="M345" s="50"/>
      <c r="N345" s="50"/>
      <c r="O345" s="50"/>
    </row>
    <row r="346" spans="2:15" x14ac:dyDescent="0.25">
      <c r="B346" s="64" t="s">
        <v>180</v>
      </c>
      <c r="C346" s="64" t="s">
        <v>140</v>
      </c>
      <c r="D346" s="14"/>
      <c r="E346" s="37"/>
      <c r="F346" s="287" t="s">
        <v>224</v>
      </c>
      <c r="G346" s="165" t="s">
        <v>224</v>
      </c>
      <c r="H346" s="165" t="s">
        <v>224</v>
      </c>
      <c r="L346" s="50"/>
      <c r="M346" s="50"/>
      <c r="N346" s="50"/>
      <c r="O346" s="50"/>
    </row>
    <row r="347" spans="2:15" x14ac:dyDescent="0.25">
      <c r="B347" s="64" t="s">
        <v>180</v>
      </c>
      <c r="C347" s="64" t="s">
        <v>141</v>
      </c>
      <c r="D347" s="14"/>
      <c r="E347" s="37"/>
      <c r="F347" s="287" t="s">
        <v>224</v>
      </c>
      <c r="G347" s="165" t="s">
        <v>224</v>
      </c>
      <c r="H347" s="165" t="s">
        <v>224</v>
      </c>
      <c r="L347" s="50"/>
      <c r="M347" s="50"/>
      <c r="N347" s="50"/>
      <c r="O347" s="50"/>
    </row>
    <row r="348" spans="2:15" ht="15.75" thickBot="1" x14ac:dyDescent="0.3">
      <c r="B348" s="103" t="s">
        <v>180</v>
      </c>
      <c r="C348" s="103" t="s">
        <v>142</v>
      </c>
      <c r="D348" s="19"/>
      <c r="E348" s="37"/>
      <c r="F348" s="290" t="s">
        <v>224</v>
      </c>
      <c r="G348" s="207" t="s">
        <v>224</v>
      </c>
      <c r="H348" s="207" t="s">
        <v>224</v>
      </c>
      <c r="L348" s="50"/>
      <c r="M348" s="50"/>
      <c r="N348" s="50"/>
      <c r="O348" s="50"/>
    </row>
    <row r="349" spans="2:15" ht="15.75" thickBot="1" x14ac:dyDescent="0.3">
      <c r="B349" s="172" t="s">
        <v>181</v>
      </c>
      <c r="C349" s="173" t="s">
        <v>144</v>
      </c>
      <c r="D349" s="174"/>
      <c r="E349" s="38"/>
      <c r="F349" s="275" t="s">
        <v>4</v>
      </c>
      <c r="G349" s="159" t="s">
        <v>5</v>
      </c>
      <c r="H349" s="158" t="s">
        <v>6</v>
      </c>
      <c r="L349" s="50"/>
      <c r="M349" s="50"/>
      <c r="N349" s="50"/>
      <c r="O349" s="50"/>
    </row>
    <row r="350" spans="2:15" x14ac:dyDescent="0.25">
      <c r="B350" s="60" t="s">
        <v>181</v>
      </c>
      <c r="C350" s="61" t="s">
        <v>145</v>
      </c>
      <c r="D350" s="9"/>
      <c r="E350" s="36"/>
      <c r="F350" s="286" t="s">
        <v>224</v>
      </c>
      <c r="G350" s="191" t="s">
        <v>224</v>
      </c>
      <c r="H350" s="191" t="s">
        <v>224</v>
      </c>
      <c r="L350" s="50"/>
      <c r="M350" s="50"/>
      <c r="N350" s="50"/>
      <c r="O350" s="50"/>
    </row>
    <row r="351" spans="2:15" x14ac:dyDescent="0.25">
      <c r="B351" s="63" t="s">
        <v>181</v>
      </c>
      <c r="C351" s="64" t="s">
        <v>146</v>
      </c>
      <c r="D351" s="7"/>
      <c r="E351" s="36"/>
      <c r="F351" s="287" t="s">
        <v>224</v>
      </c>
      <c r="G351" s="165" t="s">
        <v>224</v>
      </c>
      <c r="H351" s="165" t="s">
        <v>224</v>
      </c>
      <c r="L351" s="50"/>
      <c r="M351" s="50"/>
      <c r="N351" s="50"/>
      <c r="O351" s="50"/>
    </row>
    <row r="352" spans="2:15" x14ac:dyDescent="0.25">
      <c r="B352" s="63" t="s">
        <v>181</v>
      </c>
      <c r="C352" s="64" t="s">
        <v>147</v>
      </c>
      <c r="D352" s="7"/>
      <c r="E352" s="36"/>
      <c r="F352" s="287" t="s">
        <v>224</v>
      </c>
      <c r="G352" s="165" t="s">
        <v>224</v>
      </c>
      <c r="H352" s="165" t="s">
        <v>224</v>
      </c>
      <c r="L352" s="50"/>
      <c r="M352" s="50"/>
      <c r="N352" s="50"/>
      <c r="O352" s="50"/>
    </row>
    <row r="353" spans="2:15" x14ac:dyDescent="0.25">
      <c r="B353" s="63" t="s">
        <v>181</v>
      </c>
      <c r="C353" s="64" t="s">
        <v>148</v>
      </c>
      <c r="D353" s="7"/>
      <c r="E353" s="36"/>
      <c r="F353" s="287" t="s">
        <v>224</v>
      </c>
      <c r="G353" s="165" t="s">
        <v>224</v>
      </c>
      <c r="H353" s="165" t="s">
        <v>224</v>
      </c>
      <c r="L353" s="50"/>
      <c r="M353" s="50"/>
      <c r="N353" s="50"/>
      <c r="O353" s="50"/>
    </row>
    <row r="354" spans="2:15" ht="15.75" thickBot="1" x14ac:dyDescent="0.3">
      <c r="B354" s="102" t="s">
        <v>181</v>
      </c>
      <c r="C354" s="103" t="s">
        <v>149</v>
      </c>
      <c r="D354" s="8"/>
      <c r="E354" s="36"/>
      <c r="F354" s="290" t="s">
        <v>224</v>
      </c>
      <c r="G354" s="207" t="s">
        <v>224</v>
      </c>
      <c r="H354" s="207" t="s">
        <v>224</v>
      </c>
      <c r="L354" s="50"/>
      <c r="M354" s="50"/>
      <c r="N354" s="50"/>
      <c r="O354" s="50"/>
    </row>
    <row r="355" spans="2:15" ht="15.75" thickBot="1" x14ac:dyDescent="0.3">
      <c r="B355" s="172" t="s">
        <v>182</v>
      </c>
      <c r="C355" s="173" t="s">
        <v>151</v>
      </c>
      <c r="D355" s="174"/>
      <c r="E355" s="38"/>
      <c r="F355" s="275" t="s">
        <v>4</v>
      </c>
      <c r="G355" s="159" t="s">
        <v>5</v>
      </c>
      <c r="H355" s="158" t="s">
        <v>6</v>
      </c>
      <c r="L355" s="50"/>
      <c r="M355" s="50"/>
      <c r="N355" s="50"/>
      <c r="O355" s="50"/>
    </row>
    <row r="356" spans="2:15" x14ac:dyDescent="0.25">
      <c r="B356" s="60" t="s">
        <v>182</v>
      </c>
      <c r="C356" s="61" t="s">
        <v>152</v>
      </c>
      <c r="D356" s="9"/>
      <c r="E356" s="36"/>
      <c r="F356" s="286" t="s">
        <v>224</v>
      </c>
      <c r="G356" s="191" t="s">
        <v>224</v>
      </c>
      <c r="H356" s="191" t="s">
        <v>224</v>
      </c>
      <c r="L356" s="50"/>
      <c r="M356" s="50"/>
      <c r="N356" s="50"/>
      <c r="O356" s="50"/>
    </row>
    <row r="357" spans="2:15" x14ac:dyDescent="0.25">
      <c r="B357" s="63" t="s">
        <v>182</v>
      </c>
      <c r="C357" s="64" t="s">
        <v>153</v>
      </c>
      <c r="D357" s="7"/>
      <c r="E357" s="36"/>
      <c r="F357" s="287" t="s">
        <v>224</v>
      </c>
      <c r="G357" s="165" t="s">
        <v>224</v>
      </c>
      <c r="H357" s="165" t="s">
        <v>224</v>
      </c>
      <c r="L357" s="50"/>
      <c r="M357" s="50"/>
      <c r="N357" s="50"/>
      <c r="O357" s="50"/>
    </row>
    <row r="358" spans="2:15" x14ac:dyDescent="0.25">
      <c r="B358" s="63" t="s">
        <v>182</v>
      </c>
      <c r="C358" s="64" t="s">
        <v>154</v>
      </c>
      <c r="D358" s="7"/>
      <c r="E358" s="36"/>
      <c r="F358" s="287" t="s">
        <v>224</v>
      </c>
      <c r="G358" s="165" t="s">
        <v>224</v>
      </c>
      <c r="H358" s="165" t="s">
        <v>224</v>
      </c>
      <c r="L358" s="50"/>
      <c r="M358" s="50"/>
      <c r="N358" s="50"/>
      <c r="O358" s="50"/>
    </row>
    <row r="359" spans="2:15" x14ac:dyDescent="0.25">
      <c r="B359" s="63" t="s">
        <v>182</v>
      </c>
      <c r="C359" s="64" t="s">
        <v>155</v>
      </c>
      <c r="D359" s="7"/>
      <c r="E359" s="36"/>
      <c r="F359" s="287" t="s">
        <v>224</v>
      </c>
      <c r="G359" s="165" t="s">
        <v>224</v>
      </c>
      <c r="H359" s="165" t="s">
        <v>224</v>
      </c>
      <c r="L359" s="50"/>
      <c r="M359" s="50"/>
      <c r="N359" s="50"/>
      <c r="O359" s="50"/>
    </row>
    <row r="360" spans="2:15" x14ac:dyDescent="0.25">
      <c r="B360" s="63" t="s">
        <v>182</v>
      </c>
      <c r="C360" s="64" t="s">
        <v>156</v>
      </c>
      <c r="D360" s="7"/>
      <c r="E360" s="36"/>
      <c r="F360" s="287" t="s">
        <v>224</v>
      </c>
      <c r="G360" s="165" t="s">
        <v>224</v>
      </c>
      <c r="H360" s="165" t="s">
        <v>224</v>
      </c>
      <c r="L360" s="50"/>
      <c r="M360" s="50"/>
      <c r="N360" s="50"/>
      <c r="O360" s="50"/>
    </row>
    <row r="361" spans="2:15" ht="15.75" thickBot="1" x14ac:dyDescent="0.3">
      <c r="B361" s="102" t="s">
        <v>182</v>
      </c>
      <c r="C361" s="103" t="s">
        <v>157</v>
      </c>
      <c r="D361" s="8"/>
      <c r="E361" s="36"/>
      <c r="F361" s="290" t="s">
        <v>224</v>
      </c>
      <c r="G361" s="207" t="s">
        <v>224</v>
      </c>
      <c r="H361" s="207" t="s">
        <v>224</v>
      </c>
      <c r="L361" s="50"/>
      <c r="M361" s="50"/>
      <c r="N361" s="50"/>
      <c r="O361" s="50"/>
    </row>
    <row r="362" spans="2:15" ht="15.75" thickBot="1" x14ac:dyDescent="0.3">
      <c r="G362" s="70"/>
      <c r="L362" s="50"/>
      <c r="M362" s="50"/>
      <c r="N362" s="50"/>
      <c r="O362" s="50"/>
    </row>
    <row r="363" spans="2:15" ht="21" thickBot="1" x14ac:dyDescent="0.35">
      <c r="G363" s="70"/>
      <c r="H363" s="209">
        <f>SUM(D198,D196,H199,H201,H203,H205,H209:H232,H234:H237,H255:H257,H260:H274,H277:H291)</f>
        <v>0</v>
      </c>
      <c r="I363" s="210" t="s">
        <v>183</v>
      </c>
      <c r="L363" s="50"/>
      <c r="M363" s="50"/>
      <c r="N363" s="50"/>
      <c r="O363" s="50"/>
    </row>
    <row r="364" spans="2:15" ht="21" thickBot="1" x14ac:dyDescent="0.35">
      <c r="G364" s="70"/>
      <c r="H364" s="211"/>
      <c r="I364" s="212"/>
      <c r="L364" s="50"/>
      <c r="M364" s="50"/>
      <c r="N364" s="50"/>
      <c r="O364" s="50"/>
    </row>
    <row r="365" spans="2:15" ht="21" thickBot="1" x14ac:dyDescent="0.35">
      <c r="G365" s="70"/>
      <c r="H365" s="209">
        <f>SUM(D197,H200,H202,H204,H206)</f>
        <v>0</v>
      </c>
      <c r="I365" s="210" t="s">
        <v>184</v>
      </c>
      <c r="L365" s="50"/>
      <c r="M365" s="50"/>
      <c r="N365" s="50"/>
      <c r="O365" s="50"/>
    </row>
    <row r="366" spans="2:15" ht="15.75" thickBot="1" x14ac:dyDescent="0.3">
      <c r="G366" s="70"/>
      <c r="H366" s="213"/>
      <c r="I366" s="153"/>
      <c r="L366" s="50"/>
      <c r="M366" s="50"/>
      <c r="N366" s="50"/>
      <c r="O366" s="50"/>
    </row>
    <row r="367" spans="2:15" x14ac:dyDescent="0.25">
      <c r="B367" s="324" t="s">
        <v>185</v>
      </c>
      <c r="C367" s="325"/>
      <c r="D367" s="325"/>
      <c r="E367" s="325"/>
      <c r="F367" s="325"/>
      <c r="G367" s="325"/>
      <c r="H367" s="326"/>
      <c r="L367" s="50"/>
      <c r="M367" s="50"/>
      <c r="N367" s="50"/>
      <c r="O367" s="50"/>
    </row>
    <row r="368" spans="2:15" x14ac:dyDescent="0.25">
      <c r="B368" s="327"/>
      <c r="C368" s="328"/>
      <c r="D368" s="328"/>
      <c r="E368" s="328"/>
      <c r="F368" s="328"/>
      <c r="G368" s="328"/>
      <c r="H368" s="329"/>
      <c r="L368" s="50"/>
      <c r="M368" s="50"/>
      <c r="N368" s="50"/>
      <c r="O368" s="50"/>
    </row>
    <row r="369" spans="2:15" ht="15.75" thickBot="1" x14ac:dyDescent="0.3">
      <c r="B369" s="330"/>
      <c r="C369" s="331"/>
      <c r="D369" s="331"/>
      <c r="E369" s="331"/>
      <c r="F369" s="331"/>
      <c r="G369" s="331"/>
      <c r="H369" s="332"/>
      <c r="L369" s="50"/>
      <c r="M369" s="50"/>
      <c r="N369" s="50"/>
      <c r="O369" s="50"/>
    </row>
    <row r="370" spans="2:15" x14ac:dyDescent="0.25">
      <c r="G370" s="70"/>
      <c r="H370" s="213"/>
      <c r="I370" s="153"/>
      <c r="L370" s="50"/>
      <c r="M370" s="50"/>
      <c r="N370" s="50"/>
      <c r="O370" s="50"/>
    </row>
    <row r="371" spans="2:15" ht="15.75" thickBot="1" x14ac:dyDescent="0.3">
      <c r="G371" s="49"/>
      <c r="L371" s="50"/>
      <c r="M371" s="50"/>
      <c r="N371" s="50"/>
      <c r="O371" s="50"/>
    </row>
    <row r="372" spans="2:15" ht="15.75" thickBot="1" x14ac:dyDescent="0.3">
      <c r="B372" s="214" t="s">
        <v>1</v>
      </c>
      <c r="C372" s="214" t="s">
        <v>2</v>
      </c>
      <c r="D372" s="215" t="s">
        <v>3</v>
      </c>
      <c r="E372" s="35"/>
      <c r="F372" s="291" t="s">
        <v>4</v>
      </c>
      <c r="G372" s="216" t="s">
        <v>5</v>
      </c>
      <c r="H372" s="215" t="s">
        <v>6</v>
      </c>
      <c r="L372" s="50"/>
      <c r="M372" s="50"/>
      <c r="N372" s="50"/>
      <c r="O372" s="50"/>
    </row>
    <row r="373" spans="2:15" x14ac:dyDescent="0.25">
      <c r="B373" s="60" t="s">
        <v>186</v>
      </c>
      <c r="C373" s="61" t="s">
        <v>8</v>
      </c>
      <c r="D373" s="279"/>
      <c r="E373" s="36"/>
      <c r="F373" s="292" t="s">
        <v>224</v>
      </c>
      <c r="G373" s="217" t="s">
        <v>224</v>
      </c>
      <c r="H373" s="217" t="s">
        <v>224</v>
      </c>
      <c r="L373" s="50"/>
      <c r="M373" s="50"/>
      <c r="N373" s="50"/>
      <c r="O373" s="50"/>
    </row>
    <row r="374" spans="2:15" x14ac:dyDescent="0.25">
      <c r="B374" s="91" t="s">
        <v>186</v>
      </c>
      <c r="C374" s="101" t="s">
        <v>270</v>
      </c>
      <c r="D374" s="278"/>
      <c r="E374" s="36"/>
      <c r="F374" s="293" t="s">
        <v>224</v>
      </c>
      <c r="G374" s="274" t="s">
        <v>224</v>
      </c>
      <c r="H374" s="274" t="s">
        <v>224</v>
      </c>
      <c r="L374" s="50"/>
      <c r="M374" s="50"/>
      <c r="N374" s="50"/>
      <c r="O374" s="50"/>
    </row>
    <row r="375" spans="2:15" x14ac:dyDescent="0.25">
      <c r="B375" s="63" t="s">
        <v>187</v>
      </c>
      <c r="C375" s="64" t="s">
        <v>242</v>
      </c>
      <c r="D375" s="266"/>
      <c r="E375" s="36"/>
      <c r="F375" s="294" t="s">
        <v>224</v>
      </c>
      <c r="G375" s="218" t="s">
        <v>224</v>
      </c>
      <c r="H375" s="218" t="s">
        <v>224</v>
      </c>
      <c r="L375" s="50"/>
      <c r="M375" s="50"/>
      <c r="N375" s="50"/>
      <c r="O375" s="50"/>
    </row>
    <row r="376" spans="2:15" x14ac:dyDescent="0.25">
      <c r="B376" s="63" t="s">
        <v>188</v>
      </c>
      <c r="C376" s="64" t="s">
        <v>255</v>
      </c>
      <c r="D376" s="280"/>
      <c r="E376" s="37"/>
      <c r="F376" s="294" t="s">
        <v>224</v>
      </c>
      <c r="G376" s="218" t="s">
        <v>224</v>
      </c>
      <c r="H376" s="218" t="s">
        <v>224</v>
      </c>
      <c r="L376" s="50"/>
      <c r="M376" s="50"/>
      <c r="N376" s="50"/>
      <c r="O376" s="50"/>
    </row>
    <row r="377" spans="2:15" x14ac:dyDescent="0.25">
      <c r="B377" s="63" t="s">
        <v>188</v>
      </c>
      <c r="C377" s="64" t="s">
        <v>256</v>
      </c>
      <c r="D377" s="280"/>
      <c r="E377" s="37"/>
      <c r="F377" s="294" t="s">
        <v>224</v>
      </c>
      <c r="G377" s="218" t="s">
        <v>224</v>
      </c>
      <c r="H377" s="218" t="s">
        <v>224</v>
      </c>
      <c r="L377" s="50"/>
      <c r="M377" s="50"/>
      <c r="N377" s="50"/>
      <c r="O377" s="50"/>
    </row>
    <row r="378" spans="2:15" x14ac:dyDescent="0.25">
      <c r="B378" s="63" t="s">
        <v>189</v>
      </c>
      <c r="C378" s="64" t="s">
        <v>12</v>
      </c>
      <c r="D378" s="14"/>
      <c r="E378" s="37"/>
      <c r="F378" s="294" t="s">
        <v>224</v>
      </c>
      <c r="G378" s="218" t="s">
        <v>224</v>
      </c>
      <c r="H378" s="218" t="s">
        <v>224</v>
      </c>
      <c r="L378" s="50"/>
      <c r="M378" s="50"/>
      <c r="N378" s="50"/>
      <c r="O378" s="50"/>
    </row>
    <row r="379" spans="2:15" x14ac:dyDescent="0.25">
      <c r="B379" s="63" t="s">
        <v>190</v>
      </c>
      <c r="C379" s="64" t="s">
        <v>14</v>
      </c>
      <c r="D379" s="7"/>
      <c r="E379" s="36"/>
      <c r="F379" s="294" t="s">
        <v>224</v>
      </c>
      <c r="G379" s="219">
        <v>18808758.221640371</v>
      </c>
      <c r="H379" s="219">
        <f t="shared" ref="H379:H390" si="9">D379*G379</f>
        <v>0</v>
      </c>
      <c r="L379" s="50"/>
      <c r="M379" s="50"/>
      <c r="N379" s="50"/>
      <c r="O379" s="50"/>
    </row>
    <row r="380" spans="2:15" x14ac:dyDescent="0.25">
      <c r="B380" s="63" t="s">
        <v>190</v>
      </c>
      <c r="C380" s="64" t="s">
        <v>15</v>
      </c>
      <c r="D380" s="17"/>
      <c r="E380" s="36"/>
      <c r="F380" s="294" t="s">
        <v>224</v>
      </c>
      <c r="G380" s="219">
        <v>3126854.7371418881</v>
      </c>
      <c r="H380" s="219">
        <f t="shared" si="9"/>
        <v>0</v>
      </c>
      <c r="L380" s="50"/>
      <c r="M380" s="50"/>
      <c r="N380" s="50"/>
      <c r="O380" s="50"/>
    </row>
    <row r="381" spans="2:15" x14ac:dyDescent="0.25">
      <c r="B381" s="63" t="s">
        <v>190</v>
      </c>
      <c r="C381" s="64" t="s">
        <v>16</v>
      </c>
      <c r="D381" s="7"/>
      <c r="E381" s="36"/>
      <c r="F381" s="294" t="s">
        <v>224</v>
      </c>
      <c r="G381" s="219">
        <v>0</v>
      </c>
      <c r="H381" s="219">
        <f t="shared" si="9"/>
        <v>0</v>
      </c>
      <c r="L381" s="50"/>
      <c r="M381" s="50"/>
      <c r="N381" s="50"/>
      <c r="O381" s="50"/>
    </row>
    <row r="382" spans="2:15" x14ac:dyDescent="0.25">
      <c r="B382" s="63" t="s">
        <v>190</v>
      </c>
      <c r="C382" s="64" t="s">
        <v>17</v>
      </c>
      <c r="D382" s="17"/>
      <c r="E382" s="36"/>
      <c r="F382" s="294" t="s">
        <v>224</v>
      </c>
      <c r="G382" s="219">
        <v>25215924.12338867</v>
      </c>
      <c r="H382" s="219">
        <f t="shared" si="9"/>
        <v>0</v>
      </c>
      <c r="L382" s="50"/>
      <c r="M382" s="50"/>
      <c r="N382" s="50"/>
      <c r="O382" s="50"/>
    </row>
    <row r="383" spans="2:15" x14ac:dyDescent="0.25">
      <c r="B383" s="63" t="s">
        <v>191</v>
      </c>
      <c r="C383" s="64" t="s">
        <v>192</v>
      </c>
      <c r="D383" s="7"/>
      <c r="E383" s="36"/>
      <c r="F383" s="294" t="s">
        <v>224</v>
      </c>
      <c r="G383" s="219">
        <v>527256576.06120217</v>
      </c>
      <c r="H383" s="219">
        <f t="shared" si="9"/>
        <v>0</v>
      </c>
      <c r="L383" s="50"/>
      <c r="M383" s="50"/>
      <c r="N383" s="50"/>
      <c r="O383" s="50"/>
    </row>
    <row r="384" spans="2:15" x14ac:dyDescent="0.25">
      <c r="B384" s="63" t="s">
        <v>191</v>
      </c>
      <c r="C384" s="64" t="s">
        <v>193</v>
      </c>
      <c r="D384" s="17"/>
      <c r="E384" s="36"/>
      <c r="F384" s="294" t="s">
        <v>224</v>
      </c>
      <c r="G384" s="219">
        <v>81527804.669278681</v>
      </c>
      <c r="H384" s="219">
        <f t="shared" si="9"/>
        <v>0</v>
      </c>
      <c r="L384" s="50"/>
      <c r="M384" s="50"/>
      <c r="N384" s="50"/>
      <c r="O384" s="50"/>
    </row>
    <row r="385" spans="2:15" x14ac:dyDescent="0.25">
      <c r="B385" s="63" t="s">
        <v>194</v>
      </c>
      <c r="C385" s="64" t="s">
        <v>195</v>
      </c>
      <c r="D385" s="7"/>
      <c r="E385" s="36"/>
      <c r="F385" s="294" t="s">
        <v>224</v>
      </c>
      <c r="G385" s="219">
        <v>2251140205.8619003</v>
      </c>
      <c r="H385" s="219">
        <f t="shared" si="9"/>
        <v>0</v>
      </c>
      <c r="L385" s="50"/>
      <c r="M385" s="50"/>
      <c r="N385" s="50"/>
      <c r="O385" s="50"/>
    </row>
    <row r="386" spans="2:15" x14ac:dyDescent="0.25">
      <c r="B386" s="63" t="s">
        <v>194</v>
      </c>
      <c r="C386" s="64" t="s">
        <v>196</v>
      </c>
      <c r="D386" s="17"/>
      <c r="E386" s="36"/>
      <c r="F386" s="294" t="s">
        <v>224</v>
      </c>
      <c r="G386" s="219">
        <v>272607186.42409754</v>
      </c>
      <c r="H386" s="219">
        <f t="shared" si="9"/>
        <v>0</v>
      </c>
      <c r="L386" s="50"/>
      <c r="M386" s="50"/>
      <c r="N386" s="50"/>
      <c r="O386" s="50"/>
    </row>
    <row r="387" spans="2:15" x14ac:dyDescent="0.25">
      <c r="B387" s="63" t="s">
        <v>197</v>
      </c>
      <c r="C387" s="64" t="s">
        <v>221</v>
      </c>
      <c r="D387" s="299"/>
      <c r="E387" s="36"/>
      <c r="F387" s="294" t="s">
        <v>224</v>
      </c>
      <c r="G387" s="219">
        <v>156221027.85146064</v>
      </c>
      <c r="H387" s="219">
        <f t="shared" si="9"/>
        <v>0</v>
      </c>
      <c r="L387" s="50"/>
      <c r="M387" s="50"/>
      <c r="N387" s="50"/>
      <c r="O387" s="50"/>
    </row>
    <row r="388" spans="2:15" x14ac:dyDescent="0.25">
      <c r="B388" s="63" t="s">
        <v>197</v>
      </c>
      <c r="C388" s="64" t="s">
        <v>240</v>
      </c>
      <c r="D388" s="220">
        <f>D387</f>
        <v>0</v>
      </c>
      <c r="E388" s="36"/>
      <c r="F388" s="294" t="s">
        <v>224</v>
      </c>
      <c r="G388" s="219">
        <v>259504539.32139692</v>
      </c>
      <c r="H388" s="219">
        <f t="shared" si="9"/>
        <v>0</v>
      </c>
      <c r="L388" s="50"/>
      <c r="M388" s="50"/>
      <c r="N388" s="50"/>
      <c r="O388" s="50"/>
    </row>
    <row r="389" spans="2:15" x14ac:dyDescent="0.25">
      <c r="B389" s="63" t="s">
        <v>198</v>
      </c>
      <c r="C389" s="64" t="s">
        <v>222</v>
      </c>
      <c r="D389" s="299"/>
      <c r="E389" s="36"/>
      <c r="F389" s="294" t="s">
        <v>224</v>
      </c>
      <c r="G389" s="219">
        <v>12554255.557736203</v>
      </c>
      <c r="H389" s="219">
        <f t="shared" si="9"/>
        <v>0</v>
      </c>
      <c r="L389" s="50"/>
      <c r="M389" s="50"/>
      <c r="N389" s="50"/>
      <c r="O389" s="50"/>
    </row>
    <row r="390" spans="2:15" ht="15.75" thickBot="1" x14ac:dyDescent="0.3">
      <c r="B390" s="84" t="s">
        <v>198</v>
      </c>
      <c r="C390" s="67" t="s">
        <v>241</v>
      </c>
      <c r="D390" s="221">
        <f>D389</f>
        <v>0</v>
      </c>
      <c r="E390" s="36"/>
      <c r="F390" s="295" t="s">
        <v>224</v>
      </c>
      <c r="G390" s="223">
        <v>43777310.315701097</v>
      </c>
      <c r="H390" s="223">
        <f t="shared" si="9"/>
        <v>0</v>
      </c>
      <c r="I390" s="94"/>
      <c r="L390" s="50"/>
      <c r="M390" s="50"/>
      <c r="N390" s="50"/>
      <c r="O390" s="50"/>
    </row>
    <row r="391" spans="2:15" ht="15.75" thickBot="1" x14ac:dyDescent="0.3">
      <c r="B391" s="224" t="s">
        <v>199</v>
      </c>
      <c r="C391" s="225" t="s">
        <v>254</v>
      </c>
      <c r="D391" s="226"/>
      <c r="E391" s="38"/>
      <c r="F391" s="291" t="s">
        <v>4</v>
      </c>
      <c r="G391" s="216" t="s">
        <v>5</v>
      </c>
      <c r="H391" s="215" t="s">
        <v>6</v>
      </c>
      <c r="I391" s="94"/>
      <c r="L391" s="50"/>
      <c r="M391" s="50"/>
      <c r="N391" s="50"/>
      <c r="O391" s="50"/>
    </row>
    <row r="392" spans="2:15" x14ac:dyDescent="0.25">
      <c r="B392" s="227" t="s">
        <v>199</v>
      </c>
      <c r="C392" s="228" t="s">
        <v>223</v>
      </c>
      <c r="D392" s="229" t="s">
        <v>224</v>
      </c>
      <c r="E392" s="35"/>
      <c r="F392" s="231">
        <v>0.83333333333333337</v>
      </c>
      <c r="G392" s="230" t="s">
        <v>224</v>
      </c>
      <c r="H392" s="230" t="s">
        <v>224</v>
      </c>
      <c r="I392" s="94"/>
      <c r="L392" s="50"/>
      <c r="M392" s="50"/>
      <c r="N392" s="50"/>
      <c r="O392" s="50"/>
    </row>
    <row r="393" spans="2:15" x14ac:dyDescent="0.25">
      <c r="B393" s="63" t="s">
        <v>199</v>
      </c>
      <c r="C393" s="64" t="s">
        <v>25</v>
      </c>
      <c r="D393" s="7"/>
      <c r="E393" s="36"/>
      <c r="F393" s="231">
        <v>4.1666666666666664E-2</v>
      </c>
      <c r="G393" s="219">
        <f>G383+G385+G387+G389</f>
        <v>2947172065.3322992</v>
      </c>
      <c r="H393" s="219">
        <f t="shared" ref="H393:H416" si="10">D393*F393*G393</f>
        <v>0</v>
      </c>
      <c r="I393" s="82"/>
      <c r="J393" s="70"/>
      <c r="L393" s="50"/>
      <c r="M393" s="50"/>
      <c r="N393" s="50"/>
      <c r="O393" s="50"/>
    </row>
    <row r="394" spans="2:15" x14ac:dyDescent="0.25">
      <c r="B394" s="63" t="s">
        <v>199</v>
      </c>
      <c r="C394" s="64" t="s">
        <v>26</v>
      </c>
      <c r="D394" s="7"/>
      <c r="E394" s="36"/>
      <c r="F394" s="231">
        <v>3.3333333333333333E-2</v>
      </c>
      <c r="G394" s="219">
        <f>G383+G385+G387+G389</f>
        <v>2947172065.3322992</v>
      </c>
      <c r="H394" s="219">
        <f t="shared" si="10"/>
        <v>0</v>
      </c>
      <c r="I394" s="94"/>
      <c r="L394" s="50"/>
      <c r="M394" s="50"/>
      <c r="N394" s="50"/>
      <c r="O394" s="50"/>
    </row>
    <row r="395" spans="2:15" x14ac:dyDescent="0.25">
      <c r="B395" s="63" t="s">
        <v>199</v>
      </c>
      <c r="C395" s="64" t="s">
        <v>27</v>
      </c>
      <c r="D395" s="7"/>
      <c r="E395" s="36"/>
      <c r="F395" s="231">
        <v>2.0833333333333332E-2</v>
      </c>
      <c r="G395" s="219">
        <f>G383+G385+G387+G389</f>
        <v>2947172065.3322992</v>
      </c>
      <c r="H395" s="219">
        <f t="shared" si="10"/>
        <v>0</v>
      </c>
      <c r="I395" s="94"/>
      <c r="L395" s="50"/>
      <c r="M395" s="50"/>
      <c r="N395" s="50"/>
      <c r="O395" s="50"/>
    </row>
    <row r="396" spans="2:15" x14ac:dyDescent="0.25">
      <c r="B396" s="63" t="s">
        <v>199</v>
      </c>
      <c r="C396" s="64" t="s">
        <v>28</v>
      </c>
      <c r="D396" s="7"/>
      <c r="E396" s="36"/>
      <c r="F396" s="231">
        <v>1.2500000000000001E-2</v>
      </c>
      <c r="G396" s="219">
        <f>G383+G385+G387+G389</f>
        <v>2947172065.3322992</v>
      </c>
      <c r="H396" s="219">
        <f t="shared" si="10"/>
        <v>0</v>
      </c>
      <c r="I396" s="94"/>
      <c r="L396" s="50"/>
      <c r="M396" s="50"/>
      <c r="N396" s="50"/>
      <c r="O396" s="50"/>
    </row>
    <row r="397" spans="2:15" x14ac:dyDescent="0.25">
      <c r="B397" s="63" t="s">
        <v>199</v>
      </c>
      <c r="C397" s="64" t="s">
        <v>29</v>
      </c>
      <c r="D397" s="7"/>
      <c r="E397" s="36"/>
      <c r="F397" s="231">
        <v>4.1666666666666666E-3</v>
      </c>
      <c r="G397" s="219">
        <f>G383+G385+G387+G389</f>
        <v>2947172065.3322992</v>
      </c>
      <c r="H397" s="219">
        <f t="shared" si="10"/>
        <v>0</v>
      </c>
      <c r="I397" s="94"/>
      <c r="L397" s="50"/>
      <c r="M397" s="50"/>
      <c r="N397" s="50"/>
      <c r="O397" s="50"/>
    </row>
    <row r="398" spans="2:15" x14ac:dyDescent="0.25">
      <c r="B398" s="63" t="s">
        <v>199</v>
      </c>
      <c r="C398" s="64" t="s">
        <v>30</v>
      </c>
      <c r="D398" s="7"/>
      <c r="E398" s="36"/>
      <c r="F398" s="231">
        <v>8.3333333333333332E-3</v>
      </c>
      <c r="G398" s="219">
        <f>G383+G385+G387+G389</f>
        <v>2947172065.3322992</v>
      </c>
      <c r="H398" s="219">
        <f t="shared" si="10"/>
        <v>0</v>
      </c>
      <c r="I398" s="94"/>
      <c r="L398" s="50"/>
      <c r="M398" s="50"/>
      <c r="N398" s="50"/>
      <c r="O398" s="50"/>
    </row>
    <row r="399" spans="2:15" x14ac:dyDescent="0.25">
      <c r="B399" s="63" t="s">
        <v>199</v>
      </c>
      <c r="C399" s="64" t="s">
        <v>31</v>
      </c>
      <c r="D399" s="7"/>
      <c r="E399" s="36"/>
      <c r="F399" s="231">
        <v>2.0833333333333333E-3</v>
      </c>
      <c r="G399" s="219">
        <f>G383+G385+G387+G389</f>
        <v>2947172065.3322992</v>
      </c>
      <c r="H399" s="219">
        <f t="shared" si="10"/>
        <v>0</v>
      </c>
      <c r="I399" s="94"/>
      <c r="L399" s="50"/>
      <c r="M399" s="50"/>
      <c r="N399" s="50"/>
      <c r="O399" s="50"/>
    </row>
    <row r="400" spans="2:15" x14ac:dyDescent="0.25">
      <c r="B400" s="63" t="s">
        <v>199</v>
      </c>
      <c r="C400" s="64" t="s">
        <v>32</v>
      </c>
      <c r="D400" s="7"/>
      <c r="E400" s="36"/>
      <c r="F400" s="231">
        <v>4.1666666666666666E-3</v>
      </c>
      <c r="G400" s="219">
        <f>G383+G385+G387+G389</f>
        <v>2947172065.3322992</v>
      </c>
      <c r="H400" s="219">
        <f t="shared" si="10"/>
        <v>0</v>
      </c>
      <c r="I400" s="94"/>
      <c r="L400" s="50"/>
      <c r="M400" s="50"/>
      <c r="N400" s="50"/>
      <c r="O400" s="50"/>
    </row>
    <row r="401" spans="2:15" x14ac:dyDescent="0.25">
      <c r="B401" s="63" t="s">
        <v>199</v>
      </c>
      <c r="C401" s="64" t="s">
        <v>33</v>
      </c>
      <c r="D401" s="7"/>
      <c r="E401" s="36"/>
      <c r="F401" s="231">
        <v>2.0833333333333333E-3</v>
      </c>
      <c r="G401" s="219">
        <f>G383+G385+G387+G389</f>
        <v>2947172065.3322992</v>
      </c>
      <c r="H401" s="219">
        <f t="shared" si="10"/>
        <v>0</v>
      </c>
      <c r="I401" s="94"/>
      <c r="L401" s="50"/>
      <c r="M401" s="50"/>
      <c r="N401" s="50"/>
      <c r="O401" s="50"/>
    </row>
    <row r="402" spans="2:15" x14ac:dyDescent="0.25">
      <c r="B402" s="63" t="s">
        <v>199</v>
      </c>
      <c r="C402" s="64" t="s">
        <v>34</v>
      </c>
      <c r="D402" s="7"/>
      <c r="E402" s="36"/>
      <c r="F402" s="231">
        <v>2.0833333333333333E-3</v>
      </c>
      <c r="G402" s="219">
        <f>G383+G385+G387+G389</f>
        <v>2947172065.3322992</v>
      </c>
      <c r="H402" s="219">
        <f t="shared" si="10"/>
        <v>0</v>
      </c>
      <c r="I402" s="94"/>
      <c r="L402" s="50"/>
      <c r="M402" s="50"/>
      <c r="N402" s="50"/>
      <c r="O402" s="50"/>
    </row>
    <row r="403" spans="2:15" x14ac:dyDescent="0.25">
      <c r="B403" s="63" t="s">
        <v>199</v>
      </c>
      <c r="C403" s="64" t="s">
        <v>35</v>
      </c>
      <c r="D403" s="7"/>
      <c r="E403" s="36"/>
      <c r="F403" s="231">
        <v>4.1666666666666666E-3</v>
      </c>
      <c r="G403" s="219">
        <f>G383+G385+G387+G389</f>
        <v>2947172065.3322992</v>
      </c>
      <c r="H403" s="219">
        <f t="shared" si="10"/>
        <v>0</v>
      </c>
      <c r="I403" s="94"/>
      <c r="L403" s="50"/>
      <c r="M403" s="50"/>
      <c r="N403" s="50"/>
      <c r="O403" s="50"/>
    </row>
    <row r="404" spans="2:15" x14ac:dyDescent="0.25">
      <c r="B404" s="63" t="s">
        <v>199</v>
      </c>
      <c r="C404" s="64" t="s">
        <v>36</v>
      </c>
      <c r="D404" s="7"/>
      <c r="E404" s="36"/>
      <c r="F404" s="231">
        <v>4.1666666666666666E-3</v>
      </c>
      <c r="G404" s="219">
        <f>G383+G385+G387+G389</f>
        <v>2947172065.3322992</v>
      </c>
      <c r="H404" s="219">
        <f t="shared" si="10"/>
        <v>0</v>
      </c>
      <c r="I404" s="94"/>
      <c r="L404" s="50"/>
      <c r="M404" s="50"/>
      <c r="N404" s="50"/>
      <c r="O404" s="50"/>
    </row>
    <row r="405" spans="2:15" x14ac:dyDescent="0.25">
      <c r="B405" s="63" t="s">
        <v>199</v>
      </c>
      <c r="C405" s="64" t="s">
        <v>37</v>
      </c>
      <c r="D405" s="7"/>
      <c r="E405" s="36"/>
      <c r="F405" s="231">
        <v>2.0833333333333333E-3</v>
      </c>
      <c r="G405" s="219">
        <f>G383+G385+G387+G389</f>
        <v>2947172065.3322992</v>
      </c>
      <c r="H405" s="219">
        <f t="shared" si="10"/>
        <v>0</v>
      </c>
      <c r="I405" s="94"/>
      <c r="L405" s="50"/>
      <c r="M405" s="50"/>
      <c r="N405" s="50"/>
      <c r="O405" s="50"/>
    </row>
    <row r="406" spans="2:15" x14ac:dyDescent="0.25">
      <c r="B406" s="63" t="s">
        <v>199</v>
      </c>
      <c r="C406" s="64" t="s">
        <v>38</v>
      </c>
      <c r="D406" s="7"/>
      <c r="E406" s="36"/>
      <c r="F406" s="231">
        <v>4.1666666666666666E-3</v>
      </c>
      <c r="G406" s="219">
        <f>G383+G385+G387+G389</f>
        <v>2947172065.3322992</v>
      </c>
      <c r="H406" s="219">
        <f t="shared" si="10"/>
        <v>0</v>
      </c>
      <c r="I406" s="94"/>
      <c r="L406" s="50"/>
      <c r="M406" s="50"/>
      <c r="N406" s="50"/>
      <c r="O406" s="50"/>
    </row>
    <row r="407" spans="2:15" x14ac:dyDescent="0.25">
      <c r="B407" s="63" t="s">
        <v>199</v>
      </c>
      <c r="C407" s="64" t="s">
        <v>39</v>
      </c>
      <c r="D407" s="7"/>
      <c r="E407" s="36"/>
      <c r="F407" s="231">
        <v>2.0833333333333333E-3</v>
      </c>
      <c r="G407" s="219">
        <f>G383+G385+G387+G389</f>
        <v>2947172065.3322992</v>
      </c>
      <c r="H407" s="219">
        <f t="shared" si="10"/>
        <v>0</v>
      </c>
      <c r="I407" s="94"/>
      <c r="L407" s="50"/>
      <c r="M407" s="50"/>
      <c r="N407" s="50"/>
      <c r="O407" s="50"/>
    </row>
    <row r="408" spans="2:15" x14ac:dyDescent="0.25">
      <c r="B408" s="63" t="s">
        <v>199</v>
      </c>
      <c r="C408" s="64" t="s">
        <v>40</v>
      </c>
      <c r="D408" s="7"/>
      <c r="E408" s="36"/>
      <c r="F408" s="231">
        <v>2.0833333333333333E-3</v>
      </c>
      <c r="G408" s="219">
        <f>G383+G385+G387+G389</f>
        <v>2947172065.3322992</v>
      </c>
      <c r="H408" s="219">
        <f t="shared" si="10"/>
        <v>0</v>
      </c>
      <c r="I408" s="94"/>
      <c r="L408" s="50"/>
      <c r="M408" s="50"/>
      <c r="N408" s="50"/>
      <c r="O408" s="50"/>
    </row>
    <row r="409" spans="2:15" x14ac:dyDescent="0.25">
      <c r="B409" s="63" t="s">
        <v>199</v>
      </c>
      <c r="C409" s="64" t="s">
        <v>41</v>
      </c>
      <c r="D409" s="7"/>
      <c r="E409" s="36"/>
      <c r="F409" s="231">
        <v>2.0833333333333333E-3</v>
      </c>
      <c r="G409" s="219">
        <f>G383+G385+G387+G389</f>
        <v>2947172065.3322992</v>
      </c>
      <c r="H409" s="219">
        <f t="shared" si="10"/>
        <v>0</v>
      </c>
      <c r="I409" s="94"/>
      <c r="L409" s="50"/>
      <c r="M409" s="50"/>
      <c r="N409" s="50"/>
      <c r="O409" s="50"/>
    </row>
    <row r="410" spans="2:15" x14ac:dyDescent="0.25">
      <c r="B410" s="63" t="s">
        <v>199</v>
      </c>
      <c r="C410" s="64" t="s">
        <v>42</v>
      </c>
      <c r="D410" s="7"/>
      <c r="E410" s="36"/>
      <c r="F410" s="231">
        <v>2.0833333333333333E-3</v>
      </c>
      <c r="G410" s="219">
        <f>G383+G385+G387+G389</f>
        <v>2947172065.3322992</v>
      </c>
      <c r="H410" s="219">
        <f t="shared" si="10"/>
        <v>0</v>
      </c>
      <c r="I410" s="94"/>
      <c r="L410" s="50"/>
      <c r="M410" s="50"/>
      <c r="N410" s="50"/>
      <c r="O410" s="50"/>
    </row>
    <row r="411" spans="2:15" x14ac:dyDescent="0.25">
      <c r="B411" s="63" t="s">
        <v>199</v>
      </c>
      <c r="C411" s="64" t="s">
        <v>43</v>
      </c>
      <c r="D411" s="7"/>
      <c r="E411" s="36"/>
      <c r="F411" s="231">
        <v>2.0833333333333333E-3</v>
      </c>
      <c r="G411" s="219">
        <f>G383+G385+G387+G389</f>
        <v>2947172065.3322992</v>
      </c>
      <c r="H411" s="219">
        <f t="shared" si="10"/>
        <v>0</v>
      </c>
      <c r="I411" s="94"/>
      <c r="L411" s="50"/>
      <c r="M411" s="50"/>
      <c r="N411" s="50"/>
      <c r="O411" s="50"/>
    </row>
    <row r="412" spans="2:15" x14ac:dyDescent="0.25">
      <c r="B412" s="63" t="s">
        <v>199</v>
      </c>
      <c r="C412" s="64" t="s">
        <v>44</v>
      </c>
      <c r="D412" s="7"/>
      <c r="E412" s="36"/>
      <c r="F412" s="231">
        <v>2.0833333333333333E-3</v>
      </c>
      <c r="G412" s="219">
        <f>G383+G385+G387+G389</f>
        <v>2947172065.3322992</v>
      </c>
      <c r="H412" s="219">
        <f t="shared" si="10"/>
        <v>0</v>
      </c>
      <c r="I412" s="94"/>
      <c r="L412" s="50"/>
      <c r="M412" s="50"/>
      <c r="N412" s="50"/>
      <c r="O412" s="50"/>
    </row>
    <row r="413" spans="2:15" x14ac:dyDescent="0.25">
      <c r="B413" s="63" t="s">
        <v>199</v>
      </c>
      <c r="C413" s="64" t="s">
        <v>45</v>
      </c>
      <c r="D413" s="7"/>
      <c r="E413" s="36"/>
      <c r="F413" s="231">
        <v>2.0833333333333333E-3</v>
      </c>
      <c r="G413" s="219">
        <f>G383+G385+G387+G389</f>
        <v>2947172065.3322992</v>
      </c>
      <c r="H413" s="219">
        <f t="shared" si="10"/>
        <v>0</v>
      </c>
      <c r="I413" s="94"/>
      <c r="L413" s="50"/>
      <c r="M413" s="50"/>
      <c r="N413" s="50"/>
      <c r="O413" s="50"/>
    </row>
    <row r="414" spans="2:15" x14ac:dyDescent="0.25">
      <c r="B414" s="63" t="s">
        <v>199</v>
      </c>
      <c r="C414" s="64" t="s">
        <v>46</v>
      </c>
      <c r="D414" s="7"/>
      <c r="E414" s="36"/>
      <c r="F414" s="231">
        <v>2.0833333333333333E-3</v>
      </c>
      <c r="G414" s="219">
        <f>G383+G385+G387+G389</f>
        <v>2947172065.3322992</v>
      </c>
      <c r="H414" s="219">
        <f t="shared" si="10"/>
        <v>0</v>
      </c>
      <c r="I414" s="94"/>
      <c r="L414" s="50"/>
      <c r="M414" s="50"/>
      <c r="N414" s="50"/>
      <c r="O414" s="50"/>
    </row>
    <row r="415" spans="2:15" x14ac:dyDescent="0.25">
      <c r="B415" s="63" t="s">
        <v>199</v>
      </c>
      <c r="C415" s="64" t="s">
        <v>47</v>
      </c>
      <c r="D415" s="7"/>
      <c r="E415" s="36"/>
      <c r="F415" s="231">
        <v>2.0833333333333333E-3</v>
      </c>
      <c r="G415" s="219">
        <f>G383+G385+G387+G389</f>
        <v>2947172065.3322992</v>
      </c>
      <c r="H415" s="219">
        <f t="shared" si="10"/>
        <v>0</v>
      </c>
      <c r="I415" s="94"/>
      <c r="L415" s="50"/>
      <c r="M415" s="50"/>
      <c r="N415" s="50"/>
      <c r="O415" s="50"/>
    </row>
    <row r="416" spans="2:15" ht="15.75" thickBot="1" x14ac:dyDescent="0.3">
      <c r="B416" s="84" t="s">
        <v>199</v>
      </c>
      <c r="C416" s="67" t="s">
        <v>48</v>
      </c>
      <c r="D416" s="10"/>
      <c r="E416" s="36"/>
      <c r="F416" s="232">
        <v>2.0833333333333333E-3</v>
      </c>
      <c r="G416" s="223">
        <f>G383+G385+G387+G389</f>
        <v>2947172065.3322992</v>
      </c>
      <c r="H416" s="223">
        <f t="shared" si="10"/>
        <v>0</v>
      </c>
      <c r="I416" s="94"/>
      <c r="L416" s="50"/>
      <c r="M416" s="50"/>
      <c r="N416" s="50"/>
      <c r="O416" s="50"/>
    </row>
    <row r="417" spans="2:15" ht="15.75" thickBot="1" x14ac:dyDescent="0.3">
      <c r="B417" s="224" t="s">
        <v>200</v>
      </c>
      <c r="C417" s="225" t="s">
        <v>201</v>
      </c>
      <c r="D417" s="226"/>
      <c r="E417" s="38"/>
      <c r="F417" s="291" t="s">
        <v>4</v>
      </c>
      <c r="G417" s="216" t="s">
        <v>5</v>
      </c>
      <c r="H417" s="215" t="s">
        <v>6</v>
      </c>
      <c r="I417" s="94"/>
      <c r="L417" s="50"/>
      <c r="M417" s="50"/>
      <c r="N417" s="50"/>
      <c r="O417" s="50"/>
    </row>
    <row r="418" spans="2:15" x14ac:dyDescent="0.25">
      <c r="B418" s="60" t="s">
        <v>200</v>
      </c>
      <c r="C418" s="61" t="s">
        <v>51</v>
      </c>
      <c r="D418" s="9"/>
      <c r="E418" s="36"/>
      <c r="F418" s="233">
        <v>4.1237113402061855E-2</v>
      </c>
      <c r="G418" s="234">
        <f>G385+G387+G389</f>
        <v>2419915489.2710972</v>
      </c>
      <c r="H418" s="234">
        <f>D418*F418*G418</f>
        <v>0</v>
      </c>
      <c r="I418" s="94"/>
      <c r="L418" s="50"/>
      <c r="M418" s="50"/>
      <c r="N418" s="50"/>
      <c r="O418" s="50"/>
    </row>
    <row r="419" spans="2:15" x14ac:dyDescent="0.25">
      <c r="B419" s="63" t="s">
        <v>200</v>
      </c>
      <c r="C419" s="64" t="s">
        <v>52</v>
      </c>
      <c r="D419" s="7"/>
      <c r="E419" s="36"/>
      <c r="F419" s="231">
        <v>1.0309278350515464E-2</v>
      </c>
      <c r="G419" s="219">
        <f>G385+G387+G389</f>
        <v>2419915489.2710972</v>
      </c>
      <c r="H419" s="219">
        <f>D419*F419*G419</f>
        <v>0</v>
      </c>
      <c r="I419" s="94"/>
      <c r="L419" s="50"/>
      <c r="M419" s="50"/>
      <c r="N419" s="50"/>
      <c r="O419" s="50"/>
    </row>
    <row r="420" spans="2:15" x14ac:dyDescent="0.25">
      <c r="B420" s="63" t="s">
        <v>200</v>
      </c>
      <c r="C420" s="64" t="s">
        <v>53</v>
      </c>
      <c r="D420" s="7"/>
      <c r="E420" s="36"/>
      <c r="F420" s="231">
        <v>7.7319587628865982E-2</v>
      </c>
      <c r="G420" s="219">
        <f>G385+G387+G389</f>
        <v>2419915489.2710972</v>
      </c>
      <c r="H420" s="219">
        <f>D420*F420*G420</f>
        <v>0</v>
      </c>
      <c r="I420" s="94"/>
      <c r="L420" s="50"/>
      <c r="M420" s="50"/>
      <c r="N420" s="50"/>
      <c r="O420" s="50"/>
    </row>
    <row r="421" spans="2:15" x14ac:dyDescent="0.25">
      <c r="B421" s="63" t="s">
        <v>200</v>
      </c>
      <c r="C421" s="64" t="s">
        <v>54</v>
      </c>
      <c r="D421" s="7"/>
      <c r="E421" s="36"/>
      <c r="F421" s="231">
        <v>9.2783505154639179E-2</v>
      </c>
      <c r="G421" s="219">
        <f>G385+G387+G389</f>
        <v>2419915489.2710972</v>
      </c>
      <c r="H421" s="219">
        <f>D421*F421*G421</f>
        <v>0</v>
      </c>
      <c r="I421" s="94"/>
      <c r="L421" s="50"/>
      <c r="M421" s="50"/>
      <c r="N421" s="50"/>
      <c r="O421" s="50"/>
    </row>
    <row r="422" spans="2:15" ht="15.75" thickBot="1" x14ac:dyDescent="0.3">
      <c r="B422" s="84" t="s">
        <v>200</v>
      </c>
      <c r="C422" s="67" t="s">
        <v>55</v>
      </c>
      <c r="D422" s="235" t="s">
        <v>224</v>
      </c>
      <c r="E422" s="39"/>
      <c r="F422" s="236">
        <v>0.77835051546391754</v>
      </c>
      <c r="G422" s="237" t="s">
        <v>224</v>
      </c>
      <c r="H422" s="238" t="s">
        <v>224</v>
      </c>
      <c r="I422" s="94"/>
      <c r="L422" s="50"/>
      <c r="M422" s="50"/>
      <c r="N422" s="50"/>
      <c r="O422" s="50"/>
    </row>
    <row r="423" spans="2:15" ht="15.75" thickBot="1" x14ac:dyDescent="0.3">
      <c r="B423" s="224" t="s">
        <v>202</v>
      </c>
      <c r="C423" s="225" t="s">
        <v>203</v>
      </c>
      <c r="D423" s="226"/>
      <c r="E423" s="38"/>
      <c r="F423" s="291" t="s">
        <v>4</v>
      </c>
      <c r="G423" s="216" t="s">
        <v>5</v>
      </c>
      <c r="H423" s="215" t="s">
        <v>6</v>
      </c>
      <c r="I423" s="94"/>
      <c r="L423" s="50"/>
      <c r="M423" s="50"/>
      <c r="N423" s="50"/>
      <c r="O423" s="50"/>
    </row>
    <row r="424" spans="2:15" ht="15.75" thickBot="1" x14ac:dyDescent="0.3">
      <c r="B424" s="60" t="s">
        <v>202</v>
      </c>
      <c r="C424" s="61" t="s">
        <v>58</v>
      </c>
      <c r="D424" s="9"/>
      <c r="E424" s="36"/>
      <c r="F424" s="292" t="s">
        <v>224</v>
      </c>
      <c r="G424" s="217" t="s">
        <v>224</v>
      </c>
      <c r="H424" s="217" t="s">
        <v>224</v>
      </c>
      <c r="I424" s="94"/>
      <c r="L424" s="50"/>
      <c r="M424" s="50"/>
      <c r="N424" s="50"/>
      <c r="O424" s="50"/>
    </row>
    <row r="425" spans="2:15" ht="15.75" thickBot="1" x14ac:dyDescent="0.3">
      <c r="B425" s="63" t="s">
        <v>202</v>
      </c>
      <c r="C425" s="64" t="s">
        <v>59</v>
      </c>
      <c r="D425" s="9"/>
      <c r="E425" s="36"/>
      <c r="F425" s="294" t="s">
        <v>224</v>
      </c>
      <c r="G425" s="218" t="s">
        <v>224</v>
      </c>
      <c r="H425" s="218" t="s">
        <v>224</v>
      </c>
      <c r="I425" s="94"/>
      <c r="L425" s="50"/>
      <c r="M425" s="50"/>
      <c r="N425" s="50"/>
      <c r="O425" s="50"/>
    </row>
    <row r="426" spans="2:15" ht="15.75" thickBot="1" x14ac:dyDescent="0.3">
      <c r="B426" s="63" t="s">
        <v>202</v>
      </c>
      <c r="C426" s="64" t="s">
        <v>60</v>
      </c>
      <c r="D426" s="9"/>
      <c r="E426" s="36"/>
      <c r="F426" s="294" t="s">
        <v>224</v>
      </c>
      <c r="G426" s="218" t="s">
        <v>224</v>
      </c>
      <c r="H426" s="218" t="s">
        <v>224</v>
      </c>
      <c r="I426" s="94"/>
      <c r="L426" s="50"/>
      <c r="M426" s="50"/>
      <c r="N426" s="50"/>
      <c r="O426" s="50"/>
    </row>
    <row r="427" spans="2:15" ht="15.75" thickBot="1" x14ac:dyDescent="0.3">
      <c r="B427" s="63" t="s">
        <v>202</v>
      </c>
      <c r="C427" s="64" t="s">
        <v>61</v>
      </c>
      <c r="D427" s="9"/>
      <c r="E427" s="36"/>
      <c r="F427" s="294" t="s">
        <v>224</v>
      </c>
      <c r="G427" s="218" t="s">
        <v>224</v>
      </c>
      <c r="H427" s="218" t="s">
        <v>224</v>
      </c>
      <c r="I427" s="94"/>
      <c r="L427" s="50"/>
      <c r="M427" s="50"/>
      <c r="N427" s="50"/>
      <c r="O427" s="50"/>
    </row>
    <row r="428" spans="2:15" ht="15.75" thickBot="1" x14ac:dyDescent="0.3">
      <c r="B428" s="63" t="s">
        <v>202</v>
      </c>
      <c r="C428" s="64" t="s">
        <v>62</v>
      </c>
      <c r="D428" s="9"/>
      <c r="E428" s="36"/>
      <c r="F428" s="294" t="s">
        <v>224</v>
      </c>
      <c r="G428" s="218" t="s">
        <v>224</v>
      </c>
      <c r="H428" s="218" t="s">
        <v>224</v>
      </c>
      <c r="I428" s="94"/>
      <c r="L428" s="50"/>
      <c r="M428" s="50"/>
      <c r="N428" s="50"/>
      <c r="O428" s="50"/>
    </row>
    <row r="429" spans="2:15" ht="15.75" thickBot="1" x14ac:dyDescent="0.3">
      <c r="B429" s="63" t="s">
        <v>202</v>
      </c>
      <c r="C429" s="64" t="s">
        <v>63</v>
      </c>
      <c r="D429" s="9"/>
      <c r="E429" s="36"/>
      <c r="F429" s="294" t="s">
        <v>224</v>
      </c>
      <c r="G429" s="218" t="s">
        <v>224</v>
      </c>
      <c r="H429" s="218" t="s">
        <v>224</v>
      </c>
      <c r="I429" s="94"/>
      <c r="L429" s="50"/>
      <c r="M429" s="50"/>
      <c r="N429" s="50"/>
      <c r="O429" s="50"/>
    </row>
    <row r="430" spans="2:15" ht="15.75" thickBot="1" x14ac:dyDescent="0.3">
      <c r="B430" s="63" t="s">
        <v>202</v>
      </c>
      <c r="C430" s="79" t="s">
        <v>259</v>
      </c>
      <c r="D430" s="9"/>
      <c r="E430" s="36"/>
      <c r="F430" s="294" t="s">
        <v>224</v>
      </c>
      <c r="G430" s="218" t="s">
        <v>224</v>
      </c>
      <c r="H430" s="218" t="s">
        <v>224</v>
      </c>
      <c r="I430" s="94"/>
      <c r="L430" s="50"/>
      <c r="M430" s="50"/>
      <c r="N430" s="50"/>
      <c r="O430" s="50"/>
    </row>
    <row r="431" spans="2:15" ht="15.75" thickBot="1" x14ac:dyDescent="0.3">
      <c r="B431" s="63" t="s">
        <v>202</v>
      </c>
      <c r="C431" s="79" t="s">
        <v>260</v>
      </c>
      <c r="D431" s="9"/>
      <c r="E431" s="36"/>
      <c r="F431" s="294" t="s">
        <v>224</v>
      </c>
      <c r="G431" s="218" t="s">
        <v>224</v>
      </c>
      <c r="H431" s="218" t="s">
        <v>224</v>
      </c>
      <c r="I431" s="94"/>
      <c r="L431" s="50"/>
      <c r="M431" s="50"/>
      <c r="N431" s="50"/>
      <c r="O431" s="50"/>
    </row>
    <row r="432" spans="2:15" ht="15.75" thickBot="1" x14ac:dyDescent="0.3">
      <c r="B432" s="63" t="s">
        <v>202</v>
      </c>
      <c r="C432" s="79" t="s">
        <v>261</v>
      </c>
      <c r="D432" s="9"/>
      <c r="E432" s="36"/>
      <c r="F432" s="294" t="s">
        <v>224</v>
      </c>
      <c r="G432" s="218" t="s">
        <v>224</v>
      </c>
      <c r="H432" s="218" t="s">
        <v>224</v>
      </c>
      <c r="I432" s="94"/>
      <c r="L432" s="50"/>
      <c r="M432" s="50"/>
      <c r="N432" s="50"/>
      <c r="O432" s="50"/>
    </row>
    <row r="433" spans="2:15" ht="15.75" thickBot="1" x14ac:dyDescent="0.3">
      <c r="B433" s="63" t="s">
        <v>202</v>
      </c>
      <c r="C433" s="79" t="s">
        <v>262</v>
      </c>
      <c r="D433" s="9"/>
      <c r="E433" s="36"/>
      <c r="F433" s="294" t="s">
        <v>224</v>
      </c>
      <c r="G433" s="218" t="s">
        <v>224</v>
      </c>
      <c r="H433" s="218" t="s">
        <v>224</v>
      </c>
      <c r="I433" s="94"/>
      <c r="L433" s="50"/>
      <c r="M433" s="50"/>
      <c r="N433" s="50"/>
      <c r="O433" s="50"/>
    </row>
    <row r="434" spans="2:15" ht="15.75" thickBot="1" x14ac:dyDescent="0.3">
      <c r="B434" s="63" t="s">
        <v>202</v>
      </c>
      <c r="C434" s="79" t="s">
        <v>263</v>
      </c>
      <c r="D434" s="9"/>
      <c r="E434" s="36"/>
      <c r="F434" s="294" t="s">
        <v>224</v>
      </c>
      <c r="G434" s="218" t="s">
        <v>224</v>
      </c>
      <c r="H434" s="218" t="s">
        <v>224</v>
      </c>
      <c r="I434" s="94"/>
      <c r="L434" s="50"/>
      <c r="M434" s="50"/>
      <c r="N434" s="50"/>
      <c r="O434" s="50"/>
    </row>
    <row r="435" spans="2:15" ht="15.75" thickBot="1" x14ac:dyDescent="0.3">
      <c r="B435" s="63" t="s">
        <v>202</v>
      </c>
      <c r="C435" s="79" t="s">
        <v>264</v>
      </c>
      <c r="D435" s="9"/>
      <c r="E435" s="36"/>
      <c r="F435" s="294" t="s">
        <v>224</v>
      </c>
      <c r="G435" s="218" t="s">
        <v>224</v>
      </c>
      <c r="H435" s="218" t="s">
        <v>224</v>
      </c>
      <c r="I435" s="94"/>
      <c r="L435" s="50"/>
      <c r="M435" s="50"/>
      <c r="N435" s="50"/>
      <c r="O435" s="50"/>
    </row>
    <row r="436" spans="2:15" ht="15.75" thickBot="1" x14ac:dyDescent="0.3">
      <c r="B436" s="63" t="s">
        <v>202</v>
      </c>
      <c r="C436" s="85" t="s">
        <v>265</v>
      </c>
      <c r="D436" s="9"/>
      <c r="E436" s="36"/>
      <c r="F436" s="294" t="s">
        <v>224</v>
      </c>
      <c r="G436" s="218" t="s">
        <v>224</v>
      </c>
      <c r="H436" s="218" t="s">
        <v>224</v>
      </c>
      <c r="I436" s="94"/>
      <c r="L436" s="50"/>
      <c r="M436" s="50"/>
      <c r="N436" s="50"/>
      <c r="O436" s="50"/>
    </row>
    <row r="437" spans="2:15" ht="15.75" thickBot="1" x14ac:dyDescent="0.3">
      <c r="B437" s="224" t="s">
        <v>204</v>
      </c>
      <c r="C437" s="225" t="s">
        <v>65</v>
      </c>
      <c r="D437" s="226"/>
      <c r="E437" s="38"/>
      <c r="F437" s="291" t="s">
        <v>4</v>
      </c>
      <c r="G437" s="216" t="s">
        <v>5</v>
      </c>
      <c r="H437" s="215" t="s">
        <v>6</v>
      </c>
      <c r="I437" s="94"/>
      <c r="L437" s="50"/>
      <c r="M437" s="50"/>
      <c r="N437" s="50"/>
      <c r="O437" s="50"/>
    </row>
    <row r="438" spans="2:15" x14ac:dyDescent="0.25">
      <c r="B438" s="227" t="s">
        <v>204</v>
      </c>
      <c r="C438" s="176" t="s">
        <v>66</v>
      </c>
      <c r="D438" s="239" t="s">
        <v>224</v>
      </c>
      <c r="E438" s="39"/>
      <c r="F438" s="240">
        <v>0.96024464831804279</v>
      </c>
      <c r="G438" s="241" t="s">
        <v>224</v>
      </c>
      <c r="H438" s="230" t="s">
        <v>224</v>
      </c>
      <c r="I438" s="94"/>
      <c r="L438" s="50"/>
      <c r="M438" s="50"/>
      <c r="N438" s="50"/>
      <c r="O438" s="50"/>
    </row>
    <row r="439" spans="2:15" x14ac:dyDescent="0.25">
      <c r="B439" s="63" t="s">
        <v>204</v>
      </c>
      <c r="C439" s="64" t="s">
        <v>67</v>
      </c>
      <c r="D439" s="7"/>
      <c r="E439" s="36"/>
      <c r="F439" s="231">
        <v>3.0581039755351681E-2</v>
      </c>
      <c r="G439" s="219">
        <f>G385</f>
        <v>2251140205.8619003</v>
      </c>
      <c r="H439" s="219">
        <f>D439*F439*G439</f>
        <v>0</v>
      </c>
      <c r="I439" s="94"/>
      <c r="L439" s="50"/>
      <c r="M439" s="50"/>
      <c r="N439" s="50"/>
      <c r="O439" s="50"/>
    </row>
    <row r="440" spans="2:15" x14ac:dyDescent="0.25">
      <c r="B440" s="63" t="s">
        <v>204</v>
      </c>
      <c r="C440" s="64" t="s">
        <v>68</v>
      </c>
      <c r="D440" s="7"/>
      <c r="E440" s="36"/>
      <c r="F440" s="231">
        <v>3.0581039755351682E-3</v>
      </c>
      <c r="G440" s="219">
        <f>G385</f>
        <v>2251140205.8619003</v>
      </c>
      <c r="H440" s="219">
        <f>D440*F440*G440</f>
        <v>0</v>
      </c>
      <c r="I440" s="94"/>
      <c r="L440" s="50"/>
      <c r="M440" s="50"/>
      <c r="N440" s="50"/>
      <c r="O440" s="50"/>
    </row>
    <row r="441" spans="2:15" ht="15.75" thickBot="1" x14ac:dyDescent="0.3">
      <c r="B441" s="84" t="s">
        <v>204</v>
      </c>
      <c r="C441" s="67" t="s">
        <v>69</v>
      </c>
      <c r="D441" s="10"/>
      <c r="E441" s="36"/>
      <c r="F441" s="232">
        <v>6.1162079510703364E-3</v>
      </c>
      <c r="G441" s="223">
        <f>G385</f>
        <v>2251140205.8619003</v>
      </c>
      <c r="H441" s="223">
        <f>D441*F441*G441</f>
        <v>0</v>
      </c>
      <c r="I441" s="94"/>
      <c r="L441" s="50"/>
      <c r="M441" s="50"/>
      <c r="N441" s="50"/>
      <c r="O441" s="50"/>
    </row>
    <row r="442" spans="2:15" ht="15.75" thickBot="1" x14ac:dyDescent="0.3">
      <c r="B442" s="224" t="s">
        <v>205</v>
      </c>
      <c r="C442" s="225" t="s">
        <v>206</v>
      </c>
      <c r="D442" s="226"/>
      <c r="E442" s="38"/>
      <c r="F442" s="291" t="s">
        <v>4</v>
      </c>
      <c r="G442" s="216" t="s">
        <v>5</v>
      </c>
      <c r="H442" s="215" t="s">
        <v>6</v>
      </c>
      <c r="I442" s="94"/>
      <c r="L442" s="50"/>
      <c r="M442" s="50"/>
      <c r="N442" s="50"/>
      <c r="O442" s="50"/>
    </row>
    <row r="443" spans="2:15" x14ac:dyDescent="0.25">
      <c r="B443" s="227" t="s">
        <v>205</v>
      </c>
      <c r="C443" s="176" t="s">
        <v>72</v>
      </c>
      <c r="D443" s="239" t="s">
        <v>224</v>
      </c>
      <c r="E443" s="39"/>
      <c r="F443" s="240">
        <v>0.95</v>
      </c>
      <c r="G443" s="241" t="s">
        <v>224</v>
      </c>
      <c r="H443" s="230" t="s">
        <v>224</v>
      </c>
      <c r="I443" s="94"/>
      <c r="L443" s="50"/>
      <c r="M443" s="50"/>
      <c r="N443" s="50"/>
      <c r="O443" s="50"/>
    </row>
    <row r="444" spans="2:15" x14ac:dyDescent="0.25">
      <c r="B444" s="63" t="s">
        <v>205</v>
      </c>
      <c r="C444" s="64" t="s">
        <v>73</v>
      </c>
      <c r="D444" s="7"/>
      <c r="E444" s="36"/>
      <c r="F444" s="231">
        <v>5.0000000000000001E-3</v>
      </c>
      <c r="G444" s="219">
        <f>G385+G387+G389</f>
        <v>2419915489.2710972</v>
      </c>
      <c r="H444" s="219">
        <f t="shared" ref="H444:H458" si="11">D444*F444*G444</f>
        <v>0</v>
      </c>
      <c r="I444" s="94"/>
      <c r="L444" s="50"/>
      <c r="M444" s="50"/>
      <c r="N444" s="50"/>
      <c r="O444" s="50"/>
    </row>
    <row r="445" spans="2:15" x14ac:dyDescent="0.25">
      <c r="B445" s="63" t="s">
        <v>205</v>
      </c>
      <c r="C445" s="64" t="s">
        <v>74</v>
      </c>
      <c r="D445" s="7"/>
      <c r="E445" s="36"/>
      <c r="F445" s="231">
        <v>0.01</v>
      </c>
      <c r="G445" s="219">
        <f>G385+G387+G389</f>
        <v>2419915489.2710972</v>
      </c>
      <c r="H445" s="219">
        <f t="shared" si="11"/>
        <v>0</v>
      </c>
      <c r="I445" s="94"/>
      <c r="L445" s="50"/>
      <c r="M445" s="50"/>
      <c r="N445" s="50"/>
      <c r="O445" s="50"/>
    </row>
    <row r="446" spans="2:15" x14ac:dyDescent="0.25">
      <c r="B446" s="63" t="s">
        <v>205</v>
      </c>
      <c r="C446" s="64" t="s">
        <v>75</v>
      </c>
      <c r="D446" s="7"/>
      <c r="E446" s="36"/>
      <c r="F446" s="231">
        <v>2.5000000000000001E-3</v>
      </c>
      <c r="G446" s="219">
        <f>G385+G387+G389</f>
        <v>2419915489.2710972</v>
      </c>
      <c r="H446" s="219">
        <f t="shared" si="11"/>
        <v>0</v>
      </c>
      <c r="I446" s="94"/>
      <c r="L446" s="50"/>
      <c r="M446" s="50"/>
      <c r="N446" s="50"/>
      <c r="O446" s="50"/>
    </row>
    <row r="447" spans="2:15" x14ac:dyDescent="0.25">
      <c r="B447" s="63" t="s">
        <v>205</v>
      </c>
      <c r="C447" s="64" t="s">
        <v>76</v>
      </c>
      <c r="D447" s="7"/>
      <c r="E447" s="36"/>
      <c r="F447" s="231">
        <v>2.5000000000000001E-3</v>
      </c>
      <c r="G447" s="219">
        <f>G385+G387+G389</f>
        <v>2419915489.2710972</v>
      </c>
      <c r="H447" s="219">
        <f t="shared" si="11"/>
        <v>0</v>
      </c>
      <c r="I447" s="94"/>
      <c r="L447" s="50"/>
      <c r="M447" s="50"/>
      <c r="N447" s="50"/>
      <c r="O447" s="50"/>
    </row>
    <row r="448" spans="2:15" x14ac:dyDescent="0.25">
      <c r="B448" s="63" t="s">
        <v>205</v>
      </c>
      <c r="C448" s="64" t="s">
        <v>77</v>
      </c>
      <c r="D448" s="7"/>
      <c r="E448" s="36"/>
      <c r="F448" s="231">
        <v>2.5000000000000001E-3</v>
      </c>
      <c r="G448" s="219">
        <f>G385+G387+G389</f>
        <v>2419915489.2710972</v>
      </c>
      <c r="H448" s="219">
        <f t="shared" si="11"/>
        <v>0</v>
      </c>
      <c r="I448" s="94"/>
      <c r="L448" s="50"/>
      <c r="M448" s="50"/>
      <c r="N448" s="50"/>
      <c r="O448" s="50"/>
    </row>
    <row r="449" spans="2:15" x14ac:dyDescent="0.25">
      <c r="B449" s="63" t="s">
        <v>205</v>
      </c>
      <c r="C449" s="64" t="s">
        <v>78</v>
      </c>
      <c r="D449" s="7"/>
      <c r="E449" s="36"/>
      <c r="F449" s="231">
        <v>2.5000000000000001E-3</v>
      </c>
      <c r="G449" s="219">
        <f>G385+G387+G389</f>
        <v>2419915489.2710972</v>
      </c>
      <c r="H449" s="219">
        <f t="shared" si="11"/>
        <v>0</v>
      </c>
      <c r="I449" s="94"/>
      <c r="L449" s="50"/>
      <c r="M449" s="50"/>
      <c r="N449" s="50"/>
      <c r="O449" s="50"/>
    </row>
    <row r="450" spans="2:15" x14ac:dyDescent="0.25">
      <c r="B450" s="63" t="s">
        <v>205</v>
      </c>
      <c r="C450" s="64" t="s">
        <v>79</v>
      </c>
      <c r="D450" s="7"/>
      <c r="E450" s="36"/>
      <c r="F450" s="231">
        <v>2.5000000000000001E-3</v>
      </c>
      <c r="G450" s="219">
        <f>G385+G387+G389</f>
        <v>2419915489.2710972</v>
      </c>
      <c r="H450" s="219">
        <f t="shared" si="11"/>
        <v>0</v>
      </c>
      <c r="I450" s="94"/>
      <c r="L450" s="50"/>
      <c r="M450" s="50"/>
      <c r="N450" s="50"/>
      <c r="O450" s="50"/>
    </row>
    <row r="451" spans="2:15" x14ac:dyDescent="0.25">
      <c r="B451" s="63" t="s">
        <v>205</v>
      </c>
      <c r="C451" s="64" t="s">
        <v>80</v>
      </c>
      <c r="D451" s="7"/>
      <c r="E451" s="36"/>
      <c r="F451" s="231">
        <v>2.5000000000000001E-3</v>
      </c>
      <c r="G451" s="219">
        <f>G385+G387+G389</f>
        <v>2419915489.2710972</v>
      </c>
      <c r="H451" s="219">
        <f t="shared" si="11"/>
        <v>0</v>
      </c>
      <c r="I451" s="94"/>
      <c r="L451" s="50"/>
      <c r="M451" s="50"/>
      <c r="N451" s="50"/>
      <c r="O451" s="50"/>
    </row>
    <row r="452" spans="2:15" x14ac:dyDescent="0.25">
      <c r="B452" s="63" t="s">
        <v>205</v>
      </c>
      <c r="C452" s="64" t="s">
        <v>81</v>
      </c>
      <c r="D452" s="7"/>
      <c r="E452" s="36"/>
      <c r="F452" s="231">
        <v>5.0000000000000001E-3</v>
      </c>
      <c r="G452" s="219">
        <f>G385+G387+G389</f>
        <v>2419915489.2710972</v>
      </c>
      <c r="H452" s="219">
        <f t="shared" si="11"/>
        <v>0</v>
      </c>
      <c r="I452" s="94"/>
      <c r="L452" s="50"/>
      <c r="M452" s="50"/>
      <c r="N452" s="50"/>
      <c r="O452" s="50"/>
    </row>
    <row r="453" spans="2:15" x14ac:dyDescent="0.25">
      <c r="B453" s="63" t="s">
        <v>205</v>
      </c>
      <c r="C453" s="64" t="s">
        <v>82</v>
      </c>
      <c r="D453" s="7"/>
      <c r="E453" s="36"/>
      <c r="F453" s="231">
        <v>2.5000000000000001E-3</v>
      </c>
      <c r="G453" s="219">
        <f>G385+G387+G389</f>
        <v>2419915489.2710972</v>
      </c>
      <c r="H453" s="219">
        <f t="shared" si="11"/>
        <v>0</v>
      </c>
      <c r="I453" s="94"/>
      <c r="L453" s="50"/>
      <c r="M453" s="50"/>
      <c r="N453" s="50"/>
      <c r="O453" s="50"/>
    </row>
    <row r="454" spans="2:15" x14ac:dyDescent="0.25">
      <c r="B454" s="63" t="s">
        <v>205</v>
      </c>
      <c r="C454" s="64" t="s">
        <v>83</v>
      </c>
      <c r="D454" s="7"/>
      <c r="E454" s="36"/>
      <c r="F454" s="231">
        <v>2.5000000000000001E-3</v>
      </c>
      <c r="G454" s="219">
        <f>G385+G387+G389</f>
        <v>2419915489.2710972</v>
      </c>
      <c r="H454" s="219">
        <f t="shared" si="11"/>
        <v>0</v>
      </c>
      <c r="I454" s="94"/>
      <c r="L454" s="50"/>
      <c r="M454" s="50"/>
      <c r="N454" s="50"/>
      <c r="O454" s="50"/>
    </row>
    <row r="455" spans="2:15" x14ac:dyDescent="0.25">
      <c r="B455" s="63" t="s">
        <v>205</v>
      </c>
      <c r="C455" s="64" t="s">
        <v>84</v>
      </c>
      <c r="D455" s="7"/>
      <c r="E455" s="36"/>
      <c r="F455" s="231">
        <v>2.5000000000000001E-3</v>
      </c>
      <c r="G455" s="219">
        <f>G385+G387+G389</f>
        <v>2419915489.2710972</v>
      </c>
      <c r="H455" s="219">
        <f t="shared" si="11"/>
        <v>0</v>
      </c>
      <c r="I455" s="94"/>
      <c r="L455" s="50"/>
      <c r="M455" s="50"/>
      <c r="N455" s="50"/>
      <c r="O455" s="50"/>
    </row>
    <row r="456" spans="2:15" x14ac:dyDescent="0.25">
      <c r="B456" s="63" t="s">
        <v>205</v>
      </c>
      <c r="C456" s="64" t="s">
        <v>85</v>
      </c>
      <c r="D456" s="7"/>
      <c r="E456" s="36"/>
      <c r="F456" s="231">
        <v>2.5000000000000001E-3</v>
      </c>
      <c r="G456" s="219">
        <f>G385+G387+G389</f>
        <v>2419915489.2710972</v>
      </c>
      <c r="H456" s="219">
        <f t="shared" si="11"/>
        <v>0</v>
      </c>
      <c r="I456" s="94"/>
      <c r="L456" s="50"/>
      <c r="M456" s="50"/>
      <c r="N456" s="50"/>
      <c r="O456" s="50"/>
    </row>
    <row r="457" spans="2:15" x14ac:dyDescent="0.25">
      <c r="B457" s="63" t="s">
        <v>205</v>
      </c>
      <c r="C457" s="64" t="s">
        <v>86</v>
      </c>
      <c r="D457" s="7"/>
      <c r="E457" s="36"/>
      <c r="F457" s="231">
        <v>2.5000000000000001E-3</v>
      </c>
      <c r="G457" s="219">
        <f>G385+G387+G389</f>
        <v>2419915489.2710972</v>
      </c>
      <c r="H457" s="219">
        <f t="shared" si="11"/>
        <v>0</v>
      </c>
      <c r="I457" s="94"/>
      <c r="L457" s="50"/>
      <c r="M457" s="50"/>
      <c r="N457" s="50"/>
      <c r="O457" s="50"/>
    </row>
    <row r="458" spans="2:15" ht="15.75" thickBot="1" x14ac:dyDescent="0.3">
      <c r="B458" s="84" t="s">
        <v>205</v>
      </c>
      <c r="C458" s="67" t="s">
        <v>87</v>
      </c>
      <c r="D458" s="10"/>
      <c r="E458" s="36"/>
      <c r="F458" s="232">
        <v>2.5000000000000001E-3</v>
      </c>
      <c r="G458" s="223">
        <f>G385+G387+G389</f>
        <v>2419915489.2710972</v>
      </c>
      <c r="H458" s="223">
        <f t="shared" si="11"/>
        <v>0</v>
      </c>
      <c r="I458" s="94"/>
      <c r="L458" s="50"/>
      <c r="M458" s="50"/>
      <c r="N458" s="50"/>
      <c r="O458" s="50"/>
    </row>
    <row r="459" spans="2:15" ht="15.75" thickBot="1" x14ac:dyDescent="0.3">
      <c r="B459" s="224" t="s">
        <v>207</v>
      </c>
      <c r="C459" s="225" t="s">
        <v>208</v>
      </c>
      <c r="D459" s="226"/>
      <c r="E459" s="38"/>
      <c r="F459" s="291" t="s">
        <v>4</v>
      </c>
      <c r="G459" s="216" t="s">
        <v>5</v>
      </c>
      <c r="H459" s="215" t="s">
        <v>6</v>
      </c>
      <c r="I459" s="94"/>
      <c r="L459" s="50"/>
      <c r="M459" s="50"/>
      <c r="N459" s="50"/>
      <c r="O459" s="50"/>
    </row>
    <row r="460" spans="2:15" x14ac:dyDescent="0.25">
      <c r="B460" s="60" t="s">
        <v>207</v>
      </c>
      <c r="C460" s="61" t="s">
        <v>72</v>
      </c>
      <c r="D460" s="239" t="s">
        <v>224</v>
      </c>
      <c r="E460" s="39"/>
      <c r="F460" s="240">
        <v>0.93233082706766912</v>
      </c>
      <c r="G460" s="241" t="s">
        <v>224</v>
      </c>
      <c r="H460" s="230" t="s">
        <v>224</v>
      </c>
      <c r="I460" s="94"/>
      <c r="L460" s="50"/>
      <c r="M460" s="50"/>
      <c r="N460" s="50"/>
      <c r="O460" s="50"/>
    </row>
    <row r="461" spans="2:15" x14ac:dyDescent="0.25">
      <c r="B461" s="63" t="s">
        <v>207</v>
      </c>
      <c r="C461" s="64" t="s">
        <v>73</v>
      </c>
      <c r="D461" s="7"/>
      <c r="E461" s="36"/>
      <c r="F461" s="231">
        <v>2.5062656641604009E-2</v>
      </c>
      <c r="G461" s="219">
        <f>G385+G387+G389</f>
        <v>2419915489.2710972</v>
      </c>
      <c r="H461" s="219">
        <f t="shared" ref="H461:H475" si="12">D461*F461*G461</f>
        <v>0</v>
      </c>
      <c r="I461" s="94"/>
      <c r="L461" s="50"/>
      <c r="M461" s="50"/>
      <c r="N461" s="50"/>
      <c r="O461" s="50"/>
    </row>
    <row r="462" spans="2:15" x14ac:dyDescent="0.25">
      <c r="B462" s="63" t="s">
        <v>207</v>
      </c>
      <c r="C462" s="64" t="s">
        <v>74</v>
      </c>
      <c r="D462" s="7"/>
      <c r="E462" s="36"/>
      <c r="F462" s="231">
        <v>5.0125313283208017E-3</v>
      </c>
      <c r="G462" s="219">
        <f>G385+G387+G389</f>
        <v>2419915489.2710972</v>
      </c>
      <c r="H462" s="219">
        <f t="shared" si="12"/>
        <v>0</v>
      </c>
      <c r="I462" s="94"/>
      <c r="L462" s="50"/>
      <c r="M462" s="50"/>
      <c r="N462" s="50"/>
      <c r="O462" s="50"/>
    </row>
    <row r="463" spans="2:15" x14ac:dyDescent="0.25">
      <c r="B463" s="63" t="s">
        <v>207</v>
      </c>
      <c r="C463" s="64" t="s">
        <v>75</v>
      </c>
      <c r="D463" s="7"/>
      <c r="E463" s="36"/>
      <c r="F463" s="231">
        <v>5.0125313283208017E-3</v>
      </c>
      <c r="G463" s="219">
        <f>G385+G387+G389</f>
        <v>2419915489.2710972</v>
      </c>
      <c r="H463" s="219">
        <f t="shared" si="12"/>
        <v>0</v>
      </c>
      <c r="I463" s="94"/>
      <c r="L463" s="50"/>
      <c r="M463" s="50"/>
      <c r="N463" s="50"/>
      <c r="O463" s="50"/>
    </row>
    <row r="464" spans="2:15" x14ac:dyDescent="0.25">
      <c r="B464" s="63" t="s">
        <v>207</v>
      </c>
      <c r="C464" s="64" t="s">
        <v>76</v>
      </c>
      <c r="D464" s="7"/>
      <c r="E464" s="36"/>
      <c r="F464" s="231">
        <v>2.5062656641604009E-3</v>
      </c>
      <c r="G464" s="219">
        <f>G385+G387+G389</f>
        <v>2419915489.2710972</v>
      </c>
      <c r="H464" s="219">
        <f t="shared" si="12"/>
        <v>0</v>
      </c>
      <c r="I464" s="94"/>
      <c r="L464" s="50"/>
      <c r="M464" s="50"/>
      <c r="N464" s="50"/>
      <c r="O464" s="50"/>
    </row>
    <row r="465" spans="2:15" x14ac:dyDescent="0.25">
      <c r="B465" s="63" t="s">
        <v>207</v>
      </c>
      <c r="C465" s="64" t="s">
        <v>77</v>
      </c>
      <c r="D465" s="7"/>
      <c r="E465" s="36"/>
      <c r="F465" s="231">
        <v>2.5062656641604009E-3</v>
      </c>
      <c r="G465" s="219">
        <f>G385+G387+G389</f>
        <v>2419915489.2710972</v>
      </c>
      <c r="H465" s="219">
        <f t="shared" si="12"/>
        <v>0</v>
      </c>
      <c r="I465" s="94"/>
      <c r="L465" s="50"/>
      <c r="M465" s="50"/>
      <c r="N465" s="50"/>
      <c r="O465" s="50"/>
    </row>
    <row r="466" spans="2:15" x14ac:dyDescent="0.25">
      <c r="B466" s="63" t="s">
        <v>207</v>
      </c>
      <c r="C466" s="64" t="s">
        <v>78</v>
      </c>
      <c r="D466" s="7"/>
      <c r="E466" s="36"/>
      <c r="F466" s="231">
        <v>2.5062656641604009E-3</v>
      </c>
      <c r="G466" s="219">
        <f>G385+G387+G389</f>
        <v>2419915489.2710972</v>
      </c>
      <c r="H466" s="219">
        <f t="shared" si="12"/>
        <v>0</v>
      </c>
      <c r="I466" s="94"/>
      <c r="L466" s="50"/>
      <c r="M466" s="50"/>
      <c r="N466" s="50"/>
      <c r="O466" s="50"/>
    </row>
    <row r="467" spans="2:15" x14ac:dyDescent="0.25">
      <c r="B467" s="63" t="s">
        <v>207</v>
      </c>
      <c r="C467" s="64" t="s">
        <v>79</v>
      </c>
      <c r="D467" s="7"/>
      <c r="E467" s="36"/>
      <c r="F467" s="231">
        <v>5.0125313283208017E-3</v>
      </c>
      <c r="G467" s="219">
        <f>G385+G387+G389</f>
        <v>2419915489.2710972</v>
      </c>
      <c r="H467" s="219">
        <f t="shared" si="12"/>
        <v>0</v>
      </c>
      <c r="I467" s="94"/>
      <c r="L467" s="50"/>
      <c r="M467" s="50"/>
      <c r="N467" s="50"/>
      <c r="O467" s="50"/>
    </row>
    <row r="468" spans="2:15" x14ac:dyDescent="0.25">
      <c r="B468" s="63" t="s">
        <v>207</v>
      </c>
      <c r="C468" s="64" t="s">
        <v>80</v>
      </c>
      <c r="D468" s="7"/>
      <c r="E468" s="36"/>
      <c r="F468" s="231">
        <v>2.5062656641604009E-3</v>
      </c>
      <c r="G468" s="219">
        <f>G385+G387+G389</f>
        <v>2419915489.2710972</v>
      </c>
      <c r="H468" s="219">
        <f t="shared" si="12"/>
        <v>0</v>
      </c>
      <c r="I468" s="94"/>
      <c r="L468" s="50"/>
      <c r="M468" s="50"/>
      <c r="N468" s="50"/>
      <c r="O468" s="50"/>
    </row>
    <row r="469" spans="2:15" x14ac:dyDescent="0.25">
      <c r="B469" s="63" t="s">
        <v>207</v>
      </c>
      <c r="C469" s="64" t="s">
        <v>81</v>
      </c>
      <c r="D469" s="7"/>
      <c r="E469" s="36"/>
      <c r="F469" s="231">
        <v>2.5062656641604009E-3</v>
      </c>
      <c r="G469" s="219">
        <f>G385+G387+G389</f>
        <v>2419915489.2710972</v>
      </c>
      <c r="H469" s="219">
        <f t="shared" si="12"/>
        <v>0</v>
      </c>
      <c r="I469" s="94"/>
      <c r="L469" s="50"/>
      <c r="M469" s="50"/>
      <c r="N469" s="50"/>
      <c r="O469" s="50"/>
    </row>
    <row r="470" spans="2:15" x14ac:dyDescent="0.25">
      <c r="B470" s="63" t="s">
        <v>207</v>
      </c>
      <c r="C470" s="64" t="s">
        <v>82</v>
      </c>
      <c r="D470" s="7"/>
      <c r="E470" s="36"/>
      <c r="F470" s="231">
        <v>2.5062656641604009E-3</v>
      </c>
      <c r="G470" s="219">
        <f>G385+G387+G389</f>
        <v>2419915489.2710972</v>
      </c>
      <c r="H470" s="219">
        <f t="shared" si="12"/>
        <v>0</v>
      </c>
      <c r="I470" s="94"/>
      <c r="L470" s="50"/>
      <c r="M470" s="50"/>
      <c r="N470" s="50"/>
      <c r="O470" s="50"/>
    </row>
    <row r="471" spans="2:15" x14ac:dyDescent="0.25">
      <c r="B471" s="63" t="s">
        <v>207</v>
      </c>
      <c r="C471" s="64" t="s">
        <v>83</v>
      </c>
      <c r="D471" s="7"/>
      <c r="E471" s="36"/>
      <c r="F471" s="231">
        <v>2.5062656641604009E-3</v>
      </c>
      <c r="G471" s="219">
        <f>G385+G387+G389</f>
        <v>2419915489.2710972</v>
      </c>
      <c r="H471" s="219">
        <f t="shared" si="12"/>
        <v>0</v>
      </c>
      <c r="I471" s="94"/>
      <c r="L471" s="50"/>
      <c r="M471" s="50"/>
      <c r="N471" s="50"/>
      <c r="O471" s="50"/>
    </row>
    <row r="472" spans="2:15" x14ac:dyDescent="0.25">
      <c r="B472" s="63" t="s">
        <v>207</v>
      </c>
      <c r="C472" s="64" t="s">
        <v>84</v>
      </c>
      <c r="D472" s="7"/>
      <c r="E472" s="36"/>
      <c r="F472" s="231">
        <v>2.5062656641604009E-3</v>
      </c>
      <c r="G472" s="219">
        <f>G385+G387+G389</f>
        <v>2419915489.2710972</v>
      </c>
      <c r="H472" s="219">
        <f t="shared" si="12"/>
        <v>0</v>
      </c>
      <c r="I472" s="94"/>
      <c r="L472" s="50"/>
      <c r="M472" s="50"/>
      <c r="N472" s="50"/>
      <c r="O472" s="50"/>
    </row>
    <row r="473" spans="2:15" x14ac:dyDescent="0.25">
      <c r="B473" s="63" t="s">
        <v>207</v>
      </c>
      <c r="C473" s="64" t="s">
        <v>85</v>
      </c>
      <c r="D473" s="7"/>
      <c r="E473" s="36"/>
      <c r="F473" s="231">
        <v>2.5062656641604009E-3</v>
      </c>
      <c r="G473" s="219">
        <f>G385+G387+G389</f>
        <v>2419915489.2710972</v>
      </c>
      <c r="H473" s="219">
        <f t="shared" si="12"/>
        <v>0</v>
      </c>
      <c r="I473" s="94"/>
      <c r="L473" s="50"/>
      <c r="M473" s="50"/>
      <c r="N473" s="50"/>
      <c r="O473" s="50"/>
    </row>
    <row r="474" spans="2:15" x14ac:dyDescent="0.25">
      <c r="B474" s="63" t="s">
        <v>207</v>
      </c>
      <c r="C474" s="64" t="s">
        <v>86</v>
      </c>
      <c r="D474" s="7"/>
      <c r="E474" s="36"/>
      <c r="F474" s="231">
        <v>2.5062656641604009E-3</v>
      </c>
      <c r="G474" s="219">
        <f>G385+G387+G389</f>
        <v>2419915489.2710972</v>
      </c>
      <c r="H474" s="219">
        <f t="shared" si="12"/>
        <v>0</v>
      </c>
      <c r="I474" s="94"/>
      <c r="L474" s="50"/>
      <c r="M474" s="50"/>
      <c r="N474" s="50"/>
      <c r="O474" s="50"/>
    </row>
    <row r="475" spans="2:15" ht="15.75" thickBot="1" x14ac:dyDescent="0.3">
      <c r="B475" s="84" t="s">
        <v>207</v>
      </c>
      <c r="C475" s="67" t="s">
        <v>87</v>
      </c>
      <c r="D475" s="10"/>
      <c r="E475" s="36"/>
      <c r="F475" s="232">
        <v>2.5062656641604009E-3</v>
      </c>
      <c r="G475" s="223">
        <f>G385+G387+G389</f>
        <v>2419915489.2710972</v>
      </c>
      <c r="H475" s="223">
        <f t="shared" si="12"/>
        <v>0</v>
      </c>
      <c r="I475" s="94"/>
      <c r="L475" s="50"/>
      <c r="M475" s="50"/>
      <c r="N475" s="50"/>
      <c r="O475" s="50"/>
    </row>
    <row r="476" spans="2:15" ht="15.75" thickBot="1" x14ac:dyDescent="0.3">
      <c r="B476" s="224" t="s">
        <v>209</v>
      </c>
      <c r="C476" s="225" t="s">
        <v>226</v>
      </c>
      <c r="D476" s="226"/>
      <c r="E476" s="38"/>
      <c r="F476" s="291" t="s">
        <v>4</v>
      </c>
      <c r="G476" s="216" t="s">
        <v>5</v>
      </c>
      <c r="H476" s="215" t="s">
        <v>6</v>
      </c>
      <c r="I476" s="94"/>
      <c r="L476" s="50"/>
      <c r="M476" s="50"/>
      <c r="N476" s="50"/>
      <c r="O476" s="50"/>
    </row>
    <row r="477" spans="2:15" x14ac:dyDescent="0.25">
      <c r="B477" s="63" t="s">
        <v>210</v>
      </c>
      <c r="C477" s="242" t="s">
        <v>93</v>
      </c>
      <c r="D477" s="7"/>
      <c r="E477" s="36"/>
      <c r="F477" s="294" t="s">
        <v>224</v>
      </c>
      <c r="G477" s="218" t="s">
        <v>224</v>
      </c>
      <c r="H477" s="218" t="s">
        <v>224</v>
      </c>
      <c r="I477" s="94"/>
      <c r="L477" s="50"/>
      <c r="M477" s="50"/>
      <c r="N477" s="50"/>
      <c r="O477" s="50"/>
    </row>
    <row r="478" spans="2:15" x14ac:dyDescent="0.25">
      <c r="B478" s="74" t="s">
        <v>210</v>
      </c>
      <c r="C478" s="243" t="s">
        <v>94</v>
      </c>
      <c r="D478" s="244" t="s">
        <v>224</v>
      </c>
      <c r="E478" s="39"/>
      <c r="F478" s="296" t="s">
        <v>224</v>
      </c>
      <c r="G478" s="245" t="s">
        <v>224</v>
      </c>
      <c r="H478" s="245" t="s">
        <v>224</v>
      </c>
      <c r="I478" s="94"/>
      <c r="L478" s="50"/>
      <c r="M478" s="50"/>
      <c r="N478" s="50"/>
      <c r="O478" s="50"/>
    </row>
    <row r="479" spans="2:15" x14ac:dyDescent="0.25">
      <c r="B479" s="63" t="s">
        <v>210</v>
      </c>
      <c r="C479" s="242" t="s">
        <v>95</v>
      </c>
      <c r="D479" s="7"/>
      <c r="E479" s="36"/>
      <c r="F479" s="294" t="s">
        <v>224</v>
      </c>
      <c r="G479" s="218" t="s">
        <v>224</v>
      </c>
      <c r="H479" s="218" t="s">
        <v>224</v>
      </c>
      <c r="I479" s="94"/>
      <c r="L479" s="50"/>
      <c r="M479" s="50"/>
      <c r="N479" s="50"/>
      <c r="O479" s="50"/>
    </row>
    <row r="480" spans="2:15" x14ac:dyDescent="0.25">
      <c r="B480" s="63" t="s">
        <v>210</v>
      </c>
      <c r="C480" s="242" t="s">
        <v>96</v>
      </c>
      <c r="D480" s="7"/>
      <c r="E480" s="36"/>
      <c r="F480" s="294" t="s">
        <v>224</v>
      </c>
      <c r="G480" s="218" t="s">
        <v>224</v>
      </c>
      <c r="H480" s="218" t="s">
        <v>224</v>
      </c>
      <c r="I480" s="94"/>
      <c r="L480" s="50"/>
      <c r="M480" s="50"/>
      <c r="N480" s="50"/>
      <c r="O480" s="50"/>
    </row>
    <row r="481" spans="2:15" x14ac:dyDescent="0.25">
      <c r="B481" s="63" t="s">
        <v>210</v>
      </c>
      <c r="C481" s="242" t="s">
        <v>97</v>
      </c>
      <c r="D481" s="7"/>
      <c r="E481" s="36"/>
      <c r="F481" s="294" t="s">
        <v>224</v>
      </c>
      <c r="G481" s="218" t="s">
        <v>224</v>
      </c>
      <c r="H481" s="218" t="s">
        <v>224</v>
      </c>
      <c r="I481" s="94"/>
      <c r="L481" s="50"/>
      <c r="M481" s="50"/>
      <c r="N481" s="50"/>
      <c r="O481" s="50"/>
    </row>
    <row r="482" spans="2:15" x14ac:dyDescent="0.25">
      <c r="B482" s="63" t="s">
        <v>210</v>
      </c>
      <c r="C482" s="242" t="s">
        <v>98</v>
      </c>
      <c r="D482" s="7"/>
      <c r="E482" s="36"/>
      <c r="F482" s="294" t="s">
        <v>224</v>
      </c>
      <c r="G482" s="218" t="s">
        <v>224</v>
      </c>
      <c r="H482" s="218" t="s">
        <v>224</v>
      </c>
      <c r="I482" s="94"/>
      <c r="L482" s="50"/>
      <c r="M482" s="50"/>
      <c r="N482" s="50"/>
      <c r="O482" s="50"/>
    </row>
    <row r="483" spans="2:15" x14ac:dyDescent="0.25">
      <c r="B483" s="63" t="s">
        <v>210</v>
      </c>
      <c r="C483" s="242" t="s">
        <v>99</v>
      </c>
      <c r="D483" s="7"/>
      <c r="E483" s="36"/>
      <c r="F483" s="294" t="s">
        <v>224</v>
      </c>
      <c r="G483" s="218" t="s">
        <v>224</v>
      </c>
      <c r="H483" s="218" t="s">
        <v>224</v>
      </c>
      <c r="I483" s="94"/>
      <c r="L483" s="50"/>
      <c r="M483" s="50"/>
      <c r="N483" s="50"/>
      <c r="O483" s="50"/>
    </row>
    <row r="484" spans="2:15" x14ac:dyDescent="0.25">
      <c r="B484" s="63" t="s">
        <v>210</v>
      </c>
      <c r="C484" s="242" t="s">
        <v>100</v>
      </c>
      <c r="D484" s="7"/>
      <c r="E484" s="36"/>
      <c r="F484" s="294" t="s">
        <v>224</v>
      </c>
      <c r="G484" s="218" t="s">
        <v>224</v>
      </c>
      <c r="H484" s="218" t="s">
        <v>224</v>
      </c>
      <c r="I484" s="94"/>
      <c r="L484" s="50"/>
      <c r="M484" s="50"/>
      <c r="N484" s="50"/>
      <c r="O484" s="50"/>
    </row>
    <row r="485" spans="2:15" x14ac:dyDescent="0.25">
      <c r="B485" s="63" t="s">
        <v>210</v>
      </c>
      <c r="C485" s="242" t="s">
        <v>101</v>
      </c>
      <c r="D485" s="7"/>
      <c r="E485" s="36"/>
      <c r="F485" s="294" t="s">
        <v>224</v>
      </c>
      <c r="G485" s="218" t="s">
        <v>224</v>
      </c>
      <c r="H485" s="218" t="s">
        <v>224</v>
      </c>
      <c r="I485" s="94"/>
      <c r="L485" s="50"/>
      <c r="M485" s="50"/>
      <c r="N485" s="50"/>
      <c r="O485" s="50"/>
    </row>
    <row r="486" spans="2:15" x14ac:dyDescent="0.25">
      <c r="B486" s="63" t="s">
        <v>210</v>
      </c>
      <c r="C486" s="242" t="s">
        <v>102</v>
      </c>
      <c r="D486" s="7"/>
      <c r="E486" s="36"/>
      <c r="F486" s="294" t="s">
        <v>224</v>
      </c>
      <c r="G486" s="218" t="s">
        <v>224</v>
      </c>
      <c r="H486" s="218" t="s">
        <v>224</v>
      </c>
      <c r="I486" s="94"/>
      <c r="L486" s="50"/>
      <c r="M486" s="50"/>
      <c r="N486" s="50"/>
      <c r="O486" s="50"/>
    </row>
    <row r="487" spans="2:15" x14ac:dyDescent="0.25">
      <c r="B487" s="63" t="s">
        <v>210</v>
      </c>
      <c r="C487" s="242" t="s">
        <v>103</v>
      </c>
      <c r="D487" s="7"/>
      <c r="E487" s="36"/>
      <c r="F487" s="294" t="s">
        <v>224</v>
      </c>
      <c r="G487" s="218" t="s">
        <v>224</v>
      </c>
      <c r="H487" s="218" t="s">
        <v>224</v>
      </c>
      <c r="I487" s="94"/>
      <c r="L487" s="50"/>
      <c r="M487" s="50"/>
      <c r="N487" s="50"/>
      <c r="O487" s="50"/>
    </row>
    <row r="488" spans="2:15" x14ac:dyDescent="0.25">
      <c r="B488" s="63" t="s">
        <v>210</v>
      </c>
      <c r="C488" s="242" t="s">
        <v>104</v>
      </c>
      <c r="D488" s="7"/>
      <c r="E488" s="36"/>
      <c r="F488" s="294" t="s">
        <v>224</v>
      </c>
      <c r="G488" s="218" t="s">
        <v>224</v>
      </c>
      <c r="H488" s="218" t="s">
        <v>224</v>
      </c>
      <c r="I488" s="94"/>
      <c r="L488" s="50"/>
      <c r="M488" s="50"/>
      <c r="N488" s="50"/>
      <c r="O488" s="50"/>
    </row>
    <row r="489" spans="2:15" x14ac:dyDescent="0.25">
      <c r="B489" s="63" t="s">
        <v>210</v>
      </c>
      <c r="C489" s="242" t="s">
        <v>105</v>
      </c>
      <c r="D489" s="7"/>
      <c r="E489" s="36"/>
      <c r="F489" s="294" t="s">
        <v>224</v>
      </c>
      <c r="G489" s="218" t="s">
        <v>224</v>
      </c>
      <c r="H489" s="218" t="s">
        <v>224</v>
      </c>
      <c r="I489" s="94"/>
      <c r="L489" s="50"/>
      <c r="M489" s="50"/>
      <c r="N489" s="50"/>
      <c r="O489" s="50"/>
    </row>
    <row r="490" spans="2:15" x14ac:dyDescent="0.25">
      <c r="B490" s="63" t="s">
        <v>210</v>
      </c>
      <c r="C490" s="242" t="s">
        <v>106</v>
      </c>
      <c r="D490" s="7"/>
      <c r="E490" s="36"/>
      <c r="F490" s="294" t="s">
        <v>224</v>
      </c>
      <c r="G490" s="218" t="s">
        <v>224</v>
      </c>
      <c r="H490" s="218" t="s">
        <v>224</v>
      </c>
      <c r="I490" s="94"/>
      <c r="L490" s="50"/>
      <c r="M490" s="50"/>
      <c r="N490" s="50"/>
      <c r="O490" s="50"/>
    </row>
    <row r="491" spans="2:15" ht="15.75" thickBot="1" x14ac:dyDescent="0.3">
      <c r="B491" s="84" t="s">
        <v>210</v>
      </c>
      <c r="C491" s="246" t="s">
        <v>107</v>
      </c>
      <c r="D491" s="10"/>
      <c r="E491" s="36"/>
      <c r="F491" s="295" t="s">
        <v>224</v>
      </c>
      <c r="G491" s="222" t="s">
        <v>224</v>
      </c>
      <c r="H491" s="222" t="s">
        <v>224</v>
      </c>
      <c r="I491" s="94"/>
      <c r="L491" s="50"/>
      <c r="M491" s="50"/>
      <c r="N491" s="50"/>
      <c r="O491" s="50"/>
    </row>
    <row r="492" spans="2:15" ht="15.75" thickBot="1" x14ac:dyDescent="0.3">
      <c r="B492" s="224" t="s">
        <v>211</v>
      </c>
      <c r="C492" s="225" t="s">
        <v>109</v>
      </c>
      <c r="D492" s="226"/>
      <c r="E492" s="38"/>
      <c r="F492" s="291" t="s">
        <v>4</v>
      </c>
      <c r="G492" s="216" t="s">
        <v>5</v>
      </c>
      <c r="H492" s="215" t="s">
        <v>6</v>
      </c>
      <c r="I492" s="94"/>
      <c r="L492" s="50"/>
      <c r="M492" s="50"/>
      <c r="N492" s="50"/>
      <c r="O492" s="50"/>
    </row>
    <row r="493" spans="2:15" x14ac:dyDescent="0.25">
      <c r="B493" s="60" t="s">
        <v>211</v>
      </c>
      <c r="C493" s="61" t="s">
        <v>110</v>
      </c>
      <c r="D493" s="9"/>
      <c r="E493" s="36"/>
      <c r="F493" s="292" t="s">
        <v>224</v>
      </c>
      <c r="G493" s="217" t="s">
        <v>224</v>
      </c>
      <c r="H493" s="217" t="s">
        <v>224</v>
      </c>
      <c r="I493" s="94"/>
      <c r="L493" s="50"/>
      <c r="M493" s="50"/>
      <c r="N493" s="50"/>
      <c r="O493" s="50"/>
    </row>
    <row r="494" spans="2:15" x14ac:dyDescent="0.25">
      <c r="B494" s="63" t="s">
        <v>211</v>
      </c>
      <c r="C494" s="64" t="s">
        <v>111</v>
      </c>
      <c r="D494" s="7"/>
      <c r="E494" s="36"/>
      <c r="F494" s="294" t="s">
        <v>224</v>
      </c>
      <c r="G494" s="218" t="s">
        <v>224</v>
      </c>
      <c r="H494" s="218" t="s">
        <v>224</v>
      </c>
      <c r="I494" s="94"/>
      <c r="L494" s="50"/>
      <c r="M494" s="50"/>
      <c r="N494" s="50"/>
      <c r="O494" s="50"/>
    </row>
    <row r="495" spans="2:15" x14ac:dyDescent="0.25">
      <c r="B495" s="63" t="s">
        <v>211</v>
      </c>
      <c r="C495" s="64" t="s">
        <v>112</v>
      </c>
      <c r="D495" s="7"/>
      <c r="E495" s="36"/>
      <c r="F495" s="294" t="s">
        <v>224</v>
      </c>
      <c r="G495" s="218" t="s">
        <v>224</v>
      </c>
      <c r="H495" s="218" t="s">
        <v>224</v>
      </c>
      <c r="I495" s="94"/>
      <c r="L495" s="50"/>
      <c r="M495" s="50"/>
      <c r="N495" s="50"/>
      <c r="O495" s="50"/>
    </row>
    <row r="496" spans="2:15" x14ac:dyDescent="0.25">
      <c r="B496" s="63" t="s">
        <v>211</v>
      </c>
      <c r="C496" s="64" t="s">
        <v>113</v>
      </c>
      <c r="D496" s="7"/>
      <c r="E496" s="36"/>
      <c r="F496" s="294" t="s">
        <v>224</v>
      </c>
      <c r="G496" s="218" t="s">
        <v>224</v>
      </c>
      <c r="H496" s="218" t="s">
        <v>224</v>
      </c>
      <c r="I496" s="94"/>
      <c r="L496" s="50"/>
      <c r="M496" s="50"/>
      <c r="N496" s="50"/>
      <c r="O496" s="50"/>
    </row>
    <row r="497" spans="2:15" x14ac:dyDescent="0.25">
      <c r="B497" s="63" t="s">
        <v>211</v>
      </c>
      <c r="C497" s="64" t="s">
        <v>114</v>
      </c>
      <c r="D497" s="7"/>
      <c r="E497" s="36"/>
      <c r="F497" s="294" t="s">
        <v>224</v>
      </c>
      <c r="G497" s="218" t="s">
        <v>224</v>
      </c>
      <c r="H497" s="218" t="s">
        <v>224</v>
      </c>
      <c r="I497" s="94"/>
      <c r="L497" s="50"/>
      <c r="M497" s="50"/>
      <c r="N497" s="50"/>
      <c r="O497" s="50"/>
    </row>
    <row r="498" spans="2:15" ht="15.75" thickBot="1" x14ac:dyDescent="0.3">
      <c r="B498" s="84" t="s">
        <v>211</v>
      </c>
      <c r="C498" s="67" t="s">
        <v>115</v>
      </c>
      <c r="D498" s="10"/>
      <c r="E498" s="36"/>
      <c r="F498" s="295" t="s">
        <v>224</v>
      </c>
      <c r="G498" s="222" t="s">
        <v>224</v>
      </c>
      <c r="H498" s="222" t="s">
        <v>224</v>
      </c>
      <c r="I498" s="94"/>
      <c r="L498" s="50"/>
      <c r="M498" s="50"/>
      <c r="N498" s="50"/>
      <c r="O498" s="50"/>
    </row>
    <row r="499" spans="2:15" ht="15.75" thickBot="1" x14ac:dyDescent="0.3">
      <c r="B499" s="224" t="s">
        <v>212</v>
      </c>
      <c r="C499" s="225" t="s">
        <v>117</v>
      </c>
      <c r="D499" s="226"/>
      <c r="E499" s="38"/>
      <c r="F499" s="291" t="s">
        <v>4</v>
      </c>
      <c r="G499" s="216" t="s">
        <v>5</v>
      </c>
      <c r="H499" s="215" t="s">
        <v>6</v>
      </c>
      <c r="I499" s="94"/>
      <c r="L499" s="50"/>
      <c r="M499" s="50"/>
      <c r="N499" s="50"/>
      <c r="O499" s="50"/>
    </row>
    <row r="500" spans="2:15" ht="15.75" thickBot="1" x14ac:dyDescent="0.3">
      <c r="B500" s="60" t="s">
        <v>212</v>
      </c>
      <c r="C500" s="61" t="s">
        <v>118</v>
      </c>
      <c r="D500" s="9"/>
      <c r="E500" s="36"/>
      <c r="F500" s="292" t="s">
        <v>224</v>
      </c>
      <c r="G500" s="217" t="s">
        <v>224</v>
      </c>
      <c r="H500" s="217" t="s">
        <v>224</v>
      </c>
      <c r="I500" s="94"/>
      <c r="L500" s="50"/>
      <c r="M500" s="50"/>
      <c r="N500" s="50"/>
      <c r="O500" s="50"/>
    </row>
    <row r="501" spans="2:15" ht="15.75" thickBot="1" x14ac:dyDescent="0.3">
      <c r="B501" s="63" t="s">
        <v>212</v>
      </c>
      <c r="C501" s="64" t="s">
        <v>119</v>
      </c>
      <c r="D501" s="9"/>
      <c r="E501" s="36"/>
      <c r="F501" s="294" t="s">
        <v>224</v>
      </c>
      <c r="G501" s="218" t="s">
        <v>224</v>
      </c>
      <c r="H501" s="218" t="s">
        <v>224</v>
      </c>
      <c r="I501" s="94"/>
      <c r="L501" s="50"/>
      <c r="M501" s="50"/>
      <c r="N501" s="50"/>
      <c r="O501" s="50"/>
    </row>
    <row r="502" spans="2:15" ht="15.75" thickBot="1" x14ac:dyDescent="0.3">
      <c r="B502" s="63" t="s">
        <v>212</v>
      </c>
      <c r="C502" s="64" t="s">
        <v>120</v>
      </c>
      <c r="D502" s="9"/>
      <c r="E502" s="36"/>
      <c r="F502" s="294" t="s">
        <v>224</v>
      </c>
      <c r="G502" s="218" t="s">
        <v>224</v>
      </c>
      <c r="H502" s="218" t="s">
        <v>224</v>
      </c>
      <c r="I502" s="94"/>
      <c r="L502" s="50"/>
      <c r="M502" s="50"/>
      <c r="N502" s="50"/>
      <c r="O502" s="50"/>
    </row>
    <row r="503" spans="2:15" ht="15.75" thickBot="1" x14ac:dyDescent="0.3">
      <c r="B503" s="63" t="s">
        <v>212</v>
      </c>
      <c r="C503" s="64" t="s">
        <v>121</v>
      </c>
      <c r="D503" s="9"/>
      <c r="E503" s="36"/>
      <c r="F503" s="294" t="s">
        <v>224</v>
      </c>
      <c r="G503" s="218" t="s">
        <v>224</v>
      </c>
      <c r="H503" s="218" t="s">
        <v>224</v>
      </c>
      <c r="I503" s="94"/>
      <c r="L503" s="50"/>
      <c r="M503" s="50"/>
      <c r="N503" s="50"/>
      <c r="O503" s="50"/>
    </row>
    <row r="504" spans="2:15" ht="15.75" thickBot="1" x14ac:dyDescent="0.3">
      <c r="B504" s="63" t="s">
        <v>212</v>
      </c>
      <c r="C504" s="64" t="s">
        <v>122</v>
      </c>
      <c r="D504" s="9"/>
      <c r="E504" s="36"/>
      <c r="F504" s="294" t="s">
        <v>224</v>
      </c>
      <c r="G504" s="218" t="s">
        <v>224</v>
      </c>
      <c r="H504" s="218" t="s">
        <v>224</v>
      </c>
      <c r="I504" s="94"/>
      <c r="L504" s="50"/>
      <c r="M504" s="50"/>
      <c r="N504" s="50"/>
      <c r="O504" s="50"/>
    </row>
    <row r="505" spans="2:15" ht="15.75" thickBot="1" x14ac:dyDescent="0.3">
      <c r="B505" s="63" t="s">
        <v>212</v>
      </c>
      <c r="C505" s="64" t="s">
        <v>123</v>
      </c>
      <c r="D505" s="9"/>
      <c r="E505" s="36"/>
      <c r="F505" s="294" t="s">
        <v>224</v>
      </c>
      <c r="G505" s="218" t="s">
        <v>224</v>
      </c>
      <c r="H505" s="218" t="s">
        <v>224</v>
      </c>
      <c r="I505" s="94"/>
      <c r="L505" s="50"/>
      <c r="M505" s="50"/>
      <c r="N505" s="50"/>
      <c r="O505" s="50"/>
    </row>
    <row r="506" spans="2:15" ht="15.75" thickBot="1" x14ac:dyDescent="0.3">
      <c r="B506" s="63" t="s">
        <v>212</v>
      </c>
      <c r="C506" s="64" t="s">
        <v>124</v>
      </c>
      <c r="D506" s="9"/>
      <c r="E506" s="36"/>
      <c r="F506" s="294" t="s">
        <v>224</v>
      </c>
      <c r="G506" s="218" t="s">
        <v>224</v>
      </c>
      <c r="H506" s="218" t="s">
        <v>224</v>
      </c>
      <c r="I506" s="94"/>
      <c r="L506" s="50"/>
      <c r="M506" s="50"/>
      <c r="N506" s="50"/>
      <c r="O506" s="50"/>
    </row>
    <row r="507" spans="2:15" ht="15.75" thickBot="1" x14ac:dyDescent="0.3">
      <c r="B507" s="63" t="s">
        <v>212</v>
      </c>
      <c r="C507" s="64" t="s">
        <v>125</v>
      </c>
      <c r="D507" s="9"/>
      <c r="E507" s="36"/>
      <c r="F507" s="294" t="s">
        <v>224</v>
      </c>
      <c r="G507" s="218" t="s">
        <v>224</v>
      </c>
      <c r="H507" s="218" t="s">
        <v>224</v>
      </c>
      <c r="I507" s="94"/>
      <c r="L507" s="50"/>
      <c r="M507" s="50"/>
      <c r="N507" s="50"/>
      <c r="O507" s="50"/>
    </row>
    <row r="508" spans="2:15" ht="15.75" thickBot="1" x14ac:dyDescent="0.3">
      <c r="B508" s="63" t="s">
        <v>212</v>
      </c>
      <c r="C508" s="64" t="s">
        <v>126</v>
      </c>
      <c r="D508" s="9"/>
      <c r="E508" s="36"/>
      <c r="F508" s="294" t="s">
        <v>224</v>
      </c>
      <c r="G508" s="218" t="s">
        <v>224</v>
      </c>
      <c r="H508" s="218" t="s">
        <v>224</v>
      </c>
      <c r="I508" s="94"/>
      <c r="L508" s="50"/>
      <c r="M508" s="50"/>
      <c r="N508" s="50"/>
      <c r="O508" s="50"/>
    </row>
    <row r="509" spans="2:15" ht="15.75" thickBot="1" x14ac:dyDescent="0.3">
      <c r="B509" s="63" t="s">
        <v>212</v>
      </c>
      <c r="C509" s="64" t="s">
        <v>127</v>
      </c>
      <c r="D509" s="9"/>
      <c r="E509" s="36"/>
      <c r="F509" s="294" t="s">
        <v>224</v>
      </c>
      <c r="G509" s="218" t="s">
        <v>224</v>
      </c>
      <c r="H509" s="218" t="s">
        <v>224</v>
      </c>
      <c r="I509" s="94"/>
      <c r="L509" s="50"/>
      <c r="M509" s="50"/>
      <c r="N509" s="50"/>
      <c r="O509" s="50"/>
    </row>
    <row r="510" spans="2:15" ht="15.75" thickBot="1" x14ac:dyDescent="0.3">
      <c r="B510" s="84" t="s">
        <v>212</v>
      </c>
      <c r="C510" s="67" t="s">
        <v>128</v>
      </c>
      <c r="D510" s="9"/>
      <c r="E510" s="36"/>
      <c r="F510" s="295" t="s">
        <v>224</v>
      </c>
      <c r="G510" s="222" t="s">
        <v>224</v>
      </c>
      <c r="H510" s="222" t="s">
        <v>224</v>
      </c>
      <c r="I510" s="94"/>
      <c r="L510" s="50"/>
      <c r="M510" s="50"/>
      <c r="N510" s="50"/>
      <c r="O510" s="50"/>
    </row>
    <row r="511" spans="2:15" s="1" customFormat="1" ht="15.75" thickBot="1" x14ac:dyDescent="0.3">
      <c r="B511" s="255" t="s">
        <v>212</v>
      </c>
      <c r="C511" s="256" t="s">
        <v>232</v>
      </c>
      <c r="D511" s="9"/>
      <c r="E511" s="36"/>
      <c r="F511" s="295" t="s">
        <v>224</v>
      </c>
      <c r="G511" s="222" t="s">
        <v>224</v>
      </c>
      <c r="H511" s="222" t="s">
        <v>224</v>
      </c>
    </row>
    <row r="512" spans="2:15" s="1" customFormat="1" ht="15.75" customHeight="1" thickBot="1" x14ac:dyDescent="0.3">
      <c r="B512" s="255" t="s">
        <v>212</v>
      </c>
      <c r="C512" s="256" t="s">
        <v>233</v>
      </c>
      <c r="D512" s="9"/>
      <c r="E512" s="36"/>
      <c r="F512" s="295" t="s">
        <v>224</v>
      </c>
      <c r="G512" s="222" t="s">
        <v>224</v>
      </c>
      <c r="H512" s="222" t="s">
        <v>224</v>
      </c>
    </row>
    <row r="513" spans="2:15" s="1" customFormat="1" ht="15.75" thickBot="1" x14ac:dyDescent="0.3">
      <c r="B513" s="255" t="s">
        <v>212</v>
      </c>
      <c r="C513" s="256" t="s">
        <v>234</v>
      </c>
      <c r="D513" s="9"/>
      <c r="E513" s="36"/>
      <c r="F513" s="295" t="s">
        <v>224</v>
      </c>
      <c r="G513" s="222" t="s">
        <v>224</v>
      </c>
      <c r="H513" s="222" t="s">
        <v>224</v>
      </c>
    </row>
    <row r="514" spans="2:15" s="1" customFormat="1" ht="15.75" thickBot="1" x14ac:dyDescent="0.3">
      <c r="B514" s="255" t="s">
        <v>212</v>
      </c>
      <c r="C514" s="256" t="s">
        <v>235</v>
      </c>
      <c r="D514" s="9"/>
      <c r="E514" s="36"/>
      <c r="F514" s="295" t="s">
        <v>224</v>
      </c>
      <c r="G514" s="222" t="s">
        <v>224</v>
      </c>
      <c r="H514" s="222" t="s">
        <v>224</v>
      </c>
    </row>
    <row r="515" spans="2:15" s="1" customFormat="1" ht="15.75" thickBot="1" x14ac:dyDescent="0.3">
      <c r="B515" s="255" t="s">
        <v>212</v>
      </c>
      <c r="C515" s="256" t="s">
        <v>236</v>
      </c>
      <c r="D515" s="9"/>
      <c r="E515" s="36"/>
      <c r="F515" s="295" t="s">
        <v>224</v>
      </c>
      <c r="G515" s="222" t="s">
        <v>224</v>
      </c>
      <c r="H515" s="222" t="s">
        <v>224</v>
      </c>
    </row>
    <row r="516" spans="2:15" s="1" customFormat="1" ht="15.75" thickBot="1" x14ac:dyDescent="0.3">
      <c r="B516" s="255" t="s">
        <v>212</v>
      </c>
      <c r="C516" s="256" t="s">
        <v>237</v>
      </c>
      <c r="D516" s="9"/>
      <c r="E516" s="36"/>
      <c r="F516" s="295" t="s">
        <v>224</v>
      </c>
      <c r="G516" s="222" t="s">
        <v>224</v>
      </c>
      <c r="H516" s="222" t="s">
        <v>224</v>
      </c>
    </row>
    <row r="517" spans="2:15" s="1" customFormat="1" ht="15.75" thickBot="1" x14ac:dyDescent="0.3">
      <c r="B517" s="255" t="s">
        <v>212</v>
      </c>
      <c r="C517" s="256" t="s">
        <v>238</v>
      </c>
      <c r="D517" s="9"/>
      <c r="E517" s="36"/>
      <c r="F517" s="295" t="s">
        <v>224</v>
      </c>
      <c r="G517" s="222" t="s">
        <v>224</v>
      </c>
      <c r="H517" s="222" t="s">
        <v>224</v>
      </c>
    </row>
    <row r="518" spans="2:15" s="1" customFormat="1" ht="15.75" thickBot="1" x14ac:dyDescent="0.3">
      <c r="B518" s="255" t="s">
        <v>212</v>
      </c>
      <c r="C518" s="256" t="s">
        <v>239</v>
      </c>
      <c r="D518" s="9"/>
      <c r="E518" s="36"/>
      <c r="F518" s="295" t="s">
        <v>224</v>
      </c>
      <c r="G518" s="222" t="s">
        <v>224</v>
      </c>
      <c r="H518" s="222" t="s">
        <v>224</v>
      </c>
    </row>
    <row r="519" spans="2:15" s="1" customFormat="1" ht="15.75" thickBot="1" x14ac:dyDescent="0.3">
      <c r="B519" s="255" t="s">
        <v>212</v>
      </c>
      <c r="C519" s="265" t="s">
        <v>243</v>
      </c>
      <c r="D519" s="9"/>
      <c r="E519" s="36"/>
      <c r="F519" s="295" t="s">
        <v>224</v>
      </c>
      <c r="G519" s="222" t="s">
        <v>224</v>
      </c>
      <c r="H519" s="222" t="s">
        <v>224</v>
      </c>
    </row>
    <row r="520" spans="2:15" s="1" customFormat="1" ht="15.75" thickBot="1" x14ac:dyDescent="0.3">
      <c r="B520" s="255" t="s">
        <v>212</v>
      </c>
      <c r="C520" s="262" t="s">
        <v>244</v>
      </c>
      <c r="D520" s="9"/>
      <c r="E520" s="36"/>
      <c r="F520" s="295" t="s">
        <v>224</v>
      </c>
      <c r="G520" s="222" t="s">
        <v>224</v>
      </c>
      <c r="H520" s="222" t="s">
        <v>224</v>
      </c>
    </row>
    <row r="521" spans="2:15" s="1" customFormat="1" ht="15.75" thickBot="1" x14ac:dyDescent="0.3">
      <c r="B521" s="255" t="s">
        <v>212</v>
      </c>
      <c r="C521" s="262" t="s">
        <v>245</v>
      </c>
      <c r="D521" s="9"/>
      <c r="E521" s="36"/>
      <c r="F521" s="295" t="s">
        <v>224</v>
      </c>
      <c r="G521" s="222" t="s">
        <v>224</v>
      </c>
      <c r="H521" s="222" t="s">
        <v>224</v>
      </c>
    </row>
    <row r="522" spans="2:15" s="1" customFormat="1" ht="15.75" thickBot="1" x14ac:dyDescent="0.3">
      <c r="B522" s="255" t="s">
        <v>212</v>
      </c>
      <c r="C522" s="263" t="s">
        <v>246</v>
      </c>
      <c r="D522" s="9"/>
      <c r="E522" s="36"/>
      <c r="F522" s="295" t="s">
        <v>224</v>
      </c>
      <c r="G522" s="222" t="s">
        <v>224</v>
      </c>
      <c r="H522" s="222" t="s">
        <v>224</v>
      </c>
    </row>
    <row r="523" spans="2:15" ht="15.75" thickBot="1" x14ac:dyDescent="0.3">
      <c r="B523" s="224" t="s">
        <v>213</v>
      </c>
      <c r="C523" s="247" t="s">
        <v>214</v>
      </c>
      <c r="D523" s="248"/>
      <c r="E523" s="41"/>
      <c r="F523" s="291" t="s">
        <v>4</v>
      </c>
      <c r="G523" s="216" t="s">
        <v>5</v>
      </c>
      <c r="H523" s="215" t="s">
        <v>6</v>
      </c>
      <c r="I523" s="94"/>
      <c r="L523" s="50"/>
      <c r="M523" s="50"/>
      <c r="N523" s="50"/>
      <c r="O523" s="50"/>
    </row>
    <row r="524" spans="2:15" x14ac:dyDescent="0.25">
      <c r="B524" s="61" t="s">
        <v>215</v>
      </c>
      <c r="C524" s="61" t="s">
        <v>134</v>
      </c>
      <c r="D524" s="13"/>
      <c r="E524" s="37"/>
      <c r="F524" s="233">
        <v>3.125E-2</v>
      </c>
      <c r="G524" s="249">
        <v>120</v>
      </c>
      <c r="H524" s="234">
        <f t="shared" ref="H524:H532" si="13">D524*F524*G524</f>
        <v>0</v>
      </c>
      <c r="I524" s="94"/>
      <c r="L524" s="50"/>
      <c r="M524" s="50"/>
      <c r="N524" s="50"/>
      <c r="O524" s="50"/>
    </row>
    <row r="525" spans="2:15" x14ac:dyDescent="0.25">
      <c r="B525" s="64" t="s">
        <v>215</v>
      </c>
      <c r="C525" s="64" t="s">
        <v>135</v>
      </c>
      <c r="D525" s="14"/>
      <c r="E525" s="37"/>
      <c r="F525" s="231">
        <v>3.125E-2</v>
      </c>
      <c r="G525" s="250">
        <v>120</v>
      </c>
      <c r="H525" s="219">
        <f t="shared" si="13"/>
        <v>0</v>
      </c>
      <c r="I525" s="94"/>
      <c r="L525" s="50"/>
      <c r="M525" s="50"/>
      <c r="N525" s="50"/>
      <c r="O525" s="50"/>
    </row>
    <row r="526" spans="2:15" x14ac:dyDescent="0.25">
      <c r="B526" s="64" t="s">
        <v>215</v>
      </c>
      <c r="C526" s="64" t="s">
        <v>136</v>
      </c>
      <c r="D526" s="14"/>
      <c r="E526" s="37"/>
      <c r="F526" s="231">
        <v>3.125E-2</v>
      </c>
      <c r="G526" s="250">
        <v>120</v>
      </c>
      <c r="H526" s="219">
        <f t="shared" si="13"/>
        <v>0</v>
      </c>
      <c r="I526" s="94"/>
      <c r="L526" s="50"/>
      <c r="M526" s="50"/>
      <c r="N526" s="50"/>
      <c r="O526" s="50"/>
    </row>
    <row r="527" spans="2:15" x14ac:dyDescent="0.25">
      <c r="B527" s="64" t="s">
        <v>215</v>
      </c>
      <c r="C527" s="64" t="s">
        <v>137</v>
      </c>
      <c r="D527" s="14"/>
      <c r="E527" s="37"/>
      <c r="F527" s="231">
        <v>3.125E-2</v>
      </c>
      <c r="G527" s="250">
        <v>120</v>
      </c>
      <c r="H527" s="219">
        <f t="shared" si="13"/>
        <v>0</v>
      </c>
      <c r="I527" s="94"/>
      <c r="L527" s="50"/>
      <c r="M527" s="50"/>
      <c r="N527" s="50"/>
      <c r="O527" s="50"/>
    </row>
    <row r="528" spans="2:15" x14ac:dyDescent="0.25">
      <c r="B528" s="64" t="s">
        <v>215</v>
      </c>
      <c r="C528" s="64" t="s">
        <v>138</v>
      </c>
      <c r="D528" s="14"/>
      <c r="E528" s="37"/>
      <c r="F528" s="231">
        <v>0.75</v>
      </c>
      <c r="G528" s="250">
        <v>120</v>
      </c>
      <c r="H528" s="219">
        <f>D528*F528*G528</f>
        <v>0</v>
      </c>
      <c r="I528" s="94"/>
      <c r="L528" s="50"/>
      <c r="M528" s="50"/>
      <c r="N528" s="50"/>
      <c r="O528" s="50"/>
    </row>
    <row r="529" spans="2:15" x14ac:dyDescent="0.25">
      <c r="B529" s="64" t="s">
        <v>215</v>
      </c>
      <c r="C529" s="64" t="s">
        <v>139</v>
      </c>
      <c r="D529" s="14"/>
      <c r="E529" s="37"/>
      <c r="F529" s="231">
        <v>3.125E-2</v>
      </c>
      <c r="G529" s="250">
        <v>120</v>
      </c>
      <c r="H529" s="219">
        <f t="shared" si="13"/>
        <v>0</v>
      </c>
      <c r="I529" s="94"/>
      <c r="L529" s="50"/>
      <c r="M529" s="50"/>
      <c r="N529" s="50"/>
      <c r="O529" s="50"/>
    </row>
    <row r="530" spans="2:15" x14ac:dyDescent="0.25">
      <c r="B530" s="64" t="s">
        <v>215</v>
      </c>
      <c r="C530" s="64" t="s">
        <v>140</v>
      </c>
      <c r="D530" s="14"/>
      <c r="E530" s="37"/>
      <c r="F530" s="231">
        <v>3.125E-2</v>
      </c>
      <c r="G530" s="250">
        <v>120</v>
      </c>
      <c r="H530" s="219">
        <f t="shared" si="13"/>
        <v>0</v>
      </c>
      <c r="I530" s="94"/>
      <c r="L530" s="50"/>
      <c r="M530" s="50"/>
      <c r="N530" s="50"/>
      <c r="O530" s="50"/>
    </row>
    <row r="531" spans="2:15" x14ac:dyDescent="0.25">
      <c r="B531" s="64" t="s">
        <v>215</v>
      </c>
      <c r="C531" s="64" t="s">
        <v>141</v>
      </c>
      <c r="D531" s="14"/>
      <c r="E531" s="37"/>
      <c r="F531" s="231">
        <v>3.125E-2</v>
      </c>
      <c r="G531" s="250">
        <v>120</v>
      </c>
      <c r="H531" s="219">
        <f t="shared" si="13"/>
        <v>0</v>
      </c>
      <c r="I531" s="94"/>
      <c r="L531" s="50"/>
      <c r="M531" s="50"/>
      <c r="N531" s="50"/>
      <c r="O531" s="50"/>
    </row>
    <row r="532" spans="2:15" ht="15.75" thickBot="1" x14ac:dyDescent="0.3">
      <c r="B532" s="67" t="s">
        <v>215</v>
      </c>
      <c r="C532" s="67" t="s">
        <v>142</v>
      </c>
      <c r="D532" s="16"/>
      <c r="E532" s="37"/>
      <c r="F532" s="232">
        <v>3.125E-2</v>
      </c>
      <c r="G532" s="251">
        <v>120</v>
      </c>
      <c r="H532" s="223">
        <f t="shared" si="13"/>
        <v>0</v>
      </c>
      <c r="I532" s="94"/>
      <c r="L532" s="50"/>
      <c r="M532" s="50"/>
      <c r="N532" s="50"/>
      <c r="O532" s="50"/>
    </row>
    <row r="533" spans="2:15" ht="15.75" thickBot="1" x14ac:dyDescent="0.3">
      <c r="B533" s="224" t="s">
        <v>216</v>
      </c>
      <c r="C533" s="225" t="s">
        <v>217</v>
      </c>
      <c r="D533" s="226"/>
      <c r="E533" s="38"/>
      <c r="F533" s="291" t="s">
        <v>4</v>
      </c>
      <c r="G533" s="216" t="s">
        <v>5</v>
      </c>
      <c r="H533" s="215" t="s">
        <v>6</v>
      </c>
      <c r="I533" s="94"/>
      <c r="L533" s="50"/>
      <c r="M533" s="50"/>
      <c r="N533" s="50"/>
      <c r="O533" s="50"/>
    </row>
    <row r="534" spans="2:15" x14ac:dyDescent="0.25">
      <c r="B534" s="60" t="s">
        <v>216</v>
      </c>
      <c r="C534" s="61" t="s">
        <v>145</v>
      </c>
      <c r="D534" s="9"/>
      <c r="E534" s="36"/>
      <c r="F534" s="292" t="s">
        <v>224</v>
      </c>
      <c r="G534" s="217" t="s">
        <v>224</v>
      </c>
      <c r="H534" s="217" t="s">
        <v>224</v>
      </c>
      <c r="I534" s="94"/>
      <c r="L534" s="50"/>
      <c r="M534" s="50"/>
      <c r="N534" s="50"/>
      <c r="O534" s="50"/>
    </row>
    <row r="535" spans="2:15" x14ac:dyDescent="0.25">
      <c r="B535" s="63" t="s">
        <v>216</v>
      </c>
      <c r="C535" s="64" t="s">
        <v>146</v>
      </c>
      <c r="D535" s="7"/>
      <c r="E535" s="36"/>
      <c r="F535" s="294" t="s">
        <v>224</v>
      </c>
      <c r="G535" s="218" t="s">
        <v>224</v>
      </c>
      <c r="H535" s="218" t="s">
        <v>224</v>
      </c>
      <c r="I535" s="94"/>
      <c r="L535" s="50"/>
      <c r="M535" s="50"/>
      <c r="N535" s="50"/>
      <c r="O535" s="50"/>
    </row>
    <row r="536" spans="2:15" x14ac:dyDescent="0.25">
      <c r="B536" s="63" t="s">
        <v>216</v>
      </c>
      <c r="C536" s="64" t="s">
        <v>147</v>
      </c>
      <c r="D536" s="7"/>
      <c r="E536" s="36"/>
      <c r="F536" s="294" t="s">
        <v>224</v>
      </c>
      <c r="G536" s="218" t="s">
        <v>224</v>
      </c>
      <c r="H536" s="218" t="s">
        <v>224</v>
      </c>
      <c r="I536" s="94"/>
      <c r="L536" s="50"/>
      <c r="M536" s="50"/>
      <c r="N536" s="50"/>
      <c r="O536" s="50"/>
    </row>
    <row r="537" spans="2:15" x14ac:dyDescent="0.25">
      <c r="B537" s="63" t="s">
        <v>216</v>
      </c>
      <c r="C537" s="64" t="s">
        <v>148</v>
      </c>
      <c r="D537" s="7"/>
      <c r="E537" s="36"/>
      <c r="F537" s="294" t="s">
        <v>224</v>
      </c>
      <c r="G537" s="218" t="s">
        <v>224</v>
      </c>
      <c r="H537" s="218" t="s">
        <v>224</v>
      </c>
      <c r="I537" s="94"/>
      <c r="L537" s="50"/>
      <c r="M537" s="50"/>
      <c r="N537" s="50"/>
      <c r="O537" s="50"/>
    </row>
    <row r="538" spans="2:15" ht="15.75" thickBot="1" x14ac:dyDescent="0.3">
      <c r="B538" s="102" t="s">
        <v>216</v>
      </c>
      <c r="C538" s="103" t="s">
        <v>149</v>
      </c>
      <c r="D538" s="8"/>
      <c r="E538" s="36"/>
      <c r="F538" s="297" t="s">
        <v>224</v>
      </c>
      <c r="G538" s="252" t="s">
        <v>224</v>
      </c>
      <c r="H538" s="252" t="s">
        <v>224</v>
      </c>
      <c r="I538" s="94"/>
      <c r="L538" s="50"/>
      <c r="M538" s="50"/>
      <c r="N538" s="50"/>
      <c r="O538" s="50"/>
    </row>
    <row r="539" spans="2:15" ht="15.75" thickBot="1" x14ac:dyDescent="0.3">
      <c r="B539" s="224" t="s">
        <v>218</v>
      </c>
      <c r="C539" s="225" t="s">
        <v>151</v>
      </c>
      <c r="D539" s="226"/>
      <c r="E539" s="38"/>
      <c r="F539" s="291" t="s">
        <v>4</v>
      </c>
      <c r="G539" s="216" t="s">
        <v>5</v>
      </c>
      <c r="H539" s="215" t="s">
        <v>6</v>
      </c>
      <c r="I539" s="94"/>
      <c r="L539" s="50"/>
      <c r="M539" s="50"/>
      <c r="N539" s="50"/>
      <c r="O539" s="50"/>
    </row>
    <row r="540" spans="2:15" x14ac:dyDescent="0.25">
      <c r="B540" s="60" t="s">
        <v>218</v>
      </c>
      <c r="C540" s="61" t="s">
        <v>152</v>
      </c>
      <c r="D540" s="9"/>
      <c r="E540" s="36"/>
      <c r="F540" s="292" t="s">
        <v>224</v>
      </c>
      <c r="G540" s="217" t="s">
        <v>224</v>
      </c>
      <c r="H540" s="217" t="s">
        <v>224</v>
      </c>
      <c r="I540" s="94"/>
      <c r="L540" s="50"/>
      <c r="M540" s="50"/>
      <c r="N540" s="50"/>
      <c r="O540" s="50"/>
    </row>
    <row r="541" spans="2:15" x14ac:dyDescent="0.25">
      <c r="B541" s="63" t="s">
        <v>218</v>
      </c>
      <c r="C541" s="64" t="s">
        <v>153</v>
      </c>
      <c r="D541" s="7"/>
      <c r="E541" s="36"/>
      <c r="F541" s="294" t="s">
        <v>224</v>
      </c>
      <c r="G541" s="218" t="s">
        <v>224</v>
      </c>
      <c r="H541" s="218" t="s">
        <v>224</v>
      </c>
      <c r="I541" s="94"/>
      <c r="L541" s="50"/>
      <c r="M541" s="50"/>
      <c r="N541" s="50"/>
      <c r="O541" s="50"/>
    </row>
    <row r="542" spans="2:15" x14ac:dyDescent="0.25">
      <c r="B542" s="63" t="s">
        <v>218</v>
      </c>
      <c r="C542" s="64" t="s">
        <v>154</v>
      </c>
      <c r="D542" s="7"/>
      <c r="E542" s="36"/>
      <c r="F542" s="294" t="s">
        <v>224</v>
      </c>
      <c r="G542" s="218" t="s">
        <v>224</v>
      </c>
      <c r="H542" s="218" t="s">
        <v>224</v>
      </c>
      <c r="I542" s="94"/>
      <c r="L542" s="50"/>
      <c r="M542" s="50"/>
      <c r="N542" s="50"/>
      <c r="O542" s="50"/>
    </row>
    <row r="543" spans="2:15" x14ac:dyDescent="0.25">
      <c r="B543" s="63" t="s">
        <v>218</v>
      </c>
      <c r="C543" s="64" t="s">
        <v>155</v>
      </c>
      <c r="D543" s="7"/>
      <c r="E543" s="36"/>
      <c r="F543" s="294" t="s">
        <v>224</v>
      </c>
      <c r="G543" s="218" t="s">
        <v>224</v>
      </c>
      <c r="H543" s="218" t="s">
        <v>224</v>
      </c>
      <c r="I543" s="94"/>
      <c r="L543" s="50"/>
      <c r="M543" s="50"/>
      <c r="N543" s="50"/>
      <c r="O543" s="50"/>
    </row>
    <row r="544" spans="2:15" x14ac:dyDescent="0.25">
      <c r="B544" s="63" t="s">
        <v>218</v>
      </c>
      <c r="C544" s="64" t="s">
        <v>156</v>
      </c>
      <c r="D544" s="7"/>
      <c r="E544" s="36"/>
      <c r="F544" s="294" t="s">
        <v>224</v>
      </c>
      <c r="G544" s="218" t="s">
        <v>224</v>
      </c>
      <c r="H544" s="218" t="s">
        <v>224</v>
      </c>
      <c r="I544" s="94"/>
      <c r="L544" s="50"/>
      <c r="M544" s="50"/>
      <c r="N544" s="50"/>
      <c r="O544" s="50"/>
    </row>
    <row r="545" spans="2:15" ht="15.75" thickBot="1" x14ac:dyDescent="0.3">
      <c r="B545" s="102" t="s">
        <v>218</v>
      </c>
      <c r="C545" s="103" t="s">
        <v>157</v>
      </c>
      <c r="D545" s="8"/>
      <c r="E545" s="36"/>
      <c r="F545" s="297" t="s">
        <v>224</v>
      </c>
      <c r="G545" s="252" t="s">
        <v>224</v>
      </c>
      <c r="H545" s="252" t="s">
        <v>224</v>
      </c>
      <c r="I545" s="94"/>
      <c r="L545" s="50"/>
      <c r="M545" s="50"/>
      <c r="N545" s="50"/>
      <c r="O545" s="50"/>
    </row>
    <row r="546" spans="2:15" ht="15.75" thickBot="1" x14ac:dyDescent="0.3">
      <c r="G546" s="49"/>
      <c r="L546" s="50"/>
      <c r="M546" s="50"/>
      <c r="N546" s="50"/>
      <c r="O546" s="50"/>
    </row>
    <row r="547" spans="2:15" ht="21" thickBot="1" x14ac:dyDescent="0.35">
      <c r="G547" s="49"/>
      <c r="H547" s="253">
        <f>SUM(D378,D376,H379,H381,H383,H385,H387,H389,H393:H416,H418:H421,H439:H441,H444:H458,H461:H475,H524:H532)</f>
        <v>0</v>
      </c>
      <c r="I547" s="254" t="s">
        <v>219</v>
      </c>
      <c r="L547" s="50"/>
      <c r="M547" s="50"/>
      <c r="N547" s="50"/>
      <c r="O547" s="50"/>
    </row>
    <row r="548" spans="2:15" ht="21" thickBot="1" x14ac:dyDescent="0.35">
      <c r="G548" s="49"/>
      <c r="H548" s="211"/>
      <c r="I548" s="212"/>
    </row>
    <row r="549" spans="2:15" ht="21" thickBot="1" x14ac:dyDescent="0.35">
      <c r="G549" s="49"/>
      <c r="H549" s="253">
        <f>SUM(D377,H380,H382,H384,H386,H388,H390)</f>
        <v>0</v>
      </c>
      <c r="I549" s="254" t="s">
        <v>220</v>
      </c>
    </row>
  </sheetData>
  <sheetProtection algorithmName="SHA-512" hashValue="TghsfNzwl3MsWcp+r/2OnFj/+cnRmD0SA3FdumvZDns5/Sj2JX+8A3XKxcrRY/NF3l2BF3aUlr2GVu91UcyFqw==" saltValue="HZAM8rZvKtaN8E0/3xv0zw==" spinCount="100000" sheet="1" formatCells="0"/>
  <mergeCells count="8">
    <mergeCell ref="B367:H369"/>
    <mergeCell ref="B188:H190"/>
    <mergeCell ref="B2:H2"/>
    <mergeCell ref="B3:H3"/>
    <mergeCell ref="B8:H10"/>
    <mergeCell ref="C292:D292"/>
    <mergeCell ref="C293:D293"/>
    <mergeCell ref="F292:H29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Instructions</vt:lpstr>
      <vt:lpstr>Price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Mason, Brian C CIV DLA TROOP SUPPORT (USA)</dc:creator>
  <cp:lastModifiedBy>Tankel, Joshua A CIV DLA TROOP SUPPORT (USA)</cp:lastModifiedBy>
  <dcterms:created xsi:type="dcterms:W3CDTF">2024-12-31T10:43:49Z</dcterms:created>
  <dcterms:modified xsi:type="dcterms:W3CDTF">2025-11-05T18:20:34Z</dcterms:modified>
</cp:coreProperties>
</file>