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Personal Thumb Drive\Contracts Working\Food Service\FY26Q2 Menu Awards\Subsistence FY26Q2\"/>
    </mc:Choice>
  </mc:AlternateContent>
  <xr:revisionPtr revIDLastSave="0" documentId="13_ncr:1_{A8437A56-D34A-49D5-907E-7ADE36F885C0}" xr6:coauthVersionLast="47" xr6:coauthVersionMax="47" xr10:uidLastSave="{00000000-0000-0000-0000-000000000000}"/>
  <bookViews>
    <workbookView xWindow="-18870" yWindow="1560" windowWidth="18870" windowHeight="13425" xr2:uid="{00000000-000D-0000-FFFF-FFFF00000000}"/>
  </bookViews>
  <sheets>
    <sheet name="Specifications" sheetId="1" r:id="rId1"/>
    <sheet name="Contractor Award Acknowledgment" sheetId="2" r:id="rId2"/>
    <sheet name="Award Delivery Information" sheetId="3" r:id="rId3"/>
  </sheets>
  <externalReferences>
    <externalReference r:id="rId4"/>
  </externalReferences>
  <definedNames>
    <definedName name="_xlnm.Print_Area" localSheetId="0">Specifications!$A$1:$F$326</definedName>
    <definedName name="_xlnm.Print_Titles" localSheetId="0">Specifications!$1:$5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8" i="1" l="1"/>
  <c r="A269" i="1"/>
  <c r="B44" i="1"/>
  <c r="B45" i="1"/>
  <c r="A8" i="1"/>
  <c r="A9" i="1" s="1"/>
  <c r="A10" i="1" s="1"/>
  <c r="A11" i="1" s="1"/>
  <c r="A12" i="1" s="1"/>
  <c r="A13" i="1" s="1"/>
  <c r="A14" i="1" s="1"/>
  <c r="A16" i="1" s="1"/>
  <c r="A17" i="1" s="1"/>
  <c r="A18" i="1" s="1"/>
  <c r="A19" i="1" s="1"/>
  <c r="A20" i="1" s="1"/>
  <c r="A21" i="1" s="1"/>
  <c r="A22" i="1" s="1"/>
  <c r="A23" i="1" s="1"/>
  <c r="B172" i="1"/>
  <c r="B132" i="1"/>
  <c r="B85" i="1"/>
  <c r="B171" i="1"/>
  <c r="B42" i="1"/>
  <c r="B43" i="1"/>
  <c r="B238" i="1"/>
  <c r="A26" i="1" l="1"/>
  <c r="A27" i="1" l="1"/>
  <c r="A29" i="1" s="1"/>
  <c r="A30" i="1" s="1"/>
  <c r="A31" i="1" s="1"/>
  <c r="A32" i="1" s="1"/>
  <c r="A33" i="1" s="1"/>
  <c r="A34" i="1" s="1"/>
  <c r="A35" i="1" s="1"/>
  <c r="A37" i="1" s="1"/>
  <c r="A38" i="1" s="1"/>
  <c r="A39" i="1" s="1"/>
  <c r="A40" i="1" s="1"/>
  <c r="A41" i="1" s="1"/>
  <c r="A42" i="1" l="1"/>
  <c r="A43" i="1" s="1"/>
  <c r="A44" i="1" s="1"/>
  <c r="A45" i="1" s="1"/>
  <c r="A46" i="1" s="1"/>
  <c r="A47" i="1" s="1"/>
  <c r="A48" i="1" s="1"/>
  <c r="A49" i="1" l="1"/>
  <c r="A50" i="1" s="1"/>
  <c r="A51" i="1" s="1"/>
  <c r="A53" i="1" l="1"/>
  <c r="A54" i="1" s="1"/>
  <c r="A55" i="1" s="1"/>
  <c r="A56" i="1" s="1"/>
  <c r="A105" i="1"/>
  <c r="A106" i="1" s="1"/>
  <c r="A108" i="1" s="1"/>
  <c r="A109" i="1" s="1"/>
  <c r="A111" i="1" s="1"/>
  <c r="A112" i="1" s="1"/>
  <c r="A113" i="1" s="1"/>
  <c r="A114" i="1" s="1"/>
  <c r="A115" i="1" s="1"/>
  <c r="A116" i="1" s="1"/>
  <c r="A117" i="1" s="1"/>
  <c r="A119" i="1" s="1"/>
  <c r="A120" i="1" s="1"/>
  <c r="A121" i="1" s="1"/>
  <c r="A122" i="1" s="1"/>
  <c r="A123" i="1" s="1"/>
  <c r="A124" i="1" s="1"/>
  <c r="A126" i="1" s="1"/>
  <c r="A127" i="1" s="1"/>
  <c r="A128" i="1" s="1"/>
  <c r="A129" i="1" s="1"/>
  <c r="A130" i="1" s="1"/>
  <c r="A131" i="1" s="1"/>
  <c r="A132" i="1" s="1"/>
  <c r="A133" i="1" s="1"/>
  <c r="A134" i="1" s="1"/>
  <c r="A135" i="1" s="1"/>
  <c r="A136" i="1" s="1"/>
  <c r="A137" i="1" s="1"/>
  <c r="A138" i="1" s="1"/>
  <c r="A139" i="1" s="1"/>
  <c r="A140" i="1" s="1"/>
  <c r="A142" i="1" s="1"/>
  <c r="A143" i="1" s="1"/>
  <c r="A144" i="1" s="1"/>
  <c r="A145" i="1" s="1"/>
  <c r="A146" i="1" s="1"/>
  <c r="A147" i="1" s="1"/>
  <c r="A148" i="1" s="1"/>
  <c r="A149" i="1" s="1"/>
  <c r="A150" i="1" s="1"/>
  <c r="A151" i="1" s="1"/>
  <c r="A152" i="1" s="1"/>
  <c r="A154" i="1" s="1"/>
  <c r="A155" i="1" s="1"/>
  <c r="A156" i="1" s="1"/>
  <c r="A157" i="1" s="1"/>
  <c r="A158" i="1" s="1"/>
  <c r="A159" i="1" s="1"/>
  <c r="A160" i="1" s="1"/>
  <c r="A161" i="1" s="1"/>
  <c r="A162" i="1" s="1"/>
  <c r="A164" i="1" s="1"/>
  <c r="A165" i="1" s="1"/>
  <c r="A166" i="1" s="1"/>
  <c r="A167" i="1" s="1"/>
  <c r="A168" i="1" s="1"/>
  <c r="A169" i="1" s="1"/>
  <c r="A170" i="1" s="1"/>
  <c r="A171" i="1" s="1"/>
  <c r="A57" i="1" l="1"/>
  <c r="A58" i="1" s="1"/>
  <c r="A59" i="1" s="1"/>
  <c r="A61" i="1" s="1"/>
  <c r="A62" i="1" s="1"/>
  <c r="A64" i="1" s="1"/>
  <c r="A65" i="1" s="1"/>
  <c r="A68" i="1" s="1"/>
  <c r="A69" i="1" s="1"/>
  <c r="A70" i="1" s="1"/>
  <c r="A72" i="1" s="1"/>
  <c r="A73" i="1" s="1"/>
  <c r="A74" i="1" s="1"/>
  <c r="A76" i="1" s="1"/>
  <c r="A77" i="1" s="1"/>
  <c r="A78" i="1" s="1"/>
  <c r="A79" i="1" s="1"/>
  <c r="A81" i="1" s="1"/>
  <c r="A82" i="1" s="1"/>
  <c r="A83" i="1" s="1"/>
  <c r="A84" i="1" s="1"/>
  <c r="A85" i="1" s="1"/>
  <c r="A86" i="1" s="1"/>
  <c r="A87" i="1" s="1"/>
  <c r="A172" i="1"/>
  <c r="A173" i="1" s="1"/>
  <c r="A175"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10" i="1" s="1"/>
  <c r="A211" i="1" s="1"/>
  <c r="A212" i="1" s="1"/>
  <c r="A214" i="1" s="1"/>
  <c r="A215" i="1" s="1"/>
  <c r="A216" i="1" s="1"/>
  <c r="A217" i="1" s="1"/>
  <c r="A218" i="1" l="1"/>
  <c r="A219" i="1" s="1"/>
  <c r="A221" i="1" s="1"/>
  <c r="A222" i="1" s="1"/>
  <c r="A223" i="1" s="1"/>
  <c r="A224" i="1" s="1"/>
  <c r="A225" i="1" s="1"/>
  <c r="A226" i="1" s="1"/>
  <c r="A227" i="1" s="1"/>
  <c r="A229" i="1" s="1"/>
  <c r="A230" i="1" s="1"/>
  <c r="A232" i="1" s="1"/>
  <c r="A233" i="1" s="1"/>
  <c r="A235" i="1" s="1"/>
  <c r="A236" i="1" s="1"/>
  <c r="A237" i="1" s="1"/>
  <c r="A238" i="1" s="1"/>
  <c r="A239" i="1" s="1"/>
  <c r="A241" i="1" s="1"/>
  <c r="A242" i="1" s="1"/>
  <c r="A243" i="1" s="1"/>
  <c r="A244" i="1" s="1"/>
  <c r="A246" i="1" s="1"/>
  <c r="A247" i="1" s="1"/>
  <c r="A248" i="1" s="1"/>
  <c r="A249" i="1" s="1"/>
  <c r="A251" i="1" s="1"/>
  <c r="A252" i="1" s="1"/>
  <c r="A253" i="1" s="1"/>
  <c r="A254" i="1" s="1"/>
  <c r="A255" i="1" s="1"/>
  <c r="A256" i="1" s="1"/>
  <c r="A257" i="1" s="1"/>
  <c r="A259" i="1" s="1"/>
  <c r="A260" i="1" s="1"/>
  <c r="A261" i="1" s="1"/>
  <c r="A263" i="1" s="1"/>
  <c r="A264" i="1" s="1"/>
  <c r="A265" i="1" s="1"/>
  <c r="A266" i="1" s="1"/>
  <c r="A267" i="1" s="1"/>
  <c r="A88" i="1" l="1"/>
  <c r="A89" i="1" s="1"/>
  <c r="A90" i="1" s="1"/>
  <c r="A91" i="1" s="1"/>
  <c r="A92" i="1" s="1"/>
  <c r="A93" i="1" s="1"/>
  <c r="A94" i="1" s="1"/>
  <c r="A95" i="1" s="1"/>
  <c r="A97" i="1" s="1"/>
  <c r="A98" i="1" s="1"/>
  <c r="A99" i="1" s="1"/>
  <c r="A100" i="1" s="1"/>
  <c r="A101" i="1" s="1"/>
  <c r="A102" i="1" s="1"/>
  <c r="A103" i="1" s="1"/>
  <c r="A104" i="1" s="1"/>
  <c r="A271" i="1"/>
  <c r="A272" i="1" l="1"/>
  <c r="A273" i="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1" i="1" s="1"/>
  <c r="A322" i="1" s="1"/>
  <c r="A323" i="1" s="1"/>
  <c r="A324" i="1" s="1"/>
  <c r="A325" i="1" s="1"/>
  <c r="A326" i="1" s="1"/>
</calcChain>
</file>

<file path=xl/sharedStrings.xml><?xml version="1.0" encoding="utf-8"?>
<sst xmlns="http://schemas.openxmlformats.org/spreadsheetml/2006/main" count="683" uniqueCount="388">
  <si>
    <t>Number</t>
  </si>
  <si>
    <t>Item Description</t>
  </si>
  <si>
    <t>Total</t>
  </si>
  <si>
    <t>Issue</t>
  </si>
  <si>
    <t xml:space="preserve">Units to   </t>
  </si>
  <si>
    <t>Order</t>
  </si>
  <si>
    <t xml:space="preserve">Price Per  </t>
  </si>
  <si>
    <t>Unit</t>
  </si>
  <si>
    <t>Unit of</t>
  </si>
  <si>
    <t>Beans, Dry, Black Beans, Whole, U.S. Grade 1 - 3</t>
  </si>
  <si>
    <t>LB</t>
  </si>
  <si>
    <t>Beans, Dry, Black Eyed Peas, U.S. Grade 1 - 3</t>
  </si>
  <si>
    <t>Beans, Dry, Great Northern, Whole, U.S. Grade 1 - 3</t>
  </si>
  <si>
    <t>Beans, Dry, Kidney or Red, Whole, U.S. Grade 1 - 3</t>
  </si>
  <si>
    <t>Beans, Dry, Lentils, Whole, U.S. Grade 1 - 3</t>
  </si>
  <si>
    <t>Beans, Dry, Pinto, Whole, U.S. Grade 1 - 3</t>
  </si>
  <si>
    <t>Beans, Dry, Split Pea, Green, U.S. Grade 1 - 3</t>
  </si>
  <si>
    <t>CS</t>
  </si>
  <si>
    <t>Rice, U.S. Grade 1 or 2, Long Grain MILLED Rice, Parboiled Light</t>
  </si>
  <si>
    <t>Rice, U.S. Grade 1 or 2, Long Grain, BROWN Rice, Parboiled Light</t>
  </si>
  <si>
    <t>Corn Starch, Unmodified, regular, native or common, fine or coarse powder.</t>
  </si>
  <si>
    <t>EA</t>
  </si>
  <si>
    <t>Chips, Potato, 1 oz sealed individual package, various flavors.  Note case count and flavors in bid.</t>
  </si>
  <si>
    <t>Chips, Potato, Baked, 1 oz sealed individual package, various flavors.  Note case count and flavors in bid.</t>
  </si>
  <si>
    <t>LB/EA</t>
  </si>
  <si>
    <t>CT</t>
  </si>
  <si>
    <t>BUTTER, Bulk (Made exclusively from milk or cream or both, with or without common salt, and with or without additional coloring matter, and containing not less than 80 percent by weight of milkfat). U.S. Grade AA, A, or B. As defined in 7 CFR 58.2621-2627.  State case size and pack on bid.</t>
  </si>
  <si>
    <t>BUTTER, Whipped, Bulk (Made exclusively from milk or cream or both, with or without common salt, and with or without additional coloring matter, and containing not less than 80 percent by weight of milkfat – by the uniform incorporation of air or inert gas into butter). U.S. Grade AA or A.  As defined in 7 CFR 58.2425 – 2430.  State case size and pack on bid.</t>
  </si>
  <si>
    <t>Institution:</t>
  </si>
  <si>
    <t>Fiscal Year:</t>
  </si>
  <si>
    <t>Quarter:</t>
  </si>
  <si>
    <t>Vinegar, Cider or Distilled, 50 Grain Strength, 4/1 Gallon containers per case.</t>
  </si>
  <si>
    <t>Sugar Substitute, Non-Carbohydrate, Saccharin, Acesulfame K, Aspartame, Sucralose, Neotame, or Rebaudioside A, Granular, Packaged in Envelopes/Packets.  (CID A-A-20178C, Types I-VI, Style A, Package 1).  Each individual is .80 to 1.0 Gram.  State case count on bid.</t>
  </si>
  <si>
    <t>Taco Shells, Corn, U Shaped, Enriched.  (CID A-A-20143B, Type III, Style A, Shape b, Enrichment type i).  Each.  State case count on bid.</t>
  </si>
  <si>
    <t>Tortillas, Corn, 5" to 7" in diameter, Round, Shelf stable, refrigerated, or frozen, Table Ready.  (CID A-A-20143B, Type I, Style A, Size 4, 5, or 6, Shape a, Enrichment type I, Product state a, c, or d, Cook state I).  Each.  State case count on bid.</t>
  </si>
  <si>
    <t>French Toast, Frozen, Regular or Low Fat, Any Flavor, Any Shape.  (CID A-A-20234B, Type II, Style A or B, Class 3, Flavor A, B, C, or D, Shape 1 - 8).  Each.  State case count on bid.</t>
  </si>
  <si>
    <t>Pancake, Frozen, Regular or Low Fat, Any Flavor, Any Shape.  (CID A-A-20234B, Type II, Style A or B, Class 2, Any Flavor, Shape 1 - 8).  Each.  State case count on bid.</t>
  </si>
  <si>
    <t>Tomato Catsup, as defined in the standard of identity for catsup, ketchup, catchup (21 CFR 155.194).  U.S. Grade A-C.  6/#10 Cans or Pouches per case.  State can or pouch on bid.</t>
  </si>
  <si>
    <t>Tomatoes, Canned, Whole, as defined in the standard of identity for canned tomatoes (21 CFR 155.190).  U.S. Grade A - C, Average drained weight of 54.7 to 63.5 ounces per #10 can/pouch.  6/#10 cans or pouches per case.  State can or pouch on bid.</t>
  </si>
  <si>
    <t>Vegetable, Potatoes, White, Dehydrated, Mashed, Granules or Flakes without or with peel.  (CID A-A-20032G, Type II, Style A, B, or C).  Product label must have rehydration instructions and yield amounts.  6/#10 cans per case or bulk packed by the pound.  Indicate case/bag size on bid.</t>
  </si>
  <si>
    <t>Fruit, Apples, Siced or Diced, Canned, U.S. Grade A, B, C, or U.S. Fancy.  Packed in light syrup, lightly sweetened fruit juice and water, lightly sweetened fruit juice, slightly sweetened water, extra light syrup, slightly sweetened fruit juice and water, slightly sweetened fruit juice, or in water.  6/#10 cans per case</t>
  </si>
  <si>
    <t>Fruit, Apricots, Peeled, Halves or Slices, Canned, U.S. Grade A, B, C, or U.S. Fancy.  Standard of Identity contained in 21 CFR 145.115.  Packed in light syrup, lightly sweetened fruit juice and water, lightly sweetened fruit juice, slightly sweetened water, extra light syrup, slightly sweetened fruit juice and water, slightly sweetened fruit juice, or in water.  6/#10 cans per case.</t>
  </si>
  <si>
    <t>Fruit, Peaches (Clingstone or Freestone), Canned, Standards of Identity contained in 21 CFR 145.170 and 145.71.  Halves, Halved, Quarters, Quartered, Slices, Sliced, Dice, or Diced, U.S. Grade A, B, or C.  Packed in light sytup, lightly sweetened fruit juice and water, lightly sweetened fruit juice, slightly sweetened water, extra light syrup, slightly sweetened fruit juice and water, slightly sweetened fruit juice, or in water.  6/#10 cans per case.</t>
  </si>
  <si>
    <t>Fruit, Pears, Canned, Standards of Identity contained 21 CFR 145.175 or 145.176, Halves, Halved, Quarters, Quartered, Slices, Sliced, Dice, or Diced, U.S. Grade A, B, C, or U.S. Fancy.  Packed in light syrup, lightly sweetened fruit juice and water, lightly sweetened fruit juice, slightly sweetened water, extra light syrup, slightly sweetened fruit juice and water, slightly sweetened fruit juice, or in water.  6/#10 cans per case.</t>
  </si>
  <si>
    <t>Fruit, Plums, Canned, Standards of Identity contained in 21 CFR 155.191, U.S. Grade A, B, C, or U.S. Fancy, Whole or Halves, peeled, pitted, Purple plum groups.  Packed in light syrup, lightly sweetened juice and water, lightly sweetened fruit juice, slightly sweetened water, extra light syrup, slightly sweetened fruit juice and water, slightly sweetened fruit juice, or in water.  6/#10 cans per case.</t>
  </si>
  <si>
    <t>Vegtable, Beans, Green, Frozen, Cut, Sliced Lengthwise, or French Style, Round Type, Regular or extended blanch process pack.  U.S. Grade A - C.  As defined in Title 7 CFR 52.2321 - 2328.  Originated from crops that have been 100 percent grown, processed, and packed in the United States or Canada.</t>
  </si>
  <si>
    <t>Vegetable, Broccoli, Frozen, Spears, Short Spears, Cut or Chopped.  U.S. Grade A or B.  As defined in Title 7 CFR 52.631 - 644.  *MUST be packed in United States, Canada or Mexico).</t>
  </si>
  <si>
    <t>Vegetable, Carrots, Frozen, Sliced, Diced, Double Diced, Strips, Chips or Cut.  U.S. Grade A, U.S. Fancy, U.S. Grade B or U.S. Extra Standard.  As defined in Title 7 CFR 52.701 - 711.  Originated from crops that have been 100 percent grown, processed, and packed in the United States or Canada.</t>
  </si>
  <si>
    <t>Vegetable, Greens, Collard, Chopped, Frozen, U.S. Grade A or B.  As defined in Title 7, 52.1371 - 1381.  Originated from crops that have been 100 percent grown, processed, and packed in the United States or Canada.</t>
  </si>
  <si>
    <t>Vegtable, Mixed, Frozen (including green beans, lima beans, carrots, sweet corn, and/or peas).  Three vegetable mix in which any one vegetable is not more than 40% by weight.  Four vegetable mix in which none of the vegetables is less than 8% and no more than 35% by weight, or Five vegetable mix in which none of the vegetables is less than 8% or no more than 30% by weight.  U.S. Grade A - C.  As defined in Title 7 52.2121-2141.  Originated from crops that have been 100 percent grown, processed, and packed in the United States or Canada.</t>
  </si>
  <si>
    <t>Vegetable, Peas and Carrots, Frozen.  Peas not less than 50% by weight and Diced style Carrots not less than 25% by weight, U.S. Grade A, U.S. Fancy, U.S. Grade B, U.S. Extra Standard, U.S. Grade C, or U.S. Standard.  As defined in Title 7 52.2501-2510.  Originated from crops that have been 100 percent grown, processed, and packed in the United States or Canada.</t>
  </si>
  <si>
    <t>Vegetable, Peas, Frozen, U.S. Grade A, U.S. Fancy, U.S. Grade B, U.S. Extra Standard, U.S. Grade C or U.S. Standard.  As defined in Title 7 52.3511-3520.  Originated from crops that have been 100 percent grown, processed, and packed in the United States or Canada.</t>
  </si>
  <si>
    <t>Vegetable, Leafy Greens, Frozen, Spinach, Leaf or Chopped, U.S. Grade A or B.  As defined in Title 7 52.1371-1381.  Originated from crops that have been 100 percent grown, processed, and packed in the United States and Canada.</t>
  </si>
  <si>
    <t>Sauce, Barbeque, Plain/Regular, Honey, Or Hickory Smoke, Without fruit purees added.  (CID A-A-20335B, Flavor I, II, or III, Type B).  4/1 Gallon Plastic Containers per case.</t>
  </si>
  <si>
    <t>Sauce, Chili (Enchilada).   U.S. Grade A, U.S. Fancy, U.S. Grade C, or U.S. Standard.  As defined in Title 7.52.2191-2202.  4/1 Gallon Plastic Containers per case or 6/#10 cans per case.</t>
  </si>
  <si>
    <t>Soup Base, Bouillon, Beef Flavor, Low or Reduced Sodium, Powdered, No added monosodium glutamate.  (CID A-A-20202B, Type I,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</si>
  <si>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Soup Base, Bouillon, Chicken Flavor, Low or Reduced Sodium, Powdered, No added monosodium glutamate.  (CID A-A-20202B, Type II,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</si>
  <si>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Soup Base, Bouillon, Vegetable Flavor, Low or Reduced Sodium, Powdered, No added monosodium glutamate.  (CID A-A-20202B, Type IV,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</si>
  <si>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Cheese, Parmesan or Parmesan and Romano Mixed, Grated, Italian Style, 12-1 lb containers per case</t>
  </si>
  <si>
    <t>Dairy, Cream, Pasteurized, Sour Cream, Reduced Fat Sour Cream, Low-fat Sour Cream, or Nonfat Sour Cream, No Flavor.  (CID A-A-20251, Group I, Type F, H, I, or J, No Flavor).  Note type and package size on bid.</t>
  </si>
  <si>
    <t>Eggs, Shell, Whole, Fresh, U.S. Grade A, Large, 30 Dozen per case</t>
  </si>
  <si>
    <t>Eggs, Shell, Whole, Fresh, U.S. Grade A, Large, 15 Dozen per case</t>
  </si>
  <si>
    <t>Eggs, Shell, Whole, Fresh, U.S. Grade A, Medium, 30 Dozen per case</t>
  </si>
  <si>
    <t>Eggs, Shell, Whole, Fresh, U.S. Grade A, Medium, 15 Dozen per case</t>
  </si>
  <si>
    <t>Eggs, Pasteurized, Homogenized Whole, Frozen, 30 pound case.  One case yields 270 large whole eggs.</t>
  </si>
  <si>
    <t>Eggs, Pasteurized, Liquid, Frozen.  Specify case size on bid.</t>
  </si>
  <si>
    <t>Fresh Fruit, Apples, Any Variety, U.S. Extra Fancy, U.S. Fancy, or U.S. No. 1.  80 - 138 case count.  State variety and case count on bid.</t>
  </si>
  <si>
    <t>Fresh Fruit, Bananas, Yellowish to Yellow with Green Tips (Index 3 - 5).  Minimum 1 1/8" diameter, Minimum 5.5" long, 40 lb case</t>
  </si>
  <si>
    <t>Fresh Fruit, Grapefruits, U.S. Fancy or U.S. No. 1.  Red or Ruby Red.  36 - 48 count per case.  State variety and case count on bid.</t>
  </si>
  <si>
    <t>Fresh Fruit, Oranges, U.S. Fancy or U.S. No. 1.  Any Variety.  88 - 138 count per case.  State variety and case count on bid.</t>
  </si>
  <si>
    <t>Fresh Fruit, Apricots, U.S. No. 1.  Minimum size of 1 1/2" diameter.  Note case count on bid.</t>
  </si>
  <si>
    <t>Fresh Fruit, Blueberries, U.S. No. 1.  Medium to Large (90 to 189 berries per cup).  Pints.</t>
  </si>
  <si>
    <t>PT</t>
  </si>
  <si>
    <t>Fresh Fruit, Melon, Cantaloupes, Fresh, U.S. Fancy or U.S. No. 1.  Each</t>
  </si>
  <si>
    <t>Fresh Fruit, Cherries, Sweet, U.S. No. 1.  Pounds.</t>
  </si>
  <si>
    <t>Fresh Fruit, Bunch Grapes, Green or Red Seedless.  U.S. Fancy Table Grapes or U.S. No. 1 Table Grapes.  18 lb case.</t>
  </si>
  <si>
    <t>Fresh Fruit, Melon, Honey Dew, Fresh.  U.S. No. 1.  Each.</t>
  </si>
  <si>
    <t>Fresh Fruit, Kiwifruit.  U.S. Fancy or U.S. No. 1.  75 - 108 case count.  Note case count on bid.</t>
  </si>
  <si>
    <t>Fresh Fruit, Mango.  U.S. Fancy or U.S. No. 1.  State case count on bid.</t>
  </si>
  <si>
    <t>Fresh Fruit, Nectarines.  U.S. Fancy, U.S. Extra No. 1 or U.S. No. 1.  56 - 64 case count.  State case count on bid.</t>
  </si>
  <si>
    <t>Fresh Fruit, Peaches.  U.S. Fancy, U.S. Extra No. 1, or U.S. No. 1.  40 - 48 case count.  State case count on bid.</t>
  </si>
  <si>
    <t>Fresh Fruit, Pears.  U.S. No. 1.  Any Variety.  90 to 150 count.  State variety and case count on bid.</t>
  </si>
  <si>
    <t>Fresh Fruit, Pineapples, Fresh.  U.S. Fancy or U.S. No. 1.  5 - 8 count.  State case count on bid.</t>
  </si>
  <si>
    <t>Fresh Fruit, Plums.  U.S. Fancy or U.S. No. 1.  40 - 45 case count.  State case count on bid.</t>
  </si>
  <si>
    <t>Fresh Fruit, Strawberries.  U.S. No. 1.  1/2 pints or pints.  State package size on bid.</t>
  </si>
  <si>
    <t>Fresh Fruit, Tangerines/Clementines.  U.S. Fancy or U.S. No. 1.  100 - 176 case count.</t>
  </si>
  <si>
    <t>Fresh Fruit, Watermelons.  U.S. Fancy or U.S. No. 1.  Seedless or Regular.  Each.</t>
  </si>
  <si>
    <t>Fresh Vegetable, Broccoli, Fresh Cut, Ready to Eat, Florets (3/4 – 2 ¾’ in diameter and ¾ to 2 ¾” in length), Spears (3 to 4” in diameter and not to exceed 4 1/2” in length) or Crowns (Not less than 2 1/2 “ or more than 5” in diameter and not less than 2 ½” or more than 5” in length), Conventional or Organic.  (CID A-A-20290A, Style I – Size A, Style II – Size A, or Style III, Agricultural practice 1 or 2). Note style, case count, and case weight on bid.</t>
  </si>
  <si>
    <t>Fresh Vegetable, Cabbage, U.S. No. 1 Green, Large (3 pounds or over), Heads of cabbage of one variety or similar varietal characteristics, which are of reasonable solidity, and are not withered, puffy, or burst and which are free from soft rot, seed stems, and from damage caused by discoloration, freezing, disease, insects or mechanical or other means. Note package weight on bid.</t>
  </si>
  <si>
    <t>Fresh Vegetable, Carrots, Ready to Use, Unpeeled, Whole (1” – 2 ½” in diameter not less than 5” in length).  (CID A-A-20191D, Type II, Style A).  Whole Carrots shall meet the requirements of the U.S. Standard for Grades of Topped Carrots.  Note package weight on bid.</t>
  </si>
  <si>
    <t>Fresh Vegetable, Cauliflower, Fresh Cut, Ready to Eat, Florets (3/4 to 2 ¾” in diameter and ¾ to 2 ¾” in length), White, Conventional or Organic.  (CID A-A-20291A, Style I, Size A, Color 1)  Cauliflower shall be bright in color, compact, fresh and firm to the touch and not tough, fibrous, or mushy. Cauliflower shall be prepared from U.S. Commercial Grade or better of the U.S. Standards for Grades of Cauliflower for Processing.  12 count case.</t>
  </si>
  <si>
    <t>Fresh Vegetable, Celery, U.S. Extra No. 1 or U.S. No. 1. Stalks of celery of similar varietal characteristics which are fairly well developed, fairly well formed, well-trimmed, fairly compact, and which are free from blackheart and soft rot and free from damage caused by freezing, growth cracks, horizontal cracks, pithy branches, seed stems, suckers, dirt, doubles, wilting, blight, other disease, insects or mechanical or other means. Stalks shall be green unless specified as fairly well blanched, or mixed blanch. Outer whorl of branches shall be not less than 6 inches. Stalks shall be of such length as to extend from one side, end or bottom of the container to within 1-1/2 inches of the corresponding opposite side, end or top of the container.  State case weight on bid.</t>
  </si>
  <si>
    <t>Fresh Vegetable, Cilantro (Coriander, Coriander Leaves, or Chinese Parsley), Herb.  Medium green color.  State size of package on bid.</t>
  </si>
  <si>
    <t>Fresh Vegetable, Cucumbers, U.S. Fancy, U.S. Extra No. 1, U.S. No. 1 Large.  At a minimum, cucumbers which are fairly well colored, fairly well formed, not overgrown, and which are fresh, firm, and free from decay, sunscald and from damage caused by scars, yellowing, sunburn, dirt or other foreign materials, freezing, mosaic or other disease, insects, cuts, bruises, mechanical or other means. Large Cucumbers minimum diameter shall be not less than 2 ½” and 6” in length. State case weight on bid.</t>
  </si>
  <si>
    <t>Fresh Vegetable, Lettuce, Iceberg, Whole head, trimmed, Ready to Use, Conventional or Organic. U.S. Fancy or U.S. No. 1. Heads of lettuce shall meet the following requirements: Similar varietal characteristics; Fresh; Green; not soft, not burst, free from decay, doubles and not damaged by any other cause. Each head shall be fairly well trimmed. (CID A-A-20316A, Type of Leafy Green IX, Style 1, Purpose ii, Agricultural practice A or B). 24 heads per case.</t>
  </si>
  <si>
    <t>Fresh Vegetable, Onions, Bulbs, (Spring/Summer or Fall/Winter) or Creole, Yellow or White, Whole, Conventional or Organic.  (CID A-A-20193C, Type I, II, or III, Color A or B, Style 1, Agricultural Practice A or B).  Onions are mature, firm, single bulb, fairly well-shaped and free from splits. Onions shall be a U.S. No. 2 or better Grade of U. S. Standards for Grades of Bermuda-Granex-Grano Type Onions, U.S Standards for Grade of Creole Onions or U.S. Standards for Grade of Onions (Other Than Bermuda-Granex-Grano and Creole types).  State package weight on bid.</t>
  </si>
  <si>
    <t>Fresh Vegetable, Peppers, Sweet, U.S. Fancy or U.S. No. 1. Green. Minimum of mature green sweet peppers of similar varietal characteristics which are firm, fairly well shaped, and free from sunscald and decay affecting calyxes and/or walls, decay affecting stems, and free from damage caused by freezing injury, hail, scars, sunburn, disease, insects, mechanical or other means. Each pepper shall be not less than 2-1/2 inches and the length of each pepper shall be not less than 2-1/2 inches.  State case weight on bid.</t>
  </si>
  <si>
    <t>Fresh Vegetable, Potatoes, U.S. No. 1 or U.S. Commercial.  Chef or Large Size.  “Baking” Minimum 8 oz and 2 ¾ - 3” in diameter.  Similar varietal characteristics, except when designated as a mixed or specialty pack, firm, fairly clean, fairly well shaped; free from freezing, blackheart, late blight, southern bacterial wilt and ring rot and soft rot and wet breakdown.  Free from serious damage caused by dirt or other foreign matter, Russet scab; and Rhizoctonia.  State package weight on bid.</t>
  </si>
  <si>
    <t>Fresh Vegetable, Potatoes, U.S. No. 1 or U.S. Commercial, Size A or Medium Size.  “Utility” Minimum 3 oz and 1 7/8 – 2 ¼” in diameter. .  Similar varietal characteristics, except when designated as a mixed or specialty pack, firm, fairly clean, fairly well shaped; free from freezing, blackheart, late blight, southern bacterial wilt and ring rot and soft rot and wet breakdown.  Free from serious damage caused by dirt or other foreign matter, Russet scab; and Rhizoctonia.  State package weight on bid.</t>
  </si>
  <si>
    <t>Fresh Vegetable, Potatoes, Sweet, U.S. Extra No. 1, U.S. No. 1, U.S. No. 1 Petite, or U.S. Commercial.  Sweet potatoes of one type which are firm, fairly smooth, fairly clean, fairly well shaped, which are free from freezing injury, internal breakdown, Black Rot, other decay or wet breakdown, and free from damage caused by secondary rootlets, sprouts, cuts, bruises, scars, growth cracks, scurf, Pox (Soil Rot), or other diseases, wireworms, weevils or other insects, or other means.  Diameter shall be not more than 3-1/2 inches and not less than 1 ¾ inches. .Maximum weight shall not be more than 20 ounces. Length is not less than 3 inches or more than 9 inches. State package weight on bid.</t>
  </si>
  <si>
    <t>Fresh Vegetable, Spinach, Single Leaves, Ready to Use, Conventional or Organic. U.S. Extra No. 1 or U.S. No. 1.  Spinach leaves of similar varietal characteristics which are well trimmed, free from coarse stalks, seed stems, seed buds, crowns and roots, sandburs, or other kinds of burs, decay, and from damage caused by clusters of leaves, wilting, discoloration, freezing, dirt, or other foreign material, disease, insects, mechanical or other means. (CID A-A-20316A, Type of Leafy Green XVII, Style 2, Purpose ii, Agricultural practice A or B). Specify case weight on bid.</t>
  </si>
  <si>
    <t>Fresh Vegetable, Tomatoes, U.S. No. 1.  Large or Extra Large (not less than 2 ½” or more than 3”), Red or Light Red. Tomatoes will be similar varietal characteristics, mature, not overripe or soft, clean, well developed, fairly well forms, and fairly smooth, free from decay, freezing injury and sunscald, not damaged by any other cause.  State case weight on bid.</t>
  </si>
  <si>
    <t>LOCAL SPECIFICATION</t>
  </si>
  <si>
    <t>CONTRACTOR AWARD ACKNOWLEDGEMENT</t>
  </si>
  <si>
    <t>*This is NOT an award document.</t>
  </si>
  <si>
    <t>*Must be completed by the Contracting Officer and the Food Service Contractor prior to award.</t>
  </si>
  <si>
    <t>Dear Contractor:</t>
  </si>
  <si>
    <t xml:space="preserve">RE:  Apparent Low Bidder concerning this Request for Quotation </t>
  </si>
  <si>
    <t>RFQ:</t>
  </si>
  <si>
    <t>________</t>
  </si>
  <si>
    <t>intends to make award to your company for the following RFQ items.</t>
  </si>
  <si>
    <t>Accept</t>
  </si>
  <si>
    <t>Deny</t>
  </si>
  <si>
    <t>Line #1</t>
  </si>
  <si>
    <t>Line #2</t>
  </si>
  <si>
    <t>Line #3</t>
  </si>
  <si>
    <t>Line #4</t>
  </si>
  <si>
    <t>Line #5</t>
  </si>
  <si>
    <t xml:space="preserve">Accept </t>
  </si>
  <si>
    <t>Line #6</t>
  </si>
  <si>
    <t>Line #7</t>
  </si>
  <si>
    <t>Line #8</t>
  </si>
  <si>
    <t>Line #9</t>
  </si>
  <si>
    <t>Line #10</t>
  </si>
  <si>
    <t>Total Dollar Amount:</t>
  </si>
  <si>
    <t>Formal Reminders:</t>
  </si>
  <si>
    <t>Per RFQ _____________ the Government reserves the right to make payments using either Electronic Funds Transfer (EFT) or Government Purchase Card.  Awards exceeding $3500 will be accomplished through issuance of a Purchase Order.  All awards under $3500 will be accomplished via the Government Purchase Card.</t>
  </si>
  <si>
    <t>NOTICE</t>
  </si>
  <si>
    <t>PAYMENT</t>
  </si>
  <si>
    <t>Referencing FAR 42.212-4(a) - Suupplies shall be "nonconforming" if:</t>
  </si>
  <si>
    <t>1.  The supplies are recalled by the producer.</t>
  </si>
  <si>
    <t>2.  A local, state, or federal agency issues a public health alert regarding the supplies.</t>
  </si>
  <si>
    <t>3.  The facility or farm from which the supplies originated or were processed is found to have violated applicable local, state, or federal health and safety standards.  This includes, but is not limited to, the Federal Meat Inspection Act, Poultry Products Inspection Act, or the Food Safety and Inspection Services directives and regulations.</t>
  </si>
  <si>
    <t>Award Acceptance</t>
  </si>
  <si>
    <t>_________</t>
  </si>
  <si>
    <t>Award Denial</t>
  </si>
  <si>
    <t>Reason for Denial (if applicable):</t>
  </si>
  <si>
    <t>Contractor Signature:</t>
  </si>
  <si>
    <t>Date:</t>
  </si>
  <si>
    <t>Please circle "accept or deny" for each line item noted below.  Sign, date and submit this acknowledgement.  This verifies acceptance and delivery of all line items listed below per the Food Service National Menu Specifications.</t>
  </si>
  <si>
    <t>$</t>
  </si>
  <si>
    <t>AWARD DELIVERY INFORMATION - RFQ __________________</t>
  </si>
  <si>
    <t>DELIVERY SCHEDULE</t>
  </si>
  <si>
    <t>A complete delivery of all awarded items is expected during ________________ (normally first month of the quarter).</t>
  </si>
  <si>
    <t>Deliveries will be made Monday thru Friday from _____________________.</t>
  </si>
  <si>
    <t>Federal holiday deliveries will not be accepted.</t>
  </si>
  <si>
    <t>Contractor failure to meet delivery schedules without an excusable delay and/or failure to conform to contract specifications will negatively affect the contractor's history of past performance.  Past performance information may be used by the Government to make future award decisions and/or may result in a finding that the quoter is not responsible for the award of future requirements.</t>
  </si>
  <si>
    <t>NOTE:</t>
  </si>
  <si>
    <t>Delivery schedules must be pre-arranged with the receiving warehouse.</t>
  </si>
  <si>
    <t>Warehouse Phone:</t>
  </si>
  <si>
    <t>DELIVERY REQUIREMENTS</t>
  </si>
  <si>
    <t>All deliveries must be palletized unless prior arrangements were agreed to by warehouse staff.</t>
  </si>
  <si>
    <t>All canned goods must be delivered above 34 degrees F and not frozen.</t>
  </si>
  <si>
    <t>All frozen foods must be delivered at 0 degrees F or below.</t>
  </si>
  <si>
    <t>Any product that indicates prior thawing will be refused.</t>
  </si>
  <si>
    <t>All certified religious diet items must be marked with the Kosher Symbol on individual packages or the item will be refused.</t>
  </si>
  <si>
    <t>All items must strictly be in compliance with the BOP National Menu Specifications.  Food Service contractors have the responsibility of understanding these specifications.  Contractors must obtain a copy of the National Menu Specifications prior to quoting.</t>
  </si>
  <si>
    <t>All items will be closely inspected.</t>
  </si>
  <si>
    <t>Some items may require thawing and cooking to determine specifications compliance.</t>
  </si>
  <si>
    <t>Receipt of delivery may be conditional for a period of three (3) days in order to allow for adequate examination and testing.</t>
  </si>
  <si>
    <t>Items that fail to meet specifications will be refused.</t>
  </si>
  <si>
    <t>If the product is not picked up within two (2) weeks, it will be disposed of by warehouse staff.</t>
  </si>
  <si>
    <t>Items which are conditionally received, and found to be unacceptable, must be picked up at the vendors' expense within two (2) weeks of noncompliance notification.</t>
  </si>
  <si>
    <t>RICE</t>
  </si>
  <si>
    <t>PASTA</t>
  </si>
  <si>
    <t>CORN MEAL, CORN STARCH, FLOUR, NON-FAT DRY MILK</t>
  </si>
  <si>
    <t>CEREAL</t>
  </si>
  <si>
    <t>POTATO CHIPS</t>
  </si>
  <si>
    <t>PEANUT BUTTER</t>
  </si>
  <si>
    <t>SOY AND NO FLESH PRODUCTS</t>
  </si>
  <si>
    <t>SHORTENING AND OIL</t>
  </si>
  <si>
    <t>BUTTER &amp; MARGARINE</t>
  </si>
  <si>
    <t>DRESSINGS, VINEGAR, AND  CONDIMENTS</t>
  </si>
  <si>
    <t>JELLY, SUGARS, SYRUP</t>
  </si>
  <si>
    <t>PASTRIES (BREAKFAST CAKES &amp; DESSERTS)</t>
  </si>
  <si>
    <t>PIZZA, TACO SHELLS, TORTILLAS, TORTILLA CHIPS, FRENCH TOAST, PANCAKES (PREMADE ITEMS)</t>
  </si>
  <si>
    <t>TOMATO PRODUCTS</t>
  </si>
  <si>
    <t>VEGETABLES (FROZEN)</t>
  </si>
  <si>
    <t>TUNA</t>
  </si>
  <si>
    <t>SOUP BASES</t>
  </si>
  <si>
    <t>CHEESE</t>
  </si>
  <si>
    <t>DAIRY</t>
  </si>
  <si>
    <t>BREAD</t>
  </si>
  <si>
    <t>EGGS</t>
  </si>
  <si>
    <t>FRESH FRUIT</t>
  </si>
  <si>
    <t>FRESH VEGETABLES</t>
  </si>
  <si>
    <t>Fruit, Pineapple, Canned, Standards of Identity, Quality, and Fill of Container contained in 21 CFR 145.180 and 145.181, U.S. Grade A, B, or C, Slices, Half Slices, Broken Slices, Spears, Tidbits, Chunks, Cubes, or Crushed.  Packed in light syrup, lightly sweetened fruit juice and water, lightly sweetened fruit juice, slightly sweetened water, extra light syrup, slightly sweetened fruit juice and water, slightly sweetened fruit juice, or in water.  6/#10 cans per case.</t>
  </si>
  <si>
    <t>MEATS - BEEF</t>
  </si>
  <si>
    <t>Fresh Vegetable, Peas, U.S. No. 1 or U.S. Fancy.  Consist of pods of peas of similar varietal characteristics which are not overmature or excessively small, not badly misshapen or watersoaked, and which are at least three-fourths well filled, fresh, firm, free from decay, and from damage caused by black calyxes, freezing, splitting, hail, dirt, leaves, or other foreign matter, mildew, or other diseases, insects, or mechanical or other meals.  The peas shall be at least fairly tender, free from decay, and from damage caused by split skins, disease, insects or mecahanical or other means.  State package weight on bid.</t>
  </si>
  <si>
    <t>Fresh Vegetable, Beets, Bunched Beets, Beets with Short-Trimmed Tops, or Topped Beets.  U.S. No. 1 or 2.  Cosists of beets of similar varietal characteristics the roots of which are well trimmed, firm, not excessively rough, not seriously misshapen and which are free from soft rot and free from serious damage caused by cuts, dirt, freezing, growth cracks, disease, rodents, or insects, or mechanical or other meals.  Bunched beets or beets with short-trimmed tops shall have tops which are fresh and free from decay and free from damage caused by discoloration, freezing, disease, insects, or mechanical or other means.  The diameter of each beet shall be not less than 1 - 1/2 inches.  Bunched beets are beets which are tied in bunches and tops shall be full length or removed to not less than 6 inches.  Beets With Short-Trimmed Tops are beets showing leafstems ranging to not more than 4 inches in length.  Topped beets are beets with tops removed to not more than one-half inch in length.    Note package weight on bid.</t>
  </si>
  <si>
    <t>Fresh Vegetable, Collard Greens or Broccoli Greens, U.S. No. 1.  Consists of collard greens or broccoli greens, of similar varietal characteristics which are fresh, fairly tender, fairly clean, well trimmed, and or characteristic color for the variety or type; which are free from decay and free from damage caused by coarse stalks and seedstems, discoloration, freezing, foreign material, disease, insects, or mechanical or other means.  Not more than a total of 10 percent by weight of the units in any lot may fail to meet the requirements of the grade.  State case weight on bid.</t>
  </si>
  <si>
    <t>Fresh Vegetable, Peppers, Jalapeno, U.S. Fancy, U.S. No. 1, or U.S. No. 2.  Consists of mature peppers of similar varietal characteristics which are atleast firm, not seriously misshapen, and free from freezing, freezing injury, sunscald and decay affectiving calyxes and/or walls, decay affecting stems, crushed/broken and free of serious damage caused Blossom End Rot, bruising, dirt, discoloration, disease, hail, insects, pitting, scars, shriveling, sunburn, mechanical or other means.    Average length to be 2 - 4".  90 percent of the peppers should be green in color.  State package weight on bid.</t>
  </si>
  <si>
    <t>Fresh Vegetable, Beans, (Snap, Pole, Green, Wax).  U.S. Fancy, U.S. No. 1, or U.S. No. 2.  Consists of beans of similar varietal characteristics which are fairly fresh, firm, not overmature, and which are free from soft rot and free from serious damage caused by dirt, leaves, leafsteams, other foreign matter, hail, disease, insects or mechanical or other means.  Note package weight on bid.</t>
  </si>
  <si>
    <t>Fresh Vegetable, Corn, U.S. Fancy, U.S. Fancy, Husked, U.S. No. 1, U.S. No. 1, Husked, or U.S. No. 2.  Consists of sweet ears of corn that are regular or husked, and meet the basic requirements of similar varietal characteristics, fairly well trimmed, fairly well developed, free from smut, decay, serious damage caused by birds, worms, other insects, disease, mechanical and other means.  Cobs shall be at least morderately filled with plump and milky kernels and if husked, fairly well covered with fresh husks.  Each ear may be clipped, but each clipped ear shall be properly clipped.  The length of each cob, clipped or unclipped, shall be not less than 4 inches.    State package weight on bid.</t>
  </si>
  <si>
    <t>Soy Protein Products (SPP), Meat Flavor, Bits or Crumbles.  Soy Protein Products (SPP) covered by this specification are food products produced by the reduction or removal from soybeans of certain of the major non-protein constituents (water, oil, carbohydrates) in a manner to achieve a protein content of:
– in the case of soy protein flour (SPF) 50% or more and less than 65%;
– in the case of soy protein concentrate (SPC) 65% or more and less than 90%;
– in the case of soy protein isolate (SPI) 90% or more.
The protein content is calculated on a dry weight basis excluding added vitamins, minerals, amino acids and food additives.  Product comes dehydrated, in bulk packaging.   Product will not contain any animal by products or ingredients.</t>
  </si>
  <si>
    <t>Tofu, Regular or Organic, Firm, Medium Firm, Extra Firm, or Super Firm, Refrigerated or Shelf Stable.  Ingredients include:  Water, Regular or Organic Soy Beans, Calcium Sulfate or Glucono Delta Lactone, and Calcium Chloride.  Note package size on bid.  Product will not contain any animal by product or ingredients.</t>
  </si>
  <si>
    <t>Hummus, Prepared.  Made from cooked mashed chickpeas, blended with tahini (tehena), oil, citrus juice, salt and garlic.  Individual or Bulk.  Quote must specify if quoting on individual or bulk and case size.  Product will not contain any animal by product or ingredients.</t>
  </si>
  <si>
    <t>Margarine, Bulk, All Vegetable.  Margarine shall comply with all applicable Federal regulations including those contained in the Food and Drug Standard of Identity for Margarine (21 CFR Part 166) and must conform to USDA Specifications for Vegetable Oil Margarine.  Margarine shall be made from one or more of the following vegetable oils; canola, safflower, sunflower, corn, soybean, or peanut oil.  Margarine contains not less than 80% fat.</t>
  </si>
  <si>
    <t>Margarine, Reddies, All Vegetable.  90 patties per lb on paper chips, 12 lbs per case.  Margarine shall comply with all applicable Federal regulations including those contained in the Food And Drug Standard of Identity for Margarine (21 CFR Part 166) and must conform to USDA Specifications for Vegetable Oil Margarine.  Margarine shall be made from one or more of the following vegetable oils: canola, safflower, sunflower, corn, soybean, or peanut oil.  Margarine contains not less than 80% fat.</t>
  </si>
  <si>
    <t>Spices, Salt, Food Grade or Table, Iodized.  Packaging must indicate actual delivered weight of product.  Pure - no additives, extenders, foreign matter, or flow agents.  Product may contain an Anti-Caking Agent.  Each.  .75 Gm Packages.  Specify case count on bid.</t>
  </si>
  <si>
    <t xml:space="preserve">Milk Substitute/Shelf Stable Milk, Skim or Fat Free, Individual 8 Ounce Serving.  EACH. Total amount may be adjusted to the next highest case count.  Must be processed under Ultra High Temperatures (UHT).   Product can be a plant-based dairy substitute.  </t>
  </si>
  <si>
    <t xml:space="preserve">Instant Milk or Smart Milk, Individual Serving Packet, Each Packets Makes 1 - 8 Ounce Serving When Reconstituted.  EACH. Total amount may be adjusted to the next highest case count.   Product can be a plant-based dairy substitute.  </t>
  </si>
  <si>
    <t>Meats, Chicken, Ground, Raw, (Not Mechanically Separated), Bulk, Frozen, Fat content may not exceed 15%.  Delivered cases must be labeled with fat content.  Manufacturer’s letters will NOT be accepted in lieu of labeling.  Product must be in sealed bags.  No open bags or packaging.  Products produced or labeled with any phrase “under religious exemption” will be refused.</t>
  </si>
  <si>
    <t xml:space="preserve">Pastries, Breakfast Cakes, Assorted, Individual, Fresh or Frozen, Thaw and Serve, or Bake and Serve. (Muffins, Bagels, Donuts, Cinnamon Rolls, etc.)  Specify item, size case count, and if items contain yeast on bid.  Items will not contain poppy seeds.  </t>
  </si>
  <si>
    <t>Pastries, Desserts, Assorted, Individual, Fresh or Frozen, Thaw and Serve or Bake and Serve.  (Cookies, Cakes, Pies, etc.)  Specify item, size case count and if items contain yeast on bid.  Items will not contain poppy seeds.</t>
  </si>
  <si>
    <t>Fruit, frozen.  U.S. Grade B or better.  Apple slices; diced apricots; blackberries; blueberries; cherries; peaches; raspberries; strawberries in compliance with the "Commodity Specification for Frozen Fruit" dated June 2017.</t>
  </si>
  <si>
    <t>MEATS - CHICKEN</t>
  </si>
  <si>
    <t>MEATS - FISH</t>
  </si>
  <si>
    <t>MEATS - PORK</t>
  </si>
  <si>
    <t>MEATS - TURKEY</t>
  </si>
  <si>
    <t>MEATS - OTHER</t>
  </si>
  <si>
    <t>All non-frozen, perishable foods must be delivered between 34 degrees F and 41 degrees F.</t>
  </si>
  <si>
    <t>BEANS</t>
  </si>
  <si>
    <t>Beans, Baked, Canned, In Brine, Meatless. (7 CFR §52.6462) US Grade A or B, (CID A-A-20134D, Type III, Style 9, 10, or 12, Nutrient content claim d, Agricultural practice (1). 6/#10 cans per case</t>
  </si>
  <si>
    <t>Tomato Catsup, as defined in the standard of identity for catsup, ketchup, catchup (21 CFR 155.194).  U.S. Grade A-C.  Each.  Individual 9 Gram Packets.  State case count on bid.</t>
  </si>
  <si>
    <t>Fruit, Applesauce, Canned, must be processed and meet the conditions of use in accordance with 21 CFR §101.60(c)(2).  (CID A-A--20317B, Type I - Unflavored applesauce, Sweetness 1 - Unsweetened,  Texture a, Nutritional contentclaim (a) - (f), Container size (v), Agricultural practice (aa).   6/#10 cans per case</t>
  </si>
  <si>
    <t>FRUITS (CANNED and FROZEN)</t>
  </si>
  <si>
    <t>SAUCES</t>
  </si>
  <si>
    <t>Garlic Salt, Packaging must be Labeled With Ingredients and Actual Delivered Weight of Product, Pure, From Dehydrated Garlic Bulb Ground to a Fine Powder, 100% Air Dried Garlic After the Milling Process, Appearance - Cream Brown Fine Powder With The Characteristic Odor and Flavor of Garlic. No Off Notes, Texture - A Dry Medium Fine Granular Powder, Slightly Fibrous, Moisture - No More That 12%, Grade - Free From Foreign Matter. Pure Spice - no additives or extenders.   Packaging: 1/2 oz to 50 lb sealed containers  Note package size on bid.  Note price by the pound.</t>
  </si>
  <si>
    <t xml:space="preserve">Juice, Lemon, Reconstituted, must comply with 21 Code of Federal Regulations (CFR) § 146.114. (CID A-A-20144C, Type I, Style A, Package type 1 - Plastic bottle, Agricultural practice a - Conventional).   Note package size on bid.  </t>
  </si>
  <si>
    <t xml:space="preserve">Juice, Lime, Reconstituted, (CID A-A-20144C, Type II, Style A, Package type 1 - Plastic bottle, Agricultural practice a - Conventional).   Note package size on bid.  </t>
  </si>
  <si>
    <t>SPICES</t>
  </si>
  <si>
    <t>Vanilla Flavoring, Imitation, (non-alcoholic). Product must meet the standard of identity  per 21 CFR § 169.177 (a) and (b).  Note package size on bid.</t>
  </si>
  <si>
    <t>Tortilla Chips, Corn, Round or Triangular, Enriched, Shelf Stable, Table Ready (CID A-A-20143B, Type II, Style A, Enrichment type I).  Bulk packaged.</t>
  </si>
  <si>
    <t>Vegetable, Peas and Carrots, Canned, Sliced, Diced, Double Diced, or Strips.  Peas not less than 50% of drained product and Carrots not less than 25% of drained weight.  Minimum drain weight 70 oz.  U.S. Grade A, or U.S. Grade B.  Originated from crops that have been 100 percent grown, processed, and packed in the United States or Canada.  6/#10 cans or pouches per case.  State can or pouch on bid.</t>
  </si>
  <si>
    <t>Tuna, Can or Flexible Pouch, Chunk, Light or White (Albacore), Packed in Water, Salt/Sodium Level Regular, No Salt Added, Very Low Sodium, or Low Sodium.  (CID A-A-20155D, Type A or B, Form I, Color A or B, Packing Media 1, Salt/Sodium Level A, B, C, or D).  Sodium content will not exceed 1.5% salt. Tuna can be a product of the U.S. or other Foreign Country that meets the requirements of 21 CFR 123.12.  Product may contain vegetable broth.  Quote must specify size and packing of case and if quoting on cans or pouches.</t>
  </si>
  <si>
    <t xml:space="preserve"> LB</t>
  </si>
  <si>
    <t>Sauce, Cheese, Condensed (reduced moisture), creamy, or liquid, Cheddar cheese  (CID A-A-20345A, Type I, Flavor 1 or Flavor 5 - Other (as specified by the purchaser), Package type e or g).  Cheddar cheese used in the cheese sauce, must meet the requirements as specified in CID A-A-20208C.  6/#10 cans per case or pail.  Specify size and/or case on bid.</t>
  </si>
  <si>
    <t>Beans, Garbanzo (Chick Peas), Canned, In Brine, Meatless.  (CID AA-20134D, Type I, Class J, Style 1, Nutrient content claim d, Agricultural practice (1)).  6/#10 cans per case</t>
  </si>
  <si>
    <t>Beans, Blackeye Peas, Canned, In Brine, Meatless.  (CID A-A-20134D, Type 1, Class F, Style 1), Nutrient content claim d, Agricultural practice (1).  6/#10 cans per case</t>
  </si>
  <si>
    <t>Beans, Pintos, Canned, In Brine, Meatless.  (CID A-A-20134D, Type I, Class B, Style 1), Nutrient content claim d, Agricultural practice (1).  6/#10 cans per case</t>
  </si>
  <si>
    <t>Beans, Great Northern, In Brine, Meatless.  (CID A-A-20134D, Type I, Class C, Style 1), Nutrient content claim d, Agricultural practice (1).  6/#10 cans per case</t>
  </si>
  <si>
    <t>Beans, Black, Canned, In Brine, Meatless.  (CID A-A-20134D, Type I, Class K, Style 1), Nutrient content claim d, Agricultural practice (1). 6/#10 cans per case</t>
  </si>
  <si>
    <t>Pasta, Macaroni, Elbow Form, Whole Wheat Blend, Whole Wheat, or Regular.  (CID A-A-20062F, Type I, Style A, B, or C). Enrichment type (A).  1 lb to 40 lb sealed bags.</t>
  </si>
  <si>
    <t>Pasta, Macaroni, Rotini Form, Whole Wheat Blend, Whole Wheat, or Regular.  (CID A-A-20062F, Type V, Style A, B, C, or D). Enrichment type (A).  1 lb to 40 lb sealed bags.</t>
  </si>
  <si>
    <t>Pasta, Penne, Whole Wheat Blend, Whole Wheat, or Regular.  (CID A-A-20062F, Type IV, Class 1 or 2, Style A, B, or C).  Enrichment type (A).  1 lb to 40 lb sealed bags.</t>
  </si>
  <si>
    <t>Pasta, Spaghetti, Long Form, Whole Wheat Blend, Whole Wheat, or Regular.  (CID A-A-20062F, Type VI, Style A, B, or C). Enrichment type (A).  1 lb to 40 lb sealed bags.</t>
  </si>
  <si>
    <t>Pasta, Enriched Egg Noodles, Ribbon Shaped Noodles or Large Bow Shaped Noodles.  (CID A-A-20063D, Type I or Type II, Style B, Flour 1-5, Egg products a or b, Packaging size (5)-(8), Agricultural practice (a)).  1 lb to 40 lb sealed bags.</t>
  </si>
  <si>
    <t>Pasta, Macaroni, Ziti Form, Whole Wheat Blend, Whole Wheat, or Regular.  (CID A-A-20062F, Type XIII, Style A, B, or C).  Enrichment type (A).  1 lb to 40 lb sealed bags.</t>
  </si>
  <si>
    <t>Corn Meal, Degermed (lower fat), Enriched, White or Yellow, Course Granulation (CID A-A-20066C, Type IV, Class C, Color 1 or 2, Granulation a, Agricultural practice a).</t>
  </si>
  <si>
    <t>Cereal, Prepared, Ready to Eat, Wheat, Bran Flakes, made from Whole grains or combination of whole and refined grains.  (CID A-A-20000E, Type I, Class 5, Grain Composition a or b, Fiber 2), Sodium (a), Packaging type (vii), Agricultural practice (aa)).  Bulk package range 12 to 40 lb case.  Specify case weight on bid.</t>
  </si>
  <si>
    <t>Cereal, Prepared, Ready to Eat, Any type, any style, and any grain composition.  (CID A-A-20000E, Any Type, Any Class, Any Grain Composition).  Bulk package range 12 to 40 lb case.  Specify case weight, type, Class, and Grain Composition of cereal on bid.  Type of cereal may be specified locally.</t>
  </si>
  <si>
    <t>Hominy Grits, Enriched, White or Yellow, Regular, Unflavored (CID A-A-20035E, Type I or II, Style A, Flavor 1).</t>
  </si>
  <si>
    <t>Cereal, Rolled Oats, Quick cooking, Unflavored, Any Style, Any container size (CID A-A-20090F, Type II, Flavor A, Style 1 - 3, Container size n)</t>
  </si>
  <si>
    <r>
      <t xml:space="preserve">Peanut Butter, Regular or Reduced Fat, Smooth or Chunky/crunchy, Plain, Stabilized, Non-fortified, Salted or Unsalted, Conventional.  (CID A-A-20328C, Style I, Form (a) or (b), Class A or B, Texture 1 or 3, Type a, Flavor (1), Fortification </t>
    </r>
    <r>
      <rPr>
        <strike/>
        <sz val="11"/>
        <rFont val="Calibri"/>
        <family val="2"/>
        <scheme val="minor"/>
      </rPr>
      <t>1</t>
    </r>
    <r>
      <rPr>
        <sz val="11"/>
        <rFont val="Calibri"/>
        <family val="2"/>
        <scheme val="minor"/>
      </rPr>
      <t xml:space="preserve"> i, Seasoning (a) or (b), Packaging 5 - size g, Agricultural practices (1)).  1 to 50 lb sealed Plastic Pail.  Specify weight of container on bid.</t>
    </r>
  </si>
  <si>
    <t>Peanut Butter, Regular or Reduced Fat, Smooth, Plain, Stabilized, Non-fortified, Salted or Unsalted, Conventional.  (CID A-A-20328C, Style I, Form (a) or (b), Class A or B, Texture 1, Type a, Flavor (1), Fortification i, Seasoning (a) or (b), Packaging 1 - size e or Packaging 2 - size d, Agricultural practices (1)).  2 oz Individual Packets.  Specify total count per case on bid.</t>
  </si>
  <si>
    <t xml:space="preserve">Shortening, General Purpose, (CID A-A 20100D, Type I).  The general purpose shortening must be prepared from deodorized vegetable fats and oils, which include, but are not limited to, palm oil, palm kernel oil, canola oil, or a combination of these oils. The general purpose shortening may be processed by hydrogenation or interesterification. The product may contain antioxidants. Antifoaming agents must not be incorporated into the shortening. 50 pound block. </t>
  </si>
  <si>
    <t>Shortening, Liquid (deep-fry cooking) (CID A-A 20100D, Type III).  The liquid shortening (deep-fry cooking) must be prepared from deodorized vegetable fats and oils, which include, but are not limited to, palm oil, palm kernel oil, canola oil, or a combination of these oils. The liquid shortening (deep-fry cooking) must contain antifoaming agents and may contain antioxidants. Smoke point meets or exceeds 425 degrees F. 5-Gallon Container or 35 lb container(4.55 gallon)   Note package size provided on bid.</t>
  </si>
  <si>
    <t>Oils, Salad, Vegetable, Canola (rapeseed), Corn, Cottonseed, Olive (refined), Peanut, Safflower, Soybean, Sesame, Sunflower, or any other vegetable oils or combinations of these oils.  (CID A-A-20091E, Type II, Style 1, Saturated fat level a, Agricultral practice (i)).  Gallons, Half Gallons, 5 Gallon Containers, or 35 lb Containers.  Note size of container and case size on bid.</t>
  </si>
  <si>
    <t>Mustard, Prepared, Yellow (Salad Style).  (CID A-A-20036D, Type I).  4/1 Gallon plastic containers per case.</t>
  </si>
  <si>
    <t>Pickle, Relish, Sweet (mild or regular), Bulk, Cured.  Product will comply with the United States Standards for Grades of Pickles (84 FR16381).  Grade A or B.  4/1 Gallon Plastic Containers per case.</t>
  </si>
  <si>
    <t xml:space="preserve">Jelly, Fruit, Standardized, Variety, Apple, Apricot, Cherry, Grape, Orange, Peach, Raspberry, or Strawberry.  Regular or Reduced Sugar, U.S. Grade A or equivalent.  (CID A-A-20078D), Type II, kind A, B, F, M, R, S, Y, or AA, Style 1 or 2.  Finished product quality a or b. 10 gram individual portion.  EACH.  Total amount may be adjusted to the next highest case count. </t>
  </si>
  <si>
    <t>Sugar, Brown, Light or Dark (CID A-A-20135E, Type II, Style A or B)</t>
  </si>
  <si>
    <t>Sugar, White (Refined), Powdered or Confectioners (CID A-A-20135E, Type I, Style C)</t>
  </si>
  <si>
    <t>Sugar, White (Refined), Granulated (fine, extra fine, or superfine)(CID A-A-20135E, Type I, Style A or B).  Each individual is 1/10 oz.  State case count on bid.</t>
  </si>
  <si>
    <t>Syrup, Table, Regular or Lite or Light, Any flavor (CID A-A-20124E, Type V, Style 1 or 2, Flavor A, B, C, D, or E).  Syrup shall be manufactured in accordance with the U.S. Standard of Identity for Table Syrup, 21 CFR 168.180.  Each.  Individuals are 1 oz.  State case count and flavor on bid.</t>
  </si>
  <si>
    <t xml:space="preserve">Preserves (Or Jams), Fruit, Variety, Apple, Apricot, Cherry, Grape, Peach, Raspberry or Strawberry. Regular, Reduced sugar, or Sugar free, U.S. Grade A or equivalent. (CID A-A-20079D), Type II, kind Group I: E, I, M, Q or Group II: A, B, J, Style 1, 2, or 3. Finished product quality a or b. 10 gram individual portion.  EACH.  Total amount may be adjusted to the next highest case count. </t>
  </si>
  <si>
    <t>Vegetable, Mushrooms, Brown, Buttons, Sliced Whole, Random Sliced Whole, Sliced Buttons, or Stems and Pieces.  Minimum drain weight 68 oz.  U.S. Grade A, or U.S. Grade B.  As defined in the definitions and standards of identity for canned mushrooms 21 CFR 155.201.  6/#10 cans or pouches per case.  State can or pouch on bid.</t>
  </si>
  <si>
    <t>Vegetable, Corn, Whole Kernel (Whole Grain), Frozen, Golden (or yellow), Grade A, U.S. Fancy, U.S. Grade B, U.S. Extra Standard, U.S. Grade C or U.S. Standard.  As defined in Title 7 CFR 52.911 - 920.  Originated from crops that have been 100 percent grown, processed, and packed in the United States or Canada.</t>
  </si>
  <si>
    <t>Sauce, Hot, Green, Chipotle, Habanero, Buffalo-style, or Other.  (CID A-A-20097G, Type I, III, IV, V, IX, or XI, Agricultural practices A).  4/1 gallon plastic containers per case, 6/#10 cans per case or Each.  Specify size and/or case on bid.</t>
  </si>
  <si>
    <t>Sauce, Soy, Fermented or Fermented, Reduced Sodium.  (CID A-A-20087D, Type I or IV), 4/1 Gallon plastic containers per case</t>
  </si>
  <si>
    <t xml:space="preserve">Sauce, Worcestershire.  (CID A-A-20099D, Type I or II, Agricultural Practice A).  4/1 gallon plastic containers per case. </t>
  </si>
  <si>
    <t>Spices, Baking Powder, Single Action, shall be manufactured from clean, white, free-flowing, highly purified, food grade materials and shall be comprised of acid-reacting materials, sodium bicarbonate, and cornstarch.  Note price by the pound.</t>
  </si>
  <si>
    <t>Spices, Baking Soda, Food Grade Sodium Bicarbonate.  Packaging must indicate actual delivered weight of product.  Pure - no additives, extenders, foreign matter, or flow agents.  1/2 oz to 50 lb sealed containers or boxes.  Note package size on bid.  Note price by the pound.</t>
  </si>
  <si>
    <t>Spices, Cocoa Powder, Natural or Alkalized, Brown to Dark Brown in Color.  Pure - no additives, extenders, foreign matter, or flow agents.  BULK.  Note package size on bid.  Note price by the pound.</t>
  </si>
  <si>
    <t>Spices, Garlic, Powder.  From dehydrated garlic bulb ground to a fine powder after the milling process.  100% air dried garlic.  Appearance and Flavor Cream Brown Fine Powder with the characteristic odor and flavor of garlic.  No off notes.  Texture - A dry medium fine granular powder, slightly fibrous.  Moisture less than 12%.  Packaging must indicate actual delivered weight of product.  Pure - no additives, extenders, foreign matter, or flow agents.  1/2 oz to 50 lb sealed plastic containers or boxes.  Note package size on bid.  Note price by the pound.</t>
  </si>
  <si>
    <t>Spices, Salt, Food Grade or Table, Iodized.  Packaging must indicate actual delivered weight of product.  Pure - no additives, extenders, foreign matter, or flow agents.  Product may contain an Anti-Caking Agent.   Bulk.  Specify package size on bid.   Note price by the pound.</t>
  </si>
  <si>
    <t>Meats, Beef, Ground, 80% Lean, IMPS 136, delivered Frozen.  Ground Beef shall consist of chopped fresh and/or frozen beef without seasoning.  In addition product must be produced from current raw material, no bench trimmings, steak trim, or re-ground product to be used as raw material.  Finished product shall not contain more than 20 percent fat, and shall not contain added water, phosphates, binders, or extenders.   No partially defatted tissue or advanced meat recovery product.   PRODUCT MUST BE 6 MONTHS OR YOUNGER UPON DELIVERY WITH THE DATE CLEARLY ON THE LABEL, (NO STAMPED OR WRITTEN DATES ALLOWED).  When beef cheek meat (trimmed beef cheeks) is used in the preparation, the amount of such meat shall be limited to 25 percent; (NO ORGAN OR TONGUE MEAT) Delivered cases must be labeled Beef, All Beef, Pure Beef, or 100% Beef and with fat percentage.  Manufacturer’s letters will NOT be accepted in lieu of labeling.   Upon delivery, product must have a rosy red appearance.  Product that is grey, brown or tan in color will be rejected.  Clear 1 mil or thicker sealed bags.  No open bags, opaque or colored bags.  Note weight of packaging and case size on bid.</t>
  </si>
  <si>
    <t>Meats, Beef Sandwich Steaks, Flaked, Chopped, Formed and Wafer Sliced; Beef Steaks, Sliced and Formed, Frozen; or Beef Slices, Frozen, IMPS 1138A, 1138B, or 1139.  Steaks shall be prepared from boneless beef that complies with the material requirements of Item No. 136 or 139.  The flaking, chopping, forming, and slicing process shall be in compliance with FSIS Regulations and shall produce steaks which are moderately fine textured.  Product shall comply with fat content requirements of Item No. 136 or 139.  Each steak shall consist of two or more thin slices weighing approximately one ounce each.  No more than a minor amount of green/brown/gray rings shall be present.  Steaks shall be packaged with paper separators between each steak.  Slices shall be approximately 4.75 x 7.5 inches.  Portion-cut products will be placed in fiberboard boxes lined with a plastic bag. The open end of the bag will overlap at the top to completely cover the product.</t>
  </si>
  <si>
    <t>Meats, Beef for Stewing, Raw, IMPS 135A, diced pieces must be sized - not less than a 3/4" cube or not more than a 1 1/2" cube and no individual surface must be more than 2.5 inches in length, the fat thickness of the surface and/or seam fat must not exceed 1/4 inch at any point.  Product to be packed in 10 to 40 lb cases.  Delivered Frozen.  VEAL is not a substitute for this specifications.   Product must be packaged in plastic bags or casings.  Filled bags or casings will have practically all air pockets forced out through the open end and will be closed by metal or plastic clips, tying, or folding to completely cover the product.</t>
  </si>
  <si>
    <t>Meats, Chicken, Quartered, Ready to Cook, Frozen, Broiler Quarters, U.S. Grade A., United States Classes, Standards and Grades for Poultry Agricultural Marketing Service (AMS) 70.200 et seq.  Unbreaded.  Delivered amounts are to be uniform in portion size and not random sizing.  Quotes must identify portion size being offered.  Portion size not to be smaller than 12 ounces and not to exceed 20 ounces.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</si>
  <si>
    <t>Meats, Turkey, Ground, Raw, (Not Mechanically Separated), Bulk, Frozen, (CID A-A-20300, Type I, Type of turkey meat B &amp; C, Style I, Package type a), b), or c), Fat content a, b, c, or d). Fat content may not exceed 15%, Product must be in sealed bags.  No open bags or packaging.  Delivered cases must be labeled with fat content.  Manufacturer’s letters will NOT be accepted in lieu of labeling.  Products produced or labeled with any phrase related to “under religious exemption” will be refused.</t>
  </si>
  <si>
    <t xml:space="preserve">Meats, Bologna, Beef, Turkey, Chicken, or combination thereof.  IMPS 801, D, P or P1. Artificial Casing, Frozen, 4” to 5” in Diameter. Finished products must be less than 30% fat, no more than 10% water, and must not contain more than 40% of a combination of fat and added water. No binder, extenders, or hearts are permitted.  All ingredients in the product must be listed in the ingredients statement on the label in order of predominance, from highest to lowest amounts in accordance with the USDA FSIS Food Standards and Labeling Policy.  Manufacturer’s letters will NOT be accepted in lieu of labeling.  </t>
  </si>
  <si>
    <r>
      <t>Meats, Frankfurters (Hot Dogs), Fully Cooked, Frozen, Beef, 6 inch, 8:1 or 10:1 Ratio (</t>
    </r>
    <r>
      <rPr>
        <b/>
        <u/>
        <sz val="11"/>
        <rFont val="Calibri"/>
        <family val="2"/>
        <scheme val="minor"/>
      </rPr>
      <t>must specify weight ratio on bid</t>
    </r>
    <r>
      <rPr>
        <b/>
        <sz val="11"/>
        <rFont val="Calibri"/>
        <family val="2"/>
        <scheme val="minor"/>
      </rPr>
      <t>)</t>
    </r>
    <r>
      <rPr>
        <sz val="11"/>
        <rFont val="Calibri"/>
        <family val="2"/>
        <scheme val="minor"/>
      </rPr>
      <t>, Skinless, Without non-meat binders and extenders or With non-meat binders and extenders (such as nonfat dry milk, dried whole milk, and/or calcium-reduced dried skim milk.  (IMPS 800, Major Ingredient D or D1 OR CID A-A-20341A, Type II, Byproducts or variety meats A - None, Curing agents 2 - Cured, Non-meat binders and extenders (a) or (b), Nutrient content claim (1) or (2), Links per pound of meat ratio (iii) or (iv), Package size (gg), Agricultural practice 1). The finished product shall not contain more than 30 percent fat or no more than 10 percent added water, or a combination of 40 percent fat and added water.  Non-meat binders and extenders may be used up to 3.5 percent individually or collectively with other binders and extenders in the frankfurters per 9 CFR § 424.21 (c).  All ingredients in the product must be listed in the ingredients statement on the label in order of predominance, from highest to lowest amounts in accordance with the USDA Food Safety Inspection Service (FSIS) Standards and Labeling Policy.  Manufacturer’s letters will NOT be accepted in lieu of labeling.</t>
    </r>
  </si>
  <si>
    <r>
      <t>Meats, Frankfurters (Hot Dogs), Fully Cooked, Frozen, Turkey or Chicken (or combination thereof), 6 inch, 8:1 or 10:1 Ratio</t>
    </r>
    <r>
      <rPr>
        <b/>
        <sz val="11"/>
        <rFont val="Calibri"/>
        <family val="2"/>
        <scheme val="minor"/>
      </rPr>
      <t xml:space="preserve"> (</t>
    </r>
    <r>
      <rPr>
        <b/>
        <u/>
        <sz val="11"/>
        <rFont val="Calibri"/>
        <family val="2"/>
        <scheme val="minor"/>
      </rPr>
      <t>must specify weight ratio on bid</t>
    </r>
    <r>
      <rPr>
        <b/>
        <sz val="11"/>
        <rFont val="Calibri"/>
        <family val="2"/>
        <scheme val="minor"/>
      </rPr>
      <t>)</t>
    </r>
    <r>
      <rPr>
        <sz val="11"/>
        <rFont val="Calibri"/>
        <family val="2"/>
        <scheme val="minor"/>
      </rPr>
      <t>, Skinless, Without non-meat binders and extenders or With non-meat binders and extenders (such as nonfat dry milk,  dried whole milk, and/or calcium-reduced dried skim milk.  (IMPS 800, Major Ingredient P or P1 OR CID A-A-20341A, Type IV, Byproducts or variety meats A - None, Curing agents 2 - Cured, Non-meat binders and extenders (a) or (b), Nutrient content claim (1) or (2), Links per pound of meat ratio (iii) or (iv), Package size (gg), Agricultural practice 1). The finished product shall not contain more than 30 percent fat or no more than 10 percent added water, or a combination of 40 percent fat and added water.  Non-meat binders and extenders may be used up to 3.5 percent individually or collectively with other binders and extenders in the frankfurters per 9 CFR § 424.21 (c).  All ingredients in the product must be listed in the ingredients statement on the label in order of predominance, from highest to lowest amounts in accordance with the USDA Food Safety Inspection Service (FSIS) Standards and Labeling Policy.  Manufacturer’s letters will NOT be accepted in lieu of labeling.</t>
    </r>
  </si>
  <si>
    <t xml:space="preserve">Meats, Salami, Beef, Turkey, Chicken, or combination thereof.  IMPS 804, D, P or P1. Artificial Casing, Frozen, has a moisture protein ratio of 1.9:1 or less. 4” to 5” in Diameter.  Seasonings, unless otherwise specified, must include garlic and whole black peppercorns (at least a portion of a peppercorn must be in evidence on either sliced surface).  Finished products must be less than 30% fat, no more than 10% water, and must not contain more than 40% of a combination of fat and added water. No binder, extenders, or hearts are permitted.  All ingredients in the product must be listed in the ingredients statement on the label in order of predominance, from highest to lowest amounts in accordance with the USDA FSIS Food Standards and Labeling Policy.  Manufacturer’s letters will NOT be accepted in lieu of labeling. </t>
  </si>
  <si>
    <t xml:space="preserve">Cheese, Cheddar, U.S. Grade AA or A, CID-A-A-20208C, Type I - Cheddar cheese (21 Code of Federal Regulations (CFR) §133.113), Style A, B, D , K (loaf, shredded coarse), Shred size 1, 2, or 3, Agricultural practice (a).  “Cheddar cheese” is cheese made by the cheddaring process or by another procedure which produces a finished cheese having the same physical and chemical properties as the cheese produced by the cheddar process and is made from cow's milk with or without the addition of coloring matter and with common salt, contains not more than 39 percent of moisture, and in the water-free substance, contains not less than 50 percent of milk fat and conforms to the provisions of §19.500, “Definitions and Standards of Identity for Cheese and Cheese Products.” Food and Drug Administration (21 CFR 133.113).  Manufacturer’s letters will NOT be accepted in lieu of labeling (Bidder needs to indicate if cheese is Loaf/Block or Shredded Coarse).  Packaging: 5 lb to 40 lb sealed Bags or containers. </t>
  </si>
  <si>
    <t>Dairy, Milk, Pasteurized, Nonfat, Skim, or Fat Free, No Flavor.  (CID A-A-20338A, Group I, Type D, Flavor 5 - No Flavor, Packaging size f, Agricultural practice (1)).  1 Pint containers.</t>
  </si>
  <si>
    <t>Dairy, Milk, Pasteurized, Nonfat, Skim, or Fat Free, No Flavor.  (CID A-A-20338A, Group I, Type D, Flavor 5 - No Flavor, Packaging size c or d, Agricultural practice (1)).  ½ pint containers.</t>
  </si>
  <si>
    <t>Dairy, Milk, Pasteurized, Nonfat, Skim, or Fat Free, No Flavor. (CID A-A-20338A, Group I, Type D, Flavor 5 - No Flavor, Packaging size j, Agricultural practice (1)).  5 Gallon Containers for Milk Dispenser.</t>
  </si>
  <si>
    <t>Dairy, Cottage Cheese, Cultured or Acidified, Low Fat (2%), Fat Free, Cottage Cheese, or No Salt Added Low Fat Types, Unflavored, Small or Large Curd, Once the cottage cheese is packaged, the cottage cheese must have a remaining shelf life of at least 60 days. (CID A-A-20154C, Group I or II, Style A or B, Types 2, 3, 4, or 5, Flavor (a), Packaging size (7) - Other (as specified by purchaser), Agricultural practice (a).   Note type and package size on bid.</t>
  </si>
  <si>
    <t>Bread, Roll, Enriched, Finger (Hot Dog), Wheat, Pan Baked, Sliced, Fresh, Seedless.  (CID A-A-20053C, Type I, Class of Roll D, Style of Roll 3, Bake Type a, Slice Type i, Product State a, Seed type I, Agricultural practice (i)).  Fresh bread shall be delivered within 48 hours after baking.  State package size on bid.</t>
  </si>
  <si>
    <t>Bread, Roll, Enriched, Sandwich (Hamburger), Whole Wheat, Part Whole Wheat, or Multigrain, Pan Baked, Sliced, Fresh, Seedless.  (CID A-A-20053C, Type I, Class of Roll C, Style of Roll 2, 3, or 4, Bake Type a, Slice Type i, Product State a, Seed type I, Agricultural practice (i)).  Fresh bread shall be delivered within 48 hours after baking.  State type and package size on bid.</t>
  </si>
  <si>
    <t>Syrup, Table, Regular or Light, Any flavor (CID A-A-20124E, Type V, Style 1 or 2, Flavor A, B, C, D, or E.)  Syrup shall be manufactured in accordance with the U.S. Standard of Identity for Table Syrup, 21 CFR 168.180.  4/1 Gallon Plastic Containers per case.  State flavor on bid.</t>
  </si>
  <si>
    <t>Fruit, Fruit Cocktail, Canned, U.S. Grade A, B, or U.S. Fancy, Standard of Identity contained in 21 CFR 27.40 and 27.43.  Proportion of Fruit ingredients shall contain Peaches (30%), Pears (25%), Grapes (6%), Pineapple (6%), and Cherries (2%).  Packed in light syrup, lightly sweetened fruit juice and water, lightly sweetened fruit juice, slightly sweetened water, extra light syrup, slightly sweetened fruit juice and water, slightly sweetened fruit juice, or in water.  6/#10 cans per case.</t>
  </si>
  <si>
    <r>
      <t xml:space="preserve">Pasta, Lasagna Noodles, Curl or Flat Form, Whole Wheat Blend, Whole Wheat, or Regular.  (CID A-A-20062F, Type VIII, Class 1 </t>
    </r>
    <r>
      <rPr>
        <strike/>
        <sz val="11"/>
        <rFont val="Calibri"/>
        <family val="2"/>
        <scheme val="minor"/>
      </rPr>
      <t>of</t>
    </r>
    <r>
      <rPr>
        <sz val="11"/>
        <rFont val="Calibri"/>
        <family val="2"/>
        <scheme val="minor"/>
      </rPr>
      <t xml:space="preserve"> or 2, Style A, B, or C). Enrichment type (A).  1 lb to 40 lb sealed bags.</t>
    </r>
  </si>
  <si>
    <r>
      <t xml:space="preserve">Meats, Pork Roast, Pork Shoulder, Boston Butt, Boneless, Raw, IMPS 406A, Frozen, No Paper Wrapping, Weight Range A or B, 4 to 10 lb. </t>
    </r>
    <r>
      <rPr>
        <sz val="11"/>
        <color rgb="FFFF0000"/>
        <rFont val="Calibri"/>
        <family val="2"/>
        <scheme val="minor"/>
      </rPr>
      <t xml:space="preserve"> </t>
    </r>
    <r>
      <rPr>
        <sz val="11"/>
        <rFont val="Calibri"/>
        <family val="2"/>
        <scheme val="minor"/>
      </rPr>
      <t xml:space="preserve"> Quote MUST indicate average roast weight of quoted item.</t>
    </r>
  </si>
  <si>
    <t>Fresh Vegetable, Lettuce, Salad Mix, Iceberg or Blends, Chopped Leafy Greens, Ready to Eat, Conventional or Organic.  U.S. Fancy or U.S. No. 1.  (CID A-A-20316A, Type of Leafy Green IX, Blend A or B, Style 4, Chop Size A, Purpose i, Agricultural practice A or B.  Salad mixes will be packaged using modified atmosphere packaging to enhance shelf life and to retard browning. Nitrogen flush, vacuum, or partial vacuum may be used to drive out excess air.  Note type of salad mix and package size on bid. 
Salad Mix Options:  
1. Bag of chopped iceberg lettuce, shredded red cabbage and shredded carrots (in separate bags from lettuce). ), Lettuce shall have bright green color and shall be free from odors such as chlorine, ammonia, musty/moldy, sour, and fermented smells and other odors not typical of fresh lettuce. The lettuce and cabbage shall be crisp, firm, not wilted, flabby, or tough.
2. Blend of one or more types of leafy greens such as Arugula, Baby Leaf Lettuce, Iceberg, Leaf Lettuce, Romaine, Spinach, or Spring Mix.</t>
  </si>
  <si>
    <t>Dressing, Mayonnaise (21 Code of Federal Regulations (CFR) § 169.140), Regular, Reduced Fat, Fat Free, or Light (CID A-A-20140E, Type I, Flavor A, Style 1, 2, 3, or 4, Agricultural practice a).  4/1 Gallon plastic containers per case. Heavy Duty Mayonnaise is acceptable.  Note Style on bid if not specified.</t>
  </si>
  <si>
    <t xml:space="preserve">Dressing, Salad, Pourable, Regular, Lite or Light, Reduced Fat, or Fat Free, Any Flavor, Any Style. (CID A-A-20162B, Type I, II, III, or IV, Any Class, Any Style). 4/1 Gallon plastic containers per case.  Note Type, Class, and Style on bid if not specified. </t>
  </si>
  <si>
    <r>
      <t xml:space="preserve">Dressing, Mayonnaise (21 Code of Federal Regulations (CFR) § 169.140), Regular, Reduced Fat, Fat Free, or Light.  (CID A-A-20140E, Type I, Flavor A, Style 1, 2, 3, or 4, Agricultural practice a).      </t>
    </r>
    <r>
      <rPr>
        <b/>
        <sz val="11"/>
        <rFont val="Calibri"/>
        <family val="2"/>
        <scheme val="minor"/>
      </rPr>
      <t>9 Gram - 12.4 Gram Individual Packet</t>
    </r>
    <r>
      <rPr>
        <sz val="11"/>
        <rFont val="Calibri"/>
        <family val="2"/>
        <scheme val="minor"/>
      </rPr>
      <t>.  Each.  Note Style on the bid if not specified.  Note package size and case count on bid.  Total amount may be adjusted to the next highest case count.</t>
    </r>
  </si>
  <si>
    <t>Mustard, Prepared, Yellow (Salad Style).  (CID A-A-20036D, Type I).  EACH  4.5 Gram Individual Packets.  Specify case count on bid. Total amount may be adjusted to the next highest case count.</t>
  </si>
  <si>
    <t>Pickle, Relish, Sweet (mild or regular), Individual, Cured.  Product will comply with the United States Standards for Grades of Pickles (84 FR16381).  Grade A or B.  9 Gram Individual Packet, Each.  Specify case count on bid. Total amount may be adjusted to the next highest case count.</t>
  </si>
  <si>
    <t>Tartar Sauce, Individual Packet, Each, Regular, Reduced Fat, Fat Free, or Light (CID A-A-20140E, Type III, Agricultural practice a).  Specify case count on bid. Total amount may be adjusted to the next highest case count.</t>
  </si>
  <si>
    <t>Meats, Chicken, Boneless, Skinless, Raw, White Meat (Tender or Breast Meat), Frozen, A quality per the USDA, United States Classes, Standards, and Grades for Poultry Agricultural Marketing Service (AMS) 70.200 et seq.  Boneless, skinless breasts must be free of cartilage and fat.  Boneless breasts (excluding the attached tenderloin) must be free of tendons.  Tendons normally associated with tenderloins are permitted.  Tenderloins or boneless, skinless parts must be free of blood clots, bruises, cuts, tears, and holes in the muscle tissue.  Slight discolorations and separation of the muscle tissue is permitted on boneless, skinless parts, provided it does not detract from the appearance of the product.  Boneless, skinless parts may be diced.  The dicing process must result in size-reduced portions of meat that are intact, not mutilated, and with surfaces relatively smooth in appearance.  Individual size-reduced portions of meat must be relatively uniform in size and shape, and consistent with the size reduction process.  Unbreaded.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</si>
  <si>
    <t>Meats, Chicken, Boneless, Skinless, Raw, Thigh, Meat, Frozen, A quality per the USDA, United States Classes, Standards and Grades for Poultry Agricultural Marketing Service (AMS) 70.200 et seq.  Boneless thighs must be free of cartilage, fat, tendons, blood clots, bruises, cuts, tears, and holes in the muscle tissue  Boneless, skinless parts may be diced.  The dicing process must result in size-reduced portions of meat that are intact, not mutilated, and with surfaces relatively smooth in appearance.  Individual size-reduced portions of meat must be relatively uniform in size and shape, and consistent with the size reduction process.  Unbreaded.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</si>
  <si>
    <t>Meats, Fish, Breaded, Cod, or Other, Fillet Block, Single Frozen, Portion, Any Shape, Any Oven Ready Weight, Fried Fish Type, Composition (a) (Meets the requirements of U.S. Grade A [Portions – 65 percent by weight of fish flesh; all other fishery product types – 60 percent by weight of fish flesh]), Crumb Coated Breading, Unflavored. (CID A-A-20325, Fish Species II, or III, Style A, Type 2, Oven Ready Weight (a – d), Shape (1-3), Fried Fish Type (b), Composition (a), Coating (1).  All ingredients in the product must be listed in the ingredients statement on the label in order of predominance, from highest to lowest amounts in accordance with the USDA Food Safety Inspection Service (FSIS) Food Standards and Labeling Policy.  Manufacturer’s letters will NOT be accepted in lieu of labeling. Size of patty to be determined locally and size noted on bid.</t>
  </si>
  <si>
    <r>
      <t xml:space="preserve">Meats, Italian Sausage, Pork , Pork and Turkey (pork is predominant) or Pork and Chicken (pork is predominant), Sweet, Links, </t>
    </r>
    <r>
      <rPr>
        <b/>
        <sz val="11"/>
        <rFont val="Calibri"/>
        <family val="2"/>
        <scheme val="minor"/>
      </rPr>
      <t>3.8 - 5 ounce range</t>
    </r>
    <r>
      <rPr>
        <sz val="11"/>
        <rFont val="Calibri"/>
        <family val="2"/>
        <scheme val="minor"/>
      </rPr>
      <t xml:space="preserve">.  Italian sausage is a fresh, uncooked, linked product.  The meat components shall be chopped or ground to a moderately course texture.  The sausage itself (or interior cut surface of links) is moderately coarse in texture with a uniform color ranging from medium to dark reddish-brown with evenly distributed fat particles.  The links shall be in a natural hog or collagen casing.  Links shall be moderately uniform in length and diameter.  IMPS 818, Italian Sausage, Formula D, P2, or P3, Flavoring B, Type E.   Product will be delivered frozen.  Product will not contain SOY.  Specify portion size on bid.                                                                                                                                                                                                                                                                                                                                                                                                                                                                                    </t>
    </r>
  </si>
  <si>
    <t>Meats, Beef Roast, Beef Top or Bottom Round (Gooseneck),or Strip Loin, Boneless. IMPS 168, 169, 169A, 170, 170A, 171B, 180.  Frozen, weight range approximately 12 to 28 lb.  Quote MUST indicate actual IMPS &amp; average roast weight of quoted item.</t>
  </si>
  <si>
    <t>Spices, Onion Powder, Ground. Packaging must be Labeled With Ingredients and Actual Delivered Weight of Product. Texture - A Dry Medium Fine Granular Powder, Slightly Fibrous, Moisture - No More That 12%, Grade - Free From Foreign Matter. Pure Spice - no additives or extenders. All delivered product must be labeled with ingredients.  1/2 oz to 50 lb sealed plastic containers or boxes.  Note package size on bid.  Note price by the pound.</t>
  </si>
  <si>
    <t>Beans, Dry, Pea (Navy), Whole, U.S. Grade 1 - 2</t>
  </si>
  <si>
    <r>
      <t xml:space="preserve">Beans, Kidney, Dark Red, Canned, In Brine, Meatless, Light or Dark Red. (CID A-A-20134D, Type I, Class D, Style 1), Nutrient content claim d, Agricultural practice (1).  </t>
    </r>
    <r>
      <rPr>
        <sz val="10"/>
        <rFont val="Calibri"/>
        <family val="2"/>
        <scheme val="minor"/>
      </rPr>
      <t>6/#10 cans per case</t>
    </r>
  </si>
  <si>
    <t>Beans, Pea (Navy Beans).  (CID A-A-20134D, Type I, Class A, Style 1), Nutrient content claim d, Agricultural practice (1).  6/#10 cans per case</t>
  </si>
  <si>
    <t>BEANS (Canned)</t>
  </si>
  <si>
    <t>Sugar, White (Refined), Granulated (fine, extra fine, or superfine) (CID A-A-20135E, Type I, Style A or B).</t>
  </si>
  <si>
    <t>BEVERAGES</t>
  </si>
  <si>
    <t>Coffee Ground, Medium Ground.  Specify case size on bid.</t>
  </si>
  <si>
    <t>Pimentos, Canned, as such product is defined in the Standards of Identity for Canned Pimentos (21 CFR 155.200).  Pieces, Slices, Diced or Chopped.  US Grade A or Grade C.  State can and case size on bid.</t>
  </si>
  <si>
    <r>
      <t xml:space="preserve">The delivered item(s) must comply with all applicable Federal, State, and local mandatory requirements and regulations relating to the preparation, packaging, labeling, storage, distribution, and sale of the supplies in the commercial marketplace.  Delivered item(s) must comply with all applicable provisions of the Federal Food, Drug, and Cosmetic (FD&amp;C) Act, the Fair Packaging and Labeling Act, and regulations promulgated thereunder.  When a known allergen is included in the item(s), the item(s) must comply with the allergen labeling requirements of the FD&amp;C Act.  Major allergens identified in the FD&amp;C Act include: wheat, fish, milk, soy, tree nuts, eggs, peanuts, shellfish, and sesame or those in effect on the date of the solicitation, contract, or purchase order.  Failure to comply with the National Menu Specifications will result in your quoted item not being considered for award.  No specification substitutions will be accepted.  If a specification does NOT state it must be a product of the United States or Canada, it is acceptable for it to be a "product of" a Foreign Country and distributed in the United States or Puerto Rico. </t>
    </r>
    <r>
      <rPr>
        <sz val="10"/>
        <color rgb="FFFF0000"/>
        <rFont val="Calibri"/>
        <family val="2"/>
        <scheme val="minor"/>
      </rPr>
      <t xml:space="preserve"> </t>
    </r>
    <r>
      <rPr>
        <sz val="10"/>
        <rFont val="Calibri"/>
        <family val="2"/>
        <scheme val="minor"/>
      </rPr>
      <t xml:space="preserve">When options are offered on the specifications, it is the FSA's determination as to what options are put out to bid.  Not all options need be put out for bid.  (i.e., cans and pouches).  Items that are fried may be baked at the institutions discretion. The NFSA/Chief Dietitian will make the final determination on product compliance. </t>
    </r>
  </si>
  <si>
    <t>Vegetable, Potatoes, French Fries, Frozen, OVENABLE (Oven-baked) (CID A-A-20038C), Type of pack II - Institutional type, Style B - Strip, Size: Cross-sectional dimension a or b, Length ii - Other (purchaser specify), Style C, D, E, F, G, or L - Spiral Cut, Waffle Cut, Wedges, Slices (Straight cut), Crinkle Cut, or Other (purchaser specify), Blanching method a, b, c, or d, Seasoning (2, 3, 4, 5, or 6),  Strips will be 3/8 x 3/8, 1/2 x 1/4, or 3/8 x 3/4 inch and be Extra Long, Long, or Medium (at least 50% or more are 2 inches or longer).  Cooking/heating method (a) - Oven-baked. (Instructions on how to prepare in the oven are acceptable). Designation 1, 2, 3, 4, or 5, Cooking oil (i). U.S. Grade A, U.S. Fancy, U.S. Grade B or U.S. Extra Standard.  As defined in 7 CFR 52.1 to 52.83.  Originated from crops that have been 100 percent grown, processed, and packed in the United States or Canada.</t>
  </si>
  <si>
    <t>Spices, Italian, Ground.  (CID A-A-20001C, Type II, Blend H, Salt-free Seasoning (3) -Italian Seasoning, Agricultural practice (i)).  Packaging must indicate actual delivered weight of product.  Pure - no additives, extenders, foreign matter, or flow agents.  1/2 oz to 50 lb sealed plastic containers or boxes.  Note package size on bid.  Note price by the pound.</t>
  </si>
  <si>
    <r>
      <t>Dressing, Salad, Pourable, Regular, Lite or Light, Reduced Fat, or Fat Free, Any Flavor, Any Style.</t>
    </r>
    <r>
      <rPr>
        <b/>
        <sz val="11"/>
        <rFont val="Calibri"/>
        <family val="2"/>
        <scheme val="minor"/>
      </rPr>
      <t xml:space="preserve">             9 Gram - 56.69 Gram (2 ounce) Packet</t>
    </r>
    <r>
      <rPr>
        <sz val="11"/>
        <rFont val="Calibri"/>
        <family val="2"/>
        <scheme val="minor"/>
      </rPr>
      <t>. (CID A-A-20162B, Type I, II, III, or IV, Any Class, Any Style).  Note Type, Class, and Style on bid if not specified. Total amount may be adjusted to the next highest case count.</t>
    </r>
  </si>
  <si>
    <r>
      <t xml:space="preserve">Cereal, Prepared, Ready to Eat, Wheat, Bran Flakes, made from Whole grains or combination of whole and refined grains.  (CID A-A-20000E, Type I, Class 5, Grain Composition A or b, Fiber 2), Sodium (a), Packaging type (vii), Agricultural practice (aa)).  .81 oz to </t>
    </r>
    <r>
      <rPr>
        <b/>
        <sz val="11"/>
        <rFont val="Calibri"/>
        <family val="2"/>
        <scheme val="minor"/>
      </rPr>
      <t>2 oz</t>
    </r>
    <r>
      <rPr>
        <sz val="11"/>
        <rFont val="Calibri"/>
        <family val="2"/>
        <scheme val="minor"/>
      </rPr>
      <t xml:space="preserve"> Individual Package.  Specify case count on bid.</t>
    </r>
  </si>
  <si>
    <r>
      <t xml:space="preserve">Cereal, Prepared, Ready to Eat, Any type, any style, and any grain composition.  (CID A-A-20000E, Any Type, Any Class, Any Grain Composition).  .81 oz to </t>
    </r>
    <r>
      <rPr>
        <b/>
        <sz val="11"/>
        <rFont val="Calibri"/>
        <family val="2"/>
        <scheme val="minor"/>
      </rPr>
      <t>2 oz</t>
    </r>
    <r>
      <rPr>
        <sz val="11"/>
        <rFont val="Calibri"/>
        <family val="2"/>
        <scheme val="minor"/>
      </rPr>
      <t xml:space="preserve"> individual package.  Specify case count, type, Class, and Grain Composition of cereal on bid.  Type of cereal may be specified locally.</t>
    </r>
  </si>
  <si>
    <t xml:space="preserve">Vegetable, Potatoes, French Fries, Frozen, FRYABLE (CID A-A-20038C), Type of pack II - Institutional type, Style B - Strip, Size: Cross-sectional dimension a or b, Length i or Length  ii - Other (purchaser specify), Style C, D, E, F, G, or L - Spiral Cut, Waffle Cut, Wedges, Slices (Straight cut), Crinkle Cut, or  Other (purchaser specify), Blanching method a, b, c, or d, Seasoning (2, 3, 4, 5, or 6),  Strips will be 3/8 x 3/8, 1/2 x 1/4, or 3/8 x 3/4 inch and be Extra Long, Long, or Medium (at least 50% or more are 2 inches or longer).  Cooking/heating method (b) - Deep-fry. (Instructions on how to prepare in the fryer are acceptable). Designation 1, 2, 3, 4, or 5, Cooking oil (i). U.S. Grade A, U.S. Fancy, U.S. Grade B or U.S. Extra Standard.  As defined in 7 CFR 52.1 to 52.83.  Originated from crops that have been 100 percent grown, processed, and packed in the United States or Canada. </t>
  </si>
  <si>
    <t>Spices, Allspice, Ground (CID A-A-20001C, Type I, Spice A, Form 1, Agricultural practice (i)). Packaging must indicate actual delivered weight of product. Pure – no additives, extenders, foreign matter, or flow agents. 1/2 oz to 50 lb sealed plastic containers or boxes. Note package size on bid.  Note price by the pound.</t>
  </si>
  <si>
    <t>Spices, Basil, Sweet, Ground or Crushed (CID A-A-20001C, Type I, Spice C, Form 1 or 3, Agricultural practice (i)).  Packaging must indicate actual delivered weight of product.  Pure - no additives, extenders, foreign matter, or flow agents.  1/2 oz to 50 lb sealed plastic containers or boxes. Note package size on bid.  Note price by the pound.</t>
  </si>
  <si>
    <t>Spices, Bay Leaves, Whole (CID A-A-20001C, Type I, Spice D, Form 2, Agricultural practice (i)).  Packaging must indicate actual delivered weight of product.  Pure - no additives, extenders, foreign matter, or flow agents.  1/2 oz to 50 lb sealed plastic containers or boxes.  Note package size on bid. Note price by the pound.</t>
  </si>
  <si>
    <t>Spices, Spice Blends, Seasoning Blend, Salt Free, With herbs and citrus or With garlic and herbs (CID A-A-20001C, Type II, Blend P - Other (as specified by the purchaser), Salt-free seasoning (1) or (2), Agricultral practice (i)).  Packaging must indicate actual delivered weight of product.  Pure - no additives, extenders, foreign matter, or flow agents.  1/2 oz to 50 lb sealed plastic containers or boxes.  Note package size on bid.  Note price by the pound.</t>
  </si>
  <si>
    <t>Spices, Celery Seed, Whole (CID A-A-20001C, Type I, Spice G, Form 2, Agricultural practice (i)).  Packaging must indicate actual delivered weight of product.  Pure - no additives, extenders, foreign matter, or flow agents.  1/2 oz to 50 lb sealed plastic containers or boxes.  Note package size on bid.  Note price by the pound.</t>
  </si>
  <si>
    <t>Spice, Chili Powder Blend, Ground, (CID A-A-20001C, Type II, Blend D, Salt-free Seasoning (6) -Other (as specified by the purchaser), Agricultural practice (i)).  Blend shall have a reddish brown color and be free from lumps. The chili powder blend should include, but is not limited to, the following ingredients: ground chili pepper, cumin, oregano, salt, and garlic powder. Packaging must indicate actual delivered weight of product, Pure Spice - no additives or extenders. All delivered product must be labeled with ingredients. 1/2 oz. to 50 lb sealed containers.  Note price by the pound.</t>
  </si>
  <si>
    <t>Spices, Cinnamon, Ground, Not fortified.  (CID A-A-20001C, Type I, Spice I, Form 1, Agricultural practice (i)).  Packaging must indicate actual delivered weight of product.  Pure - no additives, extenders, foreign matter, or flow agents.  1/2 oz to 50 lb sealed plastic containers or boxes.  Note package size on bid.  Note price by the pound.</t>
  </si>
  <si>
    <t>Spices, Cumin, Ground.  (CID A-A-20001C, Type I, Spice L, Form 1, Agricultural practice (i)).  Packaging must indicate actual delivered weight of product.  Pure - no additives, extenders, foreign matter, or flow agents.  1/2 oz to 50 lb sealed plastic containers or boxes.  Note package size on bid.  Note price by the pound.</t>
  </si>
  <si>
    <t>Spices, Ginger, Ground.  (CID A-A-20001C, Type I, Spice P, Form 1, Agricultural practice (i)).  Packaging must indicate actual delivered weight of product.  Pure - no additives, extenders, foreign matter, or flow agents.  1/2 oz to 50 lb sealed plastic containers or boxes.  Note package size on bid.  Note price by the pound.</t>
  </si>
  <si>
    <t>Spices, Oregano, Ground or Crushed.  (CID A-A-20001C, Type I, Spice U, Form 1 or 3, Agricultural practice (i)).  Packaging must indicate actual delivered weight of product.  Pure - no additives, extenders, foreign matter, or flow agents.  1/2 oz to 50 lb sealed plastic containers or boxes.  Note package size on bid.  Note price by the pound.</t>
  </si>
  <si>
    <t>Spices, Paprika, Ground.  (CID A-A-20001C, Type I, Spice V, Form 1, Agricultural practice (i)).  Packaging must indicate actual delivered weight of product.  Pure - no additives, extenders, foreign matter, or flow agents.  1/2 oz to 50 lb sealed plastic containers or boxes.  Note package size on bid.  Note price by the pound.</t>
  </si>
  <si>
    <t>Spices, Parsley, Flakes. (CID A-A-20001C, Type I, Spice W, Form 6, Agricultural practice (i)).  Packaging must indicate actual delivered weight of product.  Pure - no additives, extenders, foreign mannter, or flow agents.  1/2 oz to 50 lb sealed plastic containers or boxes.  Note package size on bid.  Note price by the pound.</t>
  </si>
  <si>
    <t>Spices, Pepper, Black, Ground.  (CID A-A-20001C, Type I, Spice X, Form 1, Agricultural practice (i)).  Each.  Minimum 0.15 grams per package.  Pure - no additives, extenders, foreign matter, or flow agents.  Note package count on bid.</t>
  </si>
  <si>
    <t>Spices, Pepper, Black, Ground.  (CID A-A-20001C, Type I, Spice X, Form 1, Agricultural practice (i)).  Packaging must indicate actual delivered weight of product.  Pure - no additives, extenders, foreign matter, or flow agents.  1/2 oz to 50 lb sealed plastic containers or boxes.  Note package size on bid.   Note price by the pound.</t>
  </si>
  <si>
    <t>Spices, Pepper, Red, Ground or Crushed.  (CID A-A-20001C, Type I, Spice Y, Form 1 or 3, Agricultural practice (i)).  Packaging must indicate actual delivered weight of product.  Pure - no additives, extenders, foreign matter, or flow agents.  1/2 oz to 50 lb sealed plastic containers or boxes.  Note package size on bid.   Note price by the pound.</t>
  </si>
  <si>
    <t>Spices, Sage, Ground.  (CID A-A-20001C, Type I, Spcie CC, Form 1, Agricultural practice (i)).  Packaging must indicate actual delivered weight of product.  Pure - no additives, extenders, foreign matter, or flow agents.  1/2 oz to 50 lb sealed plastic containers or boxes.  Note package size on bid.   Note price by the pound.</t>
  </si>
  <si>
    <t>Spice, Taco Seasoning, Ground, (CID A-A-20001C, Type II, Blend P - Other (as specified by the purchaser), Agricultural practice (i)).  Blend shall have a reddish orange color and be free from lumps. The taco seasoning blend should include, but is not limited to, the following ingredients: chili powder, ground cumin, dried oregano, salt, black pepper, ground paprika, garlic powder, and onion powder. Packaging must indicate actual delivered weight of product, Pure Spice - no additives or extenders. All delivered product must be labeled with ingredients. 1/2 oz. to 50 lb sealed containers. Note package size on bid. Note price by the pound.</t>
  </si>
  <si>
    <t>Spices, Thyme, Ground.  (CID A-A-20001C, Type I, Spice GG, Form 1, Agricultural practice (i)).  Packaging must indicate actual delivered weight of product.  Pure - no additives, extenders, foreign matter, or flow agents.  1/2 oz to 50 lb sealed plastic containers or boxes.  Note package size on bid.</t>
  </si>
  <si>
    <t>Fresh Vegetable, Green Onions, Pounds, U.S. No. 1; Green onions shall be fairly well-formed, firm, young and tender, fairly clean, free from decay, and from damage caused by seed stems, roots, foreign material, disease, insects, mechanical or other means. The bulbs shall be well trimmed. The tops shall be fresh, of good green color, free from damage caused by broken or bruised leaves, or by clipping. When all the tops of the onions have been evenly clipped back in accordance with good commercial practice, they shall be specified as “Clipped Tops” in connection with the grade. The over-all length (roots excepted) of the onions shall be not more than 24 inches nor less than 8 inches and the onions shall be not less than one-fourth of an inch or more than one inch in diameter. State case weight on bid.</t>
  </si>
  <si>
    <t>Fresh Vegetable, Garlic, Fresh, Pounds, U.S. No. 1 consists of garlic of similar varietal characteristics which is mature and well cured, compact, with cloves well filled and fairly plump, free from mold, decay, shattered cloves, and from damage caused by dirt or staining, sunburn, sunscald, cuts, sprouts, tops, roots, disease, insects, or mechanical or other means. Each bulb shall be fairly well enclosed in its outer sheath. Unless otherwise specified, the minimum diameter of each bulb shall be not less than 1-1/2 inches.  Minimum and/or maximum size determined locally, and size noted on bid. Note package weight on bid.</t>
  </si>
  <si>
    <t>Spices, Salt, Food Grade or Table, Iodized.  Packaging must indicate actual delivered weight of product.  Pure - no additives, extenders, foreign matter, or flow agents.  Product may contain an Anti-Caking Agent.  Disposable Plastic Shakers, 4 oz Each.  Specify case count on bid.</t>
  </si>
  <si>
    <t>Cheese, Mozzarella, Low-moisture Mozzarella, Part-skim Mozzarella, Low-moisture Part-skim Mozzarella. (CID-A-A-20248C) The mozzarella cheese must conform to the following list. Type I, II, III, or IV. Style A - Block (loaf), frozen, Style B - Shredded, individually quick frozen (IQF) or Style J - Sliced or Diced forms. Shred size 1,2, or 3. Agricultural practice a. Milk fat range between 30.0 to 45.0 to 60.0 % on a dry basis depending on type.  Moisture content range between 45.0 to 60.0 % depending on type.  All ingredients must be declared by their common or usual name in descending order of predominance by weight. Manufacturer’s letters will NOT be accepted in lieu of labeling.  Type and Style to be determined locally and size noted on bid. Packaging of Primary Container: 5 lb to 40 lb sealed Bags or containers.</t>
  </si>
  <si>
    <t>Cheese, Sliced, (Real Cheese, Not Imitation), As specified in the Code of Federal Regulations, TITLE 21, CHAPTER I, SUBCHAPTER B, PART 133 -- CHEESES AND RELATED CHEESE PRODUCTS , Subpart B, 133.173, One of the following cheeses, (To be determined by the FSA), Pasteurized Process Cheese American, Cheddar, Provolone, Swiss, Colby, or Monterey Jack. Each of the ingredients used in the food shall be declared on the label.  Manufacturer’s letters will NOT be accepted in lieu of labeling.</t>
  </si>
  <si>
    <t>Spices, Cajun Seasoning, Spice Blends, (CID A-A-20001C, Type II, Blend B -Cajun Seasoning, Agricultral practice (i)).  Packaging must indicate actual delivered weight of product.  Pure - no additives, extenders, foreign matter, or flow agents.  1/2 oz to 50 lb sealed plastic containers or boxes.  Note package size on bid.  Note price by the pound.</t>
  </si>
  <si>
    <t>Pizza, Prepared, Frozen, Cheese, Thin Crust, Mozzarella Cheese (Regular, Lite or Low-moisture part-skim as indicated in 21 CFR 133, except 21 CFR §133.123-137 and 21 CFR §133.167-180), Enriched wheat or whole wheat crust, Wedge, Rectangle, Round Individual, or Round Oversized (specify size), Individually Quick Frozen. (CID A-A-20277A, Type I, Type of pizza I - Traditional, Type of Cheese A - Natural Cheese, Subtype 1, 2, 3, or 8-Other (as specified by the purchaser), Style of crust b - Thin crust, Component (1) - Cheese, Fat content (a) or (c)-other (as specified by the purchaser), Sodium content (i) or (ii)-other (as specified by the purchaser), Agricultural practice (aa) - Conventional.
Ingredients:  Pizza will consist of a dough crust, tomato sauce, cheese and spices. The dough crust shall contain enriched flour and yeast and/or other leavening agents. The sauce shall be prepared from peeled and cored tomatoes, tomato puree, and/or tomato paste; water; and spices, including salt; and/or other ingredients as appropriate. Product shall be manufactured not more than 180 days prior to delivery.  Bid Quote MUST indicate actual portion weight, shape, dimensions, &amp; case pack.</t>
  </si>
  <si>
    <r>
      <t>Bread, White, Whole Wheat, White wheat, or Wheat, Unseasoned, Fresh, Any Loaf Size, Pan Baked, Sandwich, Sliced, Enriched, Seedless.  (CID A-A-20052C, Type I, Style B, Type II, Type III, or Type IV, Style B, Product State 1, Loaf Size a, b, c, d, e, or f- Other (as specified by the purchaser), Bake Type i I, Shape a), Slice Type (1), Enrichment Type (a), Seed Type</t>
    </r>
    <r>
      <rPr>
        <strike/>
        <sz val="11"/>
        <rFont val="Calibri"/>
        <family val="2"/>
        <scheme val="minor"/>
      </rPr>
      <t xml:space="preserve"> </t>
    </r>
    <r>
      <rPr>
        <sz val="11"/>
        <rFont val="Calibri"/>
        <family val="2"/>
        <scheme val="minor"/>
      </rPr>
      <t xml:space="preserve"> (ii) - Seedless, Agricultural practice i) - Conventional). Fresh bread shall be delivered within 48 hours after baking.  State type and loaf size on bid.</t>
    </r>
  </si>
  <si>
    <t>Meats, Turkey, Boneless, Skinless, Whole Muscle Breast, Fully Cooked, Frozen.  US Grade A, 3 – 6 lb range.  Product shall be produced from non-basted, U.S. Grade A turkey breasts from freshly harvested young turkeys (AMS 70.202(b)).  Individually packaged in moisture proof plastic film bags, packed with a minimum 6 breasts per case.  May contain up to 16% solution of water; seasoning 1.5 %; Sodium content shall not exceed 550 mg per 100 grams (0.50%). Ingredients shall not exceed 18% of total formulation.  Products produced or labeled with any phrase related to “under religious exemption” will be refused.</t>
  </si>
  <si>
    <t>FCI PEKIN, IL</t>
  </si>
  <si>
    <r>
      <t>Meats, Beef, Ground, Patties, IMPS 1136, 80% Lean, Frozen, Round in Shape, with Paper Separation or Individually Quick Frozen,</t>
    </r>
    <r>
      <rPr>
        <b/>
        <sz val="11"/>
        <rFont val="Calibri"/>
        <family val="2"/>
        <scheme val="minor"/>
      </rPr>
      <t xml:space="preserve"> 5 ounce patty</t>
    </r>
    <r>
      <rPr>
        <sz val="11"/>
        <rFont val="Calibri"/>
        <family val="2"/>
        <scheme val="minor"/>
      </rPr>
      <t xml:space="preserve">.  Ground Beef Patties shall consist of chopped fresh and/or frozen beef without seasoning.  In addition product must be produced from current raw material, no bench trimmings, steak trim, or re-ground product to be used as raw material.  Finished product shall not contain more than 20 percent fat, and shall not contain added water, phosphates, binders, or extenders.   No partially defatted tissue or advanced meat recovery product.   PRODUCT MUST BE 6 MONTHS OR YOUNGER UPON DELIVERY WITH THE DATE CLEARLY ON THE LABEL, (NO STAMPED OR WRITTEN DATES ALLOWED).  When beef cheek meat (trimmed beef cheeks) is used in the preparation, the amount of such meat shall be limited to 25 percent; (NO ORGAN OR TONGUE MEAT) Delivered cases must be labeled Beef, All Beef, Pure Beef, or 100% Beef and with fat percentage.  Manufacturer’s letters will NOT be accepted in lieu of labeling.   Upon delivery, product must have a rosy red appearance.  Product that is grey, brown or tan in color will be rejected.  Product to be packed in 10 to 60 lb cases.  1 mil or thicker bags.  Patties will be packed in boxes completely lined with plastic bags. The open end of the bag will overlap at the top to completely cover the product.  </t>
    </r>
    <r>
      <rPr>
        <b/>
        <sz val="11"/>
        <rFont val="Calibri"/>
        <family val="2"/>
        <scheme val="minor"/>
      </rPr>
      <t>5 ounce patty.</t>
    </r>
  </si>
  <si>
    <r>
      <t xml:space="preserve">Meats, Chicken, Leg Quarter, Raw, Whole, Ready to Cook, Frozen, Frozen, U.S. Grade A. Broiler Leg, United States Classes, Standards and Grades for Poultry Agricultural Marketing Service (AMS) 70.200 et seq, Unbreaded.  "Whole Leg quarter" consists of a poultry thigh and drumstick (attached), with a portion of the back attached.  Delivered amounts of Leg Quarter portions can be random sizing, with the portion size not to be smaller than </t>
    </r>
    <r>
      <rPr>
        <b/>
        <sz val="11"/>
        <rFont val="Calibri"/>
        <family val="2"/>
        <scheme val="minor"/>
      </rPr>
      <t>14 ounces and not to exceed 18 ounces</t>
    </r>
    <r>
      <rPr>
        <sz val="11"/>
        <rFont val="Calibri"/>
        <family val="2"/>
        <scheme val="minor"/>
      </rPr>
      <t>.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r>
  </si>
  <si>
    <r>
      <t xml:space="preserve">Meats, Chicken, Filet, </t>
    </r>
    <r>
      <rPr>
        <b/>
        <sz val="11"/>
        <rFont val="Calibri"/>
        <family val="2"/>
        <scheme val="minor"/>
      </rPr>
      <t>5 oz</t>
    </r>
    <r>
      <rPr>
        <sz val="11"/>
        <rFont val="Calibri"/>
        <family val="2"/>
        <scheme val="minor"/>
      </rPr>
      <t>, Whole Muscle or Chunked and formed, 1/2 inch cube or greater (9 CFR § 381.171(f)), No mechanically separated chicken (comminuted), previously cooked chicken meat, or MSG may be used in product,  100% white meat, Breaded.  (CID A-A-20276A, Type VI, Style A or B, Meat Type (b), Form 1, Shape (b).  Individually Quick Frozen.  Vegetable oil shall be used as the frying medium.  Combined batter and breading shall not exceed 30% by weight and will be evenly coated. All ingredients in the product must be listed in the ingredients statement in order of predominance, from highest to lowest amounts in accordance with the USDA Food Safety Inspection Service (FSIS) Food Standards and Labeling Policy.  Manufacturer’s letters will NOT be accepted in lieu of labeling.  Size of patty to be determined locally and size noted on bid.</t>
    </r>
  </si>
  <si>
    <r>
      <t>Meats, Chicken Breast, Boneless, Skinless, Raw, White Meat (Breast Meat), Frozen, A quality per the USDA, United States Classes, Standards, and Grades for Poultry Agricultural Marketing Service (AMS) 7 CFR § 70 and 70.200 et seq., §70.220, §70.232, §70.233, §70.234 A Quality.  All processing activities shall comply with all applicable FSIS regulations and requirements, including 9 CFR § 381, and shall be done under FSIS inspection. The commodity shall not be processed or packaged more than 60 days prior to the first date of the delivery period for each sales order. Frozen commodity when specified in the Solicitation, shall be processed, packaged and packed, and placed in a freezer within 7 calendar days after the date of harvest. Product must be produced under FSIS pathogen reduction standards, as specified in 9 CFR § 381.  Boneless, skinless breasts must be free of cartilage, fat, holes, tendons, bone pieces, blood clots, bruises, cuts, tears, and muscle mutilations.  Slight discolorations is permitted, provided it does not detract from the appearance of the product. Unbreaded. – All packaging materials shall comply with FSIS regulations (9 CFR § 381.144 Packaging Materials). All packaging and packing materials must be clean and in new condition, shall not impart objectionable odors or flavors to the commodity, shall be safe for use in contact with food products (cannot adulterate product or be injurious to health). Packed in poly bag boxes. Polyethylene-film Bags – Shall have a wall thickness of not less than 2 mil; and shall protect the commodity from dehydration, freezer burn, or quality deterioration during the conditions of use.   Frozen commodity showing any evidence of defrosting, refreezing, or freezer deterioration shall be rejected for use under this FPPS. Products produced or labeled with any phrase “under religious exemption” will be refused.  No Sodium added.  Size of chicken breast,</t>
    </r>
    <r>
      <rPr>
        <b/>
        <sz val="11"/>
        <rFont val="Calibri"/>
        <family val="2"/>
        <scheme val="minor"/>
      </rPr>
      <t xml:space="preserve"> 5 -7 ounce.</t>
    </r>
    <r>
      <rPr>
        <sz val="11"/>
        <rFont val="Calibri"/>
        <family val="2"/>
        <scheme val="minor"/>
      </rPr>
      <t xml:space="preserve">  Note size on the bid. </t>
    </r>
  </si>
  <si>
    <r>
      <t>Meats, Fish Fillets, Raw, Individually Quick Frozen, Unglazed, Skin-on, Skin-on (white side only), or Skin-off (skinless), Practically boneless fillet.  U.S. Grade A or B.  Acceptable types include Tilapia, Cod, Haddock, Hake, Flounder, Sole, Turbot, Plaice, or Halibut.  (Grade Standards are separate for Cod, Flounder, Sole, and Haddock and must comply with those standards).  Fillets are slices of practically boneless fish flesh of irregular size and shape, which are removed from the carcass by cuts made parallel to the backbone and sections of such fillets cut so as to facilitate packing.  100% net weight, No water or glaze weight added. Fish portion must meet weight requirements when thawed and drained, Delivered cases must be labeled 100% net weight. Manufacturer’s letters will not be accepted in lieu of labeling.  Note type and size on bid.</t>
    </r>
    <r>
      <rPr>
        <b/>
        <sz val="11"/>
        <rFont val="Calibri"/>
        <family val="2"/>
        <scheme val="minor"/>
      </rPr>
      <t xml:space="preserve">  5 to 7 oz.</t>
    </r>
  </si>
  <si>
    <t>VEGETABLES (CANS)</t>
  </si>
  <si>
    <t>Vegetable, Beans, Green, Canned, Cut, Sliced Lengthwise, or French Style, Round Tye, Good to reasonably good character (A or B), Minimum drain weight 59 oz.  U.S. Grade A-C.  As defined in Food and Drug Standard of Identity 21 CFR 155.120.  Originated from crops that have been 100 percent grown, processed, and packed in the United States or Canada.  6/#10 cans.</t>
  </si>
  <si>
    <t>Vegetable, Beans, Wax, Canned, Cut, Sliced Lengthwise, or French Style, Good to reasonably good character (A or B), Minimum drain weight 59 oz.  U.S. Grade A - C.  As defined in Food and Drug Standard of Identity 21 CFR 155.120.  Originated from crops that have been 100 percent grown, processed, and packed in the United States or Canada.  6/#10 cans.</t>
  </si>
  <si>
    <t>Vegetable, Beets, Canned, Whole, Slices, Quarters, Diced, Julienne, French Style or Cut.  Minimum drain weight 64 oz.  U.S. Grade A, U.S. Grade C or U.S. Standard.  As defined in Food and Drug Standard of Identity 21 CFR 155.200.  Originated from crops that have been 100 percent grown, processed, and packed in the United States or Canada.  6/#10 cans.</t>
  </si>
  <si>
    <t>Vegetable, Carrots, Canned, Sliced, Diced, Julienne, French Style, or Cut.  Minimum drain weight 64 oz.  U.S. Grade A, U.S. Fancy, U.S. Grade C or U.S. Standard.  As defined in Food and Drug Standard of Identity 21 CFR 155.200.  Originated from crops that have been 100 percent grown, processed, and packed in the United States or Canada.  6/#10 cans.</t>
  </si>
  <si>
    <t>Vegetable, Corn, Whole Kernel (Whole Grain), Canned, Conventional or Supersweet, Golden (or yellow), Grade A - C.  As defined in Food and Drug Standard of Identity 21 CFR 155.130.  Originated from crops that have been 100 percent grown, processed, and packed in the United States or Canada.  6/#10 cans.</t>
  </si>
  <si>
    <t>Vegetable, Collard Greens, Canned, Grade U.S. No. 1.  As defined in Title 7, 51.521.  Originated from crops that have been 100 percent grown, processed, and packed in the United States or Canada.  6/#10 cans.</t>
  </si>
  <si>
    <t>Vegetable, Mixed (5-7 way blend mix including carrots, potatoes, green beans, peas, corn, lima beans, and celery), Canned, With Salt, With Salt and onion flavoring, No Salt Added, Low Sodium, or Other.  (CID A-A-20120F, Type I, Type II, Style A, B, C, D, or E; Container size 4).  Minimum drain weight of 64 oz.  Originated from crops that have been 100 percent grown, processed, and packed in the United States or Canada. 6/#10 cans.</t>
  </si>
  <si>
    <t>Vegetable, Peas, Sweet, Canned.  U.S. Grade A - C.  As defined in Food and Drug Standard of Identity 21 CFR 155.170.  Originated from crops that have been 100 percent grown, processed, and packed in the United States or Canada.  6/#10 cans.</t>
  </si>
  <si>
    <t>Vegetable, Peppers, Jalapenos, Sliced.  U.S. Grade, U.S. Fancy, U.S. No. 1, or U.S. No. 2.  As defined in Title 7, 51.1282 - 1284.  6/#10 cans.</t>
  </si>
  <si>
    <t>Vegetable, Spinach, Cut leaf or Sliced, Chopped, U.S. Grade A, U.S. Fancy, U.S. Grade B, or U.S. Extra Standard.  As defined in Food and Drug Standard of Identity 21 CFR 155.200.  Originated from crops that have been 100 percent grown, processed, and packed in the United States or Canada, 6/#10 cans.</t>
  </si>
  <si>
    <t>GAL</t>
  </si>
  <si>
    <t>Non-Fat Dry Milk, Fortified with Vitamins A and D.  (CID A-A-20085D, Type II, Class  A).</t>
  </si>
  <si>
    <t>Tomato, Paste, as defined in the standard of identity for tomato paste (21 CFR 155.191).  Natural Tomato Soluble Solids ranging from extra heavy to medium concentration (28 to 39.3%).  U.S. Grade A, U.S. Fancy, U.S. Grade C, or U.S. Standard.  6/#10 cans</t>
  </si>
  <si>
    <t>Tomatoes, Crushed, Peeled, Tomato Soluble Solids (TSS) 12% or Greater; U.S. Grade A and B, Color, Flavor, Odor to be equivalent to Grade A for Tomato Puree; Minimum Drain Weight 63.5 oz., Grade Standard Reference Title 7 CFR 52.5168, 6/#10 Cans</t>
  </si>
  <si>
    <t>Tomatoes, Canned, Diced, as defined in the standard of identity for canned tomatoes (21 CFR 155.190).  U.S. Grade A-C, Average drained weight of 54.7 to 63.5 ounces per #10 can.  6/#10 cans</t>
  </si>
  <si>
    <t>Tortillas, Wheat, White with spices or herbs, or Other.  10" in diameter, Round Shelf stable, refrigerated, or frozen, Table Ready.  (CID A-A-20143B, Type 1, Style B, C, or E, Size 7, 8, or 9, Shape a, Enrichment type I, Product state a, c, or d, Cook state I).  Each.  State case count on bid.</t>
  </si>
  <si>
    <t>Turkey, Split Breast, Raw, Natural,</t>
  </si>
  <si>
    <t>Beverage Mix, Assorted Flavors, 5oz Packs, Each 5 oz packs is to make 5 gallons.</t>
  </si>
  <si>
    <t>Gravy Mix, Dry, Pounds-BEEF FLAVORED</t>
  </si>
  <si>
    <t>Pudding Powder Mix, Bulk, Instant, Add water only, High yield 23-4 oz portions per pound of dry mix, Dry storage. - ASSORTED FLAVORS</t>
  </si>
  <si>
    <t xml:space="preserve">Vegetable, Sweet Potato, Large Diced, Canned, 6 - #10 Cans, Packed to standard U. S. Grade B or Better, Originated from crops that have been 100 percent grown, processed, and packed in the United States or Canada, Minimum Drain Weight 70 oz., Grade Standard Reference Title 7 CFR 52.673. </t>
  </si>
  <si>
    <t>YEAST, DRY ACTIVE</t>
  </si>
  <si>
    <t>Powdered Cake Mix, Yellow Cake, CID A-A-20181B, Type 1, Style B</t>
  </si>
  <si>
    <t>Beef Taco Filling-Pounds.  Manufacturer’s letters will NOT be accepted in lieu of labeling.</t>
  </si>
  <si>
    <t>INSERT CHOCOLATE CHIPS SPECS HERE</t>
  </si>
  <si>
    <t>Meats,Turkey, Boneless, Roast, Raw, Natural, All-Natural, Boned, Rolled and Tied, netted, roasting pack or other appropriate packaging. U.S. Grade A., United States Classes, Standards and Grades for Poultry Agricultural Marketing Service (AMS) 70.200 et seq.  Breast meat (8-12 lb each). Skin (Maximum) 12.5%. Packaging shall be neat and attractive. Products produced or labeled with any phrase related to “under religious exemption” will be refused.</t>
  </si>
  <si>
    <t>Powdered Cake Mix, Blueberry Cake.</t>
  </si>
  <si>
    <t>Powdered Brownie Mix, Chocolate, CID A-A-20181B, Type 1, Style L</t>
  </si>
  <si>
    <t>Cereal, Assorted, Sugar Coated Flavors, Ready to Eat, Bulk Package Range-12 to 40 lb Case.(CID A-A 20000E, Any Sugar Type and Class, Grain Composition a or b, Fiber 2), Sugar a), b), or c), Sodium (a), Packaging type (vii), Agricultural practice (aa)). Bulk package range 12 to 40 lb case. Specify case weight on bid.</t>
  </si>
  <si>
    <t>Coffee, Instant Individual 20/5 oz packets per case.</t>
  </si>
  <si>
    <t>Dressing, Salad, Pourable, Caesar (CID A-A-20162B, Type I, II, III, or IV, Class J, Style 1 or 2). 1 Gallon or 4/1 Gallon plastic containers per case. Note Type and Style on bid if not specified.</t>
  </si>
  <si>
    <t>Dressing, Salad, Pourable, Italian, Low Cal, Creamy; Lite or Light, Reduced Fat, or Fat Free (CID A-A 20162B, Type II, III, or IV, Class C, Style 2). 1 Gallon or 4/1 Gallon plastic containers per case. Note Type on bid if not specified.</t>
  </si>
  <si>
    <t>Dressing, Salad, Pourable, Ranch. Regular, Lite or Light (CID A-A-20162B, Type I, II, III, or IV, Class D). Note Style on bid if not specified. Total amount may be adjusted to the next highest case count. 9 gram individual, Each.</t>
  </si>
  <si>
    <r>
      <t xml:space="preserve">Flour, All Purpose wheat flour, Unbleached or Bleached.  (CID A-A-20126H, Type I (Class 1-3), II (Class  1-2) or III (Class 1-5) </t>
    </r>
    <r>
      <rPr>
        <strike/>
        <sz val="11"/>
        <rFont val="Calibri"/>
        <family val="2"/>
        <scheme val="minor"/>
      </rPr>
      <t>VI</t>
    </r>
    <r>
      <rPr>
        <sz val="11"/>
        <rFont val="Calibri"/>
        <family val="2"/>
        <scheme val="minor"/>
      </rPr>
      <t>, Style A or Style B, Protein level a-d, Packaging type 1) Size g-j, Agricultural practice i ).</t>
    </r>
  </si>
  <si>
    <t>Gravy Mix, Dry, Chicken-Pounds</t>
  </si>
  <si>
    <t>Powdered Pancake Mix, , 50 LB bags, CID A-A-20181B, Type 2, Class 1, Style C</t>
  </si>
  <si>
    <t>Powdered Cake Mix, Spice Cake, CID A-A-20181B, Type 1, Style H</t>
  </si>
  <si>
    <t>Egg Patty, Pasteurized, Pre-cooked or fully cooked, Individually Quick Frozen, made with whole eggs or egg whites, fried, scrambled, or omelets. Any size. Note type, size, and case count on bid.</t>
  </si>
  <si>
    <t>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</si>
</sst>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17" x14ac:knownFonts="1">
    <font>
      <sz val="11"/>
      <color theme="1"/>
      <name val="Calibri"/>
      <family val="2"/>
      <scheme val="minor"/>
    </font>
    <font>
      <b/>
      <sz val="11"/>
      <color theme="1"/>
      <name val="Calibri"/>
      <family val="2"/>
      <scheme val="minor"/>
    </font>
    <font>
      <b/>
      <sz val="14"/>
      <color theme="1"/>
      <name val="Calibri"/>
      <family val="2"/>
      <scheme val="minor"/>
    </font>
    <font>
      <b/>
      <u/>
      <sz val="18"/>
      <color theme="1"/>
      <name val="Calibri"/>
      <family val="2"/>
      <scheme val="minor"/>
    </font>
    <font>
      <u/>
      <sz val="11"/>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sz val="11"/>
      <name val="Calibri"/>
      <family val="2"/>
      <scheme val="minor"/>
    </font>
    <font>
      <b/>
      <sz val="16"/>
      <name val="Calibri"/>
      <family val="2"/>
      <scheme val="minor"/>
    </font>
    <font>
      <sz val="10"/>
      <name val="Calibri"/>
      <family val="2"/>
      <scheme val="minor"/>
    </font>
    <font>
      <b/>
      <sz val="11"/>
      <name val="Calibri"/>
      <family val="2"/>
      <scheme val="minor"/>
    </font>
    <font>
      <b/>
      <u/>
      <sz val="11"/>
      <name val="Calibri"/>
      <family val="2"/>
      <scheme val="minor"/>
    </font>
    <font>
      <strike/>
      <sz val="11"/>
      <name val="Calibri"/>
      <family val="2"/>
      <scheme val="minor"/>
    </font>
    <font>
      <sz val="11"/>
      <color rgb="FFFF0000"/>
      <name val="Calibri"/>
      <family val="2"/>
      <scheme val="minor"/>
    </font>
    <font>
      <sz val="10"/>
      <color rgb="FFFF0000"/>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3">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76">
    <xf numFmtId="0" fontId="0" fillId="0" borderId="0" xfId="0"/>
    <xf numFmtId="0" fontId="0" fillId="2" borderId="1" xfId="0" applyFill="1" applyBorder="1"/>
    <xf numFmtId="0" fontId="0" fillId="2" borderId="1" xfId="0" applyFill="1" applyBorder="1" applyAlignment="1">
      <alignment horizontal="center"/>
    </xf>
    <xf numFmtId="0" fontId="0" fillId="2" borderId="2" xfId="0" applyFill="1" applyBorder="1"/>
    <xf numFmtId="0" fontId="0" fillId="2" borderId="2" xfId="0" applyFill="1" applyBorder="1" applyAlignment="1">
      <alignment horizontal="center"/>
    </xf>
    <xf numFmtId="0" fontId="0" fillId="0" borderId="6" xfId="0" applyBorder="1"/>
    <xf numFmtId="0" fontId="0" fillId="0" borderId="7" xfId="0" applyBorder="1"/>
    <xf numFmtId="0" fontId="0" fillId="0" borderId="0" xfId="0" applyAlignment="1">
      <alignment horizontal="center"/>
    </xf>
    <xf numFmtId="0" fontId="0" fillId="0" borderId="2" xfId="0" applyBorder="1" applyAlignment="1">
      <alignment horizontal="center"/>
    </xf>
    <xf numFmtId="0" fontId="1" fillId="0" borderId="1"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vertical="top"/>
    </xf>
    <xf numFmtId="0" fontId="0" fillId="2" borderId="2" xfId="0" applyFill="1" applyBorder="1" applyAlignment="1">
      <alignment horizontal="center" vertical="top"/>
    </xf>
    <xf numFmtId="0" fontId="1" fillId="0" borderId="0" xfId="0" applyFont="1"/>
    <xf numFmtId="0" fontId="0" fillId="0" borderId="9" xfId="0" applyBorder="1"/>
    <xf numFmtId="0" fontId="0" fillId="0" borderId="8" xfId="0" applyBorder="1"/>
    <xf numFmtId="0" fontId="2" fillId="0" borderId="0" xfId="0" applyFont="1"/>
    <xf numFmtId="0" fontId="5" fillId="0" borderId="0" xfId="0" applyFont="1"/>
    <xf numFmtId="0" fontId="7" fillId="0" borderId="0" xfId="0" applyFont="1"/>
    <xf numFmtId="0" fontId="1" fillId="0" borderId="6" xfId="0" applyFont="1" applyBorder="1" applyAlignment="1">
      <alignment horizontal="center" vertical="top"/>
    </xf>
    <xf numFmtId="0" fontId="0" fillId="0" borderId="7" xfId="0" applyBorder="1" applyAlignment="1">
      <alignment horizontal="center" vertical="top"/>
    </xf>
    <xf numFmtId="0" fontId="0" fillId="0" borderId="0" xfId="0" applyAlignment="1">
      <alignment horizontal="center" vertical="top"/>
    </xf>
    <xf numFmtId="164" fontId="1" fillId="0" borderId="1" xfId="0" applyNumberFormat="1" applyFont="1" applyBorder="1" applyAlignment="1">
      <alignment horizontal="left" vertical="top"/>
    </xf>
    <xf numFmtId="164" fontId="1" fillId="0" borderId="6" xfId="0" applyNumberFormat="1" applyFont="1" applyBorder="1" applyAlignment="1">
      <alignment horizontal="center" vertical="top"/>
    </xf>
    <xf numFmtId="164" fontId="0" fillId="0" borderId="2" xfId="0" applyNumberFormat="1" applyBorder="1" applyAlignment="1">
      <alignment horizontal="center" vertical="top"/>
    </xf>
    <xf numFmtId="164" fontId="0" fillId="0" borderId="7" xfId="0" applyNumberFormat="1" applyBorder="1" applyAlignment="1">
      <alignment horizontal="center" vertical="top"/>
    </xf>
    <xf numFmtId="164" fontId="0" fillId="2" borderId="1" xfId="0" applyNumberFormat="1" applyFill="1" applyBorder="1" applyAlignment="1">
      <alignment horizontal="center" vertical="top"/>
    </xf>
    <xf numFmtId="164" fontId="0" fillId="2" borderId="3" xfId="0" applyNumberFormat="1" applyFill="1" applyBorder="1" applyAlignment="1">
      <alignment horizontal="center" vertical="top"/>
    </xf>
    <xf numFmtId="164" fontId="0" fillId="2" borderId="2" xfId="0" applyNumberFormat="1" applyFill="1" applyBorder="1" applyAlignment="1">
      <alignment horizontal="center" vertical="top"/>
    </xf>
    <xf numFmtId="164" fontId="0" fillId="2" borderId="4" xfId="0" applyNumberFormat="1" applyFill="1" applyBorder="1" applyAlignment="1">
      <alignment horizontal="center" vertical="top"/>
    </xf>
    <xf numFmtId="164" fontId="0" fillId="0" borderId="0" xfId="0" applyNumberFormat="1" applyAlignment="1">
      <alignment horizontal="center" vertical="top"/>
    </xf>
    <xf numFmtId="0" fontId="8" fillId="0" borderId="0" xfId="0" applyFont="1" applyAlignment="1">
      <alignment horizontal="center" vertical="top"/>
    </xf>
    <xf numFmtId="0" fontId="8" fillId="0" borderId="0" xfId="0" applyFont="1" applyAlignment="1">
      <alignment vertical="top" wrapText="1"/>
    </xf>
    <xf numFmtId="164" fontId="8" fillId="0" borderId="0" xfId="0" applyNumberFormat="1" applyFont="1" applyAlignment="1">
      <alignment horizontal="center" vertical="top"/>
    </xf>
    <xf numFmtId="0" fontId="8" fillId="0" borderId="5" xfId="0" applyFont="1" applyFill="1" applyBorder="1" applyAlignment="1">
      <alignment horizontal="center" vertical="top"/>
    </xf>
    <xf numFmtId="0" fontId="8" fillId="0" borderId="5" xfId="0" applyFont="1" applyFill="1" applyBorder="1" applyAlignment="1" applyProtection="1">
      <alignment vertical="top" wrapText="1"/>
      <protection locked="0"/>
    </xf>
    <xf numFmtId="0" fontId="8" fillId="0" borderId="5" xfId="0" applyFont="1" applyFill="1" applyBorder="1" applyAlignment="1" applyProtection="1">
      <alignment horizontal="center" vertical="top"/>
      <protection locked="0"/>
    </xf>
    <xf numFmtId="3" fontId="8" fillId="0" borderId="5" xfId="0" applyNumberFormat="1" applyFont="1" applyFill="1" applyBorder="1" applyAlignment="1" applyProtection="1">
      <alignment horizontal="center" vertical="top"/>
      <protection locked="0"/>
    </xf>
    <xf numFmtId="164" fontId="8" fillId="0" borderId="5" xfId="0" applyNumberFormat="1" applyFont="1" applyFill="1" applyBorder="1" applyAlignment="1" applyProtection="1">
      <alignment horizontal="center" vertical="top"/>
      <protection locked="0"/>
    </xf>
    <xf numFmtId="164" fontId="8" fillId="0" borderId="5" xfId="0" applyNumberFormat="1" applyFont="1" applyFill="1" applyBorder="1" applyAlignment="1">
      <alignment horizontal="center" vertical="top"/>
    </xf>
    <xf numFmtId="0" fontId="8" fillId="0" borderId="12" xfId="0" applyFont="1" applyFill="1" applyBorder="1" applyAlignment="1">
      <alignment horizontal="center" vertical="top" wrapText="1"/>
    </xf>
    <xf numFmtId="0" fontId="8" fillId="0" borderId="12" xfId="0" applyFont="1" applyFill="1" applyBorder="1" applyAlignment="1" applyProtection="1">
      <alignment vertical="top" wrapText="1"/>
      <protection locked="0"/>
    </xf>
    <xf numFmtId="0" fontId="8" fillId="0" borderId="12" xfId="0" applyFont="1" applyFill="1" applyBorder="1" applyAlignment="1" applyProtection="1">
      <alignment horizontal="center" vertical="top" wrapText="1"/>
      <protection locked="0"/>
    </xf>
    <xf numFmtId="164" fontId="8" fillId="0" borderId="12" xfId="0" applyNumberFormat="1" applyFont="1" applyFill="1" applyBorder="1" applyAlignment="1" applyProtection="1">
      <alignment horizontal="center" vertical="top" wrapText="1"/>
      <protection locked="0"/>
    </xf>
    <xf numFmtId="164" fontId="8" fillId="0" borderId="12" xfId="0" applyNumberFormat="1" applyFont="1" applyFill="1" applyBorder="1" applyAlignment="1">
      <alignment horizontal="center" vertical="top" wrapText="1"/>
    </xf>
    <xf numFmtId="0" fontId="0" fillId="0" borderId="0" xfId="0" applyFill="1" applyAlignment="1">
      <alignment horizontal="center"/>
    </xf>
    <xf numFmtId="0" fontId="0" fillId="0" borderId="0" xfId="0" applyFill="1"/>
    <xf numFmtId="0" fontId="0" fillId="0" borderId="0" xfId="0" applyFill="1" applyAlignment="1">
      <alignment horizontal="center" vertical="top"/>
    </xf>
    <xf numFmtId="164" fontId="0" fillId="0" borderId="0" xfId="0" applyNumberFormat="1" applyFill="1" applyAlignment="1">
      <alignment horizontal="center" vertical="top"/>
    </xf>
    <xf numFmtId="164" fontId="0" fillId="0" borderId="12" xfId="0" applyNumberFormat="1" applyFill="1" applyBorder="1" applyAlignment="1">
      <alignment horizontal="center" vertical="top"/>
    </xf>
    <xf numFmtId="0" fontId="0" fillId="0" borderId="12" xfId="0" applyFill="1" applyBorder="1" applyAlignment="1">
      <alignment horizontal="center"/>
    </xf>
    <xf numFmtId="0" fontId="9" fillId="0" borderId="12" xfId="0" applyFont="1" applyFill="1" applyBorder="1" applyAlignment="1">
      <alignment horizontal="left" vertical="top" indent="2"/>
    </xf>
    <xf numFmtId="0" fontId="8" fillId="0" borderId="4" xfId="0" applyFont="1" applyFill="1" applyBorder="1" applyAlignment="1" applyProtection="1">
      <alignment horizontal="center" vertical="top"/>
      <protection locked="0"/>
    </xf>
    <xf numFmtId="0" fontId="8" fillId="0" borderId="4" xfId="0" applyFont="1" applyFill="1" applyBorder="1" applyAlignment="1" applyProtection="1">
      <alignment vertical="top" wrapText="1"/>
      <protection locked="0"/>
    </xf>
    <xf numFmtId="164" fontId="8" fillId="0" borderId="4" xfId="0" applyNumberFormat="1" applyFont="1" applyFill="1" applyBorder="1" applyAlignment="1" applyProtection="1">
      <alignment horizontal="center" vertical="top"/>
      <protection locked="0"/>
    </xf>
    <xf numFmtId="164" fontId="8" fillId="0" borderId="4" xfId="0" applyNumberFormat="1" applyFont="1" applyFill="1" applyBorder="1" applyAlignment="1">
      <alignment horizontal="center" vertical="top"/>
    </xf>
    <xf numFmtId="0" fontId="9" fillId="0" borderId="10" xfId="0" applyFont="1" applyFill="1" applyBorder="1" applyAlignment="1">
      <alignment horizontal="left" vertical="top" indent="2"/>
    </xf>
    <xf numFmtId="0" fontId="9" fillId="0" borderId="8" xfId="0" applyFont="1" applyFill="1" applyBorder="1" applyAlignment="1">
      <alignment horizontal="left" vertical="top" indent="2"/>
    </xf>
    <xf numFmtId="0" fontId="9" fillId="0" borderId="11" xfId="0" applyFont="1" applyFill="1" applyBorder="1" applyAlignment="1">
      <alignment horizontal="left" vertical="top" indent="2"/>
    </xf>
    <xf numFmtId="0" fontId="8" fillId="0" borderId="8" xfId="0" applyFont="1" applyFill="1" applyBorder="1" applyAlignment="1">
      <alignment horizontal="left" vertical="top" indent="2"/>
    </xf>
    <xf numFmtId="0" fontId="8" fillId="0" borderId="11" xfId="0" applyFont="1" applyFill="1" applyBorder="1" applyAlignment="1">
      <alignment horizontal="left" vertical="top" indent="2"/>
    </xf>
    <xf numFmtId="0" fontId="9" fillId="0" borderId="2" xfId="0" applyFont="1" applyFill="1" applyBorder="1" applyAlignment="1">
      <alignment horizontal="left" vertical="top" indent="2"/>
    </xf>
    <xf numFmtId="0" fontId="8" fillId="0" borderId="9" xfId="0" applyFont="1" applyFill="1" applyBorder="1" applyAlignment="1">
      <alignment horizontal="left" vertical="top" indent="2"/>
    </xf>
    <xf numFmtId="0" fontId="8" fillId="0" borderId="7" xfId="0" applyFont="1" applyFill="1" applyBorder="1" applyAlignment="1">
      <alignment horizontal="left" vertical="top" indent="2"/>
    </xf>
    <xf numFmtId="0" fontId="10" fillId="3" borderId="10" xfId="0" applyFont="1" applyFill="1" applyBorder="1" applyAlignment="1">
      <alignment horizontal="left" vertical="center" wrapText="1"/>
    </xf>
    <xf numFmtId="0" fontId="10" fillId="3" borderId="8" xfId="0" applyFont="1" applyFill="1" applyBorder="1" applyAlignment="1">
      <alignment horizontal="left" vertical="center" wrapText="1"/>
    </xf>
    <xf numFmtId="0" fontId="10" fillId="3" borderId="11" xfId="0" applyFont="1" applyFill="1" applyBorder="1" applyAlignment="1">
      <alignment horizontal="left" vertical="center" wrapText="1"/>
    </xf>
    <xf numFmtId="0" fontId="9" fillId="0" borderId="10" xfId="0" applyFont="1" applyBorder="1" applyAlignment="1">
      <alignment horizontal="left" vertical="top" indent="2"/>
    </xf>
    <xf numFmtId="0" fontId="9" fillId="0" borderId="8" xfId="0" applyFont="1" applyBorder="1" applyAlignment="1">
      <alignment horizontal="left" vertical="top" indent="2"/>
    </xf>
    <xf numFmtId="0" fontId="9" fillId="0" borderId="11" xfId="0" applyFont="1" applyBorder="1" applyAlignment="1">
      <alignment horizontal="left" vertical="top" indent="2"/>
    </xf>
    <xf numFmtId="0" fontId="0" fillId="0" borderId="9" xfId="0" applyBorder="1"/>
    <xf numFmtId="0" fontId="3" fillId="0" borderId="0" xfId="0" applyFont="1" applyAlignment="1">
      <alignment horizontal="center"/>
    </xf>
    <xf numFmtId="0" fontId="4" fillId="0" borderId="9" xfId="0" applyFont="1" applyBorder="1"/>
    <xf numFmtId="0" fontId="0" fillId="0" borderId="0" xfId="0" applyAlignment="1">
      <alignment vertical="top" wrapText="1"/>
    </xf>
    <xf numFmtId="0" fontId="0" fillId="0" borderId="0" xfId="0" applyAlignment="1">
      <alignment wrapText="1"/>
    </xf>
    <xf numFmtId="0" fontId="6" fillId="0" borderId="0" xfId="0" applyFont="1" applyAlignment="1">
      <alignment horizontal="center"/>
    </xf>
  </cellXfs>
  <cellStyles count="1">
    <cellStyle name="Normal" xfId="0" builtinId="0"/>
  </cellStyles>
  <dxfs count="35">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shs\Downloads\2024-July-National%20Menu%20Specifications-Excel.xlsx" TargetMode="External"/><Relationship Id="rId1" Type="http://schemas.openxmlformats.org/officeDocument/2006/relationships/externalLinkPath" Target="file:///C:\Users\joshs\Downloads\2024-July-National%20Menu%20Specifications-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ifications"/>
      <sheetName val="Contractor Award Acknowledgment"/>
      <sheetName val="Award Delivery Information"/>
    </sheetNames>
    <sheetDataSet>
      <sheetData sheetId="0" refreshError="1">
        <row r="40">
          <cell r="B40" t="str">
            <v>Powdered Cornbread Mix, CID A-A-20181B, Type 5, Class 3</v>
          </cell>
        </row>
        <row r="41">
          <cell r="B41" t="str">
            <v>Powdered Biscuit Mix, CID A-A-20181B, Type 5, Class 2</v>
          </cell>
        </row>
        <row r="45">
          <cell r="B45" t="str">
            <v>Powdered Cake Mix, Chocolate Cake, CID A-A-20181B, Type 1, Style L</v>
          </cell>
        </row>
        <row r="46">
          <cell r="B46" t="str">
            <v>Coffee Cake Mix</v>
          </cell>
        </row>
        <row r="84">
          <cell r="B84" t="str">
            <v>Dressing, Salad, Pourable, Ranch. Regular, Lite or Light (CID A-A-20162B, Type I, II, III, or IV, Class D). Note Style on bid if not specified. Total amount may be adjusted to the next highest case count. 9 gram individual, Each.</v>
          </cell>
        </row>
        <row r="135">
          <cell r="B135" t="str">
            <v>French Fried Onions, Case 6/24 oz.</v>
          </cell>
        </row>
        <row r="176">
          <cell r="B176" t="str">
            <v>Sauce, Cranberry, 6 - #10 Cans per case.</v>
          </cell>
        </row>
        <row r="177">
          <cell r="B177" t="str">
            <v>Soup, Canned, Cream of Mushroom, Condensed, 12/50 OZ PER CS</v>
          </cell>
        </row>
        <row r="246">
          <cell r="B246" t="str">
            <v>Turkey Ham, Frozen, Fully Cooked Chunked and Formed, (No ground, MST or Comminuted meat) No More than 20% Water Added, (No Turkey Ham Picnics), All ingredients in the product must be listed in the ingredients statement on the label in order of predominance, from highest to lowest amounts in accordance with the USDA Food Safety Inspection Service (FSIS) Food Standards and Labeling Policy. Manufacturer’s letters will NOT be accepted in lieu of labeling.</v>
          </cell>
        </row>
      </sheetData>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28"/>
  <sheetViews>
    <sheetView showGridLines="0" tabSelected="1" showRuler="0" topLeftCell="A75" zoomScale="90" zoomScaleNormal="90" zoomScaleSheetLayoutView="98" workbookViewId="0">
      <selection activeCell="A47" sqref="A47:XFD47"/>
    </sheetView>
  </sheetViews>
  <sheetFormatPr defaultRowHeight="15" x14ac:dyDescent="0.25"/>
  <cols>
    <col min="1" max="1" width="8" style="7" customWidth="1"/>
    <col min="2" max="2" width="86" customWidth="1"/>
    <col min="3" max="3" width="8.5703125" style="7" customWidth="1"/>
    <col min="4" max="4" width="10.42578125" style="21" customWidth="1"/>
    <col min="5" max="5" width="9.140625" style="30" customWidth="1"/>
    <col min="6" max="6" width="19.140625" style="30" customWidth="1"/>
  </cols>
  <sheetData>
    <row r="1" spans="1:6" x14ac:dyDescent="0.25">
      <c r="A1" s="9" t="s">
        <v>28</v>
      </c>
      <c r="B1" s="5"/>
      <c r="C1" s="9" t="s">
        <v>29</v>
      </c>
      <c r="D1" s="19"/>
      <c r="E1" s="22" t="s">
        <v>30</v>
      </c>
      <c r="F1" s="23"/>
    </row>
    <row r="2" spans="1:6" x14ac:dyDescent="0.25">
      <c r="A2" s="10" t="s">
        <v>342</v>
      </c>
      <c r="B2" s="6"/>
      <c r="C2" s="8">
        <v>2026</v>
      </c>
      <c r="D2" s="20"/>
      <c r="E2" s="24" t="s">
        <v>387</v>
      </c>
      <c r="F2" s="25"/>
    </row>
    <row r="3" spans="1:6" ht="139.9" customHeight="1" x14ac:dyDescent="0.25">
      <c r="A3" s="64" t="s">
        <v>308</v>
      </c>
      <c r="B3" s="65"/>
      <c r="C3" s="65"/>
      <c r="D3" s="65"/>
      <c r="E3" s="65"/>
      <c r="F3" s="66"/>
    </row>
    <row r="4" spans="1:6" x14ac:dyDescent="0.25">
      <c r="A4" s="11"/>
      <c r="B4" s="1"/>
      <c r="C4" s="2" t="s">
        <v>8</v>
      </c>
      <c r="D4" s="11" t="s">
        <v>4</v>
      </c>
      <c r="E4" s="26" t="s">
        <v>6</v>
      </c>
      <c r="F4" s="27"/>
    </row>
    <row r="5" spans="1:6" ht="13.15" customHeight="1" x14ac:dyDescent="0.25">
      <c r="A5" s="12" t="s">
        <v>0</v>
      </c>
      <c r="B5" s="3" t="s">
        <v>1</v>
      </c>
      <c r="C5" s="4" t="s">
        <v>3</v>
      </c>
      <c r="D5" s="12" t="s">
        <v>5</v>
      </c>
      <c r="E5" s="28" t="s">
        <v>7</v>
      </c>
      <c r="F5" s="29" t="s">
        <v>2</v>
      </c>
    </row>
    <row r="6" spans="1:6" ht="21" x14ac:dyDescent="0.25">
      <c r="A6" s="67" t="s">
        <v>212</v>
      </c>
      <c r="B6" s="68"/>
      <c r="C6" s="68"/>
      <c r="D6" s="68"/>
      <c r="E6" s="68"/>
      <c r="F6" s="69"/>
    </row>
    <row r="7" spans="1:6" x14ac:dyDescent="0.25">
      <c r="A7" s="34">
        <v>1</v>
      </c>
      <c r="B7" s="35" t="s">
        <v>9</v>
      </c>
      <c r="C7" s="36" t="s">
        <v>10</v>
      </c>
      <c r="D7" s="37">
        <v>2000</v>
      </c>
      <c r="E7" s="38"/>
      <c r="F7" s="39"/>
    </row>
    <row r="8" spans="1:6" x14ac:dyDescent="0.25">
      <c r="A8" s="34">
        <f t="shared" ref="A8:A23" si="0">SUM(A7+1)</f>
        <v>2</v>
      </c>
      <c r="B8" s="35" t="s">
        <v>11</v>
      </c>
      <c r="C8" s="36" t="s">
        <v>10</v>
      </c>
      <c r="D8" s="37"/>
      <c r="E8" s="38"/>
      <c r="F8" s="39"/>
    </row>
    <row r="9" spans="1:6" x14ac:dyDescent="0.25">
      <c r="A9" s="34">
        <f t="shared" si="0"/>
        <v>3</v>
      </c>
      <c r="B9" s="35" t="s">
        <v>12</v>
      </c>
      <c r="C9" s="36" t="s">
        <v>10</v>
      </c>
      <c r="D9" s="37"/>
      <c r="E9" s="38"/>
      <c r="F9" s="39"/>
    </row>
    <row r="10" spans="1:6" x14ac:dyDescent="0.25">
      <c r="A10" s="34">
        <f t="shared" si="0"/>
        <v>4</v>
      </c>
      <c r="B10" s="35" t="s">
        <v>13</v>
      </c>
      <c r="C10" s="36" t="s">
        <v>10</v>
      </c>
      <c r="D10" s="37"/>
      <c r="E10" s="38"/>
      <c r="F10" s="39"/>
    </row>
    <row r="11" spans="1:6" x14ac:dyDescent="0.25">
      <c r="A11" s="34">
        <f t="shared" si="0"/>
        <v>5</v>
      </c>
      <c r="B11" s="35" t="s">
        <v>14</v>
      </c>
      <c r="C11" s="36" t="s">
        <v>10</v>
      </c>
      <c r="D11" s="37"/>
      <c r="E11" s="38"/>
      <c r="F11" s="39"/>
    </row>
    <row r="12" spans="1:6" x14ac:dyDescent="0.25">
      <c r="A12" s="34">
        <f t="shared" si="0"/>
        <v>6</v>
      </c>
      <c r="B12" s="35" t="s">
        <v>300</v>
      </c>
      <c r="C12" s="36" t="s">
        <v>10</v>
      </c>
      <c r="D12" s="37">
        <v>500</v>
      </c>
      <c r="E12" s="38"/>
      <c r="F12" s="39"/>
    </row>
    <row r="13" spans="1:6" x14ac:dyDescent="0.25">
      <c r="A13" s="34">
        <f>SUM(A12+1)</f>
        <v>7</v>
      </c>
      <c r="B13" s="35" t="s">
        <v>15</v>
      </c>
      <c r="C13" s="36" t="s">
        <v>10</v>
      </c>
      <c r="D13" s="37">
        <v>4000</v>
      </c>
      <c r="E13" s="38"/>
      <c r="F13" s="39"/>
    </row>
    <row r="14" spans="1:6" x14ac:dyDescent="0.25">
      <c r="A14" s="34">
        <f>SUM(A13+1)</f>
        <v>8</v>
      </c>
      <c r="B14" s="35" t="s">
        <v>16</v>
      </c>
      <c r="C14" s="36" t="s">
        <v>10</v>
      </c>
      <c r="D14" s="37"/>
      <c r="E14" s="38"/>
      <c r="F14" s="39"/>
    </row>
    <row r="15" spans="1:6" ht="21" x14ac:dyDescent="0.25">
      <c r="A15" s="56" t="s">
        <v>303</v>
      </c>
      <c r="B15" s="57"/>
      <c r="C15" s="57"/>
      <c r="D15" s="57"/>
      <c r="E15" s="57"/>
      <c r="F15" s="58"/>
    </row>
    <row r="16" spans="1:6" ht="29.25" customHeight="1" x14ac:dyDescent="0.25">
      <c r="A16" s="34">
        <f>SUM(A14+1)</f>
        <v>9</v>
      </c>
      <c r="B16" s="35" t="s">
        <v>301</v>
      </c>
      <c r="C16" s="36" t="s">
        <v>17</v>
      </c>
      <c r="D16" s="37"/>
      <c r="E16" s="38"/>
      <c r="F16" s="39"/>
    </row>
    <row r="17" spans="1:6" ht="30" x14ac:dyDescent="0.25">
      <c r="A17" s="34">
        <f t="shared" si="0"/>
        <v>10</v>
      </c>
      <c r="B17" s="35" t="s">
        <v>228</v>
      </c>
      <c r="C17" s="36" t="s">
        <v>17</v>
      </c>
      <c r="D17" s="37"/>
      <c r="E17" s="38"/>
      <c r="F17" s="39"/>
    </row>
    <row r="18" spans="1:6" ht="30" x14ac:dyDescent="0.25">
      <c r="A18" s="34">
        <f t="shared" si="0"/>
        <v>11</v>
      </c>
      <c r="B18" s="35" t="s">
        <v>229</v>
      </c>
      <c r="C18" s="36" t="s">
        <v>17</v>
      </c>
      <c r="D18" s="37"/>
      <c r="E18" s="38"/>
      <c r="F18" s="39"/>
    </row>
    <row r="19" spans="1:6" ht="30" x14ac:dyDescent="0.25">
      <c r="A19" s="34">
        <f t="shared" si="0"/>
        <v>12</v>
      </c>
      <c r="B19" s="35" t="s">
        <v>302</v>
      </c>
      <c r="C19" s="36" t="s">
        <v>17</v>
      </c>
      <c r="D19" s="37">
        <v>28</v>
      </c>
      <c r="E19" s="38"/>
      <c r="F19" s="39"/>
    </row>
    <row r="20" spans="1:6" ht="30" x14ac:dyDescent="0.25">
      <c r="A20" s="34">
        <f>SUM(A19+1)</f>
        <v>13</v>
      </c>
      <c r="B20" s="35" t="s">
        <v>230</v>
      </c>
      <c r="C20" s="36" t="s">
        <v>17</v>
      </c>
      <c r="D20" s="37"/>
      <c r="E20" s="38"/>
      <c r="F20" s="39"/>
    </row>
    <row r="21" spans="1:6" ht="30" x14ac:dyDescent="0.25">
      <c r="A21" s="34">
        <f t="shared" si="0"/>
        <v>14</v>
      </c>
      <c r="B21" s="35" t="s">
        <v>231</v>
      </c>
      <c r="C21" s="36" t="s">
        <v>17</v>
      </c>
      <c r="D21" s="37"/>
      <c r="E21" s="38"/>
      <c r="F21" s="39"/>
    </row>
    <row r="22" spans="1:6" ht="30" x14ac:dyDescent="0.25">
      <c r="A22" s="34">
        <f t="shared" si="0"/>
        <v>15</v>
      </c>
      <c r="B22" s="35" t="s">
        <v>232</v>
      </c>
      <c r="C22" s="36" t="s">
        <v>17</v>
      </c>
      <c r="D22" s="37"/>
      <c r="E22" s="38"/>
      <c r="F22" s="39"/>
    </row>
    <row r="23" spans="1:6" ht="28.9" customHeight="1" x14ac:dyDescent="0.25">
      <c r="A23" s="34">
        <f t="shared" si="0"/>
        <v>16</v>
      </c>
      <c r="B23" s="35" t="s">
        <v>213</v>
      </c>
      <c r="C23" s="36" t="s">
        <v>17</v>
      </c>
      <c r="D23" s="37"/>
      <c r="E23" s="38"/>
      <c r="F23" s="39"/>
    </row>
    <row r="24" spans="1:6" ht="13.15" customHeight="1" x14ac:dyDescent="0.25">
      <c r="A24" s="40"/>
      <c r="B24" s="41"/>
      <c r="C24" s="42"/>
      <c r="D24" s="42"/>
      <c r="E24" s="43"/>
      <c r="F24" s="44"/>
    </row>
    <row r="25" spans="1:6" ht="21" x14ac:dyDescent="0.25">
      <c r="A25" s="56" t="s">
        <v>163</v>
      </c>
      <c r="B25" s="57"/>
      <c r="C25" s="57"/>
      <c r="D25" s="57"/>
      <c r="E25" s="57"/>
      <c r="F25" s="58"/>
    </row>
    <row r="26" spans="1:6" x14ac:dyDescent="0.25">
      <c r="A26" s="34">
        <f>SUM(A23+1)</f>
        <v>17</v>
      </c>
      <c r="B26" s="35" t="s">
        <v>18</v>
      </c>
      <c r="C26" s="36" t="s">
        <v>10</v>
      </c>
      <c r="D26" s="37">
        <v>8000</v>
      </c>
      <c r="E26" s="38"/>
      <c r="F26" s="39"/>
    </row>
    <row r="27" spans="1:6" x14ac:dyDescent="0.25">
      <c r="A27" s="34">
        <f>SUM(A26+1)</f>
        <v>18</v>
      </c>
      <c r="B27" s="35" t="s">
        <v>19</v>
      </c>
      <c r="C27" s="36" t="s">
        <v>10</v>
      </c>
      <c r="D27" s="37"/>
      <c r="E27" s="38"/>
      <c r="F27" s="39"/>
    </row>
    <row r="28" spans="1:6" ht="21" x14ac:dyDescent="0.25">
      <c r="A28" s="56" t="s">
        <v>164</v>
      </c>
      <c r="B28" s="59"/>
      <c r="C28" s="59"/>
      <c r="D28" s="59"/>
      <c r="E28" s="59"/>
      <c r="F28" s="60"/>
    </row>
    <row r="29" spans="1:6" ht="29.45" customHeight="1" x14ac:dyDescent="0.25">
      <c r="A29" s="34">
        <f>SUM(A27+1)</f>
        <v>19</v>
      </c>
      <c r="B29" s="35" t="s">
        <v>233</v>
      </c>
      <c r="C29" s="36" t="s">
        <v>10</v>
      </c>
      <c r="D29" s="37">
        <v>2500</v>
      </c>
      <c r="E29" s="38"/>
      <c r="F29" s="39"/>
    </row>
    <row r="30" spans="1:6" ht="43.15" customHeight="1" x14ac:dyDescent="0.25">
      <c r="A30" s="34">
        <f t="shared" ref="A30:A35" si="1">SUM(A29+1)</f>
        <v>20</v>
      </c>
      <c r="B30" s="35" t="s">
        <v>285</v>
      </c>
      <c r="C30" s="36" t="s">
        <v>10</v>
      </c>
      <c r="D30" s="37"/>
      <c r="E30" s="38"/>
      <c r="F30" s="39"/>
    </row>
    <row r="31" spans="1:6" ht="30" x14ac:dyDescent="0.25">
      <c r="A31" s="34">
        <f t="shared" si="1"/>
        <v>21</v>
      </c>
      <c r="B31" s="35" t="s">
        <v>234</v>
      </c>
      <c r="C31" s="36" t="s">
        <v>10</v>
      </c>
      <c r="D31" s="37">
        <v>1000</v>
      </c>
      <c r="E31" s="38"/>
      <c r="F31" s="39"/>
    </row>
    <row r="32" spans="1:6" ht="30" x14ac:dyDescent="0.25">
      <c r="A32" s="34">
        <f t="shared" si="1"/>
        <v>22</v>
      </c>
      <c r="B32" s="35" t="s">
        <v>235</v>
      </c>
      <c r="C32" s="36" t="s">
        <v>10</v>
      </c>
      <c r="D32" s="37"/>
      <c r="E32" s="38"/>
      <c r="F32" s="39"/>
    </row>
    <row r="33" spans="1:6" ht="30" x14ac:dyDescent="0.25">
      <c r="A33" s="34">
        <f t="shared" si="1"/>
        <v>23</v>
      </c>
      <c r="B33" s="35" t="s">
        <v>236</v>
      </c>
      <c r="C33" s="36" t="s">
        <v>10</v>
      </c>
      <c r="D33" s="37">
        <v>2500</v>
      </c>
      <c r="E33" s="38"/>
      <c r="F33" s="39"/>
    </row>
    <row r="34" spans="1:6" ht="45" x14ac:dyDescent="0.25">
      <c r="A34" s="34">
        <f t="shared" si="1"/>
        <v>24</v>
      </c>
      <c r="B34" s="35" t="s">
        <v>237</v>
      </c>
      <c r="C34" s="36" t="s">
        <v>10</v>
      </c>
      <c r="D34" s="37"/>
      <c r="E34" s="38"/>
      <c r="F34" s="39"/>
    </row>
    <row r="35" spans="1:6" ht="30" x14ac:dyDescent="0.25">
      <c r="A35" s="34">
        <f t="shared" si="1"/>
        <v>25</v>
      </c>
      <c r="B35" s="35" t="s">
        <v>238</v>
      </c>
      <c r="C35" s="36" t="s">
        <v>10</v>
      </c>
      <c r="D35" s="37"/>
      <c r="E35" s="38"/>
      <c r="F35" s="39"/>
    </row>
    <row r="36" spans="1:6" ht="21" x14ac:dyDescent="0.25">
      <c r="A36" s="56" t="s">
        <v>165</v>
      </c>
      <c r="B36" s="57"/>
      <c r="C36" s="57"/>
      <c r="D36" s="57"/>
      <c r="E36" s="57"/>
      <c r="F36" s="58"/>
    </row>
    <row r="37" spans="1:6" ht="30" x14ac:dyDescent="0.25">
      <c r="A37" s="34">
        <f>SUM(A35+1)</f>
        <v>26</v>
      </c>
      <c r="B37" s="35" t="s">
        <v>239</v>
      </c>
      <c r="C37" s="36" t="s">
        <v>10</v>
      </c>
      <c r="D37" s="37"/>
      <c r="E37" s="38"/>
      <c r="F37" s="39"/>
    </row>
    <row r="38" spans="1:6" x14ac:dyDescent="0.25">
      <c r="A38" s="34">
        <f t="shared" ref="A38:A41" si="2">SUM(A37+1)</f>
        <v>27</v>
      </c>
      <c r="B38" s="35" t="s">
        <v>20</v>
      </c>
      <c r="C38" s="36" t="s">
        <v>10</v>
      </c>
      <c r="D38" s="37"/>
      <c r="E38" s="38"/>
      <c r="F38" s="39"/>
    </row>
    <row r="39" spans="1:6" ht="45" x14ac:dyDescent="0.25">
      <c r="A39" s="34">
        <f t="shared" si="2"/>
        <v>28</v>
      </c>
      <c r="B39" s="35" t="s">
        <v>382</v>
      </c>
      <c r="C39" s="36" t="s">
        <v>10</v>
      </c>
      <c r="D39" s="37">
        <v>15000</v>
      </c>
      <c r="E39" s="38"/>
      <c r="F39" s="39"/>
    </row>
    <row r="40" spans="1:6" x14ac:dyDescent="0.25">
      <c r="A40" s="34">
        <f t="shared" si="2"/>
        <v>29</v>
      </c>
      <c r="B40" s="35" t="s">
        <v>384</v>
      </c>
      <c r="C40" s="36" t="s">
        <v>10</v>
      </c>
      <c r="D40" s="37">
        <v>1000</v>
      </c>
      <c r="E40" s="38"/>
      <c r="F40" s="39"/>
    </row>
    <row r="41" spans="1:6" x14ac:dyDescent="0.25">
      <c r="A41" s="34">
        <f t="shared" si="2"/>
        <v>30</v>
      </c>
      <c r="B41" s="35" t="s">
        <v>370</v>
      </c>
      <c r="C41" s="36" t="s">
        <v>10</v>
      </c>
      <c r="D41" s="37">
        <v>240</v>
      </c>
      <c r="E41" s="38"/>
      <c r="F41" s="39"/>
    </row>
    <row r="42" spans="1:6" x14ac:dyDescent="0.25">
      <c r="A42" s="34">
        <f t="shared" ref="A42:A51" si="3">SUM(A41+1)</f>
        <v>31</v>
      </c>
      <c r="B42" s="35" t="str">
        <f>[1]Specifications!$B$40</f>
        <v>Powdered Cornbread Mix, CID A-A-20181B, Type 5, Class 3</v>
      </c>
      <c r="C42" s="36" t="s">
        <v>10</v>
      </c>
      <c r="D42" s="37">
        <v>1000</v>
      </c>
      <c r="E42" s="38"/>
      <c r="F42" s="39"/>
    </row>
    <row r="43" spans="1:6" x14ac:dyDescent="0.25">
      <c r="A43" s="34">
        <f t="shared" si="3"/>
        <v>32</v>
      </c>
      <c r="B43" s="35" t="str">
        <f>[1]Specifications!$B$41</f>
        <v>Powdered Biscuit Mix, CID A-A-20181B, Type 5, Class 2</v>
      </c>
      <c r="C43" s="36" t="s">
        <v>10</v>
      </c>
      <c r="D43" s="37">
        <v>1000</v>
      </c>
      <c r="E43" s="38"/>
      <c r="F43" s="39"/>
    </row>
    <row r="44" spans="1:6" x14ac:dyDescent="0.25">
      <c r="A44" s="34">
        <f t="shared" si="3"/>
        <v>33</v>
      </c>
      <c r="B44" s="35" t="str">
        <f>[1]Specifications!$B$45</f>
        <v>Powdered Cake Mix, Chocolate Cake, CID A-A-20181B, Type 1, Style L</v>
      </c>
      <c r="C44" s="36" t="s">
        <v>10</v>
      </c>
      <c r="D44" s="37">
        <v>1000</v>
      </c>
      <c r="E44" s="38"/>
      <c r="F44" s="39"/>
    </row>
    <row r="45" spans="1:6" x14ac:dyDescent="0.25">
      <c r="A45" s="34">
        <f t="shared" si="3"/>
        <v>34</v>
      </c>
      <c r="B45" s="35" t="str">
        <f>[1]Specifications!$B$46</f>
        <v>Coffee Cake Mix</v>
      </c>
      <c r="C45" s="36" t="s">
        <v>10</v>
      </c>
      <c r="D45" s="37">
        <v>2500</v>
      </c>
      <c r="E45" s="38"/>
      <c r="F45" s="39"/>
    </row>
    <row r="46" spans="1:6" x14ac:dyDescent="0.25">
      <c r="A46" s="34">
        <f t="shared" si="3"/>
        <v>35</v>
      </c>
      <c r="B46" s="35" t="s">
        <v>371</v>
      </c>
      <c r="C46" s="36" t="s">
        <v>10</v>
      </c>
      <c r="D46" s="37">
        <v>3000</v>
      </c>
      <c r="E46" s="38"/>
      <c r="F46" s="39"/>
    </row>
    <row r="47" spans="1:6" x14ac:dyDescent="0.25">
      <c r="A47" s="34">
        <f t="shared" si="3"/>
        <v>36</v>
      </c>
      <c r="B47" s="35" t="s">
        <v>375</v>
      </c>
      <c r="C47" s="36" t="s">
        <v>10</v>
      </c>
      <c r="D47" s="37">
        <v>2500</v>
      </c>
      <c r="E47" s="38"/>
      <c r="F47" s="39"/>
    </row>
    <row r="48" spans="1:6" x14ac:dyDescent="0.25">
      <c r="A48" s="34">
        <f t="shared" si="3"/>
        <v>37</v>
      </c>
      <c r="B48" s="35" t="s">
        <v>376</v>
      </c>
      <c r="C48" s="36" t="s">
        <v>10</v>
      </c>
      <c r="D48" s="37">
        <v>1000</v>
      </c>
      <c r="E48" s="38"/>
      <c r="F48" s="39"/>
    </row>
    <row r="49" spans="1:6" x14ac:dyDescent="0.25">
      <c r="A49" s="34">
        <f t="shared" si="3"/>
        <v>38</v>
      </c>
      <c r="B49" s="35" t="s">
        <v>385</v>
      </c>
      <c r="C49" s="36" t="s">
        <v>10</v>
      </c>
      <c r="D49" s="37">
        <v>1000</v>
      </c>
      <c r="E49" s="38"/>
      <c r="F49" s="39"/>
    </row>
    <row r="50" spans="1:6" x14ac:dyDescent="0.25">
      <c r="A50" s="34">
        <f t="shared" si="3"/>
        <v>39</v>
      </c>
      <c r="B50" s="35" t="s">
        <v>373</v>
      </c>
      <c r="C50" s="36" t="s">
        <v>10</v>
      </c>
      <c r="D50" s="37"/>
      <c r="E50" s="38"/>
      <c r="F50" s="39"/>
    </row>
    <row r="51" spans="1:6" ht="21" customHeight="1" x14ac:dyDescent="0.25">
      <c r="A51" s="34">
        <f t="shared" si="3"/>
        <v>40</v>
      </c>
      <c r="B51" s="35" t="s">
        <v>360</v>
      </c>
      <c r="C51" s="36" t="s">
        <v>10</v>
      </c>
      <c r="D51" s="37">
        <v>2500</v>
      </c>
      <c r="E51" s="38"/>
      <c r="F51" s="39"/>
    </row>
    <row r="52" spans="1:6" ht="21" x14ac:dyDescent="0.25">
      <c r="A52" s="56" t="s">
        <v>166</v>
      </c>
      <c r="B52" s="59"/>
      <c r="C52" s="59"/>
      <c r="D52" s="59"/>
      <c r="E52" s="59"/>
      <c r="F52" s="60"/>
    </row>
    <row r="53" spans="1:6" ht="55.9" customHeight="1" x14ac:dyDescent="0.25">
      <c r="A53" s="34">
        <f>SUM(A51+1)</f>
        <v>41</v>
      </c>
      <c r="B53" s="35" t="s">
        <v>240</v>
      </c>
      <c r="C53" s="36" t="s">
        <v>10</v>
      </c>
      <c r="D53" s="37"/>
      <c r="E53" s="38"/>
      <c r="F53" s="39"/>
    </row>
    <row r="54" spans="1:6" ht="52.15" customHeight="1" x14ac:dyDescent="0.25">
      <c r="A54" s="34">
        <f t="shared" ref="A54:A59" si="4">SUM(A53+1)</f>
        <v>42</v>
      </c>
      <c r="B54" s="35" t="s">
        <v>241</v>
      </c>
      <c r="C54" s="36" t="s">
        <v>10</v>
      </c>
      <c r="D54" s="37"/>
      <c r="E54" s="38"/>
      <c r="F54" s="39"/>
    </row>
    <row r="55" spans="1:6" ht="58.9" customHeight="1" x14ac:dyDescent="0.25">
      <c r="A55" s="34">
        <f t="shared" si="4"/>
        <v>43</v>
      </c>
      <c r="B55" s="35" t="s">
        <v>312</v>
      </c>
      <c r="C55" s="36" t="s">
        <v>21</v>
      </c>
      <c r="D55" s="37"/>
      <c r="E55" s="38"/>
      <c r="F55" s="39"/>
    </row>
    <row r="56" spans="1:6" ht="60" x14ac:dyDescent="0.25">
      <c r="A56" s="34">
        <f t="shared" si="4"/>
        <v>44</v>
      </c>
      <c r="B56" s="35" t="s">
        <v>313</v>
      </c>
      <c r="C56" s="36" t="s">
        <v>21</v>
      </c>
      <c r="D56" s="37"/>
      <c r="E56" s="38"/>
      <c r="F56" s="39"/>
    </row>
    <row r="57" spans="1:6" ht="60" x14ac:dyDescent="0.25">
      <c r="A57" s="34">
        <f t="shared" si="4"/>
        <v>45</v>
      </c>
      <c r="B57" s="35" t="s">
        <v>377</v>
      </c>
      <c r="C57" s="36" t="s">
        <v>10</v>
      </c>
      <c r="D57" s="37">
        <v>5000</v>
      </c>
      <c r="E57" s="38"/>
      <c r="F57" s="39"/>
    </row>
    <row r="58" spans="1:6" ht="30" x14ac:dyDescent="0.25">
      <c r="A58" s="34">
        <f t="shared" si="4"/>
        <v>46</v>
      </c>
      <c r="B58" s="35" t="s">
        <v>242</v>
      </c>
      <c r="C58" s="36" t="s">
        <v>10</v>
      </c>
      <c r="D58" s="37">
        <v>1000</v>
      </c>
      <c r="E58" s="38"/>
      <c r="F58" s="39"/>
    </row>
    <row r="59" spans="1:6" ht="34.5" customHeight="1" x14ac:dyDescent="0.25">
      <c r="A59" s="34">
        <f t="shared" si="4"/>
        <v>47</v>
      </c>
      <c r="B59" s="35" t="s">
        <v>243</v>
      </c>
      <c r="C59" s="36" t="s">
        <v>10</v>
      </c>
      <c r="D59" s="37">
        <v>2000</v>
      </c>
      <c r="E59" s="38"/>
      <c r="F59" s="39"/>
    </row>
    <row r="60" spans="1:6" ht="21" x14ac:dyDescent="0.25">
      <c r="A60" s="56" t="s">
        <v>167</v>
      </c>
      <c r="B60" s="59"/>
      <c r="C60" s="59"/>
      <c r="D60" s="59"/>
      <c r="E60" s="59"/>
      <c r="F60" s="60"/>
    </row>
    <row r="61" spans="1:6" ht="30" x14ac:dyDescent="0.25">
      <c r="A61" s="34">
        <f>SUM(A59+1)</f>
        <v>48</v>
      </c>
      <c r="B61" s="35" t="s">
        <v>22</v>
      </c>
      <c r="C61" s="36" t="s">
        <v>21</v>
      </c>
      <c r="D61" s="37"/>
      <c r="E61" s="38"/>
      <c r="F61" s="39"/>
    </row>
    <row r="62" spans="1:6" ht="27.6" customHeight="1" x14ac:dyDescent="0.25">
      <c r="A62" s="34">
        <f>SUM(A61+1)</f>
        <v>49</v>
      </c>
      <c r="B62" s="35" t="s">
        <v>23</v>
      </c>
      <c r="C62" s="36" t="s">
        <v>21</v>
      </c>
      <c r="D62" s="37"/>
      <c r="E62" s="38"/>
      <c r="F62" s="39"/>
    </row>
    <row r="63" spans="1:6" ht="21" x14ac:dyDescent="0.25">
      <c r="A63" s="56" t="s">
        <v>168</v>
      </c>
      <c r="B63" s="59"/>
      <c r="C63" s="59"/>
      <c r="D63" s="59"/>
      <c r="E63" s="59"/>
      <c r="F63" s="60"/>
    </row>
    <row r="64" spans="1:6" ht="57.6" customHeight="1" x14ac:dyDescent="0.25">
      <c r="A64" s="34">
        <f>SUM(A62+1)</f>
        <v>50</v>
      </c>
      <c r="B64" s="35" t="s">
        <v>244</v>
      </c>
      <c r="C64" s="36" t="s">
        <v>10</v>
      </c>
      <c r="D64" s="37">
        <v>900</v>
      </c>
      <c r="E64" s="38"/>
      <c r="F64" s="39"/>
    </row>
    <row r="65" spans="1:6" ht="60" x14ac:dyDescent="0.25">
      <c r="A65" s="34">
        <f>SUM(A64+1)</f>
        <v>51</v>
      </c>
      <c r="B65" s="35" t="s">
        <v>245</v>
      </c>
      <c r="C65" s="36" t="s">
        <v>21</v>
      </c>
      <c r="D65" s="37"/>
      <c r="E65" s="38"/>
      <c r="F65" s="39"/>
    </row>
    <row r="66" spans="1:6" x14ac:dyDescent="0.25">
      <c r="A66" s="45"/>
      <c r="B66" s="46"/>
      <c r="C66" s="45"/>
      <c r="D66" s="47"/>
      <c r="E66" s="48"/>
      <c r="F66" s="49"/>
    </row>
    <row r="67" spans="1:6" ht="21" x14ac:dyDescent="0.25">
      <c r="A67" s="56" t="s">
        <v>169</v>
      </c>
      <c r="B67" s="57"/>
      <c r="C67" s="57"/>
      <c r="D67" s="57"/>
      <c r="E67" s="57"/>
      <c r="F67" s="58"/>
    </row>
    <row r="68" spans="1:6" ht="150" x14ac:dyDescent="0.25">
      <c r="A68" s="34">
        <f>SUM(A65+1)</f>
        <v>52</v>
      </c>
      <c r="B68" s="35" t="s">
        <v>194</v>
      </c>
      <c r="C68" s="36" t="s">
        <v>10</v>
      </c>
      <c r="D68" s="37"/>
      <c r="E68" s="38"/>
      <c r="F68" s="39"/>
    </row>
    <row r="69" spans="1:6" ht="60" x14ac:dyDescent="0.25">
      <c r="A69" s="34">
        <f>SUM(A68+1)</f>
        <v>53</v>
      </c>
      <c r="B69" s="35" t="s">
        <v>195</v>
      </c>
      <c r="C69" s="36" t="s">
        <v>10</v>
      </c>
      <c r="D69" s="37"/>
      <c r="E69" s="38"/>
      <c r="F69" s="39"/>
    </row>
    <row r="70" spans="1:6" ht="45" x14ac:dyDescent="0.25">
      <c r="A70" s="34">
        <f t="shared" ref="A70" si="5">SUM(A69+1)</f>
        <v>54</v>
      </c>
      <c r="B70" s="35" t="s">
        <v>196</v>
      </c>
      <c r="C70" s="36" t="s">
        <v>24</v>
      </c>
      <c r="D70" s="37"/>
      <c r="E70" s="38"/>
      <c r="F70" s="39"/>
    </row>
    <row r="71" spans="1:6" ht="21" x14ac:dyDescent="0.25">
      <c r="A71" s="56" t="s">
        <v>170</v>
      </c>
      <c r="B71" s="59"/>
      <c r="C71" s="59"/>
      <c r="D71" s="59"/>
      <c r="E71" s="59"/>
      <c r="F71" s="60"/>
    </row>
    <row r="72" spans="1:6" ht="90" x14ac:dyDescent="0.25">
      <c r="A72" s="34">
        <f>SUM(A70+1)</f>
        <v>55</v>
      </c>
      <c r="B72" s="35" t="s">
        <v>246</v>
      </c>
      <c r="C72" s="36" t="s">
        <v>10</v>
      </c>
      <c r="D72" s="37">
        <v>2500</v>
      </c>
      <c r="E72" s="38"/>
      <c r="F72" s="39"/>
    </row>
    <row r="73" spans="1:6" ht="90" x14ac:dyDescent="0.25">
      <c r="A73" s="34">
        <f t="shared" ref="A73" si="6">SUM(A72+1)</f>
        <v>56</v>
      </c>
      <c r="B73" s="35" t="s">
        <v>247</v>
      </c>
      <c r="C73" s="36" t="s">
        <v>25</v>
      </c>
      <c r="D73" s="37"/>
      <c r="E73" s="38"/>
      <c r="F73" s="39"/>
    </row>
    <row r="74" spans="1:6" ht="75" x14ac:dyDescent="0.25">
      <c r="A74" s="34">
        <f t="shared" ref="A74" si="7">SUM(A73+1)</f>
        <v>57</v>
      </c>
      <c r="B74" s="35" t="s">
        <v>248</v>
      </c>
      <c r="C74" s="36" t="s">
        <v>25</v>
      </c>
      <c r="D74" s="37"/>
      <c r="E74" s="38"/>
      <c r="F74" s="39"/>
    </row>
    <row r="75" spans="1:6" ht="21" x14ac:dyDescent="0.25">
      <c r="A75" s="56" t="s">
        <v>171</v>
      </c>
      <c r="B75" s="59"/>
      <c r="C75" s="59"/>
      <c r="D75" s="59"/>
      <c r="E75" s="59"/>
      <c r="F75" s="60"/>
    </row>
    <row r="76" spans="1:6" ht="60" x14ac:dyDescent="0.25">
      <c r="A76" s="34">
        <f>SUM(A74+1)</f>
        <v>58</v>
      </c>
      <c r="B76" s="35" t="s">
        <v>26</v>
      </c>
      <c r="C76" s="36" t="s">
        <v>10</v>
      </c>
      <c r="D76" s="37"/>
      <c r="E76" s="38"/>
      <c r="F76" s="39"/>
    </row>
    <row r="77" spans="1:6" ht="60" x14ac:dyDescent="0.25">
      <c r="A77" s="34">
        <f t="shared" ref="A77:A79" si="8">SUM(A76+1)</f>
        <v>59</v>
      </c>
      <c r="B77" s="35" t="s">
        <v>27</v>
      </c>
      <c r="C77" s="36" t="s">
        <v>10</v>
      </c>
      <c r="D77" s="37"/>
      <c r="E77" s="38"/>
      <c r="F77" s="39"/>
    </row>
    <row r="78" spans="1:6" ht="75" x14ac:dyDescent="0.25">
      <c r="A78" s="34">
        <f t="shared" si="8"/>
        <v>60</v>
      </c>
      <c r="B78" s="35" t="s">
        <v>197</v>
      </c>
      <c r="C78" s="36" t="s">
        <v>10</v>
      </c>
      <c r="D78" s="37">
        <v>1500</v>
      </c>
      <c r="E78" s="38"/>
      <c r="F78" s="39"/>
    </row>
    <row r="79" spans="1:6" ht="90" x14ac:dyDescent="0.25">
      <c r="A79" s="34">
        <f t="shared" si="8"/>
        <v>61</v>
      </c>
      <c r="B79" s="35" t="s">
        <v>198</v>
      </c>
      <c r="C79" s="36" t="s">
        <v>17</v>
      </c>
      <c r="D79" s="37">
        <v>75</v>
      </c>
      <c r="E79" s="38"/>
      <c r="F79" s="39"/>
    </row>
    <row r="80" spans="1:6" ht="21" x14ac:dyDescent="0.25">
      <c r="A80" s="56" t="s">
        <v>172</v>
      </c>
      <c r="B80" s="59"/>
      <c r="C80" s="59"/>
      <c r="D80" s="59"/>
      <c r="E80" s="59"/>
      <c r="F80" s="60"/>
    </row>
    <row r="81" spans="1:6" ht="60" x14ac:dyDescent="0.25">
      <c r="A81" s="34">
        <f>SUM(A79+1)</f>
        <v>62</v>
      </c>
      <c r="B81" s="35" t="s">
        <v>288</v>
      </c>
      <c r="C81" s="36" t="s">
        <v>359</v>
      </c>
      <c r="D81" s="37"/>
      <c r="E81" s="38"/>
      <c r="F81" s="39"/>
    </row>
    <row r="82" spans="1:6" ht="45" x14ac:dyDescent="0.25">
      <c r="A82" s="34">
        <f t="shared" ref="A82:A95" si="9">SUM(A81+1)</f>
        <v>63</v>
      </c>
      <c r="B82" s="35" t="s">
        <v>289</v>
      </c>
      <c r="C82" s="36" t="s">
        <v>359</v>
      </c>
      <c r="D82" s="37"/>
      <c r="E82" s="38"/>
      <c r="F82" s="39"/>
    </row>
    <row r="83" spans="1:6" ht="60" x14ac:dyDescent="0.25">
      <c r="A83" s="34">
        <f t="shared" si="9"/>
        <v>64</v>
      </c>
      <c r="B83" s="35" t="s">
        <v>311</v>
      </c>
      <c r="C83" s="36" t="s">
        <v>21</v>
      </c>
      <c r="D83" s="37"/>
      <c r="E83" s="38"/>
      <c r="F83" s="39"/>
    </row>
    <row r="84" spans="1:6" ht="62.45" customHeight="1" x14ac:dyDescent="0.25">
      <c r="A84" s="34">
        <f t="shared" si="9"/>
        <v>65</v>
      </c>
      <c r="B84" s="35" t="s">
        <v>290</v>
      </c>
      <c r="C84" s="36" t="s">
        <v>21</v>
      </c>
      <c r="D84" s="37"/>
      <c r="E84" s="38"/>
      <c r="F84" s="39"/>
    </row>
    <row r="85" spans="1:6" ht="62.45" customHeight="1" x14ac:dyDescent="0.25">
      <c r="A85" s="34">
        <f>SUM(A84+1)</f>
        <v>66</v>
      </c>
      <c r="B85" s="35" t="str">
        <f>[1]Specifications!$B$84</f>
        <v>Dressing, Salad, Pourable, Ranch. Regular, Lite or Light (CID A-A-20162B, Type I, II, III, or IV, Class D). Note Style on bid if not specified. Total amount may be adjusted to the next highest case count. 9 gram individual, Each.</v>
      </c>
      <c r="C85" s="36" t="s">
        <v>21</v>
      </c>
      <c r="D85" s="37"/>
      <c r="E85" s="38"/>
      <c r="F85" s="39"/>
    </row>
    <row r="86" spans="1:6" ht="62.45" customHeight="1" x14ac:dyDescent="0.25">
      <c r="A86" s="34">
        <f t="shared" ref="A86:A87" si="10">SUM(A85+1)</f>
        <v>67</v>
      </c>
      <c r="B86" s="35" t="s">
        <v>381</v>
      </c>
      <c r="C86" s="36" t="s">
        <v>21</v>
      </c>
      <c r="D86" s="37">
        <v>8000</v>
      </c>
      <c r="E86" s="38"/>
      <c r="F86" s="39"/>
    </row>
    <row r="87" spans="1:6" ht="62.45" customHeight="1" x14ac:dyDescent="0.25">
      <c r="A87" s="34">
        <f t="shared" si="10"/>
        <v>68</v>
      </c>
      <c r="B87" s="35" t="s">
        <v>379</v>
      </c>
      <c r="C87" s="36" t="s">
        <v>359</v>
      </c>
      <c r="D87" s="37">
        <v>80</v>
      </c>
      <c r="E87" s="38"/>
      <c r="F87" s="39"/>
    </row>
    <row r="88" spans="1:6" ht="62.45" customHeight="1" x14ac:dyDescent="0.25">
      <c r="A88" s="34">
        <f t="shared" ref="A88:A89" si="11">SUM(A87+1)</f>
        <v>69</v>
      </c>
      <c r="B88" s="35" t="s">
        <v>380</v>
      </c>
      <c r="C88" s="36" t="s">
        <v>359</v>
      </c>
      <c r="D88" s="37">
        <v>80</v>
      </c>
      <c r="E88" s="38"/>
      <c r="F88" s="39"/>
    </row>
    <row r="89" spans="1:6" ht="30" x14ac:dyDescent="0.25">
      <c r="A89" s="34">
        <f t="shared" si="11"/>
        <v>70</v>
      </c>
      <c r="B89" s="35" t="s">
        <v>249</v>
      </c>
      <c r="C89" s="36" t="s">
        <v>17</v>
      </c>
      <c r="D89" s="37"/>
      <c r="E89" s="38"/>
      <c r="F89" s="39"/>
    </row>
    <row r="90" spans="1:6" ht="42" customHeight="1" x14ac:dyDescent="0.25">
      <c r="A90" s="34">
        <f t="shared" si="9"/>
        <v>71</v>
      </c>
      <c r="B90" s="35" t="s">
        <v>291</v>
      </c>
      <c r="C90" s="36" t="s">
        <v>21</v>
      </c>
      <c r="D90" s="37"/>
      <c r="E90" s="38"/>
      <c r="F90" s="39"/>
    </row>
    <row r="91" spans="1:6" ht="45" x14ac:dyDescent="0.25">
      <c r="A91" s="34">
        <f t="shared" si="9"/>
        <v>72</v>
      </c>
      <c r="B91" s="35" t="s">
        <v>250</v>
      </c>
      <c r="C91" s="36" t="s">
        <v>17</v>
      </c>
      <c r="D91" s="37"/>
      <c r="E91" s="38"/>
      <c r="F91" s="39"/>
    </row>
    <row r="92" spans="1:6" ht="60" x14ac:dyDescent="0.25">
      <c r="A92" s="34">
        <f t="shared" si="9"/>
        <v>73</v>
      </c>
      <c r="B92" s="35" t="s">
        <v>292</v>
      </c>
      <c r="C92" s="36" t="s">
        <v>21</v>
      </c>
      <c r="D92" s="37"/>
      <c r="E92" s="38"/>
      <c r="F92" s="39"/>
    </row>
    <row r="93" spans="1:6" ht="45" x14ac:dyDescent="0.25">
      <c r="A93" s="34">
        <f>SUM(A92+1)</f>
        <v>74</v>
      </c>
      <c r="B93" s="35" t="s">
        <v>307</v>
      </c>
      <c r="C93" s="36" t="s">
        <v>17</v>
      </c>
      <c r="D93" s="37"/>
      <c r="E93" s="38"/>
      <c r="F93" s="39"/>
    </row>
    <row r="94" spans="1:6" ht="45" x14ac:dyDescent="0.25">
      <c r="A94" s="34">
        <f t="shared" si="9"/>
        <v>75</v>
      </c>
      <c r="B94" s="35" t="s">
        <v>293</v>
      </c>
      <c r="C94" s="36" t="s">
        <v>21</v>
      </c>
      <c r="D94" s="37"/>
      <c r="E94" s="38"/>
      <c r="F94" s="39"/>
    </row>
    <row r="95" spans="1:6" ht="19.149999999999999" customHeight="1" x14ac:dyDescent="0.25">
      <c r="A95" s="34">
        <f t="shared" si="9"/>
        <v>76</v>
      </c>
      <c r="B95" s="35" t="s">
        <v>31</v>
      </c>
      <c r="C95" s="36" t="s">
        <v>17</v>
      </c>
      <c r="D95" s="37"/>
      <c r="E95" s="38"/>
      <c r="F95" s="39"/>
    </row>
    <row r="96" spans="1:6" ht="19.149999999999999" customHeight="1" x14ac:dyDescent="0.25">
      <c r="A96" s="61" t="s">
        <v>173</v>
      </c>
      <c r="B96" s="62"/>
      <c r="C96" s="62"/>
      <c r="D96" s="62"/>
      <c r="E96" s="62"/>
      <c r="F96" s="63"/>
    </row>
    <row r="97" spans="1:6" ht="57" customHeight="1" x14ac:dyDescent="0.25">
      <c r="A97" s="34">
        <f>SUM(A95+1)</f>
        <v>77</v>
      </c>
      <c r="B97" s="35" t="s">
        <v>251</v>
      </c>
      <c r="C97" s="36" t="s">
        <v>21</v>
      </c>
      <c r="D97" s="37"/>
      <c r="E97" s="38"/>
      <c r="F97" s="39"/>
    </row>
    <row r="98" spans="1:6" ht="55.9" customHeight="1" x14ac:dyDescent="0.25">
      <c r="A98" s="34">
        <f>SUM(A97+1)</f>
        <v>78</v>
      </c>
      <c r="B98" s="35" t="s">
        <v>256</v>
      </c>
      <c r="C98" s="36" t="s">
        <v>21</v>
      </c>
      <c r="D98" s="37"/>
      <c r="E98" s="38"/>
      <c r="F98" s="39"/>
    </row>
    <row r="99" spans="1:6" ht="55.9" customHeight="1" x14ac:dyDescent="0.25">
      <c r="A99" s="34">
        <f>SUM(A98+1)</f>
        <v>79</v>
      </c>
      <c r="B99" s="35" t="s">
        <v>368</v>
      </c>
      <c r="C99" s="36" t="s">
        <v>10</v>
      </c>
      <c r="D99" s="37"/>
      <c r="E99" s="38"/>
      <c r="F99" s="39"/>
    </row>
    <row r="100" spans="1:6" x14ac:dyDescent="0.25">
      <c r="A100" s="34">
        <f>SUM(A99+1)</f>
        <v>80</v>
      </c>
      <c r="B100" s="35" t="s">
        <v>252</v>
      </c>
      <c r="C100" s="36" t="s">
        <v>10</v>
      </c>
      <c r="D100" s="37">
        <v>1000</v>
      </c>
      <c r="E100" s="38"/>
      <c r="F100" s="39"/>
    </row>
    <row r="101" spans="1:6" x14ac:dyDescent="0.25">
      <c r="A101" s="34">
        <f>SUM(A100+1)</f>
        <v>81</v>
      </c>
      <c r="B101" s="35" t="s">
        <v>253</v>
      </c>
      <c r="C101" s="36" t="s">
        <v>10</v>
      </c>
      <c r="D101" s="37">
        <v>1000</v>
      </c>
      <c r="E101" s="38"/>
      <c r="F101" s="39"/>
    </row>
    <row r="102" spans="1:6" ht="26.45" customHeight="1" x14ac:dyDescent="0.25">
      <c r="A102" s="34">
        <f t="shared" ref="A102:A106" si="12">SUM(A101+1)</f>
        <v>82</v>
      </c>
      <c r="B102" s="35" t="s">
        <v>304</v>
      </c>
      <c r="C102" s="36" t="s">
        <v>10</v>
      </c>
      <c r="D102" s="37">
        <v>3000</v>
      </c>
      <c r="E102" s="38"/>
      <c r="F102" s="39"/>
    </row>
    <row r="103" spans="1:6" ht="30" x14ac:dyDescent="0.25">
      <c r="A103" s="34">
        <f t="shared" si="12"/>
        <v>83</v>
      </c>
      <c r="B103" s="35" t="s">
        <v>254</v>
      </c>
      <c r="C103" s="36" t="s">
        <v>21</v>
      </c>
      <c r="D103" s="37"/>
      <c r="E103" s="38"/>
      <c r="F103" s="39"/>
    </row>
    <row r="104" spans="1:6" ht="45" x14ac:dyDescent="0.25">
      <c r="A104" s="34">
        <f t="shared" si="12"/>
        <v>84</v>
      </c>
      <c r="B104" s="35" t="s">
        <v>32</v>
      </c>
      <c r="C104" s="36" t="s">
        <v>21</v>
      </c>
      <c r="D104" s="37"/>
      <c r="E104" s="38"/>
      <c r="F104" s="39"/>
    </row>
    <row r="105" spans="1:6" ht="45" x14ac:dyDescent="0.25">
      <c r="A105" s="34">
        <f>SUM(A41+1)</f>
        <v>31</v>
      </c>
      <c r="B105" s="35" t="s">
        <v>255</v>
      </c>
      <c r="C105" s="36" t="s">
        <v>21</v>
      </c>
      <c r="D105" s="37"/>
      <c r="E105" s="38"/>
      <c r="F105" s="39"/>
    </row>
    <row r="106" spans="1:6" ht="45" x14ac:dyDescent="0.25">
      <c r="A106" s="34">
        <f t="shared" si="12"/>
        <v>32</v>
      </c>
      <c r="B106" s="35" t="s">
        <v>283</v>
      </c>
      <c r="C106" s="36" t="s">
        <v>17</v>
      </c>
      <c r="D106" s="37"/>
      <c r="E106" s="38"/>
      <c r="F106" s="39"/>
    </row>
    <row r="107" spans="1:6" ht="21" x14ac:dyDescent="0.25">
      <c r="A107" s="56" t="s">
        <v>174</v>
      </c>
      <c r="B107" s="59"/>
      <c r="C107" s="59"/>
      <c r="D107" s="59"/>
      <c r="E107" s="59"/>
      <c r="F107" s="60"/>
    </row>
    <row r="108" spans="1:6" ht="45" x14ac:dyDescent="0.25">
      <c r="A108" s="34">
        <f>SUM(A106+1)</f>
        <v>33</v>
      </c>
      <c r="B108" s="35" t="s">
        <v>203</v>
      </c>
      <c r="C108" s="36" t="s">
        <v>21</v>
      </c>
      <c r="D108" s="37"/>
      <c r="E108" s="38"/>
      <c r="F108" s="39"/>
    </row>
    <row r="109" spans="1:6" ht="45" x14ac:dyDescent="0.25">
      <c r="A109" s="34">
        <f>SUM(A108+1)</f>
        <v>34</v>
      </c>
      <c r="B109" s="35" t="s">
        <v>204</v>
      </c>
      <c r="C109" s="36" t="s">
        <v>21</v>
      </c>
      <c r="D109" s="37"/>
      <c r="E109" s="38"/>
      <c r="F109" s="39"/>
    </row>
    <row r="110" spans="1:6" ht="21" x14ac:dyDescent="0.25">
      <c r="A110" s="56" t="s">
        <v>175</v>
      </c>
      <c r="B110" s="59"/>
      <c r="C110" s="59"/>
      <c r="D110" s="59"/>
      <c r="E110" s="59"/>
      <c r="F110" s="60"/>
    </row>
    <row r="111" spans="1:6" ht="189" customHeight="1" x14ac:dyDescent="0.25">
      <c r="A111" s="34">
        <f>SUM(A109+1)</f>
        <v>35</v>
      </c>
      <c r="B111" s="35" t="s">
        <v>339</v>
      </c>
      <c r="C111" s="36" t="s">
        <v>21</v>
      </c>
      <c r="D111" s="37"/>
      <c r="E111" s="38"/>
      <c r="F111" s="39"/>
    </row>
    <row r="112" spans="1:6" ht="30" x14ac:dyDescent="0.25">
      <c r="A112" s="34">
        <f t="shared" ref="A112:A117" si="13">SUM(A111+1)</f>
        <v>36</v>
      </c>
      <c r="B112" s="35" t="s">
        <v>33</v>
      </c>
      <c r="C112" s="36" t="s">
        <v>21</v>
      </c>
      <c r="D112" s="37">
        <v>10000</v>
      </c>
      <c r="E112" s="38"/>
      <c r="F112" s="39"/>
    </row>
    <row r="113" spans="1:6" ht="46.15" customHeight="1" x14ac:dyDescent="0.25">
      <c r="A113" s="34">
        <f t="shared" si="13"/>
        <v>37</v>
      </c>
      <c r="B113" s="35" t="s">
        <v>364</v>
      </c>
      <c r="C113" s="36" t="s">
        <v>21</v>
      </c>
      <c r="D113" s="37">
        <v>14400</v>
      </c>
      <c r="E113" s="38"/>
      <c r="F113" s="39"/>
    </row>
    <row r="114" spans="1:6" ht="45" x14ac:dyDescent="0.25">
      <c r="A114" s="34">
        <f t="shared" si="13"/>
        <v>38</v>
      </c>
      <c r="B114" s="35" t="s">
        <v>34</v>
      </c>
      <c r="C114" s="36" t="s">
        <v>21</v>
      </c>
      <c r="D114" s="37">
        <v>14400</v>
      </c>
      <c r="E114" s="38"/>
      <c r="F114" s="39"/>
    </row>
    <row r="115" spans="1:6" ht="30" x14ac:dyDescent="0.25">
      <c r="A115" s="34">
        <f>SUM(A114+1)</f>
        <v>39</v>
      </c>
      <c r="B115" s="35" t="s">
        <v>223</v>
      </c>
      <c r="C115" s="36" t="s">
        <v>10</v>
      </c>
      <c r="D115" s="37">
        <v>600</v>
      </c>
      <c r="E115" s="38"/>
      <c r="F115" s="39"/>
    </row>
    <row r="116" spans="1:6" ht="30" x14ac:dyDescent="0.25">
      <c r="A116" s="34">
        <f t="shared" si="13"/>
        <v>40</v>
      </c>
      <c r="B116" s="35" t="s">
        <v>35</v>
      </c>
      <c r="C116" s="36" t="s">
        <v>21</v>
      </c>
      <c r="D116" s="37">
        <v>5760</v>
      </c>
      <c r="E116" s="38"/>
      <c r="F116" s="39"/>
    </row>
    <row r="117" spans="1:6" ht="30" x14ac:dyDescent="0.25">
      <c r="A117" s="34">
        <f t="shared" si="13"/>
        <v>41</v>
      </c>
      <c r="B117" s="35" t="s">
        <v>36</v>
      </c>
      <c r="C117" s="36" t="s">
        <v>21</v>
      </c>
      <c r="D117" s="37"/>
      <c r="E117" s="38"/>
      <c r="F117" s="39"/>
    </row>
    <row r="118" spans="1:6" ht="21" x14ac:dyDescent="0.25">
      <c r="A118" s="56" t="s">
        <v>176</v>
      </c>
      <c r="B118" s="59"/>
      <c r="C118" s="59"/>
      <c r="D118" s="59"/>
      <c r="E118" s="59"/>
      <c r="F118" s="60"/>
    </row>
    <row r="119" spans="1:6" ht="30" x14ac:dyDescent="0.25">
      <c r="A119" s="34">
        <f>SUM(A117+1)</f>
        <v>42</v>
      </c>
      <c r="B119" s="35" t="s">
        <v>37</v>
      </c>
      <c r="C119" s="36" t="s">
        <v>17</v>
      </c>
      <c r="D119" s="37"/>
      <c r="E119" s="38"/>
      <c r="F119" s="39"/>
    </row>
    <row r="120" spans="1:6" ht="30" x14ac:dyDescent="0.25">
      <c r="A120" s="34">
        <f t="shared" ref="A120:A124" si="14">SUM(A119+1)</f>
        <v>43</v>
      </c>
      <c r="B120" s="35" t="s">
        <v>214</v>
      </c>
      <c r="C120" s="36" t="s">
        <v>21</v>
      </c>
      <c r="D120" s="37"/>
      <c r="E120" s="38"/>
      <c r="F120" s="39"/>
    </row>
    <row r="121" spans="1:6" ht="45" x14ac:dyDescent="0.25">
      <c r="A121" s="34">
        <f t="shared" si="14"/>
        <v>44</v>
      </c>
      <c r="B121" s="35" t="s">
        <v>363</v>
      </c>
      <c r="C121" s="36" t="s">
        <v>17</v>
      </c>
      <c r="D121" s="37">
        <v>336</v>
      </c>
      <c r="E121" s="38"/>
      <c r="F121" s="39"/>
    </row>
    <row r="122" spans="1:6" ht="45" x14ac:dyDescent="0.25">
      <c r="A122" s="34">
        <f t="shared" si="14"/>
        <v>45</v>
      </c>
      <c r="B122" s="35" t="s">
        <v>361</v>
      </c>
      <c r="C122" s="36" t="s">
        <v>17</v>
      </c>
      <c r="D122" s="37">
        <v>56</v>
      </c>
      <c r="E122" s="38"/>
      <c r="F122" s="39"/>
    </row>
    <row r="123" spans="1:6" ht="45" x14ac:dyDescent="0.25">
      <c r="A123" s="34">
        <f t="shared" si="14"/>
        <v>46</v>
      </c>
      <c r="B123" s="35" t="s">
        <v>38</v>
      </c>
      <c r="C123" s="36" t="s">
        <v>17</v>
      </c>
      <c r="D123" s="37"/>
      <c r="E123" s="38"/>
      <c r="F123" s="39"/>
    </row>
    <row r="124" spans="1:6" ht="48.6" customHeight="1" x14ac:dyDescent="0.25">
      <c r="A124" s="34">
        <f t="shared" si="14"/>
        <v>47</v>
      </c>
      <c r="B124" s="35" t="s">
        <v>362</v>
      </c>
      <c r="C124" s="36" t="s">
        <v>17</v>
      </c>
      <c r="D124" s="37">
        <v>56</v>
      </c>
      <c r="E124" s="38"/>
      <c r="F124" s="39"/>
    </row>
    <row r="125" spans="1:6" ht="21" x14ac:dyDescent="0.25">
      <c r="A125" s="56" t="s">
        <v>348</v>
      </c>
      <c r="B125" s="59"/>
      <c r="C125" s="59"/>
      <c r="D125" s="59"/>
      <c r="E125" s="59"/>
      <c r="F125" s="60"/>
    </row>
    <row r="126" spans="1:6" ht="75" x14ac:dyDescent="0.25">
      <c r="A126" s="34">
        <f>SUM(A124+1)</f>
        <v>48</v>
      </c>
      <c r="B126" s="35" t="s">
        <v>349</v>
      </c>
      <c r="C126" s="36" t="s">
        <v>17</v>
      </c>
      <c r="D126" s="37">
        <v>336</v>
      </c>
      <c r="E126" s="38"/>
      <c r="F126" s="39"/>
    </row>
    <row r="127" spans="1:6" ht="60" x14ac:dyDescent="0.25">
      <c r="A127" s="34">
        <f t="shared" ref="A127:A138" si="15">SUM(A126+1)</f>
        <v>49</v>
      </c>
      <c r="B127" s="35" t="s">
        <v>350</v>
      </c>
      <c r="C127" s="36" t="s">
        <v>17</v>
      </c>
      <c r="D127" s="37"/>
      <c r="E127" s="38"/>
      <c r="F127" s="39"/>
    </row>
    <row r="128" spans="1:6" ht="60" x14ac:dyDescent="0.25">
      <c r="A128" s="34">
        <f t="shared" si="15"/>
        <v>50</v>
      </c>
      <c r="B128" s="35" t="s">
        <v>351</v>
      </c>
      <c r="C128" s="36" t="s">
        <v>17</v>
      </c>
      <c r="D128" s="37"/>
      <c r="E128" s="38"/>
      <c r="F128" s="39"/>
    </row>
    <row r="129" spans="1:6" ht="60" x14ac:dyDescent="0.25">
      <c r="A129" s="34">
        <f t="shared" si="15"/>
        <v>51</v>
      </c>
      <c r="B129" s="35" t="s">
        <v>352</v>
      </c>
      <c r="C129" s="36" t="s">
        <v>17</v>
      </c>
      <c r="D129" s="37">
        <v>280</v>
      </c>
      <c r="E129" s="38"/>
      <c r="F129" s="39"/>
    </row>
    <row r="130" spans="1:6" ht="64.900000000000006" customHeight="1" x14ac:dyDescent="0.25">
      <c r="A130" s="34">
        <f t="shared" si="15"/>
        <v>52</v>
      </c>
      <c r="B130" s="35" t="s">
        <v>353</v>
      </c>
      <c r="C130" s="36" t="s">
        <v>17</v>
      </c>
      <c r="D130" s="37">
        <v>336</v>
      </c>
      <c r="E130" s="38"/>
      <c r="F130" s="39"/>
    </row>
    <row r="131" spans="1:6" ht="45.6" customHeight="1" x14ac:dyDescent="0.25">
      <c r="A131" s="34">
        <f t="shared" si="15"/>
        <v>53</v>
      </c>
      <c r="B131" s="35" t="s">
        <v>354</v>
      </c>
      <c r="C131" s="36" t="s">
        <v>17</v>
      </c>
      <c r="D131" s="37"/>
      <c r="E131" s="38"/>
      <c r="F131" s="39"/>
    </row>
    <row r="132" spans="1:6" ht="45.6" customHeight="1" x14ac:dyDescent="0.25">
      <c r="A132" s="34">
        <f>SUM(A131+1)</f>
        <v>54</v>
      </c>
      <c r="B132" s="35" t="str">
        <f>[1]Specifications!$B$135</f>
        <v>French Fried Onions, Case 6/24 oz.</v>
      </c>
      <c r="C132" s="36" t="s">
        <v>17</v>
      </c>
      <c r="D132" s="37"/>
      <c r="E132" s="38"/>
      <c r="F132" s="39"/>
    </row>
    <row r="133" spans="1:6" ht="81.599999999999994" customHeight="1" x14ac:dyDescent="0.25">
      <c r="A133" s="34">
        <f>SUM(A132+1)</f>
        <v>55</v>
      </c>
      <c r="B133" s="35" t="s">
        <v>355</v>
      </c>
      <c r="C133" s="36" t="s">
        <v>17</v>
      </c>
      <c r="D133" s="37">
        <v>112</v>
      </c>
      <c r="E133" s="38"/>
      <c r="F133" s="39"/>
    </row>
    <row r="134" spans="1:6" ht="60" customHeight="1" x14ac:dyDescent="0.25">
      <c r="A134" s="34">
        <f t="shared" si="15"/>
        <v>56</v>
      </c>
      <c r="B134" s="35" t="s">
        <v>257</v>
      </c>
      <c r="C134" s="36" t="s">
        <v>17</v>
      </c>
      <c r="D134" s="37"/>
      <c r="E134" s="38"/>
      <c r="F134" s="39"/>
    </row>
    <row r="135" spans="1:6" ht="75" x14ac:dyDescent="0.25">
      <c r="A135" s="34">
        <f t="shared" si="15"/>
        <v>57</v>
      </c>
      <c r="B135" s="35" t="s">
        <v>224</v>
      </c>
      <c r="C135" s="36" t="s">
        <v>17</v>
      </c>
      <c r="D135" s="37"/>
      <c r="E135" s="38"/>
      <c r="F135" s="39"/>
    </row>
    <row r="136" spans="1:6" ht="50.45" customHeight="1" x14ac:dyDescent="0.25">
      <c r="A136" s="34">
        <f t="shared" si="15"/>
        <v>58</v>
      </c>
      <c r="B136" s="35" t="s">
        <v>356</v>
      </c>
      <c r="C136" s="36" t="s">
        <v>17</v>
      </c>
      <c r="D136" s="37">
        <v>112</v>
      </c>
      <c r="E136" s="38"/>
      <c r="F136" s="39"/>
    </row>
    <row r="137" spans="1:6" ht="33.6" customHeight="1" x14ac:dyDescent="0.25">
      <c r="A137" s="34">
        <f t="shared" si="15"/>
        <v>59</v>
      </c>
      <c r="B137" s="35" t="s">
        <v>357</v>
      </c>
      <c r="C137" s="36" t="s">
        <v>17</v>
      </c>
      <c r="D137" s="37">
        <v>28</v>
      </c>
      <c r="E137" s="38"/>
      <c r="F137" s="39"/>
    </row>
    <row r="138" spans="1:6" ht="46.15" customHeight="1" x14ac:dyDescent="0.25">
      <c r="A138" s="34">
        <f t="shared" si="15"/>
        <v>60</v>
      </c>
      <c r="B138" s="35" t="s">
        <v>39</v>
      </c>
      <c r="C138" s="36" t="s">
        <v>17</v>
      </c>
      <c r="D138" s="37"/>
      <c r="E138" s="38"/>
      <c r="F138" s="39"/>
    </row>
    <row r="139" spans="1:6" ht="46.15" customHeight="1" x14ac:dyDescent="0.25">
      <c r="A139" s="34">
        <f>SUM(A138+1)</f>
        <v>61</v>
      </c>
      <c r="B139" s="35" t="s">
        <v>369</v>
      </c>
      <c r="C139" s="36" t="s">
        <v>17</v>
      </c>
      <c r="D139" s="37"/>
      <c r="E139" s="38"/>
      <c r="F139" s="39"/>
    </row>
    <row r="140" spans="1:6" ht="60" x14ac:dyDescent="0.25">
      <c r="A140" s="34">
        <f>SUM(A139+1)</f>
        <v>62</v>
      </c>
      <c r="B140" s="35" t="s">
        <v>358</v>
      </c>
      <c r="C140" s="36" t="s">
        <v>17</v>
      </c>
      <c r="D140" s="37">
        <v>168</v>
      </c>
      <c r="E140" s="38"/>
      <c r="F140" s="39"/>
    </row>
    <row r="141" spans="1:6" ht="21" x14ac:dyDescent="0.25">
      <c r="A141" s="56" t="s">
        <v>177</v>
      </c>
      <c r="B141" s="59"/>
      <c r="C141" s="59"/>
      <c r="D141" s="59"/>
      <c r="E141" s="59"/>
      <c r="F141" s="60"/>
    </row>
    <row r="142" spans="1:6" ht="52.15" customHeight="1" x14ac:dyDescent="0.25">
      <c r="A142" s="34">
        <f>SUM(A140+1)</f>
        <v>63</v>
      </c>
      <c r="B142" s="35" t="s">
        <v>45</v>
      </c>
      <c r="C142" s="36" t="s">
        <v>10</v>
      </c>
      <c r="D142" s="37"/>
      <c r="E142" s="38"/>
      <c r="F142" s="39"/>
    </row>
    <row r="143" spans="1:6" ht="30" x14ac:dyDescent="0.25">
      <c r="A143" s="34">
        <f t="shared" ref="A143:A152" si="16">SUM(A142+1)</f>
        <v>64</v>
      </c>
      <c r="B143" s="35" t="s">
        <v>46</v>
      </c>
      <c r="C143" s="36" t="s">
        <v>10</v>
      </c>
      <c r="D143" s="37">
        <v>1200</v>
      </c>
      <c r="E143" s="38"/>
      <c r="F143" s="39"/>
    </row>
    <row r="144" spans="1:6" ht="60" x14ac:dyDescent="0.25">
      <c r="A144" s="34">
        <f t="shared" si="16"/>
        <v>65</v>
      </c>
      <c r="B144" s="35" t="s">
        <v>47</v>
      </c>
      <c r="C144" s="36" t="s">
        <v>10</v>
      </c>
      <c r="D144" s="37"/>
      <c r="E144" s="38"/>
      <c r="F144" s="39"/>
    </row>
    <row r="145" spans="1:6" ht="60" x14ac:dyDescent="0.25">
      <c r="A145" s="34">
        <f t="shared" si="16"/>
        <v>66</v>
      </c>
      <c r="B145" s="35" t="s">
        <v>258</v>
      </c>
      <c r="C145" s="36" t="s">
        <v>10</v>
      </c>
      <c r="D145" s="37"/>
      <c r="E145" s="38"/>
      <c r="F145" s="39"/>
    </row>
    <row r="146" spans="1:6" ht="45" x14ac:dyDescent="0.25">
      <c r="A146" s="34">
        <f t="shared" si="16"/>
        <v>67</v>
      </c>
      <c r="B146" s="35" t="s">
        <v>48</v>
      </c>
      <c r="C146" s="36" t="s">
        <v>10</v>
      </c>
      <c r="D146" s="37"/>
      <c r="E146" s="38"/>
      <c r="F146" s="39"/>
    </row>
    <row r="147" spans="1:6" ht="89.45" customHeight="1" x14ac:dyDescent="0.25">
      <c r="A147" s="34">
        <f t="shared" si="16"/>
        <v>68</v>
      </c>
      <c r="B147" s="35" t="s">
        <v>49</v>
      </c>
      <c r="C147" s="36" t="s">
        <v>10</v>
      </c>
      <c r="D147" s="37"/>
      <c r="E147" s="38"/>
      <c r="F147" s="39"/>
    </row>
    <row r="148" spans="1:6" ht="61.15" customHeight="1" x14ac:dyDescent="0.25">
      <c r="A148" s="34">
        <f t="shared" si="16"/>
        <v>69</v>
      </c>
      <c r="B148" s="35" t="s">
        <v>50</v>
      </c>
      <c r="C148" s="36" t="s">
        <v>10</v>
      </c>
      <c r="D148" s="37"/>
      <c r="E148" s="38"/>
      <c r="F148" s="39"/>
    </row>
    <row r="149" spans="1:6" ht="44.45" customHeight="1" x14ac:dyDescent="0.25">
      <c r="A149" s="34">
        <f t="shared" si="16"/>
        <v>70</v>
      </c>
      <c r="B149" s="35" t="s">
        <v>51</v>
      </c>
      <c r="C149" s="36" t="s">
        <v>10</v>
      </c>
      <c r="D149" s="37"/>
      <c r="E149" s="38"/>
      <c r="F149" s="39"/>
    </row>
    <row r="150" spans="1:6" ht="134.44999999999999" customHeight="1" x14ac:dyDescent="0.25">
      <c r="A150" s="34">
        <f t="shared" si="16"/>
        <v>71</v>
      </c>
      <c r="B150" s="35" t="s">
        <v>314</v>
      </c>
      <c r="C150" s="36" t="s">
        <v>10</v>
      </c>
      <c r="D150" s="37"/>
      <c r="E150" s="38"/>
      <c r="F150" s="39"/>
    </row>
    <row r="151" spans="1:6" ht="138" customHeight="1" x14ac:dyDescent="0.25">
      <c r="A151" s="34">
        <f t="shared" si="16"/>
        <v>72</v>
      </c>
      <c r="B151" s="35" t="s">
        <v>309</v>
      </c>
      <c r="C151" s="36" t="s">
        <v>10</v>
      </c>
      <c r="D151" s="37">
        <v>15000</v>
      </c>
      <c r="E151" s="38"/>
      <c r="F151" s="39"/>
    </row>
    <row r="152" spans="1:6" ht="45" customHeight="1" x14ac:dyDescent="0.25">
      <c r="A152" s="34">
        <f t="shared" si="16"/>
        <v>73</v>
      </c>
      <c r="B152" s="35" t="s">
        <v>52</v>
      </c>
      <c r="C152" s="36" t="s">
        <v>10</v>
      </c>
      <c r="D152" s="37"/>
      <c r="E152" s="38"/>
      <c r="F152" s="39"/>
    </row>
    <row r="153" spans="1:6" ht="21" x14ac:dyDescent="0.25">
      <c r="A153" s="56" t="s">
        <v>216</v>
      </c>
      <c r="B153" s="59"/>
      <c r="C153" s="59"/>
      <c r="D153" s="59"/>
      <c r="E153" s="59"/>
      <c r="F153" s="60"/>
    </row>
    <row r="154" spans="1:6" ht="45" x14ac:dyDescent="0.25">
      <c r="A154" s="34">
        <f>SUM(A152+1)</f>
        <v>74</v>
      </c>
      <c r="B154" s="35" t="s">
        <v>205</v>
      </c>
      <c r="C154" s="36" t="s">
        <v>17</v>
      </c>
      <c r="D154" s="37"/>
      <c r="E154" s="38"/>
      <c r="F154" s="39"/>
    </row>
    <row r="155" spans="1:6" ht="60" x14ac:dyDescent="0.25">
      <c r="A155" s="34">
        <f t="shared" ref="A155:A161" si="17">SUM(A154+1)</f>
        <v>75</v>
      </c>
      <c r="B155" s="35" t="s">
        <v>40</v>
      </c>
      <c r="C155" s="36" t="s">
        <v>17</v>
      </c>
      <c r="D155" s="37"/>
      <c r="E155" s="38"/>
      <c r="F155" s="39"/>
    </row>
    <row r="156" spans="1:6" ht="60" x14ac:dyDescent="0.25">
      <c r="A156" s="34">
        <f t="shared" si="17"/>
        <v>76</v>
      </c>
      <c r="B156" s="35" t="s">
        <v>215</v>
      </c>
      <c r="C156" s="36" t="s">
        <v>17</v>
      </c>
      <c r="D156" s="37"/>
      <c r="E156" s="38"/>
      <c r="F156" s="39"/>
    </row>
    <row r="157" spans="1:6" ht="75" x14ac:dyDescent="0.25">
      <c r="A157" s="34">
        <f t="shared" si="17"/>
        <v>77</v>
      </c>
      <c r="B157" s="35" t="s">
        <v>41</v>
      </c>
      <c r="C157" s="36" t="s">
        <v>17</v>
      </c>
      <c r="D157" s="37"/>
      <c r="E157" s="38"/>
      <c r="F157" s="39"/>
    </row>
    <row r="158" spans="1:6" ht="90" x14ac:dyDescent="0.25">
      <c r="A158" s="34">
        <f t="shared" si="17"/>
        <v>78</v>
      </c>
      <c r="B158" s="35" t="s">
        <v>284</v>
      </c>
      <c r="C158" s="36" t="s">
        <v>17</v>
      </c>
      <c r="D158" s="37">
        <v>56</v>
      </c>
      <c r="E158" s="38"/>
      <c r="F158" s="39"/>
    </row>
    <row r="159" spans="1:6" ht="75" x14ac:dyDescent="0.25">
      <c r="A159" s="34">
        <f t="shared" si="17"/>
        <v>79</v>
      </c>
      <c r="B159" s="35" t="s">
        <v>42</v>
      </c>
      <c r="C159" s="36" t="s">
        <v>17</v>
      </c>
      <c r="D159" s="37"/>
      <c r="E159" s="38"/>
      <c r="F159" s="39"/>
    </row>
    <row r="160" spans="1:6" ht="75" x14ac:dyDescent="0.25">
      <c r="A160" s="34">
        <f t="shared" si="17"/>
        <v>80</v>
      </c>
      <c r="B160" s="35" t="s">
        <v>43</v>
      </c>
      <c r="C160" s="36" t="s">
        <v>17</v>
      </c>
      <c r="D160" s="37"/>
      <c r="E160" s="38"/>
      <c r="F160" s="39"/>
    </row>
    <row r="161" spans="1:6" ht="90" x14ac:dyDescent="0.25">
      <c r="A161" s="34">
        <f t="shared" si="17"/>
        <v>81</v>
      </c>
      <c r="B161" s="35" t="s">
        <v>186</v>
      </c>
      <c r="C161" s="36" t="s">
        <v>17</v>
      </c>
      <c r="D161" s="37"/>
      <c r="E161" s="38"/>
      <c r="F161" s="39"/>
    </row>
    <row r="162" spans="1:6" ht="75" x14ac:dyDescent="0.25">
      <c r="A162" s="34">
        <f>SUM(A161+1)</f>
        <v>82</v>
      </c>
      <c r="B162" s="35" t="s">
        <v>44</v>
      </c>
      <c r="C162" s="36" t="s">
        <v>17</v>
      </c>
      <c r="D162" s="37"/>
      <c r="E162" s="38"/>
      <c r="F162" s="39"/>
    </row>
    <row r="163" spans="1:6" ht="21" x14ac:dyDescent="0.25">
      <c r="A163" s="56" t="s">
        <v>217</v>
      </c>
      <c r="B163" s="59"/>
      <c r="C163" s="59"/>
      <c r="D163" s="59"/>
      <c r="E163" s="59"/>
      <c r="F163" s="60"/>
    </row>
    <row r="164" spans="1:6" ht="30" x14ac:dyDescent="0.25">
      <c r="A164" s="34">
        <f>SUM(A162+1)</f>
        <v>83</v>
      </c>
      <c r="B164" s="35" t="s">
        <v>53</v>
      </c>
      <c r="C164" s="36" t="s">
        <v>17</v>
      </c>
      <c r="D164" s="37"/>
      <c r="E164" s="38"/>
      <c r="F164" s="39"/>
    </row>
    <row r="165" spans="1:6" ht="30" x14ac:dyDescent="0.25">
      <c r="A165" s="34">
        <f t="shared" ref="A165:A167" si="18">SUM(A164+1)</f>
        <v>84</v>
      </c>
      <c r="B165" s="35" t="s">
        <v>54</v>
      </c>
      <c r="C165" s="36" t="s">
        <v>17</v>
      </c>
      <c r="D165" s="37"/>
      <c r="E165" s="38"/>
      <c r="F165" s="39"/>
    </row>
    <row r="166" spans="1:6" ht="45" x14ac:dyDescent="0.25">
      <c r="A166" s="34">
        <f t="shared" si="18"/>
        <v>85</v>
      </c>
      <c r="B166" s="35" t="s">
        <v>259</v>
      </c>
      <c r="C166" s="36" t="s">
        <v>17</v>
      </c>
      <c r="D166" s="37">
        <v>40</v>
      </c>
      <c r="E166" s="38"/>
      <c r="F166" s="39"/>
    </row>
    <row r="167" spans="1:6" ht="30" x14ac:dyDescent="0.25">
      <c r="A167" s="34">
        <f t="shared" si="18"/>
        <v>86</v>
      </c>
      <c r="B167" s="35" t="s">
        <v>260</v>
      </c>
      <c r="C167" s="36" t="s">
        <v>359</v>
      </c>
      <c r="D167" s="37">
        <v>80</v>
      </c>
      <c r="E167" s="38"/>
      <c r="F167" s="39"/>
    </row>
    <row r="168" spans="1:6" ht="30" x14ac:dyDescent="0.25">
      <c r="A168" s="34">
        <f>SUM(A167+1)</f>
        <v>87</v>
      </c>
      <c r="B168" s="35" t="s">
        <v>261</v>
      </c>
      <c r="C168" s="36" t="s">
        <v>17</v>
      </c>
      <c r="D168" s="37"/>
      <c r="E168" s="38"/>
      <c r="F168" s="39"/>
    </row>
    <row r="169" spans="1:6" x14ac:dyDescent="0.25">
      <c r="A169" s="34">
        <f>SUM(A168+1)</f>
        <v>88</v>
      </c>
      <c r="B169" s="35" t="s">
        <v>367</v>
      </c>
      <c r="C169" s="36" t="s">
        <v>10</v>
      </c>
      <c r="D169" s="37"/>
      <c r="E169" s="38"/>
      <c r="F169" s="39"/>
    </row>
    <row r="170" spans="1:6" x14ac:dyDescent="0.25">
      <c r="A170" s="34">
        <f t="shared" ref="A170:A171" si="19">SUM(A169+1)</f>
        <v>89</v>
      </c>
      <c r="B170" s="35" t="s">
        <v>383</v>
      </c>
      <c r="C170" s="36" t="s">
        <v>10</v>
      </c>
      <c r="D170" s="37">
        <v>500</v>
      </c>
      <c r="E170" s="38"/>
      <c r="F170" s="39"/>
    </row>
    <row r="171" spans="1:6" x14ac:dyDescent="0.25">
      <c r="A171" s="34">
        <f t="shared" si="19"/>
        <v>90</v>
      </c>
      <c r="B171" s="35" t="str">
        <f>[1]Specifications!$B$176</f>
        <v>Sauce, Cranberry, 6 - #10 Cans per case.</v>
      </c>
      <c r="C171" s="36" t="s">
        <v>17</v>
      </c>
      <c r="D171" s="37"/>
      <c r="E171" s="38"/>
      <c r="F171" s="39"/>
    </row>
    <row r="172" spans="1:6" x14ac:dyDescent="0.25">
      <c r="A172" s="34">
        <f>SUM(A171+1)</f>
        <v>91</v>
      </c>
      <c r="B172" s="35" t="str">
        <f>[1]Specifications!$B$177</f>
        <v>Soup, Canned, Cream of Mushroom, Condensed, 12/50 OZ PER CS</v>
      </c>
      <c r="C172" s="36" t="s">
        <v>17</v>
      </c>
      <c r="D172" s="37"/>
      <c r="E172" s="38"/>
      <c r="F172" s="39"/>
    </row>
    <row r="173" spans="1:6" ht="60" x14ac:dyDescent="0.25">
      <c r="A173" s="34">
        <f>SUM(A172+1)</f>
        <v>92</v>
      </c>
      <c r="B173" s="35" t="s">
        <v>227</v>
      </c>
      <c r="C173" s="36" t="s">
        <v>17</v>
      </c>
      <c r="D173" s="37"/>
      <c r="E173" s="38"/>
      <c r="F173" s="39"/>
    </row>
    <row r="174" spans="1:6" ht="21" x14ac:dyDescent="0.25">
      <c r="A174" s="56" t="s">
        <v>178</v>
      </c>
      <c r="B174" s="59"/>
      <c r="C174" s="59"/>
      <c r="D174" s="59"/>
      <c r="E174" s="59"/>
      <c r="F174" s="60"/>
    </row>
    <row r="175" spans="1:6" ht="90" x14ac:dyDescent="0.25">
      <c r="A175" s="34">
        <f>SUM(A173+1)</f>
        <v>93</v>
      </c>
      <c r="B175" s="35" t="s">
        <v>225</v>
      </c>
      <c r="C175" s="36" t="s">
        <v>17</v>
      </c>
      <c r="D175" s="37"/>
      <c r="E175" s="38"/>
      <c r="F175" s="39"/>
    </row>
    <row r="176" spans="1:6" ht="21" x14ac:dyDescent="0.25">
      <c r="A176" s="56" t="s">
        <v>221</v>
      </c>
      <c r="B176" s="59"/>
      <c r="C176" s="59"/>
      <c r="D176" s="59"/>
      <c r="E176" s="59"/>
      <c r="F176" s="60"/>
    </row>
    <row r="177" spans="1:6" ht="57" customHeight="1" x14ac:dyDescent="0.25">
      <c r="A177" s="34">
        <f>SUM(A175+1)</f>
        <v>94</v>
      </c>
      <c r="B177" s="35" t="s">
        <v>315</v>
      </c>
      <c r="C177" s="36" t="s">
        <v>226</v>
      </c>
      <c r="D177" s="37"/>
      <c r="E177" s="38"/>
      <c r="F177" s="39"/>
    </row>
    <row r="178" spans="1:6" ht="45" x14ac:dyDescent="0.25">
      <c r="A178" s="34">
        <f>SUM(A177+1)</f>
        <v>95</v>
      </c>
      <c r="B178" s="35" t="s">
        <v>262</v>
      </c>
      <c r="C178" s="36" t="s">
        <v>226</v>
      </c>
      <c r="D178" s="37"/>
      <c r="E178" s="38"/>
      <c r="F178" s="39"/>
    </row>
    <row r="179" spans="1:6" ht="60" x14ac:dyDescent="0.25">
      <c r="A179" s="34">
        <f>SUM(A178+1)</f>
        <v>96</v>
      </c>
      <c r="B179" s="35" t="s">
        <v>263</v>
      </c>
      <c r="C179" s="36" t="s">
        <v>226</v>
      </c>
      <c r="D179" s="37"/>
      <c r="E179" s="38"/>
      <c r="F179" s="39"/>
    </row>
    <row r="180" spans="1:6" ht="60" x14ac:dyDescent="0.25">
      <c r="A180" s="34">
        <f t="shared" ref="A180:A207" si="20">SUM(A179+1)</f>
        <v>97</v>
      </c>
      <c r="B180" s="35" t="s">
        <v>316</v>
      </c>
      <c r="C180" s="36" t="s">
        <v>226</v>
      </c>
      <c r="D180" s="37"/>
      <c r="E180" s="38"/>
      <c r="F180" s="39"/>
    </row>
    <row r="181" spans="1:6" ht="55.9" customHeight="1" x14ac:dyDescent="0.25">
      <c r="A181" s="34">
        <f t="shared" si="20"/>
        <v>98</v>
      </c>
      <c r="B181" s="35" t="s">
        <v>317</v>
      </c>
      <c r="C181" s="36" t="s">
        <v>226</v>
      </c>
      <c r="D181" s="37"/>
      <c r="E181" s="38"/>
      <c r="F181" s="39"/>
    </row>
    <row r="182" spans="1:6" ht="60" x14ac:dyDescent="0.25">
      <c r="A182" s="34">
        <f t="shared" si="20"/>
        <v>99</v>
      </c>
      <c r="B182" s="35" t="s">
        <v>338</v>
      </c>
      <c r="C182" s="36" t="s">
        <v>226</v>
      </c>
      <c r="D182" s="37"/>
      <c r="E182" s="38"/>
      <c r="F182" s="39"/>
    </row>
    <row r="183" spans="1:6" ht="57" customHeight="1" x14ac:dyDescent="0.25">
      <c r="A183" s="34">
        <f t="shared" si="20"/>
        <v>100</v>
      </c>
      <c r="B183" s="35" t="s">
        <v>319</v>
      </c>
      <c r="C183" s="36" t="s">
        <v>226</v>
      </c>
      <c r="D183" s="37"/>
      <c r="E183" s="38"/>
      <c r="F183" s="39"/>
    </row>
    <row r="184" spans="1:6" ht="90" customHeight="1" x14ac:dyDescent="0.25">
      <c r="A184" s="34">
        <f t="shared" si="20"/>
        <v>101</v>
      </c>
      <c r="B184" s="35" t="s">
        <v>320</v>
      </c>
      <c r="C184" s="36" t="s">
        <v>10</v>
      </c>
      <c r="D184" s="37"/>
      <c r="E184" s="38"/>
      <c r="F184" s="39"/>
    </row>
    <row r="185" spans="1:6" ht="60" x14ac:dyDescent="0.25">
      <c r="A185" s="34">
        <f>SUM(A184+1)</f>
        <v>102</v>
      </c>
      <c r="B185" s="35" t="s">
        <v>321</v>
      </c>
      <c r="C185" s="36" t="s">
        <v>226</v>
      </c>
      <c r="D185" s="37"/>
      <c r="E185" s="38"/>
      <c r="F185" s="39"/>
    </row>
    <row r="186" spans="1:6" ht="33.6" customHeight="1" x14ac:dyDescent="0.25">
      <c r="A186" s="34">
        <f t="shared" si="20"/>
        <v>103</v>
      </c>
      <c r="B186" s="35" t="s">
        <v>264</v>
      </c>
      <c r="C186" s="36" t="s">
        <v>226</v>
      </c>
      <c r="D186" s="37">
        <v>250</v>
      </c>
      <c r="E186" s="38"/>
      <c r="F186" s="39"/>
    </row>
    <row r="187" spans="1:6" ht="57" customHeight="1" x14ac:dyDescent="0.25">
      <c r="A187" s="34">
        <f t="shared" si="20"/>
        <v>104</v>
      </c>
      <c r="B187" s="35" t="s">
        <v>322</v>
      </c>
      <c r="C187" s="36" t="s">
        <v>226</v>
      </c>
      <c r="D187" s="37"/>
      <c r="E187" s="38"/>
      <c r="F187" s="39"/>
    </row>
    <row r="188" spans="1:6" ht="90" x14ac:dyDescent="0.25">
      <c r="A188" s="34">
        <f t="shared" ref="A188:A194" si="21">SUM(A187+1)</f>
        <v>105</v>
      </c>
      <c r="B188" s="35" t="s">
        <v>265</v>
      </c>
      <c r="C188" s="36" t="s">
        <v>226</v>
      </c>
      <c r="D188" s="37">
        <v>500</v>
      </c>
      <c r="E188" s="38"/>
      <c r="F188" s="39"/>
    </row>
    <row r="189" spans="1:6" ht="105" x14ac:dyDescent="0.25">
      <c r="A189" s="34">
        <f t="shared" si="21"/>
        <v>106</v>
      </c>
      <c r="B189" s="35" t="s">
        <v>218</v>
      </c>
      <c r="C189" s="36" t="s">
        <v>10</v>
      </c>
      <c r="D189" s="37"/>
      <c r="E189" s="38"/>
      <c r="F189" s="39"/>
    </row>
    <row r="190" spans="1:6" ht="57.6" customHeight="1" x14ac:dyDescent="0.25">
      <c r="A190" s="34">
        <f t="shared" si="21"/>
        <v>107</v>
      </c>
      <c r="B190" s="35" t="s">
        <v>323</v>
      </c>
      <c r="C190" s="36" t="s">
        <v>226</v>
      </c>
      <c r="D190" s="37"/>
      <c r="E190" s="38"/>
      <c r="F190" s="39"/>
    </row>
    <row r="191" spans="1:6" ht="58.15" customHeight="1" x14ac:dyDescent="0.25">
      <c r="A191" s="34">
        <f t="shared" si="21"/>
        <v>108</v>
      </c>
      <c r="B191" s="35" t="s">
        <v>310</v>
      </c>
      <c r="C191" s="36" t="s">
        <v>10</v>
      </c>
      <c r="D191" s="37">
        <v>250</v>
      </c>
      <c r="E191" s="38"/>
      <c r="F191" s="39"/>
    </row>
    <row r="192" spans="1:6" ht="45" x14ac:dyDescent="0.25">
      <c r="A192" s="34">
        <f>SUM(A191+1)</f>
        <v>109</v>
      </c>
      <c r="B192" s="35" t="s">
        <v>219</v>
      </c>
      <c r="C192" s="36" t="s">
        <v>25</v>
      </c>
      <c r="D192" s="37"/>
      <c r="E192" s="38"/>
      <c r="F192" s="39"/>
    </row>
    <row r="193" spans="1:6" ht="30" x14ac:dyDescent="0.25">
      <c r="A193" s="34">
        <f t="shared" si="21"/>
        <v>110</v>
      </c>
      <c r="B193" s="35" t="s">
        <v>220</v>
      </c>
      <c r="C193" s="36" t="s">
        <v>25</v>
      </c>
      <c r="D193" s="37">
        <v>240</v>
      </c>
      <c r="E193" s="38"/>
      <c r="F193" s="39"/>
    </row>
    <row r="194" spans="1:6" ht="75" x14ac:dyDescent="0.25">
      <c r="A194" s="34">
        <f t="shared" si="21"/>
        <v>111</v>
      </c>
      <c r="B194" s="35" t="s">
        <v>299</v>
      </c>
      <c r="C194" s="36" t="s">
        <v>226</v>
      </c>
      <c r="D194" s="37">
        <v>250</v>
      </c>
      <c r="E194" s="38"/>
      <c r="F194" s="39"/>
    </row>
    <row r="195" spans="1:6" ht="60" x14ac:dyDescent="0.25">
      <c r="A195" s="34">
        <f>SUM(A194+1)</f>
        <v>112</v>
      </c>
      <c r="B195" s="35" t="s">
        <v>324</v>
      </c>
      <c r="C195" s="36" t="s">
        <v>226</v>
      </c>
      <c r="D195" s="37"/>
      <c r="E195" s="38"/>
      <c r="F195" s="39"/>
    </row>
    <row r="196" spans="1:6" ht="57" customHeight="1" x14ac:dyDescent="0.25">
      <c r="A196" s="34">
        <f t="shared" si="20"/>
        <v>113</v>
      </c>
      <c r="B196" s="35" t="s">
        <v>325</v>
      </c>
      <c r="C196" s="36" t="s">
        <v>226</v>
      </c>
      <c r="D196" s="37">
        <v>250</v>
      </c>
      <c r="E196" s="38"/>
      <c r="F196" s="39"/>
    </row>
    <row r="197" spans="1:6" ht="55.9" customHeight="1" x14ac:dyDescent="0.25">
      <c r="A197" s="34">
        <f t="shared" si="20"/>
        <v>114</v>
      </c>
      <c r="B197" s="35" t="s">
        <v>326</v>
      </c>
      <c r="C197" s="36" t="s">
        <v>226</v>
      </c>
      <c r="D197" s="37"/>
      <c r="E197" s="38"/>
      <c r="F197" s="39"/>
    </row>
    <row r="198" spans="1:6" ht="45" x14ac:dyDescent="0.25">
      <c r="A198" s="34">
        <f t="shared" si="20"/>
        <v>115</v>
      </c>
      <c r="B198" s="35" t="s">
        <v>327</v>
      </c>
      <c r="C198" s="36" t="s">
        <v>17</v>
      </c>
      <c r="D198" s="37"/>
      <c r="E198" s="38"/>
      <c r="F198" s="39"/>
    </row>
    <row r="199" spans="1:6" ht="57.6" customHeight="1" x14ac:dyDescent="0.25">
      <c r="A199" s="34">
        <f t="shared" si="20"/>
        <v>116</v>
      </c>
      <c r="B199" s="35" t="s">
        <v>328</v>
      </c>
      <c r="C199" s="36" t="s">
        <v>226</v>
      </c>
      <c r="D199" s="37"/>
      <c r="E199" s="38"/>
      <c r="F199" s="39"/>
    </row>
    <row r="200" spans="1:6" ht="60" x14ac:dyDescent="0.25">
      <c r="A200" s="34">
        <f t="shared" si="20"/>
        <v>117</v>
      </c>
      <c r="B200" s="35" t="s">
        <v>329</v>
      </c>
      <c r="C200" s="36" t="s">
        <v>226</v>
      </c>
      <c r="D200" s="37"/>
      <c r="E200" s="38"/>
      <c r="F200" s="39"/>
    </row>
    <row r="201" spans="1:6" ht="57" customHeight="1" x14ac:dyDescent="0.25">
      <c r="A201" s="34">
        <f t="shared" si="20"/>
        <v>118</v>
      </c>
      <c r="B201" s="35" t="s">
        <v>330</v>
      </c>
      <c r="C201" s="36" t="s">
        <v>226</v>
      </c>
      <c r="D201" s="37"/>
      <c r="E201" s="38"/>
      <c r="F201" s="39"/>
    </row>
    <row r="202" spans="1:6" ht="45" x14ac:dyDescent="0.25">
      <c r="A202" s="34">
        <f t="shared" si="20"/>
        <v>119</v>
      </c>
      <c r="B202" s="35" t="s">
        <v>335</v>
      </c>
      <c r="C202" s="36" t="s">
        <v>17</v>
      </c>
      <c r="D202" s="37"/>
      <c r="E202" s="38"/>
      <c r="F202" s="39"/>
    </row>
    <row r="203" spans="1:6" ht="45" x14ac:dyDescent="0.25">
      <c r="A203" s="34">
        <f t="shared" si="20"/>
        <v>120</v>
      </c>
      <c r="B203" s="35" t="s">
        <v>266</v>
      </c>
      <c r="C203" s="36" t="s">
        <v>10</v>
      </c>
      <c r="D203" s="37">
        <v>1000</v>
      </c>
      <c r="E203" s="38"/>
      <c r="F203" s="39"/>
    </row>
    <row r="204" spans="1:6" ht="45" x14ac:dyDescent="0.25">
      <c r="A204" s="34">
        <f t="shared" si="20"/>
        <v>121</v>
      </c>
      <c r="B204" s="35" t="s">
        <v>199</v>
      </c>
      <c r="C204" s="36" t="s">
        <v>21</v>
      </c>
      <c r="D204" s="37"/>
      <c r="E204" s="38"/>
      <c r="F204" s="39"/>
    </row>
    <row r="205" spans="1:6" ht="75" x14ac:dyDescent="0.25">
      <c r="A205" s="34">
        <f t="shared" si="20"/>
        <v>122</v>
      </c>
      <c r="B205" s="35" t="s">
        <v>318</v>
      </c>
      <c r="C205" s="36" t="s">
        <v>10</v>
      </c>
      <c r="D205" s="37"/>
      <c r="E205" s="38"/>
      <c r="F205" s="39"/>
    </row>
    <row r="206" spans="1:6" ht="101.45" customHeight="1" x14ac:dyDescent="0.25">
      <c r="A206" s="34">
        <f>SUM(A205+1)</f>
        <v>123</v>
      </c>
      <c r="B206" s="35" t="s">
        <v>331</v>
      </c>
      <c r="C206" s="36" t="s">
        <v>10</v>
      </c>
      <c r="D206" s="37"/>
      <c r="E206" s="38"/>
      <c r="F206" s="39"/>
    </row>
    <row r="207" spans="1:6" ht="52.15" customHeight="1" x14ac:dyDescent="0.25">
      <c r="A207" s="34">
        <f t="shared" si="20"/>
        <v>124</v>
      </c>
      <c r="B207" s="35" t="s">
        <v>332</v>
      </c>
      <c r="C207" s="36" t="s">
        <v>226</v>
      </c>
      <c r="D207" s="37"/>
      <c r="E207" s="38"/>
      <c r="F207" s="39"/>
    </row>
    <row r="208" spans="1:6" ht="30" x14ac:dyDescent="0.25">
      <c r="A208" s="34">
        <f>SUM(A207+1)</f>
        <v>125</v>
      </c>
      <c r="B208" s="35" t="s">
        <v>222</v>
      </c>
      <c r="C208" s="36" t="s">
        <v>25</v>
      </c>
      <c r="D208" s="37"/>
      <c r="E208" s="38"/>
      <c r="F208" s="39"/>
    </row>
    <row r="209" spans="1:6" ht="21" x14ac:dyDescent="0.25">
      <c r="A209" s="56" t="s">
        <v>179</v>
      </c>
      <c r="B209" s="57"/>
      <c r="C209" s="57"/>
      <c r="D209" s="57"/>
      <c r="E209" s="57"/>
      <c r="F209" s="58"/>
    </row>
    <row r="210" spans="1:6" ht="140.44999999999999" customHeight="1" x14ac:dyDescent="0.25">
      <c r="A210" s="34">
        <f>SUM(A208+1)</f>
        <v>126</v>
      </c>
      <c r="B210" s="35" t="s">
        <v>55</v>
      </c>
      <c r="C210" s="36" t="s">
        <v>10</v>
      </c>
      <c r="D210" s="37"/>
      <c r="E210" s="38"/>
      <c r="F210" s="39"/>
    </row>
    <row r="211" spans="1:6" ht="148.9" customHeight="1" x14ac:dyDescent="0.25">
      <c r="A211" s="34">
        <f t="shared" ref="A211:A212" si="22">SUM(A210+1)</f>
        <v>127</v>
      </c>
      <c r="B211" s="35" t="s">
        <v>56</v>
      </c>
      <c r="C211" s="36" t="s">
        <v>10</v>
      </c>
      <c r="D211" s="37">
        <v>250</v>
      </c>
      <c r="E211" s="38"/>
      <c r="F211" s="39"/>
    </row>
    <row r="212" spans="1:6" ht="163.15" customHeight="1" x14ac:dyDescent="0.25">
      <c r="A212" s="34">
        <f t="shared" si="22"/>
        <v>128</v>
      </c>
      <c r="B212" s="35" t="s">
        <v>57</v>
      </c>
      <c r="C212" s="36" t="s">
        <v>10</v>
      </c>
      <c r="D212" s="37">
        <v>250</v>
      </c>
      <c r="E212" s="38"/>
      <c r="F212" s="39"/>
    </row>
    <row r="213" spans="1:6" ht="21" x14ac:dyDescent="0.25">
      <c r="A213" s="56" t="s">
        <v>187</v>
      </c>
      <c r="B213" s="57"/>
      <c r="C213" s="57"/>
      <c r="D213" s="57"/>
      <c r="E213" s="57"/>
      <c r="F213" s="58"/>
    </row>
    <row r="214" spans="1:6" ht="201" customHeight="1" x14ac:dyDescent="0.25">
      <c r="A214" s="34">
        <f>SUM(A212+1)</f>
        <v>129</v>
      </c>
      <c r="B214" s="35" t="s">
        <v>267</v>
      </c>
      <c r="C214" s="36" t="s">
        <v>10</v>
      </c>
      <c r="D214" s="37">
        <v>5000</v>
      </c>
      <c r="E214" s="38"/>
      <c r="F214" s="39"/>
    </row>
    <row r="215" spans="1:6" ht="235.9" customHeight="1" x14ac:dyDescent="0.25">
      <c r="A215" s="34">
        <f t="shared" ref="A215:A217" si="23">SUM(A214+1)</f>
        <v>130</v>
      </c>
      <c r="B215" s="35" t="s">
        <v>343</v>
      </c>
      <c r="C215" s="36" t="s">
        <v>10</v>
      </c>
      <c r="D215" s="37">
        <v>5000</v>
      </c>
      <c r="E215" s="38"/>
      <c r="F215" s="39"/>
    </row>
    <row r="216" spans="1:6" ht="160.15" customHeight="1" x14ac:dyDescent="0.25">
      <c r="A216" s="34">
        <f t="shared" si="23"/>
        <v>131</v>
      </c>
      <c r="B216" s="35" t="s">
        <v>268</v>
      </c>
      <c r="C216" s="36" t="s">
        <v>10</v>
      </c>
      <c r="D216" s="37"/>
      <c r="E216" s="38"/>
      <c r="F216" s="39"/>
    </row>
    <row r="217" spans="1:6" ht="55.15" customHeight="1" x14ac:dyDescent="0.25">
      <c r="A217" s="34">
        <f t="shared" si="23"/>
        <v>132</v>
      </c>
      <c r="B217" s="35" t="s">
        <v>298</v>
      </c>
      <c r="C217" s="36" t="s">
        <v>10</v>
      </c>
      <c r="D217" s="37">
        <v>15000</v>
      </c>
      <c r="E217" s="38"/>
      <c r="F217" s="39"/>
    </row>
    <row r="218" spans="1:6" ht="55.15" customHeight="1" x14ac:dyDescent="0.25">
      <c r="A218" s="34">
        <f>SUM(A217+1)</f>
        <v>133</v>
      </c>
      <c r="B218" s="35" t="s">
        <v>372</v>
      </c>
      <c r="C218" s="36" t="s">
        <v>10</v>
      </c>
      <c r="D218" s="37">
        <v>2500</v>
      </c>
      <c r="E218" s="38"/>
      <c r="F218" s="39"/>
    </row>
    <row r="219" spans="1:6" ht="108" customHeight="1" x14ac:dyDescent="0.25">
      <c r="A219" s="34">
        <f>SUM(A218+1)</f>
        <v>134</v>
      </c>
      <c r="B219" s="35" t="s">
        <v>269</v>
      </c>
      <c r="C219" s="36" t="s">
        <v>10</v>
      </c>
      <c r="D219" s="37"/>
      <c r="E219" s="38"/>
      <c r="F219" s="39"/>
    </row>
    <row r="220" spans="1:6" ht="21" x14ac:dyDescent="0.25">
      <c r="A220" s="56" t="s">
        <v>206</v>
      </c>
      <c r="B220" s="57"/>
      <c r="C220" s="57"/>
      <c r="D220" s="57"/>
      <c r="E220" s="57"/>
      <c r="F220" s="58"/>
    </row>
    <row r="221" spans="1:6" ht="309" customHeight="1" x14ac:dyDescent="0.25">
      <c r="A221" s="34">
        <f>SUM(A219+1)</f>
        <v>135</v>
      </c>
      <c r="B221" s="35" t="s">
        <v>346</v>
      </c>
      <c r="C221" s="36" t="s">
        <v>10</v>
      </c>
      <c r="D221" s="37">
        <v>4000</v>
      </c>
      <c r="E221" s="38"/>
      <c r="F221" s="39"/>
    </row>
    <row r="222" spans="1:6" ht="238.15" customHeight="1" x14ac:dyDescent="0.25">
      <c r="A222" s="34">
        <f>SUM(A221+1)</f>
        <v>136</v>
      </c>
      <c r="B222" s="35" t="s">
        <v>294</v>
      </c>
      <c r="C222" s="36" t="s">
        <v>10</v>
      </c>
      <c r="D222" s="37">
        <v>12000</v>
      </c>
      <c r="E222" s="38"/>
      <c r="F222" s="39"/>
    </row>
    <row r="223" spans="1:6" ht="173.45" customHeight="1" x14ac:dyDescent="0.25">
      <c r="A223" s="34">
        <f>SUM(A222+1)</f>
        <v>137</v>
      </c>
      <c r="B223" s="35" t="s">
        <v>295</v>
      </c>
      <c r="C223" s="36" t="s">
        <v>10</v>
      </c>
      <c r="D223" s="37"/>
      <c r="E223" s="38"/>
      <c r="F223" s="39"/>
    </row>
    <row r="224" spans="1:6" ht="147" customHeight="1" x14ac:dyDescent="0.25">
      <c r="A224" s="34">
        <f t="shared" ref="A224:A227" si="24">SUM(A223+1)</f>
        <v>138</v>
      </c>
      <c r="B224" s="35" t="s">
        <v>344</v>
      </c>
      <c r="C224" s="36" t="s">
        <v>10</v>
      </c>
      <c r="D224" s="37">
        <v>12000</v>
      </c>
      <c r="E224" s="38"/>
      <c r="F224" s="39"/>
    </row>
    <row r="225" spans="1:6" ht="133.9" customHeight="1" x14ac:dyDescent="0.25">
      <c r="A225" s="34">
        <f t="shared" si="24"/>
        <v>139</v>
      </c>
      <c r="B225" s="35" t="s">
        <v>270</v>
      </c>
      <c r="C225" s="36" t="s">
        <v>10</v>
      </c>
      <c r="D225" s="37"/>
      <c r="E225" s="38"/>
      <c r="F225" s="39"/>
    </row>
    <row r="226" spans="1:6" ht="136.9" customHeight="1" x14ac:dyDescent="0.25">
      <c r="A226" s="34">
        <f t="shared" si="24"/>
        <v>140</v>
      </c>
      <c r="B226" s="35" t="s">
        <v>345</v>
      </c>
      <c r="C226" s="36" t="s">
        <v>10</v>
      </c>
      <c r="D226" s="37">
        <v>5000</v>
      </c>
      <c r="E226" s="38"/>
      <c r="F226" s="39"/>
    </row>
    <row r="227" spans="1:6" ht="66.599999999999994" customHeight="1" x14ac:dyDescent="0.25">
      <c r="A227" s="34">
        <f t="shared" si="24"/>
        <v>141</v>
      </c>
      <c r="B227" s="35" t="s">
        <v>202</v>
      </c>
      <c r="C227" s="36" t="s">
        <v>10</v>
      </c>
      <c r="D227" s="37"/>
      <c r="E227" s="38"/>
      <c r="F227" s="39"/>
    </row>
    <row r="228" spans="1:6" ht="21" x14ac:dyDescent="0.25">
      <c r="A228" s="56" t="s">
        <v>207</v>
      </c>
      <c r="B228" s="57"/>
      <c r="C228" s="57"/>
      <c r="D228" s="57"/>
      <c r="E228" s="57"/>
      <c r="F228" s="58"/>
    </row>
    <row r="229" spans="1:6" ht="150" customHeight="1" x14ac:dyDescent="0.25">
      <c r="A229" s="34">
        <f>SUM(A227+1)</f>
        <v>142</v>
      </c>
      <c r="B229" s="35" t="s">
        <v>347</v>
      </c>
      <c r="C229" s="36" t="s">
        <v>10</v>
      </c>
      <c r="D229" s="37">
        <v>3500</v>
      </c>
      <c r="E229" s="38"/>
      <c r="F229" s="39"/>
    </row>
    <row r="230" spans="1:6" ht="144" customHeight="1" x14ac:dyDescent="0.25">
      <c r="A230" s="34">
        <f>SUM(A229+1)</f>
        <v>143</v>
      </c>
      <c r="B230" s="35" t="s">
        <v>296</v>
      </c>
      <c r="C230" s="36" t="s">
        <v>10</v>
      </c>
      <c r="D230" s="37"/>
      <c r="E230" s="38"/>
      <c r="F230" s="39"/>
    </row>
    <row r="231" spans="1:6" ht="21" x14ac:dyDescent="0.25">
      <c r="A231" s="56" t="s">
        <v>208</v>
      </c>
      <c r="B231" s="57"/>
      <c r="C231" s="57"/>
      <c r="D231" s="57"/>
      <c r="E231" s="57"/>
      <c r="F231" s="58"/>
    </row>
    <row r="232" spans="1:6" ht="124.15" customHeight="1" x14ac:dyDescent="0.25">
      <c r="A232" s="34">
        <f>SUM(A230+1)</f>
        <v>144</v>
      </c>
      <c r="B232" s="35" t="s">
        <v>297</v>
      </c>
      <c r="C232" s="36" t="s">
        <v>10</v>
      </c>
      <c r="D232" s="37">
        <v>1000</v>
      </c>
      <c r="E232" s="38"/>
      <c r="F232" s="39"/>
    </row>
    <row r="233" spans="1:6" ht="55.15" customHeight="1" x14ac:dyDescent="0.25">
      <c r="A233" s="34">
        <f>SUM(A232+1)</f>
        <v>145</v>
      </c>
      <c r="B233" s="35" t="s">
        <v>286</v>
      </c>
      <c r="C233" s="36" t="s">
        <v>10</v>
      </c>
      <c r="D233" s="37">
        <v>2500</v>
      </c>
      <c r="E233" s="38"/>
      <c r="F233" s="39"/>
    </row>
    <row r="234" spans="1:6" ht="21" x14ac:dyDescent="0.25">
      <c r="A234" s="56" t="s">
        <v>209</v>
      </c>
      <c r="B234" s="57"/>
      <c r="C234" s="57"/>
      <c r="D234" s="57"/>
      <c r="E234" s="57"/>
      <c r="F234" s="58"/>
    </row>
    <row r="235" spans="1:6" ht="89.45" customHeight="1" x14ac:dyDescent="0.25">
      <c r="A235" s="34">
        <f>SUM(A233+1)</f>
        <v>146</v>
      </c>
      <c r="B235" s="35" t="s">
        <v>271</v>
      </c>
      <c r="C235" s="36" t="s">
        <v>10</v>
      </c>
      <c r="D235" s="37">
        <v>2500</v>
      </c>
      <c r="E235" s="38"/>
      <c r="F235" s="39"/>
    </row>
    <row r="236" spans="1:6" ht="88.15" customHeight="1" x14ac:dyDescent="0.25">
      <c r="A236" s="34">
        <f t="shared" ref="A236" si="25">SUM(A235+1)</f>
        <v>147</v>
      </c>
      <c r="B236" s="35" t="s">
        <v>374</v>
      </c>
      <c r="C236" s="36" t="s">
        <v>10</v>
      </c>
      <c r="D236" s="37">
        <v>4000</v>
      </c>
      <c r="E236" s="38"/>
      <c r="F236" s="39"/>
    </row>
    <row r="237" spans="1:6" ht="88.15" customHeight="1" x14ac:dyDescent="0.25">
      <c r="A237" s="34">
        <f>SUM(A236+1)</f>
        <v>148</v>
      </c>
      <c r="B237" s="35" t="s">
        <v>365</v>
      </c>
      <c r="C237" s="36" t="s">
        <v>10</v>
      </c>
      <c r="D237" s="37"/>
      <c r="E237" s="38"/>
      <c r="F237" s="39"/>
    </row>
    <row r="238" spans="1:6" ht="88.15" customHeight="1" x14ac:dyDescent="0.25">
      <c r="A238" s="34">
        <f>SUM(A237+1)</f>
        <v>149</v>
      </c>
      <c r="B238" s="35" t="str">
        <f>[1]Specifications!$B$246</f>
        <v>Turkey Ham, Frozen, Fully Cooked Chunked and Formed, (No ground, MST or Comminuted meat) No More than 20% Water Added, (No Turkey Ham Picnics), All ingredients in the product must be listed in the ingredients statement on the label in order of predominance, from highest to lowest amounts in accordance with the USDA Food Safety Inspection Service (FSIS) Food Standards and Labeling Policy. Manufacturer’s letters will NOT be accepted in lieu of labeling.</v>
      </c>
      <c r="C238" s="36" t="s">
        <v>10</v>
      </c>
      <c r="D238" s="37"/>
      <c r="E238" s="38"/>
      <c r="F238" s="39"/>
    </row>
    <row r="239" spans="1:6" ht="103.15" customHeight="1" x14ac:dyDescent="0.25">
      <c r="A239" s="34">
        <f>SUM(A238+1)</f>
        <v>150</v>
      </c>
      <c r="B239" s="35" t="s">
        <v>341</v>
      </c>
      <c r="C239" s="36" t="s">
        <v>10</v>
      </c>
      <c r="D239" s="37"/>
      <c r="E239" s="38"/>
      <c r="F239" s="39"/>
    </row>
    <row r="240" spans="1:6" ht="19.899999999999999" customHeight="1" x14ac:dyDescent="0.25">
      <c r="A240" s="56" t="s">
        <v>210</v>
      </c>
      <c r="B240" s="57"/>
      <c r="C240" s="57"/>
      <c r="D240" s="57"/>
      <c r="E240" s="57"/>
      <c r="F240" s="58"/>
    </row>
    <row r="241" spans="1:6" ht="102.6" customHeight="1" x14ac:dyDescent="0.25">
      <c r="A241" s="34">
        <f>SUM(A239+1)</f>
        <v>151</v>
      </c>
      <c r="B241" s="35" t="s">
        <v>272</v>
      </c>
      <c r="C241" s="36" t="s">
        <v>10</v>
      </c>
      <c r="D241" s="37"/>
      <c r="E241" s="38"/>
      <c r="F241" s="39"/>
    </row>
    <row r="242" spans="1:6" ht="204" customHeight="1" x14ac:dyDescent="0.25">
      <c r="A242" s="34">
        <f t="shared" ref="A242:A244" si="26">SUM(A241+1)</f>
        <v>152</v>
      </c>
      <c r="B242" s="35" t="s">
        <v>273</v>
      </c>
      <c r="C242" s="36" t="s">
        <v>10</v>
      </c>
      <c r="D242" s="37"/>
      <c r="E242" s="38"/>
      <c r="F242" s="39"/>
    </row>
    <row r="243" spans="1:6" ht="210" x14ac:dyDescent="0.25">
      <c r="A243" s="34">
        <f t="shared" si="26"/>
        <v>153</v>
      </c>
      <c r="B243" s="35" t="s">
        <v>274</v>
      </c>
      <c r="C243" s="36" t="s">
        <v>10</v>
      </c>
      <c r="D243" s="37">
        <v>1000</v>
      </c>
      <c r="E243" s="38"/>
      <c r="F243" s="39"/>
    </row>
    <row r="244" spans="1:6" ht="129.6" customHeight="1" x14ac:dyDescent="0.25">
      <c r="A244" s="34">
        <f t="shared" si="26"/>
        <v>154</v>
      </c>
      <c r="B244" s="35" t="s">
        <v>275</v>
      </c>
      <c r="C244" s="36" t="s">
        <v>10</v>
      </c>
      <c r="D244" s="37"/>
      <c r="E244" s="38"/>
      <c r="F244" s="39"/>
    </row>
    <row r="245" spans="1:6" ht="21" x14ac:dyDescent="0.25">
      <c r="A245" s="56" t="s">
        <v>180</v>
      </c>
      <c r="B245" s="57"/>
      <c r="C245" s="57"/>
      <c r="D245" s="57"/>
      <c r="E245" s="57"/>
      <c r="F245" s="58"/>
    </row>
    <row r="246" spans="1:6" ht="90" x14ac:dyDescent="0.25">
      <c r="A246" s="34">
        <f>SUM(A244+1)</f>
        <v>155</v>
      </c>
      <c r="B246" s="35" t="s">
        <v>337</v>
      </c>
      <c r="C246" s="36" t="s">
        <v>10</v>
      </c>
      <c r="D246" s="37"/>
      <c r="E246" s="38"/>
      <c r="F246" s="39"/>
    </row>
    <row r="247" spans="1:6" ht="165" x14ac:dyDescent="0.25">
      <c r="A247" s="34">
        <f t="shared" ref="A247:A249" si="27">SUM(A246+1)</f>
        <v>156</v>
      </c>
      <c r="B247" s="35" t="s">
        <v>276</v>
      </c>
      <c r="C247" s="36" t="s">
        <v>10</v>
      </c>
      <c r="D247" s="37">
        <v>2500</v>
      </c>
      <c r="E247" s="38"/>
      <c r="F247" s="39"/>
    </row>
    <row r="248" spans="1:6" ht="135.6" customHeight="1" x14ac:dyDescent="0.25">
      <c r="A248" s="34">
        <f t="shared" si="27"/>
        <v>157</v>
      </c>
      <c r="B248" s="35" t="s">
        <v>336</v>
      </c>
      <c r="C248" s="36" t="s">
        <v>10</v>
      </c>
      <c r="D248" s="37">
        <v>2500</v>
      </c>
      <c r="E248" s="38"/>
      <c r="F248" s="39"/>
    </row>
    <row r="249" spans="1:6" ht="30" x14ac:dyDescent="0.25">
      <c r="A249" s="34">
        <f t="shared" si="27"/>
        <v>158</v>
      </c>
      <c r="B249" s="35" t="s">
        <v>58</v>
      </c>
      <c r="C249" s="36" t="s">
        <v>10</v>
      </c>
      <c r="D249" s="37">
        <v>600</v>
      </c>
      <c r="E249" s="38"/>
      <c r="F249" s="39"/>
    </row>
    <row r="250" spans="1:6" ht="21" x14ac:dyDescent="0.25">
      <c r="A250" s="56" t="s">
        <v>181</v>
      </c>
      <c r="B250" s="57"/>
      <c r="C250" s="57"/>
      <c r="D250" s="57"/>
      <c r="E250" s="57"/>
      <c r="F250" s="58"/>
    </row>
    <row r="251" spans="1:6" ht="30" x14ac:dyDescent="0.25">
      <c r="A251" s="34">
        <f>SUM(A249+1)</f>
        <v>159</v>
      </c>
      <c r="B251" s="35" t="s">
        <v>277</v>
      </c>
      <c r="C251" s="36" t="s">
        <v>21</v>
      </c>
      <c r="D251" s="37"/>
      <c r="E251" s="38"/>
      <c r="F251" s="39"/>
    </row>
    <row r="252" spans="1:6" ht="30" x14ac:dyDescent="0.25">
      <c r="A252" s="34">
        <f t="shared" ref="A252:A257" si="28">SUM(A251+1)</f>
        <v>160</v>
      </c>
      <c r="B252" s="35" t="s">
        <v>278</v>
      </c>
      <c r="C252" s="36" t="s">
        <v>21</v>
      </c>
      <c r="D252" s="37"/>
      <c r="E252" s="38"/>
      <c r="F252" s="39"/>
    </row>
    <row r="253" spans="1:6" ht="45" x14ac:dyDescent="0.25">
      <c r="A253" s="34">
        <f t="shared" si="28"/>
        <v>161</v>
      </c>
      <c r="B253" s="35" t="s">
        <v>279</v>
      </c>
      <c r="C253" s="36" t="s">
        <v>25</v>
      </c>
      <c r="D253" s="37"/>
      <c r="E253" s="38"/>
      <c r="F253" s="39"/>
    </row>
    <row r="254" spans="1:6" ht="75" x14ac:dyDescent="0.25">
      <c r="A254" s="34">
        <f t="shared" si="28"/>
        <v>162</v>
      </c>
      <c r="B254" s="35" t="s">
        <v>280</v>
      </c>
      <c r="C254" s="36" t="s">
        <v>25</v>
      </c>
      <c r="D254" s="37"/>
      <c r="E254" s="38"/>
      <c r="F254" s="39"/>
    </row>
    <row r="255" spans="1:6" ht="45" x14ac:dyDescent="0.25">
      <c r="A255" s="34">
        <f t="shared" si="28"/>
        <v>163</v>
      </c>
      <c r="B255" s="35" t="s">
        <v>59</v>
      </c>
      <c r="C255" s="36" t="s">
        <v>25</v>
      </c>
      <c r="D255" s="37"/>
      <c r="E255" s="38"/>
      <c r="F255" s="39"/>
    </row>
    <row r="256" spans="1:6" ht="45" x14ac:dyDescent="0.25">
      <c r="A256" s="34">
        <f t="shared" si="28"/>
        <v>164</v>
      </c>
      <c r="B256" s="35" t="s">
        <v>201</v>
      </c>
      <c r="C256" s="36" t="s">
        <v>21</v>
      </c>
      <c r="D256" s="37"/>
      <c r="E256" s="38"/>
      <c r="F256" s="39"/>
    </row>
    <row r="257" spans="1:6" ht="45" x14ac:dyDescent="0.25">
      <c r="A257" s="34">
        <f t="shared" si="28"/>
        <v>165</v>
      </c>
      <c r="B257" s="35" t="s">
        <v>200</v>
      </c>
      <c r="C257" s="36" t="s">
        <v>21</v>
      </c>
      <c r="D257" s="37"/>
      <c r="E257" s="38"/>
      <c r="F257" s="39"/>
    </row>
    <row r="258" spans="1:6" ht="21" x14ac:dyDescent="0.25">
      <c r="A258" s="56" t="s">
        <v>182</v>
      </c>
      <c r="B258" s="57"/>
      <c r="C258" s="57"/>
      <c r="D258" s="57"/>
      <c r="E258" s="57"/>
      <c r="F258" s="58"/>
    </row>
    <row r="259" spans="1:6" ht="60" x14ac:dyDescent="0.25">
      <c r="A259" s="34">
        <f>SUM(A257+1)</f>
        <v>166</v>
      </c>
      <c r="B259" s="35" t="s">
        <v>281</v>
      </c>
      <c r="C259" s="36" t="s">
        <v>21</v>
      </c>
      <c r="D259" s="37"/>
      <c r="E259" s="38"/>
      <c r="F259" s="39"/>
    </row>
    <row r="260" spans="1:6" ht="75" x14ac:dyDescent="0.25">
      <c r="A260" s="34">
        <f t="shared" ref="A260:A261" si="29">SUM(A259+1)</f>
        <v>167</v>
      </c>
      <c r="B260" s="35" t="s">
        <v>282</v>
      </c>
      <c r="C260" s="36" t="s">
        <v>21</v>
      </c>
      <c r="D260" s="37"/>
      <c r="E260" s="38"/>
      <c r="F260" s="39"/>
    </row>
    <row r="261" spans="1:6" ht="90" x14ac:dyDescent="0.25">
      <c r="A261" s="34">
        <f t="shared" si="29"/>
        <v>168</v>
      </c>
      <c r="B261" s="35" t="s">
        <v>340</v>
      </c>
      <c r="C261" s="36" t="s">
        <v>21</v>
      </c>
      <c r="D261" s="37"/>
      <c r="E261" s="38"/>
      <c r="F261" s="39"/>
    </row>
    <row r="262" spans="1:6" ht="21" x14ac:dyDescent="0.25">
      <c r="A262" s="56" t="s">
        <v>183</v>
      </c>
      <c r="B262" s="57"/>
      <c r="C262" s="57"/>
      <c r="D262" s="57"/>
      <c r="E262" s="57"/>
      <c r="F262" s="58"/>
    </row>
    <row r="263" spans="1:6" x14ac:dyDescent="0.25">
      <c r="A263" s="34">
        <f>SUM(A261+1)</f>
        <v>169</v>
      </c>
      <c r="B263" s="35" t="s">
        <v>60</v>
      </c>
      <c r="C263" s="36" t="s">
        <v>17</v>
      </c>
      <c r="D263" s="37"/>
      <c r="E263" s="38"/>
      <c r="F263" s="39"/>
    </row>
    <row r="264" spans="1:6" x14ac:dyDescent="0.25">
      <c r="A264" s="34">
        <f t="shared" ref="A264:A269" si="30">SUM(A263+1)</f>
        <v>170</v>
      </c>
      <c r="B264" s="35" t="s">
        <v>61</v>
      </c>
      <c r="C264" s="36" t="s">
        <v>17</v>
      </c>
      <c r="D264" s="37"/>
      <c r="E264" s="38"/>
      <c r="F264" s="39"/>
    </row>
    <row r="265" spans="1:6" x14ac:dyDescent="0.25">
      <c r="A265" s="34">
        <f t="shared" si="30"/>
        <v>171</v>
      </c>
      <c r="B265" s="35" t="s">
        <v>62</v>
      </c>
      <c r="C265" s="36" t="s">
        <v>17</v>
      </c>
      <c r="D265" s="37"/>
      <c r="E265" s="38"/>
      <c r="F265" s="39"/>
    </row>
    <row r="266" spans="1:6" x14ac:dyDescent="0.25">
      <c r="A266" s="34">
        <f t="shared" si="30"/>
        <v>172</v>
      </c>
      <c r="B266" s="35" t="s">
        <v>63</v>
      </c>
      <c r="C266" s="36" t="s">
        <v>17</v>
      </c>
      <c r="D266" s="37"/>
      <c r="E266" s="38"/>
      <c r="F266" s="39"/>
    </row>
    <row r="267" spans="1:6" ht="30" x14ac:dyDescent="0.25">
      <c r="A267" s="34">
        <f t="shared" si="30"/>
        <v>173</v>
      </c>
      <c r="B267" s="35" t="s">
        <v>64</v>
      </c>
      <c r="C267" s="36" t="s">
        <v>17</v>
      </c>
      <c r="D267" s="37"/>
      <c r="E267" s="38"/>
      <c r="F267" s="39"/>
    </row>
    <row r="268" spans="1:6" ht="45" x14ac:dyDescent="0.25">
      <c r="A268" s="34">
        <f t="shared" si="30"/>
        <v>174</v>
      </c>
      <c r="B268" s="35" t="s">
        <v>386</v>
      </c>
      <c r="C268" s="36" t="s">
        <v>21</v>
      </c>
      <c r="D268" s="37">
        <v>50000</v>
      </c>
      <c r="E268" s="38"/>
      <c r="F268" s="39"/>
    </row>
    <row r="269" spans="1:6" x14ac:dyDescent="0.25">
      <c r="A269" s="34">
        <f t="shared" si="30"/>
        <v>175</v>
      </c>
      <c r="B269" s="35" t="s">
        <v>65</v>
      </c>
      <c r="C269" s="36" t="s">
        <v>10</v>
      </c>
      <c r="D269" s="37"/>
      <c r="E269" s="38"/>
      <c r="F269" s="39"/>
    </row>
    <row r="270" spans="1:6" ht="21" x14ac:dyDescent="0.25">
      <c r="A270" s="56" t="s">
        <v>305</v>
      </c>
      <c r="B270" s="57"/>
      <c r="C270" s="57"/>
      <c r="D270" s="57"/>
      <c r="E270" s="57"/>
      <c r="F270" s="58"/>
    </row>
    <row r="271" spans="1:6" x14ac:dyDescent="0.25">
      <c r="A271" s="34">
        <f>SUM(A269+2)</f>
        <v>177</v>
      </c>
      <c r="B271" s="35" t="s">
        <v>366</v>
      </c>
      <c r="C271" s="36" t="s">
        <v>21</v>
      </c>
      <c r="D271" s="37">
        <v>5040</v>
      </c>
      <c r="E271" s="38"/>
      <c r="F271" s="39"/>
    </row>
    <row r="272" spans="1:6" x14ac:dyDescent="0.25">
      <c r="A272" s="34">
        <f>SUM(A271+1)</f>
        <v>178</v>
      </c>
      <c r="B272" s="35" t="s">
        <v>378</v>
      </c>
      <c r="C272" s="36" t="s">
        <v>17</v>
      </c>
      <c r="D272" s="37">
        <v>40</v>
      </c>
      <c r="E272" s="38"/>
      <c r="F272" s="39"/>
    </row>
    <row r="273" spans="1:6" x14ac:dyDescent="0.25">
      <c r="A273" s="34">
        <f t="shared" ref="A273" si="31">SUM(A271+2)</f>
        <v>179</v>
      </c>
      <c r="B273" s="35" t="s">
        <v>306</v>
      </c>
      <c r="C273" s="36" t="s">
        <v>10</v>
      </c>
      <c r="D273" s="37"/>
      <c r="E273" s="38"/>
      <c r="F273" s="39"/>
    </row>
    <row r="274" spans="1:6" ht="21" x14ac:dyDescent="0.25">
      <c r="A274" s="56" t="s">
        <v>184</v>
      </c>
      <c r="B274" s="57"/>
      <c r="C274" s="57"/>
      <c r="D274" s="57"/>
      <c r="E274" s="57"/>
      <c r="F274" s="58"/>
    </row>
    <row r="275" spans="1:6" ht="30" x14ac:dyDescent="0.25">
      <c r="A275" s="34">
        <f>SUM(A273+1)</f>
        <v>180</v>
      </c>
      <c r="B275" s="35" t="s">
        <v>66</v>
      </c>
      <c r="C275" s="36" t="s">
        <v>17</v>
      </c>
      <c r="D275" s="37"/>
      <c r="E275" s="38"/>
      <c r="F275" s="39"/>
    </row>
    <row r="276" spans="1:6" ht="30" x14ac:dyDescent="0.25">
      <c r="A276" s="34">
        <f t="shared" ref="A276:A294" si="32">SUM(A275+1)</f>
        <v>181</v>
      </c>
      <c r="B276" s="35" t="s">
        <v>67</v>
      </c>
      <c r="C276" s="36" t="s">
        <v>17</v>
      </c>
      <c r="D276" s="37"/>
      <c r="E276" s="38"/>
      <c r="F276" s="39"/>
    </row>
    <row r="277" spans="1:6" ht="30" x14ac:dyDescent="0.25">
      <c r="A277" s="34">
        <f t="shared" si="32"/>
        <v>182</v>
      </c>
      <c r="B277" s="35" t="s">
        <v>68</v>
      </c>
      <c r="C277" s="36" t="s">
        <v>17</v>
      </c>
      <c r="D277" s="37"/>
      <c r="E277" s="38"/>
      <c r="F277" s="39"/>
    </row>
    <row r="278" spans="1:6" ht="30" x14ac:dyDescent="0.25">
      <c r="A278" s="34">
        <f t="shared" si="32"/>
        <v>183</v>
      </c>
      <c r="B278" s="35" t="s">
        <v>69</v>
      </c>
      <c r="C278" s="36" t="s">
        <v>17</v>
      </c>
      <c r="D278" s="37"/>
      <c r="E278" s="38"/>
      <c r="F278" s="39"/>
    </row>
    <row r="279" spans="1:6" x14ac:dyDescent="0.25">
      <c r="A279" s="34">
        <f t="shared" si="32"/>
        <v>184</v>
      </c>
      <c r="B279" s="35" t="s">
        <v>70</v>
      </c>
      <c r="C279" s="36" t="s">
        <v>17</v>
      </c>
      <c r="D279" s="37"/>
      <c r="E279" s="38"/>
      <c r="F279" s="39"/>
    </row>
    <row r="280" spans="1:6" x14ac:dyDescent="0.25">
      <c r="A280" s="34">
        <f t="shared" si="32"/>
        <v>185</v>
      </c>
      <c r="B280" s="35" t="s">
        <v>71</v>
      </c>
      <c r="C280" s="36" t="s">
        <v>72</v>
      </c>
      <c r="D280" s="37"/>
      <c r="E280" s="38"/>
      <c r="F280" s="39"/>
    </row>
    <row r="281" spans="1:6" x14ac:dyDescent="0.25">
      <c r="A281" s="34">
        <f t="shared" si="32"/>
        <v>186</v>
      </c>
      <c r="B281" s="35" t="s">
        <v>73</v>
      </c>
      <c r="C281" s="36" t="s">
        <v>21</v>
      </c>
      <c r="D281" s="37"/>
      <c r="E281" s="38"/>
      <c r="F281" s="39"/>
    </row>
    <row r="282" spans="1:6" x14ac:dyDescent="0.25">
      <c r="A282" s="34">
        <f t="shared" si="32"/>
        <v>187</v>
      </c>
      <c r="B282" s="35" t="s">
        <v>74</v>
      </c>
      <c r="C282" s="36" t="s">
        <v>10</v>
      </c>
      <c r="D282" s="37"/>
      <c r="E282" s="38"/>
      <c r="F282" s="39"/>
    </row>
    <row r="283" spans="1:6" ht="30" x14ac:dyDescent="0.25">
      <c r="A283" s="34">
        <f t="shared" si="32"/>
        <v>188</v>
      </c>
      <c r="B283" s="35" t="s">
        <v>75</v>
      </c>
      <c r="C283" s="36" t="s">
        <v>17</v>
      </c>
      <c r="D283" s="37"/>
      <c r="E283" s="38"/>
      <c r="F283" s="39"/>
    </row>
    <row r="284" spans="1:6" x14ac:dyDescent="0.25">
      <c r="A284" s="34">
        <f t="shared" si="32"/>
        <v>189</v>
      </c>
      <c r="B284" s="35" t="s">
        <v>76</v>
      </c>
      <c r="C284" s="36" t="s">
        <v>21</v>
      </c>
      <c r="D284" s="37"/>
      <c r="E284" s="38"/>
      <c r="F284" s="39"/>
    </row>
    <row r="285" spans="1:6" x14ac:dyDescent="0.25">
      <c r="A285" s="34">
        <f t="shared" si="32"/>
        <v>190</v>
      </c>
      <c r="B285" s="35" t="s">
        <v>77</v>
      </c>
      <c r="C285" s="36" t="s">
        <v>17</v>
      </c>
      <c r="D285" s="37"/>
      <c r="E285" s="38"/>
      <c r="F285" s="39"/>
    </row>
    <row r="286" spans="1:6" x14ac:dyDescent="0.25">
      <c r="A286" s="34">
        <f t="shared" si="32"/>
        <v>191</v>
      </c>
      <c r="B286" s="35" t="s">
        <v>78</v>
      </c>
      <c r="C286" s="36" t="s">
        <v>17</v>
      </c>
      <c r="D286" s="37"/>
      <c r="E286" s="38"/>
      <c r="F286" s="39"/>
    </row>
    <row r="287" spans="1:6" ht="30" x14ac:dyDescent="0.25">
      <c r="A287" s="34">
        <f t="shared" si="32"/>
        <v>192</v>
      </c>
      <c r="B287" s="35" t="s">
        <v>79</v>
      </c>
      <c r="C287" s="36" t="s">
        <v>17</v>
      </c>
      <c r="D287" s="37"/>
      <c r="E287" s="38"/>
      <c r="F287" s="39"/>
    </row>
    <row r="288" spans="1:6" ht="30" x14ac:dyDescent="0.25">
      <c r="A288" s="34">
        <f t="shared" si="32"/>
        <v>193</v>
      </c>
      <c r="B288" s="35" t="s">
        <v>80</v>
      </c>
      <c r="C288" s="36" t="s">
        <v>17</v>
      </c>
      <c r="D288" s="37"/>
      <c r="E288" s="38"/>
      <c r="F288" s="39"/>
    </row>
    <row r="289" spans="1:6" ht="30" x14ac:dyDescent="0.25">
      <c r="A289" s="34">
        <f t="shared" si="32"/>
        <v>194</v>
      </c>
      <c r="B289" s="35" t="s">
        <v>81</v>
      </c>
      <c r="C289" s="36" t="s">
        <v>17</v>
      </c>
      <c r="D289" s="37"/>
      <c r="E289" s="38"/>
      <c r="F289" s="39"/>
    </row>
    <row r="290" spans="1:6" x14ac:dyDescent="0.25">
      <c r="A290" s="34">
        <f t="shared" si="32"/>
        <v>195</v>
      </c>
      <c r="B290" s="35" t="s">
        <v>82</v>
      </c>
      <c r="C290" s="36" t="s">
        <v>17</v>
      </c>
      <c r="D290" s="37"/>
      <c r="E290" s="38"/>
      <c r="F290" s="39"/>
    </row>
    <row r="291" spans="1:6" x14ac:dyDescent="0.25">
      <c r="A291" s="34">
        <f t="shared" si="32"/>
        <v>196</v>
      </c>
      <c r="B291" s="35" t="s">
        <v>83</v>
      </c>
      <c r="C291" s="36" t="s">
        <v>17</v>
      </c>
      <c r="D291" s="37"/>
      <c r="E291" s="38"/>
      <c r="F291" s="39"/>
    </row>
    <row r="292" spans="1:6" x14ac:dyDescent="0.25">
      <c r="A292" s="34">
        <f t="shared" si="32"/>
        <v>197</v>
      </c>
      <c r="B292" s="35" t="s">
        <v>84</v>
      </c>
      <c r="C292" s="36" t="s">
        <v>17</v>
      </c>
      <c r="D292" s="37"/>
      <c r="E292" s="38"/>
      <c r="F292" s="39"/>
    </row>
    <row r="293" spans="1:6" x14ac:dyDescent="0.25">
      <c r="A293" s="34">
        <f t="shared" si="32"/>
        <v>198</v>
      </c>
      <c r="B293" s="35" t="s">
        <v>85</v>
      </c>
      <c r="C293" s="36" t="s">
        <v>17</v>
      </c>
      <c r="D293" s="37"/>
      <c r="E293" s="38"/>
      <c r="F293" s="39"/>
    </row>
    <row r="294" spans="1:6" x14ac:dyDescent="0.25">
      <c r="A294" s="34">
        <f t="shared" si="32"/>
        <v>199</v>
      </c>
      <c r="B294" s="35" t="s">
        <v>86</v>
      </c>
      <c r="C294" s="36" t="s">
        <v>21</v>
      </c>
      <c r="D294" s="37"/>
      <c r="E294" s="38"/>
      <c r="F294" s="39"/>
    </row>
    <row r="295" spans="1:6" ht="21" x14ac:dyDescent="0.25">
      <c r="A295" s="56" t="s">
        <v>185</v>
      </c>
      <c r="B295" s="57"/>
      <c r="C295" s="57"/>
      <c r="D295" s="57"/>
      <c r="E295" s="57"/>
      <c r="F295" s="58"/>
    </row>
    <row r="296" spans="1:6" ht="75" x14ac:dyDescent="0.25">
      <c r="A296" s="34">
        <f>SUM(A294+1)</f>
        <v>200</v>
      </c>
      <c r="B296" s="35" t="s">
        <v>192</v>
      </c>
      <c r="C296" s="36" t="s">
        <v>10</v>
      </c>
      <c r="D296" s="37"/>
      <c r="E296" s="38"/>
      <c r="F296" s="39"/>
    </row>
    <row r="297" spans="1:6" ht="180" x14ac:dyDescent="0.25">
      <c r="A297" s="34">
        <f t="shared" ref="A297:A319" si="33">SUM(A296+1)</f>
        <v>201</v>
      </c>
      <c r="B297" s="35" t="s">
        <v>189</v>
      </c>
      <c r="C297" s="36" t="s">
        <v>10</v>
      </c>
      <c r="D297" s="37"/>
      <c r="E297" s="38"/>
      <c r="F297" s="39"/>
    </row>
    <row r="298" spans="1:6" ht="75" x14ac:dyDescent="0.25">
      <c r="A298" s="34">
        <f t="shared" si="33"/>
        <v>202</v>
      </c>
      <c r="B298" s="35" t="s">
        <v>87</v>
      </c>
      <c r="C298" s="36" t="s">
        <v>10</v>
      </c>
      <c r="D298" s="37"/>
      <c r="E298" s="38"/>
      <c r="F298" s="39"/>
    </row>
    <row r="299" spans="1:6" ht="75" x14ac:dyDescent="0.25">
      <c r="A299" s="34">
        <f t="shared" si="33"/>
        <v>203</v>
      </c>
      <c r="B299" s="35" t="s">
        <v>88</v>
      </c>
      <c r="C299" s="36" t="s">
        <v>10</v>
      </c>
      <c r="D299" s="37"/>
      <c r="E299" s="38"/>
      <c r="F299" s="39"/>
    </row>
    <row r="300" spans="1:6" ht="45" x14ac:dyDescent="0.25">
      <c r="A300" s="34">
        <f t="shared" si="33"/>
        <v>204</v>
      </c>
      <c r="B300" s="35" t="s">
        <v>89</v>
      </c>
      <c r="C300" s="36" t="s">
        <v>10</v>
      </c>
      <c r="D300" s="37"/>
      <c r="E300" s="38"/>
      <c r="F300" s="39"/>
    </row>
    <row r="301" spans="1:6" ht="82.15" customHeight="1" x14ac:dyDescent="0.25">
      <c r="A301" s="34">
        <f t="shared" si="33"/>
        <v>205</v>
      </c>
      <c r="B301" s="35" t="s">
        <v>90</v>
      </c>
      <c r="C301" s="36" t="s">
        <v>10</v>
      </c>
      <c r="D301" s="37"/>
      <c r="E301" s="38"/>
      <c r="F301" s="39"/>
    </row>
    <row r="302" spans="1:6" ht="117.6" customHeight="1" x14ac:dyDescent="0.25">
      <c r="A302" s="34">
        <f t="shared" si="33"/>
        <v>206</v>
      </c>
      <c r="B302" s="35" t="s">
        <v>91</v>
      </c>
      <c r="C302" s="36" t="s">
        <v>10</v>
      </c>
      <c r="D302" s="37"/>
      <c r="E302" s="38"/>
      <c r="F302" s="39"/>
    </row>
    <row r="303" spans="1:6" ht="30" x14ac:dyDescent="0.25">
      <c r="A303" s="34">
        <f t="shared" si="33"/>
        <v>207</v>
      </c>
      <c r="B303" s="35" t="s">
        <v>92</v>
      </c>
      <c r="C303" s="36" t="s">
        <v>17</v>
      </c>
      <c r="D303" s="37"/>
      <c r="E303" s="38"/>
      <c r="F303" s="39"/>
    </row>
    <row r="304" spans="1:6" ht="87.6" customHeight="1" x14ac:dyDescent="0.25">
      <c r="A304" s="34">
        <f t="shared" si="33"/>
        <v>208</v>
      </c>
      <c r="B304" s="35" t="s">
        <v>190</v>
      </c>
      <c r="C304" s="36" t="s">
        <v>10</v>
      </c>
      <c r="D304" s="37"/>
      <c r="E304" s="38"/>
      <c r="F304" s="39"/>
    </row>
    <row r="305" spans="1:6" ht="103.15" customHeight="1" x14ac:dyDescent="0.25">
      <c r="A305" s="34">
        <f t="shared" si="33"/>
        <v>209</v>
      </c>
      <c r="B305" s="35" t="s">
        <v>193</v>
      </c>
      <c r="C305" s="36" t="s">
        <v>10</v>
      </c>
      <c r="D305" s="37"/>
      <c r="E305" s="38"/>
      <c r="F305" s="39"/>
    </row>
    <row r="306" spans="1:6" ht="73.900000000000006" customHeight="1" x14ac:dyDescent="0.25">
      <c r="A306" s="34">
        <f>SUM(A305+1)</f>
        <v>210</v>
      </c>
      <c r="B306" s="35" t="s">
        <v>93</v>
      </c>
      <c r="C306" s="36" t="s">
        <v>17</v>
      </c>
      <c r="D306" s="37"/>
      <c r="E306" s="38"/>
      <c r="F306" s="39"/>
    </row>
    <row r="307" spans="1:6" ht="102.6" customHeight="1" x14ac:dyDescent="0.25">
      <c r="A307" s="34">
        <f>SUM(A306+1)</f>
        <v>211</v>
      </c>
      <c r="B307" s="35" t="s">
        <v>334</v>
      </c>
      <c r="C307" s="36" t="s">
        <v>10</v>
      </c>
      <c r="D307" s="37"/>
      <c r="E307" s="38"/>
      <c r="F307" s="39"/>
    </row>
    <row r="308" spans="1:6" ht="132" customHeight="1" x14ac:dyDescent="0.25">
      <c r="A308" s="34">
        <f>SUM(A307+1)</f>
        <v>212</v>
      </c>
      <c r="B308" s="35" t="s">
        <v>333</v>
      </c>
      <c r="C308" s="36" t="s">
        <v>10</v>
      </c>
      <c r="D308" s="37"/>
      <c r="E308" s="38"/>
      <c r="F308" s="39"/>
    </row>
    <row r="309" spans="1:6" ht="87.6" customHeight="1" x14ac:dyDescent="0.25">
      <c r="A309" s="34">
        <f>SUM(A308+1)</f>
        <v>213</v>
      </c>
      <c r="B309" s="35" t="s">
        <v>94</v>
      </c>
      <c r="C309" s="36" t="s">
        <v>17</v>
      </c>
      <c r="D309" s="37"/>
      <c r="E309" s="38"/>
      <c r="F309" s="39"/>
    </row>
    <row r="310" spans="1:6" ht="103.15" customHeight="1" x14ac:dyDescent="0.25">
      <c r="A310" s="34">
        <f t="shared" si="33"/>
        <v>214</v>
      </c>
      <c r="B310" s="35" t="s">
        <v>95</v>
      </c>
      <c r="C310" s="36" t="s">
        <v>10</v>
      </c>
      <c r="D310" s="37"/>
      <c r="E310" s="38"/>
      <c r="F310" s="39"/>
    </row>
    <row r="311" spans="1:6" ht="105" customHeight="1" x14ac:dyDescent="0.25">
      <c r="A311" s="34">
        <f t="shared" si="33"/>
        <v>215</v>
      </c>
      <c r="B311" s="35" t="s">
        <v>188</v>
      </c>
      <c r="C311" s="36" t="s">
        <v>10</v>
      </c>
      <c r="D311" s="37"/>
      <c r="E311" s="38"/>
      <c r="F311" s="39"/>
    </row>
    <row r="312" spans="1:6" ht="93" customHeight="1" x14ac:dyDescent="0.25">
      <c r="A312" s="34">
        <f t="shared" si="33"/>
        <v>216</v>
      </c>
      <c r="B312" s="35" t="s">
        <v>191</v>
      </c>
      <c r="C312" s="36" t="s">
        <v>10</v>
      </c>
      <c r="D312" s="37"/>
      <c r="E312" s="38"/>
      <c r="F312" s="39"/>
    </row>
    <row r="313" spans="1:6" ht="88.15" customHeight="1" x14ac:dyDescent="0.25">
      <c r="A313" s="34">
        <f t="shared" si="33"/>
        <v>217</v>
      </c>
      <c r="B313" s="35" t="s">
        <v>96</v>
      </c>
      <c r="C313" s="36" t="s">
        <v>10</v>
      </c>
      <c r="D313" s="37"/>
      <c r="E313" s="38"/>
      <c r="F313" s="39"/>
    </row>
    <row r="314" spans="1:6" ht="89.45" customHeight="1" x14ac:dyDescent="0.25">
      <c r="A314" s="34">
        <f t="shared" si="33"/>
        <v>218</v>
      </c>
      <c r="B314" s="35" t="s">
        <v>97</v>
      </c>
      <c r="C314" s="36" t="s">
        <v>10</v>
      </c>
      <c r="D314" s="37"/>
      <c r="E314" s="38"/>
      <c r="F314" s="39"/>
    </row>
    <row r="315" spans="1:6" ht="86.45" customHeight="1" x14ac:dyDescent="0.25">
      <c r="A315" s="34">
        <f t="shared" si="33"/>
        <v>219</v>
      </c>
      <c r="B315" s="35" t="s">
        <v>98</v>
      </c>
      <c r="C315" s="36" t="s">
        <v>10</v>
      </c>
      <c r="D315" s="37"/>
      <c r="E315" s="38"/>
      <c r="F315" s="39"/>
    </row>
    <row r="316" spans="1:6" ht="103.15" customHeight="1" x14ac:dyDescent="0.25">
      <c r="A316" s="34">
        <f t="shared" si="33"/>
        <v>220</v>
      </c>
      <c r="B316" s="35" t="s">
        <v>99</v>
      </c>
      <c r="C316" s="36" t="s">
        <v>10</v>
      </c>
      <c r="D316" s="37"/>
      <c r="E316" s="38"/>
      <c r="F316" s="39"/>
    </row>
    <row r="317" spans="1:6" ht="90" customHeight="1" x14ac:dyDescent="0.25">
      <c r="A317" s="34">
        <f t="shared" si="33"/>
        <v>221</v>
      </c>
      <c r="B317" s="35" t="s">
        <v>100</v>
      </c>
      <c r="C317" s="36" t="s">
        <v>17</v>
      </c>
      <c r="D317" s="37"/>
      <c r="E317" s="38"/>
      <c r="F317" s="39"/>
    </row>
    <row r="318" spans="1:6" ht="59.45" customHeight="1" x14ac:dyDescent="0.25">
      <c r="A318" s="34">
        <f t="shared" si="33"/>
        <v>222</v>
      </c>
      <c r="B318" s="35" t="s">
        <v>101</v>
      </c>
      <c r="C318" s="36" t="s">
        <v>17</v>
      </c>
      <c r="D318" s="37"/>
      <c r="E318" s="38"/>
      <c r="F318" s="39"/>
    </row>
    <row r="319" spans="1:6" ht="195" x14ac:dyDescent="0.25">
      <c r="A319" s="34">
        <f t="shared" si="33"/>
        <v>223</v>
      </c>
      <c r="B319" s="35" t="s">
        <v>287</v>
      </c>
      <c r="C319" s="36" t="s">
        <v>17</v>
      </c>
      <c r="D319" s="37"/>
      <c r="E319" s="38"/>
      <c r="F319" s="39"/>
    </row>
    <row r="320" spans="1:6" ht="21" x14ac:dyDescent="0.25">
      <c r="A320" s="50"/>
      <c r="B320" s="51"/>
      <c r="C320" s="51"/>
      <c r="D320" s="51"/>
      <c r="E320" s="51"/>
      <c r="F320" s="51"/>
    </row>
    <row r="321" spans="1:6" x14ac:dyDescent="0.25">
      <c r="A321" s="34">
        <f>SUM(A319+1)</f>
        <v>224</v>
      </c>
      <c r="B321" s="35" t="s">
        <v>102</v>
      </c>
      <c r="C321" s="36"/>
      <c r="D321" s="36"/>
      <c r="E321" s="38"/>
      <c r="F321" s="39"/>
    </row>
    <row r="322" spans="1:6" x14ac:dyDescent="0.25">
      <c r="A322" s="52">
        <f t="shared" ref="A322:A326" si="34">SUM(A321+1)</f>
        <v>225</v>
      </c>
      <c r="B322" s="53" t="s">
        <v>102</v>
      </c>
      <c r="C322" s="52"/>
      <c r="D322" s="52"/>
      <c r="E322" s="54"/>
      <c r="F322" s="55"/>
    </row>
    <row r="323" spans="1:6" x14ac:dyDescent="0.25">
      <c r="A323" s="36">
        <f t="shared" si="34"/>
        <v>226</v>
      </c>
      <c r="B323" s="35" t="s">
        <v>102</v>
      </c>
      <c r="C323" s="36"/>
      <c r="D323" s="36"/>
      <c r="E323" s="38"/>
      <c r="F323" s="39"/>
    </row>
    <row r="324" spans="1:6" x14ac:dyDescent="0.25">
      <c r="A324" s="36">
        <f t="shared" si="34"/>
        <v>227</v>
      </c>
      <c r="B324" s="35" t="s">
        <v>102</v>
      </c>
      <c r="C324" s="36"/>
      <c r="D324" s="36"/>
      <c r="E324" s="38"/>
      <c r="F324" s="39"/>
    </row>
    <row r="325" spans="1:6" x14ac:dyDescent="0.25">
      <c r="A325" s="36">
        <f t="shared" si="34"/>
        <v>228</v>
      </c>
      <c r="B325" s="35" t="s">
        <v>102</v>
      </c>
      <c r="C325" s="36"/>
      <c r="D325" s="36"/>
      <c r="E325" s="38"/>
      <c r="F325" s="39"/>
    </row>
    <row r="326" spans="1:6" x14ac:dyDescent="0.25">
      <c r="A326" s="36">
        <f t="shared" si="34"/>
        <v>229</v>
      </c>
      <c r="B326" s="35" t="s">
        <v>102</v>
      </c>
      <c r="C326" s="36"/>
      <c r="D326" s="36"/>
      <c r="E326" s="38"/>
      <c r="F326" s="39"/>
    </row>
    <row r="327" spans="1:6" x14ac:dyDescent="0.25">
      <c r="A327" s="31"/>
      <c r="B327" s="32"/>
      <c r="C327" s="31"/>
      <c r="D327" s="31"/>
      <c r="E327" s="33"/>
      <c r="F327" s="33"/>
    </row>
    <row r="328" spans="1:6" x14ac:dyDescent="0.25">
      <c r="B328" s="32"/>
      <c r="C328" s="31"/>
      <c r="D328" s="31"/>
      <c r="E328" s="33"/>
      <c r="F328" s="33"/>
    </row>
  </sheetData>
  <mergeCells count="37">
    <mergeCell ref="A52:F52"/>
    <mergeCell ref="A3:F3"/>
    <mergeCell ref="A25:F25"/>
    <mergeCell ref="A6:F6"/>
    <mergeCell ref="A28:F28"/>
    <mergeCell ref="A36:F36"/>
    <mergeCell ref="A15:F15"/>
    <mergeCell ref="A125:F125"/>
    <mergeCell ref="A153:F153"/>
    <mergeCell ref="A141:F141"/>
    <mergeCell ref="A75:F75"/>
    <mergeCell ref="A80:F80"/>
    <mergeCell ref="A96:F96"/>
    <mergeCell ref="A107:F107"/>
    <mergeCell ref="A110:F110"/>
    <mergeCell ref="A60:F60"/>
    <mergeCell ref="A63:F63"/>
    <mergeCell ref="A67:F67"/>
    <mergeCell ref="A71:F71"/>
    <mergeCell ref="A118:F118"/>
    <mergeCell ref="A274:F274"/>
    <mergeCell ref="A295:F295"/>
    <mergeCell ref="A234:F234"/>
    <mergeCell ref="A240:F240"/>
    <mergeCell ref="A245:F245"/>
    <mergeCell ref="A250:F250"/>
    <mergeCell ref="A258:F258"/>
    <mergeCell ref="A262:F262"/>
    <mergeCell ref="A270:F270"/>
    <mergeCell ref="A220:F220"/>
    <mergeCell ref="A228:F228"/>
    <mergeCell ref="A231:F231"/>
    <mergeCell ref="A163:F163"/>
    <mergeCell ref="A174:F174"/>
    <mergeCell ref="A176:F176"/>
    <mergeCell ref="A209:F209"/>
    <mergeCell ref="A213:F213"/>
  </mergeCells>
  <phoneticPr fontId="16" type="noConversion"/>
  <conditionalFormatting sqref="A7:F14 A37:F51">
    <cfRule type="expression" dxfId="34" priority="38">
      <formula>$D7&lt;&gt;""</formula>
    </cfRule>
  </conditionalFormatting>
  <conditionalFormatting sqref="A16:F23">
    <cfRule type="expression" dxfId="33" priority="37">
      <formula>$D16&lt;&gt;""</formula>
    </cfRule>
  </conditionalFormatting>
  <conditionalFormatting sqref="A26:F27">
    <cfRule type="expression" dxfId="32" priority="36">
      <formula>$D26&lt;&gt;""</formula>
    </cfRule>
  </conditionalFormatting>
  <conditionalFormatting sqref="A29:F35">
    <cfRule type="expression" dxfId="31" priority="35">
      <formula>$D29&lt;&gt;""</formula>
    </cfRule>
  </conditionalFormatting>
  <conditionalFormatting sqref="A53:F59">
    <cfRule type="expression" dxfId="30" priority="33">
      <formula>$D53&lt;&gt;""</formula>
    </cfRule>
  </conditionalFormatting>
  <conditionalFormatting sqref="A61:F62">
    <cfRule type="expression" dxfId="29" priority="32">
      <formula>$D61&lt;&gt;""</formula>
    </cfRule>
  </conditionalFormatting>
  <conditionalFormatting sqref="A64:F65">
    <cfRule type="expression" dxfId="28" priority="31">
      <formula>$D64&lt;&gt;""</formula>
    </cfRule>
  </conditionalFormatting>
  <conditionalFormatting sqref="A68:F70">
    <cfRule type="expression" dxfId="27" priority="30">
      <formula>$D68&lt;&gt;""</formula>
    </cfRule>
  </conditionalFormatting>
  <conditionalFormatting sqref="A72:F74">
    <cfRule type="expression" dxfId="26" priority="29">
      <formula>$D72&lt;&gt;""</formula>
    </cfRule>
  </conditionalFormatting>
  <conditionalFormatting sqref="A76:F79">
    <cfRule type="expression" dxfId="25" priority="28">
      <formula>$D76&lt;&gt;""</formula>
    </cfRule>
  </conditionalFormatting>
  <conditionalFormatting sqref="A81:F95">
    <cfRule type="expression" dxfId="24" priority="27">
      <formula>$D81&lt;&gt;""</formula>
    </cfRule>
  </conditionalFormatting>
  <conditionalFormatting sqref="A97:F106">
    <cfRule type="expression" dxfId="23" priority="26">
      <formula>$D97&lt;&gt;""</formula>
    </cfRule>
  </conditionalFormatting>
  <conditionalFormatting sqref="A108:F109">
    <cfRule type="expression" dxfId="22" priority="25">
      <formula>$D108&lt;&gt;""</formula>
    </cfRule>
  </conditionalFormatting>
  <conditionalFormatting sqref="A111:F117">
    <cfRule type="expression" dxfId="21" priority="24">
      <formula>$D111&lt;&gt;""</formula>
    </cfRule>
  </conditionalFormatting>
  <conditionalFormatting sqref="A119:F124">
    <cfRule type="expression" dxfId="20" priority="23">
      <formula>$D119&lt;&gt;""</formula>
    </cfRule>
  </conditionalFormatting>
  <conditionalFormatting sqref="A126:F140">
    <cfRule type="expression" dxfId="19" priority="22">
      <formula>$D126&lt;&gt;""</formula>
    </cfRule>
  </conditionalFormatting>
  <conditionalFormatting sqref="A142:F152">
    <cfRule type="expression" dxfId="18" priority="20">
      <formula>$D142&lt;&gt;""</formula>
    </cfRule>
  </conditionalFormatting>
  <conditionalFormatting sqref="A154:F162">
    <cfRule type="expression" dxfId="17" priority="19">
      <formula>$D154&lt;&gt;""</formula>
    </cfRule>
  </conditionalFormatting>
  <conditionalFormatting sqref="A164:F173">
    <cfRule type="expression" dxfId="16" priority="18">
      <formula>$D164&lt;&gt;""</formula>
    </cfRule>
  </conditionalFormatting>
  <conditionalFormatting sqref="A175:F175">
    <cfRule type="expression" dxfId="15" priority="17">
      <formula>$D175&lt;&gt;""</formula>
    </cfRule>
  </conditionalFormatting>
  <conditionalFormatting sqref="A177:F208">
    <cfRule type="expression" dxfId="14" priority="16">
      <formula>$D177&lt;&gt;""</formula>
    </cfRule>
  </conditionalFormatting>
  <conditionalFormatting sqref="A210:F212">
    <cfRule type="expression" dxfId="13" priority="15">
      <formula>$D210&lt;&gt;""</formula>
    </cfRule>
  </conditionalFormatting>
  <conditionalFormatting sqref="A214:F219">
    <cfRule type="expression" dxfId="12" priority="14">
      <formula>$D214&lt;&gt;""</formula>
    </cfRule>
  </conditionalFormatting>
  <conditionalFormatting sqref="A221:F227">
    <cfRule type="expression" dxfId="11" priority="13">
      <formula>$D221&lt;&gt;""</formula>
    </cfRule>
  </conditionalFormatting>
  <conditionalFormatting sqref="A229:F230">
    <cfRule type="expression" dxfId="10" priority="12">
      <formula>$D229&lt;&gt;""</formula>
    </cfRule>
  </conditionalFormatting>
  <conditionalFormatting sqref="A232:F233">
    <cfRule type="expression" dxfId="9" priority="11">
      <formula>$D232&lt;&gt;""</formula>
    </cfRule>
  </conditionalFormatting>
  <conditionalFormatting sqref="A235:F239">
    <cfRule type="expression" dxfId="8" priority="10">
      <formula>$D235&lt;&gt;""</formula>
    </cfRule>
  </conditionalFormatting>
  <conditionalFormatting sqref="A241:F244">
    <cfRule type="expression" dxfId="7" priority="8">
      <formula>$D241&lt;&gt;""</formula>
    </cfRule>
  </conditionalFormatting>
  <conditionalFormatting sqref="A246:F249">
    <cfRule type="expression" dxfId="6" priority="7">
      <formula>$D246&lt;&gt;""</formula>
    </cfRule>
  </conditionalFormatting>
  <conditionalFormatting sqref="A251:F257">
    <cfRule type="expression" dxfId="5" priority="6">
      <formula>$D251&lt;&gt;""</formula>
    </cfRule>
  </conditionalFormatting>
  <conditionalFormatting sqref="A259:F261">
    <cfRule type="expression" dxfId="4" priority="5">
      <formula>$D259&lt;&gt;""</formula>
    </cfRule>
  </conditionalFormatting>
  <conditionalFormatting sqref="A263:F269">
    <cfRule type="expression" dxfId="3" priority="4">
      <formula>$D263&lt;&gt;""</formula>
    </cfRule>
  </conditionalFormatting>
  <conditionalFormatting sqref="A271:F273">
    <cfRule type="expression" dxfId="2" priority="3">
      <formula>$D271&lt;&gt;""</formula>
    </cfRule>
  </conditionalFormatting>
  <conditionalFormatting sqref="A275:F294">
    <cfRule type="expression" dxfId="1" priority="2">
      <formula>$D275&lt;&gt;""</formula>
    </cfRule>
  </conditionalFormatting>
  <conditionalFormatting sqref="A296:F319">
    <cfRule type="expression" dxfId="0" priority="1">
      <formula>$D296&lt;&gt;""</formula>
    </cfRule>
  </conditionalFormatting>
  <pageMargins left="0.45" right="0.45" top="0.67708333333333304" bottom="0.1875" header="0.3" footer="0.15"/>
  <pageSetup scale="97" fitToHeight="0" orientation="landscape" r:id="rId1"/>
  <headerFooter>
    <oddHeader xml:space="preserve">&amp;C&amp;"-,Bold"&amp;14NATIONAL MENU SPECIFICATIONS QUOTE SHEET&amp;"-,Regular"&amp;11
</oddHeader>
    <oddFooter>&amp;CPage &amp;P of &amp;N&amp;RJuly 2025</oddFooter>
  </headerFooter>
  <rowBreaks count="43" manualBreakCount="43">
    <brk id="14" max="16383" man="1"/>
    <brk id="24" max="16383" man="1"/>
    <brk id="35" max="16383" man="1"/>
    <brk id="51" max="16383" man="1"/>
    <brk id="59" max="16383" man="1"/>
    <brk id="66" max="16383" man="1"/>
    <brk id="70" max="5" man="1"/>
    <brk id="74" max="16383" man="1"/>
    <brk id="79" max="16383" man="1"/>
    <brk id="95" max="16383" man="1"/>
    <brk id="106" max="5" man="1"/>
    <brk id="109" max="16383" man="1"/>
    <brk id="114" max="5" man="1"/>
    <brk id="117" max="16383" man="1"/>
    <brk id="124" max="16383" man="1"/>
    <brk id="140" max="16383" man="1"/>
    <brk id="150" max="5" man="1"/>
    <brk id="152" max="5" man="1"/>
    <brk id="162" max="16383" man="1"/>
    <brk id="173" max="5" man="1"/>
    <brk id="175" max="16383" man="1"/>
    <brk id="182" max="5" man="1"/>
    <brk id="187" max="5" man="1"/>
    <brk id="192" max="5" man="1"/>
    <brk id="198" max="5" man="1"/>
    <brk id="208" max="16383" man="1"/>
    <brk id="211" max="5" man="1"/>
    <brk id="212" max="16383" man="1"/>
    <brk id="215" max="5" man="1"/>
    <brk id="219" max="16383" man="1"/>
    <brk id="227" max="5" man="1"/>
    <brk id="230" max="16383" man="1"/>
    <brk id="233" max="5" man="1"/>
    <brk id="239" max="16383" man="1"/>
    <brk id="244" max="16383" man="1"/>
    <brk id="247" max="5" man="1"/>
    <brk id="249" max="16383" man="1"/>
    <brk id="257" max="16383" man="1"/>
    <brk id="261" max="16383" man="1"/>
    <brk id="269" max="16383" man="1"/>
    <brk id="273" max="16383" man="1"/>
    <brk id="294" max="16383" man="1"/>
    <brk id="320" max="5" man="1"/>
  </rowBreaks>
  <ignoredErrors>
    <ignoredError sqref="A322:A32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3"/>
  <sheetViews>
    <sheetView workbookViewId="0">
      <selection sqref="A1:K1"/>
    </sheetView>
  </sheetViews>
  <sheetFormatPr defaultRowHeight="15" x14ac:dyDescent="0.25"/>
  <cols>
    <col min="8" max="8" width="5.42578125" customWidth="1"/>
    <col min="9" max="9" width="18.28515625" customWidth="1"/>
    <col min="10" max="10" width="6.42578125" customWidth="1"/>
    <col min="11" max="11" width="12.28515625" customWidth="1"/>
  </cols>
  <sheetData>
    <row r="1" spans="1:11" ht="23.25" x14ac:dyDescent="0.35">
      <c r="A1" s="71" t="s">
        <v>103</v>
      </c>
      <c r="B1" s="71"/>
      <c r="C1" s="71"/>
      <c r="D1" s="71"/>
      <c r="E1" s="71"/>
      <c r="F1" s="71"/>
      <c r="G1" s="71"/>
      <c r="H1" s="71"/>
      <c r="I1" s="71"/>
      <c r="J1" s="71"/>
      <c r="K1" s="71"/>
    </row>
    <row r="3" spans="1:11" x14ac:dyDescent="0.25">
      <c r="A3" s="13" t="s">
        <v>104</v>
      </c>
    </row>
    <row r="4" spans="1:11" x14ac:dyDescent="0.25">
      <c r="A4" s="13" t="s">
        <v>105</v>
      </c>
    </row>
    <row r="6" spans="1:11" x14ac:dyDescent="0.25">
      <c r="A6" t="s">
        <v>106</v>
      </c>
    </row>
    <row r="8" spans="1:11" x14ac:dyDescent="0.25">
      <c r="A8" t="s">
        <v>107</v>
      </c>
      <c r="H8" t="s">
        <v>108</v>
      </c>
      <c r="I8" s="14"/>
    </row>
    <row r="10" spans="1:11" x14ac:dyDescent="0.25">
      <c r="A10" s="72"/>
      <c r="B10" s="72"/>
      <c r="C10" t="s">
        <v>110</v>
      </c>
    </row>
    <row r="12" spans="1:11" ht="33" customHeight="1" x14ac:dyDescent="0.25">
      <c r="A12" s="73" t="s">
        <v>139</v>
      </c>
      <c r="B12" s="73"/>
      <c r="C12" s="73"/>
      <c r="D12" s="73"/>
      <c r="E12" s="73"/>
      <c r="F12" s="73"/>
      <c r="G12" s="73"/>
      <c r="H12" s="73"/>
      <c r="I12" s="73"/>
      <c r="J12" s="73"/>
      <c r="K12" s="73"/>
    </row>
    <row r="14" spans="1:11" ht="20.100000000000001" customHeight="1" x14ac:dyDescent="0.25">
      <c r="A14" t="s">
        <v>111</v>
      </c>
      <c r="B14" t="s">
        <v>112</v>
      </c>
      <c r="C14" t="s">
        <v>113</v>
      </c>
      <c r="D14" s="14"/>
      <c r="E14" s="14"/>
      <c r="F14" s="14"/>
      <c r="G14" s="14"/>
      <c r="H14" s="14"/>
      <c r="I14" s="14"/>
    </row>
    <row r="15" spans="1:11" ht="20.100000000000001" customHeight="1" x14ac:dyDescent="0.25">
      <c r="A15" t="s">
        <v>111</v>
      </c>
      <c r="B15" t="s">
        <v>112</v>
      </c>
      <c r="C15" t="s">
        <v>114</v>
      </c>
      <c r="D15" s="15"/>
      <c r="E15" s="15"/>
      <c r="F15" s="15"/>
      <c r="G15" s="15"/>
      <c r="H15" s="15"/>
      <c r="I15" s="15"/>
    </row>
    <row r="16" spans="1:11" ht="20.100000000000001" customHeight="1" x14ac:dyDescent="0.25">
      <c r="A16" t="s">
        <v>111</v>
      </c>
      <c r="B16" t="s">
        <v>112</v>
      </c>
      <c r="C16" t="s">
        <v>115</v>
      </c>
      <c r="D16" s="15"/>
      <c r="E16" s="15"/>
      <c r="F16" s="15"/>
      <c r="G16" s="15"/>
      <c r="H16" s="15"/>
      <c r="I16" s="15"/>
    </row>
    <row r="17" spans="1:11" ht="20.100000000000001" customHeight="1" x14ac:dyDescent="0.25">
      <c r="A17" t="s">
        <v>111</v>
      </c>
      <c r="B17" t="s">
        <v>112</v>
      </c>
      <c r="C17" t="s">
        <v>116</v>
      </c>
      <c r="D17" s="15"/>
      <c r="E17" s="15"/>
      <c r="F17" s="15"/>
      <c r="G17" s="15"/>
      <c r="H17" s="15"/>
      <c r="I17" s="15"/>
    </row>
    <row r="18" spans="1:11" ht="20.100000000000001" customHeight="1" x14ac:dyDescent="0.25">
      <c r="A18" t="s">
        <v>111</v>
      </c>
      <c r="B18" t="s">
        <v>112</v>
      </c>
      <c r="C18" t="s">
        <v>117</v>
      </c>
      <c r="D18" s="15"/>
      <c r="E18" s="15"/>
      <c r="F18" s="15"/>
      <c r="G18" s="15"/>
      <c r="H18" s="15"/>
      <c r="I18" s="15"/>
    </row>
    <row r="19" spans="1:11" ht="20.100000000000001" customHeight="1" x14ac:dyDescent="0.25">
      <c r="A19" t="s">
        <v>118</v>
      </c>
      <c r="B19" t="s">
        <v>112</v>
      </c>
      <c r="C19" t="s">
        <v>119</v>
      </c>
      <c r="D19" s="15"/>
      <c r="E19" s="15"/>
      <c r="F19" s="15"/>
      <c r="G19" s="15"/>
      <c r="H19" s="15"/>
      <c r="I19" s="15"/>
    </row>
    <row r="20" spans="1:11" ht="20.100000000000001" customHeight="1" x14ac:dyDescent="0.25">
      <c r="A20" t="s">
        <v>111</v>
      </c>
      <c r="B20" t="s">
        <v>112</v>
      </c>
      <c r="C20" t="s">
        <v>120</v>
      </c>
      <c r="D20" s="15"/>
      <c r="E20" s="15"/>
      <c r="F20" s="15"/>
      <c r="G20" s="15"/>
      <c r="H20" s="15"/>
      <c r="I20" s="15"/>
    </row>
    <row r="21" spans="1:11" ht="20.100000000000001" customHeight="1" x14ac:dyDescent="0.25">
      <c r="A21" t="s">
        <v>111</v>
      </c>
      <c r="B21" t="s">
        <v>112</v>
      </c>
      <c r="C21" t="s">
        <v>121</v>
      </c>
      <c r="D21" s="15"/>
      <c r="E21" s="15"/>
      <c r="F21" s="15"/>
      <c r="G21" s="15"/>
      <c r="H21" s="15"/>
      <c r="I21" s="15"/>
    </row>
    <row r="22" spans="1:11" ht="20.100000000000001" customHeight="1" x14ac:dyDescent="0.25">
      <c r="A22" t="s">
        <v>111</v>
      </c>
      <c r="B22" t="s">
        <v>112</v>
      </c>
      <c r="C22" t="s">
        <v>122</v>
      </c>
      <c r="D22" s="15"/>
      <c r="E22" s="15"/>
      <c r="F22" s="15"/>
      <c r="G22" s="15"/>
      <c r="H22" s="15"/>
      <c r="I22" s="15"/>
    </row>
    <row r="23" spans="1:11" ht="20.100000000000001" customHeight="1" x14ac:dyDescent="0.25">
      <c r="A23" t="s">
        <v>111</v>
      </c>
      <c r="B23" t="s">
        <v>112</v>
      </c>
      <c r="C23" t="s">
        <v>123</v>
      </c>
      <c r="D23" s="15"/>
      <c r="E23" s="15"/>
      <c r="F23" s="15"/>
      <c r="G23" s="15"/>
      <c r="H23" s="15"/>
      <c r="I23" s="15"/>
    </row>
    <row r="25" spans="1:11" x14ac:dyDescent="0.25">
      <c r="A25" t="s">
        <v>124</v>
      </c>
      <c r="D25" s="70" t="s">
        <v>140</v>
      </c>
      <c r="E25" s="70"/>
    </row>
    <row r="27" spans="1:11" ht="18.75" x14ac:dyDescent="0.3">
      <c r="A27" s="16" t="s">
        <v>125</v>
      </c>
    </row>
    <row r="28" spans="1:11" ht="15.75" x14ac:dyDescent="0.25">
      <c r="A28" s="17" t="s">
        <v>128</v>
      </c>
    </row>
    <row r="29" spans="1:11" ht="46.5" customHeight="1" x14ac:dyDescent="0.25">
      <c r="A29" s="74" t="s">
        <v>126</v>
      </c>
      <c r="B29" s="74"/>
      <c r="C29" s="74"/>
      <c r="D29" s="74"/>
      <c r="E29" s="74"/>
      <c r="F29" s="74"/>
      <c r="G29" s="74"/>
      <c r="H29" s="74"/>
      <c r="I29" s="74"/>
      <c r="J29" s="74"/>
      <c r="K29" s="74"/>
    </row>
    <row r="31" spans="1:11" ht="15.75" x14ac:dyDescent="0.25">
      <c r="A31" s="17" t="s">
        <v>127</v>
      </c>
    </row>
    <row r="32" spans="1:11" x14ac:dyDescent="0.25">
      <c r="A32" t="s">
        <v>129</v>
      </c>
    </row>
    <row r="33" spans="1:11" x14ac:dyDescent="0.25">
      <c r="A33" t="s">
        <v>130</v>
      </c>
    </row>
    <row r="34" spans="1:11" x14ac:dyDescent="0.25">
      <c r="A34" t="s">
        <v>131</v>
      </c>
    </row>
    <row r="35" spans="1:11" ht="44.25" customHeight="1" x14ac:dyDescent="0.25">
      <c r="A35" s="74" t="s">
        <v>132</v>
      </c>
      <c r="B35" s="74"/>
      <c r="C35" s="74"/>
      <c r="D35" s="74"/>
      <c r="E35" s="74"/>
      <c r="F35" s="74"/>
      <c r="G35" s="74"/>
      <c r="H35" s="74"/>
      <c r="I35" s="74"/>
      <c r="J35" s="74"/>
      <c r="K35" s="74"/>
    </row>
    <row r="37" spans="1:11" x14ac:dyDescent="0.25">
      <c r="A37" t="s">
        <v>109</v>
      </c>
      <c r="B37" t="s">
        <v>133</v>
      </c>
    </row>
    <row r="39" spans="1:11" x14ac:dyDescent="0.25">
      <c r="A39" t="s">
        <v>134</v>
      </c>
      <c r="B39" t="s">
        <v>135</v>
      </c>
    </row>
    <row r="41" spans="1:11" x14ac:dyDescent="0.25">
      <c r="A41" t="s">
        <v>136</v>
      </c>
      <c r="E41" s="70"/>
      <c r="F41" s="70"/>
      <c r="G41" s="70"/>
      <c r="H41" s="70"/>
      <c r="I41" s="70"/>
      <c r="J41" s="70"/>
      <c r="K41" s="70"/>
    </row>
    <row r="43" spans="1:11" x14ac:dyDescent="0.25">
      <c r="A43" t="s">
        <v>137</v>
      </c>
      <c r="D43" s="70"/>
      <c r="E43" s="70"/>
      <c r="F43" s="70"/>
      <c r="G43" s="70"/>
      <c r="H43" s="14"/>
      <c r="J43" t="s">
        <v>138</v>
      </c>
      <c r="K43" s="14"/>
    </row>
  </sheetData>
  <mergeCells count="8">
    <mergeCell ref="D43:G43"/>
    <mergeCell ref="A1:K1"/>
    <mergeCell ref="A10:B10"/>
    <mergeCell ref="D25:E25"/>
    <mergeCell ref="A12:K12"/>
    <mergeCell ref="A29:K29"/>
    <mergeCell ref="A35:K35"/>
    <mergeCell ref="E41:K41"/>
  </mergeCells>
  <pageMargins left="0.45" right="0.45" top="0.75" bottom="0.5" header="0.3" footer="0.3"/>
  <pageSetup scale="9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topLeftCell="A30" workbookViewId="0">
      <selection activeCell="L26" sqref="L26"/>
    </sheetView>
  </sheetViews>
  <sheetFormatPr defaultRowHeight="15" x14ac:dyDescent="0.25"/>
  <cols>
    <col min="1" max="1" width="12.28515625" customWidth="1"/>
    <col min="2" max="2" width="6.5703125" customWidth="1"/>
    <col min="3" max="3" width="16.7109375" customWidth="1"/>
    <col min="4" max="4" width="13.42578125" customWidth="1"/>
    <col min="6" max="6" width="11.5703125" customWidth="1"/>
    <col min="9" max="9" width="4.42578125" customWidth="1"/>
    <col min="10" max="10" width="6.5703125" customWidth="1"/>
  </cols>
  <sheetData>
    <row r="1" spans="1:11" ht="18.75" x14ac:dyDescent="0.3">
      <c r="A1" s="75" t="s">
        <v>141</v>
      </c>
      <c r="B1" s="75"/>
      <c r="C1" s="75"/>
      <c r="D1" s="75"/>
      <c r="E1" s="75"/>
      <c r="F1" s="75"/>
      <c r="G1" s="75"/>
      <c r="H1" s="75"/>
      <c r="I1" s="75"/>
      <c r="J1" s="75"/>
      <c r="K1" s="75"/>
    </row>
    <row r="3" spans="1:11" x14ac:dyDescent="0.25">
      <c r="A3" s="13" t="s">
        <v>29</v>
      </c>
      <c r="B3" s="70"/>
      <c r="C3" s="70"/>
      <c r="D3" s="13" t="s">
        <v>30</v>
      </c>
      <c r="E3" s="70"/>
      <c r="F3" s="70"/>
    </row>
    <row r="5" spans="1:11" x14ac:dyDescent="0.25">
      <c r="A5" s="13" t="s">
        <v>28</v>
      </c>
      <c r="B5" s="70"/>
      <c r="C5" s="70"/>
      <c r="D5" s="70"/>
      <c r="E5" s="70"/>
      <c r="F5" s="70"/>
    </row>
    <row r="7" spans="1:11" ht="15.75" x14ac:dyDescent="0.25">
      <c r="A7" s="18" t="s">
        <v>142</v>
      </c>
    </row>
    <row r="9" spans="1:11" x14ac:dyDescent="0.25">
      <c r="A9" t="s">
        <v>143</v>
      </c>
    </row>
    <row r="10" spans="1:11" x14ac:dyDescent="0.25">
      <c r="A10" t="s">
        <v>144</v>
      </c>
    </row>
    <row r="11" spans="1:11" x14ac:dyDescent="0.25">
      <c r="A11" t="s">
        <v>145</v>
      </c>
    </row>
    <row r="12" spans="1:11" ht="60.75" customHeight="1" x14ac:dyDescent="0.25">
      <c r="A12" s="74" t="s">
        <v>146</v>
      </c>
      <c r="B12" s="74"/>
      <c r="C12" s="74"/>
      <c r="D12" s="74"/>
      <c r="E12" s="74"/>
      <c r="F12" s="74"/>
      <c r="G12" s="74"/>
      <c r="H12" s="74"/>
      <c r="I12" s="74"/>
      <c r="J12" s="74"/>
      <c r="K12" s="74"/>
    </row>
    <row r="14" spans="1:11" x14ac:dyDescent="0.25">
      <c r="A14" s="13" t="s">
        <v>147</v>
      </c>
      <c r="B14" t="s">
        <v>148</v>
      </c>
    </row>
    <row r="16" spans="1:11" x14ac:dyDescent="0.25">
      <c r="A16" s="13" t="s">
        <v>149</v>
      </c>
      <c r="C16" s="14"/>
    </row>
    <row r="18" spans="1:11" ht="15.75" x14ac:dyDescent="0.25">
      <c r="A18" s="18" t="s">
        <v>150</v>
      </c>
    </row>
    <row r="20" spans="1:11" x14ac:dyDescent="0.25">
      <c r="A20" t="s">
        <v>151</v>
      </c>
    </row>
    <row r="22" spans="1:11" x14ac:dyDescent="0.25">
      <c r="A22" t="s">
        <v>211</v>
      </c>
    </row>
    <row r="24" spans="1:11" x14ac:dyDescent="0.25">
      <c r="A24" t="s">
        <v>152</v>
      </c>
    </row>
    <row r="26" spans="1:11" x14ac:dyDescent="0.25">
      <c r="A26" t="s">
        <v>153</v>
      </c>
    </row>
    <row r="28" spans="1:11" x14ac:dyDescent="0.25">
      <c r="A28" t="s">
        <v>154</v>
      </c>
    </row>
    <row r="30" spans="1:11" x14ac:dyDescent="0.25">
      <c r="A30" t="s">
        <v>155</v>
      </c>
    </row>
    <row r="31" spans="1:11" ht="45.75" customHeight="1" x14ac:dyDescent="0.25">
      <c r="A31" s="74" t="s">
        <v>156</v>
      </c>
      <c r="B31" s="74"/>
      <c r="C31" s="74"/>
      <c r="D31" s="74"/>
      <c r="E31" s="74"/>
      <c r="F31" s="74"/>
      <c r="G31" s="74"/>
      <c r="H31" s="74"/>
      <c r="I31" s="74"/>
      <c r="J31" s="74"/>
      <c r="K31" s="74"/>
    </row>
    <row r="33" spans="1:11" x14ac:dyDescent="0.25">
      <c r="A33" t="s">
        <v>157</v>
      </c>
    </row>
    <row r="35" spans="1:11" x14ac:dyDescent="0.25">
      <c r="A35" t="s">
        <v>158</v>
      </c>
    </row>
    <row r="37" spans="1:11" x14ac:dyDescent="0.25">
      <c r="A37" t="s">
        <v>159</v>
      </c>
    </row>
    <row r="39" spans="1:11" x14ac:dyDescent="0.25">
      <c r="A39" t="s">
        <v>160</v>
      </c>
    </row>
    <row r="41" spans="1:11" ht="30" customHeight="1" x14ac:dyDescent="0.25">
      <c r="A41" s="74" t="s">
        <v>162</v>
      </c>
      <c r="B41" s="74"/>
      <c r="C41" s="74"/>
      <c r="D41" s="74"/>
      <c r="E41" s="74"/>
      <c r="F41" s="74"/>
      <c r="G41" s="74"/>
      <c r="H41" s="74"/>
      <c r="I41" s="74"/>
      <c r="J41" s="74"/>
      <c r="K41" s="74"/>
    </row>
    <row r="43" spans="1:11" x14ac:dyDescent="0.25">
      <c r="A43" t="s">
        <v>161</v>
      </c>
    </row>
    <row r="46" spans="1:11" x14ac:dyDescent="0.25">
      <c r="A46" t="s">
        <v>137</v>
      </c>
      <c r="C46" s="14"/>
      <c r="D46" s="70"/>
      <c r="E46" s="70"/>
      <c r="F46" s="70"/>
      <c r="G46" s="70"/>
      <c r="H46" s="14"/>
      <c r="J46" t="s">
        <v>138</v>
      </c>
      <c r="K46" s="14"/>
    </row>
  </sheetData>
  <mergeCells count="8">
    <mergeCell ref="D46:G46"/>
    <mergeCell ref="A41:K41"/>
    <mergeCell ref="A31:K31"/>
    <mergeCell ref="A1:K1"/>
    <mergeCell ref="B3:C3"/>
    <mergeCell ref="E3:F3"/>
    <mergeCell ref="B5:F5"/>
    <mergeCell ref="A12:K12"/>
  </mergeCells>
  <pageMargins left="0.45" right="0.45" top="0.75" bottom="0.5" header="0.3" footer="0.3"/>
  <pageSetup scale="8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Specifications</vt:lpstr>
      <vt:lpstr>Contractor Award Acknowledgment</vt:lpstr>
      <vt:lpstr>Award Delivery Information</vt:lpstr>
      <vt:lpstr>Specifications!Print_Area</vt:lpstr>
      <vt:lpstr>Specifications!Print_Titles</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Frei, Hans (BOP)</cp:lastModifiedBy>
  <cp:lastPrinted>2023-08-03T17:52:39Z</cp:lastPrinted>
  <dcterms:created xsi:type="dcterms:W3CDTF">2016-02-25T18:36:59Z</dcterms:created>
  <dcterms:modified xsi:type="dcterms:W3CDTF">2025-11-21T18:49:01Z</dcterms:modified>
</cp:coreProperties>
</file>