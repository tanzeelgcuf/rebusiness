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E0917AF0-47C1-439E-8C64-52ED714AB8F8}" xr6:coauthVersionLast="47" xr6:coauthVersionMax="47" xr10:uidLastSave="{00000000-0000-0000-0000-000000000000}"/>
  <bookViews>
    <workbookView xWindow="-110" yWindow="-110" windowWidth="19420" windowHeight="10300" tabRatio="882" activeTab="1" xr2:uid="{00000000-000D-0000-FFFF-FFFF00000000}"/>
  </bookViews>
  <sheets>
    <sheet name="Exh 2A SAMPLE" sheetId="18" r:id="rId1"/>
    <sheet name="Exh 2A Prime&amp;SS Non-Mgmt DL Con" sheetId="15" r:id="rId2"/>
    <sheet name="Exh 2B Prime &amp; SS Offsite M&amp;A" sheetId="16" r:id="rId3"/>
    <sheet name="Exh 2B Prime&amp;SS On&amp;Offsite M&amp;A" sheetId="17" r:id="rId4"/>
    <sheet name="Exh 2C SAMPLE " sheetId="25" r:id="rId5"/>
    <sheet name="Exh 2C Non-SS Non-Mgmt DL Con" sheetId="21" r:id="rId6"/>
    <sheet name="Exh 2D Non-SS Offsite M&amp;A" sheetId="23" r:id="rId7"/>
    <sheet name="Exh 2D Non-SS On&amp;Offsite M&amp;A" sheetId="24" r:id="rId8"/>
    <sheet name="Exh 3 Prime GPM Summary" sheetId="14" r:id="rId9"/>
    <sheet name="Exh 4 Source Personnel" sheetId="7" r:id="rId10"/>
    <sheet name="Exh 5  Sum Indirect Rates" sheetId="1" r:id="rId11"/>
    <sheet name="Exh 6A  Overhead Pool(s)" sheetId="3" r:id="rId12"/>
    <sheet name="Exh 6B  G&amp;A Pool" sheetId="4" r:id="rId13"/>
    <sheet name="Exh 6C Fringe Pool" sheetId="26" r:id="rId14"/>
    <sheet name="Exh 7 Recurring ODCs-CERs" sheetId="2" r:id="rId15"/>
    <sheet name="Exh 8 Phase-In Plan" sheetId="5" r:id="rId16"/>
    <sheet name="Exh 8A  Phase-In DL" sheetId="6" r:id="rId17"/>
    <sheet name="Exh 9  Prod WY" sheetId="8" r:id="rId18"/>
    <sheet name="Exh 10A  Cognizant Agency" sheetId="11" r:id="rId19"/>
    <sheet name="Exh 10B  Cognizant Agency" sheetId="12" r:id="rId20"/>
  </sheets>
  <definedNames>
    <definedName name="_xlnm.Print_Area" localSheetId="18">'Exh 10A  Cognizant Agency'!$A$1:$J$33</definedName>
    <definedName name="_xlnm.Print_Area" localSheetId="19">'Exh 10B  Cognizant Agency'!$A$1:$K$47</definedName>
    <definedName name="_xlnm.Print_Area" localSheetId="9">'Exh 4 Source Personnel'!$A$1:$F$39</definedName>
    <definedName name="_xlnm.Print_Area" localSheetId="10">'Exh 5  Sum Indirect Rates'!$A$1:$G$52</definedName>
    <definedName name="_xlnm.Print_Area" localSheetId="11">'Exh 6A  Overhead Pool(s)'!$A$1:$J$48</definedName>
    <definedName name="_xlnm.Print_Area" localSheetId="12">'Exh 6B  G&amp;A Pool'!$A$1:$J$11</definedName>
    <definedName name="_xlnm.Print_Area" localSheetId="14">'Exh 7 Recurring ODCs-CERs'!$A$1:$E$53</definedName>
    <definedName name="_xlnm.Print_Area" localSheetId="15">'Exh 8 Phase-In Plan'!$A$1:$D$34</definedName>
    <definedName name="_xlnm.Print_Area" localSheetId="16">'Exh 8A  Phase-In DL'!$A$1:$D$37</definedName>
    <definedName name="_xlnm.Print_Area" localSheetId="17">'Exh 9  Prod WY'!$A$1:$H$23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26" l="1"/>
  <c r="J61" i="26"/>
  <c r="I61" i="26"/>
  <c r="H61" i="26"/>
  <c r="G61" i="26"/>
  <c r="F61" i="26"/>
  <c r="E61" i="26"/>
  <c r="D61" i="26"/>
  <c r="C61" i="26"/>
  <c r="K56" i="26"/>
  <c r="J56" i="26"/>
  <c r="I56" i="26"/>
  <c r="H56" i="26"/>
  <c r="G56" i="26"/>
  <c r="F56" i="26"/>
  <c r="E56" i="26"/>
  <c r="D56" i="26"/>
  <c r="C56" i="26"/>
  <c r="J54" i="4"/>
  <c r="I54" i="4"/>
  <c r="H54" i="4"/>
  <c r="G54" i="4"/>
  <c r="F54" i="4"/>
  <c r="E54" i="4"/>
  <c r="K53" i="4"/>
  <c r="J53" i="4"/>
  <c r="I53" i="4"/>
  <c r="H53" i="4"/>
  <c r="G53" i="4"/>
  <c r="F53" i="4"/>
  <c r="E53" i="4"/>
  <c r="D53" i="4"/>
  <c r="C53" i="4"/>
  <c r="K48" i="4"/>
  <c r="K54" i="4" s="1"/>
  <c r="J48" i="4"/>
  <c r="I48" i="4"/>
  <c r="H48" i="4"/>
  <c r="G48" i="4"/>
  <c r="F48" i="4"/>
  <c r="E48" i="4"/>
  <c r="D48" i="4"/>
  <c r="D54" i="4" s="1"/>
  <c r="C48" i="4"/>
  <c r="C54" i="4" s="1"/>
  <c r="K42" i="4"/>
  <c r="J42" i="4"/>
  <c r="I42" i="4"/>
  <c r="H42" i="4"/>
  <c r="G42" i="4"/>
  <c r="F42" i="4"/>
  <c r="E42" i="4"/>
  <c r="D42" i="4"/>
  <c r="C42" i="4"/>
  <c r="C39" i="3"/>
  <c r="D39" i="3"/>
  <c r="K44" i="3"/>
  <c r="J44" i="3"/>
  <c r="I44" i="3"/>
  <c r="H44" i="3"/>
  <c r="G44" i="3"/>
  <c r="F44" i="3"/>
  <c r="E44" i="3"/>
  <c r="D44" i="3"/>
  <c r="C44" i="3"/>
  <c r="K39" i="3"/>
  <c r="J39" i="3"/>
  <c r="I39" i="3"/>
  <c r="H39" i="3"/>
  <c r="G39" i="3"/>
  <c r="F39" i="3"/>
  <c r="E39" i="3"/>
  <c r="E20" i="15"/>
  <c r="C28" i="25"/>
  <c r="D27" i="25"/>
  <c r="D28" i="25" s="1"/>
  <c r="C26" i="25"/>
  <c r="D25" i="25"/>
  <c r="D24" i="25"/>
  <c r="D23" i="25"/>
  <c r="C22" i="25"/>
  <c r="D21" i="25"/>
  <c r="D20" i="25"/>
  <c r="C37" i="25"/>
  <c r="D36" i="25"/>
  <c r="D35" i="25"/>
  <c r="D37" i="25" s="1"/>
  <c r="C34" i="25"/>
  <c r="D32" i="25"/>
  <c r="D34" i="25" s="1"/>
  <c r="C31" i="25"/>
  <c r="D29" i="25"/>
  <c r="D31" i="25" s="1"/>
  <c r="H62" i="26" l="1"/>
  <c r="I62" i="26"/>
  <c r="C62" i="26"/>
  <c r="D62" i="26"/>
  <c r="E62" i="26"/>
  <c r="F62" i="26"/>
  <c r="K62" i="26"/>
  <c r="G62" i="26"/>
  <c r="J62" i="26"/>
  <c r="H45" i="3"/>
  <c r="K45" i="3"/>
  <c r="D45" i="3"/>
  <c r="J45" i="3"/>
  <c r="I45" i="3"/>
  <c r="C45" i="3"/>
  <c r="F45" i="3"/>
  <c r="E45" i="3"/>
  <c r="G45" i="3"/>
  <c r="D26" i="25"/>
  <c r="D22" i="25"/>
  <c r="C35" i="21" l="1"/>
  <c r="D34" i="21"/>
  <c r="D33" i="21"/>
  <c r="C32" i="21"/>
  <c r="D30" i="21"/>
  <c r="D32" i="21" s="1"/>
  <c r="C29" i="21"/>
  <c r="D27" i="21"/>
  <c r="D29" i="21" s="1"/>
  <c r="C26" i="21"/>
  <c r="D24" i="21"/>
  <c r="D26" i="21" s="1"/>
  <c r="C23" i="21"/>
  <c r="D21" i="21"/>
  <c r="D23" i="21" s="1"/>
  <c r="D20" i="21"/>
  <c r="C20" i="21"/>
  <c r="D35" i="21" l="1"/>
  <c r="D34" i="15"/>
  <c r="D33" i="15"/>
  <c r="D30" i="15"/>
  <c r="D32" i="15" s="1"/>
  <c r="D29" i="15"/>
  <c r="F29" i="15" s="1"/>
  <c r="D27" i="15"/>
  <c r="D24" i="15"/>
  <c r="D26" i="15" s="1"/>
  <c r="D21" i="15"/>
  <c r="D23" i="15" s="1"/>
  <c r="F23" i="15" s="1"/>
  <c r="D20" i="15"/>
  <c r="F20" i="15" s="1"/>
  <c r="C37" i="18"/>
  <c r="D36" i="18"/>
  <c r="D35" i="18"/>
  <c r="C34" i="18"/>
  <c r="D32" i="18"/>
  <c r="D34" i="18" s="1"/>
  <c r="C31" i="18"/>
  <c r="D29" i="18"/>
  <c r="D31" i="18" s="1"/>
  <c r="D28" i="18"/>
  <c r="E28" i="18" s="1"/>
  <c r="C28" i="18"/>
  <c r="D27" i="18"/>
  <c r="C26" i="18"/>
  <c r="D25" i="18"/>
  <c r="D24" i="18"/>
  <c r="D23" i="18"/>
  <c r="C22" i="18"/>
  <c r="D21" i="18"/>
  <c r="D20" i="18"/>
  <c r="D22" i="18" s="1"/>
  <c r="E22" i="18" s="1"/>
  <c r="D37" i="18" l="1"/>
  <c r="D26" i="18"/>
  <c r="G20" i="15"/>
  <c r="E26" i="15"/>
  <c r="I26" i="15" s="1"/>
  <c r="F26" i="15"/>
  <c r="E32" i="15"/>
  <c r="G32" i="15" s="1"/>
  <c r="H32" i="15" s="1"/>
  <c r="F32" i="15"/>
  <c r="E23" i="15"/>
  <c r="G23" i="15" s="1"/>
  <c r="H23" i="15" s="1"/>
  <c r="I23" i="15"/>
  <c r="E29" i="15"/>
  <c r="I29" i="15"/>
  <c r="I20" i="15"/>
  <c r="F31" i="18"/>
  <c r="E31" i="18"/>
  <c r="G26" i="18"/>
  <c r="H26" i="18" s="1"/>
  <c r="E26" i="18"/>
  <c r="E37" i="18"/>
  <c r="F37" i="18"/>
  <c r="F34" i="18"/>
  <c r="E34" i="18"/>
  <c r="I34" i="18" s="1"/>
  <c r="G22" i="18"/>
  <c r="H22" i="18" s="1"/>
  <c r="G28" i="18"/>
  <c r="H28" i="18"/>
  <c r="I28" i="18" s="1"/>
  <c r="C35" i="15"/>
  <c r="D35" i="15"/>
  <c r="C32" i="15"/>
  <c r="C29" i="15"/>
  <c r="C26" i="15"/>
  <c r="C23" i="15"/>
  <c r="C20" i="15"/>
  <c r="G37" i="18" l="1"/>
  <c r="H37" i="18" s="1"/>
  <c r="H20" i="15"/>
  <c r="I26" i="18"/>
  <c r="G31" i="18"/>
  <c r="H31" i="18" s="1"/>
  <c r="F35" i="15"/>
  <c r="E35" i="15"/>
  <c r="G35" i="15" s="1"/>
  <c r="H35" i="15" s="1"/>
  <c r="I35" i="15"/>
  <c r="G34" i="18"/>
  <c r="H34" i="18" s="1"/>
  <c r="G29" i="15"/>
  <c r="H29" i="15" s="1"/>
  <c r="I32" i="15"/>
  <c r="G26" i="15"/>
  <c r="H26" i="15" s="1"/>
  <c r="I22" i="18"/>
  <c r="I37" i="18"/>
  <c r="I31" i="18"/>
</calcChain>
</file>

<file path=xl/sharedStrings.xml><?xml version="1.0" encoding="utf-8"?>
<sst xmlns="http://schemas.openxmlformats.org/spreadsheetml/2006/main" count="774" uniqueCount="383">
  <si>
    <t xml:space="preserve">This exhibit contains Source Selection Information.  See FAR 3.104.    </t>
  </si>
  <si>
    <t>BASE OF APPLICATION - INDIRECT RATE APPLIED AGAINST (Specific Base)***</t>
  </si>
  <si>
    <t>*Portion of Contractor FY From:________to________</t>
  </si>
  <si>
    <t>Rate</t>
  </si>
  <si>
    <t>Other (Identify)**</t>
  </si>
  <si>
    <t>G&amp;A Expense</t>
  </si>
  <si>
    <t>Overhead Onsite</t>
  </si>
  <si>
    <t>SUMMARY OF INDIRECT RATES</t>
  </si>
  <si>
    <t>EXHIBIT 4</t>
  </si>
  <si>
    <t>Proposing Entity:</t>
  </si>
  <si>
    <t>EXHIBIT 5</t>
  </si>
  <si>
    <t>OFFEROR'S FISCAL YEAR BEGINS ____________  AND ENDS ____________.</t>
  </si>
  <si>
    <t>OVERHEAD EXPENSE POOL (Composition of Burden Pool)</t>
  </si>
  <si>
    <t>Cost Elements Within the G&amp;A Expense Pool</t>
  </si>
  <si>
    <t>GENERAL AND ADMINISTRATIVE (G&amp;A) EXPENSE POOL (Composition of Burden Pool)</t>
  </si>
  <si>
    <t>TOTAL FIRM FIXED PRICE</t>
  </si>
  <si>
    <t>PROFIT</t>
  </si>
  <si>
    <t>TOTAL COSTS</t>
  </si>
  <si>
    <t xml:space="preserve">G&amp;A </t>
  </si>
  <si>
    <t>SUBTOTAL COSTS</t>
  </si>
  <si>
    <t>TOTAL ODCS</t>
  </si>
  <si>
    <t xml:space="preserve">  Other (detail)</t>
  </si>
  <si>
    <t xml:space="preserve">  Travel</t>
  </si>
  <si>
    <t xml:space="preserve">  Subcontracts</t>
  </si>
  <si>
    <t xml:space="preserve">  Training</t>
  </si>
  <si>
    <t xml:space="preserve">  Relocation</t>
  </si>
  <si>
    <t>OTHER DIRECT COSTS:</t>
  </si>
  <si>
    <t>OVERHEAD</t>
  </si>
  <si>
    <t>Proposed 
Costs</t>
  </si>
  <si>
    <t>Elements of Cost</t>
  </si>
  <si>
    <t>TOTAL PHASE-IN DIRECT LABOR COSTS</t>
  </si>
  <si>
    <t>Proposed Costs</t>
  </si>
  <si>
    <t>Proposed Rates</t>
  </si>
  <si>
    <t>Hours</t>
  </si>
  <si>
    <t>DIRECT LABOR PHASE-IN COSTS</t>
  </si>
  <si>
    <t xml:space="preserve">  I=INCUMBENT; SU=SUBCONTRACTOR</t>
  </si>
  <si>
    <t>TOTAL</t>
  </si>
  <si>
    <t>Outside Hired Staff</t>
  </si>
  <si>
    <t>Personnel to be Obtained from Incumbent</t>
  </si>
  <si>
    <t>Personnel Available Within Company</t>
  </si>
  <si>
    <t>Labor Category Code*</t>
  </si>
  <si>
    <t>Total Number of Staff</t>
  </si>
  <si>
    <t>SOURCE OF PERSONNEL CHART</t>
  </si>
  <si>
    <t>PRODUCTIVE WORK YEAR in Hours (Hours Actually Worked)</t>
  </si>
  <si>
    <t>(specifically identify)</t>
  </si>
  <si>
    <t>Miscellaneous in Hours</t>
  </si>
  <si>
    <t>Sick Leave in Hours</t>
  </si>
  <si>
    <t>Holidays in Hours</t>
  </si>
  <si>
    <t>Vacation in Hours</t>
  </si>
  <si>
    <t>Less:</t>
  </si>
  <si>
    <t>Total Possible Hours in Year</t>
  </si>
  <si>
    <t>PRODUCTIVE WORK YEAR CALCULATION</t>
  </si>
  <si>
    <t>%</t>
  </si>
  <si>
    <t>Note:  The submitting entity audit point of contact (POC) and address provided above must be at a location where auditable records supporting the proposed amounts physically reside.</t>
  </si>
  <si>
    <t xml:space="preserve"> Zip Code:</t>
  </si>
  <si>
    <t xml:space="preserve"> State:</t>
  </si>
  <si>
    <t xml:space="preserve"> City:</t>
  </si>
  <si>
    <t xml:space="preserve"> P.O.Box:</t>
  </si>
  <si>
    <t xml:space="preserve"> Street:</t>
  </si>
  <si>
    <t xml:space="preserve"> E-Mail Address:</t>
  </si>
  <si>
    <t xml:space="preserve"> FAX Number:</t>
  </si>
  <si>
    <t xml:space="preserve"> Phone Number:</t>
  </si>
  <si>
    <t xml:space="preserve"> POC:</t>
  </si>
  <si>
    <t xml:space="preserve"> DCAA FAO:</t>
  </si>
  <si>
    <t xml:space="preserve"> Company Name:</t>
  </si>
  <si>
    <t>DCAA Field Audit Office (FAO):</t>
  </si>
  <si>
    <t>Submitting Entity:</t>
  </si>
  <si>
    <t>http://www.dcaa.mil</t>
  </si>
  <si>
    <t>DCAA Online Info</t>
  </si>
  <si>
    <t>Cognizant Defense Contract Audit Agency (DCAA) Office Information</t>
  </si>
  <si>
    <t>Determination of Cost Accounting Standards (CAS) applicability</t>
  </si>
  <si>
    <t>Level of CAS applicability</t>
  </si>
  <si>
    <t>Earned Value Management System (EVMS)</t>
  </si>
  <si>
    <t>Forward Pricing Rate Agreements</t>
  </si>
  <si>
    <t>Contractor Property Management System</t>
  </si>
  <si>
    <t>Contractor Executive Compensation Review</t>
  </si>
  <si>
    <t>Contractor Disclosure Statement Accuracy</t>
  </si>
  <si>
    <t>Contractor Accounting System Review</t>
  </si>
  <si>
    <t>Contractor Billing System Review</t>
  </si>
  <si>
    <t>Contractor Purchasing System Review  (CPSR)</t>
  </si>
  <si>
    <t>Contractor Estimating System Review  (CESR)</t>
  </si>
  <si>
    <t>Status</t>
  </si>
  <si>
    <t>Audit Report #</t>
  </si>
  <si>
    <t>Date</t>
  </si>
  <si>
    <r>
      <rPr>
        <b/>
        <u/>
        <sz val="10"/>
        <rFont val="Arial"/>
        <family val="2"/>
      </rPr>
      <t>Disclosures</t>
    </r>
    <r>
      <rPr>
        <b/>
        <sz val="10"/>
        <rFont val="Arial"/>
        <family val="2"/>
      </rPr>
      <t>:</t>
    </r>
  </si>
  <si>
    <t xml:space="preserve"> DCMA Office</t>
  </si>
  <si>
    <t>DCMA Cognizant Office:</t>
  </si>
  <si>
    <t>http://www.dcma.mil</t>
  </si>
  <si>
    <t>DCMA Online Info</t>
  </si>
  <si>
    <t>Cognizant Defense Contract Management Agency (DCMA) Office Information</t>
  </si>
  <si>
    <t>EXHIBIT 7</t>
  </si>
  <si>
    <t>EXHIBIT 8</t>
  </si>
  <si>
    <t>Labor Category/Position Title</t>
  </si>
  <si>
    <t xml:space="preserve">Contract Year 1   </t>
  </si>
  <si>
    <t>Contract Year 1 Composite</t>
  </si>
  <si>
    <t>Contract Year 2</t>
  </si>
  <si>
    <t>Contract Year 2 Composite</t>
  </si>
  <si>
    <t>Contract Year 3</t>
  </si>
  <si>
    <t>Contract Year 3 Composite</t>
  </si>
  <si>
    <t>Contract Year 4</t>
  </si>
  <si>
    <t>Contract Year 5</t>
  </si>
  <si>
    <t>Contract Year 4 Composite</t>
  </si>
  <si>
    <t>Contract Year 5 Composite</t>
  </si>
  <si>
    <t>Contract Year 6</t>
  </si>
  <si>
    <t>Contract Year 6 Composite</t>
  </si>
  <si>
    <t>EXHIBIT 3</t>
  </si>
  <si>
    <t>Contract Year 1</t>
  </si>
  <si>
    <t>Grand Total</t>
  </si>
  <si>
    <t>DIRECT LABOR HOURS</t>
  </si>
  <si>
    <t>(LIST)</t>
  </si>
  <si>
    <t>TOTAL ESTIMATED COST</t>
  </si>
  <si>
    <t>Offerors may adjust elements of cost to be consistent with your current accounting system.</t>
  </si>
  <si>
    <t xml:space="preserve">EXHIBIT 9 </t>
  </si>
  <si>
    <t>Overhead Offsite</t>
  </si>
  <si>
    <t>Contract 
Year 6</t>
  </si>
  <si>
    <t>(FIRST GPM CONTRACT YEAR ONLY)</t>
  </si>
  <si>
    <t>SUMMARY BY ELEMENTS OF COST</t>
  </si>
  <si>
    <t xml:space="preserve">GOVERNMENT PRICING MODEL </t>
  </si>
  <si>
    <t>OTHER DIRECT COSTS (ODCs):</t>
  </si>
  <si>
    <t>TOTAL ODCs</t>
  </si>
  <si>
    <r>
      <rPr>
        <b/>
        <sz val="10"/>
        <color indexed="10"/>
        <rFont val="Arial"/>
        <family val="2"/>
      </rPr>
      <t>[MAXIMUM AVAILABLE AWARD or FIXED]</t>
    </r>
    <r>
      <rPr>
        <b/>
        <sz val="10"/>
        <rFont val="Arial"/>
        <family val="2"/>
      </rPr>
      <t xml:space="preserve"> FEE</t>
    </r>
  </si>
  <si>
    <r>
      <t xml:space="preserve">TOTAL COST PLUS </t>
    </r>
    <r>
      <rPr>
        <b/>
        <sz val="10"/>
        <color indexed="10"/>
        <rFont val="Arial"/>
        <family val="2"/>
      </rPr>
      <t>[AWARD or FIXED]</t>
    </r>
    <r>
      <rPr>
        <b/>
        <sz val="10"/>
        <rFont val="Arial"/>
        <family val="2"/>
      </rPr>
      <t xml:space="preserve"> FEE</t>
    </r>
  </si>
  <si>
    <t>EXHIBIT 6A</t>
  </si>
  <si>
    <t>EXHIBIT 6B</t>
  </si>
  <si>
    <t>EXHIBIT 8A</t>
  </si>
  <si>
    <t>Direct Labor Categories</t>
  </si>
  <si>
    <t>EXHIBIT 2A</t>
  </si>
  <si>
    <t>NON-MANAGEMENT DIRECT LABOR CATEGORY CONVERSION</t>
  </si>
  <si>
    <t>Contract Year _____</t>
  </si>
  <si>
    <t xml:space="preserve">Offeror Direct Labor (DL) Category(s)*  </t>
  </si>
  <si>
    <t>Unburdened Direct Labor Rate</t>
  </si>
  <si>
    <t>CY Indirect Bid Rates</t>
  </si>
  <si>
    <t>Fee</t>
  </si>
  <si>
    <t>to</t>
  </si>
  <si>
    <t>Overhead $</t>
  </si>
  <si>
    <t xml:space="preserve">Other** $ </t>
  </si>
  <si>
    <t>G&amp;A $</t>
  </si>
  <si>
    <t>GPM-Specified Non-Management DL Category</t>
  </si>
  <si>
    <r>
      <t xml:space="preserve">Fill-in </t>
    </r>
    <r>
      <rPr>
        <i/>
        <u/>
        <sz val="8"/>
        <rFont val="Arial"/>
        <family val="2"/>
      </rPr>
      <t>Offeror</t>
    </r>
    <r>
      <rPr>
        <i/>
        <sz val="8"/>
        <rFont val="Arial"/>
        <family val="2"/>
      </rPr>
      <t xml:space="preserve"> DL category(s) by title that comprise GPM-Specified DL Category*</t>
    </r>
  </si>
  <si>
    <t>Offeror Rate</t>
  </si>
  <si>
    <t>Portion %</t>
  </si>
  <si>
    <t>Labor Category 1~</t>
  </si>
  <si>
    <t>* Add additional rows if more than two Offeror DL Categories are used to calculate GPM-Specified Non-Management DL Category</t>
  </si>
  <si>
    <t xml:space="preserve">** If applicable, insert and identify any "Other" indirect rates used to calculate loaded direct labor rates in accordance with your current accounting system (e.g., a separate fringe benefits rate) </t>
  </si>
  <si>
    <t>This exhibit contains Source Selection Information.  See FAR 3.104.</t>
  </si>
  <si>
    <t>EXHIBIT 2B</t>
  </si>
  <si>
    <t xml:space="preserve">OFFEROR MANAGEMENT AND ADMINISTRATIVE LABOR  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</si>
  <si>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OR   [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 ] </t>
    </r>
    <r>
      <rPr>
        <b/>
        <sz val="10"/>
        <rFont val="Arial"/>
        <family val="2"/>
      </rPr>
      <t>Significant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Subcontractor</t>
    </r>
  </si>
  <si>
    <t>SAMPLE - EXHIBIT 2A - SAMPLE</t>
  </si>
  <si>
    <t>(OFFEROR DIRECT LABOR CATEGORY(S) TO GPM-SPECIFIED DIRECT LABOR CATEGORY)</t>
  </si>
  <si>
    <t>Contract Year __1___</t>
  </si>
  <si>
    <t>NOTE:  For purposes of this sample, Offeror Data/Rate Fill-ins are highlighted in yellow.  Loaded GPM DL Rate conversion is highlighted in blue.</t>
  </si>
  <si>
    <t>Loaded</t>
  </si>
  <si>
    <t>Offeror</t>
  </si>
  <si>
    <t>Portion</t>
  </si>
  <si>
    <t>GPM</t>
  </si>
  <si>
    <t>Amount</t>
  </si>
  <si>
    <t>NA</t>
  </si>
  <si>
    <t>DL Rate***</t>
  </si>
  <si>
    <t xml:space="preserve">  Position AB</t>
  </si>
  <si>
    <t xml:space="preserve">  Position ABC</t>
  </si>
  <si>
    <t>CAD/Draftsman</t>
  </si>
  <si>
    <t xml:space="preserve">  Position 12</t>
  </si>
  <si>
    <t xml:space="preserve">  Position 123</t>
  </si>
  <si>
    <t xml:space="preserve">  Position 45</t>
  </si>
  <si>
    <t>Communications System Engineer</t>
  </si>
  <si>
    <t xml:space="preserve">  Position X</t>
  </si>
  <si>
    <t>Configuration Management Specialist</t>
  </si>
  <si>
    <r>
      <rPr>
        <b/>
        <sz val="10"/>
        <color rgb="FFFF0000"/>
        <rFont val="Arial"/>
        <family val="2"/>
      </rPr>
      <t>This exhibit contains Source Selection Information.  See FAR 3.104.</t>
    </r>
  </si>
  <si>
    <t>Proposing Entity:  XYC, Inc.</t>
  </si>
  <si>
    <t>* Add additional rows if more than two Offeror DL Categories are used to calculate GPM-Specified DL Category</t>
  </si>
  <si>
    <t xml:space="preserve">Offeror Management </t>
  </si>
  <si>
    <t>Unburdened</t>
  </si>
  <si>
    <t>and/or Administrative</t>
  </si>
  <si>
    <t>Direct Labor</t>
  </si>
  <si>
    <t>Direct Labor Categories*</t>
  </si>
  <si>
    <t>Rate***</t>
  </si>
  <si>
    <t>Offeror ONSITE</t>
  </si>
  <si>
    <t xml:space="preserve">Management </t>
  </si>
  <si>
    <t xml:space="preserve">Offeror OFFSITE </t>
  </si>
  <si>
    <t>Administrative</t>
  </si>
  <si>
    <t>*** If this is a Significant Subcontractor Exhibit - Loaded Non-Management ONSITE, OFFSITE OR MANUFACTURING SITE Direct Labor Bid Rate MUST match the corresponding site Significant Subcontractor Loaded Non-Management Direct Labor Bid Rate in Exhibit 1A</t>
  </si>
  <si>
    <r>
      <rPr>
        <b/>
        <u/>
        <sz val="12"/>
        <rFont val="Arial"/>
        <family val="2"/>
      </rPr>
      <t>OFFSITE</t>
    </r>
    <r>
      <rPr>
        <b/>
        <sz val="12"/>
        <rFont val="Arial"/>
        <family val="2"/>
      </rPr>
      <t xml:space="preserve"> Place of Performance</t>
    </r>
  </si>
  <si>
    <t>****If this is a Significant Subcontractor Exhibit - Loaded OFFSITE Administrative Direct Labor Bid Rate MUST match the corresponding Significant Subcontractor Loaded OFFSITE Administrative Direct Labor Bid Rate in Exhibit 1A</t>
  </si>
  <si>
    <t>****If this is a Prime Offeror Exhibit - Loaded OFFSITE Administrative Direct Labor Bid Rate MUST match the corresponding Prime Loaded OFFSITE Administrative Direct Labor Bid Rate in Exhibit 1A</t>
  </si>
  <si>
    <t xml:space="preserve"> ***If this is a Significant Subcontractor Exhibit - Loaded ONSITE Management Labor Bid Rate MUST match the corresponding Significant Subcontractor Loaded ONSITE Management Direct Labor Bid Rate in Exhibit 1A</t>
  </si>
  <si>
    <t>***If this is a Prime Offeror Exhibit - Loaded OFFSITE Management and/or Administrative (M&amp;A) Direct Labor Bid Rate MUST match the corresponding Prime Loaded OFFSITE M&amp;A Direct Labor Bid Rate in Exhibit 1A</t>
  </si>
  <si>
    <t>***If this is a Significant Subcontractor Exhibit - Loaded OFFSITE Management and/or Administrative (M&amp;A) Direct Labor Bid Rate MUST match the corresponding Significant Subcontractor Loaded M&amp;A Direct Labor Bid Rate in Exhibit 1A</t>
  </si>
  <si>
    <t>*** If this is a Prime Offeror Exhibit - Loaded Non-Management ONSITE, OFFSITE or MANUFACTURING SITE Direct Labor Bid Rate MUST match the corresponding site Prime Loaded Non-Management Direct Labor Bid Rate in Exhibit 1A</t>
  </si>
  <si>
    <t>EXHIBIT 2C</t>
  </si>
  <si>
    <t>NON-SIGNIFICANT SUBCONTRACTOR</t>
  </si>
  <si>
    <t>EXHIBIT 2D</t>
  </si>
  <si>
    <r>
      <rPr>
        <b/>
        <u/>
        <sz val="11"/>
        <rFont val="Arial"/>
        <family val="2"/>
      </rPr>
      <t>OFFSITE</t>
    </r>
    <r>
      <rPr>
        <b/>
        <sz val="11"/>
        <rFont val="Arial"/>
        <family val="2"/>
      </rPr>
      <t xml:space="preserve"> Place of Performance</t>
    </r>
  </si>
  <si>
    <t xml:space="preserve">NON-SIGNIFICANT SUBCONTRACTOR </t>
  </si>
  <si>
    <r>
      <rPr>
        <b/>
        <u/>
        <sz val="11"/>
        <rFont val="Arial"/>
        <family val="2"/>
      </rPr>
      <t>ONSITE</t>
    </r>
    <r>
      <rPr>
        <b/>
        <sz val="11"/>
        <rFont val="Arial"/>
        <family val="2"/>
      </rPr>
      <t xml:space="preserve"> Management and </t>
    </r>
    <r>
      <rPr>
        <b/>
        <u/>
        <sz val="11"/>
        <rFont val="Arial"/>
        <family val="2"/>
      </rPr>
      <t>OFFSITE</t>
    </r>
    <r>
      <rPr>
        <b/>
        <sz val="11"/>
        <rFont val="Arial"/>
        <family val="2"/>
      </rPr>
      <t xml:space="preserve"> Administrative Place of Performance</t>
    </r>
  </si>
  <si>
    <t>Proposing Entity:  ABC Company</t>
  </si>
  <si>
    <t xml:space="preserve">  CAD Level 1</t>
  </si>
  <si>
    <t xml:space="preserve">  Draftsman Level 1</t>
  </si>
  <si>
    <t xml:space="preserve">  Jr. System Engineer</t>
  </si>
  <si>
    <t xml:space="preserve">  System Engineer</t>
  </si>
  <si>
    <t xml:space="preserve">  Lead System Engineer</t>
  </si>
  <si>
    <t xml:space="preserve">  CM Level 3</t>
  </si>
  <si>
    <t>Labor Category 4~</t>
  </si>
  <si>
    <t>Labor Category 5~</t>
  </si>
  <si>
    <t>Labor Category 6~</t>
  </si>
  <si>
    <t>Labor Category 2~</t>
  </si>
  <si>
    <t>Labor Category 3~</t>
  </si>
  <si>
    <r>
      <t>~ Insert GPM-Specified Direct Labor Categories from Enclosure entitled</t>
    </r>
    <r>
      <rPr>
        <b/>
        <sz val="7"/>
        <rFont val="Arial"/>
        <family val="2"/>
      </rPr>
      <t xml:space="preserve">, GPM-Specified Non-Management Direct Labor Categories, Direct Labor Hours and Position Descriptions, and adjust rows as necessary. </t>
    </r>
  </si>
  <si>
    <t xml:space="preserve">~ Insert GPM-Specified Direct Labor Categories from Enclosure entitled, GPM-Specified Non-Management Direct Labor Categories, Direct Labor Hours and Position Descriptions, and adjust rows as necessary. </t>
  </si>
  <si>
    <t xml:space="preserve">Manufacturing </t>
  </si>
  <si>
    <t>Overhead Rate</t>
  </si>
  <si>
    <t>SAMPLE - EXHIBIT 2C - SAMPLE</t>
  </si>
  <si>
    <t xml:space="preserve">* Code each Labor Cateogry:  S=SALARIED; H=HOURLY; U=UNION; E=EXEMPT; NE=NON-EXEMPT DOL/WD DETERMINATION; </t>
  </si>
  <si>
    <t>Burdened Direct Labor Rate</t>
  </si>
  <si>
    <t xml:space="preserve">Offeror Loaded </t>
  </si>
  <si>
    <t>Loaded GPM</t>
  </si>
  <si>
    <t>DL Rate</t>
  </si>
  <si>
    <t>DL Rate**</t>
  </si>
  <si>
    <t>OFFSITE</t>
  </si>
  <si>
    <t>Loaded OFFSITE</t>
  </si>
  <si>
    <t>Offeror Management and/or Administrative</t>
  </si>
  <si>
    <t>Rate**</t>
  </si>
  <si>
    <t>**Loaded OFFSITE Management and/or Administrative (M&amp;A) Direct Labor Bid Rate MUST match the corresponding Subcontractor Loaded OFFSITE M&amp;A Bid Rate in Exhibit 1A</t>
  </si>
  <si>
    <t>*Add additional rows if needed.</t>
  </si>
  <si>
    <t>ONSITE</t>
  </si>
  <si>
    <t>Loaded ONSITE</t>
  </si>
  <si>
    <t xml:space="preserve">OFFSITE </t>
  </si>
  <si>
    <t>Offeror Administrative</t>
  </si>
  <si>
    <t>***Loaded OFFSITE Administrative Direct Labor Bid Rate MUST match the corresponding Subcontractor Loaded OFFSITE Administrative Bid Rate in Exhibit 1A</t>
  </si>
  <si>
    <t>**Loaded ONSITE Management Direct Labor Bid Rate MUST match the corresponding Subcontractor Loaded ONSITE Management Bid Rate in Exhibit 1A</t>
  </si>
  <si>
    <t xml:space="preserve">**If applicable, insert and identify any "Other" indirect rates used to calculate loaded direct labor rates in accordance with your current accounting system (e.g., a separate fringe benefits rate) </t>
  </si>
  <si>
    <t>***If this is a Prime Offeror Exhibit - Loaded ONSITE Management Direct Labor Bid Rate MUST match the corresponding Prime Loaded ONSITE Management Direct Labor Bid Rate in Exhibit 1A</t>
  </si>
  <si>
    <t>Rate****</t>
  </si>
  <si>
    <t>** The Non-Significant Subcontractor Loaded Non-Management ONSITE, OFFSITE or MANUFACTURING SITE Direct Labor Bid Rate MUST match the corresponding site Non-Significant Subcontractor Loaded Non-Management Bid Rate in Exhibit 1A</t>
  </si>
  <si>
    <t>*Add additional rows if more than two Offeror DL Categories are used to calculate GPM-Specified Non-Management DL Category</t>
  </si>
  <si>
    <t>***If this is a Prime Offeror Exhibit - Loaded Non-Management ONSITE, OFFSITE or MANUFACTURING SITE Direct Labor Bid Rate MUST match the corresponding site Prime Loaded Non-Management Bid Rate in Exhibit 1A</t>
  </si>
  <si>
    <t>***If this is a Significant Subcontractor Exhibit - Loaded Non-Management ONSITE, OFFSITE OR MANUFACTURING SITE Direct Labor Bid Rate MUST match the corresponding site Significant Subcontractor Loaded Non-Management Direct Labor Bid Rate in Exhibit 1A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</si>
  <si>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</si>
  <si>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</t>
    </r>
    <r>
      <rPr>
        <b/>
        <sz val="10"/>
        <rFont val="Arial"/>
        <family val="2"/>
      </rPr>
      <t xml:space="preserve"> Significant Subcontractor</t>
    </r>
  </si>
  <si>
    <r>
      <t xml:space="preserve">[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>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</si>
  <si>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t>*Explain Basis of Allocation of Contractor FY Rates to Obtain Contract Year Composite Rates</t>
  </si>
  <si>
    <t>**If Multiple "Other" Indirect Rates - Add additional columns and specify each individually</t>
  </si>
  <si>
    <t xml:space="preserve">***Explanation of Base of Application 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</si>
  <si>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 </t>
    </r>
    <r>
      <rPr>
        <sz val="10"/>
        <color rgb="FFFF0000"/>
        <rFont val="Arial"/>
        <family val="2"/>
      </rPr>
      <t xml:space="preserve">OR </t>
    </r>
    <r>
      <rPr>
        <sz val="10"/>
        <rFont val="Arial"/>
        <family val="2"/>
      </rPr>
      <t xml:space="preserve">  [   ] </t>
    </r>
    <r>
      <rPr>
        <b/>
        <sz val="10"/>
        <rFont val="Arial"/>
        <family val="2"/>
      </rPr>
      <t>Significant Subcontractor</t>
    </r>
  </si>
  <si>
    <t>SUMMARY OF RECURRING OTHER DIRECT COSTS (ODCs) / COST ESTIMATING RELATIONSHIPS (CERs)</t>
  </si>
  <si>
    <r>
      <t xml:space="preserve">[    ]  </t>
    </r>
    <r>
      <rPr>
        <b/>
        <sz val="10"/>
        <rFont val="Arial"/>
        <family val="2"/>
      </rPr>
      <t>Prime Offeror</t>
    </r>
    <r>
      <rPr>
        <sz val="1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 OR</t>
    </r>
    <r>
      <rPr>
        <sz val="10"/>
        <rFont val="Arial"/>
        <family val="2"/>
      </rPr>
      <t xml:space="preserve">   [   ] </t>
    </r>
    <r>
      <rPr>
        <b/>
        <sz val="10"/>
        <rFont val="Arial"/>
        <family val="2"/>
      </rPr>
      <t>Significant Subcontractor</t>
    </r>
  </si>
  <si>
    <t>Specify ODC**</t>
  </si>
  <si>
    <t>Percentage/Rate/Amount***</t>
  </si>
  <si>
    <t>BASE OF APPLICATION - INDIRECT RATE APPLIED AGAINST (Specific Base)****</t>
  </si>
  <si>
    <t>*Explain Basis of Allocation of Contractor FY Rates to Obtain Contract Year Rates</t>
  </si>
  <si>
    <t xml:space="preserve">**Type/Name of Recurring ODCs or CERs (i.e. Computer Usage, Program Management, Administrative Support, Depreciation, etc.) </t>
  </si>
  <si>
    <t>***Specify ODC as either a Percentage (%), Rate, and/or Dollar amount ($)</t>
  </si>
  <si>
    <t xml:space="preserve">****Explanation of Base of Application </t>
  </si>
  <si>
    <t>PHASE-IN PLAN PRICE</t>
  </si>
  <si>
    <t>OVERHEAD COSTS</t>
  </si>
  <si>
    <t>DIRECT LABOR COSTS</t>
  </si>
  <si>
    <t>G&amp;A COSTS</t>
  </si>
  <si>
    <r>
      <rPr>
        <b/>
        <sz val="10"/>
        <rFont val="Arial"/>
        <family val="2"/>
      </rPr>
      <t>DIRECT LABOR HOURS</t>
    </r>
    <r>
      <rPr>
        <sz val="10"/>
        <rFont val="Arial"/>
        <family val="2"/>
      </rPr>
      <t xml:space="preserve"> </t>
    </r>
    <r>
      <rPr>
        <i/>
        <sz val="9"/>
        <rFont val="Arial"/>
        <family val="2"/>
      </rPr>
      <t xml:space="preserve">(Derived from </t>
    </r>
    <r>
      <rPr>
        <b/>
        <i/>
        <sz val="9"/>
        <color rgb="FF0070C0"/>
        <rFont val="Arial"/>
        <family val="2"/>
      </rPr>
      <t>Exhibit 8A</t>
    </r>
    <r>
      <rPr>
        <i/>
        <sz val="9"/>
        <rFont val="Arial"/>
        <family val="2"/>
      </rPr>
      <t>)</t>
    </r>
  </si>
  <si>
    <r>
      <rPr>
        <b/>
        <sz val="10"/>
        <rFont val="Arial"/>
        <family val="2"/>
      </rPr>
      <t>DIRECT LABOR COST</t>
    </r>
    <r>
      <rPr>
        <sz val="10"/>
        <rFont val="Arial"/>
        <family val="2"/>
      </rPr>
      <t xml:space="preserve"> </t>
    </r>
    <r>
      <rPr>
        <i/>
        <sz val="9"/>
        <rFont val="Arial"/>
        <family val="2"/>
      </rPr>
      <t xml:space="preserve">(Derived from </t>
    </r>
    <r>
      <rPr>
        <b/>
        <i/>
        <sz val="9"/>
        <color rgb="FF0070C0"/>
        <rFont val="Arial"/>
        <family val="2"/>
      </rPr>
      <t>Exhibit 8A</t>
    </r>
    <r>
      <rPr>
        <i/>
        <sz val="9"/>
        <rFont val="Arial"/>
        <family val="2"/>
      </rPr>
      <t>)</t>
    </r>
  </si>
  <si>
    <t xml:space="preserve">Place of Performance:  [   ] Onsite  or [   ] Offsite </t>
  </si>
  <si>
    <t>ONSITE or OFFSITE</t>
  </si>
  <si>
    <t xml:space="preserve">Place of Performance:  [ X ] Onsite  or [   ] Offsite </t>
  </si>
  <si>
    <t>ONSITE, or OFFSITE</t>
  </si>
  <si>
    <t xml:space="preserve">Place of Performance:  [ X  ] Onsite  or [   ] Offsite </t>
  </si>
  <si>
    <t>Place of Performance:  [   ] Onsite  or [   ] Offsite</t>
  </si>
  <si>
    <t xml:space="preserve">In absence of a Forward Pricing Rate Agreement (FPRA), the prime contractor and each known Major subcontractor or IWTA will populate this tab to show the indirect rate build-up for their company. </t>
  </si>
  <si>
    <t>Offeror, add/delete rows as needed; all columns are required, if no FPRA is in place.</t>
  </si>
  <si>
    <t>Indicate Fiscal/Calendar Year in header (see row 12).</t>
  </si>
  <si>
    <t>Cost Elements within the Overhead Burden Pool</t>
  </si>
  <si>
    <t>Historical (Actuals)</t>
  </si>
  <si>
    <t xml:space="preserve"> Current Period  (Combination of Historical (Actuals) / Future (Forecast))</t>
  </si>
  <si>
    <t>Future (Forecast)</t>
  </si>
  <si>
    <t>Contractor (Fiscal/Calendar) Year</t>
  </si>
  <si>
    <t>Enter Year Here</t>
  </si>
  <si>
    <t>Overhead Items: (Identify)</t>
  </si>
  <si>
    <t>Department supervision</t>
  </si>
  <si>
    <t>Depreciation of department buildings and equipment</t>
  </si>
  <si>
    <t>Training of department employees</t>
  </si>
  <si>
    <t>Fringe benefits of department employees</t>
  </si>
  <si>
    <t xml:space="preserve">Facilities </t>
  </si>
  <si>
    <t>Other Overhead (Identify)</t>
  </si>
  <si>
    <t>Other Overhead 1 (if needed)</t>
  </si>
  <si>
    <t>Other Overhead 2 (if needed)</t>
  </si>
  <si>
    <t>Other Overhead 3 (if needed)</t>
  </si>
  <si>
    <t>Other Overhead 4 (if needed)</t>
  </si>
  <si>
    <t xml:space="preserve"> Total Overhead Pool Expenses</t>
  </si>
  <si>
    <t>Allocation Base Dollars:</t>
  </si>
  <si>
    <t xml:space="preserve">  Existing Business Base</t>
  </si>
  <si>
    <t xml:space="preserve">  This Contract Base</t>
  </si>
  <si>
    <t xml:space="preserve">  Forecasted Business Base</t>
  </si>
  <si>
    <t>Total Allocation Base $</t>
  </si>
  <si>
    <t xml:space="preserve"> Calculated Calendar  Rate (%)</t>
  </si>
  <si>
    <t>Overhead or Service Center Pool =</t>
  </si>
  <si>
    <t>Populate with explanation description</t>
  </si>
  <si>
    <t>Base of Application =</t>
  </si>
  <si>
    <t>Add tab and follow format outlined here as needed for each applicable OH pool (if more than one is proposed).</t>
  </si>
  <si>
    <r>
      <t xml:space="preserve">[    ]  </t>
    </r>
    <r>
      <rPr>
        <b/>
        <sz val="11"/>
        <rFont val="Arial"/>
        <family val="2"/>
      </rPr>
      <t>Prime Offeror</t>
    </r>
    <r>
      <rPr>
        <sz val="11"/>
        <rFont val="Arial"/>
        <family val="2"/>
      </rPr>
      <t xml:space="preserve">  </t>
    </r>
    <r>
      <rPr>
        <sz val="11"/>
        <color rgb="FFFF0000"/>
        <rFont val="Arial"/>
        <family val="2"/>
      </rPr>
      <t>OR</t>
    </r>
    <r>
      <rPr>
        <sz val="11"/>
        <rFont val="Arial"/>
        <family val="2"/>
      </rPr>
      <t xml:space="preserve">   [   ] </t>
    </r>
    <r>
      <rPr>
        <b/>
        <sz val="11"/>
        <rFont val="Arial"/>
        <family val="2"/>
      </rPr>
      <t>Significant Subcontractor</t>
    </r>
  </si>
  <si>
    <t>General and Administrative Expenses (G&amp;A)</t>
  </si>
  <si>
    <t>Executive Control and Direction (Identify)</t>
  </si>
  <si>
    <t>All Personnel</t>
  </si>
  <si>
    <t>Departments</t>
  </si>
  <si>
    <t>Facilities</t>
  </si>
  <si>
    <t xml:space="preserve">Activities of the contractor </t>
  </si>
  <si>
    <t>Typically includes: (Identify)</t>
  </si>
  <si>
    <t>Human Resources</t>
  </si>
  <si>
    <t>Accounting</t>
  </si>
  <si>
    <t>Finance</t>
  </si>
  <si>
    <t>Public Relations</t>
  </si>
  <si>
    <t>Contract Administration</t>
  </si>
  <si>
    <t>Legal</t>
  </si>
  <si>
    <t xml:space="preserve">Indirect Travel </t>
  </si>
  <si>
    <t xml:space="preserve">Depreciation </t>
  </si>
  <si>
    <t xml:space="preserve">Computer </t>
  </si>
  <si>
    <t xml:space="preserve">Rent(s) / Lease(s) </t>
  </si>
  <si>
    <t xml:space="preserve">Advertising </t>
  </si>
  <si>
    <t xml:space="preserve">Telephone </t>
  </si>
  <si>
    <t xml:space="preserve">Insurance </t>
  </si>
  <si>
    <t xml:space="preserve">Expense allocation from corporate home office </t>
  </si>
  <si>
    <t>Other G&amp;A (Specify):</t>
  </si>
  <si>
    <t>Other G&amp;A 1 (if needed)</t>
  </si>
  <si>
    <t>Other G&amp;A 2 (if needed)</t>
  </si>
  <si>
    <t>Other G&amp;A 3 (if needed)</t>
  </si>
  <si>
    <t>Other G&amp;A 4 (if needed)</t>
  </si>
  <si>
    <t>Total G&amp;A Expenses</t>
  </si>
  <si>
    <t>Less Unallowables G&amp;A (Specify):</t>
  </si>
  <si>
    <t>Unallowable G&amp;A 1</t>
  </si>
  <si>
    <t>Unallowable G&amp;A 2</t>
  </si>
  <si>
    <t>Unallowable G&amp;A 3</t>
  </si>
  <si>
    <t>Unallowable G&amp;A 4</t>
  </si>
  <si>
    <t>Net Allowable G&amp;A Expenses</t>
  </si>
  <si>
    <t>Calculated G&amp;A Rates (%)</t>
  </si>
  <si>
    <t>G&amp;A Pool =</t>
  </si>
  <si>
    <t>Fringe</t>
  </si>
  <si>
    <t>Cost Elements within the Fringe Pool</t>
  </si>
  <si>
    <t>Fringe Items: (Identify)</t>
  </si>
  <si>
    <t xml:space="preserve"> HOLIDAY</t>
  </si>
  <si>
    <t xml:space="preserve"> SICK</t>
  </si>
  <si>
    <t xml:space="preserve"> JURY DUTY</t>
  </si>
  <si>
    <t xml:space="preserve"> BEREAVEMENT</t>
  </si>
  <si>
    <t xml:space="preserve"> OTHER PAID ABSENCE</t>
  </si>
  <si>
    <t xml:space="preserve"> LEAVE WITHOUT PAY</t>
  </si>
  <si>
    <t xml:space="preserve"> INCENTIVES</t>
  </si>
  <si>
    <t xml:space="preserve"> PERSONAL TIME OFF</t>
  </si>
  <si>
    <t xml:space="preserve"> MILITARY LEAVE</t>
  </si>
  <si>
    <t xml:space="preserve"> SIGN ON/RET INCENTIVE</t>
  </si>
  <si>
    <t xml:space="preserve"> PARENTAL LEAVE</t>
  </si>
  <si>
    <t xml:space="preserve"> ACCIDENTAL D&amp;D</t>
  </si>
  <si>
    <t xml:space="preserve"> LIFE INSURANCE</t>
  </si>
  <si>
    <t xml:space="preserve"> LONG-TERM DISABILITY</t>
  </si>
  <si>
    <t xml:space="preserve"> MEDICAL/HEALTH</t>
  </si>
  <si>
    <t xml:space="preserve"> SHORT-TERM DISABILITY</t>
  </si>
  <si>
    <t xml:space="preserve"> WORKER'S COMP</t>
  </si>
  <si>
    <t>DENTAL</t>
  </si>
  <si>
    <t>VISION</t>
  </si>
  <si>
    <t>BENEFIT ALLOCATION</t>
  </si>
  <si>
    <t xml:space="preserve"> 401(K) CONTRIBUTION</t>
  </si>
  <si>
    <t xml:space="preserve"> SEVERANCE</t>
  </si>
  <si>
    <t xml:space="preserve"> EDUCATION REIMB</t>
  </si>
  <si>
    <t xml:space="preserve"> EMPLOYEE ASST PROGRAM</t>
  </si>
  <si>
    <t xml:space="preserve"> SCA PAYMENTS</t>
  </si>
  <si>
    <t xml:space="preserve"> OTHER BENEFITS</t>
  </si>
  <si>
    <t xml:space="preserve"> FICA - SS EMPLOYER</t>
  </si>
  <si>
    <t xml:space="preserve"> FICA - MEDICARE EMPLO</t>
  </si>
  <si>
    <t xml:space="preserve"> FUTA</t>
  </si>
  <si>
    <t xml:space="preserve"> SDI</t>
  </si>
  <si>
    <t xml:space="preserve"> SUTA</t>
  </si>
  <si>
    <t xml:space="preserve"> TAXES - P/R OTHER</t>
  </si>
  <si>
    <t>Other Fringe 1 (if needed)</t>
  </si>
  <si>
    <t>Other Fringe 2 (if needed)</t>
  </si>
  <si>
    <t>Other Fringe 3 (if needed)</t>
  </si>
  <si>
    <t>Other Fringe 4 (if needed)</t>
  </si>
  <si>
    <t xml:space="preserve"> Total Fringe Pool Expenses</t>
  </si>
  <si>
    <t xml:space="preserve"> Calculated Calendar Rate (%)</t>
  </si>
  <si>
    <t>Fringe Pool =</t>
  </si>
  <si>
    <t>Add tab and follow format outlined here as needed for each applicable Fringe pool (if more than one is proposed).</t>
  </si>
  <si>
    <t>EXHIBIT 6C</t>
  </si>
  <si>
    <t>FRINGE EXPENSE POOL</t>
  </si>
  <si>
    <t>OVERHEAD EXPENSE POOL</t>
  </si>
  <si>
    <t>FRINGE  EXPENSE POOL</t>
  </si>
  <si>
    <t>FRINGE COSTS</t>
  </si>
  <si>
    <t>RFP# 80GSFC24R0042</t>
  </si>
  <si>
    <t>EXHIBIT 10A</t>
  </si>
  <si>
    <t>EXHIBIT 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</si>
</sst>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General_)"/>
    <numFmt numFmtId="165" formatCode="&quot;$&quot;#,##0.00"/>
    <numFmt numFmtId="166" formatCode="&quot;$&quot;#,##0"/>
    <numFmt numFmtId="167" formatCode="_(&quot;$&quot;* #,##0_);_(&quot;$&quot;* \(#,##0\);_(&quot;$&quot;* &quot;-&quot;??_);_(@_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sz val="12"/>
      <name val="Times New Roman"/>
      <family val="1"/>
    </font>
    <font>
      <i/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u/>
      <sz val="10"/>
      <color indexed="12"/>
      <name val="Courier"/>
      <family val="3"/>
    </font>
    <font>
      <b/>
      <u/>
      <sz val="12"/>
      <name val="Arial"/>
      <family val="2"/>
    </font>
    <font>
      <u val="double"/>
      <sz val="10"/>
      <name val="Arial"/>
      <family val="2"/>
    </font>
    <font>
      <b/>
      <sz val="10"/>
      <color indexed="10"/>
      <name val="Arial"/>
      <family val="2"/>
    </font>
    <font>
      <i/>
      <sz val="8"/>
      <name val="Arial"/>
      <family val="2"/>
    </font>
    <font>
      <i/>
      <u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b/>
      <i/>
      <sz val="9"/>
      <color rgb="FF0070C0"/>
      <name val="Arial"/>
      <family val="2"/>
    </font>
    <font>
      <sz val="11"/>
      <name val="Arial"/>
      <family val="2"/>
    </font>
    <font>
      <b/>
      <sz val="11"/>
      <color rgb="FF00B0F0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Courier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00B0F0"/>
      <name val="Times New Roman"/>
      <family val="1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F9CB"/>
        <bgColor indexed="64"/>
      </patternFill>
    </fill>
  </fills>
  <borders count="8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3" fontId="4" fillId="0" borderId="0"/>
    <xf numFmtId="3" fontId="4" fillId="0" borderId="0"/>
    <xf numFmtId="0" fontId="4" fillId="0" borderId="0"/>
    <xf numFmtId="3" fontId="4" fillId="0" borderId="0"/>
    <xf numFmtId="0" fontId="13" fillId="0" borderId="0"/>
    <xf numFmtId="0" fontId="19" fillId="0" borderId="0" applyNumberFormat="0" applyFill="0" applyBorder="0" applyAlignment="0" applyProtection="0">
      <alignment vertical="top"/>
      <protection locked="0"/>
    </xf>
    <xf numFmtId="3" fontId="2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8" fillId="0" borderId="0"/>
    <xf numFmtId="0" fontId="1" fillId="0" borderId="0"/>
    <xf numFmtId="0" fontId="2" fillId="0" borderId="0"/>
    <xf numFmtId="0" fontId="2" fillId="0" borderId="0">
      <alignment vertical="center"/>
    </xf>
  </cellStyleXfs>
  <cellXfs count="778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6" fillId="0" borderId="2" xfId="0" applyFont="1" applyBorder="1" applyAlignment="1"/>
    <xf numFmtId="0" fontId="5" fillId="0" borderId="2" xfId="0" applyFont="1" applyBorder="1" applyAlignment="1"/>
    <xf numFmtId="0" fontId="0" fillId="0" borderId="0" xfId="0" applyAlignment="1"/>
    <xf numFmtId="0" fontId="4" fillId="0" borderId="2" xfId="0" applyFont="1" applyBorder="1" applyAlignment="1"/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vertical="center"/>
    </xf>
    <xf numFmtId="0" fontId="0" fillId="0" borderId="0" xfId="0" applyBorder="1" applyAlignment="1"/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2" xfId="3" applyFont="1" applyBorder="1" applyAlignment="1"/>
    <xf numFmtId="0" fontId="4" fillId="0" borderId="2" xfId="3" applyBorder="1"/>
    <xf numFmtId="0" fontId="4" fillId="0" borderId="2" xfId="0" applyFont="1" applyBorder="1"/>
    <xf numFmtId="0" fontId="5" fillId="0" borderId="2" xfId="0" applyFont="1" applyBorder="1"/>
    <xf numFmtId="3" fontId="6" fillId="0" borderId="2" xfId="4" applyFont="1" applyBorder="1" applyAlignment="1"/>
    <xf numFmtId="0" fontId="0" fillId="0" borderId="0" xfId="0" applyAlignment="1">
      <alignment wrapText="1"/>
    </xf>
    <xf numFmtId="0" fontId="5" fillId="0" borderId="7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left" vertical="center"/>
    </xf>
    <xf numFmtId="0" fontId="15" fillId="0" borderId="2" xfId="5" applyFont="1" applyBorder="1" applyAlignment="1"/>
    <xf numFmtId="0" fontId="5" fillId="0" borderId="2" xfId="5" applyFont="1" applyBorder="1" applyAlignment="1"/>
    <xf numFmtId="0" fontId="6" fillId="0" borderId="2" xfId="5" applyFont="1" applyBorder="1" applyAlignment="1"/>
    <xf numFmtId="0" fontId="13" fillId="0" borderId="0" xfId="5"/>
    <xf numFmtId="0" fontId="13" fillId="0" borderId="0" xfId="5" applyAlignment="1">
      <alignment horizontal="right"/>
    </xf>
    <xf numFmtId="0" fontId="13" fillId="0" borderId="0" xfId="5" applyBorder="1"/>
    <xf numFmtId="0" fontId="13" fillId="0" borderId="0" xfId="5" applyBorder="1" applyAlignment="1">
      <alignment horizontal="right"/>
    </xf>
    <xf numFmtId="0" fontId="4" fillId="0" borderId="4" xfId="5" applyFont="1" applyBorder="1"/>
    <xf numFmtId="0" fontId="5" fillId="0" borderId="4" xfId="5" applyFont="1" applyBorder="1"/>
    <xf numFmtId="0" fontId="16" fillId="0" borderId="2" xfId="5" applyFont="1" applyBorder="1" applyAlignment="1">
      <alignment horizontal="left" vertical="center"/>
    </xf>
    <xf numFmtId="0" fontId="4" fillId="0" borderId="2" xfId="5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/>
    <xf numFmtId="49" fontId="4" fillId="0" borderId="2" xfId="0" applyNumberFormat="1" applyFont="1" applyBorder="1"/>
    <xf numFmtId="49" fontId="4" fillId="0" borderId="3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164" fontId="19" fillId="0" borderId="2" xfId="6" applyNumberFormat="1" applyBorder="1" applyAlignment="1" applyProtection="1"/>
    <xf numFmtId="164" fontId="19" fillId="0" borderId="2" xfId="6" applyNumberFormat="1" applyFont="1" applyBorder="1" applyAlignment="1" applyProtection="1">
      <alignment horizontal="left" vertical="center"/>
    </xf>
    <xf numFmtId="0" fontId="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4" xfId="0" applyBorder="1" applyAlignment="1">
      <alignment horizontal="right" vertical="center"/>
    </xf>
    <xf numFmtId="166" fontId="0" fillId="0" borderId="4" xfId="0" applyNumberFormat="1" applyBorder="1" applyAlignment="1">
      <alignment horizontal="right" vertical="center"/>
    </xf>
    <xf numFmtId="0" fontId="0" fillId="0" borderId="2" xfId="0" applyBorder="1" applyAlignment="1"/>
    <xf numFmtId="0" fontId="5" fillId="0" borderId="8" xfId="0" applyFont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5" fillId="0" borderId="11" xfId="0" applyFont="1" applyBorder="1"/>
    <xf numFmtId="0" fontId="0" fillId="0" borderId="12" xfId="0" applyBorder="1"/>
    <xf numFmtId="0" fontId="4" fillId="0" borderId="11" xfId="0" applyFont="1" applyBorder="1" applyAlignment="1">
      <alignment horizontal="left" vertical="center"/>
    </xf>
    <xf numFmtId="0" fontId="5" fillId="3" borderId="11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6" fontId="0" fillId="0" borderId="14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10" fillId="0" borderId="13" xfId="0" applyFont="1" applyBorder="1" applyAlignment="1">
      <alignment vertical="center"/>
    </xf>
    <xf numFmtId="166" fontId="0" fillId="0" borderId="14" xfId="0" applyNumberForma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166" fontId="21" fillId="0" borderId="14" xfId="0" applyNumberFormat="1" applyFont="1" applyBorder="1" applyAlignment="1">
      <alignment horizontal="right" vertical="center"/>
    </xf>
    <xf numFmtId="0" fontId="10" fillId="0" borderId="16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0" fillId="0" borderId="11" xfId="0" applyBorder="1"/>
    <xf numFmtId="166" fontId="5" fillId="0" borderId="12" xfId="0" applyNumberFormat="1" applyFont="1" applyBorder="1"/>
    <xf numFmtId="0" fontId="3" fillId="0" borderId="19" xfId="0" applyFont="1" applyBorder="1"/>
    <xf numFmtId="0" fontId="0" fillId="0" borderId="20" xfId="0" applyBorder="1"/>
    <xf numFmtId="166" fontId="0" fillId="0" borderId="21" xfId="0" applyNumberFormat="1" applyBorder="1"/>
    <xf numFmtId="0" fontId="4" fillId="0" borderId="9" xfId="0" applyFont="1" applyBorder="1"/>
    <xf numFmtId="0" fontId="5" fillId="0" borderId="11" xfId="0" applyFont="1" applyBorder="1" applyAlignment="1">
      <alignment horizontal="left" vertical="center"/>
    </xf>
    <xf numFmtId="0" fontId="4" fillId="0" borderId="12" xfId="0" applyFont="1" applyBorder="1" applyAlignment="1"/>
    <xf numFmtId="0" fontId="5" fillId="0" borderId="12" xfId="0" applyFont="1" applyBorder="1" applyAlignment="1"/>
    <xf numFmtId="0" fontId="5" fillId="0" borderId="11" xfId="5" applyFont="1" applyBorder="1" applyAlignment="1">
      <alignment horizontal="left" vertical="center"/>
    </xf>
    <xf numFmtId="0" fontId="6" fillId="0" borderId="12" xfId="5" applyFont="1" applyBorder="1" applyAlignment="1"/>
    <xf numFmtId="0" fontId="15" fillId="0" borderId="12" xfId="5" applyFont="1" applyBorder="1" applyAlignment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6" fillId="0" borderId="12" xfId="0" applyFont="1" applyBorder="1" applyAlignment="1"/>
    <xf numFmtId="0" fontId="5" fillId="0" borderId="15" xfId="0" applyFont="1" applyBorder="1"/>
    <xf numFmtId="0" fontId="4" fillId="0" borderId="13" xfId="0" applyFont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2" fillId="0" borderId="11" xfId="0" applyFont="1" applyBorder="1"/>
    <xf numFmtId="0" fontId="0" fillId="0" borderId="12" xfId="0" applyBorder="1" applyAlignment="1"/>
    <xf numFmtId="0" fontId="5" fillId="0" borderId="12" xfId="0" applyFont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7" fillId="0" borderId="9" xfId="5" applyFont="1" applyBorder="1" applyAlignment="1">
      <alignment horizontal="left" vertical="center"/>
    </xf>
    <xf numFmtId="0" fontId="13" fillId="0" borderId="9" xfId="5" applyBorder="1" applyAlignment="1">
      <alignment horizontal="left" vertical="center"/>
    </xf>
    <xf numFmtId="0" fontId="13" fillId="0" borderId="10" xfId="5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16" fillId="0" borderId="12" xfId="5" applyFont="1" applyBorder="1" applyAlignment="1">
      <alignment horizontal="left" vertical="center"/>
    </xf>
    <xf numFmtId="0" fontId="5" fillId="0" borderId="13" xfId="5" applyFont="1" applyBorder="1"/>
    <xf numFmtId="0" fontId="4" fillId="0" borderId="14" xfId="5" applyFont="1" applyBorder="1" applyAlignment="1">
      <alignment horizontal="right"/>
    </xf>
    <xf numFmtId="0" fontId="4" fillId="0" borderId="13" xfId="5" applyFont="1" applyBorder="1"/>
    <xf numFmtId="0" fontId="13" fillId="0" borderId="20" xfId="5" applyBorder="1"/>
    <xf numFmtId="0" fontId="13" fillId="0" borderId="21" xfId="5" applyBorder="1" applyAlignment="1">
      <alignment horizontal="right"/>
    </xf>
    <xf numFmtId="0" fontId="4" fillId="0" borderId="10" xfId="0" applyFont="1" applyBorder="1"/>
    <xf numFmtId="0" fontId="4" fillId="0" borderId="12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13" xfId="0" applyFont="1" applyBorder="1" applyAlignment="1">
      <alignment horizontal="left"/>
    </xf>
    <xf numFmtId="0" fontId="4" fillId="0" borderId="13" xfId="0" applyFont="1" applyBorder="1"/>
    <xf numFmtId="0" fontId="4" fillId="0" borderId="12" xfId="0" applyFont="1" applyBorder="1" applyAlignment="1">
      <alignment horizontal="center"/>
    </xf>
    <xf numFmtId="49" fontId="4" fillId="0" borderId="12" xfId="0" applyNumberFormat="1" applyFont="1" applyBorder="1"/>
    <xf numFmtId="0" fontId="4" fillId="0" borderId="11" xfId="0" applyFont="1" applyBorder="1" applyAlignment="1"/>
    <xf numFmtId="0" fontId="4" fillId="0" borderId="11" xfId="0" applyFont="1" applyBorder="1" applyAlignment="1">
      <alignment horizontal="left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23" fillId="0" borderId="8" xfId="0" applyFont="1" applyFill="1" applyBorder="1" applyAlignment="1" applyProtection="1">
      <alignment horizontal="left"/>
      <protection locked="0"/>
    </xf>
    <xf numFmtId="0" fontId="25" fillId="0" borderId="9" xfId="0" applyFont="1" applyBorder="1"/>
    <xf numFmtId="0" fontId="25" fillId="0" borderId="9" xfId="0" applyFont="1" applyBorder="1" applyAlignment="1">
      <alignment horizontal="left" vertical="center"/>
    </xf>
    <xf numFmtId="0" fontId="25" fillId="4" borderId="9" xfId="0" applyFont="1" applyFill="1" applyBorder="1" applyAlignment="1">
      <alignment horizontal="left" vertical="center"/>
    </xf>
    <xf numFmtId="0" fontId="25" fillId="0" borderId="9" xfId="0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2" fillId="4" borderId="40" xfId="0" applyFont="1" applyFill="1" applyBorder="1"/>
    <xf numFmtId="0" fontId="0" fillId="0" borderId="13" xfId="0" applyBorder="1" applyAlignment="1">
      <alignment horizontal="center"/>
    </xf>
    <xf numFmtId="9" fontId="0" fillId="0" borderId="4" xfId="0" applyNumberFormat="1" applyBorder="1" applyAlignment="1">
      <alignment horizontal="left" vertical="center"/>
    </xf>
    <xf numFmtId="0" fontId="0" fillId="0" borderId="23" xfId="0" applyBorder="1" applyAlignment="1">
      <alignment horizontal="center"/>
    </xf>
    <xf numFmtId="9" fontId="0" fillId="0" borderId="6" xfId="0" applyNumberFormat="1" applyBorder="1" applyAlignment="1">
      <alignment horizontal="left" vertical="center"/>
    </xf>
    <xf numFmtId="0" fontId="5" fillId="0" borderId="43" xfId="0" applyFont="1" applyBorder="1"/>
    <xf numFmtId="0" fontId="0" fillId="5" borderId="44" xfId="0" applyFill="1" applyBorder="1" applyAlignment="1" applyProtection="1">
      <alignment horizontal="center"/>
      <protection locked="0"/>
    </xf>
    <xf numFmtId="9" fontId="0" fillId="0" borderId="45" xfId="0" applyNumberFormat="1" applyBorder="1" applyAlignment="1">
      <alignment horizontal="left" vertical="center"/>
    </xf>
    <xf numFmtId="165" fontId="0" fillId="4" borderId="46" xfId="0" applyNumberFormat="1" applyFill="1" applyBorder="1" applyAlignment="1" applyProtection="1">
      <alignment horizontal="left" vertical="center"/>
    </xf>
    <xf numFmtId="165" fontId="2" fillId="0" borderId="43" xfId="0" applyNumberFormat="1" applyFont="1" applyFill="1" applyBorder="1" applyAlignment="1">
      <alignment horizontal="left"/>
    </xf>
    <xf numFmtId="165" fontId="6" fillId="0" borderId="43" xfId="0" applyNumberFormat="1" applyFont="1" applyFill="1" applyBorder="1" applyAlignment="1">
      <alignment horizontal="left"/>
    </xf>
    <xf numFmtId="0" fontId="0" fillId="0" borderId="40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9" xfId="0" applyBorder="1" applyAlignment="1">
      <alignment horizontal="left" vertical="center"/>
    </xf>
    <xf numFmtId="0" fontId="0" fillId="4" borderId="49" xfId="0" applyFill="1" applyBorder="1" applyAlignment="1">
      <alignment horizontal="left" vertical="center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5" fillId="0" borderId="36" xfId="0" applyFont="1" applyFill="1" applyBorder="1" applyAlignment="1">
      <alignment horizontal="center" vertical="center"/>
    </xf>
    <xf numFmtId="0" fontId="27" fillId="0" borderId="41" xfId="0" applyFont="1" applyBorder="1" applyAlignment="1">
      <alignment horizontal="left" vertical="center"/>
    </xf>
    <xf numFmtId="0" fontId="27" fillId="4" borderId="41" xfId="0" applyFont="1" applyFill="1" applyBorder="1" applyAlignment="1">
      <alignment horizontal="left" vertical="center"/>
    </xf>
    <xf numFmtId="0" fontId="26" fillId="0" borderId="16" xfId="0" applyFont="1" applyBorder="1" applyAlignment="1">
      <alignment vertical="center"/>
    </xf>
    <xf numFmtId="0" fontId="28" fillId="0" borderId="57" xfId="0" applyFont="1" applyBorder="1"/>
    <xf numFmtId="165" fontId="28" fillId="0" borderId="9" xfId="0" applyNumberFormat="1" applyFont="1" applyFill="1" applyBorder="1" applyAlignment="1" applyProtection="1">
      <alignment horizontal="center"/>
    </xf>
    <xf numFmtId="165" fontId="28" fillId="0" borderId="57" xfId="0" applyNumberFormat="1" applyFont="1" applyFill="1" applyBorder="1" applyAlignment="1">
      <alignment horizontal="center"/>
    </xf>
    <xf numFmtId="165" fontId="29" fillId="0" borderId="57" xfId="0" applyNumberFormat="1" applyFont="1" applyFill="1" applyBorder="1" applyAlignment="1">
      <alignment horizontal="center"/>
    </xf>
    <xf numFmtId="0" fontId="28" fillId="0" borderId="40" xfId="0" applyFont="1" applyBorder="1"/>
    <xf numFmtId="165" fontId="28" fillId="0" borderId="2" xfId="0" applyNumberFormat="1" applyFont="1" applyFill="1" applyBorder="1" applyAlignment="1" applyProtection="1">
      <alignment horizontal="center"/>
    </xf>
    <xf numFmtId="165" fontId="28" fillId="0" borderId="40" xfId="0" applyNumberFormat="1" applyFont="1" applyFill="1" applyBorder="1" applyAlignment="1">
      <alignment horizontal="center"/>
    </xf>
    <xf numFmtId="165" fontId="29" fillId="0" borderId="40" xfId="0" applyNumberFormat="1" applyFont="1" applyFill="1" applyBorder="1" applyAlignment="1">
      <alignment horizontal="center"/>
    </xf>
    <xf numFmtId="165" fontId="28" fillId="0" borderId="11" xfId="0" applyNumberFormat="1" applyFont="1" applyBorder="1" applyAlignment="1">
      <alignment horizontal="center"/>
    </xf>
    <xf numFmtId="165" fontId="28" fillId="0" borderId="40" xfId="0" applyNumberFormat="1" applyFon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0" fontId="28" fillId="4" borderId="40" xfId="0" applyFont="1" applyFill="1" applyBorder="1"/>
    <xf numFmtId="0" fontId="0" fillId="4" borderId="11" xfId="0" applyFill="1" applyBorder="1"/>
    <xf numFmtId="0" fontId="0" fillId="0" borderId="58" xfId="0" applyBorder="1"/>
    <xf numFmtId="0" fontId="0" fillId="0" borderId="19" xfId="0" applyBorder="1"/>
    <xf numFmtId="0" fontId="0" fillId="0" borderId="8" xfId="0" applyBorder="1"/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165" fontId="28" fillId="0" borderId="11" xfId="0" applyNumberFormat="1" applyFont="1" applyFill="1" applyBorder="1" applyAlignment="1">
      <alignment horizontal="center"/>
    </xf>
    <xf numFmtId="165" fontId="28" fillId="0" borderId="8" xfId="0" applyNumberFormat="1" applyFont="1" applyBorder="1" applyAlignment="1">
      <alignment horizontal="center"/>
    </xf>
    <xf numFmtId="0" fontId="0" fillId="4" borderId="17" xfId="0" applyFill="1" applyBorder="1"/>
    <xf numFmtId="0" fontId="0" fillId="0" borderId="17" xfId="0" applyBorder="1"/>
    <xf numFmtId="3" fontId="5" fillId="0" borderId="29" xfId="7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0" fillId="7" borderId="40" xfId="0" applyFont="1" applyFill="1" applyBorder="1"/>
    <xf numFmtId="165" fontId="0" fillId="7" borderId="13" xfId="0" applyNumberFormat="1" applyFill="1" applyBorder="1" applyAlignment="1">
      <alignment horizontal="center"/>
    </xf>
    <xf numFmtId="9" fontId="0" fillId="7" borderId="4" xfId="0" applyNumberFormat="1" applyFill="1" applyBorder="1" applyAlignment="1">
      <alignment horizontal="center"/>
    </xf>
    <xf numFmtId="165" fontId="0" fillId="8" borderId="4" xfId="0" applyNumberFormat="1" applyFill="1" applyBorder="1" applyAlignment="1" applyProtection="1">
      <alignment horizontal="center"/>
    </xf>
    <xf numFmtId="165" fontId="0" fillId="7" borderId="23" xfId="0" applyNumberFormat="1" applyFill="1" applyBorder="1" applyAlignment="1">
      <alignment horizontal="center"/>
    </xf>
    <xf numFmtId="9" fontId="0" fillId="7" borderId="6" xfId="0" applyNumberFormat="1" applyFill="1" applyBorder="1" applyAlignment="1">
      <alignment horizontal="center"/>
    </xf>
    <xf numFmtId="0" fontId="5" fillId="0" borderId="61" xfId="0" applyFont="1" applyBorder="1"/>
    <xf numFmtId="9" fontId="0" fillId="0" borderId="45" xfId="0" applyNumberFormat="1" applyBorder="1" applyAlignment="1">
      <alignment horizontal="center"/>
    </xf>
    <xf numFmtId="165" fontId="0" fillId="8" borderId="46" xfId="0" applyNumberFormat="1" applyFill="1" applyBorder="1" applyAlignment="1" applyProtection="1">
      <alignment horizontal="center"/>
    </xf>
    <xf numFmtId="165" fontId="0" fillId="8" borderId="43" xfId="0" applyNumberFormat="1" applyFill="1" applyBorder="1" applyAlignment="1">
      <alignment horizontal="center"/>
    </xf>
    <xf numFmtId="165" fontId="6" fillId="8" borderId="43" xfId="0" applyNumberFormat="1" applyFont="1" applyFill="1" applyBorder="1" applyAlignment="1">
      <alignment horizontal="center"/>
    </xf>
    <xf numFmtId="165" fontId="0" fillId="8" borderId="1" xfId="0" applyNumberFormat="1" applyFill="1" applyBorder="1" applyAlignment="1" applyProtection="1">
      <alignment horizontal="center"/>
    </xf>
    <xf numFmtId="165" fontId="0" fillId="4" borderId="4" xfId="0" applyNumberFormat="1" applyFill="1" applyBorder="1" applyAlignment="1" applyProtection="1">
      <alignment horizontal="left" vertical="center"/>
    </xf>
    <xf numFmtId="165" fontId="0" fillId="4" borderId="1" xfId="0" applyNumberFormat="1" applyFill="1" applyBorder="1" applyAlignment="1" applyProtection="1">
      <alignment horizontal="left" vertical="center"/>
    </xf>
    <xf numFmtId="3" fontId="5" fillId="0" borderId="30" xfId="7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3" fontId="5" fillId="0" borderId="17" xfId="7" applyFont="1" applyBorder="1" applyAlignment="1">
      <alignment horizontal="left" vertical="center"/>
    </xf>
    <xf numFmtId="0" fontId="5" fillId="4" borderId="39" xfId="0" applyFont="1" applyFill="1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4" borderId="41" xfId="0" applyFill="1" applyBorder="1" applyAlignment="1">
      <alignment horizontal="left" vertical="center"/>
    </xf>
    <xf numFmtId="0" fontId="15" fillId="0" borderId="17" xfId="0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5" fontId="2" fillId="7" borderId="23" xfId="0" applyNumberFormat="1" applyFont="1" applyFill="1" applyBorder="1" applyAlignment="1">
      <alignment horizontal="center"/>
    </xf>
    <xf numFmtId="0" fontId="0" fillId="0" borderId="41" xfId="0" applyBorder="1" applyAlignment="1">
      <alignment vertical="center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7" fillId="0" borderId="41" xfId="0" applyFont="1" applyBorder="1" applyAlignment="1">
      <alignment vertical="center"/>
    </xf>
    <xf numFmtId="0" fontId="27" fillId="0" borderId="42" xfId="0" applyFont="1" applyBorder="1" applyAlignment="1">
      <alignment horizontal="left" vertical="center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3" fontId="5" fillId="0" borderId="12" xfId="7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15" fillId="0" borderId="11" xfId="0" applyFont="1" applyBorder="1" applyAlignment="1"/>
    <xf numFmtId="0" fontId="15" fillId="0" borderId="2" xfId="0" applyFont="1" applyBorder="1" applyAlignment="1"/>
    <xf numFmtId="0" fontId="15" fillId="0" borderId="12" xfId="0" applyFont="1" applyBorder="1" applyAlignment="1"/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45" xfId="0" applyNumberFormat="1" applyBorder="1" applyAlignment="1">
      <alignment horizontal="center" vertical="center"/>
    </xf>
    <xf numFmtId="0" fontId="25" fillId="4" borderId="10" xfId="0" applyFont="1" applyFill="1" applyBorder="1" applyAlignment="1">
      <alignment horizontal="left" vertical="center"/>
    </xf>
    <xf numFmtId="165" fontId="0" fillId="4" borderId="14" xfId="0" applyNumberFormat="1" applyFill="1" applyBorder="1" applyAlignment="1" applyProtection="1">
      <alignment horizontal="center" vertical="center"/>
    </xf>
    <xf numFmtId="165" fontId="0" fillId="4" borderId="65" xfId="0" applyNumberFormat="1" applyFill="1" applyBorder="1" applyAlignment="1" applyProtection="1">
      <alignment horizontal="center" vertical="center"/>
    </xf>
    <xf numFmtId="165" fontId="0" fillId="4" borderId="12" xfId="0" applyNumberFormat="1" applyFill="1" applyBorder="1" applyAlignment="1" applyProtection="1">
      <alignment horizontal="center" vertical="center"/>
    </xf>
    <xf numFmtId="0" fontId="0" fillId="4" borderId="50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5" fillId="0" borderId="0" xfId="0" applyFont="1" applyBorder="1" applyAlignment="1">
      <alignment horizontal="left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Border="1" applyAlignment="1"/>
    <xf numFmtId="0" fontId="15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 applyBorder="1" applyAlignment="1"/>
    <xf numFmtId="0" fontId="5" fillId="0" borderId="8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11" xfId="0" applyFont="1" applyBorder="1" applyAlignment="1"/>
    <xf numFmtId="0" fontId="2" fillId="0" borderId="12" xfId="0" applyFont="1" applyBorder="1" applyAlignment="1"/>
    <xf numFmtId="0" fontId="6" fillId="0" borderId="11" xfId="0" applyFont="1" applyBorder="1" applyAlignment="1"/>
    <xf numFmtId="0" fontId="15" fillId="0" borderId="19" xfId="0" applyFont="1" applyBorder="1" applyAlignment="1">
      <alignment horizontal="left"/>
    </xf>
    <xf numFmtId="0" fontId="15" fillId="0" borderId="21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28" fillId="0" borderId="58" xfId="0" applyFont="1" applyBorder="1"/>
    <xf numFmtId="165" fontId="29" fillId="0" borderId="5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vertical="center" wrapText="1"/>
    </xf>
    <xf numFmtId="3" fontId="5" fillId="6" borderId="11" xfId="7" applyFont="1" applyFill="1" applyBorder="1" applyAlignment="1">
      <alignment vertical="center"/>
    </xf>
    <xf numFmtId="3" fontId="5" fillId="6" borderId="2" xfId="7" applyFont="1" applyFill="1" applyBorder="1" applyAlignment="1">
      <alignment vertical="center"/>
    </xf>
    <xf numFmtId="3" fontId="5" fillId="6" borderId="12" xfId="7" applyFont="1" applyFill="1" applyBorder="1" applyAlignment="1">
      <alignment vertical="center"/>
    </xf>
    <xf numFmtId="3" fontId="5" fillId="0" borderId="2" xfId="7" applyFont="1" applyBorder="1" applyAlignment="1">
      <alignment horizontal="center" vertical="center"/>
    </xf>
    <xf numFmtId="0" fontId="2" fillId="0" borderId="1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5" fillId="6" borderId="11" xfId="0" applyFont="1" applyFill="1" applyBorder="1" applyAlignment="1"/>
    <xf numFmtId="0" fontId="15" fillId="6" borderId="2" xfId="0" applyFont="1" applyFill="1" applyBorder="1" applyAlignment="1"/>
    <xf numFmtId="0" fontId="15" fillId="0" borderId="11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5" fillId="6" borderId="11" xfId="0" applyFont="1" applyFill="1" applyBorder="1" applyAlignment="1"/>
    <xf numFmtId="0" fontId="5" fillId="6" borderId="2" xfId="0" applyFont="1" applyFill="1" applyBorder="1" applyAlignment="1"/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" fillId="0" borderId="12" xfId="0" applyFont="1" applyBorder="1" applyAlignment="1">
      <alignment vertical="top"/>
    </xf>
    <xf numFmtId="0" fontId="15" fillId="6" borderId="12" xfId="0" applyFont="1" applyFill="1" applyBorder="1" applyAlignment="1"/>
    <xf numFmtId="0" fontId="15" fillId="0" borderId="12" xfId="0" applyFont="1" applyFill="1" applyBorder="1" applyAlignment="1">
      <alignment vertical="center"/>
    </xf>
    <xf numFmtId="0" fontId="5" fillId="6" borderId="12" xfId="0" applyFont="1" applyFill="1" applyBorder="1" applyAlignment="1"/>
    <xf numFmtId="0" fontId="0" fillId="0" borderId="21" xfId="0" applyBorder="1" applyAlignment="1">
      <alignment horizontal="left" vertical="center"/>
    </xf>
    <xf numFmtId="165" fontId="0" fillId="8" borderId="14" xfId="0" applyNumberFormat="1" applyFill="1" applyBorder="1" applyAlignment="1" applyProtection="1">
      <alignment horizontal="center"/>
    </xf>
    <xf numFmtId="165" fontId="0" fillId="8" borderId="65" xfId="0" applyNumberFormat="1" applyFill="1" applyBorder="1" applyAlignment="1" applyProtection="1">
      <alignment horizontal="center"/>
    </xf>
    <xf numFmtId="165" fontId="0" fillId="8" borderId="12" xfId="0" applyNumberFormat="1" applyFill="1" applyBorder="1" applyAlignment="1" applyProtection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8" fillId="0" borderId="13" xfId="0" applyFont="1" applyBorder="1"/>
    <xf numFmtId="165" fontId="28" fillId="0" borderId="14" xfId="0" applyNumberFormat="1" applyFont="1" applyFill="1" applyBorder="1" applyAlignment="1" applyProtection="1">
      <alignment horizontal="center"/>
    </xf>
    <xf numFmtId="165" fontId="28" fillId="0" borderId="14" xfId="0" applyNumberFormat="1" applyFont="1" applyBorder="1" applyAlignment="1">
      <alignment horizontal="center"/>
    </xf>
    <xf numFmtId="0" fontId="0" fillId="0" borderId="22" xfId="0" applyBorder="1"/>
    <xf numFmtId="0" fontId="0" fillId="0" borderId="66" xfId="0" applyBorder="1"/>
    <xf numFmtId="0" fontId="5" fillId="0" borderId="57" xfId="0" applyFont="1" applyFill="1" applyBorder="1" applyAlignment="1">
      <alignment horizontal="left" vertical="center"/>
    </xf>
    <xf numFmtId="0" fontId="5" fillId="0" borderId="57" xfId="0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horizontal="center" vertical="center"/>
    </xf>
    <xf numFmtId="10" fontId="5" fillId="0" borderId="58" xfId="0" applyNumberFormat="1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/>
    </xf>
    <xf numFmtId="10" fontId="5" fillId="7" borderId="58" xfId="0" applyNumberFormat="1" applyFont="1" applyFill="1" applyBorder="1" applyAlignment="1">
      <alignment horizontal="center" vertical="center" wrapText="1"/>
    </xf>
    <xf numFmtId="0" fontId="28" fillId="0" borderId="24" xfId="0" applyFont="1" applyBorder="1"/>
    <xf numFmtId="165" fontId="28" fillId="0" borderId="25" xfId="0" applyNumberFormat="1" applyFont="1" applyFill="1" applyBorder="1" applyAlignment="1" applyProtection="1">
      <alignment horizontal="center"/>
    </xf>
    <xf numFmtId="0" fontId="5" fillId="0" borderId="66" xfId="0" applyFont="1" applyBorder="1" applyAlignment="1">
      <alignment horizontal="center" vertical="center"/>
    </xf>
    <xf numFmtId="0" fontId="28" fillId="0" borderId="47" xfId="0" applyFont="1" applyBorder="1"/>
    <xf numFmtId="165" fontId="29" fillId="0" borderId="47" xfId="0" applyNumberFormat="1" applyFont="1" applyFill="1" applyBorder="1" applyAlignment="1">
      <alignment horizontal="center"/>
    </xf>
    <xf numFmtId="165" fontId="2" fillId="0" borderId="65" xfId="0" applyNumberFormat="1" applyFont="1" applyFill="1" applyBorder="1" applyAlignment="1">
      <alignment horizontal="center"/>
    </xf>
    <xf numFmtId="165" fontId="2" fillId="0" borderId="43" xfId="0" applyNumberFormat="1" applyFont="1" applyFill="1" applyBorder="1" applyAlignment="1">
      <alignment horizontal="center"/>
    </xf>
    <xf numFmtId="165" fontId="6" fillId="0" borderId="43" xfId="0" applyNumberFormat="1" applyFont="1" applyFill="1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26" fillId="0" borderId="12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5" fillId="0" borderId="11" xfId="0" applyFont="1" applyBorder="1" applyAlignment="1">
      <alignment horizontal="left" vertical="center"/>
    </xf>
    <xf numFmtId="0" fontId="15" fillId="0" borderId="17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0" fillId="0" borderId="16" xfId="0" applyBorder="1"/>
    <xf numFmtId="0" fontId="0" fillId="0" borderId="41" xfId="0" applyBorder="1"/>
    <xf numFmtId="166" fontId="0" fillId="0" borderId="42" xfId="0" applyNumberFormat="1" applyBorder="1"/>
    <xf numFmtId="166" fontId="0" fillId="0" borderId="67" xfId="0" applyNumberFormat="1" applyBorder="1" applyAlignment="1">
      <alignment horizontal="right" vertical="center"/>
    </xf>
    <xf numFmtId="166" fontId="5" fillId="0" borderId="66" xfId="0" applyNumberFormat="1" applyFont="1" applyBorder="1" applyAlignment="1">
      <alignment horizontal="right" vertical="center"/>
    </xf>
    <xf numFmtId="0" fontId="5" fillId="3" borderId="16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6" fontId="5" fillId="0" borderId="25" xfId="0" applyNumberFormat="1" applyFont="1" applyBorder="1" applyAlignment="1">
      <alignment horizontal="center" vertical="center"/>
    </xf>
    <xf numFmtId="0" fontId="5" fillId="0" borderId="68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 wrapText="1"/>
    </xf>
    <xf numFmtId="166" fontId="5" fillId="0" borderId="70" xfId="0" applyNumberFormat="1" applyFont="1" applyBorder="1" applyAlignment="1">
      <alignment horizontal="center" vertical="center"/>
    </xf>
    <xf numFmtId="0" fontId="6" fillId="0" borderId="11" xfId="5" applyFont="1" applyBorder="1" applyAlignment="1">
      <alignment horizontal="left" vertical="center"/>
    </xf>
    <xf numFmtId="0" fontId="0" fillId="0" borderId="29" xfId="0" applyBorder="1"/>
    <xf numFmtId="0" fontId="0" fillId="0" borderId="30" xfId="0" applyBorder="1"/>
    <xf numFmtId="0" fontId="0" fillId="0" borderId="24" xfId="0" applyBorder="1"/>
    <xf numFmtId="0" fontId="0" fillId="0" borderId="5" xfId="0" applyBorder="1"/>
    <xf numFmtId="0" fontId="0" fillId="0" borderId="25" xfId="0" applyBorder="1"/>
    <xf numFmtId="0" fontId="5" fillId="0" borderId="22" xfId="0" applyFont="1" applyBorder="1" applyAlignment="1">
      <alignment horizontal="center"/>
    </xf>
    <xf numFmtId="0" fontId="0" fillId="0" borderId="67" xfId="0" applyBorder="1"/>
    <xf numFmtId="0" fontId="3" fillId="0" borderId="22" xfId="3" applyFont="1" applyBorder="1" applyAlignment="1">
      <alignment vertical="center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17" xfId="0" applyFont="1" applyBorder="1"/>
    <xf numFmtId="0" fontId="5" fillId="0" borderId="16" xfId="0" applyFont="1" applyFill="1" applyBorder="1" applyAlignment="1">
      <alignment wrapText="1"/>
    </xf>
    <xf numFmtId="0" fontId="0" fillId="0" borderId="42" xfId="0" applyBorder="1"/>
    <xf numFmtId="0" fontId="0" fillId="0" borderId="26" xfId="0" applyBorder="1"/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2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5" fillId="0" borderId="11" xfId="0" quotePrefix="1" applyFont="1" applyBorder="1" applyAlignment="1">
      <alignment vertical="center"/>
    </xf>
    <xf numFmtId="0" fontId="5" fillId="0" borderId="16" xfId="0" applyFont="1" applyBorder="1"/>
    <xf numFmtId="0" fontId="5" fillId="0" borderId="19" xfId="0" applyFont="1" applyBorder="1"/>
    <xf numFmtId="0" fontId="4" fillId="0" borderId="17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5" fillId="0" borderId="22" xfId="0" applyFont="1" applyBorder="1" applyAlignment="1">
      <alignment wrapText="1"/>
    </xf>
    <xf numFmtId="0" fontId="3" fillId="0" borderId="22" xfId="0" applyFont="1" applyBorder="1" applyAlignment="1">
      <alignment vertical="center"/>
    </xf>
    <xf numFmtId="0" fontId="4" fillId="0" borderId="17" xfId="5" applyFont="1" applyBorder="1" applyAlignment="1">
      <alignment horizontal="left" vertical="center"/>
    </xf>
    <xf numFmtId="0" fontId="4" fillId="0" borderId="29" xfId="5" applyFont="1" applyBorder="1" applyAlignment="1">
      <alignment horizontal="left" vertical="center"/>
    </xf>
    <xf numFmtId="0" fontId="16" fillId="0" borderId="29" xfId="5" applyFont="1" applyBorder="1" applyAlignment="1">
      <alignment horizontal="left" vertical="center"/>
    </xf>
    <xf numFmtId="0" fontId="16" fillId="0" borderId="30" xfId="5" applyFont="1" applyBorder="1" applyAlignment="1">
      <alignment horizontal="left" vertical="center"/>
    </xf>
    <xf numFmtId="0" fontId="5" fillId="0" borderId="16" xfId="5" applyFont="1" applyBorder="1" applyAlignment="1">
      <alignment horizontal="left"/>
    </xf>
    <xf numFmtId="0" fontId="5" fillId="0" borderId="41" xfId="5" applyFont="1" applyBorder="1" applyAlignment="1">
      <alignment horizontal="left"/>
    </xf>
    <xf numFmtId="0" fontId="5" fillId="0" borderId="42" xfId="5" applyFont="1" applyBorder="1" applyAlignment="1">
      <alignment horizontal="left"/>
    </xf>
    <xf numFmtId="0" fontId="4" fillId="0" borderId="67" xfId="5" applyFont="1" applyBorder="1"/>
    <xf numFmtId="0" fontId="4" fillId="0" borderId="66" xfId="5" applyFont="1" applyBorder="1" applyAlignment="1">
      <alignment horizontal="right"/>
    </xf>
    <xf numFmtId="0" fontId="5" fillId="0" borderId="24" xfId="5" applyFont="1" applyBorder="1" applyAlignment="1">
      <alignment vertical="center"/>
    </xf>
    <xf numFmtId="0" fontId="0" fillId="0" borderId="5" xfId="0" applyBorder="1" applyAlignment="1"/>
    <xf numFmtId="0" fontId="5" fillId="0" borderId="5" xfId="0" applyFont="1" applyBorder="1" applyAlignment="1">
      <alignment horizontal="center" wrapText="1"/>
    </xf>
    <xf numFmtId="0" fontId="5" fillId="0" borderId="25" xfId="0" applyFont="1" applyBorder="1" applyAlignment="1">
      <alignment horizontal="right" wrapText="1"/>
    </xf>
    <xf numFmtId="0" fontId="13" fillId="0" borderId="20" xfId="5" applyBorder="1" applyAlignment="1">
      <alignment vertical="center"/>
    </xf>
    <xf numFmtId="0" fontId="4" fillId="0" borderId="30" xfId="0" applyFont="1" applyBorder="1"/>
    <xf numFmtId="0" fontId="4" fillId="0" borderId="17" xfId="0" applyFont="1" applyBorder="1"/>
    <xf numFmtId="0" fontId="4" fillId="0" borderId="29" xfId="0" applyFont="1" applyBorder="1"/>
    <xf numFmtId="0" fontId="4" fillId="0" borderId="16" xfId="0" applyFont="1" applyBorder="1"/>
    <xf numFmtId="0" fontId="4" fillId="0" borderId="41" xfId="0" applyFont="1" applyBorder="1" applyAlignment="1">
      <alignment horizontal="left" wrapText="1"/>
    </xf>
    <xf numFmtId="0" fontId="4" fillId="0" borderId="41" xfId="0" applyFont="1" applyBorder="1"/>
    <xf numFmtId="0" fontId="4" fillId="0" borderId="41" xfId="0" applyFont="1" applyBorder="1" applyAlignment="1">
      <alignment horizontal="left"/>
    </xf>
    <xf numFmtId="0" fontId="4" fillId="0" borderId="42" xfId="0" applyFont="1" applyBorder="1"/>
    <xf numFmtId="0" fontId="4" fillId="0" borderId="22" xfId="0" applyFont="1" applyBorder="1"/>
    <xf numFmtId="0" fontId="4" fillId="0" borderId="67" xfId="0" applyFont="1" applyBorder="1"/>
    <xf numFmtId="0" fontId="18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49" fontId="4" fillId="0" borderId="29" xfId="0" applyNumberFormat="1" applyFont="1" applyBorder="1"/>
    <xf numFmtId="49" fontId="4" fillId="0" borderId="30" xfId="0" applyNumberFormat="1" applyFont="1" applyBorder="1"/>
    <xf numFmtId="0" fontId="4" fillId="0" borderId="75" xfId="0" applyFont="1" applyBorder="1"/>
    <xf numFmtId="0" fontId="4" fillId="0" borderId="5" xfId="0" applyFont="1" applyBorder="1"/>
    <xf numFmtId="0" fontId="4" fillId="0" borderId="60" xfId="0" applyFont="1" applyBorder="1"/>
    <xf numFmtId="0" fontId="5" fillId="0" borderId="8" xfId="0" applyFont="1" applyBorder="1"/>
    <xf numFmtId="49" fontId="5" fillId="0" borderId="9" xfId="0" applyNumberFormat="1" applyFont="1" applyBorder="1"/>
    <xf numFmtId="49" fontId="12" fillId="0" borderId="9" xfId="0" applyNumberFormat="1" applyFont="1" applyBorder="1" applyAlignment="1">
      <alignment horizontal="center"/>
    </xf>
    <xf numFmtId="49" fontId="5" fillId="0" borderId="10" xfId="0" applyNumberFormat="1" applyFont="1" applyBorder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42" xfId="0" applyFont="1" applyBorder="1" applyAlignment="1">
      <alignment horizontal="left"/>
    </xf>
    <xf numFmtId="49" fontId="12" fillId="0" borderId="27" xfId="0" applyNumberFormat="1" applyFont="1" applyBorder="1" applyAlignment="1">
      <alignment horizontal="center"/>
    </xf>
    <xf numFmtId="49" fontId="4" fillId="0" borderId="4" xfId="0" applyNumberFormat="1" applyFont="1" applyBorder="1"/>
    <xf numFmtId="49" fontId="4" fillId="0" borderId="67" xfId="0" applyNumberFormat="1" applyFont="1" applyBorder="1"/>
    <xf numFmtId="0" fontId="5" fillId="3" borderId="19" xfId="0" applyFont="1" applyFill="1" applyBorder="1" applyAlignment="1">
      <alignment vertical="center"/>
    </xf>
    <xf numFmtId="0" fontId="5" fillId="0" borderId="73" xfId="0" applyFont="1" applyBorder="1" applyAlignment="1">
      <alignment horizontal="center"/>
    </xf>
    <xf numFmtId="0" fontId="0" fillId="0" borderId="2" xfId="0" applyBorder="1" applyAlignment="1"/>
    <xf numFmtId="0" fontId="2" fillId="0" borderId="0" xfId="0" applyFont="1"/>
    <xf numFmtId="3" fontId="33" fillId="0" borderId="0" xfId="2" applyFont="1" applyProtection="1">
      <protection locked="0"/>
    </xf>
    <xf numFmtId="3" fontId="15" fillId="0" borderId="78" xfId="2" applyFont="1" applyBorder="1" applyAlignment="1" applyProtection="1">
      <alignment horizontal="center" wrapText="1"/>
      <protection locked="0"/>
    </xf>
    <xf numFmtId="3" fontId="15" fillId="0" borderId="79" xfId="2" applyFont="1" applyBorder="1" applyAlignment="1" applyProtection="1">
      <alignment horizontal="center" wrapText="1"/>
      <protection locked="0"/>
    </xf>
    <xf numFmtId="0" fontId="34" fillId="0" borderId="5" xfId="8" quotePrefix="1" applyFont="1" applyBorder="1" applyAlignment="1" applyProtection="1">
      <alignment horizontal="center"/>
      <protection locked="0"/>
    </xf>
    <xf numFmtId="0" fontId="34" fillId="0" borderId="25" xfId="8" quotePrefix="1" applyFont="1" applyBorder="1" applyAlignment="1" applyProtection="1">
      <alignment horizontal="center"/>
      <protection locked="0"/>
    </xf>
    <xf numFmtId="0" fontId="33" fillId="10" borderId="13" xfId="8" quotePrefix="1" applyFont="1" applyFill="1" applyBorder="1" applyAlignment="1" applyProtection="1">
      <alignment horizontal="left"/>
      <protection locked="0"/>
    </xf>
    <xf numFmtId="167" fontId="33" fillId="10" borderId="4" xfId="8" quotePrefix="1" applyNumberFormat="1" applyFont="1" applyFill="1" applyBorder="1" applyAlignment="1" applyProtection="1">
      <alignment horizontal="left"/>
      <protection locked="0"/>
    </xf>
    <xf numFmtId="167" fontId="33" fillId="10" borderId="14" xfId="8" quotePrefix="1" applyNumberFormat="1" applyFont="1" applyFill="1" applyBorder="1" applyAlignment="1" applyProtection="1">
      <alignment horizontal="left"/>
      <protection locked="0"/>
    </xf>
    <xf numFmtId="0" fontId="33" fillId="10" borderId="13" xfId="8" quotePrefix="1" applyFont="1" applyFill="1" applyBorder="1" applyAlignment="1" applyProtection="1">
      <alignment horizontal="left" wrapText="1" indent="1"/>
      <protection locked="0"/>
    </xf>
    <xf numFmtId="0" fontId="33" fillId="10" borderId="13" xfId="8" quotePrefix="1" applyFont="1" applyFill="1" applyBorder="1" applyAlignment="1" applyProtection="1">
      <alignment horizontal="left" indent="1"/>
      <protection locked="0"/>
    </xf>
    <xf numFmtId="3" fontId="15" fillId="0" borderId="44" xfId="2" applyFont="1" applyBorder="1" applyProtection="1">
      <protection locked="0"/>
    </xf>
    <xf numFmtId="167" fontId="15" fillId="0" borderId="45" xfId="9" applyNumberFormat="1" applyFont="1" applyBorder="1" applyProtection="1">
      <protection locked="0"/>
    </xf>
    <xf numFmtId="167" fontId="15" fillId="0" borderId="80" xfId="9" applyNumberFormat="1" applyFont="1" applyBorder="1" applyProtection="1">
      <protection locked="0"/>
    </xf>
    <xf numFmtId="3" fontId="15" fillId="0" borderId="24" xfId="1" quotePrefix="1" applyFont="1" applyBorder="1" applyAlignment="1" applyProtection="1">
      <alignment horizontal="left"/>
      <protection locked="0"/>
    </xf>
    <xf numFmtId="167" fontId="35" fillId="0" borderId="5" xfId="9" applyNumberFormat="1" applyFont="1" applyFill="1" applyBorder="1" applyAlignment="1" applyProtection="1">
      <alignment horizontal="left"/>
      <protection locked="0"/>
    </xf>
    <xf numFmtId="167" fontId="35" fillId="0" borderId="25" xfId="9" applyNumberFormat="1" applyFont="1" applyFill="1" applyBorder="1" applyAlignment="1" applyProtection="1">
      <alignment horizontal="left"/>
      <protection locked="0"/>
    </xf>
    <xf numFmtId="3" fontId="33" fillId="0" borderId="13" xfId="1" applyFont="1" applyBorder="1" applyProtection="1">
      <protection locked="0"/>
    </xf>
    <xf numFmtId="167" fontId="33" fillId="10" borderId="4" xfId="9" applyNumberFormat="1" applyFont="1" applyFill="1" applyBorder="1" applyAlignment="1" applyProtection="1">
      <alignment horizontal="left"/>
      <protection locked="0"/>
    </xf>
    <xf numFmtId="167" fontId="33" fillId="10" borderId="14" xfId="9" applyNumberFormat="1" applyFont="1" applyFill="1" applyBorder="1" applyAlignment="1" applyProtection="1">
      <alignment horizontal="left"/>
      <protection locked="0"/>
    </xf>
    <xf numFmtId="3" fontId="15" fillId="0" borderId="44" xfId="1" quotePrefix="1" applyFont="1" applyBorder="1" applyAlignment="1" applyProtection="1">
      <alignment horizontal="left"/>
      <protection locked="0"/>
    </xf>
    <xf numFmtId="167" fontId="15" fillId="0" borderId="45" xfId="9" quotePrefix="1" applyNumberFormat="1" applyFont="1" applyFill="1" applyBorder="1" applyAlignment="1" applyProtection="1">
      <alignment horizontal="left"/>
      <protection locked="0"/>
    </xf>
    <xf numFmtId="167" fontId="15" fillId="0" borderId="80" xfId="9" quotePrefix="1" applyNumberFormat="1" applyFont="1" applyFill="1" applyBorder="1" applyAlignment="1" applyProtection="1">
      <alignment horizontal="left"/>
      <protection locked="0"/>
    </xf>
    <xf numFmtId="3" fontId="15" fillId="0" borderId="38" xfId="2" quotePrefix="1" applyFont="1" applyBorder="1" applyAlignment="1" applyProtection="1">
      <alignment horizontal="left"/>
      <protection locked="0"/>
    </xf>
    <xf numFmtId="10" fontId="15" fillId="0" borderId="56" xfId="10" quotePrefix="1" applyNumberFormat="1" applyFont="1" applyBorder="1" applyAlignment="1" applyProtection="1">
      <alignment horizontal="right"/>
      <protection locked="0"/>
    </xf>
    <xf numFmtId="10" fontId="15" fillId="0" borderId="39" xfId="10" quotePrefix="1" applyNumberFormat="1" applyFont="1" applyBorder="1" applyAlignment="1" applyProtection="1">
      <alignment horizontal="right"/>
      <protection locked="0"/>
    </xf>
    <xf numFmtId="3" fontId="33" fillId="0" borderId="13" xfId="2" applyFont="1" applyBorder="1" applyProtection="1">
      <protection locked="0"/>
    </xf>
    <xf numFmtId="3" fontId="36" fillId="0" borderId="81" xfId="2" quotePrefix="1" applyFont="1" applyBorder="1" applyAlignment="1" applyProtection="1">
      <alignment horizontal="left"/>
      <protection locked="0"/>
    </xf>
    <xf numFmtId="3" fontId="33" fillId="0" borderId="82" xfId="2" applyFont="1" applyBorder="1" applyProtection="1">
      <protection locked="0"/>
    </xf>
    <xf numFmtId="3" fontId="33" fillId="0" borderId="83" xfId="2" applyFont="1" applyBorder="1" applyProtection="1">
      <protection locked="0"/>
    </xf>
    <xf numFmtId="3" fontId="6" fillId="0" borderId="0" xfId="2" applyFont="1" applyBorder="1" applyAlignment="1"/>
    <xf numFmtId="3" fontId="15" fillId="0" borderId="0" xfId="2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0" fillId="0" borderId="1" xfId="0" applyBorder="1"/>
    <xf numFmtId="0" fontId="2" fillId="0" borderId="3" xfId="0" applyFont="1" applyBorder="1" applyAlignment="1">
      <alignment horizontal="left" vertical="center"/>
    </xf>
    <xf numFmtId="0" fontId="15" fillId="0" borderId="3" xfId="3" applyFont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1" xfId="0" applyFill="1" applyBorder="1"/>
    <xf numFmtId="0" fontId="5" fillId="4" borderId="2" xfId="0" applyFont="1" applyFill="1" applyBorder="1"/>
    <xf numFmtId="0" fontId="4" fillId="4" borderId="2" xfId="0" applyFont="1" applyFill="1" applyBorder="1"/>
    <xf numFmtId="0" fontId="4" fillId="4" borderId="2" xfId="3" applyFill="1" applyBorder="1"/>
    <xf numFmtId="0" fontId="33" fillId="4" borderId="3" xfId="0" applyFont="1" applyFill="1" applyBorder="1" applyAlignment="1">
      <alignment horizontal="left" vertical="center"/>
    </xf>
    <xf numFmtId="0" fontId="0" fillId="4" borderId="2" xfId="0" applyFill="1" applyBorder="1" applyAlignment="1"/>
    <xf numFmtId="0" fontId="15" fillId="4" borderId="3" xfId="3" applyFont="1" applyFill="1" applyBorder="1" applyAlignment="1">
      <alignment horizontal="left" vertical="center"/>
    </xf>
    <xf numFmtId="3" fontId="6" fillId="4" borderId="3" xfId="2" applyFont="1" applyFill="1" applyBorder="1" applyAlignment="1">
      <alignment horizontal="left" vertical="center"/>
    </xf>
    <xf numFmtId="0" fontId="33" fillId="4" borderId="3" xfId="0" applyFont="1" applyFill="1" applyBorder="1"/>
    <xf numFmtId="0" fontId="5" fillId="4" borderId="2" xfId="3" applyFont="1" applyFill="1" applyBorder="1" applyAlignment="1"/>
    <xf numFmtId="3" fontId="6" fillId="4" borderId="2" xfId="2" applyFont="1" applyFill="1" applyBorder="1" applyAlignment="1"/>
    <xf numFmtId="3" fontId="4" fillId="4" borderId="2" xfId="2" applyFont="1" applyFill="1" applyBorder="1" applyAlignment="1" applyProtection="1">
      <alignment horizontal="left"/>
    </xf>
    <xf numFmtId="3" fontId="6" fillId="4" borderId="2" xfId="2" quotePrefix="1" applyFont="1" applyFill="1" applyBorder="1" applyAlignment="1">
      <alignment horizontal="center"/>
    </xf>
    <xf numFmtId="3" fontId="4" fillId="4" borderId="2" xfId="2" applyFont="1" applyFill="1" applyBorder="1"/>
    <xf numFmtId="0" fontId="15" fillId="0" borderId="78" xfId="8" quotePrefix="1" applyFont="1" applyBorder="1" applyAlignment="1" applyProtection="1">
      <alignment horizontal="center" wrapText="1"/>
      <protection locked="0"/>
    </xf>
    <xf numFmtId="0" fontId="15" fillId="0" borderId="79" xfId="8" quotePrefix="1" applyFont="1" applyBorder="1" applyAlignment="1" applyProtection="1">
      <alignment horizontal="center" wrapText="1"/>
      <protection locked="0"/>
    </xf>
    <xf numFmtId="0" fontId="2" fillId="4" borderId="3" xfId="0" applyFont="1" applyFill="1" applyBorder="1" applyAlignment="1">
      <alignment horizontal="left" vertical="center"/>
    </xf>
    <xf numFmtId="0" fontId="39" fillId="0" borderId="0" xfId="11" applyFont="1" applyAlignment="1">
      <alignment horizontal="left" vertical="top"/>
    </xf>
    <xf numFmtId="0" fontId="40" fillId="0" borderId="6" xfId="8" quotePrefix="1" applyFont="1" applyBorder="1" applyAlignment="1" applyProtection="1">
      <alignment horizontal="center" wrapText="1"/>
      <protection locked="0"/>
    </xf>
    <xf numFmtId="0" fontId="40" fillId="0" borderId="18" xfId="8" quotePrefix="1" applyFont="1" applyBorder="1" applyAlignment="1" applyProtection="1">
      <alignment horizontal="center" wrapText="1"/>
      <protection locked="0"/>
    </xf>
    <xf numFmtId="3" fontId="40" fillId="0" borderId="78" xfId="2" applyFont="1" applyBorder="1" applyAlignment="1" applyProtection="1">
      <alignment horizontal="center" wrapText="1"/>
      <protection locked="0"/>
    </xf>
    <xf numFmtId="3" fontId="40" fillId="0" borderId="79" xfId="2" applyFont="1" applyBorder="1" applyAlignment="1" applyProtection="1">
      <alignment horizontal="center" wrapText="1"/>
      <protection locked="0"/>
    </xf>
    <xf numFmtId="0" fontId="41" fillId="0" borderId="5" xfId="8" quotePrefix="1" applyFont="1" applyBorder="1" applyAlignment="1" applyProtection="1">
      <alignment horizontal="center"/>
      <protection locked="0"/>
    </xf>
    <xf numFmtId="0" fontId="41" fillId="0" borderId="25" xfId="8" quotePrefix="1" applyFont="1" applyBorder="1" applyAlignment="1" applyProtection="1">
      <alignment horizontal="center"/>
      <protection locked="0"/>
    </xf>
    <xf numFmtId="167" fontId="40" fillId="0" borderId="45" xfId="9" applyNumberFormat="1" applyFont="1" applyBorder="1" applyProtection="1">
      <protection locked="0"/>
    </xf>
    <xf numFmtId="167" fontId="40" fillId="0" borderId="80" xfId="9" applyNumberFormat="1" applyFont="1" applyBorder="1" applyProtection="1">
      <protection locked="0"/>
    </xf>
    <xf numFmtId="167" fontId="39" fillId="10" borderId="4" xfId="9" applyNumberFormat="1" applyFont="1" applyFill="1" applyBorder="1" applyAlignment="1" applyProtection="1">
      <alignment horizontal="left"/>
      <protection locked="0"/>
    </xf>
    <xf numFmtId="167" fontId="39" fillId="10" borderId="14" xfId="9" applyNumberFormat="1" applyFont="1" applyFill="1" applyBorder="1" applyAlignment="1" applyProtection="1">
      <alignment horizontal="left"/>
      <protection locked="0"/>
    </xf>
    <xf numFmtId="167" fontId="40" fillId="0" borderId="45" xfId="9" quotePrefix="1" applyNumberFormat="1" applyFont="1" applyFill="1" applyBorder="1" applyAlignment="1" applyProtection="1">
      <alignment horizontal="left"/>
      <protection locked="0"/>
    </xf>
    <xf numFmtId="167" fontId="40" fillId="0" borderId="80" xfId="9" quotePrefix="1" applyNumberFormat="1" applyFont="1" applyFill="1" applyBorder="1" applyAlignment="1" applyProtection="1">
      <alignment horizontal="left"/>
      <protection locked="0"/>
    </xf>
    <xf numFmtId="10" fontId="40" fillId="0" borderId="56" xfId="10" quotePrefix="1" applyNumberFormat="1" applyFont="1" applyBorder="1" applyAlignment="1" applyProtection="1">
      <alignment horizontal="right"/>
      <protection locked="0"/>
    </xf>
    <xf numFmtId="10" fontId="40" fillId="0" borderId="39" xfId="10" quotePrefix="1" applyNumberFormat="1" applyFont="1" applyBorder="1" applyAlignment="1" applyProtection="1">
      <alignment horizontal="right"/>
      <protection locked="0"/>
    </xf>
    <xf numFmtId="3" fontId="39" fillId="0" borderId="13" xfId="2" applyFont="1" applyBorder="1" applyProtection="1">
      <protection locked="0"/>
    </xf>
    <xf numFmtId="3" fontId="42" fillId="0" borderId="81" xfId="2" quotePrefix="1" applyFont="1" applyBorder="1" applyAlignment="1" applyProtection="1">
      <alignment horizontal="left"/>
      <protection locked="0"/>
    </xf>
    <xf numFmtId="3" fontId="39" fillId="0" borderId="82" xfId="2" applyFont="1" applyBorder="1" applyProtection="1">
      <protection locked="0"/>
    </xf>
    <xf numFmtId="3" fontId="39" fillId="0" borderId="83" xfId="2" applyFont="1" applyBorder="1" applyProtection="1">
      <protection locked="0"/>
    </xf>
    <xf numFmtId="3" fontId="10" fillId="0" borderId="0" xfId="1" applyFont="1" applyBorder="1"/>
    <xf numFmtId="3" fontId="15" fillId="0" borderId="3" xfId="4" applyFont="1" applyBorder="1" applyAlignment="1">
      <alignment horizontal="left" vertical="center"/>
    </xf>
    <xf numFmtId="0" fontId="39" fillId="0" borderId="3" xfId="11" applyFont="1" applyBorder="1" applyAlignment="1">
      <alignment horizontal="left" vertical="top"/>
    </xf>
    <xf numFmtId="0" fontId="0" fillId="0" borderId="84" xfId="0" applyBorder="1"/>
    <xf numFmtId="3" fontId="5" fillId="0" borderId="59" xfId="2" applyFont="1" applyBorder="1" applyAlignment="1">
      <alignment horizontal="left" vertical="center"/>
    </xf>
    <xf numFmtId="3" fontId="4" fillId="0" borderId="29" xfId="1" applyFont="1" applyBorder="1"/>
    <xf numFmtId="3" fontId="5" fillId="0" borderId="29" xfId="1" applyFont="1" applyBorder="1" applyAlignment="1">
      <alignment horizontal="center"/>
    </xf>
    <xf numFmtId="3" fontId="33" fillId="10" borderId="13" xfId="1" quotePrefix="1" applyFont="1" applyFill="1" applyBorder="1" applyAlignment="1" applyProtection="1">
      <alignment horizontal="left" wrapText="1"/>
      <protection locked="0"/>
    </xf>
    <xf numFmtId="167" fontId="33" fillId="10" borderId="4" xfId="1" applyNumberFormat="1" applyFont="1" applyFill="1" applyBorder="1" applyAlignment="1" applyProtection="1">
      <alignment horizontal="left"/>
      <protection locked="0"/>
    </xf>
    <xf numFmtId="167" fontId="33" fillId="10" borderId="14" xfId="1" applyNumberFormat="1" applyFont="1" applyFill="1" applyBorder="1" applyAlignment="1" applyProtection="1">
      <alignment horizontal="left"/>
      <protection locked="0"/>
    </xf>
    <xf numFmtId="3" fontId="33" fillId="10" borderId="13" xfId="1" quotePrefix="1" applyFont="1" applyFill="1" applyBorder="1" applyAlignment="1" applyProtection="1">
      <alignment horizontal="left" wrapText="1" indent="1"/>
      <protection locked="0"/>
    </xf>
    <xf numFmtId="0" fontId="16" fillId="0" borderId="0" xfId="0" applyFont="1" applyAlignment="1">
      <alignment vertical="center"/>
    </xf>
    <xf numFmtId="3" fontId="15" fillId="0" borderId="13" xfId="1" applyFont="1" applyBorder="1" applyAlignment="1" applyProtection="1">
      <alignment wrapText="1"/>
      <protection locked="0"/>
    </xf>
    <xf numFmtId="167" fontId="15" fillId="0" borderId="4" xfId="9" applyNumberFormat="1" applyFont="1" applyBorder="1" applyProtection="1">
      <protection locked="0"/>
    </xf>
    <xf numFmtId="167" fontId="15" fillId="0" borderId="14" xfId="9" applyNumberFormat="1" applyFont="1" applyBorder="1" applyProtection="1">
      <protection locked="0"/>
    </xf>
    <xf numFmtId="3" fontId="15" fillId="0" borderId="24" xfId="1" quotePrefix="1" applyFont="1" applyBorder="1" applyAlignment="1" applyProtection="1">
      <alignment horizontal="left" wrapText="1"/>
      <protection locked="0"/>
    </xf>
    <xf numFmtId="167" fontId="15" fillId="0" borderId="5" xfId="1" applyNumberFormat="1" applyFont="1" applyBorder="1" applyAlignment="1" applyProtection="1">
      <alignment horizontal="left"/>
      <protection locked="0"/>
    </xf>
    <xf numFmtId="167" fontId="15" fillId="0" borderId="25" xfId="1" applyNumberFormat="1" applyFont="1" applyBorder="1" applyAlignment="1" applyProtection="1">
      <alignment horizontal="left"/>
      <protection locked="0"/>
    </xf>
    <xf numFmtId="3" fontId="15" fillId="0" borderId="44" xfId="1" quotePrefix="1" applyFont="1" applyBorder="1" applyAlignment="1" applyProtection="1">
      <alignment horizontal="left" wrapText="1"/>
      <protection locked="0"/>
    </xf>
    <xf numFmtId="3" fontId="15" fillId="0" borderId="24" xfId="1" applyFont="1" applyBorder="1" applyAlignment="1" applyProtection="1">
      <alignment wrapText="1"/>
      <protection locked="0"/>
    </xf>
    <xf numFmtId="3" fontId="33" fillId="0" borderId="13" xfId="1" applyFont="1" applyBorder="1" applyAlignment="1" applyProtection="1">
      <alignment wrapText="1"/>
      <protection locked="0"/>
    </xf>
    <xf numFmtId="3" fontId="15" fillId="0" borderId="44" xfId="1" applyFont="1" applyBorder="1" applyAlignment="1" applyProtection="1">
      <alignment wrapText="1"/>
      <protection locked="0"/>
    </xf>
    <xf numFmtId="3" fontId="15" fillId="0" borderId="38" xfId="1" applyFont="1" applyBorder="1" applyProtection="1">
      <protection locked="0"/>
    </xf>
    <xf numFmtId="0" fontId="5" fillId="0" borderId="74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" xfId="0" applyBorder="1"/>
    <xf numFmtId="0" fontId="0" fillId="0" borderId="74" xfId="0" applyBorder="1"/>
    <xf numFmtId="3" fontId="39" fillId="0" borderId="0" xfId="2" applyFont="1" applyProtection="1">
      <protection locked="0"/>
    </xf>
    <xf numFmtId="0" fontId="40" fillId="0" borderId="0" xfId="13" applyFont="1"/>
    <xf numFmtId="0" fontId="39" fillId="0" borderId="0" xfId="11" applyFont="1"/>
    <xf numFmtId="0" fontId="40" fillId="0" borderId="0" xfId="11" applyFont="1" applyAlignment="1">
      <alignment vertical="center" wrapText="1"/>
    </xf>
    <xf numFmtId="0" fontId="39" fillId="0" borderId="0" xfId="14" applyFont="1" applyAlignment="1">
      <alignment horizontal="right" vertical="top"/>
    </xf>
    <xf numFmtId="0" fontId="39" fillId="0" borderId="0" xfId="14" applyFont="1" applyAlignment="1">
      <alignment vertical="top"/>
    </xf>
    <xf numFmtId="0" fontId="39" fillId="10" borderId="13" xfId="8" quotePrefix="1" applyFont="1" applyFill="1" applyBorder="1" applyAlignment="1" applyProtection="1">
      <alignment horizontal="left"/>
      <protection locked="0"/>
    </xf>
    <xf numFmtId="167" fontId="39" fillId="10" borderId="4" xfId="8" quotePrefix="1" applyNumberFormat="1" applyFont="1" applyFill="1" applyBorder="1" applyAlignment="1" applyProtection="1">
      <alignment horizontal="left"/>
      <protection locked="0"/>
    </xf>
    <xf numFmtId="167" fontId="39" fillId="10" borderId="14" xfId="8" quotePrefix="1" applyNumberFormat="1" applyFont="1" applyFill="1" applyBorder="1" applyAlignment="1" applyProtection="1">
      <alignment horizontal="left"/>
      <protection locked="0"/>
    </xf>
    <xf numFmtId="0" fontId="39" fillId="10" borderId="13" xfId="8" quotePrefix="1" applyFont="1" applyFill="1" applyBorder="1" applyAlignment="1" applyProtection="1">
      <alignment horizontal="left" wrapText="1" indent="1"/>
      <protection locked="0"/>
    </xf>
    <xf numFmtId="0" fontId="39" fillId="10" borderId="13" xfId="8" quotePrefix="1" applyFont="1" applyFill="1" applyBorder="1" applyAlignment="1" applyProtection="1">
      <alignment horizontal="left" indent="1"/>
      <protection locked="0"/>
    </xf>
    <xf numFmtId="3" fontId="40" fillId="0" borderId="44" xfId="2" applyFont="1" applyBorder="1" applyProtection="1">
      <protection locked="0"/>
    </xf>
    <xf numFmtId="3" fontId="40" fillId="0" borderId="24" xfId="1" quotePrefix="1" applyFont="1" applyBorder="1" applyAlignment="1" applyProtection="1">
      <alignment horizontal="left"/>
      <protection locked="0"/>
    </xf>
    <xf numFmtId="167" fontId="39" fillId="0" borderId="5" xfId="9" applyNumberFormat="1" applyFont="1" applyFill="1" applyBorder="1" applyAlignment="1" applyProtection="1">
      <alignment horizontal="left"/>
      <protection locked="0"/>
    </xf>
    <xf numFmtId="167" fontId="39" fillId="0" borderId="25" xfId="9" applyNumberFormat="1" applyFont="1" applyFill="1" applyBorder="1" applyAlignment="1" applyProtection="1">
      <alignment horizontal="left"/>
      <protection locked="0"/>
    </xf>
    <xf numFmtId="3" fontId="39" fillId="0" borderId="13" xfId="1" applyFont="1" applyBorder="1" applyProtection="1">
      <protection locked="0"/>
    </xf>
    <xf numFmtId="3" fontId="40" fillId="0" borderId="44" xfId="1" quotePrefix="1" applyFont="1" applyBorder="1" applyAlignment="1" applyProtection="1">
      <alignment horizontal="left"/>
      <protection locked="0"/>
    </xf>
    <xf numFmtId="3" fontId="40" fillId="0" borderId="38" xfId="2" quotePrefix="1" applyFont="1" applyBorder="1" applyAlignment="1" applyProtection="1">
      <alignment horizontal="left"/>
      <protection locked="0"/>
    </xf>
    <xf numFmtId="0" fontId="3" fillId="0" borderId="11" xfId="0" applyFont="1" applyBorder="1" applyAlignment="1">
      <alignment horizontal="left" vertical="center"/>
    </xf>
    <xf numFmtId="0" fontId="0" fillId="0" borderId="16" xfId="0" applyFill="1" applyBorder="1" applyAlignment="1">
      <alignment horizontal="center" vertical="top" wrapText="1"/>
    </xf>
    <xf numFmtId="0" fontId="0" fillId="0" borderId="41" xfId="0" applyFill="1" applyBorder="1" applyAlignment="1">
      <alignment horizontal="center" vertical="top" wrapText="1"/>
    </xf>
    <xf numFmtId="0" fontId="0" fillId="0" borderId="42" xfId="0" applyFill="1" applyBorder="1" applyAlignment="1">
      <alignment horizontal="center" vertical="top" wrapText="1"/>
    </xf>
    <xf numFmtId="0" fontId="5" fillId="0" borderId="19" xfId="0" applyFont="1" applyFill="1" applyBorder="1" applyAlignment="1">
      <alignment horizontal="left" vertical="top" wrapText="1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5" fillId="0" borderId="1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65" fontId="2" fillId="5" borderId="59" xfId="0" applyNumberFormat="1" applyFont="1" applyFill="1" applyBorder="1" applyAlignment="1" applyProtection="1">
      <alignment horizontal="left"/>
      <protection locked="0"/>
    </xf>
    <xf numFmtId="165" fontId="2" fillId="5" borderId="29" xfId="0" applyNumberFormat="1" applyFont="1" applyFill="1" applyBorder="1" applyAlignment="1" applyProtection="1">
      <alignment horizontal="left"/>
      <protection locked="0"/>
    </xf>
    <xf numFmtId="165" fontId="2" fillId="5" borderId="30" xfId="0" applyNumberFormat="1" applyFont="1" applyFill="1" applyBorder="1" applyAlignment="1" applyProtection="1">
      <alignment horizontal="left"/>
      <protection locked="0"/>
    </xf>
    <xf numFmtId="165" fontId="2" fillId="5" borderId="60" xfId="0" applyNumberFormat="1" applyFont="1" applyFill="1" applyBorder="1" applyAlignment="1" applyProtection="1">
      <alignment horizontal="left"/>
      <protection locked="0"/>
    </xf>
    <xf numFmtId="165" fontId="2" fillId="5" borderId="41" xfId="0" applyNumberFormat="1" applyFont="1" applyFill="1" applyBorder="1" applyAlignment="1" applyProtection="1">
      <alignment horizontal="left"/>
      <protection locked="0"/>
    </xf>
    <xf numFmtId="165" fontId="2" fillId="5" borderId="42" xfId="0" applyNumberFormat="1" applyFont="1" applyFill="1" applyBorder="1" applyAlignment="1" applyProtection="1">
      <alignment horizontal="left"/>
      <protection locked="0"/>
    </xf>
    <xf numFmtId="0" fontId="26" fillId="0" borderId="11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26" fillId="0" borderId="1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6" fillId="0" borderId="1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0" fillId="5" borderId="59" xfId="0" applyFill="1" applyBorder="1" applyAlignment="1" applyProtection="1">
      <protection locked="0"/>
    </xf>
    <xf numFmtId="0" fontId="0" fillId="5" borderId="29" xfId="0" applyFill="1" applyBorder="1" applyAlignment="1" applyProtection="1">
      <protection locked="0"/>
    </xf>
    <xf numFmtId="0" fontId="0" fillId="5" borderId="30" xfId="0" applyFill="1" applyBorder="1" applyAlignment="1" applyProtection="1">
      <protection locked="0"/>
    </xf>
    <xf numFmtId="0" fontId="0" fillId="5" borderId="60" xfId="0" applyFill="1" applyBorder="1" applyAlignment="1" applyProtection="1">
      <protection locked="0"/>
    </xf>
    <xf numFmtId="0" fontId="0" fillId="5" borderId="41" xfId="0" applyFill="1" applyBorder="1" applyAlignment="1" applyProtection="1">
      <protection locked="0"/>
    </xf>
    <xf numFmtId="0" fontId="0" fillId="5" borderId="42" xfId="0" applyFill="1" applyBorder="1" applyAlignment="1" applyProtection="1">
      <protection locked="0"/>
    </xf>
    <xf numFmtId="0" fontId="0" fillId="5" borderId="62" xfId="0" applyFill="1" applyBorder="1" applyAlignment="1" applyProtection="1">
      <alignment horizontal="center"/>
      <protection locked="0"/>
    </xf>
    <xf numFmtId="0" fontId="0" fillId="5" borderId="63" xfId="0" applyFill="1" applyBorder="1" applyAlignment="1" applyProtection="1">
      <alignment horizontal="center"/>
      <protection locked="0"/>
    </xf>
    <xf numFmtId="0" fontId="0" fillId="5" borderId="64" xfId="0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0" xfId="0" applyFill="1" applyBorder="1" applyAlignment="1" applyProtection="1">
      <alignment horizontal="center"/>
      <protection locked="0"/>
    </xf>
    <xf numFmtId="0" fontId="0" fillId="5" borderId="54" xfId="0" applyFill="1" applyBorder="1" applyAlignment="1" applyProtection="1">
      <alignment horizontal="center"/>
      <protection locked="0"/>
    </xf>
    <xf numFmtId="0" fontId="0" fillId="5" borderId="60" xfId="0" applyFill="1" applyBorder="1" applyAlignment="1" applyProtection="1">
      <alignment horizontal="center"/>
      <protection locked="0"/>
    </xf>
    <xf numFmtId="0" fontId="0" fillId="5" borderId="41" xfId="0" applyFill="1" applyBorder="1" applyAlignment="1" applyProtection="1">
      <alignment horizontal="center"/>
      <protection locked="0"/>
    </xf>
    <xf numFmtId="0" fontId="0" fillId="5" borderId="42" xfId="0" applyFill="1" applyBorder="1" applyAlignment="1" applyProtection="1">
      <alignment horizontal="center"/>
      <protection locked="0"/>
    </xf>
    <xf numFmtId="0" fontId="5" fillId="6" borderId="1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5" fillId="6" borderId="23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0" fontId="5" fillId="6" borderId="18" xfId="0" applyFont="1" applyFill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3" fontId="5" fillId="6" borderId="11" xfId="7" applyFont="1" applyFill="1" applyBorder="1" applyAlignment="1">
      <alignment horizontal="left" vertical="center"/>
    </xf>
    <xf numFmtId="3" fontId="5" fillId="6" borderId="2" xfId="7" applyFont="1" applyFill="1" applyBorder="1" applyAlignment="1">
      <alignment horizontal="left" vertical="center"/>
    </xf>
    <xf numFmtId="3" fontId="5" fillId="6" borderId="12" xfId="7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2" fillId="6" borderId="1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15" fillId="6" borderId="13" xfId="0" applyFont="1" applyFill="1" applyBorder="1" applyAlignment="1">
      <alignment horizontal="left"/>
    </xf>
    <xf numFmtId="0" fontId="15" fillId="6" borderId="4" xfId="0" applyFont="1" applyFill="1" applyBorder="1" applyAlignment="1">
      <alignment horizontal="left"/>
    </xf>
    <xf numFmtId="0" fontId="15" fillId="6" borderId="14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5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165" fontId="2" fillId="5" borderId="29" xfId="0" applyNumberFormat="1" applyFont="1" applyFill="1" applyBorder="1" applyAlignment="1" applyProtection="1">
      <alignment horizontal="center"/>
      <protection locked="0"/>
    </xf>
    <xf numFmtId="165" fontId="2" fillId="5" borderId="30" xfId="0" applyNumberFormat="1" applyFont="1" applyFill="1" applyBorder="1" applyAlignment="1" applyProtection="1">
      <alignment horizontal="center"/>
      <protection locked="0"/>
    </xf>
    <xf numFmtId="165" fontId="2" fillId="5" borderId="41" xfId="0" applyNumberFormat="1" applyFont="1" applyFill="1" applyBorder="1" applyAlignment="1" applyProtection="1">
      <alignment horizontal="center"/>
      <protection locked="0"/>
    </xf>
    <xf numFmtId="165" fontId="2" fillId="5" borderId="42" xfId="0" applyNumberFormat="1" applyFont="1" applyFill="1" applyBorder="1" applyAlignment="1" applyProtection="1">
      <alignment horizontal="center"/>
      <protection locked="0"/>
    </xf>
    <xf numFmtId="0" fontId="5" fillId="0" borderId="2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5" fillId="0" borderId="11" xfId="7" applyFont="1" applyBorder="1" applyAlignment="1">
      <alignment horizontal="left" vertical="center"/>
    </xf>
    <xf numFmtId="3" fontId="5" fillId="0" borderId="2" xfId="7" applyFont="1" applyBorder="1" applyAlignment="1">
      <alignment horizontal="left" vertical="center"/>
    </xf>
    <xf numFmtId="3" fontId="5" fillId="0" borderId="12" xfId="7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5" borderId="29" xfId="0" applyFont="1" applyFill="1" applyBorder="1" applyAlignment="1" applyProtection="1">
      <alignment horizontal="left"/>
      <protection locked="0"/>
    </xf>
    <xf numFmtId="0" fontId="2" fillId="5" borderId="30" xfId="0" applyFont="1" applyFill="1" applyBorder="1" applyAlignment="1" applyProtection="1">
      <alignment horizontal="left"/>
      <protection locked="0"/>
    </xf>
    <xf numFmtId="0" fontId="2" fillId="5" borderId="41" xfId="0" applyFont="1" applyFill="1" applyBorder="1" applyAlignment="1" applyProtection="1">
      <alignment horizontal="left"/>
      <protection locked="0"/>
    </xf>
    <xf numFmtId="0" fontId="2" fillId="5" borderId="42" xfId="0" applyFont="1" applyFill="1" applyBorder="1" applyAlignment="1" applyProtection="1">
      <alignment horizontal="left"/>
      <protection locked="0"/>
    </xf>
    <xf numFmtId="0" fontId="0" fillId="0" borderId="16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 wrapText="1"/>
    </xf>
    <xf numFmtId="0" fontId="5" fillId="0" borderId="21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2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5" fillId="0" borderId="1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3" fillId="0" borderId="19" xfId="0" applyFont="1" applyFill="1" applyBorder="1" applyAlignment="1">
      <alignment horizontal="left" vertical="top" wrapText="1"/>
    </xf>
    <xf numFmtId="0" fontId="5" fillId="6" borderId="1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vertical="center" wrapText="1"/>
    </xf>
    <xf numFmtId="0" fontId="27" fillId="0" borderId="2" xfId="0" applyFont="1" applyFill="1" applyBorder="1" applyAlignment="1">
      <alignment vertical="center" wrapText="1"/>
    </xf>
    <xf numFmtId="0" fontId="27" fillId="0" borderId="12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3" fontId="15" fillId="9" borderId="32" xfId="2" quotePrefix="1" applyFont="1" applyFill="1" applyBorder="1" applyAlignment="1" applyProtection="1">
      <alignment horizontal="center" vertical="center"/>
      <protection locked="0"/>
    </xf>
    <xf numFmtId="3" fontId="15" fillId="9" borderId="33" xfId="2" applyFont="1" applyFill="1" applyBorder="1" applyAlignment="1" applyProtection="1">
      <alignment horizontal="center" vertical="center"/>
      <protection locked="0"/>
    </xf>
    <xf numFmtId="3" fontId="15" fillId="9" borderId="34" xfId="2" applyFont="1" applyFill="1" applyBorder="1" applyAlignment="1" applyProtection="1">
      <alignment horizontal="center" vertical="center"/>
      <protection locked="0"/>
    </xf>
    <xf numFmtId="3" fontId="15" fillId="9" borderId="81" xfId="2" applyFont="1" applyFill="1" applyBorder="1" applyAlignment="1" applyProtection="1">
      <alignment horizontal="center" vertical="center"/>
      <protection locked="0"/>
    </xf>
    <xf numFmtId="3" fontId="15" fillId="9" borderId="82" xfId="2" applyFont="1" applyFill="1" applyBorder="1" applyAlignment="1" applyProtection="1">
      <alignment horizontal="center" vertical="center"/>
      <protection locked="0"/>
    </xf>
    <xf numFmtId="3" fontId="15" fillId="9" borderId="83" xfId="2" applyFont="1" applyFill="1" applyBorder="1" applyAlignment="1" applyProtection="1">
      <alignment horizontal="center" vertical="center"/>
      <protection locked="0"/>
    </xf>
    <xf numFmtId="3" fontId="15" fillId="9" borderId="77" xfId="2" quotePrefix="1" applyFont="1" applyFill="1" applyBorder="1" applyAlignment="1" applyProtection="1">
      <alignment horizontal="center" vertical="center" wrapText="1"/>
      <protection locked="0"/>
    </xf>
    <xf numFmtId="3" fontId="15" fillId="9" borderId="24" xfId="2" quotePrefix="1" applyFont="1" applyFill="1" applyBorder="1" applyAlignment="1" applyProtection="1">
      <alignment horizontal="center" vertical="center" wrapText="1"/>
      <protection locked="0"/>
    </xf>
    <xf numFmtId="3" fontId="33" fillId="10" borderId="73" xfId="2" applyFont="1" applyFill="1" applyBorder="1" applyAlignment="1" applyProtection="1">
      <alignment horizontal="left" wrapText="1"/>
      <protection locked="0"/>
    </xf>
    <xf numFmtId="3" fontId="33" fillId="10" borderId="9" xfId="2" applyFont="1" applyFill="1" applyBorder="1" applyAlignment="1" applyProtection="1">
      <alignment horizontal="left" wrapText="1"/>
      <protection locked="0"/>
    </xf>
    <xf numFmtId="3" fontId="33" fillId="10" borderId="10" xfId="2" applyFont="1" applyFill="1" applyBorder="1" applyAlignment="1" applyProtection="1">
      <alignment horizontal="left" wrapText="1"/>
      <protection locked="0"/>
    </xf>
    <xf numFmtId="3" fontId="33" fillId="10" borderId="3" xfId="2" applyFont="1" applyFill="1" applyBorder="1" applyAlignment="1" applyProtection="1">
      <alignment horizontal="left" wrapText="1"/>
      <protection locked="0"/>
    </xf>
    <xf numFmtId="3" fontId="33" fillId="10" borderId="2" xfId="2" applyFont="1" applyFill="1" applyBorder="1" applyAlignment="1" applyProtection="1">
      <alignment horizontal="left" wrapText="1"/>
      <protection locked="0"/>
    </xf>
    <xf numFmtId="3" fontId="33" fillId="10" borderId="12" xfId="2" applyFont="1" applyFill="1" applyBorder="1" applyAlignment="1" applyProtection="1">
      <alignment horizontal="left" wrapText="1"/>
      <protection locked="0"/>
    </xf>
    <xf numFmtId="0" fontId="15" fillId="9" borderId="32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33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34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1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2" xfId="8" quotePrefix="1" applyFont="1" applyFill="1" applyBorder="1" applyAlignment="1" applyProtection="1">
      <alignment horizontal="center" vertical="center" readingOrder="1"/>
      <protection locked="0"/>
    </xf>
    <xf numFmtId="0" fontId="15" fillId="9" borderId="83" xfId="8" quotePrefix="1" applyFont="1" applyFill="1" applyBorder="1" applyAlignment="1" applyProtection="1">
      <alignment horizontal="center" vertical="center" readingOrder="1"/>
      <protection locked="0"/>
    </xf>
    <xf numFmtId="3" fontId="15" fillId="9" borderId="77" xfId="1" quotePrefix="1" applyFont="1" applyFill="1" applyBorder="1" applyAlignment="1" applyProtection="1">
      <alignment horizontal="center" vertical="center" wrapText="1"/>
      <protection locked="0"/>
    </xf>
    <xf numFmtId="3" fontId="15" fillId="9" borderId="24" xfId="1" quotePrefix="1" applyFont="1" applyFill="1" applyBorder="1" applyAlignment="1" applyProtection="1">
      <alignment horizontal="center" vertical="center" wrapText="1"/>
      <protection locked="0"/>
    </xf>
    <xf numFmtId="3" fontId="40" fillId="9" borderId="32" xfId="2" quotePrefix="1" applyFont="1" applyFill="1" applyBorder="1" applyAlignment="1" applyProtection="1">
      <alignment horizontal="center" vertical="center"/>
      <protection locked="0"/>
    </xf>
    <xf numFmtId="3" fontId="40" fillId="9" borderId="33" xfId="2" applyFont="1" applyFill="1" applyBorder="1" applyAlignment="1" applyProtection="1">
      <alignment horizontal="center" vertical="center"/>
      <protection locked="0"/>
    </xf>
    <xf numFmtId="3" fontId="40" fillId="9" borderId="34" xfId="2" applyFont="1" applyFill="1" applyBorder="1" applyAlignment="1" applyProtection="1">
      <alignment horizontal="center" vertical="center"/>
      <protection locked="0"/>
    </xf>
    <xf numFmtId="3" fontId="40" fillId="9" borderId="16" xfId="2" applyFont="1" applyFill="1" applyBorder="1" applyAlignment="1" applyProtection="1">
      <alignment horizontal="center" vertical="center"/>
      <protection locked="0"/>
    </xf>
    <xf numFmtId="3" fontId="40" fillId="9" borderId="41" xfId="2" applyFont="1" applyFill="1" applyBorder="1" applyAlignment="1" applyProtection="1">
      <alignment horizontal="center" vertical="center"/>
      <protection locked="0"/>
    </xf>
    <xf numFmtId="3" fontId="40" fillId="9" borderId="42" xfId="2" applyFont="1" applyFill="1" applyBorder="1" applyAlignment="1" applyProtection="1">
      <alignment horizontal="center" vertical="center"/>
      <protection locked="0"/>
    </xf>
    <xf numFmtId="3" fontId="40" fillId="9" borderId="23" xfId="2" quotePrefix="1" applyFont="1" applyFill="1" applyBorder="1" applyAlignment="1" applyProtection="1">
      <alignment horizontal="center" vertical="center" wrapText="1"/>
      <protection locked="0"/>
    </xf>
    <xf numFmtId="3" fontId="40" fillId="9" borderId="77" xfId="2" quotePrefix="1" applyFont="1" applyFill="1" applyBorder="1" applyAlignment="1" applyProtection="1">
      <alignment horizontal="center" vertical="center" wrapText="1"/>
      <protection locked="0"/>
    </xf>
    <xf numFmtId="3" fontId="40" fillId="9" borderId="24" xfId="2" quotePrefix="1" applyFont="1" applyFill="1" applyBorder="1" applyAlignment="1" applyProtection="1">
      <alignment horizontal="center" vertical="center" wrapText="1"/>
      <protection locked="0"/>
    </xf>
    <xf numFmtId="3" fontId="39" fillId="10" borderId="73" xfId="2" applyFont="1" applyFill="1" applyBorder="1" applyAlignment="1" applyProtection="1">
      <alignment horizontal="left" wrapText="1"/>
      <protection locked="0"/>
    </xf>
    <xf numFmtId="3" fontId="39" fillId="10" borderId="9" xfId="2" applyFont="1" applyFill="1" applyBorder="1" applyAlignment="1" applyProtection="1">
      <alignment horizontal="left" wrapText="1"/>
      <protection locked="0"/>
    </xf>
    <xf numFmtId="3" fontId="39" fillId="10" borderId="10" xfId="2" applyFont="1" applyFill="1" applyBorder="1" applyAlignment="1" applyProtection="1">
      <alignment horizontal="left" wrapText="1"/>
      <protection locked="0"/>
    </xf>
    <xf numFmtId="3" fontId="39" fillId="10" borderId="3" xfId="2" applyFont="1" applyFill="1" applyBorder="1" applyAlignment="1" applyProtection="1">
      <alignment horizontal="left" wrapText="1"/>
      <protection locked="0"/>
    </xf>
    <xf numFmtId="3" fontId="39" fillId="10" borderId="2" xfId="2" applyFont="1" applyFill="1" applyBorder="1" applyAlignment="1" applyProtection="1">
      <alignment horizontal="left" wrapText="1"/>
      <protection locked="0"/>
    </xf>
    <xf numFmtId="3" fontId="39" fillId="10" borderId="12" xfId="2" applyFont="1" applyFill="1" applyBorder="1" applyAlignment="1" applyProtection="1">
      <alignment horizontal="left" wrapText="1"/>
      <protection locked="0"/>
    </xf>
    <xf numFmtId="0" fontId="5" fillId="0" borderId="72" xfId="0" applyFont="1" applyBorder="1" applyAlignment="1">
      <alignment horizontal="center" vertical="center"/>
    </xf>
    <xf numFmtId="0" fontId="4" fillId="0" borderId="68" xfId="5" applyFont="1" applyBorder="1" applyAlignment="1"/>
    <xf numFmtId="0" fontId="0" fillId="0" borderId="69" xfId="0" applyBorder="1" applyAlignment="1"/>
    <xf numFmtId="0" fontId="4" fillId="0" borderId="13" xfId="5" applyFont="1" applyBorder="1" applyAlignment="1"/>
    <xf numFmtId="0" fontId="0" fillId="0" borderId="4" xfId="0" applyBorder="1" applyAlignment="1"/>
    <xf numFmtId="0" fontId="0" fillId="0" borderId="14" xfId="0" applyBorder="1" applyAlignment="1"/>
    <xf numFmtId="0" fontId="5" fillId="0" borderId="22" xfId="5" applyFont="1" applyBorder="1" applyAlignment="1">
      <alignment vertical="center" wrapText="1"/>
    </xf>
    <xf numFmtId="0" fontId="0" fillId="0" borderId="67" xfId="0" applyBorder="1" applyAlignment="1"/>
    <xf numFmtId="0" fontId="4" fillId="0" borderId="74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20" xfId="0" applyFont="1" applyBorder="1" applyAlignment="1">
      <alignment horizontal="left" wrapText="1"/>
    </xf>
    <xf numFmtId="0" fontId="5" fillId="0" borderId="7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 wrapText="1"/>
    </xf>
    <xf numFmtId="49" fontId="4" fillId="0" borderId="2" xfId="0" applyNumberFormat="1" applyFont="1" applyBorder="1" applyAlignment="1"/>
    <xf numFmtId="0" fontId="0" fillId="0" borderId="2" xfId="0" applyBorder="1" applyAlignment="1"/>
    <xf numFmtId="0" fontId="0" fillId="0" borderId="12" xfId="0" applyBorder="1" applyAlignment="1"/>
    <xf numFmtId="0" fontId="4" fillId="0" borderId="74" xfId="0" applyFont="1" applyBorder="1" applyAlignment="1">
      <alignment horizontal="left" wrapText="1"/>
    </xf>
    <xf numFmtId="0" fontId="4" fillId="0" borderId="76" xfId="0" applyFont="1" applyBorder="1" applyAlignment="1">
      <alignment horizontal="left" wrapText="1"/>
    </xf>
    <xf numFmtId="0" fontId="4" fillId="0" borderId="21" xfId="0" applyFont="1" applyBorder="1" applyAlignment="1">
      <alignment horizontal="left"/>
    </xf>
    <xf numFmtId="0" fontId="12" fillId="0" borderId="2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20" xfId="0" applyNumberFormat="1" applyFont="1" applyBorder="1" applyAlignment="1"/>
    <xf numFmtId="0" fontId="0" fillId="0" borderId="20" xfId="0" applyBorder="1" applyAlignment="1"/>
    <xf numFmtId="0" fontId="0" fillId="0" borderId="21" xfId="0" applyBorder="1" applyAlignment="1"/>
    <xf numFmtId="0" fontId="4" fillId="0" borderId="67" xfId="0" applyFont="1" applyBorder="1" applyAlignment="1">
      <alignment horizontal="center"/>
    </xf>
    <xf numFmtId="0" fontId="4" fillId="0" borderId="74" xfId="0" applyFont="1" applyBorder="1" applyAlignment="1">
      <alignment horizontal="center"/>
    </xf>
  </cellXfs>
  <cellStyles count="15">
    <cellStyle name="Currency 10" xfId="9" xr:uid="{8ECA61E9-527C-4232-A024-B8F8524441E6}"/>
    <cellStyle name="Hyperlink" xfId="6" builtinId="8"/>
    <cellStyle name="Normal" xfId="0" builtinId="0"/>
    <cellStyle name="Normal 1" xfId="8" xr:uid="{B1DA0DFE-D032-47A5-A901-7295E19E375A}"/>
    <cellStyle name="Normal 130" xfId="12" xr:uid="{AD34DF4B-59D5-40DF-9827-4C9F4084B027}"/>
    <cellStyle name="Normal 2 12" xfId="13" xr:uid="{358B6B60-C62C-4395-81AD-06F7E129525D}"/>
    <cellStyle name="Normal 2 2" xfId="3" xr:uid="{00000000-0005-0000-0000-000003000000}"/>
    <cellStyle name="Normal 2 2 5" xfId="11" xr:uid="{8FF6AA94-57EE-48F3-91B1-AA2B7C777B8F}"/>
    <cellStyle name="Normal 3" xfId="14" xr:uid="{F04F8BB1-00C4-46C9-9BC6-4284DF71131C}"/>
    <cellStyle name="Normal_105134-SOL-001-007" xfId="5" xr:uid="{00000000-0005-0000-0000-000004000000}"/>
    <cellStyle name="Normal_Form 3" xfId="7" xr:uid="{00000000-0005-0000-0000-000005000000}"/>
    <cellStyle name="Normal_Form 3f" xfId="4" xr:uid="{00000000-0005-0000-0000-000006000000}"/>
    <cellStyle name="Normal_G&amp;A FORM " xfId="1" xr:uid="{00000000-0005-0000-0000-000007000000}"/>
    <cellStyle name="Normal_Overhead Form 2" xfId="2" xr:uid="{00000000-0005-0000-0000-000008000000}"/>
    <cellStyle name="Percent [0]" xfId="10" xr:uid="{B14F9364-34B1-46EB-9390-61C910060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dcaa.mil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dcma.m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5"/>
  <sheetViews>
    <sheetView workbookViewId="0">
      <selection sqref="A1:I1"/>
    </sheetView>
  </sheetViews>
  <sheetFormatPr defaultRowHeight="12.5" x14ac:dyDescent="0.25"/>
  <cols>
    <col min="1" max="1" width="53.54296875" customWidth="1"/>
    <col min="2" max="4" width="11.54296875" customWidth="1"/>
    <col min="5" max="6" width="12.54296875" customWidth="1"/>
    <col min="7" max="7" width="14.453125" customWidth="1"/>
    <col min="8" max="9" width="12.54296875" customWidth="1"/>
  </cols>
  <sheetData>
    <row r="1" spans="1:9" ht="13" x14ac:dyDescent="0.25">
      <c r="A1" s="590" t="s">
        <v>380</v>
      </c>
      <c r="B1" s="591"/>
      <c r="C1" s="591"/>
      <c r="D1" s="591"/>
      <c r="E1" s="591"/>
      <c r="F1" s="591"/>
      <c r="G1" s="591"/>
      <c r="H1" s="591"/>
      <c r="I1" s="592"/>
    </row>
    <row r="2" spans="1:9" ht="13" x14ac:dyDescent="0.3">
      <c r="A2" s="593" t="s">
        <v>169</v>
      </c>
      <c r="B2" s="594"/>
      <c r="C2" s="594"/>
      <c r="D2" s="594"/>
      <c r="E2" s="594"/>
      <c r="F2" s="594"/>
      <c r="G2" s="594"/>
      <c r="H2" s="594"/>
      <c r="I2" s="595"/>
    </row>
    <row r="3" spans="1:9" ht="13" x14ac:dyDescent="0.25">
      <c r="A3" s="596" t="s">
        <v>147</v>
      </c>
      <c r="B3" s="597"/>
      <c r="C3" s="597"/>
      <c r="D3" s="597"/>
      <c r="E3" s="597"/>
      <c r="F3" s="597"/>
      <c r="G3" s="597"/>
      <c r="H3" s="597"/>
      <c r="I3" s="598"/>
    </row>
    <row r="4" spans="1:9" x14ac:dyDescent="0.25">
      <c r="A4" s="599"/>
      <c r="B4" s="600"/>
      <c r="C4" s="600"/>
      <c r="D4" s="600"/>
      <c r="E4" s="600"/>
      <c r="F4" s="600"/>
      <c r="G4" s="600"/>
      <c r="H4" s="600"/>
      <c r="I4" s="601"/>
    </row>
    <row r="5" spans="1:9" ht="14" x14ac:dyDescent="0.3">
      <c r="A5" s="602" t="s">
        <v>148</v>
      </c>
      <c r="B5" s="603"/>
      <c r="C5" s="603"/>
      <c r="D5" s="603"/>
      <c r="E5" s="603"/>
      <c r="F5" s="603"/>
      <c r="G5" s="603"/>
      <c r="H5" s="603"/>
      <c r="I5" s="604"/>
    </row>
    <row r="6" spans="1:9" ht="14" x14ac:dyDescent="0.25">
      <c r="A6" s="575" t="s">
        <v>127</v>
      </c>
      <c r="B6" s="576"/>
      <c r="C6" s="576"/>
      <c r="D6" s="576"/>
      <c r="E6" s="576"/>
      <c r="F6" s="576"/>
      <c r="G6" s="576"/>
      <c r="H6" s="576"/>
      <c r="I6" s="577"/>
    </row>
    <row r="7" spans="1:9" ht="14" x14ac:dyDescent="0.25">
      <c r="A7" s="575" t="s">
        <v>149</v>
      </c>
      <c r="B7" s="576"/>
      <c r="C7" s="576"/>
      <c r="D7" s="576"/>
      <c r="E7" s="576"/>
      <c r="F7" s="576"/>
      <c r="G7" s="576"/>
      <c r="H7" s="576"/>
      <c r="I7" s="577"/>
    </row>
    <row r="8" spans="1:9" ht="14" x14ac:dyDescent="0.3">
      <c r="A8" s="578" t="s">
        <v>260</v>
      </c>
      <c r="B8" s="579"/>
      <c r="C8" s="579"/>
      <c r="D8" s="579"/>
      <c r="E8" s="579"/>
      <c r="F8" s="579"/>
      <c r="G8" s="579"/>
      <c r="H8" s="579"/>
      <c r="I8" s="580"/>
    </row>
    <row r="9" spans="1:9" ht="13" x14ac:dyDescent="0.3">
      <c r="A9" s="535"/>
      <c r="B9" s="536"/>
      <c r="C9" s="536"/>
      <c r="D9" s="536"/>
      <c r="E9" s="536"/>
      <c r="F9" s="536"/>
      <c r="G9" s="536"/>
      <c r="H9" s="536"/>
      <c r="I9" s="537"/>
    </row>
    <row r="10" spans="1:9" ht="13" x14ac:dyDescent="0.3">
      <c r="A10" s="581" t="s">
        <v>150</v>
      </c>
      <c r="B10" s="582"/>
      <c r="C10" s="582"/>
      <c r="D10" s="582"/>
      <c r="E10" s="582"/>
      <c r="F10" s="582"/>
      <c r="G10" s="582"/>
      <c r="H10" s="582"/>
      <c r="I10" s="583"/>
    </row>
    <row r="11" spans="1:9" ht="13" x14ac:dyDescent="0.3">
      <c r="A11" s="584"/>
      <c r="B11" s="585"/>
      <c r="C11" s="585"/>
      <c r="D11" s="585"/>
      <c r="E11" s="585"/>
      <c r="F11" s="585"/>
      <c r="G11" s="585"/>
      <c r="H11" s="585"/>
      <c r="I11" s="586"/>
    </row>
    <row r="12" spans="1:9" ht="13" x14ac:dyDescent="0.25">
      <c r="A12" s="587" t="s">
        <v>261</v>
      </c>
      <c r="B12" s="588"/>
      <c r="C12" s="588"/>
      <c r="D12" s="588"/>
      <c r="E12" s="588"/>
      <c r="F12" s="588"/>
      <c r="G12" s="588"/>
      <c r="H12" s="588"/>
      <c r="I12" s="589"/>
    </row>
    <row r="13" spans="1:9" ht="13" x14ac:dyDescent="0.25">
      <c r="A13" s="120"/>
      <c r="B13" s="121"/>
      <c r="C13" s="121"/>
      <c r="D13" s="121"/>
      <c r="E13" s="121"/>
      <c r="F13" s="121"/>
      <c r="G13" s="121"/>
      <c r="H13" s="177"/>
      <c r="I13" s="193"/>
    </row>
    <row r="14" spans="1:9" ht="13" x14ac:dyDescent="0.25">
      <c r="A14" s="572" t="s">
        <v>151</v>
      </c>
      <c r="B14" s="573"/>
      <c r="C14" s="573"/>
      <c r="D14" s="573"/>
      <c r="E14" s="573"/>
      <c r="F14" s="573"/>
      <c r="G14" s="573"/>
      <c r="H14" s="573"/>
      <c r="I14" s="574"/>
    </row>
    <row r="15" spans="1:9" ht="13" thickBot="1" x14ac:dyDescent="0.3">
      <c r="A15" s="194"/>
      <c r="B15" s="178"/>
      <c r="C15" s="178"/>
      <c r="D15" s="178"/>
      <c r="E15" s="178"/>
      <c r="F15" s="178"/>
      <c r="G15" s="178"/>
      <c r="H15" s="178"/>
      <c r="I15" s="195"/>
    </row>
    <row r="16" spans="1:9" ht="13.5" thickBot="1" x14ac:dyDescent="0.3">
      <c r="A16" s="122" t="s">
        <v>129</v>
      </c>
      <c r="B16" s="553" t="s">
        <v>130</v>
      </c>
      <c r="C16" s="553"/>
      <c r="D16" s="553"/>
      <c r="E16" s="554" t="s">
        <v>131</v>
      </c>
      <c r="F16" s="555"/>
      <c r="G16" s="556"/>
      <c r="H16" s="276" t="s">
        <v>132</v>
      </c>
      <c r="I16" s="276" t="s">
        <v>152</v>
      </c>
    </row>
    <row r="17" spans="1:9" ht="13" x14ac:dyDescent="0.25">
      <c r="A17" s="196" t="s">
        <v>133</v>
      </c>
      <c r="B17" s="270" t="s">
        <v>153</v>
      </c>
      <c r="C17" s="271" t="s">
        <v>154</v>
      </c>
      <c r="D17" s="291" t="s">
        <v>155</v>
      </c>
      <c r="E17" s="287" t="s">
        <v>134</v>
      </c>
      <c r="F17" s="288" t="s">
        <v>135</v>
      </c>
      <c r="G17" s="289" t="s">
        <v>136</v>
      </c>
      <c r="H17" s="278" t="s">
        <v>156</v>
      </c>
      <c r="I17" s="278" t="s">
        <v>155</v>
      </c>
    </row>
    <row r="18" spans="1:9" ht="13.5" thickBot="1" x14ac:dyDescent="0.3">
      <c r="A18" s="123" t="s">
        <v>137</v>
      </c>
      <c r="B18" s="273" t="s">
        <v>3</v>
      </c>
      <c r="C18" s="274" t="s">
        <v>52</v>
      </c>
      <c r="D18" s="275" t="s">
        <v>3</v>
      </c>
      <c r="E18" s="292">
        <v>1.1000000000000001</v>
      </c>
      <c r="F18" s="292" t="s">
        <v>157</v>
      </c>
      <c r="G18" s="292">
        <v>0.25</v>
      </c>
      <c r="H18" s="292">
        <v>0.08</v>
      </c>
      <c r="I18" s="280" t="s">
        <v>158</v>
      </c>
    </row>
    <row r="19" spans="1:9" x14ac:dyDescent="0.25">
      <c r="A19" s="124" t="s">
        <v>138</v>
      </c>
      <c r="B19" s="125"/>
      <c r="C19" s="126"/>
      <c r="D19" s="127"/>
      <c r="E19" s="128"/>
      <c r="F19" s="128"/>
      <c r="G19" s="128"/>
      <c r="H19" s="128"/>
      <c r="I19" s="129"/>
    </row>
    <row r="20" spans="1:9" ht="13" x14ac:dyDescent="0.3">
      <c r="A20" s="179" t="s">
        <v>159</v>
      </c>
      <c r="B20" s="180">
        <v>20</v>
      </c>
      <c r="C20" s="181">
        <v>0.5</v>
      </c>
      <c r="D20" s="182">
        <f>SUM(B20*C20)</f>
        <v>10</v>
      </c>
      <c r="E20" s="557"/>
      <c r="F20" s="558"/>
      <c r="G20" s="558"/>
      <c r="H20" s="558"/>
      <c r="I20" s="559"/>
    </row>
    <row r="21" spans="1:9" ht="13" x14ac:dyDescent="0.3">
      <c r="A21" s="179" t="s">
        <v>160</v>
      </c>
      <c r="B21" s="183">
        <v>26</v>
      </c>
      <c r="C21" s="184">
        <v>0.5</v>
      </c>
      <c r="D21" s="182">
        <f>SUM(B21*C21)</f>
        <v>13</v>
      </c>
      <c r="E21" s="560"/>
      <c r="F21" s="561"/>
      <c r="G21" s="561"/>
      <c r="H21" s="561"/>
      <c r="I21" s="562"/>
    </row>
    <row r="22" spans="1:9" ht="16" thickBot="1" x14ac:dyDescent="0.4">
      <c r="A22" s="185" t="s">
        <v>161</v>
      </c>
      <c r="B22" s="136"/>
      <c r="C22" s="186">
        <f>SUM(C20:C21)</f>
        <v>1</v>
      </c>
      <c r="D22" s="187">
        <f>SUM(D20:D21)</f>
        <v>23</v>
      </c>
      <c r="E22" s="188">
        <f>SUM(D22*E18)</f>
        <v>25.3</v>
      </c>
      <c r="F22" s="188"/>
      <c r="G22" s="188">
        <f>SUM((D22+E22+F22)*G18)</f>
        <v>12.074999999999999</v>
      </c>
      <c r="H22" s="188">
        <f>SUM((D22+E22+F22+G22)*H18)</f>
        <v>4.83</v>
      </c>
      <c r="I22" s="189">
        <f>SUM(D22:H22)</f>
        <v>65.204999999999998</v>
      </c>
    </row>
    <row r="23" spans="1:9" ht="13.5" thickTop="1" x14ac:dyDescent="0.3">
      <c r="A23" s="179" t="s">
        <v>162</v>
      </c>
      <c r="B23" s="180">
        <v>26</v>
      </c>
      <c r="C23" s="181">
        <v>0.3</v>
      </c>
      <c r="D23" s="182">
        <f>PRODUCT(B23:C23)</f>
        <v>7.8</v>
      </c>
      <c r="E23" s="563"/>
      <c r="F23" s="564"/>
      <c r="G23" s="564"/>
      <c r="H23" s="564"/>
      <c r="I23" s="565"/>
    </row>
    <row r="24" spans="1:9" ht="13" x14ac:dyDescent="0.3">
      <c r="A24" s="179" t="s">
        <v>163</v>
      </c>
      <c r="B24" s="183">
        <v>28.5</v>
      </c>
      <c r="C24" s="184">
        <v>0.35</v>
      </c>
      <c r="D24" s="182">
        <f>PRODUCT(B24:C24)</f>
        <v>9.9749999999999996</v>
      </c>
      <c r="E24" s="566"/>
      <c r="F24" s="567"/>
      <c r="G24" s="567"/>
      <c r="H24" s="567"/>
      <c r="I24" s="568"/>
    </row>
    <row r="25" spans="1:9" ht="13" x14ac:dyDescent="0.3">
      <c r="A25" s="179" t="s">
        <v>164</v>
      </c>
      <c r="B25" s="183">
        <v>32</v>
      </c>
      <c r="C25" s="184">
        <v>0.35</v>
      </c>
      <c r="D25" s="190">
        <f>PRODUCT(B25:C25)</f>
        <v>11.2</v>
      </c>
      <c r="E25" s="569"/>
      <c r="F25" s="570"/>
      <c r="G25" s="570"/>
      <c r="H25" s="570"/>
      <c r="I25" s="571"/>
    </row>
    <row r="26" spans="1:9" ht="16" thickBot="1" x14ac:dyDescent="0.4">
      <c r="A26" s="185" t="s">
        <v>165</v>
      </c>
      <c r="B26" s="136"/>
      <c r="C26" s="186">
        <f>SUM(C23:C25)</f>
        <v>0.99999999999999989</v>
      </c>
      <c r="D26" s="187">
        <f>SUM(D23:D25)</f>
        <v>28.974999999999998</v>
      </c>
      <c r="E26" s="188">
        <f>SUM(D26*E18)</f>
        <v>31.872499999999999</v>
      </c>
      <c r="F26" s="188"/>
      <c r="G26" s="188">
        <f>SUM((D26+E26+F26)*G18)</f>
        <v>15.211874999999999</v>
      </c>
      <c r="H26" s="188">
        <f>SUM((D26+E26+F26+G26)*H18)</f>
        <v>6.0847499999999997</v>
      </c>
      <c r="I26" s="189">
        <f>SUM(D26:H26)</f>
        <v>82.144124999999988</v>
      </c>
    </row>
    <row r="27" spans="1:9" ht="13.5" thickTop="1" x14ac:dyDescent="0.3">
      <c r="A27" s="179" t="s">
        <v>166</v>
      </c>
      <c r="B27" s="180">
        <v>48</v>
      </c>
      <c r="C27" s="181">
        <v>1</v>
      </c>
      <c r="D27" s="182">
        <f>PRODUCT(B27:C27)</f>
        <v>48</v>
      </c>
      <c r="E27" s="569"/>
      <c r="F27" s="570"/>
      <c r="G27" s="570"/>
      <c r="H27" s="570"/>
      <c r="I27" s="571"/>
    </row>
    <row r="28" spans="1:9" ht="16" thickBot="1" x14ac:dyDescent="0.4">
      <c r="A28" s="185" t="s">
        <v>167</v>
      </c>
      <c r="B28" s="136"/>
      <c r="C28" s="186">
        <f>SUM(C27:C27)</f>
        <v>1</v>
      </c>
      <c r="D28" s="187">
        <f>SUM(D27:D27)</f>
        <v>48</v>
      </c>
      <c r="E28" s="188">
        <f>SUM(D28*E18)</f>
        <v>52.800000000000004</v>
      </c>
      <c r="F28" s="188"/>
      <c r="G28" s="188">
        <f>SUM((D28+E28+F28)*G18)</f>
        <v>25.200000000000003</v>
      </c>
      <c r="H28" s="188">
        <f>SUM((D28+E28+F28+G28)*H18)</f>
        <v>10.080000000000002</v>
      </c>
      <c r="I28" s="189">
        <f>SUM(D28:H28)</f>
        <v>136.08000000000001</v>
      </c>
    </row>
    <row r="29" spans="1:9" ht="13" thickTop="1" x14ac:dyDescent="0.25">
      <c r="A29" s="142"/>
      <c r="B29" s="131"/>
      <c r="C29" s="132"/>
      <c r="D29" s="191">
        <f>PRODUCT(B29:C29)</f>
        <v>0</v>
      </c>
      <c r="E29" s="538"/>
      <c r="F29" s="539"/>
      <c r="G29" s="539"/>
      <c r="H29" s="539"/>
      <c r="I29" s="540"/>
    </row>
    <row r="30" spans="1:9" x14ac:dyDescent="0.25">
      <c r="A30" s="141"/>
      <c r="B30" s="133"/>
      <c r="C30" s="134"/>
      <c r="D30" s="192">
        <v>0</v>
      </c>
      <c r="E30" s="541"/>
      <c r="F30" s="542"/>
      <c r="G30" s="542"/>
      <c r="H30" s="542"/>
      <c r="I30" s="543"/>
    </row>
    <row r="31" spans="1:9" ht="16" thickBot="1" x14ac:dyDescent="0.4">
      <c r="A31" s="135" t="s">
        <v>202</v>
      </c>
      <c r="B31" s="136"/>
      <c r="C31" s="137">
        <f>SUM(C29:C30)</f>
        <v>0</v>
      </c>
      <c r="D31" s="138">
        <f>SUM(D29:D30)</f>
        <v>0</v>
      </c>
      <c r="E31" s="139">
        <f>SUM(D31*E$18)</f>
        <v>0</v>
      </c>
      <c r="F31" s="139" t="e">
        <f>SUM(D31*F$18)</f>
        <v>#VALUE!</v>
      </c>
      <c r="G31" s="139" t="e">
        <f>SUM((D31+E31+F31)*G$18)</f>
        <v>#VALUE!</v>
      </c>
      <c r="H31" s="139" t="e">
        <f>SUM((D31+E31+F31+G31)*H$18)</f>
        <v>#VALUE!</v>
      </c>
      <c r="I31" s="140" t="e">
        <f>SUM(D31:H31)</f>
        <v>#VALUE!</v>
      </c>
    </row>
    <row r="32" spans="1:9" ht="13" thickTop="1" x14ac:dyDescent="0.25">
      <c r="A32" s="142"/>
      <c r="B32" s="131"/>
      <c r="C32" s="132"/>
      <c r="D32" s="191">
        <f>PRODUCT(B32:C32)</f>
        <v>0</v>
      </c>
      <c r="E32" s="538"/>
      <c r="F32" s="539"/>
      <c r="G32" s="539"/>
      <c r="H32" s="539"/>
      <c r="I32" s="540"/>
    </row>
    <row r="33" spans="1:9" x14ac:dyDescent="0.25">
      <c r="A33" s="141"/>
      <c r="B33" s="133"/>
      <c r="C33" s="134"/>
      <c r="D33" s="192">
        <v>0</v>
      </c>
      <c r="E33" s="541"/>
      <c r="F33" s="542"/>
      <c r="G33" s="542"/>
      <c r="H33" s="542"/>
      <c r="I33" s="543"/>
    </row>
    <row r="34" spans="1:9" ht="16" thickBot="1" x14ac:dyDescent="0.4">
      <c r="A34" s="135" t="s">
        <v>203</v>
      </c>
      <c r="B34" s="136"/>
      <c r="C34" s="137">
        <f>SUM(C32:C33)</f>
        <v>0</v>
      </c>
      <c r="D34" s="138">
        <f>SUM(D32:D33)</f>
        <v>0</v>
      </c>
      <c r="E34" s="139">
        <f>SUM(D34*E$18)</f>
        <v>0</v>
      </c>
      <c r="F34" s="139" t="e">
        <f>SUM(D34*F$18)</f>
        <v>#VALUE!</v>
      </c>
      <c r="G34" s="139" t="e">
        <f>SUM((D34+E34+F34)*G$18)</f>
        <v>#VALUE!</v>
      </c>
      <c r="H34" s="139" t="e">
        <f>SUM((D34+E34+F34+G34)*H$18)</f>
        <v>#VALUE!</v>
      </c>
      <c r="I34" s="140" t="e">
        <f>SUM(D34:H34)</f>
        <v>#VALUE!</v>
      </c>
    </row>
    <row r="35" spans="1:9" ht="13" thickTop="1" x14ac:dyDescent="0.25">
      <c r="A35" s="142"/>
      <c r="B35" s="131"/>
      <c r="C35" s="132"/>
      <c r="D35" s="191">
        <f>PRODUCT(B35:C35)</f>
        <v>0</v>
      </c>
      <c r="E35" s="538"/>
      <c r="F35" s="539"/>
      <c r="G35" s="539"/>
      <c r="H35" s="539"/>
      <c r="I35" s="540"/>
    </row>
    <row r="36" spans="1:9" x14ac:dyDescent="0.25">
      <c r="A36" s="141"/>
      <c r="B36" s="133"/>
      <c r="C36" s="134"/>
      <c r="D36" s="192">
        <f>PRODUCT(B36:C36)</f>
        <v>0</v>
      </c>
      <c r="E36" s="541"/>
      <c r="F36" s="542"/>
      <c r="G36" s="542"/>
      <c r="H36" s="542"/>
      <c r="I36" s="543"/>
    </row>
    <row r="37" spans="1:9" ht="16" thickBot="1" x14ac:dyDescent="0.4">
      <c r="A37" s="135" t="s">
        <v>204</v>
      </c>
      <c r="B37" s="136"/>
      <c r="C37" s="137">
        <f>SUM(C35:C36)</f>
        <v>0</v>
      </c>
      <c r="D37" s="138">
        <f>SUM(D35:D36)</f>
        <v>0</v>
      </c>
      <c r="E37" s="139">
        <f>SUM(D37*E$18)</f>
        <v>0</v>
      </c>
      <c r="F37" s="139" t="e">
        <f>SUM(D37*F$18)</f>
        <v>#VALUE!</v>
      </c>
      <c r="G37" s="139" t="e">
        <f>SUM((D37+E37+F37)*G$18)</f>
        <v>#VALUE!</v>
      </c>
      <c r="H37" s="139" t="e">
        <f>SUM((D37+E37+F37+G37)*H$18)</f>
        <v>#VALUE!</v>
      </c>
      <c r="I37" s="140" t="e">
        <f>SUM(D37:H37)</f>
        <v>#VALUE!</v>
      </c>
    </row>
    <row r="38" spans="1:9" ht="13" thickTop="1" x14ac:dyDescent="0.25">
      <c r="A38" s="143"/>
      <c r="B38" s="144"/>
      <c r="C38" s="145"/>
      <c r="D38" s="146"/>
      <c r="E38" s="147"/>
      <c r="F38" s="147"/>
      <c r="G38" s="147"/>
      <c r="H38" s="147"/>
      <c r="I38" s="148"/>
    </row>
    <row r="39" spans="1:9" x14ac:dyDescent="0.25">
      <c r="A39" s="152" t="s">
        <v>208</v>
      </c>
      <c r="B39" s="205"/>
      <c r="C39" s="199"/>
      <c r="D39" s="200"/>
      <c r="E39" s="206"/>
      <c r="F39" s="206"/>
      <c r="G39" s="206"/>
      <c r="H39" s="206"/>
      <c r="I39" s="207"/>
    </row>
    <row r="40" spans="1:9" x14ac:dyDescent="0.25">
      <c r="A40" s="544" t="s">
        <v>170</v>
      </c>
      <c r="B40" s="545"/>
      <c r="C40" s="545"/>
      <c r="D40" s="545"/>
      <c r="E40" s="545"/>
      <c r="F40" s="545"/>
      <c r="G40" s="545"/>
      <c r="H40" s="545"/>
      <c r="I40" s="546"/>
    </row>
    <row r="41" spans="1:9" x14ac:dyDescent="0.25">
      <c r="A41" s="547" t="s">
        <v>143</v>
      </c>
      <c r="B41" s="548"/>
      <c r="C41" s="548"/>
      <c r="D41" s="548"/>
      <c r="E41" s="548"/>
      <c r="F41" s="548"/>
      <c r="G41" s="548"/>
      <c r="H41" s="548"/>
      <c r="I41" s="549"/>
    </row>
    <row r="42" spans="1:9" ht="19.399999999999999" customHeight="1" x14ac:dyDescent="0.25">
      <c r="A42" s="550" t="s">
        <v>188</v>
      </c>
      <c r="B42" s="551"/>
      <c r="C42" s="551"/>
      <c r="D42" s="551"/>
      <c r="E42" s="551"/>
      <c r="F42" s="551"/>
      <c r="G42" s="551"/>
      <c r="H42" s="551"/>
      <c r="I42" s="552"/>
    </row>
    <row r="43" spans="1:9" ht="16.75" customHeight="1" x14ac:dyDescent="0.25">
      <c r="A43" s="550" t="s">
        <v>181</v>
      </c>
      <c r="B43" s="551"/>
      <c r="C43" s="551"/>
      <c r="D43" s="551"/>
      <c r="E43" s="551"/>
      <c r="F43" s="551"/>
      <c r="G43" s="551"/>
      <c r="H43" s="551"/>
      <c r="I43" s="552"/>
    </row>
    <row r="44" spans="1:9" x14ac:dyDescent="0.25">
      <c r="A44" s="529"/>
      <c r="B44" s="530"/>
      <c r="C44" s="530"/>
      <c r="D44" s="530"/>
      <c r="E44" s="530"/>
      <c r="F44" s="530"/>
      <c r="G44" s="530"/>
      <c r="H44" s="530"/>
      <c r="I44" s="531"/>
    </row>
    <row r="45" spans="1:9" ht="13.4" customHeight="1" thickBot="1" x14ac:dyDescent="0.3">
      <c r="A45" s="532" t="s">
        <v>168</v>
      </c>
      <c r="B45" s="533"/>
      <c r="C45" s="533"/>
      <c r="D45" s="533"/>
      <c r="E45" s="533"/>
      <c r="F45" s="533"/>
      <c r="G45" s="533"/>
      <c r="H45" s="533"/>
      <c r="I45" s="534"/>
    </row>
  </sheetData>
  <mergeCells count="27">
    <mergeCell ref="A6:I6"/>
    <mergeCell ref="A1:I1"/>
    <mergeCell ref="A2:I2"/>
    <mergeCell ref="A3:I3"/>
    <mergeCell ref="A4:I4"/>
    <mergeCell ref="A5:I5"/>
    <mergeCell ref="A7:I7"/>
    <mergeCell ref="A8:I8"/>
    <mergeCell ref="A10:I10"/>
    <mergeCell ref="A11:I11"/>
    <mergeCell ref="A12:I12"/>
    <mergeCell ref="A44:I44"/>
    <mergeCell ref="A45:I45"/>
    <mergeCell ref="A9:I9"/>
    <mergeCell ref="E32:I33"/>
    <mergeCell ref="E35:I36"/>
    <mergeCell ref="A40:I40"/>
    <mergeCell ref="A41:I41"/>
    <mergeCell ref="A42:I42"/>
    <mergeCell ref="A43:I43"/>
    <mergeCell ref="B16:D16"/>
    <mergeCell ref="E16:G16"/>
    <mergeCell ref="E20:I21"/>
    <mergeCell ref="E23:I25"/>
    <mergeCell ref="E27:I27"/>
    <mergeCell ref="E29:I30"/>
    <mergeCell ref="A14:I14"/>
  </mergeCells>
  <printOptions horizontalCentered="1"/>
  <pageMargins left="0.2" right="0.2" top="0.5" bottom="0.5" header="0.3" footer="0.3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3"/>
  <sheetViews>
    <sheetView tabSelected="1" workbookViewId="0">
      <selection sqref="A1:I1"/>
    </sheetView>
  </sheetViews>
  <sheetFormatPr defaultRowHeight="12.5" x14ac:dyDescent="0.25"/>
  <cols>
    <col min="1" max="1" width="53.54296875" customWidth="1"/>
    <col min="2" max="4" width="11.54296875" customWidth="1"/>
    <col min="5" max="6" width="12.54296875" customWidth="1"/>
    <col min="7" max="7" width="14.453125" customWidth="1"/>
    <col min="8" max="9" width="12.54296875" customWidth="1"/>
  </cols>
  <sheetData>
    <row r="1" spans="1:9" ht="13" x14ac:dyDescent="0.25">
      <c r="A1" s="590" t="s">
        <v>380</v>
      </c>
      <c r="B1" s="591"/>
      <c r="C1" s="591"/>
      <c r="D1" s="591"/>
      <c r="E1" s="591"/>
      <c r="F1" s="591"/>
      <c r="G1" s="591"/>
      <c r="H1" s="591"/>
      <c r="I1" s="592"/>
    </row>
    <row r="2" spans="1:9" ht="13" x14ac:dyDescent="0.25">
      <c r="A2" s="612" t="s">
        <v>9</v>
      </c>
      <c r="B2" s="613"/>
      <c r="C2" s="613"/>
      <c r="D2" s="613"/>
      <c r="E2" s="613"/>
      <c r="F2" s="613"/>
      <c r="G2" s="613"/>
      <c r="H2" s="613"/>
      <c r="I2" s="614"/>
    </row>
    <row r="3" spans="1:9" ht="13" x14ac:dyDescent="0.25">
      <c r="A3" s="615" t="s">
        <v>237</v>
      </c>
      <c r="B3" s="616"/>
      <c r="C3" s="616"/>
      <c r="D3" s="616"/>
      <c r="E3" s="616"/>
      <c r="F3" s="616"/>
      <c r="G3" s="616"/>
      <c r="H3" s="616"/>
      <c r="I3" s="617"/>
    </row>
    <row r="4" spans="1:9" x14ac:dyDescent="0.25">
      <c r="A4" s="618"/>
      <c r="B4" s="619"/>
      <c r="C4" s="619"/>
      <c r="D4" s="619"/>
      <c r="E4" s="619"/>
      <c r="F4" s="619"/>
      <c r="G4" s="619"/>
      <c r="H4" s="619"/>
      <c r="I4" s="620"/>
    </row>
    <row r="5" spans="1:9" ht="14" x14ac:dyDescent="0.25">
      <c r="A5" s="621" t="s">
        <v>126</v>
      </c>
      <c r="B5" s="622"/>
      <c r="C5" s="622"/>
      <c r="D5" s="622"/>
      <c r="E5" s="622"/>
      <c r="F5" s="622"/>
      <c r="G5" s="622"/>
      <c r="H5" s="622"/>
      <c r="I5" s="623"/>
    </row>
    <row r="6" spans="1:9" ht="15.5" x14ac:dyDescent="0.25">
      <c r="A6" s="605" t="s">
        <v>127</v>
      </c>
      <c r="B6" s="606"/>
      <c r="C6" s="606"/>
      <c r="D6" s="606"/>
      <c r="E6" s="606"/>
      <c r="F6" s="606"/>
      <c r="G6" s="606"/>
      <c r="H6" s="606"/>
      <c r="I6" s="607"/>
    </row>
    <row r="7" spans="1:9" ht="14" x14ac:dyDescent="0.25">
      <c r="A7" s="575" t="s">
        <v>149</v>
      </c>
      <c r="B7" s="576"/>
      <c r="C7" s="576"/>
      <c r="D7" s="576"/>
      <c r="E7" s="576"/>
      <c r="F7" s="576"/>
      <c r="G7" s="576"/>
      <c r="H7" s="576"/>
      <c r="I7" s="577"/>
    </row>
    <row r="8" spans="1:9" ht="14" x14ac:dyDescent="0.25">
      <c r="A8" s="621" t="s">
        <v>262</v>
      </c>
      <c r="B8" s="622"/>
      <c r="C8" s="622"/>
      <c r="D8" s="622"/>
      <c r="E8" s="622"/>
      <c r="F8" s="622"/>
      <c r="G8" s="622"/>
      <c r="H8" s="622"/>
      <c r="I8" s="623"/>
    </row>
    <row r="9" spans="1:9" ht="13" x14ac:dyDescent="0.25">
      <c r="A9" s="637"/>
      <c r="B9" s="638"/>
      <c r="C9" s="638"/>
      <c r="D9" s="638"/>
      <c r="E9" s="638"/>
      <c r="F9" s="638"/>
      <c r="G9" s="638"/>
      <c r="H9" s="638"/>
      <c r="I9" s="639"/>
    </row>
    <row r="10" spans="1:9" ht="13" x14ac:dyDescent="0.25">
      <c r="A10" s="628" t="s">
        <v>128</v>
      </c>
      <c r="B10" s="629"/>
      <c r="C10" s="629"/>
      <c r="D10" s="629"/>
      <c r="E10" s="629"/>
      <c r="F10" s="629"/>
      <c r="G10" s="629"/>
      <c r="H10" s="629"/>
      <c r="I10" s="630"/>
    </row>
    <row r="11" spans="1:9" ht="13" x14ac:dyDescent="0.25">
      <c r="A11" s="631"/>
      <c r="B11" s="632"/>
      <c r="C11" s="632"/>
      <c r="D11" s="632"/>
      <c r="E11" s="632"/>
      <c r="F11" s="632"/>
      <c r="G11" s="632"/>
      <c r="H11" s="632"/>
      <c r="I11" s="633"/>
    </row>
    <row r="12" spans="1:9" ht="13" x14ac:dyDescent="0.25">
      <c r="A12" s="634" t="s">
        <v>259</v>
      </c>
      <c r="B12" s="635"/>
      <c r="C12" s="635"/>
      <c r="D12" s="635"/>
      <c r="E12" s="635"/>
      <c r="F12" s="635"/>
      <c r="G12" s="635"/>
      <c r="H12" s="635"/>
      <c r="I12" s="636"/>
    </row>
    <row r="13" spans="1:9" ht="13.5" thickBot="1" x14ac:dyDescent="0.3">
      <c r="A13" s="197"/>
      <c r="B13" s="177"/>
      <c r="C13" s="177"/>
      <c r="D13" s="177"/>
      <c r="E13" s="177"/>
      <c r="F13" s="177"/>
      <c r="G13" s="177"/>
      <c r="H13" s="177"/>
      <c r="I13" s="193"/>
    </row>
    <row r="14" spans="1:9" ht="13.5" thickBot="1" x14ac:dyDescent="0.3">
      <c r="A14" s="122" t="s">
        <v>129</v>
      </c>
      <c r="B14" s="553" t="s">
        <v>130</v>
      </c>
      <c r="C14" s="553"/>
      <c r="D14" s="553"/>
      <c r="E14" s="554" t="s">
        <v>131</v>
      </c>
      <c r="F14" s="555"/>
      <c r="G14" s="556"/>
      <c r="H14" s="276" t="s">
        <v>132</v>
      </c>
      <c r="I14" s="276" t="s">
        <v>152</v>
      </c>
    </row>
    <row r="15" spans="1:9" ht="13" x14ac:dyDescent="0.25">
      <c r="A15" s="196" t="s">
        <v>133</v>
      </c>
      <c r="B15" s="608" t="s">
        <v>139</v>
      </c>
      <c r="C15" s="610" t="s">
        <v>140</v>
      </c>
      <c r="D15" s="149" t="s">
        <v>155</v>
      </c>
      <c r="E15" s="287" t="s">
        <v>134</v>
      </c>
      <c r="F15" s="288" t="s">
        <v>135</v>
      </c>
      <c r="G15" s="289" t="s">
        <v>136</v>
      </c>
      <c r="H15" s="278" t="s">
        <v>156</v>
      </c>
      <c r="I15" s="278" t="s">
        <v>155</v>
      </c>
    </row>
    <row r="16" spans="1:9" ht="13.5" thickBot="1" x14ac:dyDescent="0.3">
      <c r="A16" s="123" t="s">
        <v>137</v>
      </c>
      <c r="B16" s="609"/>
      <c r="C16" s="611"/>
      <c r="D16" s="198" t="s">
        <v>3</v>
      </c>
      <c r="E16" s="290" t="s">
        <v>52</v>
      </c>
      <c r="F16" s="290" t="s">
        <v>52</v>
      </c>
      <c r="G16" s="290" t="s">
        <v>52</v>
      </c>
      <c r="H16" s="290" t="s">
        <v>52</v>
      </c>
      <c r="I16" s="280" t="s">
        <v>158</v>
      </c>
    </row>
    <row r="17" spans="1:9" x14ac:dyDescent="0.25">
      <c r="A17" s="124" t="s">
        <v>138</v>
      </c>
      <c r="B17" s="125"/>
      <c r="C17" s="126"/>
      <c r="D17" s="222"/>
      <c r="E17" s="128"/>
      <c r="F17" s="128"/>
      <c r="G17" s="128"/>
      <c r="H17" s="128"/>
      <c r="I17" s="129"/>
    </row>
    <row r="18" spans="1:9" x14ac:dyDescent="0.25">
      <c r="A18" s="130"/>
      <c r="B18" s="131"/>
      <c r="C18" s="219"/>
      <c r="D18" s="223">
        <v>0</v>
      </c>
      <c r="E18" s="640"/>
      <c r="F18" s="640"/>
      <c r="G18" s="640"/>
      <c r="H18" s="640"/>
      <c r="I18" s="641"/>
    </row>
    <row r="19" spans="1:9" x14ac:dyDescent="0.25">
      <c r="A19" s="130"/>
      <c r="B19" s="133"/>
      <c r="C19" s="220"/>
      <c r="D19" s="223">
        <v>0</v>
      </c>
      <c r="E19" s="642"/>
      <c r="F19" s="642"/>
      <c r="G19" s="642"/>
      <c r="H19" s="642"/>
      <c r="I19" s="643"/>
    </row>
    <row r="20" spans="1:9" ht="16" thickBot="1" x14ac:dyDescent="0.4">
      <c r="A20" s="135" t="s">
        <v>141</v>
      </c>
      <c r="B20" s="136"/>
      <c r="C20" s="221">
        <f>SUM(C18:C19)</f>
        <v>0</v>
      </c>
      <c r="D20" s="224">
        <f>SUM(D18:D19)</f>
        <v>0</v>
      </c>
      <c r="E20" s="298" t="e">
        <f>SUM(D20*E$16)</f>
        <v>#VALUE!</v>
      </c>
      <c r="F20" s="299" t="e">
        <f>SUM(D20*F$16)</f>
        <v>#VALUE!</v>
      </c>
      <c r="G20" s="299" t="e">
        <f>SUM((D20+E20+F20)*G$16)</f>
        <v>#VALUE!</v>
      </c>
      <c r="H20" s="299" t="e">
        <f>SUM((D20+E20+F20+G20)*H$16)</f>
        <v>#VALUE!</v>
      </c>
      <c r="I20" s="300" t="e">
        <f>SUM(D20:H20)</f>
        <v>#VALUE!</v>
      </c>
    </row>
    <row r="21" spans="1:9" ht="13" thickTop="1" x14ac:dyDescent="0.25">
      <c r="A21" s="141"/>
      <c r="B21" s="131"/>
      <c r="C21" s="219"/>
      <c r="D21" s="223">
        <f>SUM(B21*C21)</f>
        <v>0</v>
      </c>
      <c r="E21" s="624"/>
      <c r="F21" s="624"/>
      <c r="G21" s="624"/>
      <c r="H21" s="624"/>
      <c r="I21" s="625"/>
    </row>
    <row r="22" spans="1:9" x14ac:dyDescent="0.25">
      <c r="A22" s="141"/>
      <c r="B22" s="133"/>
      <c r="C22" s="220"/>
      <c r="D22" s="223">
        <v>0</v>
      </c>
      <c r="E22" s="626"/>
      <c r="F22" s="626"/>
      <c r="G22" s="626"/>
      <c r="H22" s="626"/>
      <c r="I22" s="627"/>
    </row>
    <row r="23" spans="1:9" ht="16" thickBot="1" x14ac:dyDescent="0.4">
      <c r="A23" s="135" t="s">
        <v>205</v>
      </c>
      <c r="B23" s="136"/>
      <c r="C23" s="221">
        <f>SUM(C21:C22)</f>
        <v>0</v>
      </c>
      <c r="D23" s="224">
        <f>SUM(D21:D22)</f>
        <v>0</v>
      </c>
      <c r="E23" s="298" t="e">
        <f>SUM(D23*E$16)</f>
        <v>#VALUE!</v>
      </c>
      <c r="F23" s="299" t="e">
        <f>SUM(D23*F$16)</f>
        <v>#VALUE!</v>
      </c>
      <c r="G23" s="299" t="e">
        <f>SUM((D23+E23+F23)*G$16)</f>
        <v>#VALUE!</v>
      </c>
      <c r="H23" s="299" t="e">
        <f>SUM((D23+E23+F23+G23)*H$16)</f>
        <v>#VALUE!</v>
      </c>
      <c r="I23" s="300" t="e">
        <f>SUM(D23:H23)</f>
        <v>#VALUE!</v>
      </c>
    </row>
    <row r="24" spans="1:9" ht="13" thickTop="1" x14ac:dyDescent="0.25">
      <c r="A24" s="142"/>
      <c r="B24" s="131"/>
      <c r="C24" s="219"/>
      <c r="D24" s="223">
        <f>PRODUCT(B24:C24)</f>
        <v>0</v>
      </c>
      <c r="E24" s="624"/>
      <c r="F24" s="624"/>
      <c r="G24" s="624"/>
      <c r="H24" s="624"/>
      <c r="I24" s="625"/>
    </row>
    <row r="25" spans="1:9" x14ac:dyDescent="0.25">
      <c r="A25" s="141"/>
      <c r="B25" s="133"/>
      <c r="C25" s="220"/>
      <c r="D25" s="225">
        <v>0</v>
      </c>
      <c r="E25" s="626"/>
      <c r="F25" s="626"/>
      <c r="G25" s="626"/>
      <c r="H25" s="626"/>
      <c r="I25" s="627"/>
    </row>
    <row r="26" spans="1:9" ht="16" thickBot="1" x14ac:dyDescent="0.4">
      <c r="A26" s="135" t="s">
        <v>206</v>
      </c>
      <c r="B26" s="136"/>
      <c r="C26" s="221">
        <f>SUM(C24:C25)</f>
        <v>0</v>
      </c>
      <c r="D26" s="224">
        <f>SUM(D24:D25)</f>
        <v>0</v>
      </c>
      <c r="E26" s="298" t="e">
        <f>SUM(D26*E$16)</f>
        <v>#VALUE!</v>
      </c>
      <c r="F26" s="299" t="e">
        <f>SUM(D26*F$16)</f>
        <v>#VALUE!</v>
      </c>
      <c r="G26" s="299" t="e">
        <f>SUM((D26+E26+F26)*G$16)</f>
        <v>#VALUE!</v>
      </c>
      <c r="H26" s="299" t="e">
        <f>SUM((D26+E26+F26+G26)*H$16)</f>
        <v>#VALUE!</v>
      </c>
      <c r="I26" s="300" t="e">
        <f>SUM(D26:H26)</f>
        <v>#VALUE!</v>
      </c>
    </row>
    <row r="27" spans="1:9" ht="13" thickTop="1" x14ac:dyDescent="0.25">
      <c r="A27" s="142"/>
      <c r="B27" s="131"/>
      <c r="C27" s="219"/>
      <c r="D27" s="223">
        <f>PRODUCT(B27:C27)</f>
        <v>0</v>
      </c>
      <c r="E27" s="624"/>
      <c r="F27" s="624"/>
      <c r="G27" s="624"/>
      <c r="H27" s="624"/>
      <c r="I27" s="625"/>
    </row>
    <row r="28" spans="1:9" x14ac:dyDescent="0.25">
      <c r="A28" s="141"/>
      <c r="B28" s="133"/>
      <c r="C28" s="220"/>
      <c r="D28" s="225">
        <v>0</v>
      </c>
      <c r="E28" s="626"/>
      <c r="F28" s="626"/>
      <c r="G28" s="626"/>
      <c r="H28" s="626"/>
      <c r="I28" s="627"/>
    </row>
    <row r="29" spans="1:9" ht="16" thickBot="1" x14ac:dyDescent="0.4">
      <c r="A29" s="135" t="s">
        <v>202</v>
      </c>
      <c r="B29" s="136"/>
      <c r="C29" s="221">
        <f>SUM(C27:C28)</f>
        <v>0</v>
      </c>
      <c r="D29" s="224">
        <f>SUM(D27:D28)</f>
        <v>0</v>
      </c>
      <c r="E29" s="298" t="e">
        <f>SUM(D29*E$16)</f>
        <v>#VALUE!</v>
      </c>
      <c r="F29" s="299" t="e">
        <f>SUM(D29*F$16)</f>
        <v>#VALUE!</v>
      </c>
      <c r="G29" s="299" t="e">
        <f>SUM((D29+E29+F29)*G$16)</f>
        <v>#VALUE!</v>
      </c>
      <c r="H29" s="299" t="e">
        <f>SUM((D29+E29+F29+G29)*H$16)</f>
        <v>#VALUE!</v>
      </c>
      <c r="I29" s="300" t="e">
        <f>SUM(D29:H29)</f>
        <v>#VALUE!</v>
      </c>
    </row>
    <row r="30" spans="1:9" ht="13" thickTop="1" x14ac:dyDescent="0.25">
      <c r="A30" s="142"/>
      <c r="B30" s="131"/>
      <c r="C30" s="219"/>
      <c r="D30" s="223">
        <f>PRODUCT(B30:C30)</f>
        <v>0</v>
      </c>
      <c r="E30" s="624"/>
      <c r="F30" s="624"/>
      <c r="G30" s="624"/>
      <c r="H30" s="624"/>
      <c r="I30" s="625"/>
    </row>
    <row r="31" spans="1:9" x14ac:dyDescent="0.25">
      <c r="A31" s="141"/>
      <c r="B31" s="133"/>
      <c r="C31" s="220"/>
      <c r="D31" s="225">
        <v>0</v>
      </c>
      <c r="E31" s="626"/>
      <c r="F31" s="626"/>
      <c r="G31" s="626"/>
      <c r="H31" s="626"/>
      <c r="I31" s="627"/>
    </row>
    <row r="32" spans="1:9" ht="16" thickBot="1" x14ac:dyDescent="0.4">
      <c r="A32" s="135" t="s">
        <v>203</v>
      </c>
      <c r="B32" s="136"/>
      <c r="C32" s="221">
        <f>SUM(C30:C31)</f>
        <v>0</v>
      </c>
      <c r="D32" s="224">
        <f>SUM(D30:D31)</f>
        <v>0</v>
      </c>
      <c r="E32" s="298" t="e">
        <f>SUM(D32*E$16)</f>
        <v>#VALUE!</v>
      </c>
      <c r="F32" s="299" t="e">
        <f>SUM(D32*F$16)</f>
        <v>#VALUE!</v>
      </c>
      <c r="G32" s="299" t="e">
        <f>SUM((D32+E32+F32)*G$16)</f>
        <v>#VALUE!</v>
      </c>
      <c r="H32" s="299" t="e">
        <f>SUM((D32+E32+F32+G32)*H$16)</f>
        <v>#VALUE!</v>
      </c>
      <c r="I32" s="300" t="e">
        <f>SUM(D32:H32)</f>
        <v>#VALUE!</v>
      </c>
    </row>
    <row r="33" spans="1:9" ht="13" thickTop="1" x14ac:dyDescent="0.25">
      <c r="A33" s="142"/>
      <c r="B33" s="131"/>
      <c r="C33" s="219"/>
      <c r="D33" s="223">
        <f>PRODUCT(B33:C33)</f>
        <v>0</v>
      </c>
      <c r="E33" s="624"/>
      <c r="F33" s="624"/>
      <c r="G33" s="624"/>
      <c r="H33" s="624"/>
      <c r="I33" s="625"/>
    </row>
    <row r="34" spans="1:9" x14ac:dyDescent="0.25">
      <c r="A34" s="141"/>
      <c r="B34" s="133"/>
      <c r="C34" s="220"/>
      <c r="D34" s="225">
        <f>PRODUCT(B34:C34)</f>
        <v>0</v>
      </c>
      <c r="E34" s="626"/>
      <c r="F34" s="626"/>
      <c r="G34" s="626"/>
      <c r="H34" s="626"/>
      <c r="I34" s="627"/>
    </row>
    <row r="35" spans="1:9" ht="16" thickBot="1" x14ac:dyDescent="0.4">
      <c r="A35" s="135" t="s">
        <v>204</v>
      </c>
      <c r="B35" s="136"/>
      <c r="C35" s="221">
        <f>SUM(C33:C34)</f>
        <v>0</v>
      </c>
      <c r="D35" s="224">
        <f>SUM(D33:D34)</f>
        <v>0</v>
      </c>
      <c r="E35" s="298" t="e">
        <f>SUM(D35*E$16)</f>
        <v>#VALUE!</v>
      </c>
      <c r="F35" s="299" t="e">
        <f>SUM(D35*F$16)</f>
        <v>#VALUE!</v>
      </c>
      <c r="G35" s="299" t="e">
        <f>SUM((D35+E35+F35)*G$16)</f>
        <v>#VALUE!</v>
      </c>
      <c r="H35" s="299" t="e">
        <f>SUM((D35+E35+F35+G35)*H$16)</f>
        <v>#VALUE!</v>
      </c>
      <c r="I35" s="300" t="e">
        <f>SUM(D35:H35)</f>
        <v>#VALUE!</v>
      </c>
    </row>
    <row r="36" spans="1:9" ht="13" thickTop="1" x14ac:dyDescent="0.25">
      <c r="A36" s="143"/>
      <c r="B36" s="144"/>
      <c r="C36" s="145"/>
      <c r="D36" s="146"/>
      <c r="E36" s="147"/>
      <c r="F36" s="147"/>
      <c r="G36" s="147"/>
      <c r="H36" s="147"/>
      <c r="I36" s="148"/>
    </row>
    <row r="37" spans="1:9" x14ac:dyDescent="0.25">
      <c r="A37" s="152" t="s">
        <v>208</v>
      </c>
      <c r="B37" s="208"/>
      <c r="C37" s="150"/>
      <c r="D37" s="151"/>
      <c r="E37" s="150"/>
      <c r="F37" s="150"/>
      <c r="G37" s="150"/>
      <c r="H37" s="150"/>
      <c r="I37" s="209"/>
    </row>
    <row r="38" spans="1:9" x14ac:dyDescent="0.25">
      <c r="A38" s="544" t="s">
        <v>234</v>
      </c>
      <c r="B38" s="650"/>
      <c r="C38" s="650"/>
      <c r="D38" s="650"/>
      <c r="E38" s="650"/>
      <c r="F38" s="650"/>
      <c r="G38" s="650"/>
      <c r="H38" s="650"/>
      <c r="I38" s="651"/>
    </row>
    <row r="39" spans="1:9" x14ac:dyDescent="0.25">
      <c r="A39" s="547" t="s">
        <v>230</v>
      </c>
      <c r="B39" s="652"/>
      <c r="C39" s="652"/>
      <c r="D39" s="652"/>
      <c r="E39" s="652"/>
      <c r="F39" s="652"/>
      <c r="G39" s="652"/>
      <c r="H39" s="652"/>
      <c r="I39" s="653"/>
    </row>
    <row r="40" spans="1:9" x14ac:dyDescent="0.25">
      <c r="A40" s="550" t="s">
        <v>235</v>
      </c>
      <c r="B40" s="654"/>
      <c r="C40" s="654"/>
      <c r="D40" s="654"/>
      <c r="E40" s="654"/>
      <c r="F40" s="654"/>
      <c r="G40" s="654"/>
      <c r="H40" s="654"/>
      <c r="I40" s="655"/>
    </row>
    <row r="41" spans="1:9" ht="18" customHeight="1" x14ac:dyDescent="0.25">
      <c r="A41" s="550" t="s">
        <v>236</v>
      </c>
      <c r="B41" s="654"/>
      <c r="C41" s="654"/>
      <c r="D41" s="654"/>
      <c r="E41" s="654"/>
      <c r="F41" s="654"/>
      <c r="G41" s="654"/>
      <c r="H41" s="654"/>
      <c r="I41" s="655"/>
    </row>
    <row r="42" spans="1:9" x14ac:dyDescent="0.25">
      <c r="A42" s="644"/>
      <c r="B42" s="645"/>
      <c r="C42" s="645"/>
      <c r="D42" s="645"/>
      <c r="E42" s="645"/>
      <c r="F42" s="645"/>
      <c r="G42" s="645"/>
      <c r="H42" s="645"/>
      <c r="I42" s="646"/>
    </row>
    <row r="43" spans="1:9" ht="13.75" customHeight="1" thickBot="1" x14ac:dyDescent="0.3">
      <c r="A43" s="647" t="s">
        <v>144</v>
      </c>
      <c r="B43" s="648"/>
      <c r="C43" s="648"/>
      <c r="D43" s="648"/>
      <c r="E43" s="648"/>
      <c r="F43" s="648"/>
      <c r="G43" s="648"/>
      <c r="H43" s="648"/>
      <c r="I43" s="649"/>
    </row>
  </sheetData>
  <mergeCells count="28">
    <mergeCell ref="A42:I42"/>
    <mergeCell ref="A43:I43"/>
    <mergeCell ref="E30:I31"/>
    <mergeCell ref="E33:I34"/>
    <mergeCell ref="A38:I38"/>
    <mergeCell ref="A39:I39"/>
    <mergeCell ref="A40:I40"/>
    <mergeCell ref="A41:I41"/>
    <mergeCell ref="E27:I28"/>
    <mergeCell ref="A7:I7"/>
    <mergeCell ref="A8:I8"/>
    <mergeCell ref="A10:I10"/>
    <mergeCell ref="A11:I11"/>
    <mergeCell ref="A12:I12"/>
    <mergeCell ref="A9:I9"/>
    <mergeCell ref="E18:I19"/>
    <mergeCell ref="E21:I22"/>
    <mergeCell ref="E24:I25"/>
    <mergeCell ref="A1:I1"/>
    <mergeCell ref="A2:I2"/>
    <mergeCell ref="A3:I3"/>
    <mergeCell ref="A4:I4"/>
    <mergeCell ref="A5:I5"/>
    <mergeCell ref="A6:I6"/>
    <mergeCell ref="B14:D14"/>
    <mergeCell ref="E14:G14"/>
    <mergeCell ref="B15:B16"/>
    <mergeCell ref="C15:C16"/>
  </mergeCells>
  <printOptions horizontalCentered="1"/>
  <pageMargins left="0.2" right="0.2" top="0.5" bottom="0.5" header="0.3" footer="0.3"/>
  <pageSetup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4"/>
  <sheetViews>
    <sheetView workbookViewId="0">
      <selection sqref="A1:G1"/>
    </sheetView>
  </sheetViews>
  <sheetFormatPr defaultRowHeight="12.5" x14ac:dyDescent="0.25"/>
  <cols>
    <col min="1" max="1" width="34.54296875" customWidth="1"/>
    <col min="2" max="2" width="15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656" t="s">
        <v>380</v>
      </c>
      <c r="B1" s="657"/>
      <c r="C1" s="657"/>
      <c r="D1" s="657"/>
      <c r="E1" s="657"/>
      <c r="F1" s="657"/>
      <c r="G1" s="658"/>
    </row>
    <row r="2" spans="1:7" ht="13" x14ac:dyDescent="0.25">
      <c r="A2" s="637" t="s">
        <v>9</v>
      </c>
      <c r="B2" s="638"/>
      <c r="C2" s="638"/>
      <c r="D2" s="638"/>
      <c r="E2" s="638"/>
      <c r="F2" s="638"/>
      <c r="G2" s="639"/>
    </row>
    <row r="3" spans="1:7" ht="13" x14ac:dyDescent="0.25">
      <c r="A3" s="659" t="s">
        <v>238</v>
      </c>
      <c r="B3" s="660"/>
      <c r="C3" s="660"/>
      <c r="D3" s="660"/>
      <c r="E3" s="660"/>
      <c r="F3" s="304"/>
      <c r="G3" s="303"/>
    </row>
    <row r="4" spans="1:7" x14ac:dyDescent="0.25">
      <c r="A4" s="305"/>
      <c r="B4" s="304"/>
      <c r="C4" s="304"/>
      <c r="D4" s="304"/>
      <c r="E4" s="304"/>
      <c r="F4" s="304"/>
      <c r="G4" s="303"/>
    </row>
    <row r="5" spans="1:7" ht="14" x14ac:dyDescent="0.25">
      <c r="A5" s="661" t="s">
        <v>145</v>
      </c>
      <c r="B5" s="662"/>
      <c r="C5" s="662"/>
      <c r="D5" s="662"/>
      <c r="E5" s="662"/>
      <c r="F5" s="662"/>
      <c r="G5" s="663"/>
    </row>
    <row r="6" spans="1:7" ht="15.5" x14ac:dyDescent="0.25">
      <c r="A6" s="664" t="s">
        <v>146</v>
      </c>
      <c r="B6" s="665"/>
      <c r="C6" s="665"/>
      <c r="D6" s="665"/>
      <c r="E6" s="665"/>
      <c r="F6" s="665"/>
      <c r="G6" s="666"/>
    </row>
    <row r="7" spans="1:7" ht="15.5" x14ac:dyDescent="0.25">
      <c r="A7" s="664" t="s">
        <v>182</v>
      </c>
      <c r="B7" s="665"/>
      <c r="C7" s="665"/>
      <c r="D7" s="665"/>
      <c r="E7" s="665"/>
      <c r="F7" s="665"/>
      <c r="G7" s="666"/>
    </row>
    <row r="8" spans="1:7" ht="15.5" x14ac:dyDescent="0.25">
      <c r="A8" s="664"/>
      <c r="B8" s="665"/>
      <c r="C8" s="665"/>
      <c r="D8" s="665"/>
      <c r="E8" s="665"/>
      <c r="F8" s="665"/>
      <c r="G8" s="666"/>
    </row>
    <row r="9" spans="1:7" ht="14" x14ac:dyDescent="0.25">
      <c r="A9" s="674" t="s">
        <v>128</v>
      </c>
      <c r="B9" s="675"/>
      <c r="C9" s="675"/>
      <c r="D9" s="675"/>
      <c r="E9" s="675"/>
      <c r="F9" s="675"/>
      <c r="G9" s="676"/>
    </row>
    <row r="10" spans="1:7" ht="14.5" thickBot="1" x14ac:dyDescent="0.35">
      <c r="A10" s="201"/>
      <c r="B10" s="202"/>
      <c r="C10" s="202"/>
      <c r="D10" s="202"/>
      <c r="E10" s="202"/>
      <c r="F10" s="202"/>
      <c r="G10" s="203"/>
    </row>
    <row r="11" spans="1:7" ht="13.5" thickBot="1" x14ac:dyDescent="0.3">
      <c r="A11" s="276" t="s">
        <v>171</v>
      </c>
      <c r="B11" s="276" t="s">
        <v>172</v>
      </c>
      <c r="C11" s="671" t="s">
        <v>131</v>
      </c>
      <c r="D11" s="672"/>
      <c r="E11" s="673"/>
      <c r="F11" s="276" t="s">
        <v>132</v>
      </c>
      <c r="G11" s="276" t="s">
        <v>152</v>
      </c>
    </row>
    <row r="12" spans="1:7" ht="13" x14ac:dyDescent="0.25">
      <c r="A12" s="277" t="s">
        <v>173</v>
      </c>
      <c r="B12" s="277" t="s">
        <v>174</v>
      </c>
      <c r="C12" s="289" t="s">
        <v>134</v>
      </c>
      <c r="D12" s="288" t="s">
        <v>135</v>
      </c>
      <c r="E12" s="289" t="s">
        <v>136</v>
      </c>
      <c r="F12" s="278" t="s">
        <v>156</v>
      </c>
      <c r="G12" s="278" t="s">
        <v>174</v>
      </c>
    </row>
    <row r="13" spans="1:7" ht="13.5" thickBot="1" x14ac:dyDescent="0.3">
      <c r="A13" s="279" t="s">
        <v>175</v>
      </c>
      <c r="B13" s="279" t="s">
        <v>3</v>
      </c>
      <c r="C13" s="290" t="s">
        <v>52</v>
      </c>
      <c r="D13" s="290" t="s">
        <v>52</v>
      </c>
      <c r="E13" s="290" t="s">
        <v>52</v>
      </c>
      <c r="F13" s="290" t="s">
        <v>52</v>
      </c>
      <c r="G13" s="280" t="s">
        <v>176</v>
      </c>
    </row>
    <row r="14" spans="1:7" ht="15.5" x14ac:dyDescent="0.35">
      <c r="A14" s="153"/>
      <c r="B14" s="154"/>
      <c r="C14" s="155"/>
      <c r="D14" s="155"/>
      <c r="E14" s="155"/>
      <c r="F14" s="155"/>
      <c r="G14" s="156"/>
    </row>
    <row r="15" spans="1:7" ht="15.5" x14ac:dyDescent="0.35">
      <c r="A15" s="157"/>
      <c r="B15" s="158"/>
      <c r="C15" s="159"/>
      <c r="D15" s="159"/>
      <c r="E15" s="159"/>
      <c r="F15" s="159"/>
      <c r="G15" s="160"/>
    </row>
    <row r="16" spans="1:7" ht="15.5" x14ac:dyDescent="0.35">
      <c r="A16" s="157"/>
      <c r="B16" s="158"/>
      <c r="C16" s="159"/>
      <c r="D16" s="159"/>
      <c r="E16" s="159"/>
      <c r="F16" s="159"/>
      <c r="G16" s="160"/>
    </row>
    <row r="17" spans="1:7" ht="15.5" x14ac:dyDescent="0.35">
      <c r="A17" s="157"/>
      <c r="B17" s="158"/>
      <c r="C17" s="159"/>
      <c r="D17" s="159"/>
      <c r="E17" s="159"/>
      <c r="F17" s="159"/>
      <c r="G17" s="160"/>
    </row>
    <row r="18" spans="1:7" ht="15.5" x14ac:dyDescent="0.35">
      <c r="A18" s="157"/>
      <c r="B18" s="161"/>
      <c r="C18" s="161"/>
      <c r="D18" s="161"/>
      <c r="E18" s="161"/>
      <c r="F18" s="162"/>
      <c r="G18" s="160"/>
    </row>
    <row r="19" spans="1:7" ht="15.5" x14ac:dyDescent="0.35">
      <c r="A19" s="157"/>
      <c r="B19" s="161"/>
      <c r="C19" s="161"/>
      <c r="D19" s="161"/>
      <c r="E19" s="161"/>
      <c r="F19" s="161"/>
      <c r="G19" s="160"/>
    </row>
    <row r="20" spans="1:7" x14ac:dyDescent="0.25">
      <c r="A20" s="141"/>
      <c r="B20" s="163"/>
      <c r="C20" s="163"/>
      <c r="D20" s="163"/>
      <c r="E20" s="163"/>
      <c r="F20" s="163"/>
      <c r="G20" s="164"/>
    </row>
    <row r="21" spans="1:7" x14ac:dyDescent="0.25">
      <c r="A21" s="141"/>
      <c r="B21" s="71"/>
      <c r="C21" s="71"/>
      <c r="D21" s="71"/>
      <c r="E21" s="71"/>
      <c r="F21" s="71"/>
      <c r="G21" s="141"/>
    </row>
    <row r="22" spans="1:7" x14ac:dyDescent="0.25">
      <c r="A22" s="165"/>
      <c r="B22" s="166"/>
      <c r="C22" s="166"/>
      <c r="D22" s="71"/>
      <c r="E22" s="71"/>
      <c r="F22" s="71"/>
      <c r="G22" s="141"/>
    </row>
    <row r="23" spans="1:7" x14ac:dyDescent="0.25">
      <c r="A23" s="130"/>
      <c r="B23" s="71"/>
      <c r="C23" s="71"/>
      <c r="D23" s="71"/>
      <c r="E23" s="71"/>
      <c r="F23" s="71"/>
      <c r="G23" s="141"/>
    </row>
    <row r="24" spans="1:7" x14ac:dyDescent="0.25">
      <c r="A24" s="141"/>
      <c r="B24" s="71"/>
      <c r="C24" s="71"/>
      <c r="D24" s="71"/>
      <c r="E24" s="71"/>
      <c r="F24" s="71"/>
      <c r="G24" s="141"/>
    </row>
    <row r="25" spans="1:7" x14ac:dyDescent="0.25">
      <c r="A25" s="141"/>
      <c r="B25" s="71"/>
      <c r="C25" s="71"/>
      <c r="D25" s="71"/>
      <c r="E25" s="71"/>
      <c r="F25" s="71"/>
      <c r="G25" s="141"/>
    </row>
    <row r="26" spans="1:7" x14ac:dyDescent="0.25">
      <c r="A26" s="141"/>
      <c r="B26" s="71"/>
      <c r="C26" s="71"/>
      <c r="D26" s="71"/>
      <c r="E26" s="71"/>
      <c r="F26" s="71"/>
      <c r="G26" s="141"/>
    </row>
    <row r="27" spans="1:7" ht="13" thickBot="1" x14ac:dyDescent="0.3">
      <c r="A27" s="167"/>
      <c r="B27" s="168"/>
      <c r="C27" s="168"/>
      <c r="D27" s="168"/>
      <c r="E27" s="168"/>
      <c r="F27" s="168"/>
      <c r="G27" s="167"/>
    </row>
    <row r="28" spans="1:7" x14ac:dyDescent="0.25">
      <c r="A28" s="169"/>
      <c r="B28" s="52"/>
      <c r="C28" s="52"/>
      <c r="D28" s="52"/>
      <c r="E28" s="52"/>
      <c r="F28" s="52"/>
      <c r="G28" s="53"/>
    </row>
    <row r="29" spans="1:7" x14ac:dyDescent="0.25">
      <c r="A29" s="547" t="s">
        <v>223</v>
      </c>
      <c r="B29" s="667"/>
      <c r="C29" s="667"/>
      <c r="D29" s="667"/>
      <c r="E29" s="667"/>
      <c r="F29" s="667"/>
      <c r="G29" s="668"/>
    </row>
    <row r="30" spans="1:7" ht="18.649999999999999" customHeight="1" x14ac:dyDescent="0.25">
      <c r="A30" s="550" t="s">
        <v>230</v>
      </c>
      <c r="B30" s="669"/>
      <c r="C30" s="669"/>
      <c r="D30" s="669"/>
      <c r="E30" s="669"/>
      <c r="F30" s="669"/>
      <c r="G30" s="670"/>
    </row>
    <row r="31" spans="1:7" ht="18" customHeight="1" x14ac:dyDescent="0.25">
      <c r="A31" s="550" t="s">
        <v>186</v>
      </c>
      <c r="B31" s="669"/>
      <c r="C31" s="669"/>
      <c r="D31" s="669"/>
      <c r="E31" s="669"/>
      <c r="F31" s="669"/>
      <c r="G31" s="670"/>
    </row>
    <row r="32" spans="1:7" ht="20.5" customHeight="1" x14ac:dyDescent="0.25">
      <c r="A32" s="550" t="s">
        <v>187</v>
      </c>
      <c r="B32" s="669"/>
      <c r="C32" s="669"/>
      <c r="D32" s="669"/>
      <c r="E32" s="669"/>
      <c r="F32" s="669"/>
      <c r="G32" s="670"/>
    </row>
    <row r="33" spans="1:7" x14ac:dyDescent="0.25">
      <c r="A33" s="170"/>
      <c r="B33" s="171"/>
      <c r="C33" s="171"/>
      <c r="D33" s="171"/>
      <c r="E33" s="171"/>
      <c r="F33" s="171"/>
      <c r="G33" s="172"/>
    </row>
    <row r="34" spans="1:7" ht="13.5" thickBot="1" x14ac:dyDescent="0.3">
      <c r="A34" s="306" t="s">
        <v>144</v>
      </c>
      <c r="B34" s="74"/>
      <c r="C34" s="74"/>
      <c r="D34" s="74"/>
      <c r="E34" s="74"/>
      <c r="F34" s="74"/>
      <c r="G34" s="85"/>
    </row>
  </sheetData>
  <mergeCells count="13">
    <mergeCell ref="A29:G29"/>
    <mergeCell ref="A31:G31"/>
    <mergeCell ref="A32:G32"/>
    <mergeCell ref="A30:G30"/>
    <mergeCell ref="A7:G7"/>
    <mergeCell ref="C11:E11"/>
    <mergeCell ref="A8:G8"/>
    <mergeCell ref="A9:G9"/>
    <mergeCell ref="A1:G1"/>
    <mergeCell ref="A2:G2"/>
    <mergeCell ref="A3:E3"/>
    <mergeCell ref="A5:G5"/>
    <mergeCell ref="A6:G6"/>
  </mergeCells>
  <printOptions horizontalCentered="1"/>
  <pageMargins left="0.2" right="0.2" top="0.5" bottom="0.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5"/>
  <sheetViews>
    <sheetView workbookViewId="0">
      <selection sqref="A1:G1"/>
    </sheetView>
  </sheetViews>
  <sheetFormatPr defaultRowHeight="12.5" x14ac:dyDescent="0.25"/>
  <cols>
    <col min="1" max="1" width="34.54296875" customWidth="1"/>
    <col min="2" max="2" width="15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656" t="s">
        <v>380</v>
      </c>
      <c r="B1" s="657"/>
      <c r="C1" s="657"/>
      <c r="D1" s="657"/>
      <c r="E1" s="657"/>
      <c r="F1" s="657"/>
      <c r="G1" s="658"/>
    </row>
    <row r="2" spans="1:7" ht="13" x14ac:dyDescent="0.25">
      <c r="A2" s="637" t="s">
        <v>9</v>
      </c>
      <c r="B2" s="638"/>
      <c r="C2" s="638"/>
      <c r="D2" s="638"/>
      <c r="E2" s="638"/>
      <c r="F2" s="638"/>
      <c r="G2" s="639"/>
    </row>
    <row r="3" spans="1:7" ht="13" x14ac:dyDescent="0.25">
      <c r="A3" s="659" t="s">
        <v>238</v>
      </c>
      <c r="B3" s="660"/>
      <c r="C3" s="660"/>
      <c r="D3" s="660"/>
      <c r="E3" s="660"/>
      <c r="F3" s="304"/>
      <c r="G3" s="303"/>
    </row>
    <row r="4" spans="1:7" x14ac:dyDescent="0.25">
      <c r="A4" s="305"/>
      <c r="B4" s="304"/>
      <c r="C4" s="304"/>
      <c r="D4" s="304"/>
      <c r="E4" s="304"/>
      <c r="F4" s="304"/>
      <c r="G4" s="303"/>
    </row>
    <row r="5" spans="1:7" ht="14" x14ac:dyDescent="0.25">
      <c r="A5" s="674" t="s">
        <v>145</v>
      </c>
      <c r="B5" s="675"/>
      <c r="C5" s="675"/>
      <c r="D5" s="675"/>
      <c r="E5" s="675"/>
      <c r="F5" s="675"/>
      <c r="G5" s="676"/>
    </row>
    <row r="6" spans="1:7" ht="15.5" x14ac:dyDescent="0.25">
      <c r="A6" s="664" t="s">
        <v>146</v>
      </c>
      <c r="B6" s="665"/>
      <c r="C6" s="665"/>
      <c r="D6" s="665"/>
      <c r="E6" s="665"/>
      <c r="F6" s="665"/>
      <c r="G6" s="666"/>
    </row>
    <row r="7" spans="1:7" ht="14" x14ac:dyDescent="0.25">
      <c r="A7" s="674" t="s">
        <v>194</v>
      </c>
      <c r="B7" s="675"/>
      <c r="C7" s="675"/>
      <c r="D7" s="675"/>
      <c r="E7" s="675"/>
      <c r="F7" s="675"/>
      <c r="G7" s="676"/>
    </row>
    <row r="8" spans="1:7" ht="15.5" x14ac:dyDescent="0.25">
      <c r="A8" s="664"/>
      <c r="B8" s="665"/>
      <c r="C8" s="665"/>
      <c r="D8" s="665"/>
      <c r="E8" s="665"/>
      <c r="F8" s="665"/>
      <c r="G8" s="666"/>
    </row>
    <row r="9" spans="1:7" ht="14" x14ac:dyDescent="0.25">
      <c r="A9" s="674" t="s">
        <v>128</v>
      </c>
      <c r="B9" s="675"/>
      <c r="C9" s="675"/>
      <c r="D9" s="675"/>
      <c r="E9" s="675"/>
      <c r="F9" s="675"/>
      <c r="G9" s="676"/>
    </row>
    <row r="10" spans="1:7" ht="14.5" thickBot="1" x14ac:dyDescent="0.35">
      <c r="A10" s="201"/>
      <c r="B10" s="202"/>
      <c r="C10" s="202"/>
      <c r="D10" s="202"/>
      <c r="E10" s="202"/>
      <c r="F10" s="202"/>
      <c r="G10" s="203"/>
    </row>
    <row r="11" spans="1:7" ht="13.5" thickBot="1" x14ac:dyDescent="0.3">
      <c r="A11" s="276" t="s">
        <v>177</v>
      </c>
      <c r="B11" s="276" t="s">
        <v>172</v>
      </c>
      <c r="C11" s="671" t="s">
        <v>131</v>
      </c>
      <c r="D11" s="672"/>
      <c r="E11" s="673"/>
      <c r="F11" s="276" t="s">
        <v>132</v>
      </c>
      <c r="G11" s="276" t="s">
        <v>152</v>
      </c>
    </row>
    <row r="12" spans="1:7" ht="13" x14ac:dyDescent="0.25">
      <c r="A12" s="277" t="s">
        <v>178</v>
      </c>
      <c r="B12" s="277" t="s">
        <v>174</v>
      </c>
      <c r="C12" s="289" t="s">
        <v>134</v>
      </c>
      <c r="D12" s="288" t="s">
        <v>135</v>
      </c>
      <c r="E12" s="289" t="s">
        <v>136</v>
      </c>
      <c r="F12" s="278" t="s">
        <v>156</v>
      </c>
      <c r="G12" s="278" t="s">
        <v>174</v>
      </c>
    </row>
    <row r="13" spans="1:7" ht="13.5" thickBot="1" x14ac:dyDescent="0.3">
      <c r="A13" s="279" t="s">
        <v>175</v>
      </c>
      <c r="B13" s="279" t="s">
        <v>3</v>
      </c>
      <c r="C13" s="290" t="s">
        <v>52</v>
      </c>
      <c r="D13" s="290" t="s">
        <v>52</v>
      </c>
      <c r="E13" s="290" t="s">
        <v>52</v>
      </c>
      <c r="F13" s="290" t="s">
        <v>52</v>
      </c>
      <c r="G13" s="280" t="s">
        <v>176</v>
      </c>
    </row>
    <row r="14" spans="1:7" ht="15.5" x14ac:dyDescent="0.35">
      <c r="A14" s="153"/>
      <c r="B14" s="154"/>
      <c r="C14" s="155"/>
      <c r="D14" s="155"/>
      <c r="E14" s="155"/>
      <c r="F14" s="155"/>
      <c r="G14" s="156"/>
    </row>
    <row r="15" spans="1:7" ht="15.5" x14ac:dyDescent="0.35">
      <c r="A15" s="157"/>
      <c r="B15" s="158"/>
      <c r="C15" s="159"/>
      <c r="D15" s="159"/>
      <c r="E15" s="159"/>
      <c r="F15" s="159"/>
      <c r="G15" s="160"/>
    </row>
    <row r="16" spans="1:7" ht="15.5" x14ac:dyDescent="0.35">
      <c r="A16" s="157"/>
      <c r="B16" s="158"/>
      <c r="C16" s="173"/>
      <c r="D16" s="173"/>
      <c r="E16" s="173"/>
      <c r="F16" s="173"/>
      <c r="G16" s="160"/>
    </row>
    <row r="17" spans="1:7" ht="15.5" x14ac:dyDescent="0.35">
      <c r="A17" s="157"/>
      <c r="B17" s="158"/>
      <c r="C17" s="173"/>
      <c r="D17" s="173"/>
      <c r="E17" s="173"/>
      <c r="F17" s="173"/>
      <c r="G17" s="160"/>
    </row>
    <row r="18" spans="1:7" ht="15.5" x14ac:dyDescent="0.35">
      <c r="A18" s="157"/>
      <c r="B18" s="158"/>
      <c r="C18" s="173"/>
      <c r="D18" s="173"/>
      <c r="E18" s="173"/>
      <c r="F18" s="173"/>
      <c r="G18" s="160"/>
    </row>
    <row r="19" spans="1:7" ht="15.5" x14ac:dyDescent="0.35">
      <c r="A19" s="157"/>
      <c r="B19" s="158"/>
      <c r="C19" s="173"/>
      <c r="D19" s="173"/>
      <c r="E19" s="173"/>
      <c r="F19" s="173"/>
      <c r="G19" s="160"/>
    </row>
    <row r="20" spans="1:7" ht="15.5" x14ac:dyDescent="0.35">
      <c r="A20" s="157"/>
      <c r="B20" s="158"/>
      <c r="C20" s="173"/>
      <c r="D20" s="173"/>
      <c r="E20" s="173"/>
      <c r="F20" s="173"/>
      <c r="G20" s="160"/>
    </row>
    <row r="21" spans="1:7" x14ac:dyDescent="0.25">
      <c r="A21" s="130"/>
      <c r="B21" s="71"/>
      <c r="C21" s="71"/>
      <c r="D21" s="71"/>
      <c r="E21" s="71"/>
      <c r="F21" s="71"/>
      <c r="G21" s="141"/>
    </row>
    <row r="22" spans="1:7" ht="15.5" x14ac:dyDescent="0.35">
      <c r="A22" s="157"/>
      <c r="B22" s="158"/>
      <c r="C22" s="159"/>
      <c r="D22" s="159"/>
      <c r="E22" s="159"/>
      <c r="F22" s="159"/>
      <c r="G22" s="160"/>
    </row>
    <row r="23" spans="1:7" ht="16" thickBot="1" x14ac:dyDescent="0.4">
      <c r="A23" s="157"/>
      <c r="B23" s="158"/>
      <c r="C23" s="159"/>
      <c r="D23" s="159"/>
      <c r="E23" s="159"/>
      <c r="F23" s="159"/>
      <c r="G23" s="160"/>
    </row>
    <row r="24" spans="1:7" ht="13.5" thickBot="1" x14ac:dyDescent="0.3">
      <c r="A24" s="276" t="s">
        <v>179</v>
      </c>
      <c r="B24" s="276" t="s">
        <v>172</v>
      </c>
      <c r="C24" s="671" t="s">
        <v>131</v>
      </c>
      <c r="D24" s="672"/>
      <c r="E24" s="673"/>
      <c r="F24" s="276" t="s">
        <v>132</v>
      </c>
      <c r="G24" s="276" t="s">
        <v>152</v>
      </c>
    </row>
    <row r="25" spans="1:7" ht="13" x14ac:dyDescent="0.25">
      <c r="A25" s="277" t="s">
        <v>180</v>
      </c>
      <c r="B25" s="277" t="s">
        <v>174</v>
      </c>
      <c r="C25" s="289" t="s">
        <v>134</v>
      </c>
      <c r="D25" s="288" t="s">
        <v>135</v>
      </c>
      <c r="E25" s="289" t="s">
        <v>136</v>
      </c>
      <c r="F25" s="278" t="s">
        <v>156</v>
      </c>
      <c r="G25" s="278" t="s">
        <v>174</v>
      </c>
    </row>
    <row r="26" spans="1:7" ht="13.5" thickBot="1" x14ac:dyDescent="0.3">
      <c r="A26" s="279" t="s">
        <v>175</v>
      </c>
      <c r="B26" s="279" t="s">
        <v>3</v>
      </c>
      <c r="C26" s="290" t="s">
        <v>52</v>
      </c>
      <c r="D26" s="290" t="s">
        <v>52</v>
      </c>
      <c r="E26" s="290" t="s">
        <v>52</v>
      </c>
      <c r="F26" s="290" t="s">
        <v>52</v>
      </c>
      <c r="G26" s="280" t="s">
        <v>232</v>
      </c>
    </row>
    <row r="27" spans="1:7" ht="15.5" x14ac:dyDescent="0.35">
      <c r="A27" s="153"/>
      <c r="B27" s="174"/>
      <c r="C27" s="174"/>
      <c r="D27" s="174"/>
      <c r="E27" s="174"/>
      <c r="F27" s="174"/>
      <c r="G27" s="156"/>
    </row>
    <row r="28" spans="1:7" x14ac:dyDescent="0.25">
      <c r="A28" s="141"/>
      <c r="B28" s="163"/>
      <c r="C28" s="163"/>
      <c r="D28" s="163"/>
      <c r="E28" s="163"/>
      <c r="F28" s="163"/>
      <c r="G28" s="164"/>
    </row>
    <row r="29" spans="1:7" x14ac:dyDescent="0.25">
      <c r="A29" s="141"/>
      <c r="B29" s="71"/>
      <c r="C29" s="71"/>
      <c r="D29" s="71"/>
      <c r="E29" s="71"/>
      <c r="F29" s="71"/>
      <c r="G29" s="141"/>
    </row>
    <row r="30" spans="1:7" x14ac:dyDescent="0.25">
      <c r="A30" s="165"/>
      <c r="B30" s="175"/>
      <c r="C30" s="175"/>
      <c r="D30" s="176"/>
      <c r="E30" s="176"/>
      <c r="F30" s="176"/>
      <c r="G30" s="141"/>
    </row>
    <row r="31" spans="1:7" x14ac:dyDescent="0.25">
      <c r="A31" s="141"/>
      <c r="B31" s="71"/>
      <c r="C31" s="71"/>
      <c r="D31" s="71"/>
      <c r="E31" s="71"/>
      <c r="F31" s="71"/>
      <c r="G31" s="141"/>
    </row>
    <row r="32" spans="1:7" x14ac:dyDescent="0.25">
      <c r="A32" s="130"/>
      <c r="B32" s="71"/>
      <c r="C32" s="71"/>
      <c r="D32" s="71"/>
      <c r="E32" s="71"/>
      <c r="F32" s="71"/>
      <c r="G32" s="141"/>
    </row>
    <row r="33" spans="1:7" x14ac:dyDescent="0.25">
      <c r="A33" s="141"/>
      <c r="B33" s="176"/>
      <c r="C33" s="176"/>
      <c r="D33" s="176"/>
      <c r="E33" s="176"/>
      <c r="F33" s="176"/>
      <c r="G33" s="141"/>
    </row>
    <row r="34" spans="1:7" x14ac:dyDescent="0.25">
      <c r="A34" s="141"/>
      <c r="B34" s="71"/>
      <c r="C34" s="71"/>
      <c r="D34" s="71"/>
      <c r="E34" s="71"/>
      <c r="F34" s="71"/>
      <c r="G34" s="141"/>
    </row>
    <row r="35" spans="1:7" x14ac:dyDescent="0.25">
      <c r="A35" s="141"/>
      <c r="B35" s="176"/>
      <c r="C35" s="176"/>
      <c r="D35" s="176"/>
      <c r="E35" s="176"/>
      <c r="F35" s="176"/>
      <c r="G35" s="141"/>
    </row>
    <row r="36" spans="1:7" ht="13" thickBot="1" x14ac:dyDescent="0.3">
      <c r="A36" s="167"/>
      <c r="B36" s="168"/>
      <c r="C36" s="168"/>
      <c r="D36" s="168"/>
      <c r="E36" s="168"/>
      <c r="F36" s="168"/>
      <c r="G36" s="167"/>
    </row>
    <row r="37" spans="1:7" x14ac:dyDescent="0.25">
      <c r="A37" s="683"/>
      <c r="B37" s="684"/>
      <c r="C37" s="684"/>
      <c r="D37" s="684"/>
      <c r="E37" s="684"/>
      <c r="F37" s="684"/>
      <c r="G37" s="685"/>
    </row>
    <row r="38" spans="1:7" x14ac:dyDescent="0.25">
      <c r="A38" s="547" t="s">
        <v>223</v>
      </c>
      <c r="B38" s="667"/>
      <c r="C38" s="667"/>
      <c r="D38" s="667"/>
      <c r="E38" s="667"/>
      <c r="F38" s="667"/>
      <c r="G38" s="668"/>
    </row>
    <row r="39" spans="1:7" ht="20.149999999999999" customHeight="1" x14ac:dyDescent="0.25">
      <c r="A39" s="550" t="s">
        <v>230</v>
      </c>
      <c r="B39" s="669"/>
      <c r="C39" s="669"/>
      <c r="D39" s="669"/>
      <c r="E39" s="669"/>
      <c r="F39" s="669"/>
      <c r="G39" s="670"/>
    </row>
    <row r="40" spans="1:7" ht="20.149999999999999" customHeight="1" x14ac:dyDescent="0.25">
      <c r="A40" s="550" t="s">
        <v>231</v>
      </c>
      <c r="B40" s="669"/>
      <c r="C40" s="669"/>
      <c r="D40" s="669"/>
      <c r="E40" s="669"/>
      <c r="F40" s="669"/>
      <c r="G40" s="670"/>
    </row>
    <row r="41" spans="1:7" ht="20.149999999999999" customHeight="1" x14ac:dyDescent="0.25">
      <c r="A41" s="550" t="s">
        <v>185</v>
      </c>
      <c r="B41" s="669"/>
      <c r="C41" s="669"/>
      <c r="D41" s="669"/>
      <c r="E41" s="669"/>
      <c r="F41" s="669"/>
      <c r="G41" s="670"/>
    </row>
    <row r="42" spans="1:7" ht="20.149999999999999" customHeight="1" x14ac:dyDescent="0.25">
      <c r="A42" s="550" t="s">
        <v>184</v>
      </c>
      <c r="B42" s="669"/>
      <c r="C42" s="669"/>
      <c r="D42" s="669"/>
      <c r="E42" s="669"/>
      <c r="F42" s="669"/>
      <c r="G42" s="670"/>
    </row>
    <row r="43" spans="1:7" ht="20.149999999999999" customHeight="1" x14ac:dyDescent="0.25">
      <c r="A43" s="550" t="s">
        <v>183</v>
      </c>
      <c r="B43" s="669"/>
      <c r="C43" s="669"/>
      <c r="D43" s="669"/>
      <c r="E43" s="669"/>
      <c r="F43" s="669"/>
      <c r="G43" s="670"/>
    </row>
    <row r="44" spans="1:7" x14ac:dyDescent="0.25">
      <c r="A44" s="677"/>
      <c r="B44" s="678"/>
      <c r="C44" s="678"/>
      <c r="D44" s="678"/>
      <c r="E44" s="678"/>
      <c r="F44" s="678"/>
      <c r="G44" s="679"/>
    </row>
    <row r="45" spans="1:7" ht="13.5" thickBot="1" x14ac:dyDescent="0.35">
      <c r="A45" s="680" t="s">
        <v>144</v>
      </c>
      <c r="B45" s="681"/>
      <c r="C45" s="681"/>
      <c r="D45" s="681"/>
      <c r="E45" s="681"/>
      <c r="F45" s="681"/>
      <c r="G45" s="682"/>
    </row>
  </sheetData>
  <mergeCells count="19">
    <mergeCell ref="A43:G43"/>
    <mergeCell ref="A44:G44"/>
    <mergeCell ref="A45:G45"/>
    <mergeCell ref="A37:G37"/>
    <mergeCell ref="A38:G38"/>
    <mergeCell ref="A39:G39"/>
    <mergeCell ref="A40:G40"/>
    <mergeCell ref="A41:G41"/>
    <mergeCell ref="A42:G42"/>
    <mergeCell ref="A7:G7"/>
    <mergeCell ref="C11:E11"/>
    <mergeCell ref="C24:E24"/>
    <mergeCell ref="A1:G1"/>
    <mergeCell ref="A2:G2"/>
    <mergeCell ref="A3:E3"/>
    <mergeCell ref="A5:G5"/>
    <mergeCell ref="A6:G6"/>
    <mergeCell ref="A8:G8"/>
    <mergeCell ref="A9:G9"/>
  </mergeCells>
  <printOptions horizontalCentered="1"/>
  <pageMargins left="0.2" right="0.2" top="0.5" bottom="0.5" header="0.3" footer="0.3"/>
  <pageSetup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43"/>
  <sheetViews>
    <sheetView workbookViewId="0"/>
  </sheetViews>
  <sheetFormatPr defaultRowHeight="12.5" x14ac:dyDescent="0.25"/>
  <cols>
    <col min="1" max="1" width="53.54296875" customWidth="1"/>
    <col min="2" max="2" width="13.453125" customWidth="1"/>
    <col min="3" max="3" width="11.54296875" customWidth="1"/>
    <col min="4" max="4" width="14" customWidth="1"/>
  </cols>
  <sheetData>
    <row r="1" spans="1:4" ht="13" x14ac:dyDescent="0.25">
      <c r="A1" s="236" t="s">
        <v>380</v>
      </c>
      <c r="B1" s="247"/>
      <c r="C1" s="247"/>
      <c r="D1" s="237"/>
    </row>
    <row r="2" spans="1:4" ht="13" x14ac:dyDescent="0.3">
      <c r="A2" s="238" t="s">
        <v>195</v>
      </c>
      <c r="B2" s="5"/>
      <c r="C2" s="5"/>
      <c r="D2" s="79"/>
    </row>
    <row r="3" spans="1:4" x14ac:dyDescent="0.25">
      <c r="A3" s="252"/>
      <c r="B3" s="253"/>
      <c r="C3" s="253"/>
      <c r="D3" s="262"/>
    </row>
    <row r="4" spans="1:4" ht="14" x14ac:dyDescent="0.3">
      <c r="A4" s="254" t="s">
        <v>211</v>
      </c>
      <c r="B4" s="255"/>
      <c r="C4" s="255"/>
      <c r="D4" s="263"/>
    </row>
    <row r="5" spans="1:4" ht="14" x14ac:dyDescent="0.3">
      <c r="A5" s="686" t="s">
        <v>190</v>
      </c>
      <c r="B5" s="687"/>
      <c r="C5" s="687"/>
      <c r="D5" s="688"/>
    </row>
    <row r="6" spans="1:4" ht="14" x14ac:dyDescent="0.25">
      <c r="A6" s="256" t="s">
        <v>127</v>
      </c>
      <c r="B6" s="257"/>
      <c r="C6" s="257"/>
      <c r="D6" s="264"/>
    </row>
    <row r="7" spans="1:4" ht="14" x14ac:dyDescent="0.25">
      <c r="A7" s="256" t="s">
        <v>149</v>
      </c>
      <c r="B7" s="257"/>
      <c r="C7" s="257"/>
      <c r="D7" s="264"/>
    </row>
    <row r="8" spans="1:4" ht="14" x14ac:dyDescent="0.3">
      <c r="A8" s="214" t="s">
        <v>262</v>
      </c>
      <c r="B8" s="215"/>
      <c r="C8" s="215"/>
      <c r="D8" s="216"/>
    </row>
    <row r="9" spans="1:4" ht="13" x14ac:dyDescent="0.3">
      <c r="A9" s="238"/>
      <c r="B9" s="5"/>
      <c r="C9" s="5"/>
      <c r="D9" s="79"/>
    </row>
    <row r="10" spans="1:4" ht="13" x14ac:dyDescent="0.3">
      <c r="A10" s="258" t="s">
        <v>150</v>
      </c>
      <c r="B10" s="259"/>
      <c r="C10" s="259"/>
      <c r="D10" s="265"/>
    </row>
    <row r="11" spans="1:4" ht="13" x14ac:dyDescent="0.3">
      <c r="A11" s="238"/>
      <c r="B11" s="5"/>
      <c r="C11" s="5"/>
      <c r="D11" s="79"/>
    </row>
    <row r="12" spans="1:4" ht="13" x14ac:dyDescent="0.25">
      <c r="A12" s="248" t="s">
        <v>263</v>
      </c>
      <c r="B12" s="249"/>
      <c r="C12" s="249"/>
      <c r="D12" s="250"/>
    </row>
    <row r="13" spans="1:4" ht="13" x14ac:dyDescent="0.25">
      <c r="A13" s="210"/>
      <c r="B13" s="211"/>
      <c r="C13" s="251"/>
      <c r="D13" s="212"/>
    </row>
    <row r="14" spans="1:4" ht="39.65" customHeight="1" x14ac:dyDescent="0.25">
      <c r="A14" s="690" t="s">
        <v>151</v>
      </c>
      <c r="B14" s="691"/>
      <c r="C14" s="691"/>
      <c r="D14" s="692"/>
    </row>
    <row r="15" spans="1:4" ht="13" thickBot="1" x14ac:dyDescent="0.3">
      <c r="A15" s="260"/>
      <c r="B15" s="261"/>
      <c r="C15" s="261"/>
      <c r="D15" s="266"/>
    </row>
    <row r="16" spans="1:4" ht="13.5" thickBot="1" x14ac:dyDescent="0.3">
      <c r="A16" s="213" t="s">
        <v>129</v>
      </c>
      <c r="B16" s="553" t="s">
        <v>213</v>
      </c>
      <c r="C16" s="553"/>
      <c r="D16" s="553"/>
    </row>
    <row r="17" spans="1:4" ht="13" x14ac:dyDescent="0.25">
      <c r="A17" s="196" t="s">
        <v>133</v>
      </c>
      <c r="B17" s="270" t="s">
        <v>214</v>
      </c>
      <c r="C17" s="271" t="s">
        <v>154</v>
      </c>
      <c r="D17" s="272" t="s">
        <v>215</v>
      </c>
    </row>
    <row r="18" spans="1:4" ht="13.5" thickBot="1" x14ac:dyDescent="0.3">
      <c r="A18" s="123" t="s">
        <v>137</v>
      </c>
      <c r="B18" s="273" t="s">
        <v>216</v>
      </c>
      <c r="C18" s="274" t="s">
        <v>52</v>
      </c>
      <c r="D18" s="275" t="s">
        <v>217</v>
      </c>
    </row>
    <row r="19" spans="1:4" x14ac:dyDescent="0.25">
      <c r="A19" s="124" t="s">
        <v>138</v>
      </c>
      <c r="B19" s="125"/>
      <c r="C19" s="126"/>
      <c r="D19" s="222"/>
    </row>
    <row r="20" spans="1:4" ht="13" x14ac:dyDescent="0.3">
      <c r="A20" s="179" t="s">
        <v>196</v>
      </c>
      <c r="B20" s="180">
        <v>95</v>
      </c>
      <c r="C20" s="181">
        <v>0.5</v>
      </c>
      <c r="D20" s="267">
        <f>SUM(B20*C20)</f>
        <v>47.5</v>
      </c>
    </row>
    <row r="21" spans="1:4" ht="13" x14ac:dyDescent="0.3">
      <c r="A21" s="179" t="s">
        <v>197</v>
      </c>
      <c r="B21" s="183">
        <v>98</v>
      </c>
      <c r="C21" s="184">
        <v>0.5</v>
      </c>
      <c r="D21" s="267">
        <f>SUM(B21*C21)</f>
        <v>49</v>
      </c>
    </row>
    <row r="22" spans="1:4" ht="13.5" thickBot="1" x14ac:dyDescent="0.35">
      <c r="A22" s="185" t="s">
        <v>161</v>
      </c>
      <c r="B22" s="136"/>
      <c r="C22" s="186">
        <f>SUM(C20:C21)</f>
        <v>1</v>
      </c>
      <c r="D22" s="268">
        <f>SUM(D20:D21)</f>
        <v>96.5</v>
      </c>
    </row>
    <row r="23" spans="1:4" ht="13.5" thickTop="1" x14ac:dyDescent="0.3">
      <c r="A23" s="179" t="s">
        <v>198</v>
      </c>
      <c r="B23" s="180">
        <v>97</v>
      </c>
      <c r="C23" s="181">
        <v>0.3</v>
      </c>
      <c r="D23" s="267">
        <f>PRODUCT(B23:C23)</f>
        <v>29.099999999999998</v>
      </c>
    </row>
    <row r="24" spans="1:4" ht="13" x14ac:dyDescent="0.3">
      <c r="A24" s="179" t="s">
        <v>199</v>
      </c>
      <c r="B24" s="204">
        <v>103</v>
      </c>
      <c r="C24" s="184">
        <v>0.35</v>
      </c>
      <c r="D24" s="267">
        <f>PRODUCT(B24:C24)</f>
        <v>36.049999999999997</v>
      </c>
    </row>
    <row r="25" spans="1:4" ht="13" x14ac:dyDescent="0.3">
      <c r="A25" s="179" t="s">
        <v>200</v>
      </c>
      <c r="B25" s="183">
        <v>107</v>
      </c>
      <c r="C25" s="184">
        <v>0.35</v>
      </c>
      <c r="D25" s="269">
        <f>PRODUCT(B25:C25)</f>
        <v>37.449999999999996</v>
      </c>
    </row>
    <row r="26" spans="1:4" ht="13.5" thickBot="1" x14ac:dyDescent="0.35">
      <c r="A26" s="185" t="s">
        <v>165</v>
      </c>
      <c r="B26" s="136"/>
      <c r="C26" s="186">
        <f>SUM(C23:C25)</f>
        <v>0.99999999999999989</v>
      </c>
      <c r="D26" s="268">
        <f>SUM(D23:D25)</f>
        <v>102.6</v>
      </c>
    </row>
    <row r="27" spans="1:4" ht="13.5" thickTop="1" x14ac:dyDescent="0.3">
      <c r="A27" s="179" t="s">
        <v>201</v>
      </c>
      <c r="B27" s="180">
        <v>152</v>
      </c>
      <c r="C27" s="181">
        <v>1</v>
      </c>
      <c r="D27" s="267">
        <f>PRODUCT(B27:C27)</f>
        <v>152</v>
      </c>
    </row>
    <row r="28" spans="1:4" ht="13.5" thickBot="1" x14ac:dyDescent="0.35">
      <c r="A28" s="185" t="s">
        <v>167</v>
      </c>
      <c r="B28" s="136"/>
      <c r="C28" s="186">
        <f>SUM(C27:C27)</f>
        <v>1</v>
      </c>
      <c r="D28" s="268">
        <f>SUM(D27:D27)</f>
        <v>152</v>
      </c>
    </row>
    <row r="29" spans="1:4" ht="13" thickTop="1" x14ac:dyDescent="0.25">
      <c r="A29" s="142"/>
      <c r="B29" s="131"/>
      <c r="C29" s="219"/>
      <c r="D29" s="223">
        <f>PRODUCT(B29:C29)</f>
        <v>0</v>
      </c>
    </row>
    <row r="30" spans="1:4" x14ac:dyDescent="0.25">
      <c r="A30" s="141"/>
      <c r="B30" s="133"/>
      <c r="C30" s="220"/>
      <c r="D30" s="225">
        <v>0</v>
      </c>
    </row>
    <row r="31" spans="1:4" ht="13.5" thickBot="1" x14ac:dyDescent="0.35">
      <c r="A31" s="135" t="s">
        <v>202</v>
      </c>
      <c r="B31" s="136"/>
      <c r="C31" s="221">
        <f>SUM(C29:C30)</f>
        <v>0</v>
      </c>
      <c r="D31" s="224">
        <f>SUM(D29:D30)</f>
        <v>0</v>
      </c>
    </row>
    <row r="32" spans="1:4" ht="13" thickTop="1" x14ac:dyDescent="0.25">
      <c r="A32" s="142"/>
      <c r="B32" s="131"/>
      <c r="C32" s="219"/>
      <c r="D32" s="223">
        <f>PRODUCT(B32:C32)</f>
        <v>0</v>
      </c>
    </row>
    <row r="33" spans="1:4" x14ac:dyDescent="0.25">
      <c r="A33" s="141"/>
      <c r="B33" s="133"/>
      <c r="C33" s="220"/>
      <c r="D33" s="225">
        <v>0</v>
      </c>
    </row>
    <row r="34" spans="1:4" ht="13.5" thickBot="1" x14ac:dyDescent="0.35">
      <c r="A34" s="135" t="s">
        <v>203</v>
      </c>
      <c r="B34" s="136"/>
      <c r="C34" s="221">
        <f>SUM(C32:C33)</f>
        <v>0</v>
      </c>
      <c r="D34" s="224">
        <f>SUM(D32:D33)</f>
        <v>0</v>
      </c>
    </row>
    <row r="35" spans="1:4" ht="13" thickTop="1" x14ac:dyDescent="0.25">
      <c r="A35" s="142"/>
      <c r="B35" s="131"/>
      <c r="C35" s="219"/>
      <c r="D35" s="223">
        <f>PRODUCT(B35:C35)</f>
        <v>0</v>
      </c>
    </row>
    <row r="36" spans="1:4" x14ac:dyDescent="0.25">
      <c r="A36" s="141"/>
      <c r="B36" s="133"/>
      <c r="C36" s="220"/>
      <c r="D36" s="225">
        <f>PRODUCT(B36:C36)</f>
        <v>0</v>
      </c>
    </row>
    <row r="37" spans="1:4" ht="13.5" thickBot="1" x14ac:dyDescent="0.35">
      <c r="A37" s="135" t="s">
        <v>204</v>
      </c>
      <c r="B37" s="136"/>
      <c r="C37" s="221">
        <f>SUM(C35:C36)</f>
        <v>0</v>
      </c>
      <c r="D37" s="224">
        <f>SUM(D35:D36)</f>
        <v>0</v>
      </c>
    </row>
    <row r="38" spans="1:4" ht="13" thickTop="1" x14ac:dyDescent="0.25">
      <c r="A38" s="143"/>
      <c r="B38" s="144"/>
      <c r="C38" s="145"/>
      <c r="D38" s="226"/>
    </row>
    <row r="39" spans="1:4" ht="17.5" customHeight="1" x14ac:dyDescent="0.25">
      <c r="A39" s="550" t="s">
        <v>207</v>
      </c>
      <c r="B39" s="669"/>
      <c r="C39" s="669"/>
      <c r="D39" s="670"/>
    </row>
    <row r="40" spans="1:4" ht="16.75" customHeight="1" x14ac:dyDescent="0.25">
      <c r="A40" s="693" t="s">
        <v>142</v>
      </c>
      <c r="B40" s="694"/>
      <c r="C40" s="694"/>
      <c r="D40" s="695"/>
    </row>
    <row r="41" spans="1:4" ht="18" customHeight="1" x14ac:dyDescent="0.25">
      <c r="A41" s="550" t="s">
        <v>233</v>
      </c>
      <c r="B41" s="654"/>
      <c r="C41" s="654"/>
      <c r="D41" s="655"/>
    </row>
    <row r="42" spans="1:4" x14ac:dyDescent="0.25">
      <c r="A42" s="529"/>
      <c r="B42" s="530"/>
      <c r="C42" s="530"/>
      <c r="D42" s="531"/>
    </row>
    <row r="43" spans="1:4" ht="13.5" thickBot="1" x14ac:dyDescent="0.3">
      <c r="A43" s="689" t="s">
        <v>144</v>
      </c>
      <c r="B43" s="533"/>
      <c r="C43" s="533"/>
      <c r="D43" s="534"/>
    </row>
  </sheetData>
  <mergeCells count="8">
    <mergeCell ref="A5:D5"/>
    <mergeCell ref="A41:D41"/>
    <mergeCell ref="A42:D42"/>
    <mergeCell ref="A43:D43"/>
    <mergeCell ref="A14:D14"/>
    <mergeCell ref="B16:D16"/>
    <mergeCell ref="A39:D39"/>
    <mergeCell ref="A40:D40"/>
  </mergeCells>
  <printOptions horizontalCentered="1"/>
  <pageMargins left="0.2" right="0.2" top="0.5" bottom="0.5" header="0.3" footer="0.3"/>
  <pageSetup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41"/>
  <sheetViews>
    <sheetView workbookViewId="0">
      <selection sqref="A1:D1"/>
    </sheetView>
  </sheetViews>
  <sheetFormatPr defaultRowHeight="12.5" x14ac:dyDescent="0.25"/>
  <cols>
    <col min="1" max="1" width="53.54296875" customWidth="1"/>
    <col min="2" max="2" width="15.453125" customWidth="1"/>
    <col min="3" max="3" width="11.54296875" customWidth="1"/>
    <col min="4" max="4" width="14.453125" customWidth="1"/>
  </cols>
  <sheetData>
    <row r="1" spans="1:4" ht="13" x14ac:dyDescent="0.25">
      <c r="A1" s="590" t="s">
        <v>380</v>
      </c>
      <c r="B1" s="591"/>
      <c r="C1" s="591"/>
      <c r="D1" s="592"/>
    </row>
    <row r="2" spans="1:4" ht="13" x14ac:dyDescent="0.3">
      <c r="A2" s="593" t="s">
        <v>9</v>
      </c>
      <c r="B2" s="594"/>
      <c r="C2" s="594"/>
      <c r="D2" s="595"/>
    </row>
    <row r="3" spans="1:4" x14ac:dyDescent="0.25">
      <c r="A3" s="599"/>
      <c r="B3" s="600"/>
      <c r="C3" s="600"/>
      <c r="D3" s="601"/>
    </row>
    <row r="4" spans="1:4" ht="14" x14ac:dyDescent="0.3">
      <c r="A4" s="578" t="s">
        <v>189</v>
      </c>
      <c r="B4" s="579"/>
      <c r="C4" s="579"/>
      <c r="D4" s="580"/>
    </row>
    <row r="5" spans="1:4" ht="15.5" x14ac:dyDescent="0.35">
      <c r="A5" s="696" t="s">
        <v>190</v>
      </c>
      <c r="B5" s="697"/>
      <c r="C5" s="697"/>
      <c r="D5" s="698"/>
    </row>
    <row r="6" spans="1:4" ht="15.5" x14ac:dyDescent="0.25">
      <c r="A6" s="605" t="s">
        <v>127</v>
      </c>
      <c r="B6" s="606"/>
      <c r="C6" s="606"/>
      <c r="D6" s="607"/>
    </row>
    <row r="7" spans="1:4" ht="14" x14ac:dyDescent="0.25">
      <c r="A7" s="575" t="s">
        <v>149</v>
      </c>
      <c r="B7" s="576"/>
      <c r="C7" s="576"/>
      <c r="D7" s="577"/>
    </row>
    <row r="8" spans="1:4" ht="14" x14ac:dyDescent="0.3">
      <c r="A8" s="578" t="s">
        <v>262</v>
      </c>
      <c r="B8" s="579"/>
      <c r="C8" s="579"/>
      <c r="D8" s="580"/>
    </row>
    <row r="9" spans="1:4" ht="13" x14ac:dyDescent="0.3">
      <c r="A9" s="535"/>
      <c r="B9" s="536"/>
      <c r="C9" s="536"/>
      <c r="D9" s="537"/>
    </row>
    <row r="10" spans="1:4" ht="14" x14ac:dyDescent="0.3">
      <c r="A10" s="699" t="s">
        <v>128</v>
      </c>
      <c r="B10" s="700"/>
      <c r="C10" s="700"/>
      <c r="D10" s="701"/>
    </row>
    <row r="11" spans="1:4" ht="13" x14ac:dyDescent="0.3">
      <c r="A11" s="584"/>
      <c r="B11" s="585"/>
      <c r="C11" s="585"/>
      <c r="D11" s="586"/>
    </row>
    <row r="12" spans="1:4" ht="13" x14ac:dyDescent="0.25">
      <c r="A12" s="634" t="s">
        <v>264</v>
      </c>
      <c r="B12" s="635"/>
      <c r="C12" s="635"/>
      <c r="D12" s="636"/>
    </row>
    <row r="13" spans="1:4" ht="13.5" thickBot="1" x14ac:dyDescent="0.3">
      <c r="A13" s="197"/>
      <c r="B13" s="177"/>
      <c r="C13" s="177"/>
      <c r="D13" s="193"/>
    </row>
    <row r="14" spans="1:4" ht="13.5" thickBot="1" x14ac:dyDescent="0.3">
      <c r="A14" s="213" t="s">
        <v>129</v>
      </c>
      <c r="B14" s="553" t="s">
        <v>213</v>
      </c>
      <c r="C14" s="553"/>
      <c r="D14" s="553"/>
    </row>
    <row r="15" spans="1:4" ht="13.4" customHeight="1" x14ac:dyDescent="0.25">
      <c r="A15" s="196" t="s">
        <v>133</v>
      </c>
      <c r="B15" s="270" t="s">
        <v>214</v>
      </c>
      <c r="C15" s="271" t="s">
        <v>154</v>
      </c>
      <c r="D15" s="272" t="s">
        <v>215</v>
      </c>
    </row>
    <row r="16" spans="1:4" ht="13.5" thickBot="1" x14ac:dyDescent="0.3">
      <c r="A16" s="123" t="s">
        <v>137</v>
      </c>
      <c r="B16" s="273" t="s">
        <v>216</v>
      </c>
      <c r="C16" s="274" t="s">
        <v>52</v>
      </c>
      <c r="D16" s="275" t="s">
        <v>217</v>
      </c>
    </row>
    <row r="17" spans="1:4" x14ac:dyDescent="0.25">
      <c r="A17" s="124" t="s">
        <v>138</v>
      </c>
      <c r="B17" s="125"/>
      <c r="C17" s="126"/>
      <c r="D17" s="222"/>
    </row>
    <row r="18" spans="1:4" x14ac:dyDescent="0.25">
      <c r="A18" s="130"/>
      <c r="B18" s="131"/>
      <c r="C18" s="219"/>
      <c r="D18" s="223">
        <v>0</v>
      </c>
    </row>
    <row r="19" spans="1:4" x14ac:dyDescent="0.25">
      <c r="A19" s="130"/>
      <c r="B19" s="133"/>
      <c r="C19" s="220"/>
      <c r="D19" s="223">
        <v>0</v>
      </c>
    </row>
    <row r="20" spans="1:4" ht="13.5" thickBot="1" x14ac:dyDescent="0.35">
      <c r="A20" s="135" t="s">
        <v>141</v>
      </c>
      <c r="B20" s="136"/>
      <c r="C20" s="221">
        <f>SUM(C18:C19)</f>
        <v>0</v>
      </c>
      <c r="D20" s="224">
        <f>SUM(D18:D19)</f>
        <v>0</v>
      </c>
    </row>
    <row r="21" spans="1:4" ht="13" thickTop="1" x14ac:dyDescent="0.25">
      <c r="A21" s="141"/>
      <c r="B21" s="131"/>
      <c r="C21" s="219"/>
      <c r="D21" s="223">
        <f>SUM(B21*C21)</f>
        <v>0</v>
      </c>
    </row>
    <row r="22" spans="1:4" x14ac:dyDescent="0.25">
      <c r="A22" s="141"/>
      <c r="B22" s="133"/>
      <c r="C22" s="220"/>
      <c r="D22" s="223">
        <v>0</v>
      </c>
    </row>
    <row r="23" spans="1:4" ht="13.5" thickBot="1" x14ac:dyDescent="0.35">
      <c r="A23" s="135" t="s">
        <v>205</v>
      </c>
      <c r="B23" s="136"/>
      <c r="C23" s="221">
        <f>SUM(C21:C22)</f>
        <v>0</v>
      </c>
      <c r="D23" s="224">
        <f>SUM(D21:D22)</f>
        <v>0</v>
      </c>
    </row>
    <row r="24" spans="1:4" ht="13" thickTop="1" x14ac:dyDescent="0.25">
      <c r="A24" s="142"/>
      <c r="B24" s="131"/>
      <c r="C24" s="219"/>
      <c r="D24" s="223">
        <f>PRODUCT(B24:C24)</f>
        <v>0</v>
      </c>
    </row>
    <row r="25" spans="1:4" x14ac:dyDescent="0.25">
      <c r="A25" s="141"/>
      <c r="B25" s="133"/>
      <c r="C25" s="220"/>
      <c r="D25" s="225">
        <v>0</v>
      </c>
    </row>
    <row r="26" spans="1:4" ht="13.5" thickBot="1" x14ac:dyDescent="0.35">
      <c r="A26" s="135" t="s">
        <v>206</v>
      </c>
      <c r="B26" s="136"/>
      <c r="C26" s="221">
        <f>SUM(C24:C25)</f>
        <v>0</v>
      </c>
      <c r="D26" s="224">
        <f>SUM(D24:D25)</f>
        <v>0</v>
      </c>
    </row>
    <row r="27" spans="1:4" ht="13" thickTop="1" x14ac:dyDescent="0.25">
      <c r="A27" s="142"/>
      <c r="B27" s="131"/>
      <c r="C27" s="219"/>
      <c r="D27" s="223">
        <f>PRODUCT(B27:C27)</f>
        <v>0</v>
      </c>
    </row>
    <row r="28" spans="1:4" x14ac:dyDescent="0.25">
      <c r="A28" s="141"/>
      <c r="B28" s="133"/>
      <c r="C28" s="220"/>
      <c r="D28" s="225">
        <v>0</v>
      </c>
    </row>
    <row r="29" spans="1:4" ht="13.5" thickBot="1" x14ac:dyDescent="0.35">
      <c r="A29" s="135" t="s">
        <v>202</v>
      </c>
      <c r="B29" s="136"/>
      <c r="C29" s="221">
        <f>SUM(C27:C28)</f>
        <v>0</v>
      </c>
      <c r="D29" s="224">
        <f>SUM(D27:D28)</f>
        <v>0</v>
      </c>
    </row>
    <row r="30" spans="1:4" ht="13" thickTop="1" x14ac:dyDescent="0.25">
      <c r="A30" s="142"/>
      <c r="B30" s="131"/>
      <c r="C30" s="219"/>
      <c r="D30" s="223">
        <f>PRODUCT(B30:C30)</f>
        <v>0</v>
      </c>
    </row>
    <row r="31" spans="1:4" x14ac:dyDescent="0.25">
      <c r="A31" s="141"/>
      <c r="B31" s="133"/>
      <c r="C31" s="220"/>
      <c r="D31" s="225">
        <v>0</v>
      </c>
    </row>
    <row r="32" spans="1:4" ht="13.5" thickBot="1" x14ac:dyDescent="0.35">
      <c r="A32" s="135" t="s">
        <v>203</v>
      </c>
      <c r="B32" s="136"/>
      <c r="C32" s="221">
        <f>SUM(C30:C31)</f>
        <v>0</v>
      </c>
      <c r="D32" s="224">
        <f>SUM(D30:D31)</f>
        <v>0</v>
      </c>
    </row>
    <row r="33" spans="1:4" ht="13" thickTop="1" x14ac:dyDescent="0.25">
      <c r="A33" s="142"/>
      <c r="B33" s="131"/>
      <c r="C33" s="219"/>
      <c r="D33" s="223">
        <f>PRODUCT(B33:C33)</f>
        <v>0</v>
      </c>
    </row>
    <row r="34" spans="1:4" x14ac:dyDescent="0.25">
      <c r="A34" s="141"/>
      <c r="B34" s="133"/>
      <c r="C34" s="220"/>
      <c r="D34" s="225">
        <f>PRODUCT(B34:C34)</f>
        <v>0</v>
      </c>
    </row>
    <row r="35" spans="1:4" ht="13.5" thickBot="1" x14ac:dyDescent="0.35">
      <c r="A35" s="135" t="s">
        <v>204</v>
      </c>
      <c r="B35" s="136"/>
      <c r="C35" s="221">
        <f>SUM(C33:C34)</f>
        <v>0</v>
      </c>
      <c r="D35" s="224">
        <f>SUM(D33:D34)</f>
        <v>0</v>
      </c>
    </row>
    <row r="36" spans="1:4" ht="13" thickTop="1" x14ac:dyDescent="0.25">
      <c r="A36" s="143"/>
      <c r="B36" s="144"/>
      <c r="C36" s="145"/>
      <c r="D36" s="226"/>
    </row>
    <row r="37" spans="1:4" ht="21" customHeight="1" x14ac:dyDescent="0.25">
      <c r="A37" s="550" t="s">
        <v>207</v>
      </c>
      <c r="B37" s="669"/>
      <c r="C37" s="669"/>
      <c r="D37" s="670"/>
    </row>
    <row r="38" spans="1:4" x14ac:dyDescent="0.25">
      <c r="A38" s="693" t="s">
        <v>142</v>
      </c>
      <c r="B38" s="694"/>
      <c r="C38" s="694"/>
      <c r="D38" s="695"/>
    </row>
    <row r="39" spans="1:4" ht="20.149999999999999" customHeight="1" x14ac:dyDescent="0.25">
      <c r="A39" s="550" t="s">
        <v>233</v>
      </c>
      <c r="B39" s="654"/>
      <c r="C39" s="654"/>
      <c r="D39" s="655"/>
    </row>
    <row r="40" spans="1:4" x14ac:dyDescent="0.25">
      <c r="A40" s="529"/>
      <c r="B40" s="530"/>
      <c r="C40" s="530"/>
      <c r="D40" s="531"/>
    </row>
    <row r="41" spans="1:4" ht="13.75" customHeight="1" thickBot="1" x14ac:dyDescent="0.3">
      <c r="A41" s="647" t="s">
        <v>144</v>
      </c>
      <c r="B41" s="648"/>
      <c r="C41" s="648"/>
      <c r="D41" s="649"/>
    </row>
  </sheetData>
  <mergeCells count="18">
    <mergeCell ref="A37:D37"/>
    <mergeCell ref="A39:D39"/>
    <mergeCell ref="A40:D40"/>
    <mergeCell ref="A41:D41"/>
    <mergeCell ref="A5:D5"/>
    <mergeCell ref="A38:D38"/>
    <mergeCell ref="B14:D14"/>
    <mergeCell ref="A12:D12"/>
    <mergeCell ref="A7:D7"/>
    <mergeCell ref="A8:D8"/>
    <mergeCell ref="A9:D9"/>
    <mergeCell ref="A10:D10"/>
    <mergeCell ref="A11:D11"/>
    <mergeCell ref="A1:D1"/>
    <mergeCell ref="A2:D2"/>
    <mergeCell ref="A3:D3"/>
    <mergeCell ref="A4:D4"/>
    <mergeCell ref="A6:D6"/>
  </mergeCells>
  <printOptions horizontalCentered="1"/>
  <pageMargins left="0.2" right="0.2" top="0.5" bottom="0.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2"/>
  <sheetViews>
    <sheetView workbookViewId="0"/>
  </sheetViews>
  <sheetFormatPr defaultRowHeight="12.5" x14ac:dyDescent="0.25"/>
  <cols>
    <col min="1" max="1" width="39.81640625" customWidth="1"/>
    <col min="2" max="2" width="24.453125" customWidth="1"/>
    <col min="3" max="3" width="12.453125" customWidth="1"/>
    <col min="4" max="5" width="13.54296875" customWidth="1"/>
    <col min="6" max="6" width="12.81640625" customWidth="1"/>
    <col min="7" max="7" width="16.1796875" customWidth="1"/>
  </cols>
  <sheetData>
    <row r="1" spans="1:7" ht="13" x14ac:dyDescent="0.25">
      <c r="A1" s="236" t="s">
        <v>380</v>
      </c>
      <c r="B1" s="237"/>
      <c r="C1" s="231"/>
      <c r="D1" s="231"/>
      <c r="E1" s="231"/>
      <c r="F1" s="231"/>
      <c r="G1" s="231"/>
    </row>
    <row r="2" spans="1:7" ht="13" x14ac:dyDescent="0.3">
      <c r="A2" s="307" t="s">
        <v>9</v>
      </c>
      <c r="B2" s="79"/>
      <c r="C2" s="232"/>
      <c r="D2" s="232"/>
      <c r="E2" s="232"/>
      <c r="F2" s="232"/>
      <c r="G2" s="232"/>
    </row>
    <row r="3" spans="1:7" x14ac:dyDescent="0.25">
      <c r="A3" s="305"/>
      <c r="B3" s="239"/>
      <c r="C3" s="234"/>
      <c r="D3" s="234"/>
      <c r="E3" s="234"/>
      <c r="F3" s="234"/>
      <c r="G3" s="234"/>
    </row>
    <row r="4" spans="1:7" ht="14" x14ac:dyDescent="0.3">
      <c r="A4" s="308" t="s">
        <v>191</v>
      </c>
      <c r="B4" s="216"/>
      <c r="C4" s="233"/>
      <c r="D4" s="233"/>
      <c r="E4" s="233"/>
      <c r="F4" s="233"/>
      <c r="G4" s="233"/>
    </row>
    <row r="5" spans="1:7" ht="15.5" x14ac:dyDescent="0.3">
      <c r="A5" s="309" t="s">
        <v>190</v>
      </c>
      <c r="B5" s="216"/>
      <c r="C5" s="233"/>
      <c r="D5" s="233"/>
      <c r="E5" s="233"/>
      <c r="F5" s="233"/>
      <c r="G5" s="233"/>
    </row>
    <row r="6" spans="1:7" ht="15.5" x14ac:dyDescent="0.3">
      <c r="A6" s="309" t="s">
        <v>146</v>
      </c>
      <c r="B6" s="216"/>
      <c r="C6" s="233"/>
      <c r="D6" s="233"/>
      <c r="E6" s="233"/>
      <c r="F6" s="233"/>
      <c r="G6" s="233"/>
    </row>
    <row r="7" spans="1:7" ht="14" x14ac:dyDescent="0.3">
      <c r="A7" s="308" t="s">
        <v>192</v>
      </c>
      <c r="B7" s="216"/>
      <c r="C7" s="233"/>
      <c r="D7" s="233"/>
      <c r="E7" s="233"/>
      <c r="F7" s="233"/>
      <c r="G7" s="233"/>
    </row>
    <row r="8" spans="1:7" ht="17.5" customHeight="1" x14ac:dyDescent="0.35">
      <c r="A8" s="240"/>
      <c r="B8" s="86"/>
      <c r="C8" s="235"/>
      <c r="D8" s="235"/>
      <c r="E8" s="235"/>
      <c r="F8" s="235"/>
      <c r="G8" s="235"/>
    </row>
    <row r="9" spans="1:7" ht="14" x14ac:dyDescent="0.3">
      <c r="A9" s="214" t="s">
        <v>128</v>
      </c>
      <c r="B9" s="216"/>
      <c r="C9" s="233"/>
      <c r="D9" s="233"/>
      <c r="E9" s="233"/>
      <c r="F9" s="233"/>
      <c r="G9" s="233"/>
    </row>
    <row r="10" spans="1:7" ht="14.5" thickBot="1" x14ac:dyDescent="0.35">
      <c r="A10" s="241"/>
      <c r="B10" s="242"/>
      <c r="C10" s="228"/>
      <c r="D10" s="228"/>
      <c r="E10" s="228"/>
      <c r="F10" s="228"/>
      <c r="G10" s="228"/>
    </row>
    <row r="11" spans="1:7" ht="14" x14ac:dyDescent="0.3">
      <c r="A11" s="270" t="s">
        <v>218</v>
      </c>
      <c r="B11" s="281" t="s">
        <v>219</v>
      </c>
      <c r="C11" s="228"/>
      <c r="D11" s="228"/>
      <c r="E11" s="228"/>
      <c r="F11" s="228"/>
      <c r="G11" s="228"/>
    </row>
    <row r="12" spans="1:7" ht="14" x14ac:dyDescent="0.3">
      <c r="A12" s="218" t="s">
        <v>220</v>
      </c>
      <c r="B12" s="217" t="s">
        <v>174</v>
      </c>
      <c r="C12" s="228"/>
      <c r="D12" s="228"/>
      <c r="E12" s="228"/>
      <c r="F12" s="228"/>
      <c r="G12" s="228"/>
    </row>
    <row r="13" spans="1:7" ht="14.5" thickBot="1" x14ac:dyDescent="0.35">
      <c r="A13" s="273" t="s">
        <v>175</v>
      </c>
      <c r="B13" s="295" t="s">
        <v>221</v>
      </c>
      <c r="C13" s="228"/>
      <c r="D13" s="228"/>
      <c r="E13" s="228"/>
      <c r="F13" s="228"/>
      <c r="G13" s="228"/>
    </row>
    <row r="14" spans="1:7" ht="14" x14ac:dyDescent="0.3">
      <c r="A14" s="293"/>
      <c r="B14" s="294"/>
      <c r="C14" s="228"/>
      <c r="D14" s="228"/>
      <c r="E14" s="228"/>
      <c r="F14" s="228"/>
      <c r="G14" s="228"/>
    </row>
    <row r="15" spans="1:7" ht="14" x14ac:dyDescent="0.3">
      <c r="A15" s="282"/>
      <c r="B15" s="283"/>
      <c r="C15" s="228"/>
      <c r="D15" s="228"/>
      <c r="E15" s="228"/>
      <c r="F15" s="228"/>
      <c r="G15" s="228"/>
    </row>
    <row r="16" spans="1:7" ht="14" x14ac:dyDescent="0.3">
      <c r="A16" s="282"/>
      <c r="B16" s="283"/>
      <c r="C16" s="228"/>
      <c r="D16" s="228"/>
      <c r="E16" s="228"/>
      <c r="F16" s="228"/>
      <c r="G16" s="228"/>
    </row>
    <row r="17" spans="1:9" ht="14" x14ac:dyDescent="0.3">
      <c r="A17" s="282"/>
      <c r="B17" s="283"/>
      <c r="C17" s="228"/>
      <c r="D17" s="228"/>
      <c r="E17" s="228"/>
      <c r="F17" s="228"/>
      <c r="G17" s="228"/>
    </row>
    <row r="18" spans="1:9" ht="14" x14ac:dyDescent="0.3">
      <c r="A18" s="282"/>
      <c r="B18" s="283"/>
      <c r="C18" s="228"/>
      <c r="D18" s="228"/>
      <c r="E18" s="228"/>
      <c r="F18" s="228"/>
      <c r="G18" s="228"/>
    </row>
    <row r="19" spans="1:9" ht="14" x14ac:dyDescent="0.3">
      <c r="A19" s="282"/>
      <c r="B19" s="283"/>
      <c r="C19" s="228"/>
      <c r="D19" s="228"/>
      <c r="E19" s="228"/>
      <c r="F19" s="228"/>
      <c r="G19" s="228"/>
    </row>
    <row r="20" spans="1:9" ht="14" x14ac:dyDescent="0.3">
      <c r="A20" s="282"/>
      <c r="B20" s="283"/>
      <c r="C20" s="228"/>
      <c r="D20" s="228"/>
      <c r="E20" s="228"/>
      <c r="F20" s="228"/>
      <c r="G20" s="228"/>
    </row>
    <row r="21" spans="1:9" ht="14" x14ac:dyDescent="0.3">
      <c r="A21" s="282"/>
      <c r="B21" s="283"/>
      <c r="C21" s="228"/>
      <c r="D21" s="228"/>
      <c r="E21" s="228"/>
      <c r="F21" s="228"/>
      <c r="G21" s="228"/>
    </row>
    <row r="22" spans="1:9" ht="14" x14ac:dyDescent="0.3">
      <c r="A22" s="282"/>
      <c r="B22" s="283"/>
      <c r="C22" s="228"/>
      <c r="D22" s="228"/>
      <c r="E22" s="228"/>
      <c r="F22" s="228"/>
      <c r="G22" s="228"/>
    </row>
    <row r="23" spans="1:9" ht="14" x14ac:dyDescent="0.3">
      <c r="A23" s="282"/>
      <c r="B23" s="283"/>
      <c r="C23" s="228"/>
      <c r="D23" s="228"/>
      <c r="E23" s="228"/>
      <c r="F23" s="228"/>
      <c r="G23" s="228"/>
    </row>
    <row r="24" spans="1:9" ht="14" x14ac:dyDescent="0.3">
      <c r="A24" s="282"/>
      <c r="B24" s="283"/>
      <c r="C24" s="228"/>
      <c r="D24" s="228"/>
      <c r="E24" s="228"/>
      <c r="F24" s="228"/>
      <c r="G24" s="228"/>
    </row>
    <row r="25" spans="1:9" ht="14" x14ac:dyDescent="0.3">
      <c r="A25" s="282"/>
      <c r="B25" s="284"/>
      <c r="C25" s="228"/>
      <c r="D25" s="228"/>
      <c r="E25" s="228"/>
      <c r="F25" s="228"/>
      <c r="G25" s="228"/>
    </row>
    <row r="26" spans="1:9" ht="14" x14ac:dyDescent="0.3">
      <c r="A26" s="282"/>
      <c r="B26" s="284"/>
      <c r="C26" s="228"/>
      <c r="D26" s="228"/>
      <c r="E26" s="228"/>
      <c r="F26" s="228"/>
      <c r="G26" s="228"/>
    </row>
    <row r="27" spans="1:9" ht="14.5" thickBot="1" x14ac:dyDescent="0.35">
      <c r="A27" s="285"/>
      <c r="B27" s="286"/>
      <c r="C27" s="228"/>
      <c r="D27" s="228"/>
      <c r="E27" s="228"/>
      <c r="F27" s="228"/>
      <c r="G27" s="228"/>
    </row>
    <row r="28" spans="1:9" ht="14" x14ac:dyDescent="0.3">
      <c r="A28" s="243"/>
      <c r="B28" s="244"/>
      <c r="C28" s="228"/>
      <c r="D28" s="228"/>
      <c r="E28" s="228"/>
      <c r="F28" s="228"/>
      <c r="G28" s="228"/>
    </row>
    <row r="29" spans="1:9" ht="14" x14ac:dyDescent="0.3">
      <c r="A29" s="310" t="s">
        <v>223</v>
      </c>
      <c r="B29" s="311"/>
      <c r="C29" s="228"/>
      <c r="D29" s="228"/>
      <c r="E29" s="228"/>
      <c r="F29" s="228"/>
      <c r="G29" s="228"/>
    </row>
    <row r="30" spans="1:9" ht="19.75" customHeight="1" x14ac:dyDescent="0.25">
      <c r="A30" s="550" t="s">
        <v>222</v>
      </c>
      <c r="B30" s="670"/>
      <c r="C30" s="229"/>
      <c r="D30" s="229"/>
      <c r="E30" s="229"/>
      <c r="F30" s="229"/>
      <c r="G30" s="229"/>
      <c r="H30" s="227"/>
      <c r="I30" s="227"/>
    </row>
    <row r="31" spans="1:9" x14ac:dyDescent="0.25">
      <c r="A31" s="312"/>
      <c r="B31" s="302"/>
      <c r="C31" s="230"/>
      <c r="D31" s="230"/>
      <c r="E31" s="230"/>
      <c r="F31" s="230"/>
      <c r="G31" s="230"/>
    </row>
    <row r="32" spans="1:9" ht="13.5" thickBot="1" x14ac:dyDescent="0.3">
      <c r="A32" s="306" t="s">
        <v>144</v>
      </c>
      <c r="B32" s="313"/>
      <c r="C32" s="1"/>
      <c r="D32" s="1"/>
      <c r="E32" s="1"/>
      <c r="F32" s="1"/>
      <c r="G32" s="1"/>
    </row>
  </sheetData>
  <mergeCells count="1">
    <mergeCell ref="A30:B30"/>
  </mergeCells>
  <printOptions horizontalCentered="1"/>
  <pageMargins left="0.2" right="0.2" top="0.5" bottom="0.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66"/>
  <sheetViews>
    <sheetView workbookViewId="0"/>
  </sheetViews>
  <sheetFormatPr defaultRowHeight="12.5" x14ac:dyDescent="0.25"/>
  <cols>
    <col min="1" max="1" width="50.54296875" customWidth="1"/>
    <col min="2" max="2" width="31.54296875" customWidth="1"/>
  </cols>
  <sheetData>
    <row r="1" spans="1:2" ht="13" x14ac:dyDescent="0.25">
      <c r="A1" s="236" t="s">
        <v>380</v>
      </c>
      <c r="B1" s="237"/>
    </row>
    <row r="2" spans="1:2" ht="13" x14ac:dyDescent="0.3">
      <c r="A2" s="307" t="s">
        <v>9</v>
      </c>
      <c r="B2" s="79"/>
    </row>
    <row r="3" spans="1:2" x14ac:dyDescent="0.25">
      <c r="A3" s="305"/>
      <c r="B3" s="239"/>
    </row>
    <row r="4" spans="1:2" ht="14" x14ac:dyDescent="0.3">
      <c r="A4" s="308" t="s">
        <v>191</v>
      </c>
      <c r="B4" s="216"/>
    </row>
    <row r="5" spans="1:2" ht="15.5" x14ac:dyDescent="0.3">
      <c r="A5" s="309" t="s">
        <v>193</v>
      </c>
      <c r="B5" s="216"/>
    </row>
    <row r="6" spans="1:2" ht="15.5" x14ac:dyDescent="0.3">
      <c r="A6" s="309" t="s">
        <v>146</v>
      </c>
      <c r="B6" s="216"/>
    </row>
    <row r="7" spans="1:2" ht="14" x14ac:dyDescent="0.3">
      <c r="A7" s="308" t="s">
        <v>194</v>
      </c>
      <c r="B7" s="216"/>
    </row>
    <row r="8" spans="1:2" ht="15.5" x14ac:dyDescent="0.35">
      <c r="A8" s="309"/>
      <c r="B8" s="86"/>
    </row>
    <row r="9" spans="1:2" ht="14" x14ac:dyDescent="0.3">
      <c r="A9" s="308" t="s">
        <v>128</v>
      </c>
      <c r="B9" s="216"/>
    </row>
    <row r="10" spans="1:2" ht="14.5" thickBot="1" x14ac:dyDescent="0.35">
      <c r="A10" s="201"/>
      <c r="B10" s="203"/>
    </row>
    <row r="11" spans="1:2" ht="13" x14ac:dyDescent="0.25">
      <c r="A11" s="276" t="s">
        <v>224</v>
      </c>
      <c r="B11" s="276" t="s">
        <v>225</v>
      </c>
    </row>
    <row r="12" spans="1:2" ht="13" x14ac:dyDescent="0.25">
      <c r="A12" s="277" t="s">
        <v>171</v>
      </c>
      <c r="B12" s="278" t="s">
        <v>174</v>
      </c>
    </row>
    <row r="13" spans="1:2" ht="13.5" thickBot="1" x14ac:dyDescent="0.3">
      <c r="A13" s="279" t="s">
        <v>175</v>
      </c>
      <c r="B13" s="280" t="s">
        <v>221</v>
      </c>
    </row>
    <row r="14" spans="1:2" ht="15.5" x14ac:dyDescent="0.35">
      <c r="A14" s="153"/>
      <c r="B14" s="156"/>
    </row>
    <row r="15" spans="1:2" ht="15.5" x14ac:dyDescent="0.35">
      <c r="A15" s="157"/>
      <c r="B15" s="160"/>
    </row>
    <row r="16" spans="1:2" ht="15.5" x14ac:dyDescent="0.35">
      <c r="A16" s="157"/>
      <c r="B16" s="160"/>
    </row>
    <row r="17" spans="1:2" ht="15.5" x14ac:dyDescent="0.35">
      <c r="A17" s="157"/>
      <c r="B17" s="160"/>
    </row>
    <row r="18" spans="1:2" ht="15.5" x14ac:dyDescent="0.35">
      <c r="A18" s="157"/>
      <c r="B18" s="160"/>
    </row>
    <row r="19" spans="1:2" ht="15.5" x14ac:dyDescent="0.35">
      <c r="A19" s="157"/>
      <c r="B19" s="160"/>
    </row>
    <row r="20" spans="1:2" x14ac:dyDescent="0.25">
      <c r="A20" s="130"/>
      <c r="B20" s="141"/>
    </row>
    <row r="21" spans="1:2" ht="15.5" x14ac:dyDescent="0.35">
      <c r="A21" s="157"/>
      <c r="B21" s="160"/>
    </row>
    <row r="22" spans="1:2" ht="15.5" x14ac:dyDescent="0.35">
      <c r="A22" s="157"/>
      <c r="B22" s="160"/>
    </row>
    <row r="23" spans="1:2" ht="16" thickBot="1" x14ac:dyDescent="0.4">
      <c r="A23" s="245"/>
      <c r="B23" s="246"/>
    </row>
    <row r="24" spans="1:2" ht="13" x14ac:dyDescent="0.25">
      <c r="A24" s="276" t="s">
        <v>226</v>
      </c>
      <c r="B24" s="276" t="s">
        <v>219</v>
      </c>
    </row>
    <row r="25" spans="1:2" ht="13" x14ac:dyDescent="0.25">
      <c r="A25" s="277" t="s">
        <v>227</v>
      </c>
      <c r="B25" s="278" t="s">
        <v>174</v>
      </c>
    </row>
    <row r="26" spans="1:2" ht="13.5" thickBot="1" x14ac:dyDescent="0.3">
      <c r="A26" s="279" t="s">
        <v>175</v>
      </c>
      <c r="B26" s="280" t="s">
        <v>176</v>
      </c>
    </row>
    <row r="27" spans="1:2" ht="15.5" x14ac:dyDescent="0.35">
      <c r="A27" s="296"/>
      <c r="B27" s="297"/>
    </row>
    <row r="28" spans="1:2" x14ac:dyDescent="0.25">
      <c r="A28" s="141"/>
      <c r="B28" s="164"/>
    </row>
    <row r="29" spans="1:2" x14ac:dyDescent="0.25">
      <c r="A29" s="141"/>
      <c r="B29" s="141"/>
    </row>
    <row r="30" spans="1:2" x14ac:dyDescent="0.25">
      <c r="A30" s="165"/>
      <c r="B30" s="141"/>
    </row>
    <row r="31" spans="1:2" x14ac:dyDescent="0.25">
      <c r="A31" s="141"/>
      <c r="B31" s="141"/>
    </row>
    <row r="32" spans="1:2" x14ac:dyDescent="0.25">
      <c r="A32" s="130"/>
      <c r="B32" s="141"/>
    </row>
    <row r="33" spans="1:4" x14ac:dyDescent="0.25">
      <c r="A33" s="141"/>
      <c r="B33" s="141"/>
    </row>
    <row r="34" spans="1:4" x14ac:dyDescent="0.25">
      <c r="A34" s="141"/>
      <c r="B34" s="141"/>
    </row>
    <row r="35" spans="1:4" x14ac:dyDescent="0.25">
      <c r="A35" s="141"/>
      <c r="B35" s="141"/>
    </row>
    <row r="36" spans="1:4" ht="13" thickBot="1" x14ac:dyDescent="0.3">
      <c r="A36" s="167"/>
      <c r="B36" s="167"/>
    </row>
    <row r="37" spans="1:4" ht="14" x14ac:dyDescent="0.3">
      <c r="A37" s="243"/>
      <c r="B37" s="244"/>
    </row>
    <row r="38" spans="1:4" x14ac:dyDescent="0.25">
      <c r="A38" s="301" t="s">
        <v>223</v>
      </c>
      <c r="B38" s="314"/>
    </row>
    <row r="39" spans="1:4" ht="20.5" customHeight="1" x14ac:dyDescent="0.25">
      <c r="A39" s="550" t="s">
        <v>229</v>
      </c>
      <c r="B39" s="670"/>
      <c r="C39" s="227"/>
      <c r="D39" s="227"/>
    </row>
    <row r="40" spans="1:4" ht="22.4" customHeight="1" x14ac:dyDescent="0.25">
      <c r="A40" s="550" t="s">
        <v>228</v>
      </c>
      <c r="B40" s="670"/>
      <c r="C40" s="227"/>
      <c r="D40" s="227"/>
    </row>
    <row r="41" spans="1:4" x14ac:dyDescent="0.25">
      <c r="A41" s="61"/>
      <c r="B41" s="303"/>
    </row>
    <row r="42" spans="1:4" ht="13.5" thickBot="1" x14ac:dyDescent="0.3">
      <c r="A42" s="306" t="s">
        <v>144</v>
      </c>
      <c r="B42" s="313"/>
    </row>
    <row r="64" ht="20.149999999999999" customHeight="1" x14ac:dyDescent="0.25"/>
    <row r="65" ht="20.149999999999999" customHeight="1" x14ac:dyDescent="0.25"/>
    <row r="66" ht="20.149999999999999" customHeight="1" x14ac:dyDescent="0.25"/>
  </sheetData>
  <mergeCells count="2">
    <mergeCell ref="A40:B40"/>
    <mergeCell ref="A39:B39"/>
  </mergeCells>
  <printOptions horizontalCentered="1"/>
  <pageMargins left="0.2" right="0.2" top="0.5" bottom="0.5" header="0.3" footer="0.3"/>
  <pageSetup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36"/>
  <sheetViews>
    <sheetView zoomScaleNormal="100" workbookViewId="0"/>
  </sheetViews>
  <sheetFormatPr defaultRowHeight="12.5" x14ac:dyDescent="0.25"/>
  <cols>
    <col min="1" max="1" width="44.54296875" customWidth="1"/>
    <col min="2" max="7" width="15.54296875" customWidth="1"/>
    <col min="8" max="8" width="10.54296875" customWidth="1"/>
    <col min="9" max="9" width="15.81640625" customWidth="1"/>
    <col min="10" max="19" width="10.54296875" customWidth="1"/>
  </cols>
  <sheetData>
    <row r="1" spans="1:9" ht="13" x14ac:dyDescent="0.25">
      <c r="A1" s="51" t="s">
        <v>380</v>
      </c>
      <c r="B1" s="316"/>
      <c r="C1" s="316"/>
      <c r="D1" s="316"/>
      <c r="E1" s="316"/>
      <c r="F1" s="316"/>
      <c r="G1" s="317"/>
    </row>
    <row r="2" spans="1:9" ht="13" x14ac:dyDescent="0.25">
      <c r="A2" s="307" t="s">
        <v>9</v>
      </c>
      <c r="B2" s="304"/>
      <c r="C2" s="304"/>
      <c r="D2" s="304"/>
      <c r="E2" s="304"/>
      <c r="F2" s="304"/>
      <c r="G2" s="303"/>
    </row>
    <row r="3" spans="1:9" ht="13" x14ac:dyDescent="0.25">
      <c r="A3" s="315" t="s">
        <v>239</v>
      </c>
      <c r="B3" s="304"/>
      <c r="C3" s="304"/>
      <c r="D3" s="304"/>
      <c r="E3" s="304"/>
      <c r="F3" s="304"/>
      <c r="G3" s="303"/>
    </row>
    <row r="4" spans="1:9" x14ac:dyDescent="0.25">
      <c r="A4" s="56"/>
      <c r="B4" s="304"/>
      <c r="C4" s="304"/>
      <c r="D4" s="304"/>
      <c r="E4" s="304"/>
      <c r="F4" s="304"/>
      <c r="G4" s="303"/>
    </row>
    <row r="5" spans="1:9" ht="13" x14ac:dyDescent="0.3">
      <c r="A5" s="77" t="s">
        <v>105</v>
      </c>
      <c r="B5" s="24"/>
      <c r="C5" s="24"/>
      <c r="D5" s="24"/>
      <c r="E5" s="24"/>
      <c r="F5" s="24"/>
      <c r="G5" s="99"/>
      <c r="H5" s="45"/>
      <c r="I5" s="45"/>
    </row>
    <row r="6" spans="1:9" ht="15.5" x14ac:dyDescent="0.35">
      <c r="A6" s="664" t="s">
        <v>117</v>
      </c>
      <c r="B6" s="665"/>
      <c r="C6" s="665"/>
      <c r="D6" s="665"/>
      <c r="E6" s="665"/>
      <c r="F6" s="665"/>
      <c r="G6" s="666"/>
      <c r="H6" s="46"/>
      <c r="I6" s="46"/>
    </row>
    <row r="7" spans="1:9" ht="15.5" x14ac:dyDescent="0.35">
      <c r="A7" s="318" t="s">
        <v>116</v>
      </c>
      <c r="B7" s="24"/>
      <c r="C7" s="24"/>
      <c r="D7" s="24"/>
      <c r="E7" s="24"/>
      <c r="F7" s="24"/>
      <c r="G7" s="99"/>
      <c r="H7" s="46"/>
      <c r="I7" s="46"/>
    </row>
    <row r="8" spans="1:9" ht="14.5" thickBot="1" x14ac:dyDescent="0.35">
      <c r="A8" s="319"/>
      <c r="B8" s="320"/>
      <c r="C8" s="320"/>
      <c r="D8" s="320"/>
      <c r="E8" s="320"/>
      <c r="F8" s="320"/>
      <c r="G8" s="321"/>
      <c r="H8" s="47"/>
      <c r="I8" s="47"/>
    </row>
    <row r="9" spans="1:9" ht="21.65" customHeight="1" thickBot="1" x14ac:dyDescent="0.3">
      <c r="A9" s="330" t="s">
        <v>29</v>
      </c>
      <c r="B9" s="331" t="s">
        <v>106</v>
      </c>
      <c r="C9" s="331" t="s">
        <v>95</v>
      </c>
      <c r="D9" s="331" t="s">
        <v>97</v>
      </c>
      <c r="E9" s="331" t="s">
        <v>99</v>
      </c>
      <c r="F9" s="331" t="s">
        <v>100</v>
      </c>
      <c r="G9" s="332" t="s">
        <v>107</v>
      </c>
    </row>
    <row r="10" spans="1:9" ht="26.15" customHeight="1" x14ac:dyDescent="0.25">
      <c r="A10" s="327" t="s">
        <v>108</v>
      </c>
      <c r="B10" s="328"/>
      <c r="C10" s="328"/>
      <c r="D10" s="328"/>
      <c r="E10" s="328"/>
      <c r="F10" s="328"/>
      <c r="G10" s="329"/>
    </row>
    <row r="11" spans="1:9" x14ac:dyDescent="0.25">
      <c r="A11" s="58"/>
      <c r="B11" s="48"/>
      <c r="C11" s="48"/>
      <c r="D11" s="48"/>
      <c r="E11" s="48"/>
      <c r="F11" s="48"/>
      <c r="G11" s="59"/>
    </row>
    <row r="12" spans="1:9" ht="26.15" customHeight="1" x14ac:dyDescent="0.25">
      <c r="A12" s="57" t="s">
        <v>255</v>
      </c>
      <c r="B12" s="48"/>
      <c r="C12" s="48"/>
      <c r="D12" s="48"/>
      <c r="E12" s="48"/>
      <c r="F12" s="48"/>
      <c r="G12" s="60"/>
    </row>
    <row r="13" spans="1:9" x14ac:dyDescent="0.25">
      <c r="A13" s="58"/>
      <c r="B13" s="49"/>
      <c r="C13" s="49"/>
      <c r="D13" s="49"/>
      <c r="E13" s="49"/>
      <c r="F13" s="49"/>
      <c r="G13" s="59"/>
    </row>
    <row r="14" spans="1:9" ht="26.15" customHeight="1" x14ac:dyDescent="0.25">
      <c r="A14" s="57" t="s">
        <v>254</v>
      </c>
      <c r="B14" s="49"/>
      <c r="C14" s="49"/>
      <c r="D14" s="49"/>
      <c r="E14" s="49"/>
      <c r="F14" s="49"/>
      <c r="G14" s="59"/>
    </row>
    <row r="15" spans="1:9" x14ac:dyDescent="0.25">
      <c r="A15" s="61"/>
      <c r="B15" s="48"/>
      <c r="C15" s="48"/>
      <c r="D15" s="48"/>
      <c r="E15" s="48"/>
      <c r="F15" s="48"/>
      <c r="G15" s="62"/>
    </row>
    <row r="16" spans="1:9" ht="13" x14ac:dyDescent="0.25">
      <c r="A16" s="57" t="s">
        <v>118</v>
      </c>
      <c r="B16" s="48"/>
      <c r="C16" s="48"/>
      <c r="D16" s="48"/>
      <c r="E16" s="48"/>
      <c r="F16" s="48"/>
      <c r="G16" s="62"/>
    </row>
    <row r="17" spans="1:7" x14ac:dyDescent="0.25">
      <c r="A17" s="63" t="s">
        <v>109</v>
      </c>
      <c r="B17" s="49"/>
      <c r="C17" s="49"/>
      <c r="D17" s="49"/>
      <c r="E17" s="49"/>
      <c r="F17" s="49"/>
      <c r="G17" s="64"/>
    </row>
    <row r="18" spans="1:7" x14ac:dyDescent="0.25">
      <c r="A18" s="63"/>
      <c r="B18" s="49"/>
      <c r="C18" s="49"/>
      <c r="D18" s="49"/>
      <c r="E18" s="49"/>
      <c r="F18" s="49"/>
      <c r="G18" s="64"/>
    </row>
    <row r="19" spans="1:7" x14ac:dyDescent="0.25">
      <c r="A19" s="63"/>
      <c r="B19" s="49"/>
      <c r="C19" s="49"/>
      <c r="D19" s="49"/>
      <c r="E19" s="49"/>
      <c r="F19" s="49"/>
      <c r="G19" s="59"/>
    </row>
    <row r="20" spans="1:7" ht="26.15" customHeight="1" x14ac:dyDescent="0.25">
      <c r="A20" s="57" t="s">
        <v>119</v>
      </c>
      <c r="B20" s="49"/>
      <c r="C20" s="49"/>
      <c r="D20" s="49"/>
      <c r="E20" s="49"/>
      <c r="F20" s="49"/>
      <c r="G20" s="59"/>
    </row>
    <row r="21" spans="1:7" x14ac:dyDescent="0.25">
      <c r="A21" s="65"/>
      <c r="B21" s="49"/>
      <c r="C21" s="49"/>
      <c r="D21" s="49"/>
      <c r="E21" s="49"/>
      <c r="F21" s="49"/>
      <c r="G21" s="59"/>
    </row>
    <row r="22" spans="1:7" ht="26.15" customHeight="1" x14ac:dyDescent="0.25">
      <c r="A22" s="57" t="s">
        <v>19</v>
      </c>
      <c r="B22" s="49"/>
      <c r="C22" s="49"/>
      <c r="D22" s="49"/>
      <c r="E22" s="49"/>
      <c r="F22" s="49"/>
      <c r="G22" s="66"/>
    </row>
    <row r="23" spans="1:7" x14ac:dyDescent="0.25">
      <c r="A23" s="67"/>
      <c r="B23" s="49"/>
      <c r="C23" s="49"/>
      <c r="D23" s="49"/>
      <c r="E23" s="49"/>
      <c r="F23" s="49"/>
      <c r="G23" s="66"/>
    </row>
    <row r="24" spans="1:7" ht="26.15" customHeight="1" x14ac:dyDescent="0.25">
      <c r="A24" s="57" t="s">
        <v>256</v>
      </c>
      <c r="B24" s="49"/>
      <c r="C24" s="49"/>
      <c r="D24" s="49"/>
      <c r="E24" s="49"/>
      <c r="F24" s="49"/>
      <c r="G24" s="59"/>
    </row>
    <row r="25" spans="1:7" x14ac:dyDescent="0.25">
      <c r="A25" s="68"/>
      <c r="B25" s="48"/>
      <c r="C25" s="48"/>
      <c r="D25" s="48"/>
      <c r="E25" s="48"/>
      <c r="F25" s="48"/>
      <c r="G25" s="59"/>
    </row>
    <row r="26" spans="1:7" ht="26.15" customHeight="1" x14ac:dyDescent="0.25">
      <c r="A26" s="57" t="s">
        <v>379</v>
      </c>
      <c r="B26" s="49"/>
      <c r="C26" s="49"/>
      <c r="D26" s="49"/>
      <c r="E26" s="49"/>
      <c r="F26" s="49"/>
      <c r="G26" s="59"/>
    </row>
    <row r="27" spans="1:7" x14ac:dyDescent="0.25">
      <c r="A27" s="68"/>
      <c r="B27" s="48"/>
      <c r="C27" s="48"/>
      <c r="D27" s="48"/>
      <c r="E27" s="48"/>
      <c r="F27" s="48"/>
      <c r="G27" s="59"/>
    </row>
    <row r="28" spans="1:7" ht="26.15" customHeight="1" x14ac:dyDescent="0.25">
      <c r="A28" s="57" t="s">
        <v>110</v>
      </c>
      <c r="B28" s="49"/>
      <c r="C28" s="49"/>
      <c r="D28" s="49"/>
      <c r="E28" s="49"/>
      <c r="F28" s="49"/>
      <c r="G28" s="59"/>
    </row>
    <row r="29" spans="1:7" x14ac:dyDescent="0.25">
      <c r="A29" s="69"/>
      <c r="B29" s="49"/>
      <c r="C29" s="49"/>
      <c r="D29" s="49"/>
      <c r="E29" s="49"/>
      <c r="F29" s="49"/>
      <c r="G29" s="59"/>
    </row>
    <row r="30" spans="1:7" ht="13" x14ac:dyDescent="0.25">
      <c r="A30" s="57" t="s">
        <v>120</v>
      </c>
      <c r="B30" s="48"/>
      <c r="C30" s="48"/>
      <c r="D30" s="48"/>
      <c r="E30" s="48"/>
      <c r="F30" s="48"/>
      <c r="G30" s="59"/>
    </row>
    <row r="31" spans="1:7" x14ac:dyDescent="0.25">
      <c r="A31" s="70"/>
      <c r="B31" s="48"/>
      <c r="C31" s="48"/>
      <c r="D31" s="48"/>
      <c r="E31" s="48"/>
      <c r="F31" s="48"/>
      <c r="G31" s="59"/>
    </row>
    <row r="32" spans="1:7" ht="13.5" thickBot="1" x14ac:dyDescent="0.3">
      <c r="A32" s="406" t="s">
        <v>121</v>
      </c>
      <c r="B32" s="325"/>
      <c r="C32" s="325"/>
      <c r="D32" s="325"/>
      <c r="E32" s="325"/>
      <c r="F32" s="325"/>
      <c r="G32" s="326"/>
    </row>
    <row r="33" spans="1:7" x14ac:dyDescent="0.25">
      <c r="A33" s="322"/>
      <c r="B33" s="323"/>
      <c r="C33" s="323"/>
      <c r="D33" s="323"/>
      <c r="E33" s="323"/>
      <c r="F33" s="323"/>
      <c r="G33" s="324"/>
    </row>
    <row r="34" spans="1:7" ht="13" x14ac:dyDescent="0.3">
      <c r="A34" s="307" t="s">
        <v>111</v>
      </c>
      <c r="B34" s="18"/>
      <c r="C34" s="18"/>
      <c r="D34" s="18"/>
      <c r="E34" s="18"/>
      <c r="F34" s="18"/>
      <c r="G34" s="72"/>
    </row>
    <row r="35" spans="1:7" x14ac:dyDescent="0.25">
      <c r="A35" s="61"/>
      <c r="B35" s="2"/>
      <c r="C35" s="2"/>
      <c r="D35" s="2"/>
      <c r="E35" s="2"/>
      <c r="F35" s="2"/>
      <c r="G35" s="55"/>
    </row>
    <row r="36" spans="1:7" ht="13.5" thickBot="1" x14ac:dyDescent="0.3">
      <c r="A36" s="306" t="s">
        <v>0</v>
      </c>
      <c r="B36" s="74"/>
      <c r="C36" s="74"/>
      <c r="D36" s="74"/>
      <c r="E36" s="74"/>
      <c r="F36" s="74"/>
      <c r="G36" s="75"/>
    </row>
  </sheetData>
  <mergeCells count="1">
    <mergeCell ref="A6:G6"/>
  </mergeCells>
  <printOptions horizontalCentered="1"/>
  <pageMargins left="0.33" right="0.25" top="0.51" bottom="0.48" header="0" footer="0.25"/>
  <pageSetup scale="9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39"/>
  <sheetViews>
    <sheetView zoomScaleNormal="100" zoomScaleSheetLayoutView="80" workbookViewId="0"/>
  </sheetViews>
  <sheetFormatPr defaultRowHeight="12.5" x14ac:dyDescent="0.25"/>
  <cols>
    <col min="1" max="1" width="13" customWidth="1"/>
    <col min="2" max="2" width="32.54296875" customWidth="1"/>
    <col min="3" max="3" width="11.54296875" customWidth="1"/>
    <col min="4" max="5" width="19.54296875" customWidth="1"/>
    <col min="6" max="6" width="20.81640625" bestFit="1" customWidth="1"/>
  </cols>
  <sheetData>
    <row r="1" spans="1:11" ht="13" x14ac:dyDescent="0.25">
      <c r="A1" s="51" t="s">
        <v>380</v>
      </c>
      <c r="B1" s="76"/>
      <c r="C1" s="52"/>
      <c r="D1" s="52"/>
      <c r="E1" s="52"/>
      <c r="F1" s="53"/>
    </row>
    <row r="2" spans="1:11" ht="13" x14ac:dyDescent="0.25">
      <c r="A2" s="77" t="s">
        <v>9</v>
      </c>
      <c r="B2" s="17"/>
      <c r="C2" s="2"/>
      <c r="D2" s="2"/>
      <c r="E2" s="2"/>
      <c r="F2" s="55"/>
    </row>
    <row r="3" spans="1:11" ht="13" x14ac:dyDescent="0.25">
      <c r="A3" s="315" t="s">
        <v>237</v>
      </c>
      <c r="B3" s="7"/>
      <c r="C3" s="7"/>
      <c r="D3" s="7"/>
      <c r="E3" s="7"/>
      <c r="F3" s="78"/>
      <c r="G3" s="6"/>
      <c r="H3" s="6"/>
      <c r="I3" s="6"/>
      <c r="J3" s="6"/>
      <c r="K3" s="6"/>
    </row>
    <row r="4" spans="1:11" x14ac:dyDescent="0.25">
      <c r="A4" s="56"/>
      <c r="B4" s="7"/>
      <c r="C4" s="7"/>
      <c r="D4" s="7"/>
      <c r="E4" s="7"/>
      <c r="F4" s="78"/>
      <c r="G4" s="6"/>
      <c r="H4" s="6"/>
      <c r="I4" s="6"/>
      <c r="J4" s="6"/>
      <c r="K4" s="6"/>
    </row>
    <row r="5" spans="1:11" ht="13" x14ac:dyDescent="0.3">
      <c r="A5" s="77" t="s">
        <v>8</v>
      </c>
      <c r="B5" s="5"/>
      <c r="C5" s="5"/>
      <c r="D5" s="5"/>
      <c r="E5" s="5"/>
      <c r="F5" s="79"/>
    </row>
    <row r="6" spans="1:11" ht="15.5" x14ac:dyDescent="0.35">
      <c r="A6" s="333" t="s">
        <v>42</v>
      </c>
      <c r="B6" s="26"/>
      <c r="C6" s="27"/>
      <c r="D6" s="27"/>
      <c r="E6" s="27"/>
      <c r="F6" s="81"/>
    </row>
    <row r="7" spans="1:11" ht="14" x14ac:dyDescent="0.3">
      <c r="A7" s="80" t="s">
        <v>115</v>
      </c>
      <c r="B7" s="26"/>
      <c r="C7" s="25"/>
      <c r="D7" s="25"/>
      <c r="E7" s="25"/>
      <c r="F7" s="82"/>
    </row>
    <row r="8" spans="1:11" ht="13" thickBot="1" x14ac:dyDescent="0.3">
      <c r="A8" s="176"/>
      <c r="B8" s="334"/>
      <c r="C8" s="334"/>
      <c r="D8" s="334"/>
      <c r="E8" s="334"/>
      <c r="F8" s="335"/>
    </row>
    <row r="9" spans="1:11" ht="39.5" thickBot="1" x14ac:dyDescent="0.3">
      <c r="A9" s="342" t="s">
        <v>41</v>
      </c>
      <c r="B9" s="343" t="s">
        <v>92</v>
      </c>
      <c r="C9" s="331" t="s">
        <v>40</v>
      </c>
      <c r="D9" s="331" t="s">
        <v>39</v>
      </c>
      <c r="E9" s="331" t="s">
        <v>38</v>
      </c>
      <c r="F9" s="344" t="s">
        <v>37</v>
      </c>
    </row>
    <row r="10" spans="1:11" x14ac:dyDescent="0.25">
      <c r="A10" s="336"/>
      <c r="B10" s="337"/>
      <c r="C10" s="337"/>
      <c r="D10" s="337"/>
      <c r="E10" s="337"/>
      <c r="F10" s="338"/>
    </row>
    <row r="11" spans="1:11" x14ac:dyDescent="0.25">
      <c r="A11" s="83"/>
      <c r="B11" s="3"/>
      <c r="C11" s="3"/>
      <c r="D11" s="3"/>
      <c r="E11" s="3"/>
      <c r="F11" s="84"/>
    </row>
    <row r="12" spans="1:11" x14ac:dyDescent="0.25">
      <c r="A12" s="83"/>
      <c r="B12" s="3"/>
      <c r="C12" s="3"/>
      <c r="D12" s="3"/>
      <c r="E12" s="3"/>
      <c r="F12" s="84"/>
    </row>
    <row r="13" spans="1:11" x14ac:dyDescent="0.25">
      <c r="A13" s="83"/>
      <c r="B13" s="3"/>
      <c r="C13" s="3"/>
      <c r="D13" s="3"/>
      <c r="E13" s="3"/>
      <c r="F13" s="84"/>
    </row>
    <row r="14" spans="1:11" x14ac:dyDescent="0.25">
      <c r="A14" s="83"/>
      <c r="B14" s="3"/>
      <c r="C14" s="3"/>
      <c r="D14" s="3"/>
      <c r="E14" s="3"/>
      <c r="F14" s="84"/>
    </row>
    <row r="15" spans="1:11" x14ac:dyDescent="0.25">
      <c r="A15" s="83"/>
      <c r="B15" s="3"/>
      <c r="C15" s="3"/>
      <c r="D15" s="3"/>
      <c r="E15" s="3"/>
      <c r="F15" s="84"/>
    </row>
    <row r="16" spans="1:11" x14ac:dyDescent="0.25">
      <c r="A16" s="83"/>
      <c r="B16" s="3"/>
      <c r="C16" s="3"/>
      <c r="D16" s="3"/>
      <c r="E16" s="3"/>
      <c r="F16" s="84"/>
    </row>
    <row r="17" spans="1:6" x14ac:dyDescent="0.25">
      <c r="A17" s="83"/>
      <c r="B17" s="3"/>
      <c r="C17" s="3"/>
      <c r="D17" s="3"/>
      <c r="E17" s="3"/>
      <c r="F17" s="84"/>
    </row>
    <row r="18" spans="1:6" x14ac:dyDescent="0.25">
      <c r="A18" s="83"/>
      <c r="B18" s="3"/>
      <c r="C18" s="3"/>
      <c r="D18" s="3"/>
      <c r="E18" s="3"/>
      <c r="F18" s="84"/>
    </row>
    <row r="19" spans="1:6" x14ac:dyDescent="0.25">
      <c r="A19" s="83"/>
      <c r="B19" s="3"/>
      <c r="C19" s="3"/>
      <c r="D19" s="3"/>
      <c r="E19" s="3"/>
      <c r="F19" s="84"/>
    </row>
    <row r="20" spans="1:6" x14ac:dyDescent="0.25">
      <c r="A20" s="83"/>
      <c r="B20" s="3"/>
      <c r="C20" s="3"/>
      <c r="D20" s="3"/>
      <c r="E20" s="3"/>
      <c r="F20" s="84"/>
    </row>
    <row r="21" spans="1:6" x14ac:dyDescent="0.25">
      <c r="A21" s="83"/>
      <c r="B21" s="3"/>
      <c r="C21" s="3"/>
      <c r="D21" s="3"/>
      <c r="E21" s="3"/>
      <c r="F21" s="84"/>
    </row>
    <row r="22" spans="1:6" x14ac:dyDescent="0.25">
      <c r="A22" s="83"/>
      <c r="B22" s="3"/>
      <c r="C22" s="3"/>
      <c r="D22" s="3"/>
      <c r="E22" s="3"/>
      <c r="F22" s="84"/>
    </row>
    <row r="23" spans="1:6" x14ac:dyDescent="0.25">
      <c r="A23" s="83"/>
      <c r="B23" s="3"/>
      <c r="C23" s="3"/>
      <c r="D23" s="3"/>
      <c r="E23" s="3"/>
      <c r="F23" s="84"/>
    </row>
    <row r="24" spans="1:6" x14ac:dyDescent="0.25">
      <c r="A24" s="83"/>
      <c r="B24" s="3"/>
      <c r="C24" s="3"/>
      <c r="D24" s="3"/>
      <c r="E24" s="3"/>
      <c r="F24" s="84"/>
    </row>
    <row r="25" spans="1:6" x14ac:dyDescent="0.25">
      <c r="A25" s="83"/>
      <c r="B25" s="3"/>
      <c r="C25" s="3"/>
      <c r="D25" s="3"/>
      <c r="E25" s="3"/>
      <c r="F25" s="84"/>
    </row>
    <row r="26" spans="1:6" x14ac:dyDescent="0.25">
      <c r="A26" s="83"/>
      <c r="B26" s="3"/>
      <c r="C26" s="3"/>
      <c r="D26" s="3"/>
      <c r="E26" s="3"/>
      <c r="F26" s="84"/>
    </row>
    <row r="27" spans="1:6" x14ac:dyDescent="0.25">
      <c r="A27" s="83"/>
      <c r="B27" s="3"/>
      <c r="C27" s="3"/>
      <c r="D27" s="3"/>
      <c r="E27" s="3"/>
      <c r="F27" s="84"/>
    </row>
    <row r="28" spans="1:6" x14ac:dyDescent="0.25">
      <c r="A28" s="83"/>
      <c r="B28" s="3"/>
      <c r="C28" s="3"/>
      <c r="D28" s="3"/>
      <c r="E28" s="3"/>
      <c r="F28" s="84"/>
    </row>
    <row r="29" spans="1:6" x14ac:dyDescent="0.25">
      <c r="A29" s="83"/>
      <c r="B29" s="3"/>
      <c r="C29" s="3"/>
      <c r="D29" s="3"/>
      <c r="E29" s="3"/>
      <c r="F29" s="84"/>
    </row>
    <row r="30" spans="1:6" x14ac:dyDescent="0.25">
      <c r="A30" s="83"/>
      <c r="B30" s="3"/>
      <c r="C30" s="3"/>
      <c r="D30" s="3"/>
      <c r="E30" s="3"/>
      <c r="F30" s="84"/>
    </row>
    <row r="31" spans="1:6" x14ac:dyDescent="0.25">
      <c r="A31" s="83"/>
      <c r="B31" s="3"/>
      <c r="C31" s="3"/>
      <c r="D31" s="3"/>
      <c r="E31" s="3"/>
      <c r="F31" s="84"/>
    </row>
    <row r="32" spans="1:6" x14ac:dyDescent="0.25">
      <c r="A32" s="83"/>
      <c r="B32" s="3"/>
      <c r="C32" s="3"/>
      <c r="D32" s="3"/>
      <c r="E32" s="3"/>
      <c r="F32" s="84"/>
    </row>
    <row r="33" spans="1:6" x14ac:dyDescent="0.25">
      <c r="A33" s="83"/>
      <c r="B33" s="3"/>
      <c r="C33" s="3"/>
      <c r="D33" s="3"/>
      <c r="E33" s="3"/>
      <c r="F33" s="84"/>
    </row>
    <row r="34" spans="1:6" ht="13.5" thickBot="1" x14ac:dyDescent="0.35">
      <c r="A34" s="339" t="s">
        <v>36</v>
      </c>
      <c r="B34" s="340"/>
      <c r="C34" s="340"/>
      <c r="D34" s="340"/>
      <c r="E34" s="340"/>
      <c r="F34" s="286"/>
    </row>
    <row r="35" spans="1:6" x14ac:dyDescent="0.25">
      <c r="A35" s="336"/>
      <c r="B35" s="337"/>
      <c r="C35" s="337"/>
      <c r="D35" s="337"/>
      <c r="E35" s="337"/>
      <c r="F35" s="338"/>
    </row>
    <row r="36" spans="1:6" ht="13" x14ac:dyDescent="0.25">
      <c r="A36" s="307" t="s">
        <v>212</v>
      </c>
      <c r="B36" s="2"/>
      <c r="C36" s="2"/>
      <c r="D36" s="2"/>
      <c r="E36" s="2"/>
      <c r="F36" s="55"/>
    </row>
    <row r="37" spans="1:6" ht="13" x14ac:dyDescent="0.25">
      <c r="A37" s="307" t="s">
        <v>35</v>
      </c>
      <c r="B37" s="2"/>
      <c r="C37" s="2"/>
      <c r="D37" s="2"/>
      <c r="E37" s="2"/>
      <c r="F37" s="55"/>
    </row>
    <row r="38" spans="1:6" x14ac:dyDescent="0.25">
      <c r="A38" s="61"/>
      <c r="B38" s="2"/>
      <c r="C38" s="2"/>
      <c r="D38" s="2"/>
      <c r="E38" s="2"/>
      <c r="F38" s="55"/>
    </row>
    <row r="39" spans="1:6" ht="13.5" thickBot="1" x14ac:dyDescent="0.3">
      <c r="A39" s="341" t="s">
        <v>0</v>
      </c>
      <c r="B39" s="74"/>
      <c r="C39" s="74"/>
      <c r="D39" s="74"/>
      <c r="E39" s="74"/>
      <c r="F39" s="85"/>
    </row>
  </sheetData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2351"/>
  <sheetViews>
    <sheetView zoomScaleNormal="100" zoomScaleSheetLayoutView="90" workbookViewId="0"/>
  </sheetViews>
  <sheetFormatPr defaultRowHeight="12.5" x14ac:dyDescent="0.25"/>
  <cols>
    <col min="1" max="1" width="46.54296875" customWidth="1"/>
    <col min="2" max="2" width="17.81640625" bestFit="1" customWidth="1"/>
    <col min="3" max="4" width="17.81640625" customWidth="1"/>
    <col min="5" max="5" width="17.54296875" bestFit="1" customWidth="1"/>
    <col min="6" max="6" width="17.54296875" customWidth="1"/>
    <col min="7" max="7" width="16.54296875" customWidth="1"/>
    <col min="8" max="8" width="12" customWidth="1"/>
  </cols>
  <sheetData>
    <row r="1" spans="1:13" ht="13" x14ac:dyDescent="0.25">
      <c r="A1" s="51" t="s">
        <v>380</v>
      </c>
      <c r="B1" s="52"/>
      <c r="C1" s="52"/>
      <c r="D1" s="52"/>
      <c r="E1" s="52"/>
      <c r="F1" s="52"/>
      <c r="G1" s="53"/>
    </row>
    <row r="2" spans="1:13" ht="13" x14ac:dyDescent="0.3">
      <c r="A2" s="77" t="s">
        <v>9</v>
      </c>
      <c r="B2" s="2"/>
      <c r="C2" s="2"/>
      <c r="D2" s="2"/>
      <c r="E2" s="8"/>
      <c r="F2" s="8"/>
      <c r="G2" s="55"/>
    </row>
    <row r="3" spans="1:13" ht="13" x14ac:dyDescent="0.25">
      <c r="A3" s="315" t="s">
        <v>237</v>
      </c>
      <c r="B3" s="7"/>
      <c r="C3" s="7"/>
      <c r="D3" s="7"/>
      <c r="E3" s="7"/>
      <c r="F3" s="7"/>
      <c r="G3" s="78"/>
      <c r="H3" s="6"/>
      <c r="I3" s="6"/>
      <c r="J3" s="6"/>
      <c r="K3" s="6"/>
      <c r="L3" s="6"/>
      <c r="M3" s="6"/>
    </row>
    <row r="4" spans="1:13" x14ac:dyDescent="0.25">
      <c r="A4" s="56"/>
      <c r="B4" s="7"/>
      <c r="C4" s="7"/>
      <c r="D4" s="7"/>
      <c r="E4" s="7"/>
      <c r="F4" s="7"/>
      <c r="G4" s="78"/>
      <c r="H4" s="6"/>
      <c r="I4" s="6"/>
      <c r="J4" s="6"/>
      <c r="K4" s="6"/>
      <c r="L4" s="6"/>
      <c r="M4" s="6"/>
    </row>
    <row r="5" spans="1:13" ht="13" x14ac:dyDescent="0.3">
      <c r="A5" s="77" t="s">
        <v>10</v>
      </c>
      <c r="B5" s="5"/>
      <c r="C5" s="5"/>
      <c r="D5" s="5"/>
      <c r="E5" s="5"/>
      <c r="F5" s="5"/>
      <c r="G5" s="79"/>
    </row>
    <row r="6" spans="1:13" ht="15.5" x14ac:dyDescent="0.35">
      <c r="A6" s="356" t="s">
        <v>7</v>
      </c>
      <c r="B6" s="4"/>
      <c r="C6" s="4"/>
      <c r="D6" s="4"/>
      <c r="E6" s="4"/>
      <c r="F6" s="4"/>
      <c r="G6" s="86"/>
      <c r="H6" s="1"/>
    </row>
    <row r="7" spans="1:13" ht="13.5" thickBot="1" x14ac:dyDescent="0.35">
      <c r="A7" s="349"/>
      <c r="B7" s="334"/>
      <c r="C7" s="334"/>
      <c r="D7" s="334"/>
      <c r="E7" s="334"/>
      <c r="F7" s="334"/>
      <c r="G7" s="335"/>
      <c r="H7" s="1"/>
    </row>
    <row r="8" spans="1:13" ht="13" x14ac:dyDescent="0.3">
      <c r="A8" s="352"/>
      <c r="B8" s="353" t="s">
        <v>6</v>
      </c>
      <c r="C8" s="353" t="s">
        <v>113</v>
      </c>
      <c r="D8" s="353" t="s">
        <v>209</v>
      </c>
      <c r="E8" s="353" t="s">
        <v>5</v>
      </c>
      <c r="F8" s="407" t="s">
        <v>332</v>
      </c>
      <c r="G8" s="354" t="s">
        <v>4</v>
      </c>
      <c r="H8" s="1"/>
    </row>
    <row r="9" spans="1:13" ht="13.5" thickBot="1" x14ac:dyDescent="0.35">
      <c r="A9" s="285"/>
      <c r="B9" s="347" t="s">
        <v>3</v>
      </c>
      <c r="C9" s="347" t="s">
        <v>3</v>
      </c>
      <c r="D9" s="347" t="s">
        <v>210</v>
      </c>
      <c r="E9" s="347" t="s">
        <v>3</v>
      </c>
      <c r="F9" s="506" t="s">
        <v>3</v>
      </c>
      <c r="G9" s="348" t="s">
        <v>3</v>
      </c>
      <c r="H9" s="1"/>
    </row>
    <row r="10" spans="1:13" ht="13" x14ac:dyDescent="0.3">
      <c r="A10" s="87" t="s">
        <v>93</v>
      </c>
      <c r="B10" s="345"/>
      <c r="C10" s="345"/>
      <c r="D10" s="345"/>
      <c r="E10" s="345"/>
      <c r="F10" s="507"/>
      <c r="G10" s="346"/>
      <c r="H10" s="1"/>
    </row>
    <row r="11" spans="1:13" x14ac:dyDescent="0.25">
      <c r="A11" s="88" t="s">
        <v>2</v>
      </c>
      <c r="B11" s="3"/>
      <c r="C11" s="3"/>
      <c r="D11" s="3"/>
      <c r="E11" s="3"/>
      <c r="F11" s="508"/>
      <c r="G11" s="84"/>
      <c r="H11" s="1"/>
    </row>
    <row r="12" spans="1:13" ht="15" customHeight="1" x14ac:dyDescent="0.25">
      <c r="A12" s="88" t="s">
        <v>2</v>
      </c>
      <c r="B12" s="3"/>
      <c r="C12" s="3"/>
      <c r="D12" s="3"/>
      <c r="E12" s="3"/>
      <c r="F12" s="508"/>
      <c r="G12" s="84"/>
      <c r="H12" s="1"/>
    </row>
    <row r="13" spans="1:13" ht="7.5" customHeight="1" x14ac:dyDescent="0.25">
      <c r="A13" s="88"/>
      <c r="B13" s="3"/>
      <c r="C13" s="3"/>
      <c r="D13" s="3"/>
      <c r="E13" s="3"/>
      <c r="F13" s="508"/>
      <c r="G13" s="84"/>
      <c r="H13" s="1"/>
    </row>
    <row r="14" spans="1:13" ht="15" customHeight="1" x14ac:dyDescent="0.25">
      <c r="A14" s="89" t="s">
        <v>94</v>
      </c>
      <c r="B14" s="3"/>
      <c r="C14" s="3"/>
      <c r="D14" s="3"/>
      <c r="E14" s="3"/>
      <c r="F14" s="508"/>
      <c r="G14" s="84"/>
      <c r="H14" s="1"/>
    </row>
    <row r="15" spans="1:13" ht="7.5" customHeight="1" x14ac:dyDescent="0.25">
      <c r="A15" s="88"/>
      <c r="B15" s="3"/>
      <c r="C15" s="3"/>
      <c r="D15" s="3"/>
      <c r="E15" s="3"/>
      <c r="F15" s="508"/>
      <c r="G15" s="84"/>
      <c r="H15" s="1"/>
    </row>
    <row r="16" spans="1:13" ht="13" x14ac:dyDescent="0.3">
      <c r="A16" s="87" t="s">
        <v>95</v>
      </c>
      <c r="B16" s="3"/>
      <c r="C16" s="3"/>
      <c r="D16" s="3"/>
      <c r="E16" s="3"/>
      <c r="F16" s="508"/>
      <c r="G16" s="84"/>
      <c r="H16" s="1"/>
    </row>
    <row r="17" spans="1:9" x14ac:dyDescent="0.25">
      <c r="A17" s="88" t="s">
        <v>2</v>
      </c>
      <c r="B17" s="3"/>
      <c r="C17" s="3"/>
      <c r="D17" s="3"/>
      <c r="E17" s="3"/>
      <c r="F17" s="508"/>
      <c r="G17" s="84"/>
      <c r="H17" s="1"/>
      <c r="I17" s="1"/>
    </row>
    <row r="18" spans="1:9" ht="12.65" customHeight="1" x14ac:dyDescent="0.25">
      <c r="A18" s="88" t="s">
        <v>2</v>
      </c>
      <c r="B18" s="3"/>
      <c r="C18" s="3"/>
      <c r="D18" s="3"/>
      <c r="E18" s="3"/>
      <c r="F18" s="508"/>
      <c r="G18" s="84"/>
      <c r="H18" s="1"/>
      <c r="I18" s="1"/>
    </row>
    <row r="19" spans="1:9" ht="7.5" customHeight="1" x14ac:dyDescent="0.25">
      <c r="A19" s="88"/>
      <c r="B19" s="3"/>
      <c r="C19" s="3"/>
      <c r="D19" s="3"/>
      <c r="E19" s="3"/>
      <c r="F19" s="508"/>
      <c r="G19" s="84"/>
      <c r="H19" s="1"/>
      <c r="I19" s="1"/>
    </row>
    <row r="20" spans="1:9" ht="15" customHeight="1" x14ac:dyDescent="0.25">
      <c r="A20" s="89" t="s">
        <v>96</v>
      </c>
      <c r="B20" s="3"/>
      <c r="C20" s="3"/>
      <c r="D20" s="3"/>
      <c r="E20" s="3"/>
      <c r="F20" s="508"/>
      <c r="G20" s="84"/>
      <c r="H20" s="1"/>
      <c r="I20" s="1"/>
    </row>
    <row r="21" spans="1:9" ht="7.5" customHeight="1" x14ac:dyDescent="0.25">
      <c r="A21" s="88"/>
      <c r="B21" s="3"/>
      <c r="C21" s="3"/>
      <c r="D21" s="3"/>
      <c r="E21" s="3"/>
      <c r="F21" s="508"/>
      <c r="G21" s="84"/>
      <c r="H21" s="1"/>
      <c r="I21" s="1"/>
    </row>
    <row r="22" spans="1:9" ht="13" x14ac:dyDescent="0.25">
      <c r="A22" s="90" t="s">
        <v>97</v>
      </c>
      <c r="B22" s="3"/>
      <c r="C22" s="3"/>
      <c r="D22" s="3"/>
      <c r="E22" s="3"/>
      <c r="F22" s="508"/>
      <c r="G22" s="84"/>
      <c r="H22" s="1"/>
      <c r="I22" s="1"/>
    </row>
    <row r="23" spans="1:9" x14ac:dyDescent="0.25">
      <c r="A23" s="88" t="s">
        <v>2</v>
      </c>
      <c r="B23" s="3"/>
      <c r="C23" s="3"/>
      <c r="D23" s="3"/>
      <c r="E23" s="3"/>
      <c r="F23" s="508"/>
      <c r="G23" s="84"/>
      <c r="H23" s="1"/>
      <c r="I23" s="1"/>
    </row>
    <row r="24" spans="1:9" x14ac:dyDescent="0.25">
      <c r="A24" s="88" t="s">
        <v>2</v>
      </c>
      <c r="B24" s="3"/>
      <c r="C24" s="3"/>
      <c r="D24" s="3"/>
      <c r="E24" s="3"/>
      <c r="F24" s="508"/>
      <c r="G24" s="84"/>
      <c r="H24" s="1"/>
      <c r="I24" s="1"/>
    </row>
    <row r="25" spans="1:9" ht="7.5" customHeight="1" x14ac:dyDescent="0.25">
      <c r="A25" s="88"/>
      <c r="B25" s="3"/>
      <c r="C25" s="3"/>
      <c r="D25" s="3"/>
      <c r="E25" s="3"/>
      <c r="F25" s="508"/>
      <c r="G25" s="84"/>
      <c r="H25" s="1"/>
      <c r="I25" s="1"/>
    </row>
    <row r="26" spans="1:9" ht="15" customHeight="1" x14ac:dyDescent="0.25">
      <c r="A26" s="89" t="s">
        <v>98</v>
      </c>
      <c r="B26" s="3"/>
      <c r="C26" s="3"/>
      <c r="D26" s="3"/>
      <c r="E26" s="3"/>
      <c r="F26" s="508"/>
      <c r="G26" s="84"/>
      <c r="H26" s="1"/>
      <c r="I26" s="1"/>
    </row>
    <row r="27" spans="1:9" ht="6" customHeight="1" x14ac:dyDescent="0.25">
      <c r="A27" s="88"/>
      <c r="B27" s="3"/>
      <c r="C27" s="3"/>
      <c r="D27" s="3"/>
      <c r="E27" s="3"/>
      <c r="F27" s="508"/>
      <c r="G27" s="84"/>
      <c r="H27" s="1"/>
      <c r="I27" s="1"/>
    </row>
    <row r="28" spans="1:9" ht="13" x14ac:dyDescent="0.25">
      <c r="A28" s="90" t="s">
        <v>99</v>
      </c>
      <c r="B28" s="3"/>
      <c r="C28" s="3"/>
      <c r="D28" s="3"/>
      <c r="E28" s="3"/>
      <c r="F28" s="508"/>
      <c r="G28" s="84"/>
      <c r="H28" s="1"/>
      <c r="I28" s="1"/>
    </row>
    <row r="29" spans="1:9" x14ac:dyDescent="0.25">
      <c r="A29" s="88" t="s">
        <v>2</v>
      </c>
      <c r="B29" s="3"/>
      <c r="C29" s="3"/>
      <c r="D29" s="3"/>
      <c r="E29" s="3"/>
      <c r="F29" s="508"/>
      <c r="G29" s="84"/>
      <c r="H29" s="1"/>
      <c r="I29" s="1"/>
    </row>
    <row r="30" spans="1:9" x14ac:dyDescent="0.25">
      <c r="A30" s="88" t="s">
        <v>2</v>
      </c>
      <c r="B30" s="3"/>
      <c r="C30" s="3"/>
      <c r="D30" s="3"/>
      <c r="E30" s="3"/>
      <c r="F30" s="508"/>
      <c r="G30" s="84"/>
      <c r="H30" s="1"/>
      <c r="I30" s="1"/>
    </row>
    <row r="31" spans="1:9" ht="7.5" customHeight="1" x14ac:dyDescent="0.25">
      <c r="A31" s="88"/>
      <c r="B31" s="3"/>
      <c r="C31" s="3"/>
      <c r="D31" s="3"/>
      <c r="E31" s="3"/>
      <c r="F31" s="508"/>
      <c r="G31" s="84"/>
      <c r="H31" s="1"/>
      <c r="I31" s="1"/>
    </row>
    <row r="32" spans="1:9" ht="15" customHeight="1" x14ac:dyDescent="0.25">
      <c r="A32" s="89" t="s">
        <v>101</v>
      </c>
      <c r="B32" s="3"/>
      <c r="C32" s="3"/>
      <c r="D32" s="3"/>
      <c r="E32" s="3"/>
      <c r="F32" s="508"/>
      <c r="G32" s="84"/>
      <c r="H32" s="1"/>
      <c r="I32" s="1"/>
    </row>
    <row r="33" spans="1:9" ht="7.5" customHeight="1" x14ac:dyDescent="0.25">
      <c r="A33" s="88"/>
      <c r="B33" s="3"/>
      <c r="C33" s="3"/>
      <c r="D33" s="3"/>
      <c r="E33" s="3"/>
      <c r="F33" s="508"/>
      <c r="G33" s="84"/>
      <c r="H33" s="1"/>
      <c r="I33" s="1"/>
    </row>
    <row r="34" spans="1:9" ht="13" x14ac:dyDescent="0.25">
      <c r="A34" s="90" t="s">
        <v>100</v>
      </c>
      <c r="B34" s="3"/>
      <c r="C34" s="3"/>
      <c r="D34" s="3"/>
      <c r="E34" s="3"/>
      <c r="F34" s="508"/>
      <c r="G34" s="84"/>
      <c r="H34" s="1"/>
      <c r="I34" s="1"/>
    </row>
    <row r="35" spans="1:9" x14ac:dyDescent="0.25">
      <c r="A35" s="88" t="s">
        <v>2</v>
      </c>
      <c r="B35" s="3"/>
      <c r="C35" s="3"/>
      <c r="D35" s="3"/>
      <c r="E35" s="3"/>
      <c r="F35" s="508"/>
      <c r="G35" s="84"/>
      <c r="H35" s="1"/>
      <c r="I35" s="1"/>
    </row>
    <row r="36" spans="1:9" x14ac:dyDescent="0.25">
      <c r="A36" s="88" t="s">
        <v>2</v>
      </c>
      <c r="B36" s="3"/>
      <c r="C36" s="3"/>
      <c r="D36" s="3"/>
      <c r="E36" s="3"/>
      <c r="F36" s="508"/>
      <c r="G36" s="84"/>
      <c r="H36" s="1"/>
      <c r="I36" s="1"/>
    </row>
    <row r="37" spans="1:9" ht="7.5" customHeight="1" x14ac:dyDescent="0.25">
      <c r="A37" s="88"/>
      <c r="B37" s="3"/>
      <c r="C37" s="3"/>
      <c r="D37" s="3"/>
      <c r="E37" s="3"/>
      <c r="F37" s="508"/>
      <c r="G37" s="84"/>
      <c r="H37" s="1"/>
      <c r="I37" s="1"/>
    </row>
    <row r="38" spans="1:9" ht="15" customHeight="1" x14ac:dyDescent="0.25">
      <c r="A38" s="89" t="s">
        <v>102</v>
      </c>
      <c r="B38" s="3"/>
      <c r="C38" s="3"/>
      <c r="D38" s="3"/>
      <c r="E38" s="3"/>
      <c r="F38" s="508"/>
      <c r="G38" s="84"/>
      <c r="H38" s="1"/>
      <c r="I38" s="1"/>
    </row>
    <row r="39" spans="1:9" ht="7.5" customHeight="1" x14ac:dyDescent="0.25">
      <c r="A39" s="91"/>
      <c r="B39" s="3"/>
      <c r="C39" s="3"/>
      <c r="D39" s="3"/>
      <c r="E39" s="3"/>
      <c r="F39" s="508"/>
      <c r="G39" s="84"/>
      <c r="H39" s="1"/>
      <c r="I39" s="1"/>
    </row>
    <row r="40" spans="1:9" ht="13.4" customHeight="1" x14ac:dyDescent="0.25">
      <c r="A40" s="90" t="s">
        <v>103</v>
      </c>
      <c r="B40" s="3"/>
      <c r="C40" s="3"/>
      <c r="D40" s="3"/>
      <c r="E40" s="3"/>
      <c r="F40" s="508"/>
      <c r="G40" s="84"/>
      <c r="H40" s="1"/>
      <c r="I40" s="1"/>
    </row>
    <row r="41" spans="1:9" ht="13.4" customHeight="1" x14ac:dyDescent="0.25">
      <c r="A41" s="88" t="s">
        <v>2</v>
      </c>
      <c r="B41" s="3"/>
      <c r="C41" s="3"/>
      <c r="D41" s="3"/>
      <c r="E41" s="3"/>
      <c r="F41" s="508"/>
      <c r="G41" s="84"/>
      <c r="H41" s="1"/>
      <c r="I41" s="1"/>
    </row>
    <row r="42" spans="1:9" ht="13.4" customHeight="1" x14ac:dyDescent="0.25">
      <c r="A42" s="88" t="s">
        <v>2</v>
      </c>
      <c r="B42" s="3"/>
      <c r="C42" s="3"/>
      <c r="D42" s="3"/>
      <c r="E42" s="3"/>
      <c r="F42" s="508"/>
      <c r="G42" s="84"/>
      <c r="H42" s="1"/>
      <c r="I42" s="1"/>
    </row>
    <row r="43" spans="1:9" ht="7.5" customHeight="1" x14ac:dyDescent="0.25">
      <c r="A43" s="91"/>
      <c r="B43" s="3"/>
      <c r="C43" s="3"/>
      <c r="D43" s="3"/>
      <c r="E43" s="3"/>
      <c r="F43" s="508"/>
      <c r="G43" s="84"/>
      <c r="H43" s="1"/>
      <c r="I43" s="1"/>
    </row>
    <row r="44" spans="1:9" ht="15" customHeight="1" x14ac:dyDescent="0.25">
      <c r="A44" s="89" t="s">
        <v>104</v>
      </c>
      <c r="B44" s="3"/>
      <c r="C44" s="3"/>
      <c r="D44" s="3"/>
      <c r="E44" s="3"/>
      <c r="F44" s="508"/>
      <c r="G44" s="84"/>
      <c r="H44" s="1"/>
      <c r="I44" s="1"/>
    </row>
    <row r="45" spans="1:9" ht="7.5" customHeight="1" x14ac:dyDescent="0.25">
      <c r="A45" s="91"/>
      <c r="B45" s="3"/>
      <c r="C45" s="3"/>
      <c r="D45" s="3"/>
      <c r="E45" s="3"/>
      <c r="F45" s="508"/>
      <c r="G45" s="84"/>
      <c r="H45" s="1"/>
      <c r="I45" s="1"/>
    </row>
    <row r="46" spans="1:9" ht="26.5" thickBot="1" x14ac:dyDescent="0.3">
      <c r="A46" s="355" t="s">
        <v>1</v>
      </c>
      <c r="B46" s="340"/>
      <c r="C46" s="340"/>
      <c r="D46" s="340"/>
      <c r="E46" s="340"/>
      <c r="F46" s="509"/>
      <c r="G46" s="286"/>
      <c r="H46" s="1"/>
      <c r="I46" s="1"/>
    </row>
    <row r="47" spans="1:9" ht="13" x14ac:dyDescent="0.3">
      <c r="A47" s="350"/>
      <c r="B47" s="323"/>
      <c r="C47" s="323"/>
      <c r="D47" s="323"/>
      <c r="E47" s="323"/>
      <c r="F47" s="323"/>
      <c r="G47" s="351"/>
      <c r="H47" s="1"/>
      <c r="I47" s="1"/>
    </row>
    <row r="48" spans="1:9" ht="13" x14ac:dyDescent="0.25">
      <c r="A48" s="307" t="s">
        <v>240</v>
      </c>
      <c r="B48" s="2"/>
      <c r="C48" s="2"/>
      <c r="D48" s="2"/>
      <c r="E48" s="2"/>
      <c r="F48" s="2"/>
      <c r="G48" s="55"/>
      <c r="H48" s="1"/>
      <c r="I48" s="1"/>
    </row>
    <row r="49" spans="1:9" ht="13" x14ac:dyDescent="0.25">
      <c r="A49" s="357" t="s">
        <v>241</v>
      </c>
      <c r="B49" s="2"/>
      <c r="C49" s="2"/>
      <c r="D49" s="2"/>
      <c r="E49" s="2"/>
      <c r="F49" s="2"/>
      <c r="G49" s="55"/>
      <c r="H49" s="1"/>
      <c r="I49" s="1"/>
    </row>
    <row r="50" spans="1:9" ht="15" customHeight="1" x14ac:dyDescent="0.25">
      <c r="A50" s="307" t="s">
        <v>242</v>
      </c>
      <c r="B50" s="2"/>
      <c r="C50" s="2"/>
      <c r="D50" s="2"/>
      <c r="E50" s="2"/>
      <c r="F50" s="2"/>
      <c r="G50" s="55"/>
      <c r="H50" s="1"/>
      <c r="I50" s="1"/>
    </row>
    <row r="51" spans="1:9" x14ac:dyDescent="0.25">
      <c r="A51" s="71"/>
      <c r="B51" s="2"/>
      <c r="C51" s="2"/>
      <c r="D51" s="2"/>
      <c r="E51" s="2"/>
      <c r="F51" s="2"/>
      <c r="G51" s="55"/>
      <c r="H51" s="1"/>
      <c r="I51" s="1"/>
    </row>
    <row r="52" spans="1:9" ht="13.5" thickBot="1" x14ac:dyDescent="0.3">
      <c r="A52" s="306" t="s">
        <v>0</v>
      </c>
      <c r="B52" s="74"/>
      <c r="C52" s="74"/>
      <c r="D52" s="74"/>
      <c r="E52" s="74"/>
      <c r="F52" s="74"/>
      <c r="G52" s="85"/>
      <c r="H52" s="1"/>
      <c r="I52" s="1"/>
    </row>
    <row r="53" spans="1:9" x14ac:dyDescent="0.25">
      <c r="H53" s="1"/>
      <c r="I53" s="1"/>
    </row>
    <row r="54" spans="1:9" x14ac:dyDescent="0.25">
      <c r="H54" s="1"/>
      <c r="I54" s="1"/>
    </row>
    <row r="55" spans="1:9" x14ac:dyDescent="0.25">
      <c r="H55" s="1"/>
      <c r="I55" s="1"/>
    </row>
    <row r="56" spans="1:9" x14ac:dyDescent="0.25">
      <c r="H56" s="1"/>
      <c r="I56" s="1"/>
    </row>
    <row r="57" spans="1:9" x14ac:dyDescent="0.25">
      <c r="H57" s="1"/>
      <c r="I57" s="1"/>
    </row>
    <row r="58" spans="1:9" x14ac:dyDescent="0.25">
      <c r="H58" s="1"/>
      <c r="I58" s="1"/>
    </row>
    <row r="59" spans="1:9" x14ac:dyDescent="0.25">
      <c r="H59" s="1"/>
      <c r="I59" s="1"/>
    </row>
    <row r="60" spans="1:9" x14ac:dyDescent="0.25">
      <c r="H60" s="1"/>
      <c r="I60" s="1"/>
    </row>
    <row r="61" spans="1:9" x14ac:dyDescent="0.25">
      <c r="H61" s="1"/>
      <c r="I61" s="1"/>
    </row>
    <row r="62" spans="1:9" x14ac:dyDescent="0.25">
      <c r="H62" s="1"/>
      <c r="I62" s="1"/>
    </row>
    <row r="63" spans="1:9" x14ac:dyDescent="0.25">
      <c r="H63" s="1"/>
      <c r="I63" s="1"/>
    </row>
    <row r="64" spans="1:9" x14ac:dyDescent="0.25">
      <c r="H64" s="1"/>
      <c r="I64" s="1"/>
    </row>
    <row r="65" spans="8:9" x14ac:dyDescent="0.25">
      <c r="H65" s="1"/>
      <c r="I65" s="1"/>
    </row>
    <row r="66" spans="8:9" x14ac:dyDescent="0.25">
      <c r="H66" s="1"/>
      <c r="I66" s="1"/>
    </row>
    <row r="67" spans="8:9" x14ac:dyDescent="0.25">
      <c r="H67" s="1"/>
      <c r="I67" s="1"/>
    </row>
    <row r="68" spans="8:9" x14ac:dyDescent="0.25">
      <c r="H68" s="1"/>
      <c r="I68" s="1"/>
    </row>
    <row r="69" spans="8:9" x14ac:dyDescent="0.25">
      <c r="H69" s="1"/>
      <c r="I69" s="1"/>
    </row>
    <row r="70" spans="8:9" x14ac:dyDescent="0.25">
      <c r="H70" s="1"/>
      <c r="I70" s="1"/>
    </row>
    <row r="71" spans="8:9" x14ac:dyDescent="0.25">
      <c r="H71" s="1"/>
      <c r="I71" s="1"/>
    </row>
    <row r="72" spans="8:9" x14ac:dyDescent="0.25">
      <c r="H72" s="1"/>
      <c r="I72" s="1"/>
    </row>
    <row r="73" spans="8:9" x14ac:dyDescent="0.25">
      <c r="H73" s="1"/>
      <c r="I73" s="1"/>
    </row>
    <row r="74" spans="8:9" x14ac:dyDescent="0.25">
      <c r="H74" s="1"/>
      <c r="I74" s="1"/>
    </row>
    <row r="75" spans="8:9" x14ac:dyDescent="0.25">
      <c r="H75" s="1"/>
      <c r="I75" s="1"/>
    </row>
    <row r="76" spans="8:9" x14ac:dyDescent="0.25">
      <c r="H76" s="1"/>
      <c r="I76" s="1"/>
    </row>
    <row r="77" spans="8:9" x14ac:dyDescent="0.25">
      <c r="H77" s="1"/>
      <c r="I77" s="1"/>
    </row>
    <row r="78" spans="8:9" x14ac:dyDescent="0.25">
      <c r="H78" s="1"/>
      <c r="I78" s="1"/>
    </row>
    <row r="79" spans="8:9" x14ac:dyDescent="0.25">
      <c r="H79" s="1"/>
      <c r="I79" s="1"/>
    </row>
    <row r="80" spans="8:9" x14ac:dyDescent="0.25">
      <c r="H80" s="1"/>
      <c r="I80" s="1"/>
    </row>
    <row r="81" spans="8:9" x14ac:dyDescent="0.25">
      <c r="H81" s="1"/>
      <c r="I81" s="1"/>
    </row>
    <row r="82" spans="8:9" x14ac:dyDescent="0.25">
      <c r="H82" s="1"/>
      <c r="I82" s="1"/>
    </row>
    <row r="83" spans="8:9" x14ac:dyDescent="0.25">
      <c r="H83" s="1"/>
      <c r="I83" s="1"/>
    </row>
    <row r="84" spans="8:9" x14ac:dyDescent="0.25">
      <c r="H84" s="1"/>
      <c r="I84" s="1"/>
    </row>
    <row r="85" spans="8:9" x14ac:dyDescent="0.25">
      <c r="H85" s="1"/>
      <c r="I85" s="1"/>
    </row>
    <row r="86" spans="8:9" x14ac:dyDescent="0.25">
      <c r="H86" s="1"/>
      <c r="I86" s="1"/>
    </row>
    <row r="87" spans="8:9" x14ac:dyDescent="0.25">
      <c r="H87" s="1"/>
      <c r="I87" s="1"/>
    </row>
    <row r="88" spans="8:9" x14ac:dyDescent="0.25">
      <c r="H88" s="1"/>
      <c r="I88" s="1"/>
    </row>
    <row r="89" spans="8:9" x14ac:dyDescent="0.25">
      <c r="H89" s="1"/>
      <c r="I89" s="1"/>
    </row>
    <row r="90" spans="8:9" x14ac:dyDescent="0.25">
      <c r="H90" s="1"/>
      <c r="I90" s="1"/>
    </row>
    <row r="91" spans="8:9" x14ac:dyDescent="0.25">
      <c r="H91" s="1"/>
      <c r="I91" s="1"/>
    </row>
    <row r="92" spans="8:9" x14ac:dyDescent="0.25">
      <c r="H92" s="1"/>
      <c r="I92" s="1"/>
    </row>
    <row r="93" spans="8:9" x14ac:dyDescent="0.25">
      <c r="H93" s="1"/>
      <c r="I93" s="1"/>
    </row>
    <row r="94" spans="8:9" x14ac:dyDescent="0.25">
      <c r="H94" s="1"/>
      <c r="I94" s="1"/>
    </row>
    <row r="95" spans="8:9" x14ac:dyDescent="0.25">
      <c r="H95" s="1"/>
      <c r="I95" s="1"/>
    </row>
    <row r="96" spans="8:9" x14ac:dyDescent="0.25">
      <c r="H96" s="1"/>
      <c r="I96" s="1"/>
    </row>
    <row r="97" spans="8:9" x14ac:dyDescent="0.25">
      <c r="H97" s="1"/>
      <c r="I97" s="1"/>
    </row>
    <row r="98" spans="8:9" x14ac:dyDescent="0.25">
      <c r="H98" s="1"/>
      <c r="I98" s="1"/>
    </row>
    <row r="99" spans="8:9" x14ac:dyDescent="0.25">
      <c r="H99" s="1"/>
      <c r="I99" s="1"/>
    </row>
    <row r="100" spans="8:9" x14ac:dyDescent="0.25">
      <c r="H100" s="1"/>
      <c r="I100" s="1"/>
    </row>
    <row r="101" spans="8:9" x14ac:dyDescent="0.25">
      <c r="H101" s="1"/>
      <c r="I101" s="1"/>
    </row>
    <row r="102" spans="8:9" x14ac:dyDescent="0.25">
      <c r="H102" s="1"/>
      <c r="I102" s="1"/>
    </row>
    <row r="103" spans="8:9" x14ac:dyDescent="0.25">
      <c r="H103" s="1"/>
      <c r="I103" s="1"/>
    </row>
    <row r="104" spans="8:9" x14ac:dyDescent="0.25">
      <c r="H104" s="1"/>
      <c r="I104" s="1"/>
    </row>
    <row r="105" spans="8:9" x14ac:dyDescent="0.25">
      <c r="H105" s="1"/>
      <c r="I105" s="1"/>
    </row>
    <row r="106" spans="8:9" x14ac:dyDescent="0.25">
      <c r="H106" s="1"/>
      <c r="I106" s="1"/>
    </row>
    <row r="107" spans="8:9" x14ac:dyDescent="0.25">
      <c r="H107" s="1"/>
      <c r="I107" s="1"/>
    </row>
    <row r="108" spans="8:9" x14ac:dyDescent="0.25">
      <c r="H108" s="1"/>
      <c r="I108" s="1"/>
    </row>
    <row r="109" spans="8:9" x14ac:dyDescent="0.25">
      <c r="H109" s="1"/>
      <c r="I109" s="1"/>
    </row>
    <row r="110" spans="8:9" x14ac:dyDescent="0.25">
      <c r="H110" s="1"/>
      <c r="I110" s="1"/>
    </row>
    <row r="111" spans="8:9" x14ac:dyDescent="0.25">
      <c r="H111" s="1"/>
      <c r="I111" s="1"/>
    </row>
    <row r="112" spans="8:9" x14ac:dyDescent="0.25">
      <c r="H112" s="1"/>
      <c r="I112" s="1"/>
    </row>
    <row r="113" spans="8:9" x14ac:dyDescent="0.25">
      <c r="H113" s="1"/>
      <c r="I113" s="1"/>
    </row>
    <row r="114" spans="8:9" x14ac:dyDescent="0.25">
      <c r="H114" s="1"/>
      <c r="I114" s="1"/>
    </row>
    <row r="115" spans="8:9" x14ac:dyDescent="0.25">
      <c r="H115" s="1"/>
      <c r="I115" s="1"/>
    </row>
    <row r="116" spans="8:9" x14ac:dyDescent="0.25">
      <c r="H116" s="1"/>
      <c r="I116" s="1"/>
    </row>
    <row r="117" spans="8:9" x14ac:dyDescent="0.25">
      <c r="H117" s="1"/>
      <c r="I117" s="1"/>
    </row>
    <row r="118" spans="8:9" x14ac:dyDescent="0.25">
      <c r="H118" s="1"/>
      <c r="I118" s="1"/>
    </row>
    <row r="119" spans="8:9" x14ac:dyDescent="0.25">
      <c r="H119" s="1"/>
      <c r="I119" s="1"/>
    </row>
    <row r="120" spans="8:9" x14ac:dyDescent="0.25">
      <c r="H120" s="1"/>
      <c r="I120" s="1"/>
    </row>
    <row r="121" spans="8:9" x14ac:dyDescent="0.25">
      <c r="H121" s="1"/>
      <c r="I121" s="1"/>
    </row>
    <row r="122" spans="8:9" x14ac:dyDescent="0.25">
      <c r="H122" s="1"/>
      <c r="I122" s="1"/>
    </row>
    <row r="123" spans="8:9" x14ac:dyDescent="0.25">
      <c r="H123" s="1"/>
      <c r="I123" s="1"/>
    </row>
    <row r="124" spans="8:9" x14ac:dyDescent="0.25">
      <c r="H124" s="1"/>
      <c r="I124" s="1"/>
    </row>
    <row r="125" spans="8:9" x14ac:dyDescent="0.25">
      <c r="H125" s="1"/>
      <c r="I125" s="1"/>
    </row>
    <row r="126" spans="8:9" x14ac:dyDescent="0.25">
      <c r="H126" s="1"/>
      <c r="I126" s="1"/>
    </row>
    <row r="127" spans="8:9" x14ac:dyDescent="0.25">
      <c r="H127" s="1"/>
      <c r="I127" s="1"/>
    </row>
    <row r="128" spans="8:9" x14ac:dyDescent="0.25">
      <c r="H128" s="1"/>
      <c r="I128" s="1"/>
    </row>
    <row r="129" spans="8:9" x14ac:dyDescent="0.25">
      <c r="H129" s="1"/>
      <c r="I129" s="1"/>
    </row>
    <row r="130" spans="8:9" x14ac:dyDescent="0.25">
      <c r="H130" s="1"/>
      <c r="I130" s="1"/>
    </row>
    <row r="131" spans="8:9" x14ac:dyDescent="0.25">
      <c r="H131" s="1"/>
      <c r="I131" s="1"/>
    </row>
    <row r="132" spans="8:9" x14ac:dyDescent="0.25">
      <c r="H132" s="1"/>
      <c r="I132" s="1"/>
    </row>
    <row r="133" spans="8:9" x14ac:dyDescent="0.25">
      <c r="H133" s="1"/>
      <c r="I133" s="1"/>
    </row>
    <row r="134" spans="8:9" x14ac:dyDescent="0.25">
      <c r="H134" s="1"/>
      <c r="I134" s="1"/>
    </row>
    <row r="135" spans="8:9" x14ac:dyDescent="0.25">
      <c r="H135" s="1"/>
      <c r="I135" s="1"/>
    </row>
    <row r="136" spans="8:9" x14ac:dyDescent="0.25">
      <c r="H136" s="1"/>
      <c r="I136" s="1"/>
    </row>
    <row r="137" spans="8:9" x14ac:dyDescent="0.25">
      <c r="H137" s="1"/>
      <c r="I137" s="1"/>
    </row>
    <row r="138" spans="8:9" x14ac:dyDescent="0.25">
      <c r="H138" s="1"/>
      <c r="I138" s="1"/>
    </row>
    <row r="139" spans="8:9" x14ac:dyDescent="0.25">
      <c r="H139" s="1"/>
      <c r="I139" s="1"/>
    </row>
    <row r="140" spans="8:9" x14ac:dyDescent="0.25">
      <c r="H140" s="1"/>
      <c r="I140" s="1"/>
    </row>
    <row r="141" spans="8:9" x14ac:dyDescent="0.25">
      <c r="H141" s="1"/>
      <c r="I141" s="1"/>
    </row>
    <row r="142" spans="8:9" x14ac:dyDescent="0.25">
      <c r="H142" s="1"/>
      <c r="I142" s="1"/>
    </row>
    <row r="143" spans="8:9" x14ac:dyDescent="0.25">
      <c r="H143" s="1"/>
      <c r="I143" s="1"/>
    </row>
    <row r="144" spans="8:9" x14ac:dyDescent="0.25">
      <c r="H144" s="1"/>
      <c r="I144" s="1"/>
    </row>
    <row r="145" spans="8:9" x14ac:dyDescent="0.25">
      <c r="H145" s="1"/>
      <c r="I145" s="1"/>
    </row>
    <row r="146" spans="8:9" x14ac:dyDescent="0.25">
      <c r="H146" s="1"/>
      <c r="I146" s="1"/>
    </row>
    <row r="147" spans="8:9" x14ac:dyDescent="0.25">
      <c r="H147" s="1"/>
      <c r="I147" s="1"/>
    </row>
    <row r="148" spans="8:9" x14ac:dyDescent="0.25">
      <c r="H148" s="1"/>
      <c r="I148" s="1"/>
    </row>
    <row r="149" spans="8:9" x14ac:dyDescent="0.25">
      <c r="H149" s="1"/>
      <c r="I149" s="1"/>
    </row>
    <row r="150" spans="8:9" x14ac:dyDescent="0.25">
      <c r="H150" s="1"/>
      <c r="I150" s="1"/>
    </row>
    <row r="151" spans="8:9" x14ac:dyDescent="0.25">
      <c r="H151" s="1"/>
      <c r="I151" s="1"/>
    </row>
    <row r="152" spans="8:9" x14ac:dyDescent="0.25">
      <c r="H152" s="1"/>
      <c r="I152" s="1"/>
    </row>
    <row r="153" spans="8:9" x14ac:dyDescent="0.25">
      <c r="H153" s="1"/>
      <c r="I153" s="1"/>
    </row>
    <row r="154" spans="8:9" x14ac:dyDescent="0.25">
      <c r="H154" s="1"/>
      <c r="I154" s="1"/>
    </row>
    <row r="155" spans="8:9" x14ac:dyDescent="0.25">
      <c r="H155" s="1"/>
      <c r="I155" s="1"/>
    </row>
    <row r="156" spans="8:9" x14ac:dyDescent="0.25">
      <c r="H156" s="1"/>
      <c r="I156" s="1"/>
    </row>
    <row r="157" spans="8:9" x14ac:dyDescent="0.25">
      <c r="H157" s="1"/>
      <c r="I157" s="1"/>
    </row>
    <row r="158" spans="8:9" x14ac:dyDescent="0.25">
      <c r="H158" s="1"/>
      <c r="I158" s="1"/>
    </row>
    <row r="159" spans="8:9" x14ac:dyDescent="0.25">
      <c r="H159" s="1"/>
      <c r="I159" s="1"/>
    </row>
    <row r="160" spans="8:9" x14ac:dyDescent="0.25">
      <c r="H160" s="1"/>
      <c r="I160" s="1"/>
    </row>
    <row r="161" spans="8:9" x14ac:dyDescent="0.25">
      <c r="H161" s="1"/>
      <c r="I161" s="1"/>
    </row>
    <row r="162" spans="8:9" x14ac:dyDescent="0.25">
      <c r="H162" s="1"/>
      <c r="I162" s="1"/>
    </row>
    <row r="163" spans="8:9" x14ac:dyDescent="0.25">
      <c r="H163" s="1"/>
      <c r="I163" s="1"/>
    </row>
    <row r="164" spans="8:9" x14ac:dyDescent="0.25">
      <c r="H164" s="1"/>
      <c r="I164" s="1"/>
    </row>
    <row r="165" spans="8:9" x14ac:dyDescent="0.25">
      <c r="H165" s="1"/>
      <c r="I165" s="1"/>
    </row>
    <row r="166" spans="8:9" x14ac:dyDescent="0.25">
      <c r="H166" s="1"/>
      <c r="I166" s="1"/>
    </row>
    <row r="167" spans="8:9" x14ac:dyDescent="0.25">
      <c r="H167" s="1"/>
      <c r="I167" s="1"/>
    </row>
    <row r="168" spans="8:9" x14ac:dyDescent="0.25">
      <c r="H168" s="1"/>
      <c r="I168" s="1"/>
    </row>
    <row r="169" spans="8:9" x14ac:dyDescent="0.25">
      <c r="H169" s="1"/>
      <c r="I169" s="1"/>
    </row>
    <row r="170" spans="8:9" x14ac:dyDescent="0.25">
      <c r="H170" s="1"/>
      <c r="I170" s="1"/>
    </row>
    <row r="171" spans="8:9" x14ac:dyDescent="0.25">
      <c r="H171" s="1"/>
      <c r="I171" s="1"/>
    </row>
    <row r="172" spans="8:9" x14ac:dyDescent="0.25">
      <c r="H172" s="1"/>
      <c r="I172" s="1"/>
    </row>
    <row r="173" spans="8:9" x14ac:dyDescent="0.25">
      <c r="H173" s="1"/>
      <c r="I173" s="1"/>
    </row>
    <row r="174" spans="8:9" x14ac:dyDescent="0.25">
      <c r="H174" s="1"/>
      <c r="I174" s="1"/>
    </row>
    <row r="175" spans="8:9" x14ac:dyDescent="0.25">
      <c r="H175" s="1"/>
      <c r="I175" s="1"/>
    </row>
    <row r="176" spans="8:9" x14ac:dyDescent="0.25">
      <c r="H176" s="1"/>
      <c r="I176" s="1"/>
    </row>
    <row r="177" spans="8:9" x14ac:dyDescent="0.25">
      <c r="H177" s="1"/>
      <c r="I177" s="1"/>
    </row>
    <row r="178" spans="8:9" x14ac:dyDescent="0.25">
      <c r="H178" s="1"/>
      <c r="I178" s="1"/>
    </row>
    <row r="179" spans="8:9" x14ac:dyDescent="0.25">
      <c r="H179" s="1"/>
      <c r="I179" s="1"/>
    </row>
    <row r="180" spans="8:9" x14ac:dyDescent="0.25">
      <c r="H180" s="1"/>
      <c r="I180" s="1"/>
    </row>
    <row r="181" spans="8:9" x14ac:dyDescent="0.25">
      <c r="H181" s="1"/>
      <c r="I181" s="1"/>
    </row>
    <row r="182" spans="8:9" x14ac:dyDescent="0.25">
      <c r="H182" s="1"/>
      <c r="I182" s="1"/>
    </row>
    <row r="183" spans="8:9" x14ac:dyDescent="0.25">
      <c r="H183" s="1"/>
      <c r="I183" s="1"/>
    </row>
    <row r="184" spans="8:9" x14ac:dyDescent="0.25">
      <c r="H184" s="1"/>
      <c r="I184" s="1"/>
    </row>
    <row r="185" spans="8:9" x14ac:dyDescent="0.25">
      <c r="H185" s="1"/>
      <c r="I185" s="1"/>
    </row>
    <row r="186" spans="8:9" x14ac:dyDescent="0.25">
      <c r="H186" s="1"/>
      <c r="I186" s="1"/>
    </row>
    <row r="187" spans="8:9" x14ac:dyDescent="0.25">
      <c r="H187" s="1"/>
      <c r="I187" s="1"/>
    </row>
    <row r="188" spans="8:9" x14ac:dyDescent="0.25">
      <c r="H188" s="1"/>
      <c r="I188" s="1"/>
    </row>
    <row r="189" spans="8:9" x14ac:dyDescent="0.25">
      <c r="H189" s="1"/>
      <c r="I189" s="1"/>
    </row>
    <row r="190" spans="8:9" x14ac:dyDescent="0.25">
      <c r="H190" s="1"/>
      <c r="I190" s="1"/>
    </row>
    <row r="191" spans="8:9" x14ac:dyDescent="0.25">
      <c r="H191" s="1"/>
      <c r="I191" s="1"/>
    </row>
    <row r="192" spans="8:9" x14ac:dyDescent="0.25">
      <c r="H192" s="1"/>
      <c r="I192" s="1"/>
    </row>
    <row r="193" spans="8:9" x14ac:dyDescent="0.25">
      <c r="H193" s="1"/>
      <c r="I193" s="1"/>
    </row>
    <row r="194" spans="8:9" x14ac:dyDescent="0.25">
      <c r="H194" s="1"/>
      <c r="I194" s="1"/>
    </row>
    <row r="195" spans="8:9" x14ac:dyDescent="0.25">
      <c r="H195" s="1"/>
      <c r="I195" s="1"/>
    </row>
    <row r="196" spans="8:9" x14ac:dyDescent="0.25">
      <c r="H196" s="1"/>
      <c r="I196" s="1"/>
    </row>
    <row r="197" spans="8:9" x14ac:dyDescent="0.25">
      <c r="H197" s="1"/>
      <c r="I197" s="1"/>
    </row>
    <row r="198" spans="8:9" x14ac:dyDescent="0.25">
      <c r="H198" s="1"/>
      <c r="I198" s="1"/>
    </row>
    <row r="199" spans="8:9" x14ac:dyDescent="0.25">
      <c r="H199" s="1"/>
      <c r="I199" s="1"/>
    </row>
    <row r="200" spans="8:9" x14ac:dyDescent="0.25">
      <c r="H200" s="1"/>
      <c r="I200" s="1"/>
    </row>
    <row r="201" spans="8:9" x14ac:dyDescent="0.25">
      <c r="H201" s="1"/>
      <c r="I201" s="1"/>
    </row>
    <row r="202" spans="8:9" x14ac:dyDescent="0.25">
      <c r="H202" s="1"/>
      <c r="I202" s="1"/>
    </row>
    <row r="203" spans="8:9" x14ac:dyDescent="0.25">
      <c r="H203" s="1"/>
      <c r="I203" s="1"/>
    </row>
    <row r="204" spans="8:9" x14ac:dyDescent="0.25">
      <c r="H204" s="1"/>
      <c r="I204" s="1"/>
    </row>
    <row r="205" spans="8:9" x14ac:dyDescent="0.25">
      <c r="H205" s="1"/>
      <c r="I205" s="1"/>
    </row>
    <row r="206" spans="8:9" x14ac:dyDescent="0.25">
      <c r="H206" s="1"/>
      <c r="I206" s="1"/>
    </row>
    <row r="207" spans="8:9" x14ac:dyDescent="0.25">
      <c r="H207" s="1"/>
      <c r="I207" s="1"/>
    </row>
    <row r="208" spans="8:9" x14ac:dyDescent="0.25">
      <c r="H208" s="1"/>
      <c r="I208" s="1"/>
    </row>
    <row r="209" spans="8:9" x14ac:dyDescent="0.25">
      <c r="H209" s="1"/>
      <c r="I209" s="1"/>
    </row>
    <row r="210" spans="8:9" x14ac:dyDescent="0.25">
      <c r="H210" s="1"/>
      <c r="I210" s="1"/>
    </row>
    <row r="211" spans="8:9" x14ac:dyDescent="0.25">
      <c r="H211" s="1"/>
      <c r="I211" s="1"/>
    </row>
    <row r="212" spans="8:9" x14ac:dyDescent="0.25">
      <c r="H212" s="1"/>
      <c r="I212" s="1"/>
    </row>
    <row r="213" spans="8:9" x14ac:dyDescent="0.25">
      <c r="H213" s="1"/>
      <c r="I213" s="1"/>
    </row>
    <row r="214" spans="8:9" x14ac:dyDescent="0.25">
      <c r="H214" s="1"/>
      <c r="I214" s="1"/>
    </row>
    <row r="215" spans="8:9" x14ac:dyDescent="0.25">
      <c r="H215" s="1"/>
      <c r="I215" s="1"/>
    </row>
    <row r="216" spans="8:9" x14ac:dyDescent="0.25">
      <c r="H216" s="1"/>
      <c r="I216" s="1"/>
    </row>
    <row r="217" spans="8:9" x14ac:dyDescent="0.25">
      <c r="H217" s="1"/>
      <c r="I217" s="1"/>
    </row>
    <row r="218" spans="8:9" x14ac:dyDescent="0.25">
      <c r="H218" s="1"/>
      <c r="I218" s="1"/>
    </row>
    <row r="219" spans="8:9" x14ac:dyDescent="0.25">
      <c r="H219" s="1"/>
      <c r="I219" s="1"/>
    </row>
    <row r="220" spans="8:9" x14ac:dyDescent="0.25">
      <c r="H220" s="1"/>
      <c r="I220" s="1"/>
    </row>
    <row r="221" spans="8:9" x14ac:dyDescent="0.25">
      <c r="H221" s="1"/>
      <c r="I221" s="1"/>
    </row>
    <row r="222" spans="8:9" x14ac:dyDescent="0.25">
      <c r="H222" s="1"/>
      <c r="I222" s="1"/>
    </row>
    <row r="223" spans="8:9" x14ac:dyDescent="0.25">
      <c r="H223" s="1"/>
      <c r="I223" s="1"/>
    </row>
    <row r="224" spans="8:9" x14ac:dyDescent="0.25">
      <c r="H224" s="1"/>
      <c r="I224" s="1"/>
    </row>
    <row r="225" spans="8:9" x14ac:dyDescent="0.25">
      <c r="H225" s="1"/>
      <c r="I225" s="1"/>
    </row>
    <row r="226" spans="8:9" x14ac:dyDescent="0.25">
      <c r="H226" s="1"/>
      <c r="I226" s="1"/>
    </row>
    <row r="227" spans="8:9" x14ac:dyDescent="0.25">
      <c r="H227" s="1"/>
      <c r="I227" s="1"/>
    </row>
    <row r="228" spans="8:9" x14ac:dyDescent="0.25">
      <c r="H228" s="1"/>
      <c r="I228" s="1"/>
    </row>
    <row r="229" spans="8:9" x14ac:dyDescent="0.25">
      <c r="H229" s="1"/>
      <c r="I229" s="1"/>
    </row>
    <row r="230" spans="8:9" x14ac:dyDescent="0.25">
      <c r="H230" s="1"/>
      <c r="I230" s="1"/>
    </row>
    <row r="231" spans="8:9" x14ac:dyDescent="0.25">
      <c r="H231" s="1"/>
      <c r="I231" s="1"/>
    </row>
    <row r="232" spans="8:9" x14ac:dyDescent="0.25">
      <c r="H232" s="1"/>
      <c r="I232" s="1"/>
    </row>
    <row r="233" spans="8:9" x14ac:dyDescent="0.25">
      <c r="H233" s="1"/>
      <c r="I233" s="1"/>
    </row>
    <row r="234" spans="8:9" x14ac:dyDescent="0.25">
      <c r="H234" s="1"/>
      <c r="I234" s="1"/>
    </row>
    <row r="235" spans="8:9" x14ac:dyDescent="0.25">
      <c r="H235" s="1"/>
      <c r="I235" s="1"/>
    </row>
    <row r="236" spans="8:9" x14ac:dyDescent="0.25">
      <c r="H236" s="1"/>
      <c r="I236" s="1"/>
    </row>
    <row r="237" spans="8:9" x14ac:dyDescent="0.25">
      <c r="H237" s="1"/>
      <c r="I237" s="1"/>
    </row>
    <row r="238" spans="8:9" x14ac:dyDescent="0.25">
      <c r="H238" s="1"/>
      <c r="I238" s="1"/>
    </row>
    <row r="239" spans="8:9" x14ac:dyDescent="0.25">
      <c r="H239" s="1"/>
      <c r="I239" s="1"/>
    </row>
    <row r="240" spans="8:9" x14ac:dyDescent="0.25">
      <c r="H240" s="1"/>
      <c r="I240" s="1"/>
    </row>
    <row r="241" spans="8:9" x14ac:dyDescent="0.25">
      <c r="H241" s="1"/>
      <c r="I241" s="1"/>
    </row>
    <row r="242" spans="8:9" x14ac:dyDescent="0.25">
      <c r="H242" s="1"/>
      <c r="I242" s="1"/>
    </row>
    <row r="243" spans="8:9" x14ac:dyDescent="0.25">
      <c r="H243" s="1"/>
      <c r="I243" s="1"/>
    </row>
    <row r="244" spans="8:9" x14ac:dyDescent="0.25">
      <c r="H244" s="1"/>
      <c r="I244" s="1"/>
    </row>
    <row r="245" spans="8:9" x14ac:dyDescent="0.25">
      <c r="H245" s="1"/>
    </row>
    <row r="246" spans="8:9" x14ac:dyDescent="0.25">
      <c r="H246" s="1"/>
    </row>
    <row r="247" spans="8:9" x14ac:dyDescent="0.25">
      <c r="H247" s="1"/>
    </row>
    <row r="248" spans="8:9" x14ac:dyDescent="0.25">
      <c r="H248" s="1"/>
    </row>
    <row r="249" spans="8:9" x14ac:dyDescent="0.25">
      <c r="H249" s="1"/>
    </row>
    <row r="250" spans="8:9" x14ac:dyDescent="0.25">
      <c r="H250" s="1"/>
    </row>
    <row r="251" spans="8:9" x14ac:dyDescent="0.25">
      <c r="H251" s="1"/>
    </row>
    <row r="252" spans="8:9" x14ac:dyDescent="0.25">
      <c r="H252" s="1"/>
    </row>
    <row r="253" spans="8:9" x14ac:dyDescent="0.25">
      <c r="H253" s="1"/>
    </row>
    <row r="254" spans="8:9" x14ac:dyDescent="0.25">
      <c r="H254" s="1"/>
    </row>
    <row r="255" spans="8:9" x14ac:dyDescent="0.25">
      <c r="H255" s="1"/>
    </row>
    <row r="256" spans="8:9" x14ac:dyDescent="0.25">
      <c r="H256" s="1"/>
    </row>
    <row r="257" spans="8:8" x14ac:dyDescent="0.25">
      <c r="H257" s="1"/>
    </row>
    <row r="258" spans="8:8" x14ac:dyDescent="0.25">
      <c r="H258" s="1"/>
    </row>
    <row r="259" spans="8:8" x14ac:dyDescent="0.25">
      <c r="H259" s="1"/>
    </row>
    <row r="260" spans="8:8" x14ac:dyDescent="0.25">
      <c r="H260" s="1"/>
    </row>
    <row r="261" spans="8:8" x14ac:dyDescent="0.25">
      <c r="H261" s="1"/>
    </row>
    <row r="262" spans="8:8" x14ac:dyDescent="0.25">
      <c r="H262" s="1"/>
    </row>
    <row r="263" spans="8:8" x14ac:dyDescent="0.25">
      <c r="H263" s="1"/>
    </row>
    <row r="264" spans="8:8" x14ac:dyDescent="0.25">
      <c r="H264" s="1"/>
    </row>
    <row r="265" spans="8:8" x14ac:dyDescent="0.25">
      <c r="H265" s="1"/>
    </row>
    <row r="266" spans="8:8" x14ac:dyDescent="0.25">
      <c r="H266" s="1"/>
    </row>
    <row r="267" spans="8:8" x14ac:dyDescent="0.25">
      <c r="H267" s="1"/>
    </row>
    <row r="268" spans="8:8" x14ac:dyDescent="0.25">
      <c r="H268" s="1"/>
    </row>
    <row r="269" spans="8:8" x14ac:dyDescent="0.25">
      <c r="H269" s="1"/>
    </row>
    <row r="270" spans="8:8" x14ac:dyDescent="0.25">
      <c r="H270" s="1"/>
    </row>
    <row r="271" spans="8:8" x14ac:dyDescent="0.25">
      <c r="H271" s="1"/>
    </row>
    <row r="272" spans="8:8" x14ac:dyDescent="0.25">
      <c r="H272" s="1"/>
    </row>
    <row r="273" spans="8:8" x14ac:dyDescent="0.25">
      <c r="H273" s="1"/>
    </row>
    <row r="274" spans="8:8" x14ac:dyDescent="0.25">
      <c r="H274" s="1"/>
    </row>
    <row r="275" spans="8:8" x14ac:dyDescent="0.25">
      <c r="H275" s="1"/>
    </row>
    <row r="276" spans="8:8" x14ac:dyDescent="0.25">
      <c r="H276" s="1"/>
    </row>
    <row r="277" spans="8:8" x14ac:dyDescent="0.25">
      <c r="H277" s="1"/>
    </row>
    <row r="278" spans="8:8" x14ac:dyDescent="0.25">
      <c r="H278" s="1"/>
    </row>
    <row r="279" spans="8:8" x14ac:dyDescent="0.25">
      <c r="H279" s="1"/>
    </row>
    <row r="280" spans="8:8" x14ac:dyDescent="0.25">
      <c r="H280" s="1"/>
    </row>
    <row r="281" spans="8:8" x14ac:dyDescent="0.25">
      <c r="H281" s="1"/>
    </row>
    <row r="282" spans="8:8" x14ac:dyDescent="0.25">
      <c r="H282" s="1"/>
    </row>
    <row r="283" spans="8:8" x14ac:dyDescent="0.25">
      <c r="H283" s="1"/>
    </row>
    <row r="284" spans="8:8" x14ac:dyDescent="0.25">
      <c r="H284" s="1"/>
    </row>
    <row r="285" spans="8:8" x14ac:dyDescent="0.25">
      <c r="H285" s="1"/>
    </row>
    <row r="286" spans="8:8" x14ac:dyDescent="0.25">
      <c r="H286" s="1"/>
    </row>
    <row r="287" spans="8:8" x14ac:dyDescent="0.25">
      <c r="H287" s="1"/>
    </row>
    <row r="288" spans="8:8" x14ac:dyDescent="0.25">
      <c r="H288" s="1"/>
    </row>
    <row r="289" spans="8:8" x14ac:dyDescent="0.25">
      <c r="H289" s="1"/>
    </row>
    <row r="290" spans="8:8" x14ac:dyDescent="0.25">
      <c r="H290" s="1"/>
    </row>
    <row r="291" spans="8:8" x14ac:dyDescent="0.25">
      <c r="H291" s="1"/>
    </row>
    <row r="292" spans="8:8" x14ac:dyDescent="0.25">
      <c r="H292" s="1"/>
    </row>
    <row r="293" spans="8:8" x14ac:dyDescent="0.25">
      <c r="H293" s="1"/>
    </row>
    <row r="294" spans="8:8" x14ac:dyDescent="0.25">
      <c r="H294" s="1"/>
    </row>
    <row r="295" spans="8:8" x14ac:dyDescent="0.25">
      <c r="H295" s="1"/>
    </row>
    <row r="296" spans="8:8" x14ac:dyDescent="0.25">
      <c r="H296" s="1"/>
    </row>
    <row r="297" spans="8:8" x14ac:dyDescent="0.25">
      <c r="H297" s="1"/>
    </row>
    <row r="298" spans="8:8" x14ac:dyDescent="0.25">
      <c r="H298" s="1"/>
    </row>
    <row r="299" spans="8:8" x14ac:dyDescent="0.25">
      <c r="H299" s="1"/>
    </row>
    <row r="300" spans="8:8" x14ac:dyDescent="0.25">
      <c r="H300" s="1"/>
    </row>
    <row r="301" spans="8:8" x14ac:dyDescent="0.25">
      <c r="H301" s="1"/>
    </row>
    <row r="302" spans="8:8" x14ac:dyDescent="0.25">
      <c r="H302" s="1"/>
    </row>
    <row r="303" spans="8:8" x14ac:dyDescent="0.25">
      <c r="H303" s="1"/>
    </row>
    <row r="304" spans="8:8" x14ac:dyDescent="0.25">
      <c r="H304" s="1"/>
    </row>
    <row r="305" spans="8:8" x14ac:dyDescent="0.25">
      <c r="H305" s="1"/>
    </row>
    <row r="306" spans="8:8" x14ac:dyDescent="0.25">
      <c r="H306" s="1"/>
    </row>
    <row r="307" spans="8:8" x14ac:dyDescent="0.25">
      <c r="H307" s="1"/>
    </row>
    <row r="308" spans="8:8" x14ac:dyDescent="0.25">
      <c r="H308" s="1"/>
    </row>
    <row r="309" spans="8:8" x14ac:dyDescent="0.25">
      <c r="H309" s="1"/>
    </row>
    <row r="310" spans="8:8" x14ac:dyDescent="0.25">
      <c r="H310" s="1"/>
    </row>
    <row r="311" spans="8:8" x14ac:dyDescent="0.25">
      <c r="H311" s="1"/>
    </row>
    <row r="312" spans="8:8" x14ac:dyDescent="0.25">
      <c r="H312" s="1"/>
    </row>
    <row r="313" spans="8:8" x14ac:dyDescent="0.25">
      <c r="H313" s="1"/>
    </row>
    <row r="314" spans="8:8" x14ac:dyDescent="0.25">
      <c r="H314" s="1"/>
    </row>
    <row r="315" spans="8:8" x14ac:dyDescent="0.25">
      <c r="H315" s="1"/>
    </row>
    <row r="316" spans="8:8" x14ac:dyDescent="0.25">
      <c r="H316" s="1"/>
    </row>
    <row r="317" spans="8:8" x14ac:dyDescent="0.25">
      <c r="H317" s="1"/>
    </row>
    <row r="318" spans="8:8" x14ac:dyDescent="0.25">
      <c r="H318" s="1"/>
    </row>
    <row r="319" spans="8:8" x14ac:dyDescent="0.25">
      <c r="H319" s="1"/>
    </row>
    <row r="320" spans="8:8" x14ac:dyDescent="0.25">
      <c r="H320" s="1"/>
    </row>
    <row r="321" spans="8:8" x14ac:dyDescent="0.25">
      <c r="H321" s="1"/>
    </row>
    <row r="322" spans="8:8" x14ac:dyDescent="0.25">
      <c r="H322" s="1"/>
    </row>
    <row r="323" spans="8:8" x14ac:dyDescent="0.25">
      <c r="H323" s="1"/>
    </row>
    <row r="324" spans="8:8" x14ac:dyDescent="0.25">
      <c r="H324" s="1"/>
    </row>
    <row r="325" spans="8:8" x14ac:dyDescent="0.25">
      <c r="H325" s="1"/>
    </row>
    <row r="326" spans="8:8" x14ac:dyDescent="0.25">
      <c r="H326" s="1"/>
    </row>
    <row r="327" spans="8:8" x14ac:dyDescent="0.25">
      <c r="H327" s="1"/>
    </row>
    <row r="328" spans="8:8" x14ac:dyDescent="0.25">
      <c r="H328" s="1"/>
    </row>
    <row r="329" spans="8:8" x14ac:dyDescent="0.25">
      <c r="H329" s="1"/>
    </row>
    <row r="330" spans="8:8" x14ac:dyDescent="0.25">
      <c r="H330" s="1"/>
    </row>
    <row r="331" spans="8:8" x14ac:dyDescent="0.25">
      <c r="H331" s="1"/>
    </row>
    <row r="332" spans="8:8" x14ac:dyDescent="0.25">
      <c r="H332" s="1"/>
    </row>
    <row r="333" spans="8:8" x14ac:dyDescent="0.25">
      <c r="H333" s="1"/>
    </row>
    <row r="334" spans="8:8" x14ac:dyDescent="0.25">
      <c r="H334" s="1"/>
    </row>
    <row r="335" spans="8:8" x14ac:dyDescent="0.25">
      <c r="H335" s="1"/>
    </row>
    <row r="336" spans="8:8" x14ac:dyDescent="0.25">
      <c r="H336" s="1"/>
    </row>
    <row r="337" spans="8:8" x14ac:dyDescent="0.25">
      <c r="H337" s="1"/>
    </row>
    <row r="338" spans="8:8" x14ac:dyDescent="0.25">
      <c r="H338" s="1"/>
    </row>
    <row r="339" spans="8:8" x14ac:dyDescent="0.25">
      <c r="H339" s="1"/>
    </row>
    <row r="340" spans="8:8" x14ac:dyDescent="0.25">
      <c r="H340" s="1"/>
    </row>
    <row r="341" spans="8:8" x14ac:dyDescent="0.25">
      <c r="H341" s="1"/>
    </row>
    <row r="342" spans="8:8" x14ac:dyDescent="0.25">
      <c r="H342" s="1"/>
    </row>
    <row r="343" spans="8:8" x14ac:dyDescent="0.25">
      <c r="H343" s="1"/>
    </row>
    <row r="344" spans="8:8" x14ac:dyDescent="0.25">
      <c r="H344" s="1"/>
    </row>
    <row r="345" spans="8:8" x14ac:dyDescent="0.25">
      <c r="H345" s="1"/>
    </row>
    <row r="346" spans="8:8" x14ac:dyDescent="0.25">
      <c r="H346" s="1"/>
    </row>
    <row r="347" spans="8:8" x14ac:dyDescent="0.25">
      <c r="H347" s="1"/>
    </row>
    <row r="348" spans="8:8" x14ac:dyDescent="0.25">
      <c r="H348" s="1"/>
    </row>
    <row r="349" spans="8:8" x14ac:dyDescent="0.25">
      <c r="H349" s="1"/>
    </row>
    <row r="350" spans="8:8" x14ac:dyDescent="0.25">
      <c r="H350" s="1"/>
    </row>
    <row r="351" spans="8:8" x14ac:dyDescent="0.25">
      <c r="H351" s="1"/>
    </row>
    <row r="352" spans="8:8" x14ac:dyDescent="0.25">
      <c r="H352" s="1"/>
    </row>
    <row r="353" spans="8:8" x14ac:dyDescent="0.25">
      <c r="H353" s="1"/>
    </row>
    <row r="354" spans="8:8" x14ac:dyDescent="0.25">
      <c r="H354" s="1"/>
    </row>
    <row r="355" spans="8:8" x14ac:dyDescent="0.25">
      <c r="H355" s="1"/>
    </row>
    <row r="356" spans="8:8" x14ac:dyDescent="0.25">
      <c r="H356" s="1"/>
    </row>
    <row r="357" spans="8:8" x14ac:dyDescent="0.25">
      <c r="H357" s="1"/>
    </row>
    <row r="358" spans="8:8" x14ac:dyDescent="0.25">
      <c r="H358" s="1"/>
    </row>
    <row r="359" spans="8:8" x14ac:dyDescent="0.25">
      <c r="H359" s="1"/>
    </row>
    <row r="360" spans="8:8" x14ac:dyDescent="0.25">
      <c r="H360" s="1"/>
    </row>
    <row r="361" spans="8:8" x14ac:dyDescent="0.25">
      <c r="H361" s="1"/>
    </row>
    <row r="362" spans="8:8" x14ac:dyDescent="0.25">
      <c r="H362" s="1"/>
    </row>
    <row r="363" spans="8:8" x14ac:dyDescent="0.25">
      <c r="H363" s="1"/>
    </row>
    <row r="364" spans="8:8" x14ac:dyDescent="0.25">
      <c r="H364" s="1"/>
    </row>
    <row r="365" spans="8:8" x14ac:dyDescent="0.25">
      <c r="H365" s="1"/>
    </row>
    <row r="366" spans="8:8" x14ac:dyDescent="0.25">
      <c r="H366" s="1"/>
    </row>
    <row r="367" spans="8:8" x14ac:dyDescent="0.25">
      <c r="H367" s="1"/>
    </row>
    <row r="368" spans="8:8" x14ac:dyDescent="0.25">
      <c r="H368" s="1"/>
    </row>
    <row r="369" spans="8:8" x14ac:dyDescent="0.25">
      <c r="H369" s="1"/>
    </row>
    <row r="370" spans="8:8" x14ac:dyDescent="0.25">
      <c r="H370" s="1"/>
    </row>
    <row r="371" spans="8:8" x14ac:dyDescent="0.25">
      <c r="H371" s="1"/>
    </row>
    <row r="372" spans="8:8" x14ac:dyDescent="0.25">
      <c r="H372" s="1"/>
    </row>
    <row r="373" spans="8:8" x14ac:dyDescent="0.25">
      <c r="H373" s="1"/>
    </row>
    <row r="374" spans="8:8" x14ac:dyDescent="0.25">
      <c r="H374" s="1"/>
    </row>
    <row r="375" spans="8:8" x14ac:dyDescent="0.25">
      <c r="H375" s="1"/>
    </row>
    <row r="376" spans="8:8" x14ac:dyDescent="0.25">
      <c r="H376" s="1"/>
    </row>
    <row r="377" spans="8:8" x14ac:dyDescent="0.25">
      <c r="H377" s="1"/>
    </row>
    <row r="378" spans="8:8" x14ac:dyDescent="0.25">
      <c r="H378" s="1"/>
    </row>
    <row r="379" spans="8:8" x14ac:dyDescent="0.25">
      <c r="H379" s="1"/>
    </row>
    <row r="380" spans="8:8" x14ac:dyDescent="0.25">
      <c r="H380" s="1"/>
    </row>
    <row r="381" spans="8:8" x14ac:dyDescent="0.25">
      <c r="H381" s="1"/>
    </row>
    <row r="382" spans="8:8" x14ac:dyDescent="0.25">
      <c r="H382" s="1"/>
    </row>
    <row r="383" spans="8:8" x14ac:dyDescent="0.25">
      <c r="H383" s="1"/>
    </row>
    <row r="384" spans="8:8" x14ac:dyDescent="0.25">
      <c r="H384" s="1"/>
    </row>
    <row r="385" spans="8:8" x14ac:dyDescent="0.25">
      <c r="H385" s="1"/>
    </row>
    <row r="386" spans="8:8" x14ac:dyDescent="0.25">
      <c r="H386" s="1"/>
    </row>
    <row r="387" spans="8:8" x14ac:dyDescent="0.25">
      <c r="H387" s="1"/>
    </row>
    <row r="388" spans="8:8" x14ac:dyDescent="0.25">
      <c r="H388" s="1"/>
    </row>
    <row r="389" spans="8:8" x14ac:dyDescent="0.25">
      <c r="H389" s="1"/>
    </row>
    <row r="390" spans="8:8" x14ac:dyDescent="0.25">
      <c r="H390" s="1"/>
    </row>
    <row r="391" spans="8:8" x14ac:dyDescent="0.25">
      <c r="H391" s="1"/>
    </row>
    <row r="392" spans="8:8" x14ac:dyDescent="0.25">
      <c r="H392" s="1"/>
    </row>
    <row r="393" spans="8:8" x14ac:dyDescent="0.25">
      <c r="H393" s="1"/>
    </row>
    <row r="394" spans="8:8" x14ac:dyDescent="0.25">
      <c r="H394" s="1"/>
    </row>
    <row r="395" spans="8:8" x14ac:dyDescent="0.25">
      <c r="H395" s="1"/>
    </row>
    <row r="396" spans="8:8" x14ac:dyDescent="0.25">
      <c r="H396" s="1"/>
    </row>
    <row r="397" spans="8:8" x14ac:dyDescent="0.25">
      <c r="H397" s="1"/>
    </row>
    <row r="398" spans="8:8" x14ac:dyDescent="0.25">
      <c r="H398" s="1"/>
    </row>
    <row r="399" spans="8:8" x14ac:dyDescent="0.25">
      <c r="H399" s="1"/>
    </row>
    <row r="400" spans="8:8" x14ac:dyDescent="0.25">
      <c r="H400" s="1"/>
    </row>
    <row r="401" spans="8:8" x14ac:dyDescent="0.25">
      <c r="H401" s="1"/>
    </row>
    <row r="402" spans="8:8" x14ac:dyDescent="0.25">
      <c r="H402" s="1"/>
    </row>
    <row r="403" spans="8:8" x14ac:dyDescent="0.25">
      <c r="H403" s="1"/>
    </row>
    <row r="404" spans="8:8" x14ac:dyDescent="0.25">
      <c r="H404" s="1"/>
    </row>
    <row r="405" spans="8:8" x14ac:dyDescent="0.25">
      <c r="H405" s="1"/>
    </row>
    <row r="406" spans="8:8" x14ac:dyDescent="0.25">
      <c r="H406" s="1"/>
    </row>
    <row r="407" spans="8:8" x14ac:dyDescent="0.25">
      <c r="H407" s="1"/>
    </row>
    <row r="408" spans="8:8" x14ac:dyDescent="0.25">
      <c r="H408" s="1"/>
    </row>
    <row r="409" spans="8:8" x14ac:dyDescent="0.25">
      <c r="H409" s="1"/>
    </row>
    <row r="410" spans="8:8" x14ac:dyDescent="0.25">
      <c r="H410" s="1"/>
    </row>
    <row r="411" spans="8:8" x14ac:dyDescent="0.25">
      <c r="H411" s="1"/>
    </row>
    <row r="412" spans="8:8" x14ac:dyDescent="0.25">
      <c r="H412" s="1"/>
    </row>
    <row r="413" spans="8:8" x14ac:dyDescent="0.25">
      <c r="H413" s="1"/>
    </row>
    <row r="414" spans="8:8" x14ac:dyDescent="0.25">
      <c r="H414" s="1"/>
    </row>
    <row r="415" spans="8:8" x14ac:dyDescent="0.25">
      <c r="H415" s="1"/>
    </row>
    <row r="416" spans="8:8" x14ac:dyDescent="0.25">
      <c r="H416" s="1"/>
    </row>
    <row r="417" spans="8:8" x14ac:dyDescent="0.25">
      <c r="H417" s="1"/>
    </row>
    <row r="418" spans="8:8" x14ac:dyDescent="0.25">
      <c r="H418" s="1"/>
    </row>
    <row r="419" spans="8:8" x14ac:dyDescent="0.25">
      <c r="H419" s="1"/>
    </row>
    <row r="420" spans="8:8" x14ac:dyDescent="0.25">
      <c r="H420" s="1"/>
    </row>
    <row r="421" spans="8:8" x14ac:dyDescent="0.25">
      <c r="H421" s="1"/>
    </row>
    <row r="422" spans="8:8" x14ac:dyDescent="0.25">
      <c r="H422" s="1"/>
    </row>
    <row r="423" spans="8:8" x14ac:dyDescent="0.25">
      <c r="H423" s="1"/>
    </row>
    <row r="424" spans="8:8" x14ac:dyDescent="0.25">
      <c r="H424" s="1"/>
    </row>
    <row r="425" spans="8:8" x14ac:dyDescent="0.25">
      <c r="H425" s="1"/>
    </row>
    <row r="426" spans="8:8" x14ac:dyDescent="0.25">
      <c r="H426" s="1"/>
    </row>
    <row r="427" spans="8:8" x14ac:dyDescent="0.25">
      <c r="H427" s="1"/>
    </row>
    <row r="428" spans="8:8" x14ac:dyDescent="0.25">
      <c r="H428" s="1"/>
    </row>
    <row r="429" spans="8:8" x14ac:dyDescent="0.25">
      <c r="H429" s="1"/>
    </row>
    <row r="430" spans="8:8" x14ac:dyDescent="0.25">
      <c r="H430" s="1"/>
    </row>
    <row r="431" spans="8:8" x14ac:dyDescent="0.25">
      <c r="H431" s="1"/>
    </row>
    <row r="432" spans="8:8" x14ac:dyDescent="0.25">
      <c r="H432" s="1"/>
    </row>
    <row r="433" spans="8:8" x14ac:dyDescent="0.25">
      <c r="H433" s="1"/>
    </row>
    <row r="434" spans="8:8" x14ac:dyDescent="0.25">
      <c r="H434" s="1"/>
    </row>
    <row r="435" spans="8:8" x14ac:dyDescent="0.25">
      <c r="H435" s="1"/>
    </row>
    <row r="436" spans="8:8" x14ac:dyDescent="0.25">
      <c r="H436" s="1"/>
    </row>
    <row r="437" spans="8:8" x14ac:dyDescent="0.25">
      <c r="H437" s="1"/>
    </row>
    <row r="438" spans="8:8" x14ac:dyDescent="0.25">
      <c r="H438" s="1"/>
    </row>
    <row r="439" spans="8:8" x14ac:dyDescent="0.25">
      <c r="H439" s="1"/>
    </row>
    <row r="440" spans="8:8" x14ac:dyDescent="0.25">
      <c r="H440" s="1"/>
    </row>
    <row r="441" spans="8:8" x14ac:dyDescent="0.25">
      <c r="H441" s="1"/>
    </row>
    <row r="442" spans="8:8" x14ac:dyDescent="0.25">
      <c r="H442" s="1"/>
    </row>
    <row r="443" spans="8:8" x14ac:dyDescent="0.25">
      <c r="H443" s="1"/>
    </row>
    <row r="444" spans="8:8" x14ac:dyDescent="0.25">
      <c r="H444" s="1"/>
    </row>
    <row r="445" spans="8:8" x14ac:dyDescent="0.25">
      <c r="H445" s="1"/>
    </row>
    <row r="446" spans="8:8" x14ac:dyDescent="0.25">
      <c r="H446" s="1"/>
    </row>
    <row r="447" spans="8:8" x14ac:dyDescent="0.25">
      <c r="H447" s="1"/>
    </row>
    <row r="448" spans="8:8" x14ac:dyDescent="0.25">
      <c r="H448" s="1"/>
    </row>
    <row r="449" spans="8:8" x14ac:dyDescent="0.25">
      <c r="H449" s="1"/>
    </row>
    <row r="450" spans="8:8" x14ac:dyDescent="0.25">
      <c r="H450" s="1"/>
    </row>
    <row r="451" spans="8:8" x14ac:dyDescent="0.25">
      <c r="H451" s="1"/>
    </row>
    <row r="452" spans="8:8" x14ac:dyDescent="0.25">
      <c r="H452" s="1"/>
    </row>
    <row r="453" spans="8:8" x14ac:dyDescent="0.25">
      <c r="H453" s="1"/>
    </row>
    <row r="454" spans="8:8" x14ac:dyDescent="0.25">
      <c r="H454" s="1"/>
    </row>
    <row r="455" spans="8:8" x14ac:dyDescent="0.25">
      <c r="H455" s="1"/>
    </row>
    <row r="456" spans="8:8" x14ac:dyDescent="0.25">
      <c r="H456" s="1"/>
    </row>
    <row r="457" spans="8:8" x14ac:dyDescent="0.25">
      <c r="H457" s="1"/>
    </row>
    <row r="458" spans="8:8" x14ac:dyDescent="0.25">
      <c r="H458" s="1"/>
    </row>
    <row r="459" spans="8:8" x14ac:dyDescent="0.25">
      <c r="H459" s="1"/>
    </row>
    <row r="460" spans="8:8" x14ac:dyDescent="0.25">
      <c r="H460" s="1"/>
    </row>
    <row r="461" spans="8:8" x14ac:dyDescent="0.25">
      <c r="H461" s="1"/>
    </row>
    <row r="462" spans="8:8" x14ac:dyDescent="0.25">
      <c r="H462" s="1"/>
    </row>
    <row r="463" spans="8:8" x14ac:dyDescent="0.25">
      <c r="H463" s="1"/>
    </row>
    <row r="464" spans="8:8" x14ac:dyDescent="0.25">
      <c r="H464" s="1"/>
    </row>
    <row r="465" spans="8:8" x14ac:dyDescent="0.25">
      <c r="H465" s="1"/>
    </row>
    <row r="466" spans="8:8" x14ac:dyDescent="0.25">
      <c r="H466" s="1"/>
    </row>
    <row r="467" spans="8:8" x14ac:dyDescent="0.25">
      <c r="H467" s="1"/>
    </row>
    <row r="468" spans="8:8" x14ac:dyDescent="0.25">
      <c r="H468" s="1"/>
    </row>
    <row r="469" spans="8:8" x14ac:dyDescent="0.25">
      <c r="H469" s="1"/>
    </row>
    <row r="470" spans="8:8" x14ac:dyDescent="0.25">
      <c r="H470" s="1"/>
    </row>
    <row r="471" spans="8:8" x14ac:dyDescent="0.25">
      <c r="H471" s="1"/>
    </row>
    <row r="472" spans="8:8" x14ac:dyDescent="0.25">
      <c r="H472" s="1"/>
    </row>
    <row r="473" spans="8:8" x14ac:dyDescent="0.25">
      <c r="H473" s="1"/>
    </row>
    <row r="474" spans="8:8" x14ac:dyDescent="0.25">
      <c r="H474" s="1"/>
    </row>
    <row r="475" spans="8:8" x14ac:dyDescent="0.25">
      <c r="H475" s="1"/>
    </row>
    <row r="476" spans="8:8" x14ac:dyDescent="0.25">
      <c r="H476" s="1"/>
    </row>
    <row r="477" spans="8:8" x14ac:dyDescent="0.25">
      <c r="H477" s="1"/>
    </row>
    <row r="478" spans="8:8" x14ac:dyDescent="0.25">
      <c r="H478" s="1"/>
    </row>
    <row r="479" spans="8:8" x14ac:dyDescent="0.25">
      <c r="H479" s="1"/>
    </row>
    <row r="480" spans="8:8" x14ac:dyDescent="0.25">
      <c r="H480" s="1"/>
    </row>
    <row r="481" spans="8:8" x14ac:dyDescent="0.25">
      <c r="H481" s="1"/>
    </row>
    <row r="482" spans="8:8" x14ac:dyDescent="0.25">
      <c r="H482" s="1"/>
    </row>
    <row r="483" spans="8:8" x14ac:dyDescent="0.25">
      <c r="H483" s="1"/>
    </row>
    <row r="484" spans="8:8" x14ac:dyDescent="0.25">
      <c r="H484" s="1"/>
    </row>
    <row r="485" spans="8:8" x14ac:dyDescent="0.25">
      <c r="H485" s="1"/>
    </row>
    <row r="486" spans="8:8" x14ac:dyDescent="0.25">
      <c r="H486" s="1"/>
    </row>
    <row r="487" spans="8:8" x14ac:dyDescent="0.25">
      <c r="H487" s="1"/>
    </row>
    <row r="488" spans="8:8" x14ac:dyDescent="0.25">
      <c r="H488" s="1"/>
    </row>
    <row r="489" spans="8:8" x14ac:dyDescent="0.25">
      <c r="H489" s="1"/>
    </row>
    <row r="490" spans="8:8" x14ac:dyDescent="0.25">
      <c r="H490" s="1"/>
    </row>
    <row r="491" spans="8:8" x14ac:dyDescent="0.25">
      <c r="H491" s="1"/>
    </row>
    <row r="492" spans="8:8" x14ac:dyDescent="0.25">
      <c r="H492" s="1"/>
    </row>
    <row r="493" spans="8:8" x14ac:dyDescent="0.25">
      <c r="H493" s="1"/>
    </row>
    <row r="494" spans="8:8" x14ac:dyDescent="0.25">
      <c r="H494" s="1"/>
    </row>
    <row r="495" spans="8:8" x14ac:dyDescent="0.25">
      <c r="H495" s="1"/>
    </row>
    <row r="496" spans="8:8" x14ac:dyDescent="0.25">
      <c r="H496" s="1"/>
    </row>
    <row r="497" spans="8:8" x14ac:dyDescent="0.25">
      <c r="H497" s="1"/>
    </row>
    <row r="498" spans="8:8" x14ac:dyDescent="0.25">
      <c r="H498" s="1"/>
    </row>
    <row r="499" spans="8:8" x14ac:dyDescent="0.25">
      <c r="H499" s="1"/>
    </row>
    <row r="500" spans="8:8" x14ac:dyDescent="0.25">
      <c r="H500" s="1"/>
    </row>
    <row r="501" spans="8:8" x14ac:dyDescent="0.25">
      <c r="H501" s="1"/>
    </row>
    <row r="502" spans="8:8" x14ac:dyDescent="0.25">
      <c r="H502" s="1"/>
    </row>
    <row r="503" spans="8:8" x14ac:dyDescent="0.25">
      <c r="H503" s="1"/>
    </row>
    <row r="504" spans="8:8" x14ac:dyDescent="0.25">
      <c r="H504" s="1"/>
    </row>
    <row r="505" spans="8:8" x14ac:dyDescent="0.25">
      <c r="H505" s="1"/>
    </row>
    <row r="506" spans="8:8" x14ac:dyDescent="0.25">
      <c r="H506" s="1"/>
    </row>
    <row r="507" spans="8:8" x14ac:dyDescent="0.25">
      <c r="H507" s="1"/>
    </row>
    <row r="508" spans="8:8" x14ac:dyDescent="0.25">
      <c r="H508" s="1"/>
    </row>
    <row r="509" spans="8:8" x14ac:dyDescent="0.25">
      <c r="H509" s="1"/>
    </row>
    <row r="510" spans="8:8" x14ac:dyDescent="0.25">
      <c r="H510" s="1"/>
    </row>
    <row r="511" spans="8:8" x14ac:dyDescent="0.25">
      <c r="H511" s="1"/>
    </row>
    <row r="512" spans="8:8" x14ac:dyDescent="0.25">
      <c r="H512" s="1"/>
    </row>
    <row r="513" spans="8:8" x14ac:dyDescent="0.25">
      <c r="H513" s="1"/>
    </row>
    <row r="514" spans="8:8" x14ac:dyDescent="0.25">
      <c r="H514" s="1"/>
    </row>
    <row r="515" spans="8:8" x14ac:dyDescent="0.25">
      <c r="H515" s="1"/>
    </row>
    <row r="516" spans="8:8" x14ac:dyDescent="0.25">
      <c r="H516" s="1"/>
    </row>
    <row r="517" spans="8:8" x14ac:dyDescent="0.25">
      <c r="H517" s="1"/>
    </row>
    <row r="518" spans="8:8" x14ac:dyDescent="0.25">
      <c r="H518" s="1"/>
    </row>
    <row r="519" spans="8:8" x14ac:dyDescent="0.25">
      <c r="H519" s="1"/>
    </row>
    <row r="520" spans="8:8" x14ac:dyDescent="0.25">
      <c r="H520" s="1"/>
    </row>
    <row r="521" spans="8:8" x14ac:dyDescent="0.25">
      <c r="H521" s="1"/>
    </row>
    <row r="522" spans="8:8" x14ac:dyDescent="0.25">
      <c r="H522" s="1"/>
    </row>
    <row r="523" spans="8:8" x14ac:dyDescent="0.25">
      <c r="H523" s="1"/>
    </row>
    <row r="524" spans="8:8" x14ac:dyDescent="0.25">
      <c r="H524" s="1"/>
    </row>
    <row r="525" spans="8:8" x14ac:dyDescent="0.25">
      <c r="H525" s="1"/>
    </row>
    <row r="526" spans="8:8" x14ac:dyDescent="0.25">
      <c r="H526" s="1"/>
    </row>
    <row r="527" spans="8:8" x14ac:dyDescent="0.25">
      <c r="H527" s="1"/>
    </row>
    <row r="528" spans="8:8" x14ac:dyDescent="0.25">
      <c r="H528" s="1"/>
    </row>
    <row r="529" spans="8:8" x14ac:dyDescent="0.25">
      <c r="H529" s="1"/>
    </row>
    <row r="530" spans="8:8" x14ac:dyDescent="0.25">
      <c r="H530" s="1"/>
    </row>
    <row r="531" spans="8:8" x14ac:dyDescent="0.25">
      <c r="H531" s="1"/>
    </row>
    <row r="532" spans="8:8" x14ac:dyDescent="0.25">
      <c r="H532" s="1"/>
    </row>
    <row r="533" spans="8:8" x14ac:dyDescent="0.25">
      <c r="H533" s="1"/>
    </row>
    <row r="534" spans="8:8" x14ac:dyDescent="0.25">
      <c r="H534" s="1"/>
    </row>
    <row r="535" spans="8:8" x14ac:dyDescent="0.25">
      <c r="H535" s="1"/>
    </row>
    <row r="536" spans="8:8" x14ac:dyDescent="0.25">
      <c r="H536" s="1"/>
    </row>
    <row r="537" spans="8:8" x14ac:dyDescent="0.25">
      <c r="H537" s="1"/>
    </row>
    <row r="538" spans="8:8" x14ac:dyDescent="0.25">
      <c r="H538" s="1"/>
    </row>
    <row r="539" spans="8:8" x14ac:dyDescent="0.25">
      <c r="H539" s="1"/>
    </row>
    <row r="540" spans="8:8" x14ac:dyDescent="0.25">
      <c r="H540" s="1"/>
    </row>
    <row r="541" spans="8:8" x14ac:dyDescent="0.25">
      <c r="H541" s="1"/>
    </row>
    <row r="542" spans="8:8" x14ac:dyDescent="0.25">
      <c r="H542" s="1"/>
    </row>
    <row r="543" spans="8:8" x14ac:dyDescent="0.25">
      <c r="H543" s="1"/>
    </row>
    <row r="544" spans="8:8" x14ac:dyDescent="0.25">
      <c r="H544" s="1"/>
    </row>
    <row r="545" spans="8:8" x14ac:dyDescent="0.25">
      <c r="H545" s="1"/>
    </row>
    <row r="546" spans="8:8" x14ac:dyDescent="0.25">
      <c r="H546" s="1"/>
    </row>
    <row r="547" spans="8:8" x14ac:dyDescent="0.25">
      <c r="H547" s="1"/>
    </row>
    <row r="548" spans="8:8" x14ac:dyDescent="0.25">
      <c r="H548" s="1"/>
    </row>
    <row r="549" spans="8:8" x14ac:dyDescent="0.25">
      <c r="H549" s="1"/>
    </row>
    <row r="550" spans="8:8" x14ac:dyDescent="0.25">
      <c r="H550" s="1"/>
    </row>
    <row r="551" spans="8:8" x14ac:dyDescent="0.25">
      <c r="H551" s="1"/>
    </row>
    <row r="552" spans="8:8" x14ac:dyDescent="0.25">
      <c r="H552" s="1"/>
    </row>
    <row r="553" spans="8:8" x14ac:dyDescent="0.25">
      <c r="H553" s="1"/>
    </row>
    <row r="554" spans="8:8" x14ac:dyDescent="0.25">
      <c r="H554" s="1"/>
    </row>
    <row r="555" spans="8:8" x14ac:dyDescent="0.25">
      <c r="H555" s="1"/>
    </row>
    <row r="556" spans="8:8" x14ac:dyDescent="0.25">
      <c r="H556" s="1"/>
    </row>
    <row r="557" spans="8:8" x14ac:dyDescent="0.25">
      <c r="H557" s="1"/>
    </row>
    <row r="558" spans="8:8" x14ac:dyDescent="0.25">
      <c r="H558" s="1"/>
    </row>
    <row r="559" spans="8:8" x14ac:dyDescent="0.25">
      <c r="H559" s="1"/>
    </row>
    <row r="560" spans="8:8" x14ac:dyDescent="0.25">
      <c r="H560" s="1"/>
    </row>
    <row r="561" spans="8:8" x14ac:dyDescent="0.25">
      <c r="H561" s="1"/>
    </row>
    <row r="562" spans="8:8" x14ac:dyDescent="0.25">
      <c r="H562" s="1"/>
    </row>
    <row r="563" spans="8:8" x14ac:dyDescent="0.25">
      <c r="H563" s="1"/>
    </row>
    <row r="564" spans="8:8" x14ac:dyDescent="0.25">
      <c r="H564" s="1"/>
    </row>
    <row r="565" spans="8:8" x14ac:dyDescent="0.25">
      <c r="H565" s="1"/>
    </row>
    <row r="566" spans="8:8" x14ac:dyDescent="0.25">
      <c r="H566" s="1"/>
    </row>
    <row r="567" spans="8:8" x14ac:dyDescent="0.25">
      <c r="H567" s="1"/>
    </row>
    <row r="568" spans="8:8" x14ac:dyDescent="0.25">
      <c r="H568" s="1"/>
    </row>
    <row r="569" spans="8:8" x14ac:dyDescent="0.25">
      <c r="H569" s="1"/>
    </row>
    <row r="570" spans="8:8" x14ac:dyDescent="0.25">
      <c r="H570" s="1"/>
    </row>
    <row r="571" spans="8:8" x14ac:dyDescent="0.25">
      <c r="H571" s="1"/>
    </row>
    <row r="572" spans="8:8" x14ac:dyDescent="0.25">
      <c r="H572" s="1"/>
    </row>
    <row r="573" spans="8:8" x14ac:dyDescent="0.25">
      <c r="H573" s="1"/>
    </row>
    <row r="574" spans="8:8" x14ac:dyDescent="0.25">
      <c r="H574" s="1"/>
    </row>
    <row r="575" spans="8:8" x14ac:dyDescent="0.25">
      <c r="H575" s="1"/>
    </row>
    <row r="576" spans="8:8" x14ac:dyDescent="0.25">
      <c r="H576" s="1"/>
    </row>
    <row r="577" spans="8:8" x14ac:dyDescent="0.25">
      <c r="H577" s="1"/>
    </row>
    <row r="578" spans="8:8" x14ac:dyDescent="0.25">
      <c r="H578" s="1"/>
    </row>
    <row r="579" spans="8:8" x14ac:dyDescent="0.25">
      <c r="H579" s="1"/>
    </row>
    <row r="580" spans="8:8" x14ac:dyDescent="0.25">
      <c r="H580" s="1"/>
    </row>
    <row r="581" spans="8:8" x14ac:dyDescent="0.25">
      <c r="H581" s="1"/>
    </row>
    <row r="582" spans="8:8" x14ac:dyDescent="0.25">
      <c r="H582" s="1"/>
    </row>
    <row r="583" spans="8:8" x14ac:dyDescent="0.25">
      <c r="H583" s="1"/>
    </row>
    <row r="584" spans="8:8" x14ac:dyDescent="0.25">
      <c r="H584" s="1"/>
    </row>
    <row r="585" spans="8:8" x14ac:dyDescent="0.25">
      <c r="H585" s="1"/>
    </row>
    <row r="586" spans="8:8" x14ac:dyDescent="0.25">
      <c r="H586" s="1"/>
    </row>
    <row r="587" spans="8:8" x14ac:dyDescent="0.25">
      <c r="H587" s="1"/>
    </row>
    <row r="588" spans="8:8" x14ac:dyDescent="0.25">
      <c r="H588" s="1"/>
    </row>
    <row r="589" spans="8:8" x14ac:dyDescent="0.25">
      <c r="H589" s="1"/>
    </row>
    <row r="590" spans="8:8" x14ac:dyDescent="0.25">
      <c r="H590" s="1"/>
    </row>
    <row r="591" spans="8:8" x14ac:dyDescent="0.25">
      <c r="H591" s="1"/>
    </row>
    <row r="592" spans="8:8" x14ac:dyDescent="0.25">
      <c r="H592" s="1"/>
    </row>
    <row r="593" spans="8:8" x14ac:dyDescent="0.25">
      <c r="H593" s="1"/>
    </row>
    <row r="594" spans="8:8" x14ac:dyDescent="0.25">
      <c r="H594" s="1"/>
    </row>
    <row r="595" spans="8:8" x14ac:dyDescent="0.25">
      <c r="H595" s="1"/>
    </row>
    <row r="596" spans="8:8" x14ac:dyDescent="0.25">
      <c r="H596" s="1"/>
    </row>
    <row r="597" spans="8:8" x14ac:dyDescent="0.25">
      <c r="H597" s="1"/>
    </row>
    <row r="598" spans="8:8" x14ac:dyDescent="0.25">
      <c r="H598" s="1"/>
    </row>
    <row r="599" spans="8:8" x14ac:dyDescent="0.25">
      <c r="H599" s="1"/>
    </row>
    <row r="600" spans="8:8" x14ac:dyDescent="0.25">
      <c r="H600" s="1"/>
    </row>
    <row r="601" spans="8:8" x14ac:dyDescent="0.25">
      <c r="H601" s="1"/>
    </row>
    <row r="602" spans="8:8" x14ac:dyDescent="0.25">
      <c r="H602" s="1"/>
    </row>
    <row r="603" spans="8:8" x14ac:dyDescent="0.25">
      <c r="H603" s="1"/>
    </row>
    <row r="604" spans="8:8" x14ac:dyDescent="0.25">
      <c r="H604" s="1"/>
    </row>
    <row r="605" spans="8:8" x14ac:dyDescent="0.25">
      <c r="H605" s="1"/>
    </row>
    <row r="606" spans="8:8" x14ac:dyDescent="0.25">
      <c r="H606" s="1"/>
    </row>
    <row r="607" spans="8:8" x14ac:dyDescent="0.25">
      <c r="H607" s="1"/>
    </row>
    <row r="608" spans="8: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x14ac:dyDescent="0.25">
      <c r="H627" s="1"/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x14ac:dyDescent="0.25">
      <c r="H653" s="1"/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x14ac:dyDescent="0.25">
      <c r="H681" s="1"/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x14ac:dyDescent="0.25">
      <c r="H706" s="1"/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  <row r="936" spans="8:8" x14ac:dyDescent="0.25">
      <c r="H936" s="1"/>
    </row>
    <row r="937" spans="8:8" x14ac:dyDescent="0.25">
      <c r="H937" s="1"/>
    </row>
    <row r="938" spans="8:8" x14ac:dyDescent="0.25">
      <c r="H938" s="1"/>
    </row>
    <row r="939" spans="8:8" x14ac:dyDescent="0.25">
      <c r="H939" s="1"/>
    </row>
    <row r="940" spans="8:8" x14ac:dyDescent="0.25">
      <c r="H940" s="1"/>
    </row>
    <row r="941" spans="8:8" x14ac:dyDescent="0.25">
      <c r="H941" s="1"/>
    </row>
    <row r="942" spans="8:8" x14ac:dyDescent="0.25">
      <c r="H942" s="1"/>
    </row>
    <row r="943" spans="8:8" x14ac:dyDescent="0.25">
      <c r="H943" s="1"/>
    </row>
    <row r="944" spans="8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x14ac:dyDescent="0.25">
      <c r="H950" s="1"/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8:8" x14ac:dyDescent="0.25">
      <c r="H977" s="1"/>
    </row>
    <row r="978" spans="8:8" x14ac:dyDescent="0.25">
      <c r="H978" s="1"/>
    </row>
    <row r="979" spans="8:8" x14ac:dyDescent="0.25">
      <c r="H979" s="1"/>
    </row>
    <row r="980" spans="8:8" x14ac:dyDescent="0.25">
      <c r="H980" s="1"/>
    </row>
    <row r="981" spans="8:8" x14ac:dyDescent="0.25">
      <c r="H981" s="1"/>
    </row>
    <row r="982" spans="8:8" x14ac:dyDescent="0.25">
      <c r="H982" s="1"/>
    </row>
    <row r="983" spans="8:8" x14ac:dyDescent="0.25">
      <c r="H983" s="1"/>
    </row>
    <row r="984" spans="8:8" x14ac:dyDescent="0.25">
      <c r="H984" s="1"/>
    </row>
    <row r="985" spans="8:8" x14ac:dyDescent="0.25">
      <c r="H985" s="1"/>
    </row>
    <row r="986" spans="8:8" x14ac:dyDescent="0.25">
      <c r="H986" s="1"/>
    </row>
    <row r="987" spans="8:8" x14ac:dyDescent="0.25">
      <c r="H987" s="1"/>
    </row>
    <row r="988" spans="8:8" x14ac:dyDescent="0.25">
      <c r="H988" s="1"/>
    </row>
    <row r="989" spans="8:8" x14ac:dyDescent="0.25">
      <c r="H989" s="1"/>
    </row>
    <row r="990" spans="8:8" x14ac:dyDescent="0.25">
      <c r="H990" s="1"/>
    </row>
    <row r="991" spans="8:8" x14ac:dyDescent="0.25">
      <c r="H991" s="1"/>
    </row>
    <row r="992" spans="8:8" x14ac:dyDescent="0.25">
      <c r="H992" s="1"/>
    </row>
    <row r="993" spans="8:8" x14ac:dyDescent="0.25">
      <c r="H993" s="1"/>
    </row>
    <row r="994" spans="8:8" x14ac:dyDescent="0.25">
      <c r="H994" s="1"/>
    </row>
    <row r="995" spans="8:8" x14ac:dyDescent="0.25">
      <c r="H995" s="1"/>
    </row>
    <row r="996" spans="8:8" x14ac:dyDescent="0.25">
      <c r="H996" s="1"/>
    </row>
    <row r="997" spans="8:8" x14ac:dyDescent="0.25">
      <c r="H997" s="1"/>
    </row>
    <row r="998" spans="8:8" x14ac:dyDescent="0.25">
      <c r="H998" s="1"/>
    </row>
    <row r="999" spans="8:8" x14ac:dyDescent="0.25">
      <c r="H999" s="1"/>
    </row>
    <row r="1000" spans="8:8" x14ac:dyDescent="0.25">
      <c r="H1000" s="1"/>
    </row>
    <row r="1001" spans="8:8" x14ac:dyDescent="0.25">
      <c r="H1001" s="1"/>
    </row>
    <row r="1002" spans="8:8" x14ac:dyDescent="0.25">
      <c r="H1002" s="1"/>
    </row>
    <row r="1003" spans="8:8" x14ac:dyDescent="0.25">
      <c r="H1003" s="1"/>
    </row>
    <row r="1004" spans="8:8" x14ac:dyDescent="0.25">
      <c r="H1004" s="1"/>
    </row>
    <row r="1005" spans="8:8" x14ac:dyDescent="0.25">
      <c r="H1005" s="1"/>
    </row>
    <row r="1006" spans="8:8" x14ac:dyDescent="0.25">
      <c r="H1006" s="1"/>
    </row>
    <row r="1007" spans="8:8" x14ac:dyDescent="0.25">
      <c r="H1007" s="1"/>
    </row>
    <row r="1008" spans="8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  <row r="1071" spans="8:8" x14ac:dyDescent="0.25">
      <c r="H1071" s="1"/>
    </row>
    <row r="1072" spans="8:8" x14ac:dyDescent="0.25">
      <c r="H1072" s="1"/>
    </row>
    <row r="1073" spans="8:8" x14ac:dyDescent="0.25">
      <c r="H1073" s="1"/>
    </row>
    <row r="1074" spans="8:8" x14ac:dyDescent="0.25">
      <c r="H1074" s="1"/>
    </row>
    <row r="1075" spans="8:8" x14ac:dyDescent="0.25">
      <c r="H1075" s="1"/>
    </row>
    <row r="1076" spans="8:8" x14ac:dyDescent="0.25">
      <c r="H1076" s="1"/>
    </row>
    <row r="1077" spans="8:8" x14ac:dyDescent="0.25">
      <c r="H1077" s="1"/>
    </row>
    <row r="1078" spans="8:8" x14ac:dyDescent="0.25">
      <c r="H1078" s="1"/>
    </row>
    <row r="1079" spans="8:8" x14ac:dyDescent="0.25">
      <c r="H1079" s="1"/>
    </row>
    <row r="1080" spans="8:8" x14ac:dyDescent="0.25">
      <c r="H1080" s="1"/>
    </row>
    <row r="1081" spans="8:8" x14ac:dyDescent="0.25">
      <c r="H1081" s="1"/>
    </row>
    <row r="1082" spans="8:8" x14ac:dyDescent="0.25">
      <c r="H1082" s="1"/>
    </row>
    <row r="1083" spans="8:8" x14ac:dyDescent="0.25">
      <c r="H1083" s="1"/>
    </row>
    <row r="1084" spans="8:8" x14ac:dyDescent="0.25">
      <c r="H1084" s="1"/>
    </row>
    <row r="1085" spans="8:8" x14ac:dyDescent="0.25">
      <c r="H1085" s="1"/>
    </row>
    <row r="1086" spans="8:8" x14ac:dyDescent="0.25">
      <c r="H1086" s="1"/>
    </row>
    <row r="1087" spans="8:8" x14ac:dyDescent="0.25">
      <c r="H1087" s="1"/>
    </row>
    <row r="1088" spans="8:8" x14ac:dyDescent="0.25">
      <c r="H1088" s="1"/>
    </row>
    <row r="1089" spans="8:8" x14ac:dyDescent="0.25">
      <c r="H1089" s="1"/>
    </row>
    <row r="1090" spans="8:8" x14ac:dyDescent="0.25">
      <c r="H1090" s="1"/>
    </row>
    <row r="1091" spans="8:8" x14ac:dyDescent="0.25">
      <c r="H1091" s="1"/>
    </row>
    <row r="1092" spans="8:8" x14ac:dyDescent="0.25">
      <c r="H1092" s="1"/>
    </row>
    <row r="1093" spans="8:8" x14ac:dyDescent="0.25">
      <c r="H1093" s="1"/>
    </row>
    <row r="1094" spans="8:8" x14ac:dyDescent="0.25">
      <c r="H1094" s="1"/>
    </row>
    <row r="1095" spans="8:8" x14ac:dyDescent="0.25">
      <c r="H1095" s="1"/>
    </row>
    <row r="1096" spans="8:8" x14ac:dyDescent="0.25">
      <c r="H1096" s="1"/>
    </row>
    <row r="1097" spans="8:8" x14ac:dyDescent="0.25">
      <c r="H1097" s="1"/>
    </row>
    <row r="1098" spans="8:8" x14ac:dyDescent="0.25">
      <c r="H1098" s="1"/>
    </row>
    <row r="1099" spans="8:8" x14ac:dyDescent="0.25">
      <c r="H1099" s="1"/>
    </row>
    <row r="1100" spans="8:8" x14ac:dyDescent="0.25">
      <c r="H1100" s="1"/>
    </row>
    <row r="1101" spans="8:8" x14ac:dyDescent="0.25">
      <c r="H1101" s="1"/>
    </row>
    <row r="1102" spans="8:8" x14ac:dyDescent="0.25">
      <c r="H1102" s="1"/>
    </row>
    <row r="1103" spans="8:8" x14ac:dyDescent="0.25">
      <c r="H1103" s="1"/>
    </row>
    <row r="1104" spans="8:8" x14ac:dyDescent="0.25">
      <c r="H1104" s="1"/>
    </row>
    <row r="1105" spans="8:8" x14ac:dyDescent="0.25">
      <c r="H1105" s="1"/>
    </row>
    <row r="1106" spans="8:8" x14ac:dyDescent="0.25">
      <c r="H1106" s="1"/>
    </row>
    <row r="1107" spans="8:8" x14ac:dyDescent="0.25">
      <c r="H1107" s="1"/>
    </row>
    <row r="1108" spans="8:8" x14ac:dyDescent="0.25">
      <c r="H1108" s="1"/>
    </row>
    <row r="1109" spans="8:8" x14ac:dyDescent="0.25">
      <c r="H1109" s="1"/>
    </row>
    <row r="1110" spans="8:8" x14ac:dyDescent="0.25">
      <c r="H1110" s="1"/>
    </row>
    <row r="1111" spans="8:8" x14ac:dyDescent="0.25">
      <c r="H1111" s="1"/>
    </row>
    <row r="1112" spans="8:8" x14ac:dyDescent="0.25">
      <c r="H1112" s="1"/>
    </row>
    <row r="1113" spans="8:8" x14ac:dyDescent="0.25">
      <c r="H1113" s="1"/>
    </row>
    <row r="1114" spans="8:8" x14ac:dyDescent="0.25">
      <c r="H1114" s="1"/>
    </row>
    <row r="1115" spans="8:8" x14ac:dyDescent="0.25">
      <c r="H1115" s="1"/>
    </row>
    <row r="1116" spans="8:8" x14ac:dyDescent="0.25">
      <c r="H1116" s="1"/>
    </row>
    <row r="1117" spans="8:8" x14ac:dyDescent="0.25">
      <c r="H1117" s="1"/>
    </row>
    <row r="1118" spans="8:8" x14ac:dyDescent="0.25">
      <c r="H1118" s="1"/>
    </row>
    <row r="1119" spans="8:8" x14ac:dyDescent="0.25">
      <c r="H1119" s="1"/>
    </row>
    <row r="1120" spans="8:8" x14ac:dyDescent="0.25">
      <c r="H1120" s="1"/>
    </row>
    <row r="1121" spans="8:8" x14ac:dyDescent="0.25">
      <c r="H1121" s="1"/>
    </row>
    <row r="1122" spans="8:8" x14ac:dyDescent="0.25">
      <c r="H1122" s="1"/>
    </row>
    <row r="1123" spans="8:8" x14ac:dyDescent="0.25">
      <c r="H1123" s="1"/>
    </row>
    <row r="1124" spans="8:8" x14ac:dyDescent="0.25">
      <c r="H1124" s="1"/>
    </row>
    <row r="1125" spans="8:8" x14ac:dyDescent="0.25">
      <c r="H1125" s="1"/>
    </row>
    <row r="1126" spans="8:8" x14ac:dyDescent="0.25">
      <c r="H1126" s="1"/>
    </row>
    <row r="1127" spans="8:8" x14ac:dyDescent="0.25">
      <c r="H1127" s="1"/>
    </row>
    <row r="1128" spans="8:8" x14ac:dyDescent="0.25">
      <c r="H1128" s="1"/>
    </row>
    <row r="1129" spans="8:8" x14ac:dyDescent="0.25">
      <c r="H1129" s="1"/>
    </row>
    <row r="1130" spans="8:8" x14ac:dyDescent="0.25">
      <c r="H1130" s="1"/>
    </row>
    <row r="1131" spans="8:8" x14ac:dyDescent="0.25">
      <c r="H1131" s="1"/>
    </row>
    <row r="1132" spans="8:8" x14ac:dyDescent="0.25">
      <c r="H1132" s="1"/>
    </row>
    <row r="1133" spans="8:8" x14ac:dyDescent="0.25">
      <c r="H1133" s="1"/>
    </row>
    <row r="1134" spans="8:8" x14ac:dyDescent="0.25">
      <c r="H1134" s="1"/>
    </row>
    <row r="1135" spans="8:8" x14ac:dyDescent="0.25">
      <c r="H1135" s="1"/>
    </row>
    <row r="1136" spans="8:8" x14ac:dyDescent="0.25">
      <c r="H1136" s="1"/>
    </row>
    <row r="1137" spans="8:8" x14ac:dyDescent="0.25">
      <c r="H1137" s="1"/>
    </row>
    <row r="1138" spans="8:8" x14ac:dyDescent="0.25">
      <c r="H1138" s="1"/>
    </row>
    <row r="1139" spans="8:8" x14ac:dyDescent="0.25">
      <c r="H1139" s="1"/>
    </row>
    <row r="1140" spans="8:8" x14ac:dyDescent="0.25">
      <c r="H1140" s="1"/>
    </row>
    <row r="1141" spans="8:8" x14ac:dyDescent="0.25">
      <c r="H1141" s="1"/>
    </row>
    <row r="1142" spans="8:8" x14ac:dyDescent="0.25">
      <c r="H1142" s="1"/>
    </row>
    <row r="1143" spans="8:8" x14ac:dyDescent="0.25">
      <c r="H1143" s="1"/>
    </row>
    <row r="1144" spans="8:8" x14ac:dyDescent="0.25">
      <c r="H1144" s="1"/>
    </row>
    <row r="1145" spans="8:8" x14ac:dyDescent="0.25">
      <c r="H1145" s="1"/>
    </row>
    <row r="1146" spans="8:8" x14ac:dyDescent="0.25">
      <c r="H1146" s="1"/>
    </row>
    <row r="1147" spans="8:8" x14ac:dyDescent="0.25">
      <c r="H1147" s="1"/>
    </row>
    <row r="1148" spans="8:8" x14ac:dyDescent="0.25">
      <c r="H1148" s="1"/>
    </row>
    <row r="1149" spans="8:8" x14ac:dyDescent="0.25">
      <c r="H1149" s="1"/>
    </row>
    <row r="1150" spans="8:8" x14ac:dyDescent="0.25">
      <c r="H1150" s="1"/>
    </row>
    <row r="1151" spans="8:8" x14ac:dyDescent="0.25">
      <c r="H1151" s="1"/>
    </row>
    <row r="1152" spans="8:8" x14ac:dyDescent="0.25">
      <c r="H1152" s="1"/>
    </row>
    <row r="1153" spans="8:8" x14ac:dyDescent="0.25">
      <c r="H1153" s="1"/>
    </row>
    <row r="1154" spans="8:8" x14ac:dyDescent="0.25">
      <c r="H1154" s="1"/>
    </row>
    <row r="1155" spans="8:8" x14ac:dyDescent="0.25">
      <c r="H1155" s="1"/>
    </row>
    <row r="1156" spans="8:8" x14ac:dyDescent="0.25">
      <c r="H1156" s="1"/>
    </row>
    <row r="1157" spans="8:8" x14ac:dyDescent="0.25">
      <c r="H1157" s="1"/>
    </row>
    <row r="1158" spans="8:8" x14ac:dyDescent="0.25">
      <c r="H1158" s="1"/>
    </row>
    <row r="1159" spans="8:8" x14ac:dyDescent="0.25">
      <c r="H1159" s="1"/>
    </row>
    <row r="1160" spans="8:8" x14ac:dyDescent="0.25">
      <c r="H1160" s="1"/>
    </row>
    <row r="1161" spans="8:8" x14ac:dyDescent="0.25">
      <c r="H1161" s="1"/>
    </row>
    <row r="1162" spans="8:8" x14ac:dyDescent="0.25">
      <c r="H1162" s="1"/>
    </row>
    <row r="1163" spans="8:8" x14ac:dyDescent="0.25">
      <c r="H1163" s="1"/>
    </row>
    <row r="1164" spans="8:8" x14ac:dyDescent="0.25">
      <c r="H1164" s="1"/>
    </row>
    <row r="1165" spans="8:8" x14ac:dyDescent="0.25">
      <c r="H1165" s="1"/>
    </row>
    <row r="1166" spans="8:8" x14ac:dyDescent="0.25">
      <c r="H1166" s="1"/>
    </row>
    <row r="1167" spans="8:8" x14ac:dyDescent="0.25">
      <c r="H1167" s="1"/>
    </row>
    <row r="1168" spans="8:8" x14ac:dyDescent="0.25">
      <c r="H1168" s="1"/>
    </row>
    <row r="1169" spans="8:8" x14ac:dyDescent="0.25">
      <c r="H1169" s="1"/>
    </row>
    <row r="1170" spans="8:8" x14ac:dyDescent="0.25">
      <c r="H1170" s="1"/>
    </row>
    <row r="1171" spans="8:8" x14ac:dyDescent="0.25">
      <c r="H1171" s="1"/>
    </row>
    <row r="1172" spans="8:8" x14ac:dyDescent="0.25">
      <c r="H1172" s="1"/>
    </row>
    <row r="1173" spans="8:8" x14ac:dyDescent="0.25">
      <c r="H1173" s="1"/>
    </row>
    <row r="1174" spans="8:8" x14ac:dyDescent="0.25">
      <c r="H1174" s="1"/>
    </row>
    <row r="1175" spans="8:8" x14ac:dyDescent="0.25">
      <c r="H1175" s="1"/>
    </row>
    <row r="1176" spans="8:8" x14ac:dyDescent="0.25">
      <c r="H1176" s="1"/>
    </row>
    <row r="1177" spans="8:8" x14ac:dyDescent="0.25">
      <c r="H1177" s="1"/>
    </row>
    <row r="1178" spans="8:8" x14ac:dyDescent="0.25">
      <c r="H1178" s="1"/>
    </row>
    <row r="1179" spans="8:8" x14ac:dyDescent="0.25">
      <c r="H1179" s="1"/>
    </row>
    <row r="1180" spans="8:8" x14ac:dyDescent="0.25">
      <c r="H1180" s="1"/>
    </row>
    <row r="1181" spans="8:8" x14ac:dyDescent="0.25">
      <c r="H1181" s="1"/>
    </row>
    <row r="1182" spans="8:8" x14ac:dyDescent="0.25">
      <c r="H1182" s="1"/>
    </row>
    <row r="1183" spans="8:8" x14ac:dyDescent="0.25">
      <c r="H1183" s="1"/>
    </row>
    <row r="1184" spans="8:8" x14ac:dyDescent="0.25">
      <c r="H1184" s="1"/>
    </row>
    <row r="1185" spans="8:8" x14ac:dyDescent="0.25">
      <c r="H1185" s="1"/>
    </row>
    <row r="1186" spans="8:8" x14ac:dyDescent="0.25">
      <c r="H1186" s="1"/>
    </row>
    <row r="1187" spans="8:8" x14ac:dyDescent="0.25">
      <c r="H1187" s="1"/>
    </row>
    <row r="1188" spans="8:8" x14ac:dyDescent="0.25">
      <c r="H1188" s="1"/>
    </row>
    <row r="1189" spans="8:8" x14ac:dyDescent="0.25">
      <c r="H1189" s="1"/>
    </row>
    <row r="1190" spans="8:8" x14ac:dyDescent="0.25">
      <c r="H1190" s="1"/>
    </row>
    <row r="1191" spans="8:8" x14ac:dyDescent="0.25">
      <c r="H1191" s="1"/>
    </row>
    <row r="1192" spans="8:8" x14ac:dyDescent="0.25">
      <c r="H1192" s="1"/>
    </row>
    <row r="1193" spans="8:8" x14ac:dyDescent="0.25">
      <c r="H1193" s="1"/>
    </row>
    <row r="1194" spans="8:8" x14ac:dyDescent="0.25">
      <c r="H1194" s="1"/>
    </row>
    <row r="1195" spans="8:8" x14ac:dyDescent="0.25">
      <c r="H1195" s="1"/>
    </row>
    <row r="1196" spans="8:8" x14ac:dyDescent="0.25">
      <c r="H1196" s="1"/>
    </row>
    <row r="1197" spans="8:8" x14ac:dyDescent="0.25">
      <c r="H1197" s="1"/>
    </row>
    <row r="1198" spans="8:8" x14ac:dyDescent="0.25">
      <c r="H1198" s="1"/>
    </row>
    <row r="1199" spans="8:8" x14ac:dyDescent="0.25">
      <c r="H1199" s="1"/>
    </row>
    <row r="1200" spans="8:8" x14ac:dyDescent="0.25">
      <c r="H1200" s="1"/>
    </row>
    <row r="1201" spans="8:8" x14ac:dyDescent="0.25">
      <c r="H1201" s="1"/>
    </row>
    <row r="1202" spans="8:8" x14ac:dyDescent="0.25">
      <c r="H1202" s="1"/>
    </row>
    <row r="1203" spans="8:8" x14ac:dyDescent="0.25">
      <c r="H1203" s="1"/>
    </row>
    <row r="1204" spans="8:8" x14ac:dyDescent="0.25">
      <c r="H1204" s="1"/>
    </row>
    <row r="1205" spans="8:8" x14ac:dyDescent="0.25">
      <c r="H1205" s="1"/>
    </row>
    <row r="1206" spans="8:8" x14ac:dyDescent="0.25">
      <c r="H1206" s="1"/>
    </row>
    <row r="1207" spans="8:8" x14ac:dyDescent="0.25">
      <c r="H1207" s="1"/>
    </row>
    <row r="1208" spans="8:8" x14ac:dyDescent="0.25">
      <c r="H1208" s="1"/>
    </row>
    <row r="1209" spans="8:8" x14ac:dyDescent="0.25">
      <c r="H1209" s="1"/>
    </row>
    <row r="1210" spans="8:8" x14ac:dyDescent="0.25">
      <c r="H1210" s="1"/>
    </row>
    <row r="1211" spans="8:8" x14ac:dyDescent="0.25">
      <c r="H1211" s="1"/>
    </row>
    <row r="1212" spans="8:8" x14ac:dyDescent="0.25">
      <c r="H1212" s="1"/>
    </row>
    <row r="1213" spans="8:8" x14ac:dyDescent="0.25">
      <c r="H1213" s="1"/>
    </row>
    <row r="1214" spans="8:8" x14ac:dyDescent="0.25">
      <c r="H1214" s="1"/>
    </row>
    <row r="1215" spans="8:8" x14ac:dyDescent="0.25">
      <c r="H1215" s="1"/>
    </row>
    <row r="1216" spans="8:8" x14ac:dyDescent="0.25">
      <c r="H1216" s="1"/>
    </row>
    <row r="1217" spans="8:8" x14ac:dyDescent="0.25">
      <c r="H1217" s="1"/>
    </row>
    <row r="1218" spans="8:8" x14ac:dyDescent="0.25">
      <c r="H1218" s="1"/>
    </row>
    <row r="1219" spans="8:8" x14ac:dyDescent="0.25">
      <c r="H1219" s="1"/>
    </row>
    <row r="1220" spans="8:8" x14ac:dyDescent="0.25">
      <c r="H1220" s="1"/>
    </row>
    <row r="1221" spans="8:8" x14ac:dyDescent="0.25">
      <c r="H1221" s="1"/>
    </row>
    <row r="1222" spans="8:8" x14ac:dyDescent="0.25">
      <c r="H1222" s="1"/>
    </row>
    <row r="1223" spans="8:8" x14ac:dyDescent="0.25">
      <c r="H1223" s="1"/>
    </row>
    <row r="1224" spans="8:8" x14ac:dyDescent="0.25">
      <c r="H1224" s="1"/>
    </row>
    <row r="1225" spans="8:8" x14ac:dyDescent="0.25">
      <c r="H1225" s="1"/>
    </row>
    <row r="1226" spans="8:8" x14ac:dyDescent="0.25">
      <c r="H1226" s="1"/>
    </row>
    <row r="1227" spans="8:8" x14ac:dyDescent="0.25">
      <c r="H1227" s="1"/>
    </row>
    <row r="1228" spans="8:8" x14ac:dyDescent="0.25">
      <c r="H1228" s="1"/>
    </row>
    <row r="1229" spans="8:8" x14ac:dyDescent="0.25">
      <c r="H1229" s="1"/>
    </row>
    <row r="1230" spans="8:8" x14ac:dyDescent="0.25">
      <c r="H1230" s="1"/>
    </row>
    <row r="1231" spans="8:8" x14ac:dyDescent="0.25">
      <c r="H1231" s="1"/>
    </row>
    <row r="1232" spans="8:8" x14ac:dyDescent="0.25">
      <c r="H1232" s="1"/>
    </row>
    <row r="1233" spans="8:8" x14ac:dyDescent="0.25">
      <c r="H1233" s="1"/>
    </row>
    <row r="1234" spans="8:8" x14ac:dyDescent="0.25">
      <c r="H1234" s="1"/>
    </row>
    <row r="1235" spans="8:8" x14ac:dyDescent="0.25">
      <c r="H1235" s="1"/>
    </row>
    <row r="1236" spans="8:8" x14ac:dyDescent="0.25">
      <c r="H1236" s="1"/>
    </row>
    <row r="1237" spans="8:8" x14ac:dyDescent="0.25">
      <c r="H1237" s="1"/>
    </row>
    <row r="1238" spans="8:8" x14ac:dyDescent="0.25">
      <c r="H1238" s="1"/>
    </row>
    <row r="1239" spans="8:8" x14ac:dyDescent="0.25">
      <c r="H1239" s="1"/>
    </row>
    <row r="1240" spans="8:8" x14ac:dyDescent="0.25">
      <c r="H1240" s="1"/>
    </row>
    <row r="1241" spans="8:8" x14ac:dyDescent="0.25">
      <c r="H1241" s="1"/>
    </row>
    <row r="1242" spans="8:8" x14ac:dyDescent="0.25">
      <c r="H1242" s="1"/>
    </row>
    <row r="1243" spans="8:8" x14ac:dyDescent="0.25">
      <c r="H1243" s="1"/>
    </row>
    <row r="1244" spans="8:8" x14ac:dyDescent="0.25">
      <c r="H1244" s="1"/>
    </row>
    <row r="1245" spans="8:8" x14ac:dyDescent="0.25">
      <c r="H1245" s="1"/>
    </row>
    <row r="1246" spans="8:8" x14ac:dyDescent="0.25">
      <c r="H1246" s="1"/>
    </row>
    <row r="1247" spans="8:8" x14ac:dyDescent="0.25">
      <c r="H1247" s="1"/>
    </row>
    <row r="1248" spans="8:8" x14ac:dyDescent="0.25">
      <c r="H1248" s="1"/>
    </row>
    <row r="1249" spans="8:8" x14ac:dyDescent="0.25">
      <c r="H1249" s="1"/>
    </row>
    <row r="1250" spans="8:8" x14ac:dyDescent="0.25">
      <c r="H1250" s="1"/>
    </row>
    <row r="1251" spans="8:8" x14ac:dyDescent="0.25">
      <c r="H1251" s="1"/>
    </row>
    <row r="1252" spans="8:8" x14ac:dyDescent="0.25">
      <c r="H1252" s="1"/>
    </row>
    <row r="1253" spans="8:8" x14ac:dyDescent="0.25">
      <c r="H1253" s="1"/>
    </row>
    <row r="1254" spans="8:8" x14ac:dyDescent="0.25">
      <c r="H1254" s="1"/>
    </row>
    <row r="1255" spans="8:8" x14ac:dyDescent="0.25">
      <c r="H1255" s="1"/>
    </row>
    <row r="1256" spans="8:8" x14ac:dyDescent="0.25">
      <c r="H1256" s="1"/>
    </row>
    <row r="1257" spans="8:8" x14ac:dyDescent="0.25">
      <c r="H1257" s="1"/>
    </row>
    <row r="1258" spans="8:8" x14ac:dyDescent="0.25">
      <c r="H1258" s="1"/>
    </row>
    <row r="1259" spans="8:8" x14ac:dyDescent="0.25">
      <c r="H1259" s="1"/>
    </row>
    <row r="1260" spans="8:8" x14ac:dyDescent="0.25">
      <c r="H1260" s="1"/>
    </row>
    <row r="1261" spans="8:8" x14ac:dyDescent="0.25">
      <c r="H1261" s="1"/>
    </row>
    <row r="1262" spans="8:8" x14ac:dyDescent="0.25">
      <c r="H1262" s="1"/>
    </row>
    <row r="1263" spans="8:8" x14ac:dyDescent="0.25">
      <c r="H1263" s="1"/>
    </row>
    <row r="1264" spans="8:8" x14ac:dyDescent="0.25">
      <c r="H1264" s="1"/>
    </row>
    <row r="1265" spans="8:8" x14ac:dyDescent="0.25">
      <c r="H1265" s="1"/>
    </row>
    <row r="1266" spans="8:8" x14ac:dyDescent="0.25">
      <c r="H1266" s="1"/>
    </row>
    <row r="1267" spans="8:8" x14ac:dyDescent="0.25">
      <c r="H1267" s="1"/>
    </row>
    <row r="1268" spans="8:8" x14ac:dyDescent="0.25">
      <c r="H1268" s="1"/>
    </row>
    <row r="1269" spans="8:8" x14ac:dyDescent="0.25">
      <c r="H1269" s="1"/>
    </row>
    <row r="1270" spans="8:8" x14ac:dyDescent="0.25">
      <c r="H1270" s="1"/>
    </row>
    <row r="1271" spans="8:8" x14ac:dyDescent="0.25">
      <c r="H1271" s="1"/>
    </row>
    <row r="1272" spans="8:8" x14ac:dyDescent="0.25">
      <c r="H1272" s="1"/>
    </row>
    <row r="1273" spans="8:8" x14ac:dyDescent="0.25">
      <c r="H1273" s="1"/>
    </row>
    <row r="1274" spans="8:8" x14ac:dyDescent="0.25">
      <c r="H1274" s="1"/>
    </row>
    <row r="1275" spans="8:8" x14ac:dyDescent="0.25">
      <c r="H1275" s="1"/>
    </row>
    <row r="1276" spans="8:8" x14ac:dyDescent="0.25">
      <c r="H1276" s="1"/>
    </row>
    <row r="1277" spans="8:8" x14ac:dyDescent="0.25">
      <c r="H1277" s="1"/>
    </row>
    <row r="1278" spans="8:8" x14ac:dyDescent="0.25">
      <c r="H1278" s="1"/>
    </row>
    <row r="1279" spans="8:8" x14ac:dyDescent="0.25">
      <c r="H1279" s="1"/>
    </row>
    <row r="1280" spans="8:8" x14ac:dyDescent="0.25">
      <c r="H1280" s="1"/>
    </row>
    <row r="1281" spans="8:8" x14ac:dyDescent="0.25">
      <c r="H1281" s="1"/>
    </row>
    <row r="1282" spans="8:8" x14ac:dyDescent="0.25">
      <c r="H1282" s="1"/>
    </row>
    <row r="1283" spans="8:8" x14ac:dyDescent="0.25">
      <c r="H1283" s="1"/>
    </row>
    <row r="1284" spans="8:8" x14ac:dyDescent="0.25">
      <c r="H1284" s="1"/>
    </row>
    <row r="1285" spans="8:8" x14ac:dyDescent="0.25">
      <c r="H1285" s="1"/>
    </row>
    <row r="1286" spans="8:8" x14ac:dyDescent="0.25">
      <c r="H1286" s="1"/>
    </row>
    <row r="1287" spans="8:8" x14ac:dyDescent="0.25">
      <c r="H1287" s="1"/>
    </row>
    <row r="1288" spans="8:8" x14ac:dyDescent="0.25">
      <c r="H1288" s="1"/>
    </row>
    <row r="1289" spans="8:8" x14ac:dyDescent="0.25">
      <c r="H1289" s="1"/>
    </row>
    <row r="1290" spans="8:8" x14ac:dyDescent="0.25">
      <c r="H1290" s="1"/>
    </row>
    <row r="1291" spans="8:8" x14ac:dyDescent="0.25">
      <c r="H1291" s="1"/>
    </row>
    <row r="1292" spans="8:8" x14ac:dyDescent="0.25">
      <c r="H1292" s="1"/>
    </row>
    <row r="1293" spans="8:8" x14ac:dyDescent="0.25">
      <c r="H1293" s="1"/>
    </row>
    <row r="1294" spans="8:8" x14ac:dyDescent="0.25">
      <c r="H1294" s="1"/>
    </row>
    <row r="1295" spans="8:8" x14ac:dyDescent="0.25">
      <c r="H1295" s="1"/>
    </row>
    <row r="1296" spans="8:8" x14ac:dyDescent="0.25">
      <c r="H1296" s="1"/>
    </row>
    <row r="1297" spans="8:8" x14ac:dyDescent="0.25">
      <c r="H1297" s="1"/>
    </row>
    <row r="1298" spans="8:8" x14ac:dyDescent="0.25">
      <c r="H1298" s="1"/>
    </row>
    <row r="1299" spans="8:8" x14ac:dyDescent="0.25">
      <c r="H1299" s="1"/>
    </row>
    <row r="1300" spans="8:8" x14ac:dyDescent="0.25">
      <c r="H1300" s="1"/>
    </row>
    <row r="1301" spans="8:8" x14ac:dyDescent="0.25">
      <c r="H1301" s="1"/>
    </row>
    <row r="1302" spans="8:8" x14ac:dyDescent="0.25">
      <c r="H1302" s="1"/>
    </row>
    <row r="1303" spans="8:8" x14ac:dyDescent="0.25">
      <c r="H1303" s="1"/>
    </row>
    <row r="1304" spans="8:8" x14ac:dyDescent="0.25">
      <c r="H1304" s="1"/>
    </row>
    <row r="1305" spans="8:8" x14ac:dyDescent="0.25">
      <c r="H1305" s="1"/>
    </row>
    <row r="1306" spans="8:8" x14ac:dyDescent="0.25">
      <c r="H1306" s="1"/>
    </row>
    <row r="1307" spans="8:8" x14ac:dyDescent="0.25">
      <c r="H1307" s="1"/>
    </row>
    <row r="1308" spans="8:8" x14ac:dyDescent="0.25">
      <c r="H1308" s="1"/>
    </row>
    <row r="1309" spans="8:8" x14ac:dyDescent="0.25">
      <c r="H1309" s="1"/>
    </row>
    <row r="1310" spans="8:8" x14ac:dyDescent="0.25">
      <c r="H1310" s="1"/>
    </row>
    <row r="1311" spans="8:8" x14ac:dyDescent="0.25">
      <c r="H1311" s="1"/>
    </row>
    <row r="1312" spans="8:8" x14ac:dyDescent="0.25">
      <c r="H1312" s="1"/>
    </row>
    <row r="1313" spans="8:8" x14ac:dyDescent="0.25">
      <c r="H1313" s="1"/>
    </row>
    <row r="1314" spans="8:8" x14ac:dyDescent="0.25">
      <c r="H1314" s="1"/>
    </row>
    <row r="1315" spans="8:8" x14ac:dyDescent="0.25">
      <c r="H1315" s="1"/>
    </row>
    <row r="1316" spans="8:8" x14ac:dyDescent="0.25">
      <c r="H1316" s="1"/>
    </row>
    <row r="1317" spans="8:8" x14ac:dyDescent="0.25">
      <c r="H1317" s="1"/>
    </row>
    <row r="1318" spans="8:8" x14ac:dyDescent="0.25">
      <c r="H1318" s="1"/>
    </row>
    <row r="1319" spans="8:8" x14ac:dyDescent="0.25">
      <c r="H1319" s="1"/>
    </row>
    <row r="1320" spans="8:8" x14ac:dyDescent="0.25">
      <c r="H1320" s="1"/>
    </row>
    <row r="1321" spans="8:8" x14ac:dyDescent="0.25">
      <c r="H1321" s="1"/>
    </row>
    <row r="1322" spans="8:8" x14ac:dyDescent="0.25">
      <c r="H1322" s="1"/>
    </row>
    <row r="1323" spans="8:8" x14ac:dyDescent="0.25">
      <c r="H1323" s="1"/>
    </row>
    <row r="1324" spans="8:8" x14ac:dyDescent="0.25">
      <c r="H1324" s="1"/>
    </row>
    <row r="1325" spans="8:8" x14ac:dyDescent="0.25">
      <c r="H1325" s="1"/>
    </row>
    <row r="1326" spans="8:8" x14ac:dyDescent="0.25">
      <c r="H1326" s="1"/>
    </row>
    <row r="1327" spans="8:8" x14ac:dyDescent="0.25">
      <c r="H1327" s="1"/>
    </row>
    <row r="1328" spans="8:8" x14ac:dyDescent="0.25">
      <c r="H1328" s="1"/>
    </row>
    <row r="1329" spans="8:8" x14ac:dyDescent="0.25">
      <c r="H1329" s="1"/>
    </row>
    <row r="1330" spans="8:8" x14ac:dyDescent="0.25">
      <c r="H1330" s="1"/>
    </row>
    <row r="1331" spans="8:8" x14ac:dyDescent="0.25">
      <c r="H1331" s="1"/>
    </row>
    <row r="1332" spans="8:8" x14ac:dyDescent="0.25">
      <c r="H1332" s="1"/>
    </row>
    <row r="1333" spans="8:8" x14ac:dyDescent="0.25">
      <c r="H1333" s="1"/>
    </row>
    <row r="1334" spans="8:8" x14ac:dyDescent="0.25">
      <c r="H1334" s="1"/>
    </row>
    <row r="1335" spans="8:8" x14ac:dyDescent="0.25">
      <c r="H1335" s="1"/>
    </row>
    <row r="1336" spans="8:8" x14ac:dyDescent="0.25">
      <c r="H1336" s="1"/>
    </row>
    <row r="1337" spans="8:8" x14ac:dyDescent="0.25">
      <c r="H1337" s="1"/>
    </row>
    <row r="1338" spans="8:8" x14ac:dyDescent="0.25">
      <c r="H1338" s="1"/>
    </row>
    <row r="1339" spans="8:8" x14ac:dyDescent="0.25">
      <c r="H1339" s="1"/>
    </row>
    <row r="1340" spans="8:8" x14ac:dyDescent="0.25">
      <c r="H1340" s="1"/>
    </row>
    <row r="1341" spans="8:8" x14ac:dyDescent="0.25">
      <c r="H1341" s="1"/>
    </row>
    <row r="1342" spans="8:8" x14ac:dyDescent="0.25">
      <c r="H1342" s="1"/>
    </row>
    <row r="1343" spans="8:8" x14ac:dyDescent="0.25">
      <c r="H1343" s="1"/>
    </row>
    <row r="1344" spans="8:8" x14ac:dyDescent="0.25">
      <c r="H1344" s="1"/>
    </row>
    <row r="1345" spans="8:8" x14ac:dyDescent="0.25">
      <c r="H1345" s="1"/>
    </row>
    <row r="1346" spans="8:8" x14ac:dyDescent="0.25">
      <c r="H1346" s="1"/>
    </row>
    <row r="1347" spans="8:8" x14ac:dyDescent="0.25">
      <c r="H1347" s="1"/>
    </row>
    <row r="1348" spans="8:8" x14ac:dyDescent="0.25">
      <c r="H1348" s="1"/>
    </row>
    <row r="1349" spans="8:8" x14ac:dyDescent="0.25">
      <c r="H1349" s="1"/>
    </row>
    <row r="1350" spans="8:8" x14ac:dyDescent="0.25">
      <c r="H1350" s="1"/>
    </row>
    <row r="1351" spans="8:8" x14ac:dyDescent="0.25">
      <c r="H1351" s="1"/>
    </row>
    <row r="1352" spans="8:8" x14ac:dyDescent="0.25">
      <c r="H1352" s="1"/>
    </row>
    <row r="1353" spans="8:8" x14ac:dyDescent="0.25">
      <c r="H1353" s="1"/>
    </row>
    <row r="1354" spans="8:8" x14ac:dyDescent="0.25">
      <c r="H1354" s="1"/>
    </row>
    <row r="1355" spans="8:8" x14ac:dyDescent="0.25">
      <c r="H1355" s="1"/>
    </row>
    <row r="1356" spans="8:8" x14ac:dyDescent="0.25">
      <c r="H1356" s="1"/>
    </row>
    <row r="1357" spans="8:8" x14ac:dyDescent="0.25">
      <c r="H1357" s="1"/>
    </row>
    <row r="1358" spans="8:8" x14ac:dyDescent="0.25">
      <c r="H1358" s="1"/>
    </row>
    <row r="1359" spans="8:8" x14ac:dyDescent="0.25">
      <c r="H1359" s="1"/>
    </row>
    <row r="1360" spans="8:8" x14ac:dyDescent="0.25">
      <c r="H1360" s="1"/>
    </row>
    <row r="1361" spans="8:8" x14ac:dyDescent="0.25">
      <c r="H1361" s="1"/>
    </row>
    <row r="1362" spans="8:8" x14ac:dyDescent="0.25">
      <c r="H1362" s="1"/>
    </row>
    <row r="1363" spans="8:8" x14ac:dyDescent="0.25">
      <c r="H1363" s="1"/>
    </row>
    <row r="1364" spans="8:8" x14ac:dyDescent="0.25">
      <c r="H1364" s="1"/>
    </row>
    <row r="1365" spans="8:8" x14ac:dyDescent="0.25">
      <c r="H1365" s="1"/>
    </row>
    <row r="1366" spans="8:8" x14ac:dyDescent="0.25">
      <c r="H1366" s="1"/>
    </row>
    <row r="1367" spans="8:8" x14ac:dyDescent="0.25">
      <c r="H1367" s="1"/>
    </row>
    <row r="1368" spans="8:8" x14ac:dyDescent="0.25">
      <c r="H1368" s="1"/>
    </row>
    <row r="1369" spans="8:8" x14ac:dyDescent="0.25">
      <c r="H1369" s="1"/>
    </row>
    <row r="1370" spans="8:8" x14ac:dyDescent="0.25">
      <c r="H1370" s="1"/>
    </row>
    <row r="1371" spans="8:8" x14ac:dyDescent="0.25">
      <c r="H1371" s="1"/>
    </row>
    <row r="1372" spans="8:8" x14ac:dyDescent="0.25">
      <c r="H1372" s="1"/>
    </row>
    <row r="1373" spans="8:8" x14ac:dyDescent="0.25">
      <c r="H1373" s="1"/>
    </row>
    <row r="1374" spans="8:8" x14ac:dyDescent="0.25">
      <c r="H1374" s="1"/>
    </row>
    <row r="1375" spans="8:8" x14ac:dyDescent="0.25">
      <c r="H1375" s="1"/>
    </row>
    <row r="1376" spans="8:8" x14ac:dyDescent="0.25">
      <c r="H1376" s="1"/>
    </row>
    <row r="1377" spans="8:8" x14ac:dyDescent="0.25">
      <c r="H1377" s="1"/>
    </row>
    <row r="1378" spans="8:8" x14ac:dyDescent="0.25">
      <c r="H1378" s="1"/>
    </row>
    <row r="1379" spans="8:8" x14ac:dyDescent="0.25">
      <c r="H1379" s="1"/>
    </row>
    <row r="1380" spans="8:8" x14ac:dyDescent="0.25">
      <c r="H1380" s="1"/>
    </row>
    <row r="1381" spans="8:8" x14ac:dyDescent="0.25">
      <c r="H1381" s="1"/>
    </row>
    <row r="1382" spans="8:8" x14ac:dyDescent="0.25">
      <c r="H1382" s="1"/>
    </row>
    <row r="1383" spans="8:8" x14ac:dyDescent="0.25">
      <c r="H1383" s="1"/>
    </row>
    <row r="1384" spans="8:8" x14ac:dyDescent="0.25">
      <c r="H1384" s="1"/>
    </row>
    <row r="1385" spans="8:8" x14ac:dyDescent="0.25">
      <c r="H1385" s="1"/>
    </row>
    <row r="1386" spans="8:8" x14ac:dyDescent="0.25">
      <c r="H1386" s="1"/>
    </row>
    <row r="1387" spans="8:8" x14ac:dyDescent="0.25">
      <c r="H1387" s="1"/>
    </row>
    <row r="1388" spans="8:8" x14ac:dyDescent="0.25">
      <c r="H1388" s="1"/>
    </row>
    <row r="1389" spans="8:8" x14ac:dyDescent="0.25">
      <c r="H1389" s="1"/>
    </row>
    <row r="1390" spans="8:8" x14ac:dyDescent="0.25">
      <c r="H1390" s="1"/>
    </row>
    <row r="1391" spans="8:8" x14ac:dyDescent="0.25">
      <c r="H1391" s="1"/>
    </row>
    <row r="1392" spans="8:8" x14ac:dyDescent="0.25">
      <c r="H1392" s="1"/>
    </row>
    <row r="1393" spans="8:8" x14ac:dyDescent="0.25">
      <c r="H1393" s="1"/>
    </row>
    <row r="1394" spans="8:8" x14ac:dyDescent="0.25">
      <c r="H1394" s="1"/>
    </row>
    <row r="1395" spans="8:8" x14ac:dyDescent="0.25">
      <c r="H1395" s="1"/>
    </row>
    <row r="1396" spans="8:8" x14ac:dyDescent="0.25">
      <c r="H1396" s="1"/>
    </row>
    <row r="1397" spans="8:8" x14ac:dyDescent="0.25">
      <c r="H1397" s="1"/>
    </row>
    <row r="1398" spans="8:8" x14ac:dyDescent="0.25">
      <c r="H1398" s="1"/>
    </row>
    <row r="1399" spans="8:8" x14ac:dyDescent="0.25">
      <c r="H1399" s="1"/>
    </row>
    <row r="1400" spans="8:8" x14ac:dyDescent="0.25">
      <c r="H1400" s="1"/>
    </row>
    <row r="1401" spans="8:8" x14ac:dyDescent="0.25">
      <c r="H1401" s="1"/>
    </row>
    <row r="1402" spans="8:8" x14ac:dyDescent="0.25">
      <c r="H1402" s="1"/>
    </row>
    <row r="1403" spans="8:8" x14ac:dyDescent="0.25">
      <c r="H1403" s="1"/>
    </row>
    <row r="1404" spans="8:8" x14ac:dyDescent="0.25">
      <c r="H1404" s="1"/>
    </row>
    <row r="1405" spans="8:8" x14ac:dyDescent="0.25">
      <c r="H1405" s="1"/>
    </row>
    <row r="1406" spans="8:8" x14ac:dyDescent="0.25">
      <c r="H1406" s="1"/>
    </row>
    <row r="1407" spans="8:8" x14ac:dyDescent="0.25">
      <c r="H1407" s="1"/>
    </row>
    <row r="1408" spans="8:8" x14ac:dyDescent="0.25">
      <c r="H1408" s="1"/>
    </row>
    <row r="1409" spans="8:8" x14ac:dyDescent="0.25">
      <c r="H1409" s="1"/>
    </row>
    <row r="1410" spans="8:8" x14ac:dyDescent="0.25">
      <c r="H1410" s="1"/>
    </row>
    <row r="1411" spans="8:8" x14ac:dyDescent="0.25">
      <c r="H1411" s="1"/>
    </row>
    <row r="1412" spans="8:8" x14ac:dyDescent="0.25">
      <c r="H1412" s="1"/>
    </row>
    <row r="1413" spans="8:8" x14ac:dyDescent="0.25">
      <c r="H1413" s="1"/>
    </row>
    <row r="1414" spans="8:8" x14ac:dyDescent="0.25">
      <c r="H1414" s="1"/>
    </row>
    <row r="1415" spans="8:8" x14ac:dyDescent="0.25">
      <c r="H1415" s="1"/>
    </row>
    <row r="1416" spans="8:8" x14ac:dyDescent="0.25">
      <c r="H1416" s="1"/>
    </row>
    <row r="1417" spans="8:8" x14ac:dyDescent="0.25">
      <c r="H1417" s="1"/>
    </row>
    <row r="1418" spans="8:8" x14ac:dyDescent="0.25">
      <c r="H1418" s="1"/>
    </row>
    <row r="1419" spans="8:8" x14ac:dyDescent="0.25">
      <c r="H1419" s="1"/>
    </row>
    <row r="1420" spans="8:8" x14ac:dyDescent="0.25">
      <c r="H1420" s="1"/>
    </row>
    <row r="1421" spans="8:8" x14ac:dyDescent="0.25">
      <c r="H1421" s="1"/>
    </row>
    <row r="1422" spans="8:8" x14ac:dyDescent="0.25">
      <c r="H1422" s="1"/>
    </row>
    <row r="1423" spans="8:8" x14ac:dyDescent="0.25">
      <c r="H1423" s="1"/>
    </row>
    <row r="1424" spans="8:8" x14ac:dyDescent="0.25">
      <c r="H1424" s="1"/>
    </row>
    <row r="1425" spans="8:8" x14ac:dyDescent="0.25">
      <c r="H1425" s="1"/>
    </row>
    <row r="1426" spans="8:8" x14ac:dyDescent="0.25">
      <c r="H1426" s="1"/>
    </row>
    <row r="1427" spans="8:8" x14ac:dyDescent="0.25">
      <c r="H1427" s="1"/>
    </row>
    <row r="1428" spans="8:8" x14ac:dyDescent="0.25">
      <c r="H1428" s="1"/>
    </row>
    <row r="1429" spans="8:8" x14ac:dyDescent="0.25">
      <c r="H1429" s="1"/>
    </row>
    <row r="1430" spans="8:8" x14ac:dyDescent="0.25">
      <c r="H1430" s="1"/>
    </row>
    <row r="1431" spans="8:8" x14ac:dyDescent="0.25">
      <c r="H1431" s="1"/>
    </row>
    <row r="1432" spans="8:8" x14ac:dyDescent="0.25">
      <c r="H1432" s="1"/>
    </row>
    <row r="1433" spans="8:8" x14ac:dyDescent="0.25">
      <c r="H1433" s="1"/>
    </row>
    <row r="1434" spans="8:8" x14ac:dyDescent="0.25">
      <c r="H1434" s="1"/>
    </row>
    <row r="1435" spans="8:8" x14ac:dyDescent="0.25">
      <c r="H1435" s="1"/>
    </row>
    <row r="1436" spans="8:8" x14ac:dyDescent="0.25">
      <c r="H1436" s="1"/>
    </row>
    <row r="1437" spans="8:8" x14ac:dyDescent="0.25">
      <c r="H1437" s="1"/>
    </row>
    <row r="1438" spans="8:8" x14ac:dyDescent="0.25">
      <c r="H1438" s="1"/>
    </row>
    <row r="1439" spans="8:8" x14ac:dyDescent="0.25">
      <c r="H1439" s="1"/>
    </row>
    <row r="1440" spans="8:8" x14ac:dyDescent="0.25">
      <c r="H1440" s="1"/>
    </row>
    <row r="1441" spans="8:8" x14ac:dyDescent="0.25">
      <c r="H1441" s="1"/>
    </row>
    <row r="1442" spans="8:8" x14ac:dyDescent="0.25">
      <c r="H1442" s="1"/>
    </row>
    <row r="1443" spans="8:8" x14ac:dyDescent="0.25">
      <c r="H1443" s="1"/>
    </row>
    <row r="1444" spans="8:8" x14ac:dyDescent="0.25">
      <c r="H1444" s="1"/>
    </row>
    <row r="1445" spans="8:8" x14ac:dyDescent="0.25">
      <c r="H1445" s="1"/>
    </row>
    <row r="1446" spans="8:8" x14ac:dyDescent="0.25">
      <c r="H1446" s="1"/>
    </row>
    <row r="1447" spans="8:8" x14ac:dyDescent="0.25">
      <c r="H1447" s="1"/>
    </row>
    <row r="1448" spans="8:8" x14ac:dyDescent="0.25">
      <c r="H1448" s="1"/>
    </row>
    <row r="1449" spans="8:8" x14ac:dyDescent="0.25">
      <c r="H1449" s="1"/>
    </row>
    <row r="1450" spans="8:8" x14ac:dyDescent="0.25">
      <c r="H1450" s="1"/>
    </row>
    <row r="1451" spans="8:8" x14ac:dyDescent="0.25">
      <c r="H1451" s="1"/>
    </row>
    <row r="1452" spans="8:8" x14ac:dyDescent="0.25">
      <c r="H1452" s="1"/>
    </row>
    <row r="1453" spans="8:8" x14ac:dyDescent="0.25">
      <c r="H1453" s="1"/>
    </row>
    <row r="1454" spans="8:8" x14ac:dyDescent="0.25">
      <c r="H1454" s="1"/>
    </row>
    <row r="1455" spans="8:8" x14ac:dyDescent="0.25">
      <c r="H1455" s="1"/>
    </row>
    <row r="1456" spans="8:8" x14ac:dyDescent="0.25">
      <c r="H1456" s="1"/>
    </row>
    <row r="1457" spans="8:8" x14ac:dyDescent="0.25">
      <c r="H1457" s="1"/>
    </row>
    <row r="1458" spans="8:8" x14ac:dyDescent="0.25">
      <c r="H1458" s="1"/>
    </row>
    <row r="1459" spans="8:8" x14ac:dyDescent="0.25">
      <c r="H1459" s="1"/>
    </row>
    <row r="1460" spans="8:8" x14ac:dyDescent="0.25">
      <c r="H1460" s="1"/>
    </row>
    <row r="1461" spans="8:8" x14ac:dyDescent="0.25">
      <c r="H1461" s="1"/>
    </row>
    <row r="1462" spans="8:8" x14ac:dyDescent="0.25">
      <c r="H1462" s="1"/>
    </row>
    <row r="1463" spans="8:8" x14ac:dyDescent="0.25">
      <c r="H1463" s="1"/>
    </row>
    <row r="1464" spans="8:8" x14ac:dyDescent="0.25">
      <c r="H1464" s="1"/>
    </row>
    <row r="1465" spans="8:8" x14ac:dyDescent="0.25">
      <c r="H1465" s="1"/>
    </row>
    <row r="1466" spans="8:8" x14ac:dyDescent="0.25">
      <c r="H1466" s="1"/>
    </row>
    <row r="1467" spans="8:8" x14ac:dyDescent="0.25">
      <c r="H1467" s="1"/>
    </row>
    <row r="1468" spans="8:8" x14ac:dyDescent="0.25">
      <c r="H1468" s="1"/>
    </row>
    <row r="1469" spans="8:8" x14ac:dyDescent="0.25">
      <c r="H1469" s="1"/>
    </row>
    <row r="1470" spans="8:8" x14ac:dyDescent="0.25">
      <c r="H1470" s="1"/>
    </row>
    <row r="1471" spans="8:8" x14ac:dyDescent="0.25">
      <c r="H1471" s="1"/>
    </row>
    <row r="1472" spans="8:8" x14ac:dyDescent="0.25">
      <c r="H1472" s="1"/>
    </row>
    <row r="1473" spans="8:8" x14ac:dyDescent="0.25">
      <c r="H1473" s="1"/>
    </row>
    <row r="1474" spans="8:8" x14ac:dyDescent="0.25">
      <c r="H1474" s="1"/>
    </row>
    <row r="1475" spans="8:8" x14ac:dyDescent="0.25">
      <c r="H1475" s="1"/>
    </row>
    <row r="1476" spans="8:8" x14ac:dyDescent="0.25">
      <c r="H1476" s="1"/>
    </row>
    <row r="1477" spans="8:8" x14ac:dyDescent="0.25">
      <c r="H1477" s="1"/>
    </row>
    <row r="1478" spans="8:8" x14ac:dyDescent="0.25">
      <c r="H1478" s="1"/>
    </row>
    <row r="1479" spans="8:8" x14ac:dyDescent="0.25">
      <c r="H1479" s="1"/>
    </row>
    <row r="1480" spans="8:8" x14ac:dyDescent="0.25">
      <c r="H1480" s="1"/>
    </row>
    <row r="1481" spans="8:8" x14ac:dyDescent="0.25">
      <c r="H1481" s="1"/>
    </row>
    <row r="1482" spans="8:8" x14ac:dyDescent="0.25">
      <c r="H1482" s="1"/>
    </row>
    <row r="1483" spans="8:8" x14ac:dyDescent="0.25">
      <c r="H1483" s="1"/>
    </row>
    <row r="1484" spans="8:8" x14ac:dyDescent="0.25">
      <c r="H1484" s="1"/>
    </row>
    <row r="1485" spans="8:8" x14ac:dyDescent="0.25">
      <c r="H1485" s="1"/>
    </row>
    <row r="1486" spans="8:8" x14ac:dyDescent="0.25">
      <c r="H1486" s="1"/>
    </row>
    <row r="1487" spans="8:8" x14ac:dyDescent="0.25">
      <c r="H1487" s="1"/>
    </row>
    <row r="1488" spans="8:8" x14ac:dyDescent="0.25">
      <c r="H1488" s="1"/>
    </row>
    <row r="1489" spans="8:8" x14ac:dyDescent="0.25">
      <c r="H1489" s="1"/>
    </row>
    <row r="1490" spans="8:8" x14ac:dyDescent="0.25">
      <c r="H1490" s="1"/>
    </row>
    <row r="1491" spans="8:8" x14ac:dyDescent="0.25">
      <c r="H1491" s="1"/>
    </row>
    <row r="1492" spans="8:8" x14ac:dyDescent="0.25">
      <c r="H1492" s="1"/>
    </row>
    <row r="1493" spans="8:8" x14ac:dyDescent="0.25">
      <c r="H1493" s="1"/>
    </row>
    <row r="1494" spans="8:8" x14ac:dyDescent="0.25">
      <c r="H1494" s="1"/>
    </row>
    <row r="1495" spans="8:8" x14ac:dyDescent="0.25">
      <c r="H1495" s="1"/>
    </row>
    <row r="1496" spans="8:8" x14ac:dyDescent="0.25">
      <c r="H1496" s="1"/>
    </row>
    <row r="1497" spans="8:8" x14ac:dyDescent="0.25">
      <c r="H1497" s="1"/>
    </row>
    <row r="1498" spans="8:8" x14ac:dyDescent="0.25">
      <c r="H1498" s="1"/>
    </row>
    <row r="1499" spans="8:8" x14ac:dyDescent="0.25">
      <c r="H1499" s="1"/>
    </row>
    <row r="1500" spans="8:8" x14ac:dyDescent="0.25">
      <c r="H1500" s="1"/>
    </row>
    <row r="1501" spans="8:8" x14ac:dyDescent="0.25">
      <c r="H1501" s="1"/>
    </row>
    <row r="1502" spans="8:8" x14ac:dyDescent="0.25">
      <c r="H1502" s="1"/>
    </row>
    <row r="1503" spans="8:8" x14ac:dyDescent="0.25">
      <c r="H1503" s="1"/>
    </row>
    <row r="1504" spans="8:8" x14ac:dyDescent="0.25">
      <c r="H1504" s="1"/>
    </row>
    <row r="1505" spans="8:8" x14ac:dyDescent="0.25">
      <c r="H1505" s="1"/>
    </row>
    <row r="1506" spans="8:8" x14ac:dyDescent="0.25">
      <c r="H1506" s="1"/>
    </row>
    <row r="1507" spans="8:8" x14ac:dyDescent="0.25">
      <c r="H1507" s="1"/>
    </row>
    <row r="1508" spans="8:8" x14ac:dyDescent="0.25">
      <c r="H1508" s="1"/>
    </row>
    <row r="1509" spans="8:8" x14ac:dyDescent="0.25">
      <c r="H1509" s="1"/>
    </row>
    <row r="1510" spans="8:8" x14ac:dyDescent="0.25">
      <c r="H1510" s="1"/>
    </row>
    <row r="1511" spans="8:8" x14ac:dyDescent="0.25">
      <c r="H1511" s="1"/>
    </row>
    <row r="1512" spans="8:8" x14ac:dyDescent="0.25">
      <c r="H1512" s="1"/>
    </row>
    <row r="1513" spans="8:8" x14ac:dyDescent="0.25">
      <c r="H1513" s="1"/>
    </row>
    <row r="1514" spans="8:8" x14ac:dyDescent="0.25">
      <c r="H1514" s="1"/>
    </row>
    <row r="1515" spans="8:8" x14ac:dyDescent="0.25">
      <c r="H1515" s="1"/>
    </row>
    <row r="1516" spans="8:8" x14ac:dyDescent="0.25">
      <c r="H1516" s="1"/>
    </row>
    <row r="1517" spans="8:8" x14ac:dyDescent="0.25">
      <c r="H1517" s="1"/>
    </row>
    <row r="1518" spans="8:8" x14ac:dyDescent="0.25">
      <c r="H1518" s="1"/>
    </row>
    <row r="1519" spans="8:8" x14ac:dyDescent="0.25">
      <c r="H1519" s="1"/>
    </row>
    <row r="1520" spans="8:8" x14ac:dyDescent="0.25">
      <c r="H1520" s="1"/>
    </row>
    <row r="1521" spans="8:8" x14ac:dyDescent="0.25">
      <c r="H1521" s="1"/>
    </row>
    <row r="1522" spans="8:8" x14ac:dyDescent="0.25">
      <c r="H1522" s="1"/>
    </row>
    <row r="1523" spans="8:8" x14ac:dyDescent="0.25">
      <c r="H1523" s="1"/>
    </row>
    <row r="1524" spans="8:8" x14ac:dyDescent="0.25">
      <c r="H1524" s="1"/>
    </row>
    <row r="1525" spans="8:8" x14ac:dyDescent="0.25">
      <c r="H1525" s="1"/>
    </row>
    <row r="1526" spans="8:8" x14ac:dyDescent="0.25">
      <c r="H1526" s="1"/>
    </row>
    <row r="1527" spans="8:8" x14ac:dyDescent="0.25">
      <c r="H1527" s="1"/>
    </row>
    <row r="1528" spans="8:8" x14ac:dyDescent="0.25">
      <c r="H1528" s="1"/>
    </row>
    <row r="1529" spans="8:8" x14ac:dyDescent="0.25">
      <c r="H1529" s="1"/>
    </row>
    <row r="1530" spans="8:8" x14ac:dyDescent="0.25">
      <c r="H1530" s="1"/>
    </row>
    <row r="1531" spans="8:8" x14ac:dyDescent="0.25">
      <c r="H1531" s="1"/>
    </row>
    <row r="1532" spans="8:8" x14ac:dyDescent="0.25">
      <c r="H1532" s="1"/>
    </row>
    <row r="1533" spans="8:8" x14ac:dyDescent="0.25">
      <c r="H1533" s="1"/>
    </row>
    <row r="1534" spans="8:8" x14ac:dyDescent="0.25">
      <c r="H1534" s="1"/>
    </row>
    <row r="1535" spans="8:8" x14ac:dyDescent="0.25">
      <c r="H1535" s="1"/>
    </row>
    <row r="1536" spans="8:8" x14ac:dyDescent="0.25">
      <c r="H1536" s="1"/>
    </row>
    <row r="1537" spans="8:8" x14ac:dyDescent="0.25">
      <c r="H1537" s="1"/>
    </row>
    <row r="1538" spans="8:8" x14ac:dyDescent="0.25">
      <c r="H1538" s="1"/>
    </row>
    <row r="1539" spans="8:8" x14ac:dyDescent="0.25">
      <c r="H1539" s="1"/>
    </row>
    <row r="1540" spans="8:8" x14ac:dyDescent="0.25">
      <c r="H1540" s="1"/>
    </row>
    <row r="1541" spans="8:8" x14ac:dyDescent="0.25">
      <c r="H1541" s="1"/>
    </row>
    <row r="1542" spans="8:8" x14ac:dyDescent="0.25">
      <c r="H1542" s="1"/>
    </row>
    <row r="1543" spans="8:8" x14ac:dyDescent="0.25">
      <c r="H1543" s="1"/>
    </row>
    <row r="1544" spans="8:8" x14ac:dyDescent="0.25">
      <c r="H1544" s="1"/>
    </row>
    <row r="1545" spans="8:8" x14ac:dyDescent="0.25">
      <c r="H1545" s="1"/>
    </row>
    <row r="1546" spans="8:8" x14ac:dyDescent="0.25">
      <c r="H1546" s="1"/>
    </row>
    <row r="1547" spans="8:8" x14ac:dyDescent="0.25">
      <c r="H1547" s="1"/>
    </row>
    <row r="1548" spans="8:8" x14ac:dyDescent="0.25">
      <c r="H1548" s="1"/>
    </row>
    <row r="1549" spans="8:8" x14ac:dyDescent="0.25">
      <c r="H1549" s="1"/>
    </row>
    <row r="1550" spans="8:8" x14ac:dyDescent="0.25">
      <c r="H1550" s="1"/>
    </row>
    <row r="1551" spans="8:8" x14ac:dyDescent="0.25">
      <c r="H1551" s="1"/>
    </row>
    <row r="1552" spans="8:8" x14ac:dyDescent="0.25">
      <c r="H1552" s="1"/>
    </row>
    <row r="1553" spans="8:8" x14ac:dyDescent="0.25">
      <c r="H1553" s="1"/>
    </row>
    <row r="1554" spans="8:8" x14ac:dyDescent="0.25">
      <c r="H1554" s="1"/>
    </row>
    <row r="1555" spans="8:8" x14ac:dyDescent="0.25">
      <c r="H1555" s="1"/>
    </row>
    <row r="1556" spans="8:8" x14ac:dyDescent="0.25">
      <c r="H1556" s="1"/>
    </row>
    <row r="1557" spans="8:8" x14ac:dyDescent="0.25">
      <c r="H1557" s="1"/>
    </row>
    <row r="1558" spans="8:8" x14ac:dyDescent="0.25">
      <c r="H1558" s="1"/>
    </row>
    <row r="1559" spans="8:8" x14ac:dyDescent="0.25">
      <c r="H1559" s="1"/>
    </row>
    <row r="1560" spans="8:8" x14ac:dyDescent="0.25">
      <c r="H1560" s="1"/>
    </row>
    <row r="1561" spans="8:8" x14ac:dyDescent="0.25">
      <c r="H1561" s="1"/>
    </row>
    <row r="1562" spans="8:8" x14ac:dyDescent="0.25">
      <c r="H1562" s="1"/>
    </row>
    <row r="1563" spans="8:8" x14ac:dyDescent="0.25">
      <c r="H1563" s="1"/>
    </row>
    <row r="1564" spans="8:8" x14ac:dyDescent="0.25">
      <c r="H1564" s="1"/>
    </row>
    <row r="1565" spans="8:8" x14ac:dyDescent="0.25">
      <c r="H1565" s="1"/>
    </row>
    <row r="1566" spans="8:8" x14ac:dyDescent="0.25">
      <c r="H1566" s="1"/>
    </row>
    <row r="1567" spans="8:8" x14ac:dyDescent="0.25">
      <c r="H1567" s="1"/>
    </row>
    <row r="1568" spans="8:8" x14ac:dyDescent="0.25">
      <c r="H1568" s="1"/>
    </row>
    <row r="1569" spans="8:8" x14ac:dyDescent="0.25">
      <c r="H1569" s="1"/>
    </row>
    <row r="1570" spans="8:8" x14ac:dyDescent="0.25">
      <c r="H1570" s="1"/>
    </row>
    <row r="1571" spans="8:8" x14ac:dyDescent="0.25">
      <c r="H1571" s="1"/>
    </row>
    <row r="1572" spans="8:8" x14ac:dyDescent="0.25">
      <c r="H1572" s="1"/>
    </row>
    <row r="1573" spans="8:8" x14ac:dyDescent="0.25">
      <c r="H1573" s="1"/>
    </row>
    <row r="1574" spans="8:8" x14ac:dyDescent="0.25">
      <c r="H1574" s="1"/>
    </row>
    <row r="1575" spans="8:8" x14ac:dyDescent="0.25">
      <c r="H1575" s="1"/>
    </row>
    <row r="1576" spans="8:8" x14ac:dyDescent="0.25">
      <c r="H1576" s="1"/>
    </row>
    <row r="1577" spans="8:8" x14ac:dyDescent="0.25">
      <c r="H1577" s="1"/>
    </row>
    <row r="1578" spans="8:8" x14ac:dyDescent="0.25">
      <c r="H1578" s="1"/>
    </row>
    <row r="1579" spans="8:8" x14ac:dyDescent="0.25">
      <c r="H1579" s="1"/>
    </row>
    <row r="1580" spans="8:8" x14ac:dyDescent="0.25">
      <c r="H1580" s="1"/>
    </row>
    <row r="1581" spans="8:8" x14ac:dyDescent="0.25">
      <c r="H1581" s="1"/>
    </row>
    <row r="1582" spans="8:8" x14ac:dyDescent="0.25">
      <c r="H1582" s="1"/>
    </row>
    <row r="1583" spans="8:8" x14ac:dyDescent="0.25">
      <c r="H1583" s="1"/>
    </row>
    <row r="1584" spans="8:8" x14ac:dyDescent="0.25">
      <c r="H1584" s="1"/>
    </row>
    <row r="1585" spans="8:8" x14ac:dyDescent="0.25">
      <c r="H1585" s="1"/>
    </row>
    <row r="1586" spans="8:8" x14ac:dyDescent="0.25">
      <c r="H1586" s="1"/>
    </row>
    <row r="1587" spans="8:8" x14ac:dyDescent="0.25">
      <c r="H1587" s="1"/>
    </row>
    <row r="1588" spans="8:8" x14ac:dyDescent="0.25">
      <c r="H1588" s="1"/>
    </row>
    <row r="1589" spans="8:8" x14ac:dyDescent="0.25">
      <c r="H1589" s="1"/>
    </row>
    <row r="1590" spans="8:8" x14ac:dyDescent="0.25">
      <c r="H1590" s="1"/>
    </row>
    <row r="1591" spans="8:8" x14ac:dyDescent="0.25">
      <c r="H1591" s="1"/>
    </row>
    <row r="1592" spans="8:8" x14ac:dyDescent="0.25">
      <c r="H1592" s="1"/>
    </row>
    <row r="1593" spans="8:8" x14ac:dyDescent="0.25">
      <c r="H1593" s="1"/>
    </row>
    <row r="1594" spans="8:8" x14ac:dyDescent="0.25">
      <c r="H1594" s="1"/>
    </row>
    <row r="1595" spans="8:8" x14ac:dyDescent="0.25">
      <c r="H1595" s="1"/>
    </row>
    <row r="1596" spans="8:8" x14ac:dyDescent="0.25">
      <c r="H1596" s="1"/>
    </row>
    <row r="1597" spans="8:8" x14ac:dyDescent="0.25">
      <c r="H1597" s="1"/>
    </row>
    <row r="1598" spans="8:8" x14ac:dyDescent="0.25">
      <c r="H1598" s="1"/>
    </row>
    <row r="1599" spans="8:8" x14ac:dyDescent="0.25">
      <c r="H1599" s="1"/>
    </row>
    <row r="1600" spans="8:8" x14ac:dyDescent="0.25">
      <c r="H1600" s="1"/>
    </row>
    <row r="1601" spans="8:8" x14ac:dyDescent="0.25">
      <c r="H1601" s="1"/>
    </row>
    <row r="1602" spans="8:8" x14ac:dyDescent="0.25">
      <c r="H1602" s="1"/>
    </row>
    <row r="1603" spans="8:8" x14ac:dyDescent="0.25">
      <c r="H1603" s="1"/>
    </row>
    <row r="1604" spans="8:8" x14ac:dyDescent="0.25">
      <c r="H1604" s="1"/>
    </row>
    <row r="1605" spans="8:8" x14ac:dyDescent="0.25">
      <c r="H1605" s="1"/>
    </row>
    <row r="1606" spans="8:8" x14ac:dyDescent="0.25">
      <c r="H1606" s="1"/>
    </row>
    <row r="1607" spans="8:8" x14ac:dyDescent="0.25">
      <c r="H1607" s="1"/>
    </row>
    <row r="1608" spans="8:8" x14ac:dyDescent="0.25">
      <c r="H1608" s="1"/>
    </row>
    <row r="1609" spans="8:8" x14ac:dyDescent="0.25">
      <c r="H1609" s="1"/>
    </row>
    <row r="1610" spans="8:8" x14ac:dyDescent="0.25">
      <c r="H1610" s="1"/>
    </row>
    <row r="1611" spans="8:8" x14ac:dyDescent="0.25">
      <c r="H1611" s="1"/>
    </row>
    <row r="1612" spans="8:8" x14ac:dyDescent="0.25">
      <c r="H1612" s="1"/>
    </row>
    <row r="1613" spans="8:8" x14ac:dyDescent="0.25">
      <c r="H1613" s="1"/>
    </row>
    <row r="1614" spans="8:8" x14ac:dyDescent="0.25">
      <c r="H1614" s="1"/>
    </row>
    <row r="1615" spans="8:8" x14ac:dyDescent="0.25">
      <c r="H1615" s="1"/>
    </row>
    <row r="1616" spans="8:8" x14ac:dyDescent="0.25">
      <c r="H1616" s="1"/>
    </row>
    <row r="1617" spans="8:8" x14ac:dyDescent="0.25">
      <c r="H1617" s="1"/>
    </row>
    <row r="1618" spans="8:8" x14ac:dyDescent="0.25">
      <c r="H1618" s="1"/>
    </row>
    <row r="1619" spans="8:8" x14ac:dyDescent="0.25">
      <c r="H1619" s="1"/>
    </row>
    <row r="1620" spans="8:8" x14ac:dyDescent="0.25">
      <c r="H1620" s="1"/>
    </row>
    <row r="1621" spans="8:8" x14ac:dyDescent="0.25">
      <c r="H1621" s="1"/>
    </row>
    <row r="1622" spans="8:8" x14ac:dyDescent="0.25">
      <c r="H1622" s="1"/>
    </row>
    <row r="1623" spans="8:8" x14ac:dyDescent="0.25">
      <c r="H1623" s="1"/>
    </row>
    <row r="1624" spans="8:8" x14ac:dyDescent="0.25">
      <c r="H1624" s="1"/>
    </row>
    <row r="1625" spans="8:8" x14ac:dyDescent="0.25">
      <c r="H1625" s="1"/>
    </row>
    <row r="1626" spans="8:8" x14ac:dyDescent="0.25">
      <c r="H1626" s="1"/>
    </row>
    <row r="1627" spans="8:8" x14ac:dyDescent="0.25">
      <c r="H1627" s="1"/>
    </row>
    <row r="1628" spans="8:8" x14ac:dyDescent="0.25">
      <c r="H1628" s="1"/>
    </row>
    <row r="1629" spans="8:8" x14ac:dyDescent="0.25">
      <c r="H1629" s="1"/>
    </row>
    <row r="1630" spans="8:8" x14ac:dyDescent="0.25">
      <c r="H1630" s="1"/>
    </row>
    <row r="1631" spans="8:8" x14ac:dyDescent="0.25">
      <c r="H1631" s="1"/>
    </row>
    <row r="1632" spans="8:8" x14ac:dyDescent="0.25">
      <c r="H1632" s="1"/>
    </row>
    <row r="1633" spans="8:8" x14ac:dyDescent="0.25">
      <c r="H1633" s="1"/>
    </row>
    <row r="1634" spans="8:8" x14ac:dyDescent="0.25">
      <c r="H1634" s="1"/>
    </row>
    <row r="1635" spans="8:8" x14ac:dyDescent="0.25">
      <c r="H1635" s="1"/>
    </row>
    <row r="1636" spans="8:8" x14ac:dyDescent="0.25">
      <c r="H1636" s="1"/>
    </row>
    <row r="1637" spans="8:8" x14ac:dyDescent="0.25">
      <c r="H1637" s="1"/>
    </row>
    <row r="1638" spans="8:8" x14ac:dyDescent="0.25">
      <c r="H1638" s="1"/>
    </row>
    <row r="1639" spans="8:8" x14ac:dyDescent="0.25">
      <c r="H1639" s="1"/>
    </row>
    <row r="1640" spans="8:8" x14ac:dyDescent="0.25">
      <c r="H1640" s="1"/>
    </row>
    <row r="1641" spans="8:8" x14ac:dyDescent="0.25">
      <c r="H1641" s="1"/>
    </row>
    <row r="1642" spans="8:8" x14ac:dyDescent="0.25">
      <c r="H1642" s="1"/>
    </row>
    <row r="1643" spans="8:8" x14ac:dyDescent="0.25">
      <c r="H1643" s="1"/>
    </row>
    <row r="1644" spans="8:8" x14ac:dyDescent="0.25">
      <c r="H1644" s="1"/>
    </row>
    <row r="1645" spans="8:8" x14ac:dyDescent="0.25">
      <c r="H1645" s="1"/>
    </row>
    <row r="1646" spans="8:8" x14ac:dyDescent="0.25">
      <c r="H1646" s="1"/>
    </row>
    <row r="1647" spans="8:8" x14ac:dyDescent="0.25">
      <c r="H1647" s="1"/>
    </row>
    <row r="1648" spans="8:8" x14ac:dyDescent="0.25">
      <c r="H1648" s="1"/>
    </row>
    <row r="1649" spans="8:8" x14ac:dyDescent="0.25">
      <c r="H1649" s="1"/>
    </row>
    <row r="1650" spans="8:8" x14ac:dyDescent="0.25">
      <c r="H1650" s="1"/>
    </row>
    <row r="1651" spans="8:8" x14ac:dyDescent="0.25">
      <c r="H1651" s="1"/>
    </row>
    <row r="1652" spans="8:8" x14ac:dyDescent="0.25">
      <c r="H1652" s="1"/>
    </row>
    <row r="1653" spans="8:8" x14ac:dyDescent="0.25">
      <c r="H1653" s="1"/>
    </row>
    <row r="1654" spans="8:8" x14ac:dyDescent="0.25">
      <c r="H1654" s="1"/>
    </row>
    <row r="1655" spans="8:8" x14ac:dyDescent="0.25">
      <c r="H1655" s="1"/>
    </row>
    <row r="1656" spans="8:8" x14ac:dyDescent="0.25">
      <c r="H1656" s="1"/>
    </row>
    <row r="1657" spans="8:8" x14ac:dyDescent="0.25">
      <c r="H1657" s="1"/>
    </row>
    <row r="1658" spans="8:8" x14ac:dyDescent="0.25">
      <c r="H1658" s="1"/>
    </row>
    <row r="1659" spans="8:8" x14ac:dyDescent="0.25">
      <c r="H1659" s="1"/>
    </row>
    <row r="1660" spans="8:8" x14ac:dyDescent="0.25">
      <c r="H1660" s="1"/>
    </row>
    <row r="1661" spans="8:8" x14ac:dyDescent="0.25">
      <c r="H1661" s="1"/>
    </row>
    <row r="1662" spans="8:8" x14ac:dyDescent="0.25">
      <c r="H1662" s="1"/>
    </row>
    <row r="1663" spans="8:8" x14ac:dyDescent="0.25">
      <c r="H1663" s="1"/>
    </row>
    <row r="1664" spans="8:8" x14ac:dyDescent="0.25">
      <c r="H1664" s="1"/>
    </row>
    <row r="1665" spans="8:8" x14ac:dyDescent="0.25">
      <c r="H1665" s="1"/>
    </row>
    <row r="1666" spans="8:8" x14ac:dyDescent="0.25">
      <c r="H1666" s="1"/>
    </row>
    <row r="1667" spans="8:8" x14ac:dyDescent="0.25">
      <c r="H1667" s="1"/>
    </row>
    <row r="1668" spans="8:8" x14ac:dyDescent="0.25">
      <c r="H1668" s="1"/>
    </row>
    <row r="1669" spans="8:8" x14ac:dyDescent="0.25">
      <c r="H1669" s="1"/>
    </row>
    <row r="1670" spans="8:8" x14ac:dyDescent="0.25">
      <c r="H1670" s="1"/>
    </row>
    <row r="1671" spans="8:8" x14ac:dyDescent="0.25">
      <c r="H1671" s="1"/>
    </row>
    <row r="1672" spans="8:8" x14ac:dyDescent="0.25">
      <c r="H1672" s="1"/>
    </row>
    <row r="1673" spans="8:8" x14ac:dyDescent="0.25">
      <c r="H1673" s="1"/>
    </row>
    <row r="1674" spans="8:8" x14ac:dyDescent="0.25">
      <c r="H1674" s="1"/>
    </row>
    <row r="1675" spans="8:8" x14ac:dyDescent="0.25">
      <c r="H1675" s="1"/>
    </row>
    <row r="1676" spans="8:8" x14ac:dyDescent="0.25">
      <c r="H1676" s="1"/>
    </row>
    <row r="1677" spans="8:8" x14ac:dyDescent="0.25">
      <c r="H1677" s="1"/>
    </row>
    <row r="1678" spans="8:8" x14ac:dyDescent="0.25">
      <c r="H1678" s="1"/>
    </row>
    <row r="1679" spans="8:8" x14ac:dyDescent="0.25">
      <c r="H1679" s="1"/>
    </row>
    <row r="1680" spans="8:8" x14ac:dyDescent="0.25">
      <c r="H1680" s="1"/>
    </row>
    <row r="1681" spans="8:8" x14ac:dyDescent="0.25">
      <c r="H1681" s="1"/>
    </row>
    <row r="1682" spans="8:8" x14ac:dyDescent="0.25">
      <c r="H1682" s="1"/>
    </row>
    <row r="1683" spans="8:8" x14ac:dyDescent="0.25">
      <c r="H1683" s="1"/>
    </row>
    <row r="1684" spans="8:8" x14ac:dyDescent="0.25">
      <c r="H1684" s="1"/>
    </row>
    <row r="1685" spans="8:8" x14ac:dyDescent="0.25">
      <c r="H1685" s="1"/>
    </row>
    <row r="1686" spans="8:8" x14ac:dyDescent="0.25">
      <c r="H1686" s="1"/>
    </row>
    <row r="1687" spans="8:8" x14ac:dyDescent="0.25">
      <c r="H1687" s="1"/>
    </row>
    <row r="1688" spans="8:8" x14ac:dyDescent="0.25">
      <c r="H1688" s="1"/>
    </row>
    <row r="1689" spans="8:8" x14ac:dyDescent="0.25">
      <c r="H1689" s="1"/>
    </row>
    <row r="1690" spans="8:8" x14ac:dyDescent="0.25">
      <c r="H1690" s="1"/>
    </row>
    <row r="1691" spans="8:8" x14ac:dyDescent="0.25">
      <c r="H1691" s="1"/>
    </row>
    <row r="1692" spans="8:8" x14ac:dyDescent="0.25">
      <c r="H1692" s="1"/>
    </row>
    <row r="1693" spans="8:8" x14ac:dyDescent="0.25">
      <c r="H1693" s="1"/>
    </row>
    <row r="1694" spans="8:8" x14ac:dyDescent="0.25">
      <c r="H1694" s="1"/>
    </row>
    <row r="1695" spans="8:8" x14ac:dyDescent="0.25">
      <c r="H1695" s="1"/>
    </row>
    <row r="1696" spans="8:8" x14ac:dyDescent="0.25">
      <c r="H1696" s="1"/>
    </row>
    <row r="1697" spans="8:8" x14ac:dyDescent="0.25">
      <c r="H1697" s="1"/>
    </row>
    <row r="1698" spans="8:8" x14ac:dyDescent="0.25">
      <c r="H1698" s="1"/>
    </row>
    <row r="1699" spans="8:8" x14ac:dyDescent="0.25">
      <c r="H1699" s="1"/>
    </row>
    <row r="1700" spans="8:8" x14ac:dyDescent="0.25">
      <c r="H1700" s="1"/>
    </row>
    <row r="1701" spans="8:8" x14ac:dyDescent="0.25">
      <c r="H1701" s="1"/>
    </row>
    <row r="1702" spans="8:8" x14ac:dyDescent="0.25">
      <c r="H1702" s="1"/>
    </row>
    <row r="1703" spans="8:8" x14ac:dyDescent="0.25">
      <c r="H1703" s="1"/>
    </row>
    <row r="1704" spans="8:8" x14ac:dyDescent="0.25">
      <c r="H1704" s="1"/>
    </row>
    <row r="1705" spans="8:8" x14ac:dyDescent="0.25">
      <c r="H1705" s="1"/>
    </row>
    <row r="1706" spans="8:8" x14ac:dyDescent="0.25">
      <c r="H1706" s="1"/>
    </row>
    <row r="1707" spans="8:8" x14ac:dyDescent="0.25">
      <c r="H1707" s="1"/>
    </row>
    <row r="1708" spans="8:8" x14ac:dyDescent="0.25">
      <c r="H1708" s="1"/>
    </row>
    <row r="1709" spans="8:8" x14ac:dyDescent="0.25">
      <c r="H1709" s="1"/>
    </row>
    <row r="1710" spans="8:8" x14ac:dyDescent="0.25">
      <c r="H1710" s="1"/>
    </row>
    <row r="1711" spans="8:8" x14ac:dyDescent="0.25">
      <c r="H1711" s="1"/>
    </row>
    <row r="1712" spans="8:8" x14ac:dyDescent="0.25">
      <c r="H1712" s="1"/>
    </row>
    <row r="1713" spans="8:8" x14ac:dyDescent="0.25">
      <c r="H1713" s="1"/>
    </row>
    <row r="1714" spans="8:8" x14ac:dyDescent="0.25">
      <c r="H1714" s="1"/>
    </row>
    <row r="1715" spans="8:8" x14ac:dyDescent="0.25">
      <c r="H1715" s="1"/>
    </row>
    <row r="1716" spans="8:8" x14ac:dyDescent="0.25">
      <c r="H1716" s="1"/>
    </row>
    <row r="1717" spans="8:8" x14ac:dyDescent="0.25">
      <c r="H1717" s="1"/>
    </row>
    <row r="1718" spans="8:8" x14ac:dyDescent="0.25">
      <c r="H1718" s="1"/>
    </row>
    <row r="1719" spans="8:8" x14ac:dyDescent="0.25">
      <c r="H1719" s="1"/>
    </row>
    <row r="1720" spans="8:8" x14ac:dyDescent="0.25">
      <c r="H1720" s="1"/>
    </row>
    <row r="1721" spans="8:8" x14ac:dyDescent="0.25">
      <c r="H1721" s="1"/>
    </row>
    <row r="1722" spans="8:8" x14ac:dyDescent="0.25">
      <c r="H1722" s="1"/>
    </row>
    <row r="1723" spans="8:8" x14ac:dyDescent="0.25">
      <c r="H1723" s="1"/>
    </row>
    <row r="1724" spans="8:8" x14ac:dyDescent="0.25">
      <c r="H1724" s="1"/>
    </row>
    <row r="1725" spans="8:8" x14ac:dyDescent="0.25">
      <c r="H1725" s="1"/>
    </row>
    <row r="1726" spans="8:8" x14ac:dyDescent="0.25">
      <c r="H1726" s="1"/>
    </row>
    <row r="1727" spans="8:8" x14ac:dyDescent="0.25">
      <c r="H1727" s="1"/>
    </row>
    <row r="1728" spans="8:8" x14ac:dyDescent="0.25">
      <c r="H1728" s="1"/>
    </row>
    <row r="1729" spans="8:8" x14ac:dyDescent="0.25">
      <c r="H1729" s="1"/>
    </row>
    <row r="1730" spans="8:8" x14ac:dyDescent="0.25">
      <c r="H1730" s="1"/>
    </row>
    <row r="1731" spans="8:8" x14ac:dyDescent="0.25">
      <c r="H1731" s="1"/>
    </row>
    <row r="1732" spans="8:8" x14ac:dyDescent="0.25">
      <c r="H1732" s="1"/>
    </row>
    <row r="1733" spans="8:8" x14ac:dyDescent="0.25">
      <c r="H1733" s="1"/>
    </row>
    <row r="1734" spans="8:8" x14ac:dyDescent="0.25">
      <c r="H1734" s="1"/>
    </row>
    <row r="1735" spans="8:8" x14ac:dyDescent="0.25">
      <c r="H1735" s="1"/>
    </row>
    <row r="1736" spans="8:8" x14ac:dyDescent="0.25">
      <c r="H1736" s="1"/>
    </row>
    <row r="1737" spans="8:8" x14ac:dyDescent="0.25">
      <c r="H1737" s="1"/>
    </row>
    <row r="1738" spans="8:8" x14ac:dyDescent="0.25">
      <c r="H1738" s="1"/>
    </row>
    <row r="1739" spans="8:8" x14ac:dyDescent="0.25">
      <c r="H1739" s="1"/>
    </row>
    <row r="1740" spans="8:8" x14ac:dyDescent="0.25">
      <c r="H1740" s="1"/>
    </row>
    <row r="1741" spans="8:8" x14ac:dyDescent="0.25">
      <c r="H1741" s="1"/>
    </row>
    <row r="1742" spans="8:8" x14ac:dyDescent="0.25">
      <c r="H1742" s="1"/>
    </row>
    <row r="1743" spans="8:8" x14ac:dyDescent="0.25">
      <c r="H1743" s="1"/>
    </row>
    <row r="1744" spans="8:8" x14ac:dyDescent="0.25">
      <c r="H1744" s="1"/>
    </row>
    <row r="1745" spans="8:8" x14ac:dyDescent="0.25">
      <c r="H1745" s="1"/>
    </row>
    <row r="1746" spans="8:8" x14ac:dyDescent="0.25">
      <c r="H1746" s="1"/>
    </row>
    <row r="1747" spans="8:8" x14ac:dyDescent="0.25">
      <c r="H1747" s="1"/>
    </row>
    <row r="1748" spans="8:8" x14ac:dyDescent="0.25">
      <c r="H1748" s="1"/>
    </row>
    <row r="1749" spans="8:8" x14ac:dyDescent="0.25">
      <c r="H1749" s="1"/>
    </row>
    <row r="1750" spans="8:8" x14ac:dyDescent="0.25">
      <c r="H1750" s="1"/>
    </row>
    <row r="1751" spans="8:8" x14ac:dyDescent="0.25">
      <c r="H1751" s="1"/>
    </row>
    <row r="1752" spans="8:8" x14ac:dyDescent="0.25">
      <c r="H1752" s="1"/>
    </row>
    <row r="1753" spans="8:8" x14ac:dyDescent="0.25">
      <c r="H1753" s="1"/>
    </row>
    <row r="1754" spans="8:8" x14ac:dyDescent="0.25">
      <c r="H1754" s="1"/>
    </row>
    <row r="1755" spans="8:8" x14ac:dyDescent="0.25">
      <c r="H1755" s="1"/>
    </row>
    <row r="1756" spans="8:8" x14ac:dyDescent="0.25">
      <c r="H1756" s="1"/>
    </row>
    <row r="1757" spans="8:8" x14ac:dyDescent="0.25">
      <c r="H1757" s="1"/>
    </row>
    <row r="1758" spans="8:8" x14ac:dyDescent="0.25">
      <c r="H1758" s="1"/>
    </row>
    <row r="1759" spans="8:8" x14ac:dyDescent="0.25">
      <c r="H1759" s="1"/>
    </row>
    <row r="1760" spans="8:8" x14ac:dyDescent="0.25">
      <c r="H1760" s="1"/>
    </row>
    <row r="1761" spans="8:8" x14ac:dyDescent="0.25">
      <c r="H1761" s="1"/>
    </row>
    <row r="1762" spans="8:8" x14ac:dyDescent="0.25">
      <c r="H1762" s="1"/>
    </row>
    <row r="1763" spans="8:8" x14ac:dyDescent="0.25">
      <c r="H1763" s="1"/>
    </row>
    <row r="1764" spans="8:8" x14ac:dyDescent="0.25">
      <c r="H1764" s="1"/>
    </row>
    <row r="1765" spans="8:8" x14ac:dyDescent="0.25">
      <c r="H1765" s="1"/>
    </row>
    <row r="1766" spans="8:8" x14ac:dyDescent="0.25">
      <c r="H1766" s="1"/>
    </row>
    <row r="1767" spans="8:8" x14ac:dyDescent="0.25">
      <c r="H1767" s="1"/>
    </row>
    <row r="1768" spans="8:8" x14ac:dyDescent="0.25">
      <c r="H1768" s="1"/>
    </row>
    <row r="1769" spans="8:8" x14ac:dyDescent="0.25">
      <c r="H1769" s="1"/>
    </row>
    <row r="1770" spans="8:8" x14ac:dyDescent="0.25">
      <c r="H1770" s="1"/>
    </row>
    <row r="1771" spans="8:8" x14ac:dyDescent="0.25">
      <c r="H1771" s="1"/>
    </row>
    <row r="1772" spans="8:8" x14ac:dyDescent="0.25">
      <c r="H1772" s="1"/>
    </row>
    <row r="1773" spans="8:8" x14ac:dyDescent="0.25">
      <c r="H1773" s="1"/>
    </row>
    <row r="1774" spans="8:8" x14ac:dyDescent="0.25">
      <c r="H1774" s="1"/>
    </row>
    <row r="1775" spans="8:8" x14ac:dyDescent="0.25">
      <c r="H1775" s="1"/>
    </row>
    <row r="1776" spans="8:8" x14ac:dyDescent="0.25">
      <c r="H1776" s="1"/>
    </row>
    <row r="1777" spans="8:8" x14ac:dyDescent="0.25">
      <c r="H1777" s="1"/>
    </row>
    <row r="1778" spans="8:8" x14ac:dyDescent="0.25">
      <c r="H1778" s="1"/>
    </row>
    <row r="1779" spans="8:8" x14ac:dyDescent="0.25">
      <c r="H1779" s="1"/>
    </row>
    <row r="1780" spans="8:8" x14ac:dyDescent="0.25">
      <c r="H1780" s="1"/>
    </row>
    <row r="1781" spans="8:8" x14ac:dyDescent="0.25">
      <c r="H1781" s="1"/>
    </row>
    <row r="1782" spans="8:8" x14ac:dyDescent="0.25">
      <c r="H1782" s="1"/>
    </row>
    <row r="1783" spans="8:8" x14ac:dyDescent="0.25">
      <c r="H1783" s="1"/>
    </row>
    <row r="1784" spans="8:8" x14ac:dyDescent="0.25">
      <c r="H1784" s="1"/>
    </row>
    <row r="1785" spans="8:8" x14ac:dyDescent="0.25">
      <c r="H1785" s="1"/>
    </row>
    <row r="1786" spans="8:8" x14ac:dyDescent="0.25">
      <c r="H1786" s="1"/>
    </row>
    <row r="1787" spans="8:8" x14ac:dyDescent="0.25">
      <c r="H1787" s="1"/>
    </row>
    <row r="1788" spans="8:8" x14ac:dyDescent="0.25">
      <c r="H1788" s="1"/>
    </row>
    <row r="1789" spans="8:8" x14ac:dyDescent="0.25">
      <c r="H1789" s="1"/>
    </row>
    <row r="1790" spans="8:8" x14ac:dyDescent="0.25">
      <c r="H1790" s="1"/>
    </row>
    <row r="1791" spans="8:8" x14ac:dyDescent="0.25">
      <c r="H1791" s="1"/>
    </row>
    <row r="1792" spans="8:8" x14ac:dyDescent="0.25">
      <c r="H1792" s="1"/>
    </row>
    <row r="1793" spans="8:8" x14ac:dyDescent="0.25">
      <c r="H1793" s="1"/>
    </row>
    <row r="1794" spans="8:8" x14ac:dyDescent="0.25">
      <c r="H1794" s="1"/>
    </row>
    <row r="1795" spans="8:8" x14ac:dyDescent="0.25">
      <c r="H1795" s="1"/>
    </row>
    <row r="1796" spans="8:8" x14ac:dyDescent="0.25">
      <c r="H1796" s="1"/>
    </row>
    <row r="1797" spans="8:8" x14ac:dyDescent="0.25">
      <c r="H1797" s="1"/>
    </row>
    <row r="1798" spans="8:8" x14ac:dyDescent="0.25">
      <c r="H1798" s="1"/>
    </row>
    <row r="1799" spans="8:8" x14ac:dyDescent="0.25">
      <c r="H1799" s="1"/>
    </row>
    <row r="1800" spans="8:8" x14ac:dyDescent="0.25">
      <c r="H1800" s="1"/>
    </row>
    <row r="1801" spans="8:8" x14ac:dyDescent="0.25">
      <c r="H1801" s="1"/>
    </row>
    <row r="1802" spans="8:8" x14ac:dyDescent="0.25">
      <c r="H1802" s="1"/>
    </row>
    <row r="1803" spans="8:8" x14ac:dyDescent="0.25">
      <c r="H1803" s="1"/>
    </row>
    <row r="1804" spans="8:8" x14ac:dyDescent="0.25">
      <c r="H1804" s="1"/>
    </row>
    <row r="1805" spans="8:8" x14ac:dyDescent="0.25">
      <c r="H1805" s="1"/>
    </row>
    <row r="1806" spans="8:8" x14ac:dyDescent="0.25">
      <c r="H1806" s="1"/>
    </row>
    <row r="1807" spans="8:8" x14ac:dyDescent="0.25">
      <c r="H1807" s="1"/>
    </row>
    <row r="1808" spans="8:8" x14ac:dyDescent="0.25">
      <c r="H1808" s="1"/>
    </row>
    <row r="1809" spans="8:8" x14ac:dyDescent="0.25">
      <c r="H1809" s="1"/>
    </row>
    <row r="1810" spans="8:8" x14ac:dyDescent="0.25">
      <c r="H1810" s="1"/>
    </row>
    <row r="1811" spans="8:8" x14ac:dyDescent="0.25">
      <c r="H1811" s="1"/>
    </row>
    <row r="1812" spans="8:8" x14ac:dyDescent="0.25">
      <c r="H1812" s="1"/>
    </row>
    <row r="1813" spans="8:8" x14ac:dyDescent="0.25">
      <c r="H1813" s="1"/>
    </row>
    <row r="1814" spans="8:8" x14ac:dyDescent="0.25">
      <c r="H1814" s="1"/>
    </row>
    <row r="1815" spans="8:8" x14ac:dyDescent="0.25">
      <c r="H1815" s="1"/>
    </row>
    <row r="1816" spans="8:8" x14ac:dyDescent="0.25">
      <c r="H1816" s="1"/>
    </row>
    <row r="1817" spans="8:8" x14ac:dyDescent="0.25">
      <c r="H1817" s="1"/>
    </row>
    <row r="1818" spans="8:8" x14ac:dyDescent="0.25">
      <c r="H1818" s="1"/>
    </row>
    <row r="1819" spans="8:8" x14ac:dyDescent="0.25">
      <c r="H1819" s="1"/>
    </row>
    <row r="1820" spans="8:8" x14ac:dyDescent="0.25">
      <c r="H1820" s="1"/>
    </row>
    <row r="1821" spans="8:8" x14ac:dyDescent="0.25">
      <c r="H1821" s="1"/>
    </row>
    <row r="1822" spans="8:8" x14ac:dyDescent="0.25">
      <c r="H1822" s="1"/>
    </row>
    <row r="1823" spans="8:8" x14ac:dyDescent="0.25">
      <c r="H1823" s="1"/>
    </row>
    <row r="1824" spans="8:8" x14ac:dyDescent="0.25">
      <c r="H1824" s="1"/>
    </row>
    <row r="1825" spans="8:8" x14ac:dyDescent="0.25">
      <c r="H1825" s="1"/>
    </row>
    <row r="1826" spans="8:8" x14ac:dyDescent="0.25">
      <c r="H1826" s="1"/>
    </row>
    <row r="1827" spans="8:8" x14ac:dyDescent="0.25">
      <c r="H1827" s="1"/>
    </row>
    <row r="1828" spans="8:8" x14ac:dyDescent="0.25">
      <c r="H1828" s="1"/>
    </row>
    <row r="1829" spans="8:8" x14ac:dyDescent="0.25">
      <c r="H1829" s="1"/>
    </row>
    <row r="1830" spans="8:8" x14ac:dyDescent="0.25">
      <c r="H1830" s="1"/>
    </row>
    <row r="1831" spans="8:8" x14ac:dyDescent="0.25">
      <c r="H1831" s="1"/>
    </row>
    <row r="1832" spans="8:8" x14ac:dyDescent="0.25">
      <c r="H1832" s="1"/>
    </row>
    <row r="1833" spans="8:8" x14ac:dyDescent="0.25">
      <c r="H1833" s="1"/>
    </row>
    <row r="1834" spans="8:8" x14ac:dyDescent="0.25">
      <c r="H1834" s="1"/>
    </row>
    <row r="1835" spans="8:8" x14ac:dyDescent="0.25">
      <c r="H1835" s="1"/>
    </row>
    <row r="1836" spans="8:8" x14ac:dyDescent="0.25">
      <c r="H1836" s="1"/>
    </row>
    <row r="1837" spans="8:8" x14ac:dyDescent="0.25">
      <c r="H1837" s="1"/>
    </row>
    <row r="1838" spans="8:8" x14ac:dyDescent="0.25">
      <c r="H1838" s="1"/>
    </row>
    <row r="1839" spans="8:8" x14ac:dyDescent="0.25">
      <c r="H1839" s="1"/>
    </row>
    <row r="1840" spans="8:8" x14ac:dyDescent="0.25">
      <c r="H1840" s="1"/>
    </row>
    <row r="1841" spans="8:8" x14ac:dyDescent="0.25">
      <c r="H1841" s="1"/>
    </row>
    <row r="1842" spans="8:8" x14ac:dyDescent="0.25">
      <c r="H1842" s="1"/>
    </row>
    <row r="1843" spans="8:8" x14ac:dyDescent="0.25">
      <c r="H1843" s="1"/>
    </row>
    <row r="1844" spans="8:8" x14ac:dyDescent="0.25">
      <c r="H1844" s="1"/>
    </row>
    <row r="1845" spans="8:8" x14ac:dyDescent="0.25">
      <c r="H1845" s="1"/>
    </row>
    <row r="1846" spans="8:8" x14ac:dyDescent="0.25">
      <c r="H1846" s="1"/>
    </row>
    <row r="1847" spans="8:8" x14ac:dyDescent="0.25">
      <c r="H1847" s="1"/>
    </row>
    <row r="1848" spans="8:8" x14ac:dyDescent="0.25">
      <c r="H1848" s="1"/>
    </row>
    <row r="1849" spans="8:8" x14ac:dyDescent="0.25">
      <c r="H1849" s="1"/>
    </row>
    <row r="1850" spans="8:8" x14ac:dyDescent="0.25">
      <c r="H1850" s="1"/>
    </row>
    <row r="1851" spans="8:8" x14ac:dyDescent="0.25">
      <c r="H1851" s="1"/>
    </row>
    <row r="1852" spans="8:8" x14ac:dyDescent="0.25">
      <c r="H1852" s="1"/>
    </row>
    <row r="1853" spans="8:8" x14ac:dyDescent="0.25">
      <c r="H1853" s="1"/>
    </row>
    <row r="1854" spans="8:8" x14ac:dyDescent="0.25">
      <c r="H1854" s="1"/>
    </row>
    <row r="1855" spans="8:8" x14ac:dyDescent="0.25">
      <c r="H1855" s="1"/>
    </row>
    <row r="1856" spans="8:8" x14ac:dyDescent="0.25">
      <c r="H1856" s="1"/>
    </row>
    <row r="1857" spans="8:8" x14ac:dyDescent="0.25">
      <c r="H1857" s="1"/>
    </row>
    <row r="1858" spans="8:8" x14ac:dyDescent="0.25">
      <c r="H1858" s="1"/>
    </row>
    <row r="1859" spans="8:8" x14ac:dyDescent="0.25">
      <c r="H1859" s="1"/>
    </row>
    <row r="1860" spans="8:8" x14ac:dyDescent="0.25">
      <c r="H1860" s="1"/>
    </row>
    <row r="1861" spans="8:8" x14ac:dyDescent="0.25">
      <c r="H1861" s="1"/>
    </row>
    <row r="1862" spans="8:8" x14ac:dyDescent="0.25">
      <c r="H1862" s="1"/>
    </row>
    <row r="1863" spans="8:8" x14ac:dyDescent="0.25">
      <c r="H1863" s="1"/>
    </row>
    <row r="1864" spans="8:8" x14ac:dyDescent="0.25">
      <c r="H1864" s="1"/>
    </row>
    <row r="1865" spans="8:8" x14ac:dyDescent="0.25">
      <c r="H1865" s="1"/>
    </row>
    <row r="1866" spans="8:8" x14ac:dyDescent="0.25">
      <c r="H1866" s="1"/>
    </row>
    <row r="1867" spans="8:8" x14ac:dyDescent="0.25">
      <c r="H1867" s="1"/>
    </row>
    <row r="1868" spans="8:8" x14ac:dyDescent="0.25">
      <c r="H1868" s="1"/>
    </row>
    <row r="1869" spans="8:8" x14ac:dyDescent="0.25">
      <c r="H1869" s="1"/>
    </row>
    <row r="1870" spans="8:8" x14ac:dyDescent="0.25">
      <c r="H1870" s="1"/>
    </row>
    <row r="1871" spans="8:8" x14ac:dyDescent="0.25">
      <c r="H1871" s="1"/>
    </row>
    <row r="1872" spans="8:8" x14ac:dyDescent="0.25">
      <c r="H1872" s="1"/>
    </row>
    <row r="1873" spans="8:8" x14ac:dyDescent="0.25">
      <c r="H1873" s="1"/>
    </row>
    <row r="1874" spans="8:8" x14ac:dyDescent="0.25">
      <c r="H1874" s="1"/>
    </row>
    <row r="1875" spans="8:8" x14ac:dyDescent="0.25">
      <c r="H1875" s="1"/>
    </row>
    <row r="1876" spans="8:8" x14ac:dyDescent="0.25">
      <c r="H1876" s="1"/>
    </row>
    <row r="1877" spans="8:8" x14ac:dyDescent="0.25">
      <c r="H1877" s="1"/>
    </row>
    <row r="1878" spans="8:8" x14ac:dyDescent="0.25">
      <c r="H1878" s="1"/>
    </row>
    <row r="1879" spans="8:8" x14ac:dyDescent="0.25">
      <c r="H1879" s="1"/>
    </row>
    <row r="1880" spans="8:8" x14ac:dyDescent="0.25">
      <c r="H1880" s="1"/>
    </row>
    <row r="1881" spans="8:8" x14ac:dyDescent="0.25">
      <c r="H1881" s="1"/>
    </row>
    <row r="1882" spans="8:8" x14ac:dyDescent="0.25">
      <c r="H1882" s="1"/>
    </row>
    <row r="1883" spans="8:8" x14ac:dyDescent="0.25">
      <c r="H1883" s="1"/>
    </row>
    <row r="1884" spans="8:8" x14ac:dyDescent="0.25">
      <c r="H1884" s="1"/>
    </row>
    <row r="1885" spans="8:8" x14ac:dyDescent="0.25">
      <c r="H1885" s="1"/>
    </row>
    <row r="1886" spans="8:8" x14ac:dyDescent="0.25">
      <c r="H1886" s="1"/>
    </row>
    <row r="1887" spans="8:8" x14ac:dyDescent="0.25">
      <c r="H1887" s="1"/>
    </row>
    <row r="1888" spans="8:8" x14ac:dyDescent="0.25">
      <c r="H1888" s="1"/>
    </row>
    <row r="1889" spans="8:8" x14ac:dyDescent="0.25">
      <c r="H1889" s="1"/>
    </row>
    <row r="1890" spans="8:8" x14ac:dyDescent="0.25">
      <c r="H1890" s="1"/>
    </row>
    <row r="1891" spans="8:8" x14ac:dyDescent="0.25">
      <c r="H1891" s="1"/>
    </row>
    <row r="1892" spans="8:8" x14ac:dyDescent="0.25">
      <c r="H1892" s="1"/>
    </row>
    <row r="1893" spans="8:8" x14ac:dyDescent="0.25">
      <c r="H1893" s="1"/>
    </row>
    <row r="1894" spans="8:8" x14ac:dyDescent="0.25">
      <c r="H1894" s="1"/>
    </row>
    <row r="1895" spans="8:8" x14ac:dyDescent="0.25">
      <c r="H1895" s="1"/>
    </row>
    <row r="1896" spans="8:8" x14ac:dyDescent="0.25">
      <c r="H1896" s="1"/>
    </row>
    <row r="1897" spans="8:8" x14ac:dyDescent="0.25">
      <c r="H1897" s="1"/>
    </row>
    <row r="1898" spans="8:8" x14ac:dyDescent="0.25">
      <c r="H1898" s="1"/>
    </row>
    <row r="1899" spans="8:8" x14ac:dyDescent="0.25">
      <c r="H1899" s="1"/>
    </row>
    <row r="1900" spans="8:8" x14ac:dyDescent="0.25">
      <c r="H1900" s="1"/>
    </row>
    <row r="1901" spans="8:8" x14ac:dyDescent="0.25">
      <c r="H1901" s="1"/>
    </row>
    <row r="1902" spans="8:8" x14ac:dyDescent="0.25">
      <c r="H1902" s="1"/>
    </row>
    <row r="1903" spans="8:8" x14ac:dyDescent="0.25">
      <c r="H1903" s="1"/>
    </row>
    <row r="1904" spans="8:8" x14ac:dyDescent="0.25">
      <c r="H1904" s="1"/>
    </row>
    <row r="1905" spans="8:8" x14ac:dyDescent="0.25">
      <c r="H1905" s="1"/>
    </row>
    <row r="1906" spans="8:8" x14ac:dyDescent="0.25">
      <c r="H1906" s="1"/>
    </row>
    <row r="1907" spans="8:8" x14ac:dyDescent="0.25">
      <c r="H1907" s="1"/>
    </row>
    <row r="1908" spans="8:8" x14ac:dyDescent="0.25">
      <c r="H1908" s="1"/>
    </row>
    <row r="1909" spans="8:8" x14ac:dyDescent="0.25">
      <c r="H1909" s="1"/>
    </row>
    <row r="1910" spans="8:8" x14ac:dyDescent="0.25">
      <c r="H1910" s="1"/>
    </row>
    <row r="1911" spans="8:8" x14ac:dyDescent="0.25">
      <c r="H1911" s="1"/>
    </row>
    <row r="1912" spans="8:8" x14ac:dyDescent="0.25">
      <c r="H1912" s="1"/>
    </row>
    <row r="1913" spans="8:8" x14ac:dyDescent="0.25">
      <c r="H1913" s="1"/>
    </row>
    <row r="1914" spans="8:8" x14ac:dyDescent="0.25">
      <c r="H1914" s="1"/>
    </row>
    <row r="1915" spans="8:8" x14ac:dyDescent="0.25">
      <c r="H1915" s="1"/>
    </row>
    <row r="1916" spans="8:8" x14ac:dyDescent="0.25">
      <c r="H1916" s="1"/>
    </row>
    <row r="1917" spans="8:8" x14ac:dyDescent="0.25">
      <c r="H1917" s="1"/>
    </row>
    <row r="1918" spans="8:8" x14ac:dyDescent="0.25">
      <c r="H1918" s="1"/>
    </row>
    <row r="1919" spans="8:8" x14ac:dyDescent="0.25">
      <c r="H1919" s="1"/>
    </row>
    <row r="1920" spans="8:8" x14ac:dyDescent="0.25">
      <c r="H1920" s="1"/>
    </row>
    <row r="1921" spans="8:8" x14ac:dyDescent="0.25">
      <c r="H1921" s="1"/>
    </row>
    <row r="1922" spans="8:8" x14ac:dyDescent="0.25">
      <c r="H1922" s="1"/>
    </row>
    <row r="1923" spans="8:8" x14ac:dyDescent="0.25">
      <c r="H1923" s="1"/>
    </row>
    <row r="1924" spans="8:8" x14ac:dyDescent="0.25">
      <c r="H1924" s="1"/>
    </row>
    <row r="1925" spans="8:8" x14ac:dyDescent="0.25">
      <c r="H1925" s="1"/>
    </row>
    <row r="1926" spans="8:8" x14ac:dyDescent="0.25">
      <c r="H1926" s="1"/>
    </row>
    <row r="1927" spans="8:8" x14ac:dyDescent="0.25">
      <c r="H1927" s="1"/>
    </row>
    <row r="1928" spans="8:8" x14ac:dyDescent="0.25">
      <c r="H1928" s="1"/>
    </row>
    <row r="1929" spans="8:8" x14ac:dyDescent="0.25">
      <c r="H1929" s="1"/>
    </row>
    <row r="1930" spans="8:8" x14ac:dyDescent="0.25">
      <c r="H1930" s="1"/>
    </row>
    <row r="1931" spans="8:8" x14ac:dyDescent="0.25">
      <c r="H1931" s="1"/>
    </row>
    <row r="1932" spans="8:8" x14ac:dyDescent="0.25">
      <c r="H1932" s="1"/>
    </row>
    <row r="1933" spans="8:8" x14ac:dyDescent="0.25">
      <c r="H1933" s="1"/>
    </row>
    <row r="1934" spans="8:8" x14ac:dyDescent="0.25">
      <c r="H1934" s="1"/>
    </row>
    <row r="1935" spans="8:8" x14ac:dyDescent="0.25">
      <c r="H1935" s="1"/>
    </row>
    <row r="1936" spans="8:8" x14ac:dyDescent="0.25">
      <c r="H1936" s="1"/>
    </row>
    <row r="1937" spans="8:8" x14ac:dyDescent="0.25">
      <c r="H1937" s="1"/>
    </row>
    <row r="1938" spans="8:8" x14ac:dyDescent="0.25">
      <c r="H1938" s="1"/>
    </row>
    <row r="1939" spans="8:8" x14ac:dyDescent="0.25">
      <c r="H1939" s="1"/>
    </row>
    <row r="1940" spans="8:8" x14ac:dyDescent="0.25">
      <c r="H1940" s="1"/>
    </row>
    <row r="1941" spans="8:8" x14ac:dyDescent="0.25">
      <c r="H1941" s="1"/>
    </row>
    <row r="1942" spans="8:8" x14ac:dyDescent="0.25">
      <c r="H1942" s="1"/>
    </row>
    <row r="1943" spans="8:8" x14ac:dyDescent="0.25">
      <c r="H1943" s="1"/>
    </row>
    <row r="1944" spans="8:8" x14ac:dyDescent="0.25">
      <c r="H1944" s="1"/>
    </row>
    <row r="1945" spans="8:8" x14ac:dyDescent="0.25">
      <c r="H1945" s="1"/>
    </row>
    <row r="1946" spans="8:8" x14ac:dyDescent="0.25">
      <c r="H1946" s="1"/>
    </row>
    <row r="1947" spans="8:8" x14ac:dyDescent="0.25">
      <c r="H1947" s="1"/>
    </row>
    <row r="1948" spans="8:8" x14ac:dyDescent="0.25">
      <c r="H1948" s="1"/>
    </row>
    <row r="1949" spans="8:8" x14ac:dyDescent="0.25">
      <c r="H1949" s="1"/>
    </row>
    <row r="1950" spans="8:8" x14ac:dyDescent="0.25">
      <c r="H1950" s="1"/>
    </row>
    <row r="1951" spans="8:8" x14ac:dyDescent="0.25">
      <c r="H1951" s="1"/>
    </row>
    <row r="1952" spans="8:8" x14ac:dyDescent="0.25">
      <c r="H1952" s="1"/>
    </row>
    <row r="1953" spans="8:8" x14ac:dyDescent="0.25">
      <c r="H1953" s="1"/>
    </row>
    <row r="1954" spans="8:8" x14ac:dyDescent="0.25">
      <c r="H1954" s="1"/>
    </row>
    <row r="1955" spans="8:8" x14ac:dyDescent="0.25">
      <c r="H1955" s="1"/>
    </row>
    <row r="1956" spans="8:8" x14ac:dyDescent="0.25">
      <c r="H1956" s="1"/>
    </row>
    <row r="1957" spans="8:8" x14ac:dyDescent="0.25">
      <c r="H1957" s="1"/>
    </row>
    <row r="1958" spans="8:8" x14ac:dyDescent="0.25">
      <c r="H1958" s="1"/>
    </row>
    <row r="1959" spans="8:8" x14ac:dyDescent="0.25">
      <c r="H1959" s="1"/>
    </row>
    <row r="1960" spans="8:8" x14ac:dyDescent="0.25">
      <c r="H1960" s="1"/>
    </row>
    <row r="1961" spans="8:8" x14ac:dyDescent="0.25">
      <c r="H1961" s="1"/>
    </row>
    <row r="1962" spans="8:8" x14ac:dyDescent="0.25">
      <c r="H1962" s="1"/>
    </row>
    <row r="1963" spans="8:8" x14ac:dyDescent="0.25">
      <c r="H1963" s="1"/>
    </row>
    <row r="1964" spans="8:8" x14ac:dyDescent="0.25">
      <c r="H1964" s="1"/>
    </row>
    <row r="1965" spans="8:8" x14ac:dyDescent="0.25">
      <c r="H1965" s="1"/>
    </row>
    <row r="1966" spans="8:8" x14ac:dyDescent="0.25">
      <c r="H1966" s="1"/>
    </row>
    <row r="1967" spans="8:8" x14ac:dyDescent="0.25">
      <c r="H1967" s="1"/>
    </row>
    <row r="1968" spans="8:8" x14ac:dyDescent="0.25">
      <c r="H1968" s="1"/>
    </row>
    <row r="1969" spans="8:8" x14ac:dyDescent="0.25">
      <c r="H1969" s="1"/>
    </row>
    <row r="1970" spans="8:8" x14ac:dyDescent="0.25">
      <c r="H1970" s="1"/>
    </row>
    <row r="1971" spans="8:8" x14ac:dyDescent="0.25">
      <c r="H1971" s="1"/>
    </row>
    <row r="1972" spans="8:8" x14ac:dyDescent="0.25">
      <c r="H1972" s="1"/>
    </row>
    <row r="1973" spans="8:8" x14ac:dyDescent="0.25">
      <c r="H1973" s="1"/>
    </row>
    <row r="1974" spans="8:8" x14ac:dyDescent="0.25">
      <c r="H1974" s="1"/>
    </row>
    <row r="1975" spans="8:8" x14ac:dyDescent="0.25">
      <c r="H1975" s="1"/>
    </row>
    <row r="1976" spans="8:8" x14ac:dyDescent="0.25">
      <c r="H1976" s="1"/>
    </row>
    <row r="1977" spans="8:8" x14ac:dyDescent="0.25">
      <c r="H1977" s="1"/>
    </row>
    <row r="1978" spans="8:8" x14ac:dyDescent="0.25">
      <c r="H1978" s="1"/>
    </row>
    <row r="1979" spans="8:8" x14ac:dyDescent="0.25">
      <c r="H1979" s="1"/>
    </row>
    <row r="1980" spans="8:8" x14ac:dyDescent="0.25">
      <c r="H1980" s="1"/>
    </row>
    <row r="1981" spans="8:8" x14ac:dyDescent="0.25">
      <c r="H1981" s="1"/>
    </row>
    <row r="1982" spans="8:8" x14ac:dyDescent="0.25">
      <c r="H1982" s="1"/>
    </row>
    <row r="1983" spans="8:8" x14ac:dyDescent="0.25">
      <c r="H1983" s="1"/>
    </row>
    <row r="1984" spans="8:8" x14ac:dyDescent="0.25">
      <c r="H1984" s="1"/>
    </row>
    <row r="1985" spans="8:8" x14ac:dyDescent="0.25">
      <c r="H1985" s="1"/>
    </row>
    <row r="1986" spans="8:8" x14ac:dyDescent="0.25">
      <c r="H1986" s="1"/>
    </row>
    <row r="1987" spans="8:8" x14ac:dyDescent="0.25">
      <c r="H1987" s="1"/>
    </row>
    <row r="1988" spans="8:8" x14ac:dyDescent="0.25">
      <c r="H1988" s="1"/>
    </row>
    <row r="1989" spans="8:8" x14ac:dyDescent="0.25">
      <c r="H1989" s="1"/>
    </row>
    <row r="1990" spans="8:8" x14ac:dyDescent="0.25">
      <c r="H1990" s="1"/>
    </row>
    <row r="1991" spans="8:8" x14ac:dyDescent="0.25">
      <c r="H1991" s="1"/>
    </row>
    <row r="1992" spans="8:8" x14ac:dyDescent="0.25">
      <c r="H1992" s="1"/>
    </row>
    <row r="1993" spans="8:8" x14ac:dyDescent="0.25">
      <c r="H1993" s="1"/>
    </row>
    <row r="1994" spans="8:8" x14ac:dyDescent="0.25">
      <c r="H1994" s="1"/>
    </row>
    <row r="1995" spans="8:8" x14ac:dyDescent="0.25">
      <c r="H1995" s="1"/>
    </row>
    <row r="1996" spans="8:8" x14ac:dyDescent="0.25">
      <c r="H1996" s="1"/>
    </row>
    <row r="1997" spans="8:8" x14ac:dyDescent="0.25">
      <c r="H1997" s="1"/>
    </row>
    <row r="1998" spans="8:8" x14ac:dyDescent="0.25">
      <c r="H1998" s="1"/>
    </row>
    <row r="1999" spans="8:8" x14ac:dyDescent="0.25">
      <c r="H1999" s="1"/>
    </row>
    <row r="2000" spans="8:8" x14ac:dyDescent="0.25">
      <c r="H2000" s="1"/>
    </row>
    <row r="2001" spans="8:8" x14ac:dyDescent="0.25">
      <c r="H2001" s="1"/>
    </row>
    <row r="2002" spans="8:8" x14ac:dyDescent="0.25">
      <c r="H2002" s="1"/>
    </row>
    <row r="2003" spans="8:8" x14ac:dyDescent="0.25">
      <c r="H2003" s="1"/>
    </row>
    <row r="2004" spans="8:8" x14ac:dyDescent="0.25">
      <c r="H2004" s="1"/>
    </row>
    <row r="2005" spans="8:8" x14ac:dyDescent="0.25">
      <c r="H2005" s="1"/>
    </row>
    <row r="2006" spans="8:8" x14ac:dyDescent="0.25">
      <c r="H2006" s="1"/>
    </row>
    <row r="2007" spans="8:8" x14ac:dyDescent="0.25">
      <c r="H2007" s="1"/>
    </row>
    <row r="2008" spans="8:8" x14ac:dyDescent="0.25">
      <c r="H2008" s="1"/>
    </row>
    <row r="2009" spans="8:8" x14ac:dyDescent="0.25">
      <c r="H2009" s="1"/>
    </row>
    <row r="2010" spans="8:8" x14ac:dyDescent="0.25">
      <c r="H2010" s="1"/>
    </row>
    <row r="2011" spans="8:8" x14ac:dyDescent="0.25">
      <c r="H2011" s="1"/>
    </row>
    <row r="2012" spans="8:8" x14ac:dyDescent="0.25">
      <c r="H2012" s="1"/>
    </row>
    <row r="2013" spans="8:8" x14ac:dyDescent="0.25">
      <c r="H2013" s="1"/>
    </row>
    <row r="2014" spans="8:8" x14ac:dyDescent="0.25">
      <c r="H2014" s="1"/>
    </row>
    <row r="2015" spans="8:8" x14ac:dyDescent="0.25">
      <c r="H2015" s="1"/>
    </row>
    <row r="2016" spans="8:8" x14ac:dyDescent="0.25">
      <c r="H2016" s="1"/>
    </row>
    <row r="2017" spans="8:8" x14ac:dyDescent="0.25">
      <c r="H2017" s="1"/>
    </row>
    <row r="2018" spans="8:8" x14ac:dyDescent="0.25">
      <c r="H2018" s="1"/>
    </row>
    <row r="2019" spans="8:8" x14ac:dyDescent="0.25">
      <c r="H2019" s="1"/>
    </row>
    <row r="2020" spans="8:8" x14ac:dyDescent="0.25">
      <c r="H2020" s="1"/>
    </row>
    <row r="2021" spans="8:8" x14ac:dyDescent="0.25">
      <c r="H2021" s="1"/>
    </row>
    <row r="2022" spans="8:8" x14ac:dyDescent="0.25">
      <c r="H2022" s="1"/>
    </row>
    <row r="2023" spans="8:8" x14ac:dyDescent="0.25">
      <c r="H2023" s="1"/>
    </row>
    <row r="2024" spans="8:8" x14ac:dyDescent="0.25">
      <c r="H2024" s="1"/>
    </row>
    <row r="2025" spans="8:8" x14ac:dyDescent="0.25">
      <c r="H2025" s="1"/>
    </row>
    <row r="2026" spans="8:8" x14ac:dyDescent="0.25">
      <c r="H2026" s="1"/>
    </row>
    <row r="2027" spans="8:8" x14ac:dyDescent="0.25">
      <c r="H2027" s="1"/>
    </row>
    <row r="2028" spans="8:8" x14ac:dyDescent="0.25">
      <c r="H2028" s="1"/>
    </row>
    <row r="2029" spans="8:8" x14ac:dyDescent="0.25">
      <c r="H2029" s="1"/>
    </row>
    <row r="2030" spans="8:8" x14ac:dyDescent="0.25">
      <c r="H2030" s="1"/>
    </row>
    <row r="2031" spans="8:8" x14ac:dyDescent="0.25">
      <c r="H2031" s="1"/>
    </row>
    <row r="2032" spans="8:8" x14ac:dyDescent="0.25">
      <c r="H2032" s="1"/>
    </row>
    <row r="2033" spans="8:8" x14ac:dyDescent="0.25">
      <c r="H2033" s="1"/>
    </row>
    <row r="2034" spans="8:8" x14ac:dyDescent="0.25">
      <c r="H2034" s="1"/>
    </row>
    <row r="2035" spans="8:8" x14ac:dyDescent="0.25">
      <c r="H2035" s="1"/>
    </row>
    <row r="2036" spans="8:8" x14ac:dyDescent="0.25">
      <c r="H2036" s="1"/>
    </row>
    <row r="2037" spans="8:8" x14ac:dyDescent="0.25">
      <c r="H2037" s="1"/>
    </row>
    <row r="2038" spans="8:8" x14ac:dyDescent="0.25">
      <c r="H2038" s="1"/>
    </row>
    <row r="2039" spans="8:8" x14ac:dyDescent="0.25">
      <c r="H2039" s="1"/>
    </row>
    <row r="2040" spans="8:8" x14ac:dyDescent="0.25">
      <c r="H2040" s="1"/>
    </row>
    <row r="2041" spans="8:8" x14ac:dyDescent="0.25">
      <c r="H2041" s="1"/>
    </row>
    <row r="2042" spans="8:8" x14ac:dyDescent="0.25">
      <c r="H2042" s="1"/>
    </row>
    <row r="2043" spans="8:8" x14ac:dyDescent="0.25">
      <c r="H2043" s="1"/>
    </row>
    <row r="2044" spans="8:8" x14ac:dyDescent="0.25">
      <c r="H2044" s="1"/>
    </row>
    <row r="2045" spans="8:8" x14ac:dyDescent="0.25">
      <c r="H2045" s="1"/>
    </row>
    <row r="2046" spans="8:8" x14ac:dyDescent="0.25">
      <c r="H2046" s="1"/>
    </row>
    <row r="2047" spans="8:8" x14ac:dyDescent="0.25">
      <c r="H2047" s="1"/>
    </row>
    <row r="2048" spans="8:8" x14ac:dyDescent="0.25">
      <c r="H2048" s="1"/>
    </row>
    <row r="2049" spans="8:8" x14ac:dyDescent="0.25">
      <c r="H2049" s="1"/>
    </row>
    <row r="2050" spans="8:8" x14ac:dyDescent="0.25">
      <c r="H2050" s="1"/>
    </row>
    <row r="2051" spans="8:8" x14ac:dyDescent="0.25">
      <c r="H2051" s="1"/>
    </row>
    <row r="2052" spans="8:8" x14ac:dyDescent="0.25">
      <c r="H2052" s="1"/>
    </row>
    <row r="2053" spans="8:8" x14ac:dyDescent="0.25">
      <c r="H2053" s="1"/>
    </row>
    <row r="2054" spans="8:8" x14ac:dyDescent="0.25">
      <c r="H2054" s="1"/>
    </row>
    <row r="2055" spans="8:8" x14ac:dyDescent="0.25">
      <c r="H2055" s="1"/>
    </row>
    <row r="2056" spans="8:8" x14ac:dyDescent="0.25">
      <c r="H2056" s="1"/>
    </row>
    <row r="2057" spans="8:8" x14ac:dyDescent="0.25">
      <c r="H2057" s="1"/>
    </row>
    <row r="2058" spans="8:8" x14ac:dyDescent="0.25">
      <c r="H2058" s="1"/>
    </row>
    <row r="2059" spans="8:8" x14ac:dyDescent="0.25">
      <c r="H2059" s="1"/>
    </row>
    <row r="2060" spans="8:8" x14ac:dyDescent="0.25">
      <c r="H2060" s="1"/>
    </row>
    <row r="2061" spans="8:8" x14ac:dyDescent="0.25">
      <c r="H2061" s="1"/>
    </row>
    <row r="2062" spans="8:8" x14ac:dyDescent="0.25">
      <c r="H2062" s="1"/>
    </row>
    <row r="2063" spans="8:8" x14ac:dyDescent="0.25">
      <c r="H2063" s="1"/>
    </row>
    <row r="2064" spans="8:8" x14ac:dyDescent="0.25">
      <c r="H2064" s="1"/>
    </row>
    <row r="2065" spans="8:8" x14ac:dyDescent="0.25">
      <c r="H2065" s="1"/>
    </row>
    <row r="2066" spans="8:8" x14ac:dyDescent="0.25">
      <c r="H2066" s="1"/>
    </row>
    <row r="2067" spans="8:8" x14ac:dyDescent="0.25">
      <c r="H2067" s="1"/>
    </row>
    <row r="2068" spans="8:8" x14ac:dyDescent="0.25">
      <c r="H2068" s="1"/>
    </row>
    <row r="2069" spans="8:8" x14ac:dyDescent="0.25">
      <c r="H2069" s="1"/>
    </row>
    <row r="2070" spans="8:8" x14ac:dyDescent="0.25">
      <c r="H2070" s="1"/>
    </row>
    <row r="2071" spans="8:8" x14ac:dyDescent="0.25">
      <c r="H2071" s="1"/>
    </row>
    <row r="2072" spans="8:8" x14ac:dyDescent="0.25">
      <c r="H2072" s="1"/>
    </row>
    <row r="2073" spans="8:8" x14ac:dyDescent="0.25">
      <c r="H2073" s="1"/>
    </row>
    <row r="2074" spans="8:8" x14ac:dyDescent="0.25">
      <c r="H2074" s="1"/>
    </row>
    <row r="2075" spans="8:8" x14ac:dyDescent="0.25">
      <c r="H2075" s="1"/>
    </row>
    <row r="2076" spans="8:8" x14ac:dyDescent="0.25">
      <c r="H2076" s="1"/>
    </row>
    <row r="2077" spans="8:8" x14ac:dyDescent="0.25">
      <c r="H2077" s="1"/>
    </row>
    <row r="2078" spans="8:8" x14ac:dyDescent="0.25">
      <c r="H2078" s="1"/>
    </row>
    <row r="2079" spans="8:8" x14ac:dyDescent="0.25">
      <c r="H2079" s="1"/>
    </row>
    <row r="2080" spans="8:8" x14ac:dyDescent="0.25">
      <c r="H2080" s="1"/>
    </row>
    <row r="2081" spans="8:8" x14ac:dyDescent="0.25">
      <c r="H2081" s="1"/>
    </row>
    <row r="2082" spans="8:8" x14ac:dyDescent="0.25">
      <c r="H2082" s="1"/>
    </row>
    <row r="2083" spans="8:8" x14ac:dyDescent="0.25">
      <c r="H2083" s="1"/>
    </row>
    <row r="2084" spans="8:8" x14ac:dyDescent="0.25">
      <c r="H2084" s="1"/>
    </row>
    <row r="2085" spans="8:8" x14ac:dyDescent="0.25">
      <c r="H2085" s="1"/>
    </row>
    <row r="2086" spans="8:8" x14ac:dyDescent="0.25">
      <c r="H2086" s="1"/>
    </row>
    <row r="2087" spans="8:8" x14ac:dyDescent="0.25">
      <c r="H2087" s="1"/>
    </row>
    <row r="2088" spans="8:8" x14ac:dyDescent="0.25">
      <c r="H2088" s="1"/>
    </row>
    <row r="2089" spans="8:8" x14ac:dyDescent="0.25">
      <c r="H2089" s="1"/>
    </row>
    <row r="2090" spans="8:8" x14ac:dyDescent="0.25">
      <c r="H2090" s="1"/>
    </row>
    <row r="2091" spans="8:8" x14ac:dyDescent="0.25">
      <c r="H2091" s="1"/>
    </row>
    <row r="2092" spans="8:8" x14ac:dyDescent="0.25">
      <c r="H2092" s="1"/>
    </row>
    <row r="2093" spans="8:8" x14ac:dyDescent="0.25">
      <c r="H2093" s="1"/>
    </row>
    <row r="2094" spans="8:8" x14ac:dyDescent="0.25">
      <c r="H2094" s="1"/>
    </row>
    <row r="2095" spans="8:8" x14ac:dyDescent="0.25">
      <c r="H2095" s="1"/>
    </row>
    <row r="2096" spans="8:8" x14ac:dyDescent="0.25">
      <c r="H2096" s="1"/>
    </row>
    <row r="2097" spans="8:8" x14ac:dyDescent="0.25">
      <c r="H2097" s="1"/>
    </row>
    <row r="2098" spans="8:8" x14ac:dyDescent="0.25">
      <c r="H2098" s="1"/>
    </row>
    <row r="2099" spans="8:8" x14ac:dyDescent="0.25">
      <c r="H2099" s="1"/>
    </row>
    <row r="2100" spans="8:8" x14ac:dyDescent="0.25">
      <c r="H2100" s="1"/>
    </row>
    <row r="2101" spans="8:8" x14ac:dyDescent="0.25">
      <c r="H2101" s="1"/>
    </row>
    <row r="2102" spans="8:8" x14ac:dyDescent="0.25">
      <c r="H2102" s="1"/>
    </row>
    <row r="2103" spans="8:8" x14ac:dyDescent="0.25">
      <c r="H2103" s="1"/>
    </row>
    <row r="2104" spans="8:8" x14ac:dyDescent="0.25">
      <c r="H2104" s="1"/>
    </row>
    <row r="2105" spans="8:8" x14ac:dyDescent="0.25">
      <c r="H2105" s="1"/>
    </row>
    <row r="2106" spans="8:8" x14ac:dyDescent="0.25">
      <c r="H2106" s="1"/>
    </row>
    <row r="2107" spans="8:8" x14ac:dyDescent="0.25">
      <c r="H2107" s="1"/>
    </row>
    <row r="2108" spans="8:8" x14ac:dyDescent="0.25">
      <c r="H2108" s="1"/>
    </row>
    <row r="2109" spans="8:8" x14ac:dyDescent="0.25">
      <c r="H2109" s="1"/>
    </row>
    <row r="2110" spans="8:8" x14ac:dyDescent="0.25">
      <c r="H2110" s="1"/>
    </row>
    <row r="2111" spans="8:8" x14ac:dyDescent="0.25">
      <c r="H2111" s="1"/>
    </row>
    <row r="2112" spans="8:8" x14ac:dyDescent="0.25">
      <c r="H2112" s="1"/>
    </row>
    <row r="2113" spans="8:8" x14ac:dyDescent="0.25">
      <c r="H2113" s="1"/>
    </row>
    <row r="2114" spans="8:8" x14ac:dyDescent="0.25">
      <c r="H2114" s="1"/>
    </row>
    <row r="2115" spans="8:8" x14ac:dyDescent="0.25">
      <c r="H2115" s="1"/>
    </row>
    <row r="2116" spans="8:8" x14ac:dyDescent="0.25">
      <c r="H2116" s="1"/>
    </row>
    <row r="2117" spans="8:8" x14ac:dyDescent="0.25">
      <c r="H2117" s="1"/>
    </row>
    <row r="2118" spans="8:8" x14ac:dyDescent="0.25">
      <c r="H2118" s="1"/>
    </row>
    <row r="2119" spans="8:8" x14ac:dyDescent="0.25">
      <c r="H2119" s="1"/>
    </row>
    <row r="2120" spans="8:8" x14ac:dyDescent="0.25">
      <c r="H2120" s="1"/>
    </row>
    <row r="2121" spans="8:8" x14ac:dyDescent="0.25">
      <c r="H2121" s="1"/>
    </row>
    <row r="2122" spans="8:8" x14ac:dyDescent="0.25">
      <c r="H2122" s="1"/>
    </row>
    <row r="2123" spans="8:8" x14ac:dyDescent="0.25">
      <c r="H2123" s="1"/>
    </row>
    <row r="2124" spans="8:8" x14ac:dyDescent="0.25">
      <c r="H2124" s="1"/>
    </row>
    <row r="2125" spans="8:8" x14ac:dyDescent="0.25">
      <c r="H2125" s="1"/>
    </row>
    <row r="2126" spans="8:8" x14ac:dyDescent="0.25">
      <c r="H2126" s="1"/>
    </row>
    <row r="2127" spans="8:8" x14ac:dyDescent="0.25">
      <c r="H2127" s="1"/>
    </row>
    <row r="2128" spans="8:8" x14ac:dyDescent="0.25">
      <c r="H2128" s="1"/>
    </row>
    <row r="2129" spans="8:8" x14ac:dyDescent="0.25">
      <c r="H2129" s="1"/>
    </row>
    <row r="2130" spans="8:8" x14ac:dyDescent="0.25">
      <c r="H2130" s="1"/>
    </row>
    <row r="2131" spans="8:8" x14ac:dyDescent="0.25">
      <c r="H2131" s="1"/>
    </row>
    <row r="2132" spans="8:8" x14ac:dyDescent="0.25">
      <c r="H2132" s="1"/>
    </row>
    <row r="2133" spans="8:8" x14ac:dyDescent="0.25">
      <c r="H2133" s="1"/>
    </row>
    <row r="2134" spans="8:8" x14ac:dyDescent="0.25">
      <c r="H2134" s="1"/>
    </row>
    <row r="2135" spans="8:8" x14ac:dyDescent="0.25">
      <c r="H2135" s="1"/>
    </row>
    <row r="2136" spans="8:8" x14ac:dyDescent="0.25">
      <c r="H2136" s="1"/>
    </row>
    <row r="2137" spans="8:8" x14ac:dyDescent="0.25">
      <c r="H2137" s="1"/>
    </row>
    <row r="2138" spans="8:8" x14ac:dyDescent="0.25">
      <c r="H2138" s="1"/>
    </row>
    <row r="2139" spans="8:8" x14ac:dyDescent="0.25">
      <c r="H2139" s="1"/>
    </row>
    <row r="2140" spans="8:8" x14ac:dyDescent="0.25">
      <c r="H2140" s="1"/>
    </row>
    <row r="2141" spans="8:8" x14ac:dyDescent="0.25">
      <c r="H2141" s="1"/>
    </row>
    <row r="2142" spans="8:8" x14ac:dyDescent="0.25">
      <c r="H2142" s="1"/>
    </row>
    <row r="2143" spans="8:8" x14ac:dyDescent="0.25">
      <c r="H2143" s="1"/>
    </row>
    <row r="2144" spans="8:8" x14ac:dyDescent="0.25">
      <c r="H2144" s="1"/>
    </row>
    <row r="2145" spans="8:8" x14ac:dyDescent="0.25">
      <c r="H2145" s="1"/>
    </row>
    <row r="2146" spans="8:8" x14ac:dyDescent="0.25">
      <c r="H2146" s="1"/>
    </row>
    <row r="2147" spans="8:8" x14ac:dyDescent="0.25">
      <c r="H2147" s="1"/>
    </row>
    <row r="2148" spans="8:8" x14ac:dyDescent="0.25">
      <c r="H2148" s="1"/>
    </row>
    <row r="2149" spans="8:8" x14ac:dyDescent="0.25">
      <c r="H2149" s="1"/>
    </row>
    <row r="2150" spans="8:8" x14ac:dyDescent="0.25">
      <c r="H2150" s="1"/>
    </row>
    <row r="2151" spans="8:8" x14ac:dyDescent="0.25">
      <c r="H2151" s="1"/>
    </row>
    <row r="2152" spans="8:8" x14ac:dyDescent="0.25">
      <c r="H2152" s="1"/>
    </row>
    <row r="2153" spans="8:8" x14ac:dyDescent="0.25">
      <c r="H2153" s="1"/>
    </row>
    <row r="2154" spans="8:8" x14ac:dyDescent="0.25">
      <c r="H2154" s="1"/>
    </row>
    <row r="2155" spans="8:8" x14ac:dyDescent="0.25">
      <c r="H2155" s="1"/>
    </row>
    <row r="2156" spans="8:8" x14ac:dyDescent="0.25">
      <c r="H2156" s="1"/>
    </row>
    <row r="2157" spans="8:8" x14ac:dyDescent="0.25">
      <c r="H2157" s="1"/>
    </row>
    <row r="2158" spans="8:8" x14ac:dyDescent="0.25">
      <c r="H2158" s="1"/>
    </row>
    <row r="2159" spans="8:8" x14ac:dyDescent="0.25">
      <c r="H2159" s="1"/>
    </row>
    <row r="2160" spans="8:8" x14ac:dyDescent="0.25">
      <c r="H2160" s="1"/>
    </row>
    <row r="2161" spans="8:8" x14ac:dyDescent="0.25">
      <c r="H2161" s="1"/>
    </row>
    <row r="2162" spans="8:8" x14ac:dyDescent="0.25">
      <c r="H2162" s="1"/>
    </row>
    <row r="2163" spans="8:8" x14ac:dyDescent="0.25">
      <c r="H2163" s="1"/>
    </row>
    <row r="2164" spans="8:8" x14ac:dyDescent="0.25">
      <c r="H2164" s="1"/>
    </row>
    <row r="2165" spans="8:8" x14ac:dyDescent="0.25">
      <c r="H2165" s="1"/>
    </row>
    <row r="2166" spans="8:8" x14ac:dyDescent="0.25">
      <c r="H2166" s="1"/>
    </row>
    <row r="2167" spans="8:8" x14ac:dyDescent="0.25">
      <c r="H2167" s="1"/>
    </row>
    <row r="2168" spans="8:8" x14ac:dyDescent="0.25">
      <c r="H2168" s="1"/>
    </row>
    <row r="2169" spans="8:8" x14ac:dyDescent="0.25">
      <c r="H2169" s="1"/>
    </row>
    <row r="2170" spans="8:8" x14ac:dyDescent="0.25">
      <c r="H2170" s="1"/>
    </row>
    <row r="2171" spans="8:8" x14ac:dyDescent="0.25">
      <c r="H2171" s="1"/>
    </row>
    <row r="2172" spans="8:8" x14ac:dyDescent="0.25">
      <c r="H2172" s="1"/>
    </row>
    <row r="2173" spans="8:8" x14ac:dyDescent="0.25">
      <c r="H2173" s="1"/>
    </row>
    <row r="2174" spans="8:8" x14ac:dyDescent="0.25">
      <c r="H2174" s="1"/>
    </row>
    <row r="2175" spans="8:8" x14ac:dyDescent="0.25">
      <c r="H2175" s="1"/>
    </row>
    <row r="2176" spans="8:8" x14ac:dyDescent="0.25">
      <c r="H2176" s="1"/>
    </row>
    <row r="2177" spans="8:8" x14ac:dyDescent="0.25">
      <c r="H2177" s="1"/>
    </row>
    <row r="2178" spans="8:8" x14ac:dyDescent="0.25">
      <c r="H2178" s="1"/>
    </row>
    <row r="2179" spans="8:8" x14ac:dyDescent="0.25">
      <c r="H2179" s="1"/>
    </row>
    <row r="2180" spans="8:8" x14ac:dyDescent="0.25">
      <c r="H2180" s="1"/>
    </row>
    <row r="2181" spans="8:8" x14ac:dyDescent="0.25">
      <c r="H2181" s="1"/>
    </row>
    <row r="2182" spans="8:8" x14ac:dyDescent="0.25">
      <c r="H2182" s="1"/>
    </row>
    <row r="2183" spans="8:8" x14ac:dyDescent="0.25">
      <c r="H2183" s="1"/>
    </row>
    <row r="2184" spans="8:8" x14ac:dyDescent="0.25">
      <c r="H2184" s="1"/>
    </row>
    <row r="2185" spans="8:8" x14ac:dyDescent="0.25">
      <c r="H2185" s="1"/>
    </row>
    <row r="2186" spans="8:8" x14ac:dyDescent="0.25">
      <c r="H2186" s="1"/>
    </row>
    <row r="2187" spans="8:8" x14ac:dyDescent="0.25">
      <c r="H2187" s="1"/>
    </row>
    <row r="2188" spans="8:8" x14ac:dyDescent="0.25">
      <c r="H2188" s="1"/>
    </row>
    <row r="2189" spans="8:8" x14ac:dyDescent="0.25">
      <c r="H2189" s="1"/>
    </row>
    <row r="2190" spans="8:8" x14ac:dyDescent="0.25">
      <c r="H2190" s="1"/>
    </row>
    <row r="2191" spans="8:8" x14ac:dyDescent="0.25">
      <c r="H2191" s="1"/>
    </row>
    <row r="2192" spans="8:8" x14ac:dyDescent="0.25">
      <c r="H2192" s="1"/>
    </row>
    <row r="2193" spans="8:8" x14ac:dyDescent="0.25">
      <c r="H2193" s="1"/>
    </row>
    <row r="2194" spans="8:8" x14ac:dyDescent="0.25">
      <c r="H2194" s="1"/>
    </row>
    <row r="2195" spans="8:8" x14ac:dyDescent="0.25">
      <c r="H2195" s="1"/>
    </row>
    <row r="2196" spans="8:8" x14ac:dyDescent="0.25">
      <c r="H2196" s="1"/>
    </row>
    <row r="2197" spans="8:8" x14ac:dyDescent="0.25">
      <c r="H2197" s="1"/>
    </row>
    <row r="2198" spans="8:8" x14ac:dyDescent="0.25">
      <c r="H2198" s="1"/>
    </row>
    <row r="2199" spans="8:8" x14ac:dyDescent="0.25">
      <c r="H2199" s="1"/>
    </row>
    <row r="2200" spans="8:8" x14ac:dyDescent="0.25">
      <c r="H2200" s="1"/>
    </row>
    <row r="2201" spans="8:8" x14ac:dyDescent="0.25">
      <c r="H2201" s="1"/>
    </row>
    <row r="2202" spans="8:8" x14ac:dyDescent="0.25">
      <c r="H2202" s="1"/>
    </row>
    <row r="2203" spans="8:8" x14ac:dyDescent="0.25">
      <c r="H2203" s="1"/>
    </row>
    <row r="2204" spans="8:8" x14ac:dyDescent="0.25">
      <c r="H2204" s="1"/>
    </row>
    <row r="2205" spans="8:8" x14ac:dyDescent="0.25">
      <c r="H2205" s="1"/>
    </row>
    <row r="2206" spans="8:8" x14ac:dyDescent="0.25">
      <c r="H2206" s="1"/>
    </row>
    <row r="2207" spans="8:8" x14ac:dyDescent="0.25">
      <c r="H2207" s="1"/>
    </row>
    <row r="2208" spans="8:8" x14ac:dyDescent="0.25">
      <c r="H2208" s="1"/>
    </row>
    <row r="2209" spans="8:8" x14ac:dyDescent="0.25">
      <c r="H2209" s="1"/>
    </row>
    <row r="2210" spans="8:8" x14ac:dyDescent="0.25">
      <c r="H2210" s="1"/>
    </row>
    <row r="2211" spans="8:8" x14ac:dyDescent="0.25">
      <c r="H2211" s="1"/>
    </row>
    <row r="2212" spans="8:8" x14ac:dyDescent="0.25">
      <c r="H2212" s="1"/>
    </row>
    <row r="2213" spans="8:8" x14ac:dyDescent="0.25">
      <c r="H2213" s="1"/>
    </row>
    <row r="2214" spans="8:8" x14ac:dyDescent="0.25">
      <c r="H2214" s="1"/>
    </row>
    <row r="2215" spans="8:8" x14ac:dyDescent="0.25">
      <c r="H2215" s="1"/>
    </row>
    <row r="2216" spans="8:8" x14ac:dyDescent="0.25">
      <c r="H2216" s="1"/>
    </row>
    <row r="2217" spans="8:8" x14ac:dyDescent="0.25">
      <c r="H2217" s="1"/>
    </row>
    <row r="2218" spans="8:8" x14ac:dyDescent="0.25">
      <c r="H2218" s="1"/>
    </row>
    <row r="2219" spans="8:8" x14ac:dyDescent="0.25">
      <c r="H2219" s="1"/>
    </row>
    <row r="2220" spans="8:8" x14ac:dyDescent="0.25">
      <c r="H2220" s="1"/>
    </row>
    <row r="2221" spans="8:8" x14ac:dyDescent="0.25">
      <c r="H2221" s="1"/>
    </row>
    <row r="2222" spans="8:8" x14ac:dyDescent="0.25">
      <c r="H2222" s="1"/>
    </row>
    <row r="2223" spans="8:8" x14ac:dyDescent="0.25">
      <c r="H2223" s="1"/>
    </row>
    <row r="2224" spans="8:8" x14ac:dyDescent="0.25">
      <c r="H2224" s="1"/>
    </row>
    <row r="2225" spans="8:8" x14ac:dyDescent="0.25">
      <c r="H2225" s="1"/>
    </row>
    <row r="2226" spans="8:8" x14ac:dyDescent="0.25">
      <c r="H2226" s="1"/>
    </row>
    <row r="2227" spans="8:8" x14ac:dyDescent="0.25">
      <c r="H2227" s="1"/>
    </row>
    <row r="2228" spans="8:8" x14ac:dyDescent="0.25">
      <c r="H2228" s="1"/>
    </row>
    <row r="2229" spans="8:8" x14ac:dyDescent="0.25">
      <c r="H2229" s="1"/>
    </row>
    <row r="2230" spans="8:8" x14ac:dyDescent="0.25">
      <c r="H2230" s="1"/>
    </row>
    <row r="2231" spans="8:8" x14ac:dyDescent="0.25">
      <c r="H2231" s="1"/>
    </row>
    <row r="2232" spans="8:8" x14ac:dyDescent="0.25">
      <c r="H2232" s="1"/>
    </row>
    <row r="2233" spans="8:8" x14ac:dyDescent="0.25">
      <c r="H2233" s="1"/>
    </row>
    <row r="2234" spans="8:8" x14ac:dyDescent="0.25">
      <c r="H2234" s="1"/>
    </row>
    <row r="2235" spans="8:8" x14ac:dyDescent="0.25">
      <c r="H2235" s="1"/>
    </row>
    <row r="2236" spans="8:8" x14ac:dyDescent="0.25">
      <c r="H2236" s="1"/>
    </row>
    <row r="2237" spans="8:8" x14ac:dyDescent="0.25">
      <c r="H2237" s="1"/>
    </row>
    <row r="2238" spans="8:8" x14ac:dyDescent="0.25">
      <c r="H2238" s="1"/>
    </row>
    <row r="2239" spans="8:8" x14ac:dyDescent="0.25">
      <c r="H2239" s="1"/>
    </row>
    <row r="2240" spans="8:8" x14ac:dyDescent="0.25">
      <c r="H2240" s="1"/>
    </row>
    <row r="2241" spans="8:8" x14ac:dyDescent="0.25">
      <c r="H2241" s="1"/>
    </row>
    <row r="2242" spans="8:8" x14ac:dyDescent="0.25">
      <c r="H2242" s="1"/>
    </row>
    <row r="2243" spans="8:8" x14ac:dyDescent="0.25">
      <c r="H2243" s="1"/>
    </row>
    <row r="2244" spans="8:8" x14ac:dyDescent="0.25">
      <c r="H2244" s="1"/>
    </row>
    <row r="2245" spans="8:8" x14ac:dyDescent="0.25">
      <c r="H2245" s="1"/>
    </row>
    <row r="2246" spans="8:8" x14ac:dyDescent="0.25">
      <c r="H2246" s="1"/>
    </row>
    <row r="2247" spans="8:8" x14ac:dyDescent="0.25">
      <c r="H2247" s="1"/>
    </row>
    <row r="2248" spans="8:8" x14ac:dyDescent="0.25">
      <c r="H2248" s="1"/>
    </row>
    <row r="2249" spans="8:8" x14ac:dyDescent="0.25">
      <c r="H2249" s="1"/>
    </row>
    <row r="2250" spans="8:8" x14ac:dyDescent="0.25">
      <c r="H2250" s="1"/>
    </row>
    <row r="2251" spans="8:8" x14ac:dyDescent="0.25">
      <c r="H2251" s="1"/>
    </row>
    <row r="2252" spans="8:8" x14ac:dyDescent="0.25">
      <c r="H2252" s="1"/>
    </row>
    <row r="2253" spans="8:8" x14ac:dyDescent="0.25">
      <c r="H2253" s="1"/>
    </row>
    <row r="2254" spans="8:8" x14ac:dyDescent="0.25">
      <c r="H2254" s="1"/>
    </row>
    <row r="2255" spans="8:8" x14ac:dyDescent="0.25">
      <c r="H2255" s="1"/>
    </row>
    <row r="2256" spans="8:8" x14ac:dyDescent="0.25">
      <c r="H2256" s="1"/>
    </row>
    <row r="2257" spans="8:8" x14ac:dyDescent="0.25">
      <c r="H2257" s="1"/>
    </row>
    <row r="2258" spans="8:8" x14ac:dyDescent="0.25">
      <c r="H2258" s="1"/>
    </row>
    <row r="2259" spans="8:8" x14ac:dyDescent="0.25">
      <c r="H2259" s="1"/>
    </row>
    <row r="2260" spans="8:8" x14ac:dyDescent="0.25">
      <c r="H2260" s="1"/>
    </row>
    <row r="2261" spans="8:8" x14ac:dyDescent="0.25">
      <c r="H2261" s="1"/>
    </row>
    <row r="2262" spans="8:8" x14ac:dyDescent="0.25">
      <c r="H2262" s="1"/>
    </row>
    <row r="2263" spans="8:8" x14ac:dyDescent="0.25">
      <c r="H2263" s="1"/>
    </row>
    <row r="2264" spans="8:8" x14ac:dyDescent="0.25">
      <c r="H2264" s="1"/>
    </row>
    <row r="2265" spans="8:8" x14ac:dyDescent="0.25">
      <c r="H2265" s="1"/>
    </row>
    <row r="2266" spans="8:8" x14ac:dyDescent="0.25">
      <c r="H2266" s="1"/>
    </row>
    <row r="2267" spans="8:8" x14ac:dyDescent="0.25">
      <c r="H2267" s="1"/>
    </row>
    <row r="2268" spans="8:8" x14ac:dyDescent="0.25">
      <c r="H2268" s="1"/>
    </row>
    <row r="2269" spans="8:8" x14ac:dyDescent="0.25">
      <c r="H2269" s="1"/>
    </row>
    <row r="2270" spans="8:8" x14ac:dyDescent="0.25">
      <c r="H2270" s="1"/>
    </row>
    <row r="2271" spans="8:8" x14ac:dyDescent="0.25">
      <c r="H2271" s="1"/>
    </row>
    <row r="2272" spans="8:8" x14ac:dyDescent="0.25">
      <c r="H2272" s="1"/>
    </row>
    <row r="2273" spans="8:8" x14ac:dyDescent="0.25">
      <c r="H2273" s="1"/>
    </row>
    <row r="2274" spans="8:8" x14ac:dyDescent="0.25">
      <c r="H2274" s="1"/>
    </row>
    <row r="2275" spans="8:8" x14ac:dyDescent="0.25">
      <c r="H2275" s="1"/>
    </row>
    <row r="2276" spans="8:8" x14ac:dyDescent="0.25">
      <c r="H2276" s="1"/>
    </row>
    <row r="2277" spans="8:8" x14ac:dyDescent="0.25">
      <c r="H2277" s="1"/>
    </row>
    <row r="2278" spans="8:8" x14ac:dyDescent="0.25">
      <c r="H2278" s="1"/>
    </row>
    <row r="2279" spans="8:8" x14ac:dyDescent="0.25">
      <c r="H2279" s="1"/>
    </row>
    <row r="2280" spans="8:8" x14ac:dyDescent="0.25">
      <c r="H2280" s="1"/>
    </row>
    <row r="2281" spans="8:8" x14ac:dyDescent="0.25">
      <c r="H2281" s="1"/>
    </row>
    <row r="2282" spans="8:8" x14ac:dyDescent="0.25">
      <c r="H2282" s="1"/>
    </row>
    <row r="2283" spans="8:8" x14ac:dyDescent="0.25">
      <c r="H2283" s="1"/>
    </row>
    <row r="2284" spans="8:8" x14ac:dyDescent="0.25">
      <c r="H2284" s="1"/>
    </row>
    <row r="2285" spans="8:8" x14ac:dyDescent="0.25">
      <c r="H2285" s="1"/>
    </row>
    <row r="2286" spans="8:8" x14ac:dyDescent="0.25">
      <c r="H2286" s="1"/>
    </row>
    <row r="2287" spans="8:8" x14ac:dyDescent="0.25">
      <c r="H2287" s="1"/>
    </row>
    <row r="2288" spans="8:8" x14ac:dyDescent="0.25">
      <c r="H2288" s="1"/>
    </row>
    <row r="2289" spans="8:8" x14ac:dyDescent="0.25">
      <c r="H2289" s="1"/>
    </row>
    <row r="2290" spans="8:8" x14ac:dyDescent="0.25">
      <c r="H2290" s="1"/>
    </row>
    <row r="2291" spans="8:8" x14ac:dyDescent="0.25">
      <c r="H2291" s="1"/>
    </row>
    <row r="2292" spans="8:8" x14ac:dyDescent="0.25">
      <c r="H2292" s="1"/>
    </row>
    <row r="2293" spans="8:8" x14ac:dyDescent="0.25">
      <c r="H2293" s="1"/>
    </row>
    <row r="2294" spans="8:8" x14ac:dyDescent="0.25">
      <c r="H2294" s="1"/>
    </row>
    <row r="2295" spans="8:8" x14ac:dyDescent="0.25">
      <c r="H2295" s="1"/>
    </row>
    <row r="2296" spans="8:8" x14ac:dyDescent="0.25">
      <c r="H2296" s="1"/>
    </row>
    <row r="2297" spans="8:8" x14ac:dyDescent="0.25">
      <c r="H2297" s="1"/>
    </row>
    <row r="2298" spans="8:8" x14ac:dyDescent="0.25">
      <c r="H2298" s="1"/>
    </row>
    <row r="2299" spans="8:8" x14ac:dyDescent="0.25">
      <c r="H2299" s="1"/>
    </row>
    <row r="2300" spans="8:8" x14ac:dyDescent="0.25">
      <c r="H2300" s="1"/>
    </row>
    <row r="2301" spans="8:8" x14ac:dyDescent="0.25">
      <c r="H2301" s="1"/>
    </row>
    <row r="2302" spans="8:8" x14ac:dyDescent="0.25">
      <c r="H2302" s="1"/>
    </row>
    <row r="2303" spans="8:8" x14ac:dyDescent="0.25">
      <c r="H2303" s="1"/>
    </row>
    <row r="2304" spans="8:8" x14ac:dyDescent="0.25">
      <c r="H2304" s="1"/>
    </row>
    <row r="2305" spans="8:8" x14ac:dyDescent="0.25">
      <c r="H2305" s="1"/>
    </row>
    <row r="2306" spans="8:8" x14ac:dyDescent="0.25">
      <c r="H2306" s="1"/>
    </row>
    <row r="2307" spans="8:8" x14ac:dyDescent="0.25">
      <c r="H2307" s="1"/>
    </row>
    <row r="2308" spans="8:8" x14ac:dyDescent="0.25">
      <c r="H2308" s="1"/>
    </row>
    <row r="2309" spans="8:8" x14ac:dyDescent="0.25">
      <c r="H2309" s="1"/>
    </row>
    <row r="2310" spans="8:8" x14ac:dyDescent="0.25">
      <c r="H2310" s="1"/>
    </row>
    <row r="2311" spans="8:8" x14ac:dyDescent="0.25">
      <c r="H2311" s="1"/>
    </row>
    <row r="2312" spans="8:8" x14ac:dyDescent="0.25">
      <c r="H2312" s="1"/>
    </row>
    <row r="2313" spans="8:8" x14ac:dyDescent="0.25">
      <c r="H2313" s="1"/>
    </row>
    <row r="2314" spans="8:8" x14ac:dyDescent="0.25">
      <c r="H2314" s="1"/>
    </row>
    <row r="2315" spans="8:8" x14ac:dyDescent="0.25">
      <c r="H2315" s="1"/>
    </row>
    <row r="2316" spans="8:8" x14ac:dyDescent="0.25">
      <c r="H2316" s="1"/>
    </row>
    <row r="2317" spans="8:8" x14ac:dyDescent="0.25">
      <c r="H2317" s="1"/>
    </row>
    <row r="2318" spans="8:8" x14ac:dyDescent="0.25">
      <c r="H2318" s="1"/>
    </row>
    <row r="2319" spans="8:8" x14ac:dyDescent="0.25">
      <c r="H2319" s="1"/>
    </row>
    <row r="2320" spans="8:8" x14ac:dyDescent="0.25">
      <c r="H2320" s="1"/>
    </row>
    <row r="2321" spans="8:8" x14ac:dyDescent="0.25">
      <c r="H2321" s="1"/>
    </row>
    <row r="2322" spans="8:8" x14ac:dyDescent="0.25">
      <c r="H2322" s="1"/>
    </row>
    <row r="2323" spans="8:8" x14ac:dyDescent="0.25">
      <c r="H2323" s="1"/>
    </row>
    <row r="2324" spans="8:8" x14ac:dyDescent="0.25">
      <c r="H2324" s="1"/>
    </row>
    <row r="2325" spans="8:8" x14ac:dyDescent="0.25">
      <c r="H2325" s="1"/>
    </row>
    <row r="2326" spans="8:8" x14ac:dyDescent="0.25">
      <c r="H2326" s="1"/>
    </row>
    <row r="2327" spans="8:8" x14ac:dyDescent="0.25">
      <c r="H2327" s="1"/>
    </row>
    <row r="2328" spans="8:8" x14ac:dyDescent="0.25">
      <c r="H2328" s="1"/>
    </row>
    <row r="2329" spans="8:8" x14ac:dyDescent="0.25">
      <c r="H2329" s="1"/>
    </row>
    <row r="2330" spans="8:8" x14ac:dyDescent="0.25">
      <c r="H2330" s="1"/>
    </row>
    <row r="2331" spans="8:8" x14ac:dyDescent="0.25">
      <c r="H2331" s="1"/>
    </row>
    <row r="2332" spans="8:8" x14ac:dyDescent="0.25">
      <c r="H2332" s="1"/>
    </row>
    <row r="2333" spans="8:8" x14ac:dyDescent="0.25">
      <c r="H2333" s="1"/>
    </row>
    <row r="2334" spans="8:8" x14ac:dyDescent="0.25">
      <c r="H2334" s="1"/>
    </row>
    <row r="2335" spans="8:8" x14ac:dyDescent="0.25">
      <c r="H2335" s="1"/>
    </row>
    <row r="2336" spans="8:8" x14ac:dyDescent="0.25">
      <c r="H2336" s="1"/>
    </row>
    <row r="2337" spans="8:8" x14ac:dyDescent="0.25">
      <c r="H2337" s="1"/>
    </row>
    <row r="2338" spans="8:8" x14ac:dyDescent="0.25">
      <c r="H2338" s="1"/>
    </row>
    <row r="2339" spans="8:8" x14ac:dyDescent="0.25">
      <c r="H2339" s="1"/>
    </row>
    <row r="2340" spans="8:8" x14ac:dyDescent="0.25">
      <c r="H2340" s="1"/>
    </row>
    <row r="2341" spans="8:8" x14ac:dyDescent="0.25">
      <c r="H2341" s="1"/>
    </row>
    <row r="2342" spans="8:8" x14ac:dyDescent="0.25">
      <c r="H2342" s="1"/>
    </row>
    <row r="2343" spans="8:8" x14ac:dyDescent="0.25">
      <c r="H2343" s="1"/>
    </row>
    <row r="2344" spans="8:8" x14ac:dyDescent="0.25">
      <c r="H2344" s="1"/>
    </row>
    <row r="2345" spans="8:8" x14ac:dyDescent="0.25">
      <c r="H2345" s="1"/>
    </row>
    <row r="2346" spans="8:8" x14ac:dyDescent="0.25">
      <c r="H2346" s="1"/>
    </row>
    <row r="2347" spans="8:8" x14ac:dyDescent="0.25">
      <c r="H2347" s="1"/>
    </row>
    <row r="2348" spans="8:8" x14ac:dyDescent="0.25">
      <c r="H2348" s="1"/>
    </row>
    <row r="2349" spans="8:8" x14ac:dyDescent="0.25">
      <c r="H2349" s="1"/>
    </row>
    <row r="2350" spans="8:8" x14ac:dyDescent="0.25">
      <c r="H2350" s="1"/>
    </row>
    <row r="2351" spans="8:8" x14ac:dyDescent="0.25">
      <c r="H2351" s="1"/>
    </row>
  </sheetData>
  <printOptions horizontalCentered="1"/>
  <pageMargins left="0.25" right="0.25" top="0.51" bottom="0.48" header="0.25" footer="0.25"/>
  <pageSetup scale="8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75"/>
  <sheetViews>
    <sheetView zoomScale="80" zoomScaleNormal="80" zoomScaleSheetLayoutView="100" workbookViewId="0"/>
  </sheetViews>
  <sheetFormatPr defaultRowHeight="12.5" x14ac:dyDescent="0.25"/>
  <cols>
    <col min="1" max="1" width="5.7265625" customWidth="1"/>
    <col min="2" max="2" width="52.7265625" customWidth="1"/>
    <col min="3" max="3" width="20.81640625" customWidth="1"/>
    <col min="4" max="4" width="21" customWidth="1"/>
    <col min="5" max="5" width="21.26953125" customWidth="1"/>
    <col min="6" max="6" width="21.1796875" customWidth="1"/>
    <col min="7" max="7" width="21.453125" customWidth="1"/>
    <col min="8" max="8" width="21.26953125" customWidth="1"/>
    <col min="9" max="9" width="21.453125" customWidth="1"/>
    <col min="10" max="10" width="24.26953125" customWidth="1"/>
    <col min="11" max="11" width="20.54296875" customWidth="1"/>
  </cols>
  <sheetData>
    <row r="1" spans="1:11" ht="14" x14ac:dyDescent="0.25">
      <c r="A1" s="445" t="s">
        <v>380</v>
      </c>
      <c r="B1" s="446"/>
      <c r="C1" s="446"/>
      <c r="D1" s="446"/>
      <c r="E1" s="446"/>
      <c r="F1" s="446"/>
      <c r="G1" s="446"/>
      <c r="H1" s="446"/>
      <c r="I1" s="446"/>
      <c r="J1" s="446"/>
      <c r="K1" s="447"/>
    </row>
    <row r="2" spans="1:11" ht="14" x14ac:dyDescent="0.3">
      <c r="A2" s="445" t="s">
        <v>9</v>
      </c>
      <c r="B2" s="448"/>
      <c r="C2" s="449"/>
      <c r="D2" s="449"/>
      <c r="E2" s="449"/>
      <c r="F2" s="450"/>
      <c r="G2" s="450"/>
      <c r="H2" s="450"/>
      <c r="I2" s="446"/>
      <c r="J2" s="446"/>
      <c r="K2" s="447"/>
    </row>
    <row r="3" spans="1:11" ht="14" x14ac:dyDescent="0.25">
      <c r="A3" s="451" t="s">
        <v>296</v>
      </c>
      <c r="B3" s="452"/>
      <c r="C3" s="452"/>
      <c r="D3" s="452"/>
      <c r="E3" s="452"/>
      <c r="F3" s="452"/>
      <c r="G3" s="452"/>
      <c r="H3" s="452"/>
      <c r="I3" s="452"/>
      <c r="J3" s="446"/>
      <c r="K3" s="447"/>
    </row>
    <row r="4" spans="1:11" x14ac:dyDescent="0.25">
      <c r="A4" s="463"/>
      <c r="B4" s="452"/>
      <c r="C4" s="452"/>
      <c r="D4" s="452"/>
      <c r="E4" s="452"/>
      <c r="F4" s="452"/>
      <c r="G4" s="452"/>
      <c r="H4" s="452"/>
      <c r="I4" s="452"/>
      <c r="J4" s="446"/>
      <c r="K4" s="447"/>
    </row>
    <row r="5" spans="1:11" ht="14" x14ac:dyDescent="0.25">
      <c r="A5" s="453" t="s">
        <v>122</v>
      </c>
      <c r="B5" s="452"/>
      <c r="C5" s="452"/>
      <c r="D5" s="452"/>
      <c r="E5" s="452"/>
      <c r="F5" s="452"/>
      <c r="G5" s="452"/>
      <c r="H5" s="452"/>
      <c r="I5" s="452"/>
      <c r="J5" s="446"/>
      <c r="K5" s="447"/>
    </row>
    <row r="6" spans="1:11" ht="15.5" x14ac:dyDescent="0.25">
      <c r="A6" s="454" t="s">
        <v>12</v>
      </c>
      <c r="B6" s="452"/>
      <c r="C6" s="452"/>
      <c r="D6" s="452"/>
      <c r="E6" s="452"/>
      <c r="F6" s="452"/>
      <c r="G6" s="452"/>
      <c r="H6" s="452"/>
      <c r="I6" s="452"/>
      <c r="J6" s="446"/>
      <c r="K6" s="447"/>
    </row>
    <row r="7" spans="1:11" ht="14" x14ac:dyDescent="0.3">
      <c r="A7" s="455" t="s">
        <v>265</v>
      </c>
      <c r="B7" s="456"/>
      <c r="C7" s="456"/>
      <c r="D7" s="456"/>
      <c r="E7" s="456"/>
      <c r="F7" s="456"/>
      <c r="G7" s="456"/>
      <c r="H7" s="456"/>
      <c r="I7" s="456"/>
      <c r="J7" s="446"/>
      <c r="K7" s="447"/>
    </row>
    <row r="8" spans="1:11" ht="15.5" x14ac:dyDescent="0.35">
      <c r="A8" s="455" t="s">
        <v>266</v>
      </c>
      <c r="B8" s="457"/>
      <c r="C8" s="457"/>
      <c r="D8" s="457"/>
      <c r="E8" s="457"/>
      <c r="F8" s="457"/>
      <c r="G8" s="457"/>
      <c r="H8" s="457"/>
      <c r="I8" s="457"/>
      <c r="J8" s="446"/>
      <c r="K8" s="447"/>
    </row>
    <row r="9" spans="1:11" ht="15.5" x14ac:dyDescent="0.35">
      <c r="A9" s="455" t="s">
        <v>267</v>
      </c>
      <c r="B9" s="458"/>
      <c r="C9" s="459"/>
      <c r="D9" s="460"/>
      <c r="E9" s="460"/>
      <c r="F9" s="460"/>
      <c r="G9" s="460"/>
      <c r="H9" s="460"/>
      <c r="I9" s="460"/>
      <c r="J9" s="446"/>
      <c r="K9" s="447"/>
    </row>
    <row r="10" spans="1:11" ht="15.5" x14ac:dyDescent="0.35">
      <c r="A10" s="455" t="s">
        <v>11</v>
      </c>
      <c r="B10" s="458"/>
      <c r="C10" s="459"/>
      <c r="D10" s="460"/>
      <c r="E10" s="460"/>
      <c r="F10" s="460"/>
      <c r="G10" s="460"/>
      <c r="H10" s="460"/>
      <c r="I10" s="460"/>
      <c r="J10" s="446"/>
      <c r="K10" s="447"/>
    </row>
    <row r="11" spans="1:11" ht="16" thickBot="1" x14ac:dyDescent="0.4">
      <c r="A11" s="440"/>
      <c r="B11" s="439"/>
      <c r="C11" s="439"/>
      <c r="D11" s="439"/>
      <c r="E11" s="439"/>
      <c r="F11" s="439"/>
      <c r="G11" s="439"/>
      <c r="H11" s="439"/>
      <c r="I11" s="439"/>
      <c r="J11" s="439"/>
      <c r="K11" s="1"/>
    </row>
    <row r="12" spans="1:11" ht="14" x14ac:dyDescent="0.3">
      <c r="A12" s="410"/>
      <c r="B12" s="702" t="s">
        <v>377</v>
      </c>
      <c r="C12" s="703"/>
      <c r="D12" s="703"/>
      <c r="E12" s="703"/>
      <c r="F12" s="703"/>
      <c r="G12" s="703"/>
      <c r="H12" s="703"/>
      <c r="I12" s="703"/>
      <c r="J12" s="703"/>
      <c r="K12" s="704"/>
    </row>
    <row r="13" spans="1:11" ht="14.5" thickBot="1" x14ac:dyDescent="0.35">
      <c r="A13" s="410"/>
      <c r="B13" s="705"/>
      <c r="C13" s="706"/>
      <c r="D13" s="706"/>
      <c r="E13" s="706"/>
      <c r="F13" s="706"/>
      <c r="G13" s="706"/>
      <c r="H13" s="706"/>
      <c r="I13" s="706"/>
      <c r="J13" s="706"/>
      <c r="K13" s="707"/>
    </row>
    <row r="14" spans="1:11" ht="56" x14ac:dyDescent="0.3">
      <c r="A14" s="410"/>
      <c r="B14" s="708" t="s">
        <v>268</v>
      </c>
      <c r="C14" s="461" t="s">
        <v>269</v>
      </c>
      <c r="D14" s="461" t="s">
        <v>269</v>
      </c>
      <c r="E14" s="461" t="s">
        <v>269</v>
      </c>
      <c r="F14" s="461" t="s">
        <v>270</v>
      </c>
      <c r="G14" s="461" t="s">
        <v>271</v>
      </c>
      <c r="H14" s="461" t="s">
        <v>271</v>
      </c>
      <c r="I14" s="461" t="s">
        <v>271</v>
      </c>
      <c r="J14" s="461" t="s">
        <v>271</v>
      </c>
      <c r="K14" s="462" t="s">
        <v>271</v>
      </c>
    </row>
    <row r="15" spans="1:11" ht="42" x14ac:dyDescent="0.3">
      <c r="A15" s="410"/>
      <c r="B15" s="708"/>
      <c r="C15" s="411" t="s">
        <v>272</v>
      </c>
      <c r="D15" s="411" t="s">
        <v>272</v>
      </c>
      <c r="E15" s="411" t="s">
        <v>272</v>
      </c>
      <c r="F15" s="411" t="s">
        <v>272</v>
      </c>
      <c r="G15" s="411" t="s">
        <v>272</v>
      </c>
      <c r="H15" s="411" t="s">
        <v>272</v>
      </c>
      <c r="I15" s="411" t="s">
        <v>272</v>
      </c>
      <c r="J15" s="411" t="s">
        <v>272</v>
      </c>
      <c r="K15" s="412" t="s">
        <v>272</v>
      </c>
    </row>
    <row r="16" spans="1:11" ht="14" x14ac:dyDescent="0.3">
      <c r="A16" s="410"/>
      <c r="B16" s="709"/>
      <c r="C16" s="413" t="s">
        <v>273</v>
      </c>
      <c r="D16" s="413" t="s">
        <v>273</v>
      </c>
      <c r="E16" s="413" t="s">
        <v>273</v>
      </c>
      <c r="F16" s="413" t="s">
        <v>273</v>
      </c>
      <c r="G16" s="413" t="s">
        <v>273</v>
      </c>
      <c r="H16" s="413" t="s">
        <v>273</v>
      </c>
      <c r="I16" s="413" t="s">
        <v>273</v>
      </c>
      <c r="J16" s="413" t="s">
        <v>273</v>
      </c>
      <c r="K16" s="414" t="s">
        <v>273</v>
      </c>
    </row>
    <row r="17" spans="1:11" ht="14" x14ac:dyDescent="0.3">
      <c r="A17" s="410"/>
      <c r="B17" s="415" t="s">
        <v>274</v>
      </c>
      <c r="C17" s="416"/>
      <c r="D17" s="416"/>
      <c r="E17" s="416"/>
      <c r="F17" s="416"/>
      <c r="G17" s="416"/>
      <c r="H17" s="416"/>
      <c r="I17" s="416"/>
      <c r="J17" s="416"/>
      <c r="K17" s="417"/>
    </row>
    <row r="18" spans="1:11" ht="14" x14ac:dyDescent="0.3">
      <c r="A18" s="410"/>
      <c r="B18" s="418" t="s">
        <v>275</v>
      </c>
      <c r="C18" s="416">
        <v>0</v>
      </c>
      <c r="D18" s="416">
        <v>0</v>
      </c>
      <c r="E18" s="416">
        <v>0</v>
      </c>
      <c r="F18" s="416">
        <v>0</v>
      </c>
      <c r="G18" s="416">
        <v>0</v>
      </c>
      <c r="H18" s="416">
        <v>0</v>
      </c>
      <c r="I18" s="416">
        <v>0</v>
      </c>
      <c r="J18" s="416">
        <v>0</v>
      </c>
      <c r="K18" s="417">
        <v>0</v>
      </c>
    </row>
    <row r="19" spans="1:11" ht="14" x14ac:dyDescent="0.3">
      <c r="A19" s="410"/>
      <c r="B19" s="418" t="s">
        <v>276</v>
      </c>
      <c r="C19" s="416">
        <v>0</v>
      </c>
      <c r="D19" s="416">
        <v>0</v>
      </c>
      <c r="E19" s="416">
        <v>0</v>
      </c>
      <c r="F19" s="416">
        <v>0</v>
      </c>
      <c r="G19" s="416">
        <v>0</v>
      </c>
      <c r="H19" s="416">
        <v>0</v>
      </c>
      <c r="I19" s="416">
        <v>0</v>
      </c>
      <c r="J19" s="416">
        <v>0</v>
      </c>
      <c r="K19" s="417">
        <v>0</v>
      </c>
    </row>
    <row r="20" spans="1:11" ht="14" x14ac:dyDescent="0.3">
      <c r="A20" s="410"/>
      <c r="B20" s="418" t="s">
        <v>277</v>
      </c>
      <c r="C20" s="416">
        <v>0</v>
      </c>
      <c r="D20" s="416">
        <v>0</v>
      </c>
      <c r="E20" s="416">
        <v>0</v>
      </c>
      <c r="F20" s="416">
        <v>0</v>
      </c>
      <c r="G20" s="416">
        <v>0</v>
      </c>
      <c r="H20" s="416">
        <v>0</v>
      </c>
      <c r="I20" s="416">
        <v>0</v>
      </c>
      <c r="J20" s="416">
        <v>0</v>
      </c>
      <c r="K20" s="417">
        <v>0</v>
      </c>
    </row>
    <row r="21" spans="1:11" ht="14" x14ac:dyDescent="0.3">
      <c r="A21" s="410"/>
      <c r="B21" s="418" t="s">
        <v>278</v>
      </c>
      <c r="C21" s="416">
        <v>0</v>
      </c>
      <c r="D21" s="416">
        <v>0</v>
      </c>
      <c r="E21" s="416">
        <v>0</v>
      </c>
      <c r="F21" s="416">
        <v>0</v>
      </c>
      <c r="G21" s="416">
        <v>0</v>
      </c>
      <c r="H21" s="416">
        <v>0</v>
      </c>
      <c r="I21" s="416">
        <v>0</v>
      </c>
      <c r="J21" s="416">
        <v>0</v>
      </c>
      <c r="K21" s="417">
        <v>0</v>
      </c>
    </row>
    <row r="22" spans="1:11" ht="14" x14ac:dyDescent="0.3">
      <c r="A22" s="410"/>
      <c r="B22" s="418" t="s">
        <v>279</v>
      </c>
      <c r="C22" s="416">
        <v>0</v>
      </c>
      <c r="D22" s="416">
        <v>0</v>
      </c>
      <c r="E22" s="416">
        <v>0</v>
      </c>
      <c r="F22" s="416">
        <v>0</v>
      </c>
      <c r="G22" s="416">
        <v>0</v>
      </c>
      <c r="H22" s="416">
        <v>0</v>
      </c>
      <c r="I22" s="416">
        <v>0</v>
      </c>
      <c r="J22" s="416">
        <v>0</v>
      </c>
      <c r="K22" s="417">
        <v>0</v>
      </c>
    </row>
    <row r="23" spans="1:11" ht="14" x14ac:dyDescent="0.3">
      <c r="A23" s="410"/>
      <c r="B23" s="418"/>
      <c r="C23" s="416">
        <v>0</v>
      </c>
      <c r="D23" s="416">
        <v>0</v>
      </c>
      <c r="E23" s="416">
        <v>0</v>
      </c>
      <c r="F23" s="416">
        <v>0</v>
      </c>
      <c r="G23" s="416">
        <v>0</v>
      </c>
      <c r="H23" s="416">
        <v>0</v>
      </c>
      <c r="I23" s="416">
        <v>0</v>
      </c>
      <c r="J23" s="416">
        <v>0</v>
      </c>
      <c r="K23" s="417">
        <v>0</v>
      </c>
    </row>
    <row r="24" spans="1:11" ht="14" x14ac:dyDescent="0.3">
      <c r="A24" s="410"/>
      <c r="B24" s="418"/>
      <c r="C24" s="416">
        <v>0</v>
      </c>
      <c r="D24" s="416">
        <v>0</v>
      </c>
      <c r="E24" s="416">
        <v>0</v>
      </c>
      <c r="F24" s="416">
        <v>0</v>
      </c>
      <c r="G24" s="416">
        <v>0</v>
      </c>
      <c r="H24" s="416">
        <v>0</v>
      </c>
      <c r="I24" s="416">
        <v>0</v>
      </c>
      <c r="J24" s="416">
        <v>0</v>
      </c>
      <c r="K24" s="417">
        <v>0</v>
      </c>
    </row>
    <row r="25" spans="1:11" ht="14" x14ac:dyDescent="0.3">
      <c r="A25" s="410"/>
      <c r="B25" s="418"/>
      <c r="C25" s="416">
        <v>0</v>
      </c>
      <c r="D25" s="416">
        <v>0</v>
      </c>
      <c r="E25" s="416">
        <v>0</v>
      </c>
      <c r="F25" s="416">
        <v>0</v>
      </c>
      <c r="G25" s="416">
        <v>0</v>
      </c>
      <c r="H25" s="416">
        <v>0</v>
      </c>
      <c r="I25" s="416">
        <v>0</v>
      </c>
      <c r="J25" s="416">
        <v>0</v>
      </c>
      <c r="K25" s="417">
        <v>0</v>
      </c>
    </row>
    <row r="26" spans="1:11" ht="14" x14ac:dyDescent="0.3">
      <c r="A26" s="410"/>
      <c r="B26" s="418"/>
      <c r="C26" s="416">
        <v>0</v>
      </c>
      <c r="D26" s="416">
        <v>0</v>
      </c>
      <c r="E26" s="416">
        <v>0</v>
      </c>
      <c r="F26" s="416">
        <v>0</v>
      </c>
      <c r="G26" s="416">
        <v>0</v>
      </c>
      <c r="H26" s="416">
        <v>0</v>
      </c>
      <c r="I26" s="416">
        <v>0</v>
      </c>
      <c r="J26" s="416">
        <v>0</v>
      </c>
      <c r="K26" s="417">
        <v>0</v>
      </c>
    </row>
    <row r="27" spans="1:11" ht="14" x14ac:dyDescent="0.3">
      <c r="A27" s="410"/>
      <c r="B27" s="418"/>
      <c r="C27" s="416">
        <v>0</v>
      </c>
      <c r="D27" s="416">
        <v>0</v>
      </c>
      <c r="E27" s="416">
        <v>0</v>
      </c>
      <c r="F27" s="416">
        <v>0</v>
      </c>
      <c r="G27" s="416">
        <v>0</v>
      </c>
      <c r="H27" s="416">
        <v>0</v>
      </c>
      <c r="I27" s="416">
        <v>0</v>
      </c>
      <c r="J27" s="416">
        <v>0</v>
      </c>
      <c r="K27" s="417">
        <v>0</v>
      </c>
    </row>
    <row r="28" spans="1:11" ht="14" x14ac:dyDescent="0.3">
      <c r="A28" s="410"/>
      <c r="B28" s="418"/>
      <c r="C28" s="416">
        <v>0</v>
      </c>
      <c r="D28" s="416">
        <v>0</v>
      </c>
      <c r="E28" s="416">
        <v>0</v>
      </c>
      <c r="F28" s="416">
        <v>0</v>
      </c>
      <c r="G28" s="416">
        <v>0</v>
      </c>
      <c r="H28" s="416">
        <v>0</v>
      </c>
      <c r="I28" s="416">
        <v>0</v>
      </c>
      <c r="J28" s="416">
        <v>0</v>
      </c>
      <c r="K28" s="417">
        <v>0</v>
      </c>
    </row>
    <row r="29" spans="1:11" ht="14" x14ac:dyDescent="0.3">
      <c r="A29" s="410"/>
      <c r="B29" s="418"/>
      <c r="C29" s="416">
        <v>0</v>
      </c>
      <c r="D29" s="416">
        <v>0</v>
      </c>
      <c r="E29" s="416">
        <v>0</v>
      </c>
      <c r="F29" s="416">
        <v>0</v>
      </c>
      <c r="G29" s="416">
        <v>0</v>
      </c>
      <c r="H29" s="416">
        <v>0</v>
      </c>
      <c r="I29" s="416">
        <v>0</v>
      </c>
      <c r="J29" s="416">
        <v>0</v>
      </c>
      <c r="K29" s="417">
        <v>0</v>
      </c>
    </row>
    <row r="30" spans="1:11" ht="14" x14ac:dyDescent="0.3">
      <c r="A30" s="410"/>
      <c r="B30" s="418"/>
      <c r="C30" s="416">
        <v>0</v>
      </c>
      <c r="D30" s="416">
        <v>0</v>
      </c>
      <c r="E30" s="416">
        <v>0</v>
      </c>
      <c r="F30" s="416">
        <v>0</v>
      </c>
      <c r="G30" s="416">
        <v>0</v>
      </c>
      <c r="H30" s="416">
        <v>0</v>
      </c>
      <c r="I30" s="416">
        <v>0</v>
      </c>
      <c r="J30" s="416">
        <v>0</v>
      </c>
      <c r="K30" s="417">
        <v>0</v>
      </c>
    </row>
    <row r="31" spans="1:11" ht="14" x14ac:dyDescent="0.3">
      <c r="A31" s="410"/>
      <c r="B31" s="418"/>
      <c r="C31" s="416">
        <v>0</v>
      </c>
      <c r="D31" s="416">
        <v>0</v>
      </c>
      <c r="E31" s="416">
        <v>0</v>
      </c>
      <c r="F31" s="416">
        <v>0</v>
      </c>
      <c r="G31" s="416">
        <v>0</v>
      </c>
      <c r="H31" s="416">
        <v>0</v>
      </c>
      <c r="I31" s="416">
        <v>0</v>
      </c>
      <c r="J31" s="416">
        <v>0</v>
      </c>
      <c r="K31" s="417">
        <v>0</v>
      </c>
    </row>
    <row r="32" spans="1:11" ht="14" x14ac:dyDescent="0.3">
      <c r="A32" s="410"/>
      <c r="B32" s="418"/>
      <c r="C32" s="416">
        <v>0</v>
      </c>
      <c r="D32" s="416">
        <v>0</v>
      </c>
      <c r="E32" s="416">
        <v>0</v>
      </c>
      <c r="F32" s="416">
        <v>0</v>
      </c>
      <c r="G32" s="416">
        <v>0</v>
      </c>
      <c r="H32" s="416">
        <v>0</v>
      </c>
      <c r="I32" s="416">
        <v>0</v>
      </c>
      <c r="J32" s="416">
        <v>0</v>
      </c>
      <c r="K32" s="417">
        <v>0</v>
      </c>
    </row>
    <row r="33" spans="1:11" ht="14" x14ac:dyDescent="0.3">
      <c r="A33" s="410"/>
      <c r="B33" s="418"/>
      <c r="C33" s="416">
        <v>0</v>
      </c>
      <c r="D33" s="416">
        <v>0</v>
      </c>
      <c r="E33" s="416">
        <v>0</v>
      </c>
      <c r="F33" s="416">
        <v>0</v>
      </c>
      <c r="G33" s="416">
        <v>0</v>
      </c>
      <c r="H33" s="416">
        <v>0</v>
      </c>
      <c r="I33" s="416">
        <v>0</v>
      </c>
      <c r="J33" s="416">
        <v>0</v>
      </c>
      <c r="K33" s="417">
        <v>0</v>
      </c>
    </row>
    <row r="34" spans="1:11" ht="14" x14ac:dyDescent="0.3">
      <c r="A34" s="410"/>
      <c r="B34" s="415" t="s">
        <v>280</v>
      </c>
      <c r="C34" s="416">
        <v>0</v>
      </c>
      <c r="D34" s="416">
        <v>0</v>
      </c>
      <c r="E34" s="416">
        <v>0</v>
      </c>
      <c r="F34" s="416">
        <v>0</v>
      </c>
      <c r="G34" s="416">
        <v>0</v>
      </c>
      <c r="H34" s="416">
        <v>0</v>
      </c>
      <c r="I34" s="416">
        <v>0</v>
      </c>
      <c r="J34" s="416">
        <v>0</v>
      </c>
      <c r="K34" s="417">
        <v>0</v>
      </c>
    </row>
    <row r="35" spans="1:11" ht="14" x14ac:dyDescent="0.3">
      <c r="A35" s="410"/>
      <c r="B35" s="419" t="s">
        <v>281</v>
      </c>
      <c r="C35" s="416">
        <v>0</v>
      </c>
      <c r="D35" s="416">
        <v>0</v>
      </c>
      <c r="E35" s="416">
        <v>0</v>
      </c>
      <c r="F35" s="416">
        <v>0</v>
      </c>
      <c r="G35" s="416">
        <v>0</v>
      </c>
      <c r="H35" s="416">
        <v>0</v>
      </c>
      <c r="I35" s="416">
        <v>0</v>
      </c>
      <c r="J35" s="416">
        <v>0</v>
      </c>
      <c r="K35" s="417">
        <v>0</v>
      </c>
    </row>
    <row r="36" spans="1:11" ht="14" x14ac:dyDescent="0.3">
      <c r="A36" s="410"/>
      <c r="B36" s="419" t="s">
        <v>282</v>
      </c>
      <c r="C36" s="416">
        <v>0</v>
      </c>
      <c r="D36" s="416">
        <v>0</v>
      </c>
      <c r="E36" s="416">
        <v>0</v>
      </c>
      <c r="F36" s="416">
        <v>0</v>
      </c>
      <c r="G36" s="416">
        <v>0</v>
      </c>
      <c r="H36" s="416">
        <v>0</v>
      </c>
      <c r="I36" s="416">
        <v>0</v>
      </c>
      <c r="J36" s="416">
        <v>0</v>
      </c>
      <c r="K36" s="417">
        <v>0</v>
      </c>
    </row>
    <row r="37" spans="1:11" ht="14" x14ac:dyDescent="0.3">
      <c r="A37" s="410"/>
      <c r="B37" s="419" t="s">
        <v>283</v>
      </c>
      <c r="C37" s="416">
        <v>0</v>
      </c>
      <c r="D37" s="416">
        <v>0</v>
      </c>
      <c r="E37" s="416">
        <v>0</v>
      </c>
      <c r="F37" s="416">
        <v>0</v>
      </c>
      <c r="G37" s="416">
        <v>0</v>
      </c>
      <c r="H37" s="416">
        <v>0</v>
      </c>
      <c r="I37" s="416">
        <v>0</v>
      </c>
      <c r="J37" s="416">
        <v>0</v>
      </c>
      <c r="K37" s="417">
        <v>0</v>
      </c>
    </row>
    <row r="38" spans="1:11" ht="14" x14ac:dyDescent="0.3">
      <c r="A38" s="410"/>
      <c r="B38" s="419" t="s">
        <v>284</v>
      </c>
      <c r="C38" s="416">
        <v>0</v>
      </c>
      <c r="D38" s="416">
        <v>0</v>
      </c>
      <c r="E38" s="416">
        <v>0</v>
      </c>
      <c r="F38" s="416">
        <v>0</v>
      </c>
      <c r="G38" s="416">
        <v>0</v>
      </c>
      <c r="H38" s="416">
        <v>0</v>
      </c>
      <c r="I38" s="416">
        <v>0</v>
      </c>
      <c r="J38" s="416">
        <v>0</v>
      </c>
      <c r="K38" s="417">
        <v>0</v>
      </c>
    </row>
    <row r="39" spans="1:11" ht="14.5" thickBot="1" x14ac:dyDescent="0.35">
      <c r="A39" s="410"/>
      <c r="B39" s="420" t="s">
        <v>285</v>
      </c>
      <c r="C39" s="421">
        <f t="shared" ref="C39:K39" si="0">SUM(C17:C38)</f>
        <v>0</v>
      </c>
      <c r="D39" s="421">
        <f t="shared" si="0"/>
        <v>0</v>
      </c>
      <c r="E39" s="421">
        <f t="shared" si="0"/>
        <v>0</v>
      </c>
      <c r="F39" s="421">
        <f t="shared" si="0"/>
        <v>0</v>
      </c>
      <c r="G39" s="421">
        <f t="shared" si="0"/>
        <v>0</v>
      </c>
      <c r="H39" s="421">
        <f t="shared" si="0"/>
        <v>0</v>
      </c>
      <c r="I39" s="421">
        <f t="shared" si="0"/>
        <v>0</v>
      </c>
      <c r="J39" s="421">
        <f t="shared" si="0"/>
        <v>0</v>
      </c>
      <c r="K39" s="422">
        <f t="shared" si="0"/>
        <v>0</v>
      </c>
    </row>
    <row r="40" spans="1:11" ht="14.5" thickTop="1" x14ac:dyDescent="0.3">
      <c r="A40" s="410"/>
      <c r="B40" s="423" t="s">
        <v>286</v>
      </c>
      <c r="C40" s="424"/>
      <c r="D40" s="424"/>
      <c r="E40" s="424"/>
      <c r="F40" s="424"/>
      <c r="G40" s="424"/>
      <c r="H40" s="424"/>
      <c r="I40" s="424"/>
      <c r="J40" s="424"/>
      <c r="K40" s="425"/>
    </row>
    <row r="41" spans="1:11" ht="14" x14ac:dyDescent="0.3">
      <c r="A41" s="410"/>
      <c r="B41" s="426" t="s">
        <v>287</v>
      </c>
      <c r="C41" s="427">
        <v>0</v>
      </c>
      <c r="D41" s="427">
        <v>0</v>
      </c>
      <c r="E41" s="427">
        <v>0</v>
      </c>
      <c r="F41" s="427">
        <v>0</v>
      </c>
      <c r="G41" s="427">
        <v>0</v>
      </c>
      <c r="H41" s="427">
        <v>0</v>
      </c>
      <c r="I41" s="427">
        <v>0</v>
      </c>
      <c r="J41" s="427">
        <v>0</v>
      </c>
      <c r="K41" s="428">
        <v>0</v>
      </c>
    </row>
    <row r="42" spans="1:11" ht="14" x14ac:dyDescent="0.3">
      <c r="A42" s="410"/>
      <c r="B42" s="426" t="s">
        <v>288</v>
      </c>
      <c r="C42" s="427">
        <v>0</v>
      </c>
      <c r="D42" s="427">
        <v>0</v>
      </c>
      <c r="E42" s="427">
        <v>0</v>
      </c>
      <c r="F42" s="427">
        <v>0</v>
      </c>
      <c r="G42" s="427">
        <v>0</v>
      </c>
      <c r="H42" s="427">
        <v>0</v>
      </c>
      <c r="I42" s="427">
        <v>0</v>
      </c>
      <c r="J42" s="427">
        <v>0</v>
      </c>
      <c r="K42" s="428">
        <v>0</v>
      </c>
    </row>
    <row r="43" spans="1:11" ht="14" x14ac:dyDescent="0.3">
      <c r="A43" s="410"/>
      <c r="B43" s="426" t="s">
        <v>289</v>
      </c>
      <c r="C43" s="427">
        <v>0</v>
      </c>
      <c r="D43" s="427">
        <v>0</v>
      </c>
      <c r="E43" s="427">
        <v>0</v>
      </c>
      <c r="F43" s="427">
        <v>0</v>
      </c>
      <c r="G43" s="427">
        <v>0</v>
      </c>
      <c r="H43" s="427">
        <v>0</v>
      </c>
      <c r="I43" s="427">
        <v>0</v>
      </c>
      <c r="J43" s="427">
        <v>0</v>
      </c>
      <c r="K43" s="428">
        <v>0</v>
      </c>
    </row>
    <row r="44" spans="1:11" ht="14.5" thickBot="1" x14ac:dyDescent="0.35">
      <c r="A44" s="410"/>
      <c r="B44" s="429" t="s">
        <v>290</v>
      </c>
      <c r="C44" s="430">
        <f t="shared" ref="C44:K44" si="1">SUM(C41:C43)</f>
        <v>0</v>
      </c>
      <c r="D44" s="430">
        <f t="shared" si="1"/>
        <v>0</v>
      </c>
      <c r="E44" s="430">
        <f t="shared" si="1"/>
        <v>0</v>
      </c>
      <c r="F44" s="430">
        <f t="shared" si="1"/>
        <v>0</v>
      </c>
      <c r="G44" s="430">
        <f t="shared" si="1"/>
        <v>0</v>
      </c>
      <c r="H44" s="430">
        <f t="shared" si="1"/>
        <v>0</v>
      </c>
      <c r="I44" s="430">
        <f t="shared" si="1"/>
        <v>0</v>
      </c>
      <c r="J44" s="430">
        <f t="shared" si="1"/>
        <v>0</v>
      </c>
      <c r="K44" s="431">
        <f t="shared" si="1"/>
        <v>0</v>
      </c>
    </row>
    <row r="45" spans="1:11" ht="15" thickTop="1" thickBot="1" x14ac:dyDescent="0.35">
      <c r="A45" s="410"/>
      <c r="B45" s="432" t="s">
        <v>291</v>
      </c>
      <c r="C45" s="433">
        <f t="shared" ref="C45:K45" si="2">IF(ISERR(C39/C44),0,C39/C44)</f>
        <v>0</v>
      </c>
      <c r="D45" s="433">
        <f>IF(ISERR(D39/D44),0,D39/D44)</f>
        <v>0</v>
      </c>
      <c r="E45" s="433">
        <f t="shared" si="2"/>
        <v>0</v>
      </c>
      <c r="F45" s="433">
        <f t="shared" si="2"/>
        <v>0</v>
      </c>
      <c r="G45" s="433">
        <f t="shared" si="2"/>
        <v>0</v>
      </c>
      <c r="H45" s="433">
        <f t="shared" si="2"/>
        <v>0</v>
      </c>
      <c r="I45" s="433">
        <f t="shared" si="2"/>
        <v>0</v>
      </c>
      <c r="J45" s="433">
        <f t="shared" si="2"/>
        <v>0</v>
      </c>
      <c r="K45" s="434">
        <f t="shared" si="2"/>
        <v>0</v>
      </c>
    </row>
    <row r="46" spans="1:11" ht="14" x14ac:dyDescent="0.3">
      <c r="A46" s="410"/>
      <c r="B46" s="435" t="s">
        <v>292</v>
      </c>
      <c r="C46" s="710" t="s">
        <v>293</v>
      </c>
      <c r="D46" s="711"/>
      <c r="E46" s="711"/>
      <c r="F46" s="711"/>
      <c r="G46" s="711"/>
      <c r="H46" s="711"/>
      <c r="I46" s="711"/>
      <c r="J46" s="711"/>
      <c r="K46" s="712"/>
    </row>
    <row r="47" spans="1:11" ht="14" x14ac:dyDescent="0.3">
      <c r="A47" s="410"/>
      <c r="B47" s="435" t="s">
        <v>294</v>
      </c>
      <c r="C47" s="713" t="s">
        <v>293</v>
      </c>
      <c r="D47" s="714"/>
      <c r="E47" s="714"/>
      <c r="F47" s="714"/>
      <c r="G47" s="714"/>
      <c r="H47" s="714"/>
      <c r="I47" s="714"/>
      <c r="J47" s="714"/>
      <c r="K47" s="715"/>
    </row>
    <row r="48" spans="1:11" ht="14.5" thickBot="1" x14ac:dyDescent="0.35">
      <c r="A48" s="410"/>
      <c r="B48" s="436" t="s">
        <v>295</v>
      </c>
      <c r="C48" s="437"/>
      <c r="D48" s="437"/>
      <c r="E48" s="437"/>
      <c r="F48" s="437"/>
      <c r="G48" s="437"/>
      <c r="H48" s="437"/>
      <c r="I48" s="437"/>
      <c r="J48" s="437"/>
      <c r="K48" s="438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  <row r="54" spans="1:1" x14ac:dyDescent="0.25">
      <c r="A54" s="11"/>
    </row>
    <row r="55" spans="1:1" ht="13" x14ac:dyDescent="0.25">
      <c r="A55" s="13"/>
    </row>
    <row r="56" spans="1:1" ht="13" x14ac:dyDescent="0.25">
      <c r="A56" s="14"/>
    </row>
    <row r="57" spans="1:1" ht="13" x14ac:dyDescent="0.25">
      <c r="A57" s="13"/>
    </row>
    <row r="58" spans="1:1" x14ac:dyDescent="0.25">
      <c r="A58" s="12"/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2"/>
    </row>
    <row r="63" spans="1:1" x14ac:dyDescent="0.25">
      <c r="A63" s="12"/>
    </row>
    <row r="64" spans="1:1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ht="13" x14ac:dyDescent="0.25">
      <c r="A68" s="13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  <row r="74" spans="1:1" x14ac:dyDescent="0.25">
      <c r="A74" s="12"/>
    </row>
    <row r="75" spans="1:1" x14ac:dyDescent="0.25">
      <c r="A75" s="11"/>
    </row>
  </sheetData>
  <mergeCells count="4">
    <mergeCell ref="B12:K13"/>
    <mergeCell ref="B14:B16"/>
    <mergeCell ref="C46:K46"/>
    <mergeCell ref="C47:K47"/>
  </mergeCells>
  <printOptions horizontalCentered="1"/>
  <pageMargins left="0.25" right="0.25" top="0.51" bottom="0.48" header="0.25" footer="0.25"/>
  <pageSetup scale="8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57"/>
  <sheetViews>
    <sheetView zoomScale="80" zoomScaleNormal="80" zoomScaleSheetLayoutView="100" workbookViewId="0"/>
  </sheetViews>
  <sheetFormatPr defaultRowHeight="12.5" x14ac:dyDescent="0.25"/>
  <cols>
    <col min="1" max="1" width="4.7265625" customWidth="1"/>
    <col min="2" max="2" width="46.453125" customWidth="1"/>
    <col min="3" max="3" width="17.7265625" customWidth="1"/>
    <col min="4" max="4" width="18.26953125" customWidth="1"/>
    <col min="5" max="5" width="17.81640625" customWidth="1"/>
    <col min="6" max="6" width="18.453125" customWidth="1"/>
    <col min="7" max="7" width="18.7265625" customWidth="1"/>
    <col min="8" max="8" width="19.1796875" customWidth="1"/>
    <col min="9" max="10" width="18.453125" customWidth="1"/>
    <col min="11" max="11" width="18.54296875" customWidth="1"/>
  </cols>
  <sheetData>
    <row r="1" spans="1:12" ht="13" x14ac:dyDescent="0.25">
      <c r="A1" s="441" t="s">
        <v>380</v>
      </c>
      <c r="B1" s="2"/>
      <c r="C1" s="2"/>
      <c r="D1" s="2"/>
      <c r="E1" s="2"/>
      <c r="F1" s="2"/>
      <c r="G1" s="2"/>
      <c r="H1" s="2"/>
      <c r="I1" s="2"/>
      <c r="J1" s="2"/>
      <c r="K1" s="442"/>
    </row>
    <row r="2" spans="1:12" ht="13" x14ac:dyDescent="0.3">
      <c r="A2" s="441" t="s">
        <v>9</v>
      </c>
      <c r="B2" s="18"/>
      <c r="C2" s="17"/>
      <c r="D2" s="17"/>
      <c r="E2" s="17"/>
      <c r="F2" s="16"/>
      <c r="G2" s="16"/>
      <c r="H2" s="16"/>
      <c r="I2" s="2"/>
      <c r="J2" s="2"/>
      <c r="K2" s="442"/>
    </row>
    <row r="3" spans="1:12" ht="13" x14ac:dyDescent="0.25">
      <c r="A3" s="443" t="s">
        <v>243</v>
      </c>
      <c r="B3" s="408"/>
      <c r="C3" s="408"/>
      <c r="D3" s="408"/>
      <c r="E3" s="408"/>
      <c r="F3" s="408"/>
      <c r="G3" s="408"/>
      <c r="H3" s="408"/>
      <c r="I3" s="408"/>
      <c r="J3" s="408"/>
      <c r="K3" s="442"/>
    </row>
    <row r="4" spans="1:12" x14ac:dyDescent="0.25">
      <c r="A4" s="443"/>
      <c r="B4" s="408"/>
      <c r="C4" s="408"/>
      <c r="D4" s="408"/>
      <c r="E4" s="408"/>
      <c r="F4" s="408"/>
      <c r="G4" s="408"/>
      <c r="H4" s="408"/>
      <c r="I4" s="408"/>
      <c r="J4" s="408"/>
      <c r="K4" s="442"/>
    </row>
    <row r="5" spans="1:12" ht="14" x14ac:dyDescent="0.25">
      <c r="A5" s="444" t="s">
        <v>123</v>
      </c>
      <c r="B5" s="408"/>
      <c r="C5" s="408"/>
      <c r="D5" s="408"/>
      <c r="E5" s="408"/>
      <c r="F5" s="408"/>
      <c r="G5" s="408"/>
      <c r="H5" s="408"/>
      <c r="I5" s="408"/>
      <c r="J5" s="408"/>
      <c r="K5" s="442"/>
    </row>
    <row r="6" spans="1:12" ht="14" x14ac:dyDescent="0.25">
      <c r="A6" s="484" t="s">
        <v>14</v>
      </c>
      <c r="B6" s="408"/>
      <c r="C6" s="408"/>
      <c r="D6" s="408"/>
      <c r="E6" s="408"/>
      <c r="F6" s="408"/>
      <c r="G6" s="408"/>
      <c r="H6" s="408"/>
      <c r="I6" s="408"/>
      <c r="J6" s="408"/>
      <c r="K6" s="442"/>
    </row>
    <row r="7" spans="1:12" ht="14" x14ac:dyDescent="0.25">
      <c r="A7" s="485" t="s">
        <v>265</v>
      </c>
      <c r="B7" s="408"/>
      <c r="C7" s="408"/>
      <c r="D7" s="408"/>
      <c r="E7" s="408"/>
      <c r="F7" s="408"/>
      <c r="G7" s="408"/>
      <c r="H7" s="408"/>
      <c r="I7" s="408"/>
      <c r="J7" s="408"/>
      <c r="K7" s="442"/>
    </row>
    <row r="8" spans="1:12" ht="14" x14ac:dyDescent="0.3">
      <c r="A8" s="485" t="s">
        <v>266</v>
      </c>
      <c r="B8" s="15"/>
      <c r="C8" s="15"/>
      <c r="D8" s="15"/>
      <c r="E8" s="15"/>
      <c r="F8" s="15"/>
      <c r="G8" s="15"/>
      <c r="H8" s="15"/>
      <c r="I8" s="15"/>
      <c r="J8" s="2"/>
      <c r="K8" s="442"/>
    </row>
    <row r="9" spans="1:12" ht="15.5" x14ac:dyDescent="0.35">
      <c r="A9" s="485" t="s">
        <v>267</v>
      </c>
      <c r="B9" s="19"/>
      <c r="C9" s="19"/>
      <c r="D9" s="19"/>
      <c r="E9" s="19"/>
      <c r="F9" s="19"/>
      <c r="G9" s="19"/>
      <c r="H9" s="19"/>
      <c r="I9" s="19"/>
      <c r="J9" s="2"/>
      <c r="K9" s="442"/>
    </row>
    <row r="10" spans="1:12" ht="13" x14ac:dyDescent="0.3">
      <c r="A10" s="487" t="s">
        <v>11</v>
      </c>
      <c r="B10" s="488"/>
      <c r="C10" s="488"/>
      <c r="D10" s="488"/>
      <c r="E10" s="489"/>
      <c r="F10" s="489"/>
      <c r="G10" s="489"/>
      <c r="H10" s="489"/>
      <c r="I10" s="488"/>
      <c r="J10" s="334"/>
      <c r="K10" s="486"/>
    </row>
    <row r="11" spans="1:12" ht="13" thickBot="1" x14ac:dyDescent="0.3">
      <c r="A11" s="483"/>
      <c r="B11" s="483"/>
      <c r="C11" s="483"/>
      <c r="D11" s="483"/>
      <c r="E11" s="483"/>
      <c r="F11" s="483"/>
      <c r="G11" s="483"/>
      <c r="H11" s="483"/>
      <c r="I11" s="483"/>
      <c r="J11" s="1"/>
      <c r="K11" s="1"/>
      <c r="L11" s="1"/>
    </row>
    <row r="12" spans="1:12" s="409" customFormat="1" x14ac:dyDescent="0.25">
      <c r="B12" s="716" t="s">
        <v>297</v>
      </c>
      <c r="C12" s="717"/>
      <c r="D12" s="717"/>
      <c r="E12" s="717"/>
      <c r="F12" s="717"/>
      <c r="G12" s="717"/>
      <c r="H12" s="717"/>
      <c r="I12" s="717"/>
      <c r="J12" s="717"/>
      <c r="K12" s="718"/>
    </row>
    <row r="13" spans="1:12" s="409" customFormat="1" ht="13" thickBot="1" x14ac:dyDescent="0.3">
      <c r="B13" s="719"/>
      <c r="C13" s="720"/>
      <c r="D13" s="720"/>
      <c r="E13" s="720"/>
      <c r="F13" s="720"/>
      <c r="G13" s="720"/>
      <c r="H13" s="720"/>
      <c r="I13" s="720"/>
      <c r="J13" s="720"/>
      <c r="K13" s="721"/>
    </row>
    <row r="14" spans="1:12" s="409" customFormat="1" ht="70" x14ac:dyDescent="0.3">
      <c r="B14" s="722" t="s">
        <v>13</v>
      </c>
      <c r="C14" s="461" t="s">
        <v>269</v>
      </c>
      <c r="D14" s="461" t="s">
        <v>269</v>
      </c>
      <c r="E14" s="461" t="s">
        <v>269</v>
      </c>
      <c r="F14" s="461" t="s">
        <v>270</v>
      </c>
      <c r="G14" s="461" t="s">
        <v>271</v>
      </c>
      <c r="H14" s="461" t="s">
        <v>271</v>
      </c>
      <c r="I14" s="461" t="s">
        <v>271</v>
      </c>
      <c r="J14" s="461" t="s">
        <v>271</v>
      </c>
      <c r="K14" s="462" t="s">
        <v>271</v>
      </c>
    </row>
    <row r="15" spans="1:12" s="409" customFormat="1" ht="42" x14ac:dyDescent="0.3">
      <c r="B15" s="722"/>
      <c r="C15" s="411" t="s">
        <v>272</v>
      </c>
      <c r="D15" s="411" t="s">
        <v>272</v>
      </c>
      <c r="E15" s="411" t="s">
        <v>272</v>
      </c>
      <c r="F15" s="411" t="s">
        <v>272</v>
      </c>
      <c r="G15" s="411" t="s">
        <v>272</v>
      </c>
      <c r="H15" s="411" t="s">
        <v>272</v>
      </c>
      <c r="I15" s="411" t="s">
        <v>272</v>
      </c>
      <c r="J15" s="411" t="s">
        <v>272</v>
      </c>
      <c r="K15" s="412" t="s">
        <v>272</v>
      </c>
    </row>
    <row r="16" spans="1:12" s="409" customFormat="1" ht="14" x14ac:dyDescent="0.3">
      <c r="B16" s="723"/>
      <c r="C16" s="413" t="s">
        <v>273</v>
      </c>
      <c r="D16" s="413" t="s">
        <v>273</v>
      </c>
      <c r="E16" s="413" t="s">
        <v>273</v>
      </c>
      <c r="F16" s="413" t="s">
        <v>273</v>
      </c>
      <c r="G16" s="413" t="s">
        <v>273</v>
      </c>
      <c r="H16" s="413" t="s">
        <v>273</v>
      </c>
      <c r="I16" s="413" t="s">
        <v>273</v>
      </c>
      <c r="J16" s="413" t="s">
        <v>273</v>
      </c>
      <c r="K16" s="414" t="s">
        <v>273</v>
      </c>
    </row>
    <row r="17" spans="1:11" s="409" customFormat="1" ht="14" x14ac:dyDescent="0.3">
      <c r="B17" s="490" t="s">
        <v>298</v>
      </c>
      <c r="C17" s="491"/>
      <c r="D17" s="491"/>
      <c r="E17" s="491"/>
      <c r="F17" s="491"/>
      <c r="G17" s="491"/>
      <c r="H17" s="491"/>
      <c r="I17" s="491"/>
      <c r="J17" s="491"/>
      <c r="K17" s="492"/>
    </row>
    <row r="18" spans="1:11" s="409" customFormat="1" ht="14" x14ac:dyDescent="0.3">
      <c r="B18" s="493" t="s">
        <v>299</v>
      </c>
      <c r="C18" s="491">
        <v>0</v>
      </c>
      <c r="D18" s="491">
        <v>0</v>
      </c>
      <c r="E18" s="491">
        <v>0</v>
      </c>
      <c r="F18" s="491">
        <v>0</v>
      </c>
      <c r="G18" s="491">
        <v>0</v>
      </c>
      <c r="H18" s="491">
        <v>0</v>
      </c>
      <c r="I18" s="491">
        <v>0</v>
      </c>
      <c r="J18" s="491">
        <v>0</v>
      </c>
      <c r="K18" s="492">
        <v>0</v>
      </c>
    </row>
    <row r="19" spans="1:11" s="409" customFormat="1" ht="14" x14ac:dyDescent="0.3">
      <c r="B19" s="493" t="s">
        <v>300</v>
      </c>
      <c r="C19" s="491">
        <v>0</v>
      </c>
      <c r="D19" s="491">
        <v>0</v>
      </c>
      <c r="E19" s="491">
        <v>0</v>
      </c>
      <c r="F19" s="491">
        <v>0</v>
      </c>
      <c r="G19" s="491">
        <v>0</v>
      </c>
      <c r="H19" s="491">
        <v>0</v>
      </c>
      <c r="I19" s="491">
        <v>0</v>
      </c>
      <c r="J19" s="491">
        <v>0</v>
      </c>
      <c r="K19" s="492">
        <v>0</v>
      </c>
    </row>
    <row r="20" spans="1:11" s="409" customFormat="1" ht="14" x14ac:dyDescent="0.3">
      <c r="B20" s="493" t="s">
        <v>301</v>
      </c>
      <c r="C20" s="491">
        <v>0</v>
      </c>
      <c r="D20" s="491">
        <v>0</v>
      </c>
      <c r="E20" s="491">
        <v>0</v>
      </c>
      <c r="F20" s="491">
        <v>0</v>
      </c>
      <c r="G20" s="491">
        <v>0</v>
      </c>
      <c r="H20" s="491">
        <v>0</v>
      </c>
      <c r="I20" s="491">
        <v>0</v>
      </c>
      <c r="J20" s="491">
        <v>0</v>
      </c>
      <c r="K20" s="492">
        <v>0</v>
      </c>
    </row>
    <row r="21" spans="1:11" s="409" customFormat="1" ht="14" x14ac:dyDescent="0.3">
      <c r="B21" s="493" t="s">
        <v>302</v>
      </c>
      <c r="C21" s="491">
        <v>0</v>
      </c>
      <c r="D21" s="491">
        <v>0</v>
      </c>
      <c r="E21" s="491">
        <v>0</v>
      </c>
      <c r="F21" s="491">
        <v>0</v>
      </c>
      <c r="G21" s="491">
        <v>0</v>
      </c>
      <c r="H21" s="491">
        <v>0</v>
      </c>
      <c r="I21" s="491">
        <v>0</v>
      </c>
      <c r="J21" s="491">
        <v>0</v>
      </c>
      <c r="K21" s="492">
        <v>0</v>
      </c>
    </row>
    <row r="22" spans="1:11" s="409" customFormat="1" ht="14" x14ac:dyDescent="0.3">
      <c r="B22" s="490" t="s">
        <v>303</v>
      </c>
      <c r="C22" s="491"/>
      <c r="D22" s="491"/>
      <c r="E22" s="491"/>
      <c r="F22" s="491"/>
      <c r="G22" s="491"/>
      <c r="H22" s="491"/>
      <c r="I22" s="491"/>
      <c r="J22" s="491"/>
      <c r="K22" s="492"/>
    </row>
    <row r="23" spans="1:11" s="409" customFormat="1" ht="14" x14ac:dyDescent="0.3">
      <c r="B23" s="493" t="s">
        <v>304</v>
      </c>
      <c r="C23" s="491">
        <v>0</v>
      </c>
      <c r="D23" s="491">
        <v>0</v>
      </c>
      <c r="E23" s="491">
        <v>0</v>
      </c>
      <c r="F23" s="491">
        <v>0</v>
      </c>
      <c r="G23" s="491">
        <v>0</v>
      </c>
      <c r="H23" s="491">
        <v>0</v>
      </c>
      <c r="I23" s="491">
        <v>0</v>
      </c>
      <c r="J23" s="491">
        <v>0</v>
      </c>
      <c r="K23" s="492">
        <v>0</v>
      </c>
    </row>
    <row r="24" spans="1:11" s="409" customFormat="1" ht="14" x14ac:dyDescent="0.3">
      <c r="B24" s="493" t="s">
        <v>305</v>
      </c>
      <c r="C24" s="491">
        <v>0</v>
      </c>
      <c r="D24" s="491">
        <v>0</v>
      </c>
      <c r="E24" s="491">
        <v>0</v>
      </c>
      <c r="F24" s="491">
        <v>0</v>
      </c>
      <c r="G24" s="491">
        <v>0</v>
      </c>
      <c r="H24" s="491">
        <v>0</v>
      </c>
      <c r="I24" s="491">
        <v>0</v>
      </c>
      <c r="J24" s="491">
        <v>0</v>
      </c>
      <c r="K24" s="492">
        <v>0</v>
      </c>
    </row>
    <row r="25" spans="1:11" s="409" customFormat="1" ht="14" x14ac:dyDescent="0.3">
      <c r="B25" s="493" t="s">
        <v>306</v>
      </c>
      <c r="C25" s="491">
        <v>0</v>
      </c>
      <c r="D25" s="491">
        <v>0</v>
      </c>
      <c r="E25" s="491">
        <v>0</v>
      </c>
      <c r="F25" s="491">
        <v>0</v>
      </c>
      <c r="G25" s="491">
        <v>0</v>
      </c>
      <c r="H25" s="491">
        <v>0</v>
      </c>
      <c r="I25" s="491">
        <v>0</v>
      </c>
      <c r="J25" s="491">
        <v>0</v>
      </c>
      <c r="K25" s="492">
        <v>0</v>
      </c>
    </row>
    <row r="26" spans="1:11" s="409" customFormat="1" ht="15.5" x14ac:dyDescent="0.3">
      <c r="A26" s="494"/>
      <c r="B26" s="493" t="s">
        <v>307</v>
      </c>
      <c r="C26" s="491">
        <v>0</v>
      </c>
      <c r="D26" s="491">
        <v>0</v>
      </c>
      <c r="E26" s="491">
        <v>0</v>
      </c>
      <c r="F26" s="491">
        <v>0</v>
      </c>
      <c r="G26" s="491">
        <v>0</v>
      </c>
      <c r="H26" s="491">
        <v>0</v>
      </c>
      <c r="I26" s="491">
        <v>0</v>
      </c>
      <c r="J26" s="491">
        <v>0</v>
      </c>
      <c r="K26" s="492">
        <v>0</v>
      </c>
    </row>
    <row r="27" spans="1:11" s="409" customFormat="1" ht="14" x14ac:dyDescent="0.3">
      <c r="B27" s="493" t="s">
        <v>308</v>
      </c>
      <c r="C27" s="491">
        <v>0</v>
      </c>
      <c r="D27" s="491">
        <v>0</v>
      </c>
      <c r="E27" s="491">
        <v>0</v>
      </c>
      <c r="F27" s="491">
        <v>0</v>
      </c>
      <c r="G27" s="491">
        <v>0</v>
      </c>
      <c r="H27" s="491">
        <v>0</v>
      </c>
      <c r="I27" s="491">
        <v>0</v>
      </c>
      <c r="J27" s="491">
        <v>0</v>
      </c>
      <c r="K27" s="492">
        <v>0</v>
      </c>
    </row>
    <row r="28" spans="1:11" s="409" customFormat="1" ht="14" x14ac:dyDescent="0.3">
      <c r="B28" s="493" t="s">
        <v>309</v>
      </c>
      <c r="C28" s="491">
        <v>0</v>
      </c>
      <c r="D28" s="491">
        <v>0</v>
      </c>
      <c r="E28" s="491">
        <v>0</v>
      </c>
      <c r="F28" s="491">
        <v>0</v>
      </c>
      <c r="G28" s="491">
        <v>0</v>
      </c>
      <c r="H28" s="491">
        <v>0</v>
      </c>
      <c r="I28" s="491">
        <v>0</v>
      </c>
      <c r="J28" s="491">
        <v>0</v>
      </c>
      <c r="K28" s="492">
        <v>0</v>
      </c>
    </row>
    <row r="29" spans="1:11" s="409" customFormat="1" ht="14" x14ac:dyDescent="0.3">
      <c r="B29" s="493" t="s">
        <v>310</v>
      </c>
      <c r="C29" s="491">
        <v>0</v>
      </c>
      <c r="D29" s="491">
        <v>0</v>
      </c>
      <c r="E29" s="491">
        <v>0</v>
      </c>
      <c r="F29" s="491">
        <v>0</v>
      </c>
      <c r="G29" s="491">
        <v>0</v>
      </c>
      <c r="H29" s="491">
        <v>0</v>
      </c>
      <c r="I29" s="491">
        <v>0</v>
      </c>
      <c r="J29" s="491">
        <v>0</v>
      </c>
      <c r="K29" s="492">
        <v>0</v>
      </c>
    </row>
    <row r="30" spans="1:11" s="409" customFormat="1" ht="14" x14ac:dyDescent="0.3">
      <c r="B30" s="493" t="s">
        <v>311</v>
      </c>
      <c r="C30" s="491">
        <v>0</v>
      </c>
      <c r="D30" s="491">
        <v>0</v>
      </c>
      <c r="E30" s="491">
        <v>0</v>
      </c>
      <c r="F30" s="491">
        <v>0</v>
      </c>
      <c r="G30" s="491">
        <v>0</v>
      </c>
      <c r="H30" s="491">
        <v>0</v>
      </c>
      <c r="I30" s="491">
        <v>0</v>
      </c>
      <c r="J30" s="491">
        <v>0</v>
      </c>
      <c r="K30" s="492">
        <v>0</v>
      </c>
    </row>
    <row r="31" spans="1:11" s="409" customFormat="1" ht="14" x14ac:dyDescent="0.3">
      <c r="B31" s="493" t="s">
        <v>312</v>
      </c>
      <c r="C31" s="491">
        <v>0</v>
      </c>
      <c r="D31" s="491">
        <v>0</v>
      </c>
      <c r="E31" s="491">
        <v>0</v>
      </c>
      <c r="F31" s="491">
        <v>0</v>
      </c>
      <c r="G31" s="491">
        <v>0</v>
      </c>
      <c r="H31" s="491">
        <v>0</v>
      </c>
      <c r="I31" s="491">
        <v>0</v>
      </c>
      <c r="J31" s="491">
        <v>0</v>
      </c>
      <c r="K31" s="492">
        <v>0</v>
      </c>
    </row>
    <row r="32" spans="1:11" s="409" customFormat="1" ht="14" x14ac:dyDescent="0.3">
      <c r="B32" s="493" t="s">
        <v>313</v>
      </c>
      <c r="C32" s="491">
        <v>0</v>
      </c>
      <c r="D32" s="491">
        <v>0</v>
      </c>
      <c r="E32" s="491">
        <v>0</v>
      </c>
      <c r="F32" s="491">
        <v>0</v>
      </c>
      <c r="G32" s="491">
        <v>0</v>
      </c>
      <c r="H32" s="491">
        <v>0</v>
      </c>
      <c r="I32" s="491">
        <v>0</v>
      </c>
      <c r="J32" s="491">
        <v>0</v>
      </c>
      <c r="K32" s="492">
        <v>0</v>
      </c>
    </row>
    <row r="33" spans="2:11" s="409" customFormat="1" ht="14" x14ac:dyDescent="0.3">
      <c r="B33" s="493" t="s">
        <v>314</v>
      </c>
      <c r="C33" s="491">
        <v>0</v>
      </c>
      <c r="D33" s="491">
        <v>0</v>
      </c>
      <c r="E33" s="491">
        <v>0</v>
      </c>
      <c r="F33" s="491">
        <v>0</v>
      </c>
      <c r="G33" s="491">
        <v>0</v>
      </c>
      <c r="H33" s="491">
        <v>0</v>
      </c>
      <c r="I33" s="491">
        <v>0</v>
      </c>
      <c r="J33" s="491">
        <v>0</v>
      </c>
      <c r="K33" s="492">
        <v>0</v>
      </c>
    </row>
    <row r="34" spans="2:11" s="409" customFormat="1" ht="14" x14ac:dyDescent="0.3">
      <c r="B34" s="493" t="s">
        <v>315</v>
      </c>
      <c r="C34" s="491">
        <v>0</v>
      </c>
      <c r="D34" s="491">
        <v>0</v>
      </c>
      <c r="E34" s="491">
        <v>0</v>
      </c>
      <c r="F34" s="491">
        <v>0</v>
      </c>
      <c r="G34" s="491">
        <v>0</v>
      </c>
      <c r="H34" s="491">
        <v>0</v>
      </c>
      <c r="I34" s="491">
        <v>0</v>
      </c>
      <c r="J34" s="491">
        <v>0</v>
      </c>
      <c r="K34" s="492">
        <v>0</v>
      </c>
    </row>
    <row r="35" spans="2:11" s="409" customFormat="1" ht="14" x14ac:dyDescent="0.3">
      <c r="B35" s="493" t="s">
        <v>316</v>
      </c>
      <c r="C35" s="491">
        <v>0</v>
      </c>
      <c r="D35" s="491">
        <v>0</v>
      </c>
      <c r="E35" s="491">
        <v>0</v>
      </c>
      <c r="F35" s="491">
        <v>0</v>
      </c>
      <c r="G35" s="491">
        <v>0</v>
      </c>
      <c r="H35" s="491">
        <v>0</v>
      </c>
      <c r="I35" s="491">
        <v>0</v>
      </c>
      <c r="J35" s="491">
        <v>0</v>
      </c>
      <c r="K35" s="492">
        <v>0</v>
      </c>
    </row>
    <row r="36" spans="2:11" s="409" customFormat="1" ht="14" x14ac:dyDescent="0.3">
      <c r="B36" s="493" t="s">
        <v>317</v>
      </c>
      <c r="C36" s="491">
        <v>0</v>
      </c>
      <c r="D36" s="491">
        <v>0</v>
      </c>
      <c r="E36" s="491">
        <v>0</v>
      </c>
      <c r="F36" s="491">
        <v>0</v>
      </c>
      <c r="G36" s="491">
        <v>0</v>
      </c>
      <c r="H36" s="491">
        <v>0</v>
      </c>
      <c r="I36" s="491">
        <v>0</v>
      </c>
      <c r="J36" s="491">
        <v>0</v>
      </c>
      <c r="K36" s="492">
        <v>0</v>
      </c>
    </row>
    <row r="37" spans="2:11" s="409" customFormat="1" ht="14" x14ac:dyDescent="0.3">
      <c r="B37" s="490" t="s">
        <v>318</v>
      </c>
      <c r="C37" s="491"/>
      <c r="D37" s="491"/>
      <c r="E37" s="491"/>
      <c r="F37" s="491"/>
      <c r="G37" s="491"/>
      <c r="H37" s="491"/>
      <c r="I37" s="491"/>
      <c r="J37" s="491"/>
      <c r="K37" s="492"/>
    </row>
    <row r="38" spans="2:11" s="409" customFormat="1" ht="14" x14ac:dyDescent="0.3">
      <c r="B38" s="493" t="s">
        <v>319</v>
      </c>
      <c r="C38" s="491">
        <v>0</v>
      </c>
      <c r="D38" s="491">
        <v>0</v>
      </c>
      <c r="E38" s="491">
        <v>0</v>
      </c>
      <c r="F38" s="491">
        <v>0</v>
      </c>
      <c r="G38" s="491">
        <v>0</v>
      </c>
      <c r="H38" s="491">
        <v>0</v>
      </c>
      <c r="I38" s="491">
        <v>0</v>
      </c>
      <c r="J38" s="491">
        <v>0</v>
      </c>
      <c r="K38" s="492">
        <v>0</v>
      </c>
    </row>
    <row r="39" spans="2:11" s="409" customFormat="1" ht="14" x14ac:dyDescent="0.3">
      <c r="B39" s="493" t="s">
        <v>320</v>
      </c>
      <c r="C39" s="491">
        <v>0</v>
      </c>
      <c r="D39" s="491">
        <v>0</v>
      </c>
      <c r="E39" s="491">
        <v>0</v>
      </c>
      <c r="F39" s="491">
        <v>0</v>
      </c>
      <c r="G39" s="491">
        <v>0</v>
      </c>
      <c r="H39" s="491">
        <v>0</v>
      </c>
      <c r="I39" s="491">
        <v>0</v>
      </c>
      <c r="J39" s="491">
        <v>0</v>
      </c>
      <c r="K39" s="492">
        <v>0</v>
      </c>
    </row>
    <row r="40" spans="2:11" s="409" customFormat="1" ht="14" x14ac:dyDescent="0.3">
      <c r="B40" s="493" t="s">
        <v>321</v>
      </c>
      <c r="C40" s="491">
        <v>0</v>
      </c>
      <c r="D40" s="491">
        <v>0</v>
      </c>
      <c r="E40" s="491">
        <v>0</v>
      </c>
      <c r="F40" s="491">
        <v>0</v>
      </c>
      <c r="G40" s="491">
        <v>0</v>
      </c>
      <c r="H40" s="491">
        <v>0</v>
      </c>
      <c r="I40" s="491">
        <v>0</v>
      </c>
      <c r="J40" s="491">
        <v>0</v>
      </c>
      <c r="K40" s="492">
        <v>0</v>
      </c>
    </row>
    <row r="41" spans="2:11" s="409" customFormat="1" ht="14" x14ac:dyDescent="0.3">
      <c r="B41" s="493" t="s">
        <v>322</v>
      </c>
      <c r="C41" s="491"/>
      <c r="D41" s="491">
        <v>0</v>
      </c>
      <c r="E41" s="491">
        <v>0</v>
      </c>
      <c r="F41" s="491">
        <v>0</v>
      </c>
      <c r="G41" s="491">
        <v>0</v>
      </c>
      <c r="H41" s="491">
        <v>0</v>
      </c>
      <c r="I41" s="491">
        <v>0</v>
      </c>
      <c r="J41" s="491">
        <v>0</v>
      </c>
      <c r="K41" s="492">
        <v>0</v>
      </c>
    </row>
    <row r="42" spans="2:11" s="409" customFormat="1" ht="14" x14ac:dyDescent="0.3">
      <c r="B42" s="495" t="s">
        <v>323</v>
      </c>
      <c r="C42" s="496">
        <f t="shared" ref="C42:K42" si="0">SUM(C17:C41)</f>
        <v>0</v>
      </c>
      <c r="D42" s="496">
        <f t="shared" si="0"/>
        <v>0</v>
      </c>
      <c r="E42" s="496">
        <f t="shared" si="0"/>
        <v>0</v>
      </c>
      <c r="F42" s="496">
        <f t="shared" si="0"/>
        <v>0</v>
      </c>
      <c r="G42" s="496">
        <f t="shared" si="0"/>
        <v>0</v>
      </c>
      <c r="H42" s="496">
        <f t="shared" si="0"/>
        <v>0</v>
      </c>
      <c r="I42" s="496">
        <f t="shared" si="0"/>
        <v>0</v>
      </c>
      <c r="J42" s="496">
        <f t="shared" si="0"/>
        <v>0</v>
      </c>
      <c r="K42" s="497">
        <f t="shared" si="0"/>
        <v>0</v>
      </c>
    </row>
    <row r="43" spans="2:11" s="409" customFormat="1" ht="14" x14ac:dyDescent="0.3">
      <c r="B43" s="498" t="s">
        <v>324</v>
      </c>
      <c r="C43" s="499"/>
      <c r="D43" s="499"/>
      <c r="E43" s="499"/>
      <c r="F43" s="499"/>
      <c r="G43" s="499"/>
      <c r="H43" s="499"/>
      <c r="I43" s="499"/>
      <c r="J43" s="499"/>
      <c r="K43" s="500"/>
    </row>
    <row r="44" spans="2:11" s="409" customFormat="1" ht="14" x14ac:dyDescent="0.3">
      <c r="B44" s="493" t="s">
        <v>325</v>
      </c>
      <c r="C44" s="491">
        <v>0</v>
      </c>
      <c r="D44" s="491">
        <v>0</v>
      </c>
      <c r="E44" s="491">
        <v>0</v>
      </c>
      <c r="F44" s="491">
        <v>0</v>
      </c>
      <c r="G44" s="491">
        <v>0</v>
      </c>
      <c r="H44" s="491">
        <v>0</v>
      </c>
      <c r="I44" s="491">
        <v>0</v>
      </c>
      <c r="J44" s="491">
        <v>0</v>
      </c>
      <c r="K44" s="492">
        <v>0</v>
      </c>
    </row>
    <row r="45" spans="2:11" s="409" customFormat="1" ht="14" x14ac:dyDescent="0.3">
      <c r="B45" s="493" t="s">
        <v>326</v>
      </c>
      <c r="C45" s="491">
        <v>0</v>
      </c>
      <c r="D45" s="491">
        <v>0</v>
      </c>
      <c r="E45" s="491">
        <v>0</v>
      </c>
      <c r="F45" s="491">
        <v>0</v>
      </c>
      <c r="G45" s="491">
        <v>0</v>
      </c>
      <c r="H45" s="491">
        <v>0</v>
      </c>
      <c r="I45" s="491">
        <v>0</v>
      </c>
      <c r="J45" s="491">
        <v>0</v>
      </c>
      <c r="K45" s="492">
        <v>0</v>
      </c>
    </row>
    <row r="46" spans="2:11" s="409" customFormat="1" ht="14" x14ac:dyDescent="0.3">
      <c r="B46" s="493" t="s">
        <v>327</v>
      </c>
      <c r="C46" s="491">
        <v>0</v>
      </c>
      <c r="D46" s="491">
        <v>0</v>
      </c>
      <c r="E46" s="491">
        <v>0</v>
      </c>
      <c r="F46" s="491">
        <v>0</v>
      </c>
      <c r="G46" s="491">
        <v>0</v>
      </c>
      <c r="H46" s="491">
        <v>0</v>
      </c>
      <c r="I46" s="491">
        <v>0</v>
      </c>
      <c r="J46" s="491">
        <v>0</v>
      </c>
      <c r="K46" s="492">
        <v>0</v>
      </c>
    </row>
    <row r="47" spans="2:11" s="409" customFormat="1" ht="14" x14ac:dyDescent="0.3">
      <c r="B47" s="493" t="s">
        <v>328</v>
      </c>
      <c r="C47" s="491">
        <v>0</v>
      </c>
      <c r="D47" s="491">
        <v>0</v>
      </c>
      <c r="E47" s="491">
        <v>0</v>
      </c>
      <c r="F47" s="491">
        <v>0</v>
      </c>
      <c r="G47" s="491">
        <v>0</v>
      </c>
      <c r="H47" s="491">
        <v>0</v>
      </c>
      <c r="I47" s="491">
        <v>0</v>
      </c>
      <c r="J47" s="491">
        <v>0</v>
      </c>
      <c r="K47" s="492">
        <v>0</v>
      </c>
    </row>
    <row r="48" spans="2:11" s="409" customFormat="1" ht="14.5" thickBot="1" x14ac:dyDescent="0.35">
      <c r="B48" s="501" t="s">
        <v>329</v>
      </c>
      <c r="C48" s="421">
        <f t="shared" ref="C48:K48" si="1">SUM(C17:C41)-SUM(C44:C47)</f>
        <v>0</v>
      </c>
      <c r="D48" s="421">
        <f t="shared" si="1"/>
        <v>0</v>
      </c>
      <c r="E48" s="421">
        <f t="shared" si="1"/>
        <v>0</v>
      </c>
      <c r="F48" s="421">
        <f t="shared" si="1"/>
        <v>0</v>
      </c>
      <c r="G48" s="421">
        <f t="shared" si="1"/>
        <v>0</v>
      </c>
      <c r="H48" s="421">
        <f t="shared" si="1"/>
        <v>0</v>
      </c>
      <c r="I48" s="421">
        <f t="shared" si="1"/>
        <v>0</v>
      </c>
      <c r="J48" s="421">
        <f t="shared" si="1"/>
        <v>0</v>
      </c>
      <c r="K48" s="422">
        <f t="shared" si="1"/>
        <v>0</v>
      </c>
    </row>
    <row r="49" spans="2:11" s="409" customFormat="1" ht="14.5" thickTop="1" x14ac:dyDescent="0.3">
      <c r="B49" s="502" t="s">
        <v>286</v>
      </c>
      <c r="C49" s="424"/>
      <c r="D49" s="424"/>
      <c r="E49" s="424"/>
      <c r="F49" s="424"/>
      <c r="G49" s="424"/>
      <c r="H49" s="424"/>
      <c r="I49" s="424"/>
      <c r="J49" s="424"/>
      <c r="K49" s="425"/>
    </row>
    <row r="50" spans="2:11" s="409" customFormat="1" ht="14" x14ac:dyDescent="0.3">
      <c r="B50" s="503" t="s">
        <v>287</v>
      </c>
      <c r="C50" s="427"/>
      <c r="D50" s="427">
        <v>0</v>
      </c>
      <c r="E50" s="427">
        <v>0</v>
      </c>
      <c r="F50" s="427">
        <v>0</v>
      </c>
      <c r="G50" s="427">
        <v>0</v>
      </c>
      <c r="H50" s="427">
        <v>0</v>
      </c>
      <c r="I50" s="427">
        <v>0</v>
      </c>
      <c r="J50" s="427">
        <v>0</v>
      </c>
      <c r="K50" s="428">
        <v>0</v>
      </c>
    </row>
    <row r="51" spans="2:11" s="409" customFormat="1" ht="14" x14ac:dyDescent="0.3">
      <c r="B51" s="503" t="s">
        <v>288</v>
      </c>
      <c r="C51" s="427">
        <v>0</v>
      </c>
      <c r="D51" s="427">
        <v>0</v>
      </c>
      <c r="E51" s="427">
        <v>0</v>
      </c>
      <c r="F51" s="427">
        <v>0</v>
      </c>
      <c r="G51" s="427">
        <v>0</v>
      </c>
      <c r="H51" s="427">
        <v>0</v>
      </c>
      <c r="I51" s="427">
        <v>0</v>
      </c>
      <c r="J51" s="427">
        <v>0</v>
      </c>
      <c r="K51" s="428">
        <v>0</v>
      </c>
    </row>
    <row r="52" spans="2:11" s="409" customFormat="1" ht="14" x14ac:dyDescent="0.3">
      <c r="B52" s="503" t="s">
        <v>289</v>
      </c>
      <c r="C52" s="427">
        <v>0</v>
      </c>
      <c r="D52" s="427">
        <v>0</v>
      </c>
      <c r="E52" s="427">
        <v>0</v>
      </c>
      <c r="F52" s="427">
        <v>0</v>
      </c>
      <c r="G52" s="427">
        <v>0</v>
      </c>
      <c r="H52" s="427">
        <v>0</v>
      </c>
      <c r="I52" s="427">
        <v>0</v>
      </c>
      <c r="J52" s="427">
        <v>0</v>
      </c>
      <c r="K52" s="428">
        <v>0</v>
      </c>
    </row>
    <row r="53" spans="2:11" s="409" customFormat="1" ht="14.5" thickBot="1" x14ac:dyDescent="0.35">
      <c r="B53" s="504" t="s">
        <v>290</v>
      </c>
      <c r="C53" s="430">
        <f t="shared" ref="C53:K53" si="2">SUM(C49:C52)</f>
        <v>0</v>
      </c>
      <c r="D53" s="430">
        <f t="shared" si="2"/>
        <v>0</v>
      </c>
      <c r="E53" s="430">
        <f t="shared" si="2"/>
        <v>0</v>
      </c>
      <c r="F53" s="430">
        <f t="shared" si="2"/>
        <v>0</v>
      </c>
      <c r="G53" s="430">
        <f t="shared" si="2"/>
        <v>0</v>
      </c>
      <c r="H53" s="430">
        <f t="shared" si="2"/>
        <v>0</v>
      </c>
      <c r="I53" s="430">
        <f t="shared" si="2"/>
        <v>0</v>
      </c>
      <c r="J53" s="430">
        <f t="shared" si="2"/>
        <v>0</v>
      </c>
      <c r="K53" s="431">
        <f t="shared" si="2"/>
        <v>0</v>
      </c>
    </row>
    <row r="54" spans="2:11" s="409" customFormat="1" ht="15" thickTop="1" thickBot="1" x14ac:dyDescent="0.35">
      <c r="B54" s="505" t="s">
        <v>330</v>
      </c>
      <c r="C54" s="433">
        <f t="shared" ref="C54:K54" si="3">IF(ISERR(C48/C53),0,C48/C53)</f>
        <v>0</v>
      </c>
      <c r="D54" s="433">
        <f t="shared" si="3"/>
        <v>0</v>
      </c>
      <c r="E54" s="433">
        <f t="shared" si="3"/>
        <v>0</v>
      </c>
      <c r="F54" s="433">
        <f t="shared" si="3"/>
        <v>0</v>
      </c>
      <c r="G54" s="433">
        <f t="shared" si="3"/>
        <v>0</v>
      </c>
      <c r="H54" s="433">
        <f t="shared" si="3"/>
        <v>0</v>
      </c>
      <c r="I54" s="433">
        <f t="shared" si="3"/>
        <v>0</v>
      </c>
      <c r="J54" s="433">
        <f t="shared" si="3"/>
        <v>0</v>
      </c>
      <c r="K54" s="434">
        <f t="shared" si="3"/>
        <v>0</v>
      </c>
    </row>
    <row r="55" spans="2:11" s="409" customFormat="1" ht="14" x14ac:dyDescent="0.3">
      <c r="B55" s="435" t="s">
        <v>331</v>
      </c>
      <c r="C55" s="710" t="s">
        <v>293</v>
      </c>
      <c r="D55" s="711"/>
      <c r="E55" s="711"/>
      <c r="F55" s="711"/>
      <c r="G55" s="711"/>
      <c r="H55" s="711"/>
      <c r="I55" s="711"/>
      <c r="J55" s="711"/>
      <c r="K55" s="712"/>
    </row>
    <row r="56" spans="2:11" s="409" customFormat="1" ht="14" x14ac:dyDescent="0.3">
      <c r="B56" s="435" t="s">
        <v>294</v>
      </c>
      <c r="C56" s="713" t="s">
        <v>293</v>
      </c>
      <c r="D56" s="714"/>
      <c r="E56" s="714"/>
      <c r="F56" s="714"/>
      <c r="G56" s="714"/>
      <c r="H56" s="714"/>
      <c r="I56" s="714"/>
      <c r="J56" s="714"/>
      <c r="K56" s="715"/>
    </row>
    <row r="57" spans="2:11" s="409" customFormat="1" ht="14.5" thickBot="1" x14ac:dyDescent="0.35">
      <c r="B57" s="436" t="s">
        <v>295</v>
      </c>
      <c r="C57" s="437"/>
      <c r="D57" s="437"/>
      <c r="E57" s="437"/>
      <c r="F57" s="437"/>
      <c r="G57" s="437"/>
      <c r="H57" s="437"/>
      <c r="I57" s="437"/>
      <c r="J57" s="437"/>
      <c r="K57" s="438"/>
    </row>
  </sheetData>
  <mergeCells count="4">
    <mergeCell ref="B12:K13"/>
    <mergeCell ref="B14:B16"/>
    <mergeCell ref="C55:K55"/>
    <mergeCell ref="C56:K56"/>
  </mergeCells>
  <printOptions horizontalCentered="1"/>
  <pageMargins left="0.25" right="0.25" top="0.51" bottom="0.48" header="0.25" footer="0.25"/>
  <pageSetup scale="91" orientation="landscape" r:id="rId1"/>
  <headerFooter alignWithMargins="0"/>
  <colBreaks count="1" manualBreakCount="1">
    <brk id="12" min="1" max="5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A66E-8730-442F-9E4F-75835DC3321B}">
  <dimension ref="A1:BD65"/>
  <sheetViews>
    <sheetView zoomScale="80" zoomScaleNormal="80" workbookViewId="0"/>
  </sheetViews>
  <sheetFormatPr defaultRowHeight="12.5" x14ac:dyDescent="0.25"/>
  <cols>
    <col min="1" max="1" width="3.7265625" customWidth="1"/>
    <col min="2" max="2" width="33.81640625" customWidth="1"/>
    <col min="3" max="3" width="18.7265625" customWidth="1"/>
    <col min="4" max="4" width="18.1796875" customWidth="1"/>
    <col min="5" max="5" width="18.7265625" customWidth="1"/>
    <col min="6" max="6" width="18.453125" customWidth="1"/>
    <col min="7" max="7" width="19" customWidth="1"/>
    <col min="8" max="8" width="18.453125" customWidth="1"/>
    <col min="9" max="9" width="18.1796875" customWidth="1"/>
    <col min="10" max="10" width="17.7265625" customWidth="1"/>
    <col min="11" max="11" width="18.26953125" customWidth="1"/>
  </cols>
  <sheetData>
    <row r="1" spans="1:56" s="510" customFormat="1" ht="14" x14ac:dyDescent="0.3">
      <c r="A1" s="445" t="s">
        <v>380</v>
      </c>
      <c r="B1" s="446"/>
      <c r="C1" s="446"/>
      <c r="D1" s="446"/>
      <c r="E1" s="446"/>
      <c r="F1" s="446"/>
      <c r="G1" s="446"/>
      <c r="H1" s="446"/>
      <c r="I1" s="446"/>
      <c r="J1" s="446"/>
      <c r="K1" s="447"/>
    </row>
    <row r="2" spans="1:56" s="510" customFormat="1" ht="14" x14ac:dyDescent="0.3">
      <c r="A2" s="445" t="s">
        <v>9</v>
      </c>
      <c r="B2" s="448"/>
      <c r="C2" s="449"/>
      <c r="D2" s="449"/>
      <c r="E2" s="449"/>
      <c r="F2" s="450"/>
      <c r="G2" s="450"/>
      <c r="H2" s="450"/>
      <c r="I2" s="446"/>
      <c r="J2" s="446"/>
      <c r="K2" s="447"/>
    </row>
    <row r="3" spans="1:56" s="510" customFormat="1" ht="14" x14ac:dyDescent="0.3">
      <c r="A3" s="451" t="s">
        <v>243</v>
      </c>
      <c r="B3" s="452"/>
      <c r="C3" s="452"/>
      <c r="D3" s="452"/>
      <c r="E3" s="452"/>
      <c r="F3" s="452"/>
      <c r="G3" s="452"/>
      <c r="H3" s="452"/>
      <c r="I3" s="452"/>
      <c r="J3" s="446"/>
      <c r="K3" s="447"/>
    </row>
    <row r="4" spans="1:56" s="511" customFormat="1" ht="14" x14ac:dyDescent="0.3">
      <c r="A4" s="463"/>
      <c r="B4" s="452"/>
      <c r="C4" s="452"/>
      <c r="D4" s="452"/>
      <c r="E4" s="452"/>
      <c r="F4" s="452"/>
      <c r="G4" s="452"/>
      <c r="H4" s="452"/>
      <c r="I4" s="452"/>
      <c r="J4" s="446"/>
      <c r="K4" s="447"/>
    </row>
    <row r="5" spans="1:56" s="512" customFormat="1" ht="14" x14ac:dyDescent="0.3">
      <c r="A5" s="453" t="s">
        <v>375</v>
      </c>
      <c r="B5" s="452"/>
      <c r="C5" s="452"/>
      <c r="D5" s="452"/>
      <c r="E5" s="452"/>
      <c r="F5" s="452"/>
      <c r="G5" s="452"/>
      <c r="H5" s="452"/>
      <c r="I5" s="452"/>
      <c r="J5" s="446"/>
      <c r="K5" s="447"/>
    </row>
    <row r="6" spans="1:56" s="512" customFormat="1" ht="15.5" x14ac:dyDescent="0.3">
      <c r="A6" s="454" t="s">
        <v>376</v>
      </c>
      <c r="B6" s="452"/>
      <c r="C6" s="452"/>
      <c r="D6" s="452"/>
      <c r="E6" s="452"/>
      <c r="F6" s="452"/>
      <c r="G6" s="452"/>
      <c r="H6" s="452"/>
      <c r="I6" s="452"/>
      <c r="J6" s="446"/>
      <c r="K6" s="447"/>
    </row>
    <row r="7" spans="1:56" s="512" customFormat="1" ht="14" x14ac:dyDescent="0.3">
      <c r="A7" s="455" t="s">
        <v>265</v>
      </c>
      <c r="B7" s="456"/>
      <c r="C7" s="456"/>
      <c r="D7" s="456"/>
      <c r="E7" s="456"/>
      <c r="F7" s="456"/>
      <c r="G7" s="456"/>
      <c r="H7" s="456"/>
      <c r="I7" s="456"/>
      <c r="J7" s="446"/>
      <c r="K7" s="447"/>
    </row>
    <row r="8" spans="1:56" s="512" customFormat="1" ht="15.5" x14ac:dyDescent="0.35">
      <c r="A8" s="455" t="s">
        <v>266</v>
      </c>
      <c r="B8" s="457"/>
      <c r="C8" s="457"/>
      <c r="D8" s="457"/>
      <c r="E8" s="457"/>
      <c r="F8" s="457"/>
      <c r="G8" s="457"/>
      <c r="H8" s="457"/>
      <c r="I8" s="457"/>
      <c r="J8" s="446"/>
      <c r="K8" s="447"/>
    </row>
    <row r="9" spans="1:56" s="512" customFormat="1" ht="15.5" x14ac:dyDescent="0.35">
      <c r="A9" s="455" t="s">
        <v>267</v>
      </c>
      <c r="B9" s="458"/>
      <c r="C9" s="459"/>
      <c r="D9" s="460"/>
      <c r="E9" s="460"/>
      <c r="F9" s="460"/>
      <c r="G9" s="460"/>
      <c r="H9" s="460"/>
      <c r="I9" s="460"/>
      <c r="J9" s="446"/>
      <c r="K9" s="447"/>
      <c r="M9" s="513"/>
      <c r="N9" s="513"/>
      <c r="O9" s="513"/>
      <c r="P9" s="513"/>
      <c r="Q9" s="513"/>
      <c r="R9" s="513"/>
      <c r="S9" s="513"/>
      <c r="T9" s="513"/>
      <c r="V9" s="513"/>
      <c r="W9" s="513"/>
      <c r="X9" s="513"/>
      <c r="Y9" s="513"/>
      <c r="Z9" s="513"/>
      <c r="AA9" s="513"/>
      <c r="AB9" s="513"/>
      <c r="AC9" s="513"/>
      <c r="AE9" s="513"/>
      <c r="AF9" s="513"/>
      <c r="AG9" s="513"/>
      <c r="AH9" s="513"/>
      <c r="AI9" s="513"/>
      <c r="AJ9" s="513"/>
      <c r="AK9" s="513"/>
      <c r="AL9" s="513"/>
      <c r="AN9" s="513"/>
      <c r="AO9" s="513"/>
      <c r="AP9" s="513"/>
      <c r="AQ9" s="513"/>
      <c r="AR9" s="513"/>
      <c r="AS9" s="513"/>
      <c r="AT9" s="513"/>
      <c r="AU9" s="513"/>
      <c r="AW9" s="513"/>
      <c r="AX9" s="513"/>
      <c r="AY9" s="513"/>
      <c r="AZ9" s="513"/>
      <c r="BA9" s="513"/>
      <c r="BB9" s="513"/>
      <c r="BC9" s="513"/>
      <c r="BD9" s="513"/>
    </row>
    <row r="10" spans="1:56" s="515" customFormat="1" ht="15.5" x14ac:dyDescent="0.35">
      <c r="A10" s="455" t="s">
        <v>11</v>
      </c>
      <c r="B10" s="458"/>
      <c r="C10" s="459"/>
      <c r="D10" s="460"/>
      <c r="E10" s="460"/>
      <c r="F10" s="460"/>
      <c r="G10" s="460"/>
      <c r="H10" s="460"/>
      <c r="I10" s="460"/>
      <c r="J10" s="446"/>
      <c r="K10" s="447"/>
      <c r="M10" s="514"/>
      <c r="N10" s="514"/>
      <c r="O10" s="514"/>
      <c r="P10" s="514"/>
      <c r="R10" s="513"/>
      <c r="S10" s="513"/>
    </row>
    <row r="11" spans="1:56" s="515" customFormat="1" ht="14.5" thickBot="1" x14ac:dyDescent="0.3">
      <c r="A11" s="464"/>
      <c r="B11" s="464"/>
      <c r="C11" s="464"/>
      <c r="D11" s="464"/>
      <c r="E11" s="464"/>
      <c r="F11" s="464"/>
      <c r="G11" s="464"/>
      <c r="H11" s="464"/>
      <c r="I11" s="464"/>
      <c r="J11" s="514"/>
      <c r="K11" s="514"/>
      <c r="M11" s="514"/>
      <c r="N11" s="514"/>
      <c r="O11" s="514"/>
      <c r="P11" s="514"/>
      <c r="R11" s="513"/>
      <c r="S11" s="513"/>
    </row>
    <row r="12" spans="1:56" s="510" customFormat="1" ht="14.25" customHeight="1" x14ac:dyDescent="0.3">
      <c r="B12" s="724" t="s">
        <v>378</v>
      </c>
      <c r="C12" s="725"/>
      <c r="D12" s="725"/>
      <c r="E12" s="725"/>
      <c r="F12" s="725"/>
      <c r="G12" s="725"/>
      <c r="H12" s="725"/>
      <c r="I12" s="725"/>
      <c r="J12" s="725"/>
      <c r="K12" s="726"/>
      <c r="R12" s="513"/>
      <c r="S12" s="513"/>
    </row>
    <row r="13" spans="1:56" s="510" customFormat="1" ht="13.5" customHeight="1" x14ac:dyDescent="0.3">
      <c r="B13" s="727"/>
      <c r="C13" s="728"/>
      <c r="D13" s="728"/>
      <c r="E13" s="728"/>
      <c r="F13" s="728"/>
      <c r="G13" s="728"/>
      <c r="H13" s="728"/>
      <c r="I13" s="728"/>
      <c r="J13" s="728"/>
      <c r="K13" s="729"/>
      <c r="R13" s="513"/>
      <c r="S13" s="513"/>
    </row>
    <row r="14" spans="1:56" s="510" customFormat="1" ht="56" x14ac:dyDescent="0.3">
      <c r="B14" s="730" t="s">
        <v>333</v>
      </c>
      <c r="C14" s="465" t="s">
        <v>269</v>
      </c>
      <c r="D14" s="465" t="s">
        <v>269</v>
      </c>
      <c r="E14" s="465" t="s">
        <v>269</v>
      </c>
      <c r="F14" s="465" t="s">
        <v>270</v>
      </c>
      <c r="G14" s="465" t="s">
        <v>271</v>
      </c>
      <c r="H14" s="465" t="s">
        <v>271</v>
      </c>
      <c r="I14" s="465" t="s">
        <v>271</v>
      </c>
      <c r="J14" s="465" t="s">
        <v>271</v>
      </c>
      <c r="K14" s="466" t="s">
        <v>271</v>
      </c>
    </row>
    <row r="15" spans="1:56" s="510" customFormat="1" ht="42" x14ac:dyDescent="0.3">
      <c r="B15" s="731"/>
      <c r="C15" s="467" t="s">
        <v>272</v>
      </c>
      <c r="D15" s="467" t="s">
        <v>272</v>
      </c>
      <c r="E15" s="467" t="s">
        <v>272</v>
      </c>
      <c r="F15" s="467" t="s">
        <v>272</v>
      </c>
      <c r="G15" s="467" t="s">
        <v>272</v>
      </c>
      <c r="H15" s="467" t="s">
        <v>272</v>
      </c>
      <c r="I15" s="467" t="s">
        <v>272</v>
      </c>
      <c r="J15" s="467" t="s">
        <v>272</v>
      </c>
      <c r="K15" s="468" t="s">
        <v>272</v>
      </c>
    </row>
    <row r="16" spans="1:56" s="510" customFormat="1" ht="14" x14ac:dyDescent="0.3">
      <c r="B16" s="732"/>
      <c r="C16" s="469" t="s">
        <v>273</v>
      </c>
      <c r="D16" s="469" t="s">
        <v>273</v>
      </c>
      <c r="E16" s="469" t="s">
        <v>273</v>
      </c>
      <c r="F16" s="469" t="s">
        <v>273</v>
      </c>
      <c r="G16" s="469" t="s">
        <v>273</v>
      </c>
      <c r="H16" s="469" t="s">
        <v>273</v>
      </c>
      <c r="I16" s="469" t="s">
        <v>273</v>
      </c>
      <c r="J16" s="469" t="s">
        <v>273</v>
      </c>
      <c r="K16" s="470" t="s">
        <v>273</v>
      </c>
    </row>
    <row r="17" spans="2:11" s="510" customFormat="1" ht="14" x14ac:dyDescent="0.3">
      <c r="B17" s="516" t="s">
        <v>334</v>
      </c>
      <c r="C17" s="517"/>
      <c r="D17" s="517"/>
      <c r="E17" s="517"/>
      <c r="F17" s="517"/>
      <c r="G17" s="517"/>
      <c r="H17" s="517"/>
      <c r="I17" s="517"/>
      <c r="J17" s="517"/>
      <c r="K17" s="518"/>
    </row>
    <row r="18" spans="2:11" s="510" customFormat="1" ht="14" x14ac:dyDescent="0.3">
      <c r="B18" s="519" t="s">
        <v>335</v>
      </c>
      <c r="C18" s="517">
        <v>0</v>
      </c>
      <c r="D18" s="517">
        <v>0</v>
      </c>
      <c r="E18" s="517">
        <v>0</v>
      </c>
      <c r="F18" s="517">
        <v>0</v>
      </c>
      <c r="G18" s="517">
        <v>0</v>
      </c>
      <c r="H18" s="517">
        <v>0</v>
      </c>
      <c r="I18" s="517">
        <v>0</v>
      </c>
      <c r="J18" s="517">
        <v>0</v>
      </c>
      <c r="K18" s="518">
        <v>0</v>
      </c>
    </row>
    <row r="19" spans="2:11" s="510" customFormat="1" ht="14" x14ac:dyDescent="0.3">
      <c r="B19" s="519" t="s">
        <v>336</v>
      </c>
      <c r="C19" s="517">
        <v>0</v>
      </c>
      <c r="D19" s="517">
        <v>0</v>
      </c>
      <c r="E19" s="517">
        <v>0</v>
      </c>
      <c r="F19" s="517">
        <v>0</v>
      </c>
      <c r="G19" s="517">
        <v>0</v>
      </c>
      <c r="H19" s="517">
        <v>0</v>
      </c>
      <c r="I19" s="517">
        <v>0</v>
      </c>
      <c r="J19" s="517">
        <v>0</v>
      </c>
      <c r="K19" s="518">
        <v>0</v>
      </c>
    </row>
    <row r="20" spans="2:11" s="510" customFormat="1" ht="14" x14ac:dyDescent="0.3">
      <c r="B20" s="519" t="s">
        <v>337</v>
      </c>
      <c r="C20" s="517">
        <v>0</v>
      </c>
      <c r="D20" s="517">
        <v>0</v>
      </c>
      <c r="E20" s="517">
        <v>0</v>
      </c>
      <c r="F20" s="517">
        <v>0</v>
      </c>
      <c r="G20" s="517">
        <v>0</v>
      </c>
      <c r="H20" s="517">
        <v>0</v>
      </c>
      <c r="I20" s="517">
        <v>0</v>
      </c>
      <c r="J20" s="517">
        <v>0</v>
      </c>
      <c r="K20" s="518">
        <v>0</v>
      </c>
    </row>
    <row r="21" spans="2:11" s="510" customFormat="1" ht="14" x14ac:dyDescent="0.3">
      <c r="B21" s="519" t="s">
        <v>338</v>
      </c>
      <c r="C21" s="517">
        <v>0</v>
      </c>
      <c r="D21" s="517">
        <v>0</v>
      </c>
      <c r="E21" s="517">
        <v>0</v>
      </c>
      <c r="F21" s="517">
        <v>0</v>
      </c>
      <c r="G21" s="517">
        <v>0</v>
      </c>
      <c r="H21" s="517">
        <v>0</v>
      </c>
      <c r="I21" s="517">
        <v>0</v>
      </c>
      <c r="J21" s="517">
        <v>0</v>
      </c>
      <c r="K21" s="518">
        <v>0</v>
      </c>
    </row>
    <row r="22" spans="2:11" s="510" customFormat="1" ht="14" x14ac:dyDescent="0.3">
      <c r="B22" s="519" t="s">
        <v>339</v>
      </c>
      <c r="C22" s="517">
        <v>0</v>
      </c>
      <c r="D22" s="517">
        <v>0</v>
      </c>
      <c r="E22" s="517">
        <v>0</v>
      </c>
      <c r="F22" s="517">
        <v>0</v>
      </c>
      <c r="G22" s="517">
        <v>0</v>
      </c>
      <c r="H22" s="517">
        <v>0</v>
      </c>
      <c r="I22" s="517">
        <v>0</v>
      </c>
      <c r="J22" s="517">
        <v>0</v>
      </c>
      <c r="K22" s="518">
        <v>0</v>
      </c>
    </row>
    <row r="23" spans="2:11" s="510" customFormat="1" ht="14" x14ac:dyDescent="0.3">
      <c r="B23" s="519" t="s">
        <v>340</v>
      </c>
      <c r="C23" s="517">
        <v>0</v>
      </c>
      <c r="D23" s="517">
        <v>0</v>
      </c>
      <c r="E23" s="517">
        <v>0</v>
      </c>
      <c r="F23" s="517">
        <v>0</v>
      </c>
      <c r="G23" s="517">
        <v>0</v>
      </c>
      <c r="H23" s="517">
        <v>0</v>
      </c>
      <c r="I23" s="517">
        <v>0</v>
      </c>
      <c r="J23" s="517">
        <v>0</v>
      </c>
      <c r="K23" s="518">
        <v>0</v>
      </c>
    </row>
    <row r="24" spans="2:11" s="510" customFormat="1" ht="14" x14ac:dyDescent="0.3">
      <c r="B24" s="519" t="s">
        <v>341</v>
      </c>
      <c r="C24" s="517">
        <v>0</v>
      </c>
      <c r="D24" s="517">
        <v>0</v>
      </c>
      <c r="E24" s="517">
        <v>0</v>
      </c>
      <c r="F24" s="517">
        <v>0</v>
      </c>
      <c r="G24" s="517">
        <v>0</v>
      </c>
      <c r="H24" s="517">
        <v>0</v>
      </c>
      <c r="I24" s="517">
        <v>0</v>
      </c>
      <c r="J24" s="517">
        <v>0</v>
      </c>
      <c r="K24" s="518">
        <v>0</v>
      </c>
    </row>
    <row r="25" spans="2:11" s="510" customFormat="1" ht="14" x14ac:dyDescent="0.3">
      <c r="B25" s="519" t="s">
        <v>342</v>
      </c>
      <c r="C25" s="517">
        <v>0</v>
      </c>
      <c r="D25" s="517">
        <v>0</v>
      </c>
      <c r="E25" s="517">
        <v>0</v>
      </c>
      <c r="F25" s="517">
        <v>0</v>
      </c>
      <c r="G25" s="517">
        <v>0</v>
      </c>
      <c r="H25" s="517">
        <v>0</v>
      </c>
      <c r="I25" s="517">
        <v>0</v>
      </c>
      <c r="J25" s="517">
        <v>0</v>
      </c>
      <c r="K25" s="518">
        <v>0</v>
      </c>
    </row>
    <row r="26" spans="2:11" s="510" customFormat="1" ht="14" x14ac:dyDescent="0.3">
      <c r="B26" s="519" t="s">
        <v>343</v>
      </c>
      <c r="C26" s="517">
        <v>0</v>
      </c>
      <c r="D26" s="517">
        <v>0</v>
      </c>
      <c r="E26" s="517">
        <v>0</v>
      </c>
      <c r="F26" s="517">
        <v>0</v>
      </c>
      <c r="G26" s="517">
        <v>0</v>
      </c>
      <c r="H26" s="517">
        <v>0</v>
      </c>
      <c r="I26" s="517">
        <v>0</v>
      </c>
      <c r="J26" s="517">
        <v>0</v>
      </c>
      <c r="K26" s="518">
        <v>0</v>
      </c>
    </row>
    <row r="27" spans="2:11" s="510" customFormat="1" ht="14" x14ac:dyDescent="0.3">
      <c r="B27" s="519" t="s">
        <v>344</v>
      </c>
      <c r="C27" s="517">
        <v>0</v>
      </c>
      <c r="D27" s="517">
        <v>0</v>
      </c>
      <c r="E27" s="517">
        <v>0</v>
      </c>
      <c r="F27" s="517">
        <v>0</v>
      </c>
      <c r="G27" s="517">
        <v>0</v>
      </c>
      <c r="H27" s="517">
        <v>0</v>
      </c>
      <c r="I27" s="517">
        <v>0</v>
      </c>
      <c r="J27" s="517">
        <v>0</v>
      </c>
      <c r="K27" s="518">
        <v>0</v>
      </c>
    </row>
    <row r="28" spans="2:11" s="510" customFormat="1" ht="14" x14ac:dyDescent="0.3">
      <c r="B28" s="519" t="s">
        <v>345</v>
      </c>
      <c r="C28" s="517">
        <v>0</v>
      </c>
      <c r="D28" s="517">
        <v>0</v>
      </c>
      <c r="E28" s="517">
        <v>0</v>
      </c>
      <c r="F28" s="517">
        <v>0</v>
      </c>
      <c r="G28" s="517">
        <v>0</v>
      </c>
      <c r="H28" s="517">
        <v>0</v>
      </c>
      <c r="I28" s="517">
        <v>0</v>
      </c>
      <c r="J28" s="517">
        <v>0</v>
      </c>
      <c r="K28" s="518">
        <v>0</v>
      </c>
    </row>
    <row r="29" spans="2:11" s="510" customFormat="1" ht="14" x14ac:dyDescent="0.3">
      <c r="B29" s="519" t="s">
        <v>346</v>
      </c>
      <c r="C29" s="517">
        <v>0</v>
      </c>
      <c r="D29" s="517">
        <v>0</v>
      </c>
      <c r="E29" s="517">
        <v>0</v>
      </c>
      <c r="F29" s="517">
        <v>0</v>
      </c>
      <c r="G29" s="517">
        <v>0</v>
      </c>
      <c r="H29" s="517">
        <v>0</v>
      </c>
      <c r="I29" s="517">
        <v>0</v>
      </c>
      <c r="J29" s="517">
        <v>0</v>
      </c>
      <c r="K29" s="518">
        <v>0</v>
      </c>
    </row>
    <row r="30" spans="2:11" s="510" customFormat="1" ht="14" x14ac:dyDescent="0.3">
      <c r="B30" s="519" t="s">
        <v>347</v>
      </c>
      <c r="C30" s="517">
        <v>0</v>
      </c>
      <c r="D30" s="517">
        <v>0</v>
      </c>
      <c r="E30" s="517">
        <v>0</v>
      </c>
      <c r="F30" s="517">
        <v>0</v>
      </c>
      <c r="G30" s="517">
        <v>0</v>
      </c>
      <c r="H30" s="517">
        <v>0</v>
      </c>
      <c r="I30" s="517">
        <v>0</v>
      </c>
      <c r="J30" s="517">
        <v>0</v>
      </c>
      <c r="K30" s="518">
        <v>0</v>
      </c>
    </row>
    <row r="31" spans="2:11" s="510" customFormat="1" ht="14" x14ac:dyDescent="0.3">
      <c r="B31" s="519" t="s">
        <v>348</v>
      </c>
      <c r="C31" s="517">
        <v>0</v>
      </c>
      <c r="D31" s="517">
        <v>0</v>
      </c>
      <c r="E31" s="517">
        <v>0</v>
      </c>
      <c r="F31" s="517">
        <v>0</v>
      </c>
      <c r="G31" s="517">
        <v>0</v>
      </c>
      <c r="H31" s="517">
        <v>0</v>
      </c>
      <c r="I31" s="517">
        <v>0</v>
      </c>
      <c r="J31" s="517">
        <v>0</v>
      </c>
      <c r="K31" s="518">
        <v>0</v>
      </c>
    </row>
    <row r="32" spans="2:11" s="510" customFormat="1" ht="14" x14ac:dyDescent="0.3">
      <c r="B32" s="519" t="s">
        <v>349</v>
      </c>
      <c r="C32" s="517">
        <v>0</v>
      </c>
      <c r="D32" s="517">
        <v>0</v>
      </c>
      <c r="E32" s="517">
        <v>0</v>
      </c>
      <c r="F32" s="517">
        <v>0</v>
      </c>
      <c r="G32" s="517">
        <v>0</v>
      </c>
      <c r="H32" s="517">
        <v>0</v>
      </c>
      <c r="I32" s="517">
        <v>0</v>
      </c>
      <c r="J32" s="517">
        <v>0</v>
      </c>
      <c r="K32" s="518">
        <v>0</v>
      </c>
    </row>
    <row r="33" spans="2:11" s="510" customFormat="1" ht="14" x14ac:dyDescent="0.3">
      <c r="B33" s="519" t="s">
        <v>350</v>
      </c>
      <c r="C33" s="517">
        <v>0</v>
      </c>
      <c r="D33" s="517">
        <v>0</v>
      </c>
      <c r="E33" s="517">
        <v>0</v>
      </c>
      <c r="F33" s="517">
        <v>0</v>
      </c>
      <c r="G33" s="517">
        <v>0</v>
      </c>
      <c r="H33" s="517">
        <v>0</v>
      </c>
      <c r="I33" s="517">
        <v>0</v>
      </c>
      <c r="J33" s="517">
        <v>0</v>
      </c>
      <c r="K33" s="518">
        <v>0</v>
      </c>
    </row>
    <row r="34" spans="2:11" s="510" customFormat="1" ht="14" x14ac:dyDescent="0.3">
      <c r="B34" s="519" t="s">
        <v>351</v>
      </c>
      <c r="C34" s="517">
        <v>0</v>
      </c>
      <c r="D34" s="517">
        <v>0</v>
      </c>
      <c r="E34" s="517">
        <v>0</v>
      </c>
      <c r="F34" s="517">
        <v>0</v>
      </c>
      <c r="G34" s="517">
        <v>0</v>
      </c>
      <c r="H34" s="517">
        <v>0</v>
      </c>
      <c r="I34" s="517">
        <v>0</v>
      </c>
      <c r="J34" s="517">
        <v>0</v>
      </c>
      <c r="K34" s="518">
        <v>0</v>
      </c>
    </row>
    <row r="35" spans="2:11" s="510" customFormat="1" ht="14" x14ac:dyDescent="0.3">
      <c r="B35" s="519" t="s">
        <v>352</v>
      </c>
      <c r="C35" s="517">
        <v>0</v>
      </c>
      <c r="D35" s="517">
        <v>0</v>
      </c>
      <c r="E35" s="517">
        <v>0</v>
      </c>
      <c r="F35" s="517">
        <v>0</v>
      </c>
      <c r="G35" s="517">
        <v>0</v>
      </c>
      <c r="H35" s="517">
        <v>0</v>
      </c>
      <c r="I35" s="517">
        <v>0</v>
      </c>
      <c r="J35" s="517">
        <v>0</v>
      </c>
      <c r="K35" s="518">
        <v>0</v>
      </c>
    </row>
    <row r="36" spans="2:11" s="510" customFormat="1" ht="14" x14ac:dyDescent="0.3">
      <c r="B36" s="519" t="s">
        <v>353</v>
      </c>
      <c r="C36" s="517">
        <v>0</v>
      </c>
      <c r="D36" s="517">
        <v>0</v>
      </c>
      <c r="E36" s="517">
        <v>0</v>
      </c>
      <c r="F36" s="517">
        <v>0</v>
      </c>
      <c r="G36" s="517">
        <v>0</v>
      </c>
      <c r="H36" s="517">
        <v>0</v>
      </c>
      <c r="I36" s="517">
        <v>0</v>
      </c>
      <c r="J36" s="517">
        <v>0</v>
      </c>
      <c r="K36" s="518">
        <v>0</v>
      </c>
    </row>
    <row r="37" spans="2:11" s="510" customFormat="1" ht="14" x14ac:dyDescent="0.3">
      <c r="B37" s="519" t="s">
        <v>354</v>
      </c>
      <c r="C37" s="517">
        <v>0</v>
      </c>
      <c r="D37" s="517">
        <v>0</v>
      </c>
      <c r="E37" s="517">
        <v>0</v>
      </c>
      <c r="F37" s="517">
        <v>0</v>
      </c>
      <c r="G37" s="517">
        <v>0</v>
      </c>
      <c r="H37" s="517">
        <v>0</v>
      </c>
      <c r="I37" s="517">
        <v>0</v>
      </c>
      <c r="J37" s="517">
        <v>0</v>
      </c>
      <c r="K37" s="518">
        <v>0</v>
      </c>
    </row>
    <row r="38" spans="2:11" s="510" customFormat="1" ht="14" x14ac:dyDescent="0.3">
      <c r="B38" s="519" t="s">
        <v>355</v>
      </c>
      <c r="C38" s="517">
        <v>0</v>
      </c>
      <c r="D38" s="517">
        <v>0</v>
      </c>
      <c r="E38" s="517">
        <v>0</v>
      </c>
      <c r="F38" s="517">
        <v>0</v>
      </c>
      <c r="G38" s="517">
        <v>0</v>
      </c>
      <c r="H38" s="517">
        <v>0</v>
      </c>
      <c r="I38" s="517">
        <v>0</v>
      </c>
      <c r="J38" s="517">
        <v>0</v>
      </c>
      <c r="K38" s="518">
        <v>0</v>
      </c>
    </row>
    <row r="39" spans="2:11" s="510" customFormat="1" ht="14" x14ac:dyDescent="0.3">
      <c r="B39" s="519" t="s">
        <v>356</v>
      </c>
      <c r="C39" s="517">
        <v>0</v>
      </c>
      <c r="D39" s="517">
        <v>0</v>
      </c>
      <c r="E39" s="517">
        <v>0</v>
      </c>
      <c r="F39" s="517">
        <v>0</v>
      </c>
      <c r="G39" s="517">
        <v>0</v>
      </c>
      <c r="H39" s="517">
        <v>0</v>
      </c>
      <c r="I39" s="517">
        <v>0</v>
      </c>
      <c r="J39" s="517">
        <v>0</v>
      </c>
      <c r="K39" s="518">
        <v>0</v>
      </c>
    </row>
    <row r="40" spans="2:11" s="510" customFormat="1" ht="14" x14ac:dyDescent="0.3">
      <c r="B40" s="519" t="s">
        <v>357</v>
      </c>
      <c r="C40" s="517">
        <v>0</v>
      </c>
      <c r="D40" s="517">
        <v>0</v>
      </c>
      <c r="E40" s="517">
        <v>0</v>
      </c>
      <c r="F40" s="517">
        <v>0</v>
      </c>
      <c r="G40" s="517">
        <v>0</v>
      </c>
      <c r="H40" s="517">
        <v>0</v>
      </c>
      <c r="I40" s="517">
        <v>0</v>
      </c>
      <c r="J40" s="517">
        <v>0</v>
      </c>
      <c r="K40" s="518">
        <v>0</v>
      </c>
    </row>
    <row r="41" spans="2:11" s="510" customFormat="1" ht="14" x14ac:dyDescent="0.3">
      <c r="B41" s="519" t="s">
        <v>358</v>
      </c>
      <c r="C41" s="517">
        <v>0</v>
      </c>
      <c r="D41" s="517">
        <v>0</v>
      </c>
      <c r="E41" s="517">
        <v>0</v>
      </c>
      <c r="F41" s="517">
        <v>0</v>
      </c>
      <c r="G41" s="517">
        <v>0</v>
      </c>
      <c r="H41" s="517">
        <v>0</v>
      </c>
      <c r="I41" s="517">
        <v>0</v>
      </c>
      <c r="J41" s="517">
        <v>0</v>
      </c>
      <c r="K41" s="518">
        <v>0</v>
      </c>
    </row>
    <row r="42" spans="2:11" s="510" customFormat="1" ht="14" x14ac:dyDescent="0.3">
      <c r="B42" s="519" t="s">
        <v>359</v>
      </c>
      <c r="C42" s="517">
        <v>0</v>
      </c>
      <c r="D42" s="517">
        <v>0</v>
      </c>
      <c r="E42" s="517">
        <v>0</v>
      </c>
      <c r="F42" s="517">
        <v>0</v>
      </c>
      <c r="G42" s="517">
        <v>0</v>
      </c>
      <c r="H42" s="517">
        <v>0</v>
      </c>
      <c r="I42" s="517">
        <v>0</v>
      </c>
      <c r="J42" s="517">
        <v>0</v>
      </c>
      <c r="K42" s="518">
        <v>0</v>
      </c>
    </row>
    <row r="43" spans="2:11" s="510" customFormat="1" ht="14" x14ac:dyDescent="0.3">
      <c r="B43" s="519" t="s">
        <v>360</v>
      </c>
      <c r="C43" s="517">
        <v>0</v>
      </c>
      <c r="D43" s="517">
        <v>0</v>
      </c>
      <c r="E43" s="517">
        <v>0</v>
      </c>
      <c r="F43" s="517">
        <v>0</v>
      </c>
      <c r="G43" s="517">
        <v>0</v>
      </c>
      <c r="H43" s="517">
        <v>0</v>
      </c>
      <c r="I43" s="517">
        <v>0</v>
      </c>
      <c r="J43" s="517">
        <v>0</v>
      </c>
      <c r="K43" s="518">
        <v>0</v>
      </c>
    </row>
    <row r="44" spans="2:11" s="510" customFormat="1" ht="14" x14ac:dyDescent="0.3">
      <c r="B44" s="519" t="s">
        <v>361</v>
      </c>
      <c r="C44" s="517">
        <v>0</v>
      </c>
      <c r="D44" s="517">
        <v>0</v>
      </c>
      <c r="E44" s="517">
        <v>0</v>
      </c>
      <c r="F44" s="517">
        <v>0</v>
      </c>
      <c r="G44" s="517">
        <v>0</v>
      </c>
      <c r="H44" s="517">
        <v>0</v>
      </c>
      <c r="I44" s="517">
        <v>0</v>
      </c>
      <c r="J44" s="517">
        <v>0</v>
      </c>
      <c r="K44" s="518">
        <v>0</v>
      </c>
    </row>
    <row r="45" spans="2:11" s="510" customFormat="1" ht="14" x14ac:dyDescent="0.3">
      <c r="B45" s="519" t="s">
        <v>362</v>
      </c>
      <c r="C45" s="517">
        <v>0</v>
      </c>
      <c r="D45" s="517">
        <v>0</v>
      </c>
      <c r="E45" s="517">
        <v>0</v>
      </c>
      <c r="F45" s="517">
        <v>0</v>
      </c>
      <c r="G45" s="517">
        <v>0</v>
      </c>
      <c r="H45" s="517">
        <v>0</v>
      </c>
      <c r="I45" s="517">
        <v>0</v>
      </c>
      <c r="J45" s="517">
        <v>0</v>
      </c>
      <c r="K45" s="518">
        <v>0</v>
      </c>
    </row>
    <row r="46" spans="2:11" s="510" customFormat="1" ht="14" x14ac:dyDescent="0.3">
      <c r="B46" s="519" t="s">
        <v>363</v>
      </c>
      <c r="C46" s="517">
        <v>0</v>
      </c>
      <c r="D46" s="517">
        <v>0</v>
      </c>
      <c r="E46" s="517">
        <v>0</v>
      </c>
      <c r="F46" s="517">
        <v>0</v>
      </c>
      <c r="G46" s="517">
        <v>0</v>
      </c>
      <c r="H46" s="517">
        <v>0</v>
      </c>
      <c r="I46" s="517">
        <v>0</v>
      </c>
      <c r="J46" s="517">
        <v>0</v>
      </c>
      <c r="K46" s="518">
        <v>0</v>
      </c>
    </row>
    <row r="47" spans="2:11" s="510" customFormat="1" ht="14" x14ac:dyDescent="0.3">
      <c r="B47" s="519" t="s">
        <v>364</v>
      </c>
      <c r="C47" s="517">
        <v>0</v>
      </c>
      <c r="D47" s="517">
        <v>0</v>
      </c>
      <c r="E47" s="517">
        <v>0</v>
      </c>
      <c r="F47" s="517">
        <v>0</v>
      </c>
      <c r="G47" s="517">
        <v>0</v>
      </c>
      <c r="H47" s="517">
        <v>0</v>
      </c>
      <c r="I47" s="517">
        <v>0</v>
      </c>
      <c r="J47" s="517">
        <v>0</v>
      </c>
      <c r="K47" s="518">
        <v>0</v>
      </c>
    </row>
    <row r="48" spans="2:11" s="510" customFormat="1" ht="14" x14ac:dyDescent="0.3">
      <c r="B48" s="519" t="s">
        <v>365</v>
      </c>
      <c r="C48" s="517">
        <v>0</v>
      </c>
      <c r="D48" s="517">
        <v>0</v>
      </c>
      <c r="E48" s="517">
        <v>0</v>
      </c>
      <c r="F48" s="517">
        <v>0</v>
      </c>
      <c r="G48" s="517">
        <v>0</v>
      </c>
      <c r="H48" s="517">
        <v>0</v>
      </c>
      <c r="I48" s="517">
        <v>0</v>
      </c>
      <c r="J48" s="517">
        <v>0</v>
      </c>
      <c r="K48" s="518">
        <v>0</v>
      </c>
    </row>
    <row r="49" spans="2:11" s="510" customFormat="1" ht="14" x14ac:dyDescent="0.3">
      <c r="B49" s="519" t="s">
        <v>366</v>
      </c>
      <c r="C49" s="517">
        <v>0</v>
      </c>
      <c r="D49" s="517">
        <v>0</v>
      </c>
      <c r="E49" s="517">
        <v>0</v>
      </c>
      <c r="F49" s="517">
        <v>0</v>
      </c>
      <c r="G49" s="517">
        <v>0</v>
      </c>
      <c r="H49" s="517">
        <v>0</v>
      </c>
      <c r="I49" s="517">
        <v>0</v>
      </c>
      <c r="J49" s="517">
        <v>0</v>
      </c>
      <c r="K49" s="518">
        <v>0</v>
      </c>
    </row>
    <row r="50" spans="2:11" s="510" customFormat="1" ht="14" x14ac:dyDescent="0.3">
      <c r="B50" s="519"/>
      <c r="C50" s="517"/>
      <c r="D50" s="517"/>
      <c r="E50" s="517"/>
      <c r="F50" s="517"/>
      <c r="G50" s="517"/>
      <c r="H50" s="517"/>
      <c r="I50" s="517"/>
      <c r="J50" s="517"/>
      <c r="K50" s="518"/>
    </row>
    <row r="51" spans="2:11" s="510" customFormat="1" ht="14" x14ac:dyDescent="0.3">
      <c r="B51" s="516" t="s">
        <v>280</v>
      </c>
      <c r="C51" s="517"/>
      <c r="D51" s="517"/>
      <c r="E51" s="517"/>
      <c r="F51" s="517"/>
      <c r="G51" s="517"/>
      <c r="H51" s="517"/>
      <c r="I51" s="517"/>
      <c r="J51" s="517"/>
      <c r="K51" s="518"/>
    </row>
    <row r="52" spans="2:11" s="510" customFormat="1" ht="14" x14ac:dyDescent="0.3">
      <c r="B52" s="520" t="s">
        <v>367</v>
      </c>
      <c r="C52" s="517">
        <v>0</v>
      </c>
      <c r="D52" s="517">
        <v>0</v>
      </c>
      <c r="E52" s="517">
        <v>0</v>
      </c>
      <c r="F52" s="517">
        <v>0</v>
      </c>
      <c r="G52" s="517">
        <v>0</v>
      </c>
      <c r="H52" s="517">
        <v>0</v>
      </c>
      <c r="I52" s="517">
        <v>0</v>
      </c>
      <c r="J52" s="517">
        <v>0</v>
      </c>
      <c r="K52" s="518">
        <v>0</v>
      </c>
    </row>
    <row r="53" spans="2:11" s="510" customFormat="1" ht="14" x14ac:dyDescent="0.3">
      <c r="B53" s="520" t="s">
        <v>368</v>
      </c>
      <c r="C53" s="517">
        <v>0</v>
      </c>
      <c r="D53" s="517">
        <v>0</v>
      </c>
      <c r="E53" s="517">
        <v>0</v>
      </c>
      <c r="F53" s="517">
        <v>0</v>
      </c>
      <c r="G53" s="517">
        <v>0</v>
      </c>
      <c r="H53" s="517">
        <v>0</v>
      </c>
      <c r="I53" s="517">
        <v>0</v>
      </c>
      <c r="J53" s="517">
        <v>0</v>
      </c>
      <c r="K53" s="518">
        <v>0</v>
      </c>
    </row>
    <row r="54" spans="2:11" s="510" customFormat="1" ht="14" x14ac:dyDescent="0.3">
      <c r="B54" s="520" t="s">
        <v>369</v>
      </c>
      <c r="C54" s="517">
        <v>0</v>
      </c>
      <c r="D54" s="517">
        <v>0</v>
      </c>
      <c r="E54" s="517">
        <v>0</v>
      </c>
      <c r="F54" s="517">
        <v>0</v>
      </c>
      <c r="G54" s="517">
        <v>0</v>
      </c>
      <c r="H54" s="517">
        <v>0</v>
      </c>
      <c r="I54" s="517">
        <v>0</v>
      </c>
      <c r="J54" s="517">
        <v>0</v>
      </c>
      <c r="K54" s="518">
        <v>0</v>
      </c>
    </row>
    <row r="55" spans="2:11" s="510" customFormat="1" ht="14" x14ac:dyDescent="0.3">
      <c r="B55" s="520" t="s">
        <v>370</v>
      </c>
      <c r="C55" s="517">
        <v>0</v>
      </c>
      <c r="D55" s="517">
        <v>0</v>
      </c>
      <c r="E55" s="517">
        <v>0</v>
      </c>
      <c r="F55" s="517">
        <v>0</v>
      </c>
      <c r="G55" s="517">
        <v>0</v>
      </c>
      <c r="H55" s="517">
        <v>0</v>
      </c>
      <c r="I55" s="517">
        <v>0</v>
      </c>
      <c r="J55" s="517">
        <v>0</v>
      </c>
      <c r="K55" s="518">
        <v>0</v>
      </c>
    </row>
    <row r="56" spans="2:11" s="510" customFormat="1" ht="14.5" thickBot="1" x14ac:dyDescent="0.35">
      <c r="B56" s="521" t="s">
        <v>371</v>
      </c>
      <c r="C56" s="471">
        <f t="shared" ref="C56:K56" si="0">SUM(C17:C55)</f>
        <v>0</v>
      </c>
      <c r="D56" s="471">
        <f t="shared" si="0"/>
        <v>0</v>
      </c>
      <c r="E56" s="471">
        <f t="shared" si="0"/>
        <v>0</v>
      </c>
      <c r="F56" s="471">
        <f t="shared" si="0"/>
        <v>0</v>
      </c>
      <c r="G56" s="471">
        <f t="shared" si="0"/>
        <v>0</v>
      </c>
      <c r="H56" s="471">
        <f t="shared" si="0"/>
        <v>0</v>
      </c>
      <c r="I56" s="471">
        <f t="shared" si="0"/>
        <v>0</v>
      </c>
      <c r="J56" s="471">
        <f t="shared" si="0"/>
        <v>0</v>
      </c>
      <c r="K56" s="472">
        <f t="shared" si="0"/>
        <v>0</v>
      </c>
    </row>
    <row r="57" spans="2:11" s="510" customFormat="1" ht="14.5" thickTop="1" x14ac:dyDescent="0.3">
      <c r="B57" s="522" t="s">
        <v>286</v>
      </c>
      <c r="C57" s="523"/>
      <c r="D57" s="523"/>
      <c r="E57" s="523"/>
      <c r="F57" s="523"/>
      <c r="G57" s="523"/>
      <c r="H57" s="523"/>
      <c r="I57" s="523"/>
      <c r="J57" s="523"/>
      <c r="K57" s="524"/>
    </row>
    <row r="58" spans="2:11" s="510" customFormat="1" ht="14" x14ac:dyDescent="0.3">
      <c r="B58" s="525" t="s">
        <v>287</v>
      </c>
      <c r="C58" s="473">
        <v>0</v>
      </c>
      <c r="D58" s="473">
        <v>0</v>
      </c>
      <c r="E58" s="473">
        <v>0</v>
      </c>
      <c r="F58" s="473">
        <v>0</v>
      </c>
      <c r="G58" s="473">
        <v>0</v>
      </c>
      <c r="H58" s="473">
        <v>0</v>
      </c>
      <c r="I58" s="473">
        <v>0</v>
      </c>
      <c r="J58" s="473">
        <v>0</v>
      </c>
      <c r="K58" s="474">
        <v>0</v>
      </c>
    </row>
    <row r="59" spans="2:11" s="510" customFormat="1" ht="14" x14ac:dyDescent="0.3">
      <c r="B59" s="525" t="s">
        <v>288</v>
      </c>
      <c r="C59" s="473">
        <v>0</v>
      </c>
      <c r="D59" s="473">
        <v>0</v>
      </c>
      <c r="E59" s="473">
        <v>0</v>
      </c>
      <c r="F59" s="473">
        <v>0</v>
      </c>
      <c r="G59" s="473">
        <v>0</v>
      </c>
      <c r="H59" s="473">
        <v>0</v>
      </c>
      <c r="I59" s="473">
        <v>0</v>
      </c>
      <c r="J59" s="473">
        <v>0</v>
      </c>
      <c r="K59" s="474">
        <v>0</v>
      </c>
    </row>
    <row r="60" spans="2:11" s="510" customFormat="1" ht="14" x14ac:dyDescent="0.3">
      <c r="B60" s="525" t="s">
        <v>289</v>
      </c>
      <c r="C60" s="473">
        <v>0</v>
      </c>
      <c r="D60" s="473">
        <v>0</v>
      </c>
      <c r="E60" s="473">
        <v>0</v>
      </c>
      <c r="F60" s="473">
        <v>0</v>
      </c>
      <c r="G60" s="473">
        <v>0</v>
      </c>
      <c r="H60" s="473">
        <v>0</v>
      </c>
      <c r="I60" s="473">
        <v>0</v>
      </c>
      <c r="J60" s="473">
        <v>0</v>
      </c>
      <c r="K60" s="474">
        <v>0</v>
      </c>
    </row>
    <row r="61" spans="2:11" s="510" customFormat="1" ht="14.5" thickBot="1" x14ac:dyDescent="0.35">
      <c r="B61" s="526" t="s">
        <v>290</v>
      </c>
      <c r="C61" s="475">
        <f t="shared" ref="C61:K61" si="1">SUM(C58:C60)</f>
        <v>0</v>
      </c>
      <c r="D61" s="475">
        <f t="shared" si="1"/>
        <v>0</v>
      </c>
      <c r="E61" s="475">
        <f t="shared" si="1"/>
        <v>0</v>
      </c>
      <c r="F61" s="475">
        <f t="shared" si="1"/>
        <v>0</v>
      </c>
      <c r="G61" s="475">
        <f t="shared" si="1"/>
        <v>0</v>
      </c>
      <c r="H61" s="475">
        <f t="shared" si="1"/>
        <v>0</v>
      </c>
      <c r="I61" s="475">
        <f t="shared" si="1"/>
        <v>0</v>
      </c>
      <c r="J61" s="475">
        <f t="shared" si="1"/>
        <v>0</v>
      </c>
      <c r="K61" s="476">
        <f t="shared" si="1"/>
        <v>0</v>
      </c>
    </row>
    <row r="62" spans="2:11" s="510" customFormat="1" ht="16.5" customHeight="1" thickTop="1" thickBot="1" x14ac:dyDescent="0.35">
      <c r="B62" s="527" t="s">
        <v>372</v>
      </c>
      <c r="C62" s="477">
        <f t="shared" ref="C62:K62" si="2">IF(ISERR(C56/C61),0,C56/C61)</f>
        <v>0</v>
      </c>
      <c r="D62" s="477">
        <f t="shared" si="2"/>
        <v>0</v>
      </c>
      <c r="E62" s="477">
        <f t="shared" si="2"/>
        <v>0</v>
      </c>
      <c r="F62" s="477">
        <f t="shared" si="2"/>
        <v>0</v>
      </c>
      <c r="G62" s="477">
        <f t="shared" si="2"/>
        <v>0</v>
      </c>
      <c r="H62" s="477">
        <f t="shared" si="2"/>
        <v>0</v>
      </c>
      <c r="I62" s="477">
        <f t="shared" si="2"/>
        <v>0</v>
      </c>
      <c r="J62" s="477">
        <f t="shared" si="2"/>
        <v>0</v>
      </c>
      <c r="K62" s="478">
        <f t="shared" si="2"/>
        <v>0</v>
      </c>
    </row>
    <row r="63" spans="2:11" s="510" customFormat="1" ht="48" customHeight="1" x14ac:dyDescent="0.3">
      <c r="B63" s="479" t="s">
        <v>373</v>
      </c>
      <c r="C63" s="733" t="s">
        <v>293</v>
      </c>
      <c r="D63" s="734"/>
      <c r="E63" s="734"/>
      <c r="F63" s="734"/>
      <c r="G63" s="734"/>
      <c r="H63" s="734"/>
      <c r="I63" s="734"/>
      <c r="J63" s="734"/>
      <c r="K63" s="735"/>
    </row>
    <row r="64" spans="2:11" s="510" customFormat="1" ht="48.75" customHeight="1" x14ac:dyDescent="0.3">
      <c r="B64" s="479" t="s">
        <v>294</v>
      </c>
      <c r="C64" s="736" t="s">
        <v>293</v>
      </c>
      <c r="D64" s="737"/>
      <c r="E64" s="737"/>
      <c r="F64" s="737"/>
      <c r="G64" s="737"/>
      <c r="H64" s="737"/>
      <c r="I64" s="737"/>
      <c r="J64" s="737"/>
      <c r="K64" s="738"/>
    </row>
    <row r="65" spans="2:11" s="510" customFormat="1" ht="14.5" thickBot="1" x14ac:dyDescent="0.35">
      <c r="B65" s="480" t="s">
        <v>374</v>
      </c>
      <c r="C65" s="481"/>
      <c r="D65" s="481"/>
      <c r="E65" s="481"/>
      <c r="F65" s="481"/>
      <c r="G65" s="481"/>
      <c r="H65" s="481"/>
      <c r="I65" s="481"/>
      <c r="J65" s="481"/>
      <c r="K65" s="482"/>
    </row>
  </sheetData>
  <mergeCells count="4">
    <mergeCell ref="B12:K13"/>
    <mergeCell ref="B14:B16"/>
    <mergeCell ref="C63:K63"/>
    <mergeCell ref="C64:K6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53"/>
  <sheetViews>
    <sheetView zoomScaleNormal="100" zoomScaleSheetLayoutView="85" workbookViewId="0"/>
  </sheetViews>
  <sheetFormatPr defaultRowHeight="12.5" x14ac:dyDescent="0.25"/>
  <cols>
    <col min="1" max="1" width="46.54296875" customWidth="1"/>
    <col min="2" max="5" width="25.54296875" customWidth="1"/>
    <col min="6" max="6" width="12" customWidth="1"/>
  </cols>
  <sheetData>
    <row r="1" spans="1:11" ht="13" x14ac:dyDescent="0.25">
      <c r="A1" s="51" t="s">
        <v>380</v>
      </c>
      <c r="B1" s="52"/>
      <c r="C1" s="52"/>
      <c r="D1" s="52"/>
      <c r="E1" s="53"/>
      <c r="F1" s="1"/>
      <c r="G1" s="1"/>
      <c r="H1" s="1"/>
      <c r="I1" s="1"/>
      <c r="J1" s="1"/>
      <c r="K1" s="1"/>
    </row>
    <row r="2" spans="1:11" ht="13" x14ac:dyDescent="0.25">
      <c r="A2" s="77" t="s">
        <v>9</v>
      </c>
      <c r="B2" s="2"/>
      <c r="C2" s="2"/>
      <c r="D2" s="2"/>
      <c r="E2" s="55"/>
      <c r="F2" s="1"/>
      <c r="G2" s="1"/>
      <c r="H2" s="1"/>
      <c r="I2" s="1"/>
      <c r="J2" s="1"/>
      <c r="K2" s="1"/>
    </row>
    <row r="3" spans="1:11" ht="13" x14ac:dyDescent="0.25">
      <c r="A3" s="315" t="s">
        <v>245</v>
      </c>
      <c r="B3" s="50"/>
      <c r="C3" s="50"/>
      <c r="D3" s="50"/>
      <c r="E3" s="93"/>
      <c r="F3" s="10"/>
      <c r="G3" s="10"/>
      <c r="H3" s="10"/>
      <c r="I3" s="10"/>
      <c r="J3" s="10"/>
      <c r="K3" s="10"/>
    </row>
    <row r="4" spans="1:11" x14ac:dyDescent="0.25">
      <c r="A4" s="56"/>
      <c r="B4" s="50"/>
      <c r="C4" s="50"/>
      <c r="D4" s="50"/>
      <c r="E4" s="93"/>
      <c r="F4" s="10"/>
      <c r="G4" s="10"/>
      <c r="H4" s="10"/>
      <c r="I4" s="10"/>
      <c r="J4" s="10"/>
      <c r="K4" s="10"/>
    </row>
    <row r="5" spans="1:11" ht="13" x14ac:dyDescent="0.25">
      <c r="A5" s="77" t="s">
        <v>90</v>
      </c>
      <c r="B5" s="9"/>
      <c r="C5" s="9"/>
      <c r="D5" s="9"/>
      <c r="E5" s="94"/>
      <c r="F5" s="1"/>
      <c r="G5" s="1"/>
      <c r="H5" s="1"/>
      <c r="I5" s="1"/>
      <c r="J5" s="1"/>
      <c r="K5" s="1"/>
    </row>
    <row r="6" spans="1:11" ht="15.5" x14ac:dyDescent="0.35">
      <c r="A6" s="356" t="s">
        <v>244</v>
      </c>
      <c r="B6" s="4"/>
      <c r="C6" s="4"/>
      <c r="D6" s="4"/>
      <c r="E6" s="86"/>
      <c r="F6" s="1"/>
      <c r="G6" s="1"/>
      <c r="H6" s="1"/>
      <c r="I6" s="1"/>
      <c r="J6" s="1"/>
      <c r="K6" s="1"/>
    </row>
    <row r="7" spans="1:11" ht="13.5" thickBot="1" x14ac:dyDescent="0.35">
      <c r="A7" s="349"/>
      <c r="B7" s="334"/>
      <c r="C7" s="334"/>
      <c r="D7" s="334"/>
      <c r="E7" s="335"/>
      <c r="F7" s="1"/>
      <c r="G7" s="1"/>
      <c r="H7" s="1"/>
      <c r="I7" s="1"/>
      <c r="J7" s="1"/>
      <c r="K7" s="1"/>
    </row>
    <row r="8" spans="1:11" ht="13" x14ac:dyDescent="0.3">
      <c r="A8" s="352"/>
      <c r="B8" s="353" t="s">
        <v>246</v>
      </c>
      <c r="C8" s="353" t="s">
        <v>246</v>
      </c>
      <c r="D8" s="353" t="s">
        <v>246</v>
      </c>
      <c r="E8" s="354" t="s">
        <v>246</v>
      </c>
      <c r="F8" s="1"/>
      <c r="G8" s="1"/>
      <c r="H8" s="1"/>
      <c r="I8" s="1"/>
      <c r="J8" s="1"/>
      <c r="K8" s="1"/>
    </row>
    <row r="9" spans="1:11" ht="13.5" thickBot="1" x14ac:dyDescent="0.35">
      <c r="A9" s="285"/>
      <c r="B9" s="347" t="s">
        <v>247</v>
      </c>
      <c r="C9" s="347" t="s">
        <v>247</v>
      </c>
      <c r="D9" s="347" t="s">
        <v>247</v>
      </c>
      <c r="E9" s="348" t="s">
        <v>247</v>
      </c>
      <c r="F9" s="1"/>
      <c r="G9" s="1"/>
      <c r="H9" s="1"/>
      <c r="I9" s="1"/>
      <c r="J9" s="1"/>
      <c r="K9" s="1"/>
    </row>
    <row r="10" spans="1:11" ht="13" x14ac:dyDescent="0.3">
      <c r="A10" s="87" t="s">
        <v>93</v>
      </c>
      <c r="B10" s="345"/>
      <c r="C10" s="345"/>
      <c r="D10" s="345"/>
      <c r="E10" s="346"/>
      <c r="F10" s="1"/>
      <c r="G10" s="1"/>
      <c r="H10" s="1"/>
      <c r="I10" s="1"/>
      <c r="J10" s="1"/>
      <c r="K10" s="1"/>
    </row>
    <row r="11" spans="1:11" x14ac:dyDescent="0.25">
      <c r="A11" s="88" t="s">
        <v>2</v>
      </c>
      <c r="B11" s="3"/>
      <c r="C11" s="3"/>
      <c r="D11" s="3"/>
      <c r="E11" s="84"/>
      <c r="F11" s="1"/>
      <c r="G11" s="1"/>
      <c r="H11" s="1"/>
      <c r="I11" s="1"/>
      <c r="J11" s="1"/>
      <c r="K11" s="1"/>
    </row>
    <row r="12" spans="1:11" x14ac:dyDescent="0.25">
      <c r="A12" s="88" t="s">
        <v>2</v>
      </c>
      <c r="B12" s="3"/>
      <c r="C12" s="3"/>
      <c r="D12" s="3"/>
      <c r="E12" s="84"/>
      <c r="F12" s="1"/>
      <c r="G12" s="1"/>
      <c r="H12" s="1"/>
      <c r="I12" s="1"/>
      <c r="J12" s="1"/>
      <c r="K12" s="1"/>
    </row>
    <row r="13" spans="1:11" ht="7.4" customHeight="1" x14ac:dyDescent="0.25">
      <c r="A13" s="88"/>
      <c r="B13" s="3"/>
      <c r="C13" s="3"/>
      <c r="D13" s="3"/>
      <c r="E13" s="84"/>
      <c r="F13" s="1"/>
      <c r="G13" s="1"/>
      <c r="H13" s="1"/>
      <c r="I13" s="1"/>
      <c r="J13" s="1"/>
      <c r="K13" s="1"/>
    </row>
    <row r="14" spans="1:11" ht="13" x14ac:dyDescent="0.25">
      <c r="A14" s="89" t="s">
        <v>94</v>
      </c>
      <c r="B14" s="3"/>
      <c r="C14" s="3"/>
      <c r="D14" s="3"/>
      <c r="E14" s="84"/>
      <c r="F14" s="1"/>
      <c r="G14" s="1"/>
      <c r="H14" s="1"/>
      <c r="I14" s="1"/>
      <c r="J14" s="1"/>
      <c r="K14" s="1"/>
    </row>
    <row r="15" spans="1:11" ht="7.4" customHeight="1" x14ac:dyDescent="0.25">
      <c r="A15" s="88"/>
      <c r="B15" s="3"/>
      <c r="C15" s="3"/>
      <c r="D15" s="3"/>
      <c r="E15" s="84"/>
      <c r="F15" s="1"/>
      <c r="G15" s="1"/>
      <c r="H15" s="1"/>
      <c r="I15" s="1"/>
      <c r="J15" s="1"/>
      <c r="K15" s="1"/>
    </row>
    <row r="16" spans="1:11" ht="13" x14ac:dyDescent="0.3">
      <c r="A16" s="87" t="s">
        <v>95</v>
      </c>
      <c r="B16" s="3"/>
      <c r="C16" s="3"/>
      <c r="D16" s="3"/>
      <c r="E16" s="84"/>
      <c r="F16" s="1"/>
      <c r="G16" s="1"/>
      <c r="H16" s="1"/>
      <c r="I16" s="1"/>
      <c r="J16" s="1"/>
      <c r="K16" s="1"/>
    </row>
    <row r="17" spans="1:11" x14ac:dyDescent="0.25">
      <c r="A17" s="88" t="s">
        <v>2</v>
      </c>
      <c r="B17" s="3"/>
      <c r="C17" s="3"/>
      <c r="D17" s="3"/>
      <c r="E17" s="84"/>
      <c r="F17" s="1"/>
      <c r="G17" s="1"/>
      <c r="H17" s="1"/>
      <c r="I17" s="1"/>
      <c r="J17" s="1"/>
      <c r="K17" s="1"/>
    </row>
    <row r="18" spans="1:11" x14ac:dyDescent="0.25">
      <c r="A18" s="88" t="s">
        <v>2</v>
      </c>
      <c r="B18" s="3"/>
      <c r="C18" s="3"/>
      <c r="D18" s="3"/>
      <c r="E18" s="84"/>
      <c r="F18" s="1"/>
      <c r="G18" s="1"/>
      <c r="H18" s="1"/>
      <c r="I18" s="1"/>
      <c r="J18" s="1"/>
      <c r="K18" s="1"/>
    </row>
    <row r="19" spans="1:11" ht="7.4" customHeight="1" x14ac:dyDescent="0.25">
      <c r="A19" s="88"/>
      <c r="B19" s="3"/>
      <c r="C19" s="3"/>
      <c r="D19" s="3"/>
      <c r="E19" s="84"/>
      <c r="F19" s="1"/>
      <c r="G19" s="1"/>
      <c r="H19" s="1"/>
      <c r="I19" s="1"/>
      <c r="J19" s="1"/>
      <c r="K19" s="1"/>
    </row>
    <row r="20" spans="1:11" ht="13" x14ac:dyDescent="0.25">
      <c r="A20" s="89" t="s">
        <v>96</v>
      </c>
      <c r="B20" s="3"/>
      <c r="C20" s="3"/>
      <c r="D20" s="3"/>
      <c r="E20" s="84"/>
      <c r="F20" s="1"/>
      <c r="G20" s="1"/>
      <c r="H20" s="1"/>
      <c r="I20" s="1"/>
      <c r="J20" s="1"/>
      <c r="K20" s="1"/>
    </row>
    <row r="21" spans="1:11" ht="7.4" customHeight="1" x14ac:dyDescent="0.25">
      <c r="A21" s="88"/>
      <c r="B21" s="3"/>
      <c r="C21" s="3"/>
      <c r="D21" s="3"/>
      <c r="E21" s="84"/>
      <c r="F21" s="1"/>
      <c r="G21" s="1"/>
      <c r="H21" s="1"/>
      <c r="I21" s="1"/>
      <c r="J21" s="1"/>
      <c r="K21" s="1"/>
    </row>
    <row r="22" spans="1:11" ht="13" x14ac:dyDescent="0.25">
      <c r="A22" s="90" t="s">
        <v>97</v>
      </c>
      <c r="B22" s="3"/>
      <c r="C22" s="3"/>
      <c r="D22" s="3"/>
      <c r="E22" s="84"/>
      <c r="F22" s="1"/>
      <c r="G22" s="1"/>
      <c r="H22" s="1"/>
      <c r="I22" s="1"/>
      <c r="J22" s="1"/>
      <c r="K22" s="1"/>
    </row>
    <row r="23" spans="1:11" x14ac:dyDescent="0.25">
      <c r="A23" s="88" t="s">
        <v>2</v>
      </c>
      <c r="B23" s="3"/>
      <c r="C23" s="3"/>
      <c r="D23" s="3"/>
      <c r="E23" s="84"/>
      <c r="F23" s="1"/>
      <c r="G23" s="1"/>
      <c r="H23" s="1"/>
      <c r="I23" s="1"/>
      <c r="J23" s="1"/>
      <c r="K23" s="1"/>
    </row>
    <row r="24" spans="1:11" x14ac:dyDescent="0.25">
      <c r="A24" s="88" t="s">
        <v>2</v>
      </c>
      <c r="B24" s="3"/>
      <c r="C24" s="3"/>
      <c r="D24" s="3"/>
      <c r="E24" s="84"/>
      <c r="F24" s="1"/>
      <c r="G24" s="1"/>
      <c r="H24" s="1"/>
      <c r="I24" s="1"/>
      <c r="J24" s="1"/>
      <c r="K24" s="1"/>
    </row>
    <row r="25" spans="1:11" ht="7.4" customHeight="1" x14ac:dyDescent="0.25">
      <c r="A25" s="88"/>
      <c r="B25" s="3"/>
      <c r="C25" s="3"/>
      <c r="D25" s="3"/>
      <c r="E25" s="84"/>
      <c r="F25" s="1"/>
      <c r="G25" s="1"/>
      <c r="H25" s="1"/>
      <c r="I25" s="1"/>
      <c r="J25" s="1"/>
      <c r="K25" s="1"/>
    </row>
    <row r="26" spans="1:11" ht="13" x14ac:dyDescent="0.25">
      <c r="A26" s="89" t="s">
        <v>98</v>
      </c>
      <c r="B26" s="3"/>
      <c r="C26" s="3"/>
      <c r="D26" s="3"/>
      <c r="E26" s="84"/>
      <c r="F26" s="1"/>
      <c r="G26" s="1"/>
      <c r="H26" s="1"/>
      <c r="I26" s="1"/>
      <c r="J26" s="1"/>
      <c r="K26" s="1"/>
    </row>
    <row r="27" spans="1:11" ht="7.4" customHeight="1" x14ac:dyDescent="0.25">
      <c r="A27" s="88"/>
      <c r="B27" s="3"/>
      <c r="C27" s="3"/>
      <c r="D27" s="3"/>
      <c r="E27" s="84"/>
      <c r="F27" s="1"/>
      <c r="G27" s="1"/>
      <c r="H27" s="1"/>
      <c r="I27" s="1"/>
      <c r="J27" s="1"/>
      <c r="K27" s="1"/>
    </row>
    <row r="28" spans="1:11" ht="13" x14ac:dyDescent="0.25">
      <c r="A28" s="90" t="s">
        <v>99</v>
      </c>
      <c r="B28" s="3"/>
      <c r="C28" s="3"/>
      <c r="D28" s="3"/>
      <c r="E28" s="84"/>
      <c r="F28" s="1"/>
      <c r="G28" s="1"/>
      <c r="H28" s="1"/>
      <c r="I28" s="1"/>
      <c r="J28" s="1"/>
      <c r="K28" s="1"/>
    </row>
    <row r="29" spans="1:11" x14ac:dyDescent="0.25">
      <c r="A29" s="88" t="s">
        <v>2</v>
      </c>
      <c r="B29" s="3"/>
      <c r="C29" s="3"/>
      <c r="D29" s="3"/>
      <c r="E29" s="84"/>
      <c r="F29" s="1"/>
      <c r="G29" s="1"/>
      <c r="H29" s="1"/>
      <c r="I29" s="1"/>
      <c r="J29" s="1"/>
      <c r="K29" s="1"/>
    </row>
    <row r="30" spans="1:11" x14ac:dyDescent="0.25">
      <c r="A30" s="88" t="s">
        <v>2</v>
      </c>
      <c r="B30" s="3"/>
      <c r="C30" s="3"/>
      <c r="D30" s="3"/>
      <c r="E30" s="84"/>
      <c r="F30" s="1"/>
      <c r="G30" s="1"/>
      <c r="H30" s="1"/>
      <c r="I30" s="1"/>
      <c r="J30" s="1"/>
      <c r="K30" s="1"/>
    </row>
    <row r="31" spans="1:11" ht="7.4" customHeight="1" x14ac:dyDescent="0.25">
      <c r="A31" s="88"/>
      <c r="B31" s="3"/>
      <c r="C31" s="3"/>
      <c r="D31" s="3"/>
      <c r="E31" s="84"/>
      <c r="F31" s="1"/>
      <c r="G31" s="1"/>
      <c r="H31" s="1"/>
      <c r="I31" s="1"/>
      <c r="J31" s="1"/>
      <c r="K31" s="1"/>
    </row>
    <row r="32" spans="1:11" ht="13" x14ac:dyDescent="0.25">
      <c r="A32" s="89" t="s">
        <v>101</v>
      </c>
      <c r="B32" s="3"/>
      <c r="C32" s="3"/>
      <c r="D32" s="3"/>
      <c r="E32" s="84"/>
      <c r="F32" s="1"/>
      <c r="G32" s="1"/>
      <c r="H32" s="1"/>
      <c r="I32" s="1"/>
      <c r="J32" s="1"/>
      <c r="K32" s="1"/>
    </row>
    <row r="33" spans="1:11" ht="7.4" customHeight="1" x14ac:dyDescent="0.25">
      <c r="A33" s="88"/>
      <c r="B33" s="3"/>
      <c r="C33" s="3"/>
      <c r="D33" s="3"/>
      <c r="E33" s="84"/>
      <c r="F33" s="1"/>
      <c r="G33" s="1"/>
      <c r="H33" s="1"/>
      <c r="I33" s="1"/>
      <c r="J33" s="1"/>
      <c r="K33" s="1"/>
    </row>
    <row r="34" spans="1:11" ht="13" x14ac:dyDescent="0.25">
      <c r="A34" s="90" t="s">
        <v>100</v>
      </c>
      <c r="B34" s="3"/>
      <c r="C34" s="3"/>
      <c r="D34" s="3"/>
      <c r="E34" s="84"/>
      <c r="F34" s="1"/>
      <c r="G34" s="1"/>
      <c r="H34" s="1"/>
      <c r="I34" s="1"/>
      <c r="J34" s="1"/>
      <c r="K34" s="1"/>
    </row>
    <row r="35" spans="1:11" x14ac:dyDescent="0.25">
      <c r="A35" s="88" t="s">
        <v>2</v>
      </c>
      <c r="B35" s="3"/>
      <c r="C35" s="3"/>
      <c r="D35" s="3"/>
      <c r="E35" s="84"/>
      <c r="F35" s="1"/>
      <c r="G35" s="1"/>
      <c r="H35" s="1"/>
      <c r="I35" s="1"/>
      <c r="J35" s="1"/>
      <c r="K35" s="1"/>
    </row>
    <row r="36" spans="1:11" x14ac:dyDescent="0.25">
      <c r="A36" s="88" t="s">
        <v>2</v>
      </c>
      <c r="B36" s="3"/>
      <c r="C36" s="3"/>
      <c r="D36" s="3"/>
      <c r="E36" s="84"/>
      <c r="F36" s="1"/>
      <c r="G36" s="1"/>
      <c r="H36" s="1"/>
      <c r="I36" s="1"/>
      <c r="J36" s="1"/>
      <c r="K36" s="1"/>
    </row>
    <row r="37" spans="1:11" ht="7.4" customHeight="1" x14ac:dyDescent="0.25">
      <c r="A37" s="88"/>
      <c r="B37" s="3"/>
      <c r="C37" s="3"/>
      <c r="D37" s="3"/>
      <c r="E37" s="84"/>
      <c r="F37" s="1"/>
      <c r="G37" s="1"/>
      <c r="H37" s="1"/>
      <c r="I37" s="1"/>
      <c r="J37" s="1"/>
      <c r="K37" s="1"/>
    </row>
    <row r="38" spans="1:11" ht="13" x14ac:dyDescent="0.25">
      <c r="A38" s="89" t="s">
        <v>102</v>
      </c>
      <c r="B38" s="3"/>
      <c r="C38" s="3"/>
      <c r="D38" s="3"/>
      <c r="E38" s="84"/>
      <c r="F38" s="1"/>
      <c r="G38" s="1"/>
      <c r="H38" s="1"/>
      <c r="I38" s="1"/>
      <c r="J38" s="1"/>
      <c r="K38" s="1"/>
    </row>
    <row r="39" spans="1:11" ht="7.4" customHeight="1" x14ac:dyDescent="0.25">
      <c r="A39" s="91"/>
      <c r="B39" s="3"/>
      <c r="C39" s="3"/>
      <c r="D39" s="3"/>
      <c r="E39" s="84"/>
      <c r="F39" s="1"/>
      <c r="G39" s="1"/>
      <c r="H39" s="1"/>
      <c r="I39" s="1"/>
      <c r="J39" s="1"/>
      <c r="K39" s="1"/>
    </row>
    <row r="40" spans="1:11" ht="13" x14ac:dyDescent="0.25">
      <c r="A40" s="90" t="s">
        <v>103</v>
      </c>
      <c r="B40" s="3"/>
      <c r="C40" s="3"/>
      <c r="D40" s="3"/>
      <c r="E40" s="84"/>
      <c r="F40" s="1"/>
      <c r="G40" s="1"/>
      <c r="H40" s="1"/>
      <c r="I40" s="1"/>
      <c r="J40" s="1"/>
      <c r="K40" s="1"/>
    </row>
    <row r="41" spans="1:11" x14ac:dyDescent="0.25">
      <c r="A41" s="88" t="s">
        <v>2</v>
      </c>
      <c r="B41" s="3"/>
      <c r="C41" s="3"/>
      <c r="D41" s="3"/>
      <c r="E41" s="84"/>
      <c r="F41" s="1"/>
      <c r="G41" s="1"/>
      <c r="H41" s="1"/>
      <c r="I41" s="1"/>
      <c r="J41" s="1"/>
      <c r="K41" s="1"/>
    </row>
    <row r="42" spans="1:11" x14ac:dyDescent="0.25">
      <c r="A42" s="88" t="s">
        <v>2</v>
      </c>
      <c r="B42" s="3"/>
      <c r="C42" s="3"/>
      <c r="D42" s="3"/>
      <c r="E42" s="84"/>
      <c r="F42" s="1"/>
      <c r="G42" s="1"/>
      <c r="H42" s="1"/>
      <c r="I42" s="1"/>
      <c r="J42" s="1"/>
      <c r="K42" s="1"/>
    </row>
    <row r="43" spans="1:11" ht="7.4" customHeight="1" x14ac:dyDescent="0.25">
      <c r="A43" s="91"/>
      <c r="B43" s="3"/>
      <c r="C43" s="3"/>
      <c r="D43" s="3"/>
      <c r="E43" s="84"/>
      <c r="F43" s="1"/>
      <c r="G43" s="1"/>
      <c r="H43" s="1"/>
      <c r="I43" s="1"/>
      <c r="J43" s="1"/>
      <c r="K43" s="1"/>
    </row>
    <row r="44" spans="1:11" ht="13" x14ac:dyDescent="0.25">
      <c r="A44" s="89" t="s">
        <v>104</v>
      </c>
      <c r="B44" s="3"/>
      <c r="C44" s="3"/>
      <c r="D44" s="3"/>
      <c r="E44" s="84"/>
      <c r="F44" s="1"/>
      <c r="G44" s="1"/>
      <c r="H44" s="1"/>
      <c r="I44" s="1"/>
      <c r="J44" s="1"/>
      <c r="K44" s="1"/>
    </row>
    <row r="45" spans="1:11" ht="7.4" customHeight="1" x14ac:dyDescent="0.25">
      <c r="A45" s="95"/>
      <c r="B45" s="3"/>
      <c r="C45" s="3"/>
      <c r="D45" s="3"/>
      <c r="E45" s="84"/>
      <c r="F45" s="1"/>
      <c r="G45" s="1"/>
      <c r="H45" s="1"/>
      <c r="I45" s="1"/>
      <c r="J45" s="1"/>
      <c r="K45" s="1"/>
    </row>
    <row r="46" spans="1:11" ht="42" customHeight="1" thickBot="1" x14ac:dyDescent="0.3">
      <c r="A46" s="355" t="s">
        <v>248</v>
      </c>
      <c r="B46" s="340"/>
      <c r="C46" s="340"/>
      <c r="D46" s="340"/>
      <c r="E46" s="286"/>
      <c r="F46" s="1"/>
      <c r="G46" s="1"/>
      <c r="H46" s="1"/>
      <c r="I46" s="1"/>
      <c r="J46" s="1"/>
      <c r="K46" s="1"/>
    </row>
    <row r="47" spans="1:11" ht="13" x14ac:dyDescent="0.3">
      <c r="A47" s="350"/>
      <c r="B47" s="323"/>
      <c r="C47" s="323"/>
      <c r="D47" s="323"/>
      <c r="E47" s="351"/>
      <c r="F47" s="1"/>
      <c r="G47" s="1"/>
      <c r="H47" s="1"/>
      <c r="I47" s="1"/>
      <c r="J47" s="1"/>
      <c r="K47" s="1"/>
    </row>
    <row r="48" spans="1:11" ht="13" x14ac:dyDescent="0.25">
      <c r="A48" s="307" t="s">
        <v>249</v>
      </c>
      <c r="B48" s="2"/>
      <c r="C48" s="2"/>
      <c r="D48" s="2"/>
      <c r="E48" s="55"/>
      <c r="F48" s="1"/>
      <c r="G48" s="1"/>
      <c r="H48" s="1"/>
      <c r="I48" s="1"/>
      <c r="J48" s="1"/>
      <c r="K48" s="1"/>
    </row>
    <row r="49" spans="1:11" ht="13" x14ac:dyDescent="0.25">
      <c r="A49" s="307" t="s">
        <v>250</v>
      </c>
      <c r="B49" s="2"/>
      <c r="C49" s="2"/>
      <c r="D49" s="2"/>
      <c r="E49" s="55"/>
      <c r="F49" s="1"/>
      <c r="G49" s="1"/>
      <c r="H49" s="1"/>
      <c r="I49" s="1"/>
      <c r="J49" s="1"/>
      <c r="K49" s="1"/>
    </row>
    <row r="50" spans="1:11" ht="13" x14ac:dyDescent="0.25">
      <c r="A50" s="357" t="s">
        <v>251</v>
      </c>
      <c r="B50" s="2"/>
      <c r="C50" s="2"/>
      <c r="D50" s="2"/>
      <c r="E50" s="55"/>
      <c r="F50" s="1"/>
      <c r="G50" s="1"/>
      <c r="H50" s="1"/>
      <c r="I50" s="1"/>
      <c r="J50" s="1"/>
      <c r="K50" s="1"/>
    </row>
    <row r="51" spans="1:11" ht="13" x14ac:dyDescent="0.25">
      <c r="A51" s="307" t="s">
        <v>252</v>
      </c>
      <c r="B51" s="2"/>
      <c r="C51" s="2"/>
      <c r="D51" s="2"/>
      <c r="E51" s="55"/>
      <c r="F51" s="1"/>
      <c r="G51" s="1"/>
      <c r="H51" s="1"/>
      <c r="I51" s="1"/>
      <c r="J51" s="1"/>
      <c r="K51" s="1"/>
    </row>
    <row r="52" spans="1:11" x14ac:dyDescent="0.25">
      <c r="A52" s="61"/>
      <c r="B52" s="2"/>
      <c r="C52" s="2"/>
      <c r="D52" s="2"/>
      <c r="E52" s="55"/>
      <c r="F52" s="1"/>
      <c r="G52" s="1"/>
      <c r="H52" s="1"/>
      <c r="I52" s="1"/>
      <c r="J52" s="1"/>
      <c r="K52" s="1"/>
    </row>
    <row r="53" spans="1:11" ht="13.5" thickBot="1" x14ac:dyDescent="0.35">
      <c r="A53" s="73" t="s">
        <v>0</v>
      </c>
      <c r="B53" s="74"/>
      <c r="C53" s="74"/>
      <c r="D53" s="74"/>
      <c r="E53" s="85"/>
      <c r="F53" s="1"/>
      <c r="G53" s="1"/>
      <c r="H53" s="1"/>
      <c r="I53" s="1"/>
      <c r="J53" s="1"/>
      <c r="K53" s="1"/>
    </row>
  </sheetData>
  <printOptions horizontalCentered="1"/>
  <pageMargins left="0.25" right="0.25" top="0.51" bottom="0.48" header="0.25" footer="0.25"/>
  <pageSetup scale="87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41"/>
  <sheetViews>
    <sheetView zoomScaleNormal="100" zoomScaleSheetLayoutView="100" workbookViewId="0"/>
  </sheetViews>
  <sheetFormatPr defaultRowHeight="12.5" x14ac:dyDescent="0.25"/>
  <cols>
    <col min="1" max="1" width="28.54296875" customWidth="1"/>
    <col min="2" max="2" width="9.54296875" customWidth="1"/>
    <col min="3" max="3" width="5.453125" customWidth="1"/>
    <col min="4" max="4" width="22" customWidth="1"/>
  </cols>
  <sheetData>
    <row r="1" spans="1:11" ht="13" x14ac:dyDescent="0.25">
      <c r="A1" s="51" t="s">
        <v>380</v>
      </c>
      <c r="B1" s="96"/>
      <c r="C1" s="96"/>
      <c r="D1" s="97"/>
    </row>
    <row r="2" spans="1:11" ht="13" x14ac:dyDescent="0.25">
      <c r="A2" s="77" t="s">
        <v>9</v>
      </c>
      <c r="B2" s="22"/>
      <c r="C2" s="22"/>
      <c r="D2" s="98"/>
    </row>
    <row r="3" spans="1:11" ht="13" x14ac:dyDescent="0.25">
      <c r="A3" s="315" t="s">
        <v>237</v>
      </c>
      <c r="B3" s="22"/>
      <c r="C3" s="22"/>
      <c r="D3" s="99"/>
      <c r="E3" s="6"/>
      <c r="F3" s="6"/>
      <c r="G3" s="6"/>
      <c r="H3" s="6"/>
      <c r="I3" s="6"/>
      <c r="J3" s="6"/>
      <c r="K3" s="6"/>
    </row>
    <row r="4" spans="1:11" x14ac:dyDescent="0.25">
      <c r="A4" s="56"/>
      <c r="B4" s="22"/>
      <c r="C4" s="22"/>
      <c r="D4" s="98"/>
    </row>
    <row r="5" spans="1:11" ht="13" x14ac:dyDescent="0.25">
      <c r="A5" s="77" t="s">
        <v>91</v>
      </c>
      <c r="B5" s="9"/>
      <c r="C5" s="9"/>
      <c r="D5" s="94"/>
    </row>
    <row r="6" spans="1:11" ht="15.5" x14ac:dyDescent="0.25">
      <c r="A6" s="356" t="s">
        <v>253</v>
      </c>
      <c r="B6" s="9"/>
      <c r="C6" s="9"/>
      <c r="D6" s="94"/>
    </row>
    <row r="7" spans="1:11" ht="13" thickBot="1" x14ac:dyDescent="0.3">
      <c r="A7" s="176"/>
      <c r="B7" s="334"/>
      <c r="C7" s="334"/>
      <c r="D7" s="335"/>
    </row>
    <row r="8" spans="1:11" ht="26.5" thickBot="1" x14ac:dyDescent="0.3">
      <c r="A8" s="671" t="s">
        <v>29</v>
      </c>
      <c r="B8" s="672"/>
      <c r="C8" s="739"/>
      <c r="D8" s="344" t="s">
        <v>28</v>
      </c>
    </row>
    <row r="9" spans="1:11" x14ac:dyDescent="0.25">
      <c r="A9" s="322"/>
      <c r="B9" s="323"/>
      <c r="C9" s="323"/>
      <c r="D9" s="338"/>
    </row>
    <row r="10" spans="1:11" ht="13" x14ac:dyDescent="0.3">
      <c r="A10" s="92" t="s">
        <v>257</v>
      </c>
      <c r="B10" s="2"/>
      <c r="C10" s="2"/>
      <c r="D10" s="84"/>
    </row>
    <row r="11" spans="1:11" x14ac:dyDescent="0.25">
      <c r="A11" s="71"/>
      <c r="B11" s="2"/>
      <c r="C11" s="2"/>
      <c r="D11" s="84"/>
    </row>
    <row r="12" spans="1:11" ht="13" x14ac:dyDescent="0.3">
      <c r="A12" s="92" t="s">
        <v>258</v>
      </c>
      <c r="B12" s="2"/>
      <c r="C12" s="2"/>
      <c r="D12" s="84"/>
    </row>
    <row r="13" spans="1:11" x14ac:dyDescent="0.25">
      <c r="A13" s="71"/>
      <c r="B13" s="2"/>
      <c r="C13" s="2"/>
      <c r="D13" s="84"/>
    </row>
    <row r="14" spans="1:11" ht="13" x14ac:dyDescent="0.3">
      <c r="A14" s="54" t="s">
        <v>27</v>
      </c>
      <c r="B14" s="2"/>
      <c r="C14" s="2"/>
      <c r="D14" s="84"/>
    </row>
    <row r="15" spans="1:11" x14ac:dyDescent="0.25">
      <c r="A15" s="71"/>
      <c r="B15" s="2"/>
      <c r="C15" s="2"/>
      <c r="D15" s="84"/>
    </row>
    <row r="16" spans="1:11" ht="13" x14ac:dyDescent="0.3">
      <c r="A16" s="54" t="s">
        <v>26</v>
      </c>
      <c r="B16" s="2"/>
      <c r="C16" s="2"/>
      <c r="D16" s="84"/>
    </row>
    <row r="17" spans="1:4" x14ac:dyDescent="0.25">
      <c r="A17" s="71" t="s">
        <v>25</v>
      </c>
      <c r="B17" s="2"/>
      <c r="C17" s="2"/>
      <c r="D17" s="84"/>
    </row>
    <row r="18" spans="1:4" x14ac:dyDescent="0.25">
      <c r="A18" s="71" t="s">
        <v>24</v>
      </c>
      <c r="B18" s="2"/>
      <c r="C18" s="2"/>
      <c r="D18" s="84"/>
    </row>
    <row r="19" spans="1:4" x14ac:dyDescent="0.25">
      <c r="A19" s="71" t="s">
        <v>23</v>
      </c>
      <c r="B19" s="2"/>
      <c r="C19" s="2"/>
      <c r="D19" s="84"/>
    </row>
    <row r="20" spans="1:4" x14ac:dyDescent="0.25">
      <c r="A20" s="71" t="s">
        <v>22</v>
      </c>
      <c r="B20" s="2"/>
      <c r="C20" s="2"/>
      <c r="D20" s="84"/>
    </row>
    <row r="21" spans="1:4" x14ac:dyDescent="0.25">
      <c r="A21" s="71" t="s">
        <v>21</v>
      </c>
      <c r="B21" s="2"/>
      <c r="C21" s="2"/>
      <c r="D21" s="84"/>
    </row>
    <row r="22" spans="1:4" ht="13" x14ac:dyDescent="0.3">
      <c r="A22" s="54" t="s">
        <v>20</v>
      </c>
      <c r="B22" s="2"/>
      <c r="C22" s="2"/>
      <c r="D22" s="84"/>
    </row>
    <row r="23" spans="1:4" ht="13" x14ac:dyDescent="0.3">
      <c r="A23" s="54"/>
      <c r="B23" s="2"/>
      <c r="C23" s="2"/>
      <c r="D23" s="84"/>
    </row>
    <row r="24" spans="1:4" ht="13" x14ac:dyDescent="0.3">
      <c r="A24" s="54" t="s">
        <v>19</v>
      </c>
      <c r="B24" s="2"/>
      <c r="C24" s="2"/>
      <c r="D24" s="84"/>
    </row>
    <row r="25" spans="1:4" x14ac:dyDescent="0.25">
      <c r="A25" s="71"/>
      <c r="B25" s="2"/>
      <c r="C25" s="2"/>
      <c r="D25" s="84"/>
    </row>
    <row r="26" spans="1:4" ht="13" x14ac:dyDescent="0.3">
      <c r="A26" s="54" t="s">
        <v>18</v>
      </c>
      <c r="B26" s="2"/>
      <c r="C26" s="2"/>
      <c r="D26" s="84"/>
    </row>
    <row r="27" spans="1:4" x14ac:dyDescent="0.25">
      <c r="A27" s="71"/>
      <c r="B27" s="2"/>
      <c r="C27" s="2"/>
      <c r="D27" s="84"/>
    </row>
    <row r="28" spans="1:4" ht="13" x14ac:dyDescent="0.3">
      <c r="A28" s="54" t="s">
        <v>17</v>
      </c>
      <c r="B28" s="2"/>
      <c r="C28" s="2"/>
      <c r="D28" s="84"/>
    </row>
    <row r="29" spans="1:4" x14ac:dyDescent="0.25">
      <c r="A29" s="71"/>
      <c r="B29" s="2"/>
      <c r="C29" s="2"/>
      <c r="D29" s="84"/>
    </row>
    <row r="30" spans="1:4" ht="13" x14ac:dyDescent="0.3">
      <c r="A30" s="54" t="s">
        <v>16</v>
      </c>
      <c r="B30" s="2"/>
      <c r="C30" s="2"/>
      <c r="D30" s="84"/>
    </row>
    <row r="31" spans="1:4" x14ac:dyDescent="0.25">
      <c r="A31" s="71"/>
      <c r="B31" s="2"/>
      <c r="C31" s="2"/>
      <c r="D31" s="84"/>
    </row>
    <row r="32" spans="1:4" ht="13.5" thickBot="1" x14ac:dyDescent="0.35">
      <c r="A32" s="359" t="s">
        <v>15</v>
      </c>
      <c r="B32" s="74"/>
      <c r="C32" s="74"/>
      <c r="D32" s="286"/>
    </row>
    <row r="33" spans="1:4" ht="13" x14ac:dyDescent="0.3">
      <c r="A33" s="358"/>
      <c r="B33" s="323"/>
      <c r="C33" s="323"/>
      <c r="D33" s="351"/>
    </row>
    <row r="34" spans="1:4" ht="13.5" thickBot="1" x14ac:dyDescent="0.3">
      <c r="A34" s="341" t="s">
        <v>0</v>
      </c>
      <c r="B34" s="74"/>
      <c r="C34" s="74"/>
      <c r="D34" s="85"/>
    </row>
    <row r="41" spans="1:4" s="20" customFormat="1" ht="13" x14ac:dyDescent="0.3">
      <c r="A41" s="21"/>
    </row>
  </sheetData>
  <mergeCells count="1">
    <mergeCell ref="A8:C8"/>
  </mergeCells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41"/>
  <sheetViews>
    <sheetView zoomScaleNormal="100" zoomScaleSheetLayoutView="85" workbookViewId="0"/>
  </sheetViews>
  <sheetFormatPr defaultRowHeight="12.5" x14ac:dyDescent="0.25"/>
  <cols>
    <col min="1" max="1" width="35.54296875" customWidth="1"/>
    <col min="2" max="2" width="12.453125" customWidth="1"/>
    <col min="3" max="3" width="16.54296875" customWidth="1"/>
    <col min="4" max="4" width="21.1796875" customWidth="1"/>
  </cols>
  <sheetData>
    <row r="1" spans="1:11" ht="13" x14ac:dyDescent="0.25">
      <c r="A1" s="51" t="s">
        <v>380</v>
      </c>
      <c r="B1" s="96"/>
      <c r="C1" s="96"/>
      <c r="D1" s="97"/>
    </row>
    <row r="2" spans="1:11" ht="13" x14ac:dyDescent="0.25">
      <c r="A2" s="77" t="s">
        <v>9</v>
      </c>
      <c r="B2" s="22"/>
      <c r="C2" s="22"/>
      <c r="D2" s="98"/>
      <c r="E2" s="6"/>
      <c r="F2" s="6"/>
      <c r="G2" s="6"/>
      <c r="H2" s="6"/>
      <c r="I2" s="6"/>
      <c r="J2" s="6"/>
      <c r="K2" s="6"/>
    </row>
    <row r="3" spans="1:11" ht="13" x14ac:dyDescent="0.25">
      <c r="A3" s="315" t="s">
        <v>237</v>
      </c>
      <c r="B3" s="22"/>
      <c r="C3" s="22"/>
      <c r="D3" s="99"/>
    </row>
    <row r="4" spans="1:11" ht="13" x14ac:dyDescent="0.25">
      <c r="A4" s="56"/>
      <c r="B4" s="22"/>
      <c r="C4" s="22"/>
      <c r="D4" s="99"/>
    </row>
    <row r="5" spans="1:11" ht="13" x14ac:dyDescent="0.25">
      <c r="A5" s="77" t="s">
        <v>124</v>
      </c>
      <c r="B5" s="24"/>
      <c r="C5" s="24"/>
      <c r="D5" s="99"/>
    </row>
    <row r="6" spans="1:11" ht="15.5" x14ac:dyDescent="0.25">
      <c r="A6" s="356" t="s">
        <v>34</v>
      </c>
      <c r="B6" s="24"/>
      <c r="C6" s="24"/>
      <c r="D6" s="99"/>
    </row>
    <row r="7" spans="1:11" ht="13" thickBot="1" x14ac:dyDescent="0.3">
      <c r="A7" s="360"/>
      <c r="B7" s="361"/>
      <c r="C7" s="361"/>
      <c r="D7" s="362"/>
    </row>
    <row r="8" spans="1:11" ht="20.5" customHeight="1" thickBot="1" x14ac:dyDescent="0.3">
      <c r="A8" s="342" t="s">
        <v>125</v>
      </c>
      <c r="B8" s="331" t="s">
        <v>33</v>
      </c>
      <c r="C8" s="331" t="s">
        <v>32</v>
      </c>
      <c r="D8" s="344" t="s">
        <v>31</v>
      </c>
    </row>
    <row r="9" spans="1:11" x14ac:dyDescent="0.25">
      <c r="A9" s="336"/>
      <c r="B9" s="337"/>
      <c r="C9" s="337"/>
      <c r="D9" s="338"/>
    </row>
    <row r="10" spans="1:11" x14ac:dyDescent="0.25">
      <c r="A10" s="83"/>
      <c r="B10" s="3"/>
      <c r="C10" s="3"/>
      <c r="D10" s="84"/>
    </row>
    <row r="11" spans="1:11" x14ac:dyDescent="0.25">
      <c r="A11" s="83"/>
      <c r="B11" s="3"/>
      <c r="C11" s="3"/>
      <c r="D11" s="84"/>
    </row>
    <row r="12" spans="1:11" x14ac:dyDescent="0.25">
      <c r="A12" s="83"/>
      <c r="B12" s="3"/>
      <c r="C12" s="3"/>
      <c r="D12" s="84"/>
    </row>
    <row r="13" spans="1:11" x14ac:dyDescent="0.25">
      <c r="A13" s="83"/>
      <c r="B13" s="3"/>
      <c r="C13" s="3"/>
      <c r="D13" s="84"/>
    </row>
    <row r="14" spans="1:11" x14ac:dyDescent="0.25">
      <c r="A14" s="83"/>
      <c r="B14" s="3"/>
      <c r="C14" s="3"/>
      <c r="D14" s="84"/>
    </row>
    <row r="15" spans="1:11" x14ac:dyDescent="0.25">
      <c r="A15" s="83"/>
      <c r="B15" s="3"/>
      <c r="C15" s="3"/>
      <c r="D15" s="84"/>
    </row>
    <row r="16" spans="1:11" x14ac:dyDescent="0.25">
      <c r="A16" s="83"/>
      <c r="B16" s="3"/>
      <c r="C16" s="3"/>
      <c r="D16" s="84"/>
    </row>
    <row r="17" spans="1:4" x14ac:dyDescent="0.25">
      <c r="A17" s="83"/>
      <c r="B17" s="3"/>
      <c r="C17" s="3"/>
      <c r="D17" s="84"/>
    </row>
    <row r="18" spans="1:4" x14ac:dyDescent="0.25">
      <c r="A18" s="83"/>
      <c r="B18" s="3"/>
      <c r="C18" s="3"/>
      <c r="D18" s="84"/>
    </row>
    <row r="19" spans="1:4" x14ac:dyDescent="0.25">
      <c r="A19" s="83"/>
      <c r="B19" s="3"/>
      <c r="C19" s="3"/>
      <c r="D19" s="84"/>
    </row>
    <row r="20" spans="1:4" x14ac:dyDescent="0.25">
      <c r="A20" s="83"/>
      <c r="B20" s="3"/>
      <c r="C20" s="3"/>
      <c r="D20" s="84"/>
    </row>
    <row r="21" spans="1:4" x14ac:dyDescent="0.25">
      <c r="A21" s="83"/>
      <c r="B21" s="3"/>
      <c r="C21" s="3"/>
      <c r="D21" s="84"/>
    </row>
    <row r="22" spans="1:4" x14ac:dyDescent="0.25">
      <c r="A22" s="83"/>
      <c r="B22" s="3"/>
      <c r="C22" s="3"/>
      <c r="D22" s="84"/>
    </row>
    <row r="23" spans="1:4" x14ac:dyDescent="0.25">
      <c r="A23" s="83"/>
      <c r="B23" s="3"/>
      <c r="C23" s="3"/>
      <c r="D23" s="84"/>
    </row>
    <row r="24" spans="1:4" x14ac:dyDescent="0.25">
      <c r="A24" s="83"/>
      <c r="B24" s="3"/>
      <c r="C24" s="3"/>
      <c r="D24" s="84"/>
    </row>
    <row r="25" spans="1:4" x14ac:dyDescent="0.25">
      <c r="A25" s="83"/>
      <c r="B25" s="3"/>
      <c r="C25" s="3"/>
      <c r="D25" s="84"/>
    </row>
    <row r="26" spans="1:4" x14ac:dyDescent="0.25">
      <c r="A26" s="83"/>
      <c r="B26" s="3"/>
      <c r="C26" s="3"/>
      <c r="D26" s="84"/>
    </row>
    <row r="27" spans="1:4" x14ac:dyDescent="0.25">
      <c r="A27" s="83"/>
      <c r="B27" s="3"/>
      <c r="C27" s="3"/>
      <c r="D27" s="84"/>
    </row>
    <row r="28" spans="1:4" x14ac:dyDescent="0.25">
      <c r="A28" s="83"/>
      <c r="B28" s="3"/>
      <c r="C28" s="3"/>
      <c r="D28" s="84"/>
    </row>
    <row r="29" spans="1:4" x14ac:dyDescent="0.25">
      <c r="A29" s="83"/>
      <c r="B29" s="3"/>
      <c r="C29" s="3"/>
      <c r="D29" s="84"/>
    </row>
    <row r="30" spans="1:4" x14ac:dyDescent="0.25">
      <c r="A30" s="83"/>
      <c r="B30" s="3"/>
      <c r="C30" s="3"/>
      <c r="D30" s="84"/>
    </row>
    <row r="31" spans="1:4" x14ac:dyDescent="0.25">
      <c r="A31" s="83"/>
      <c r="B31" s="3"/>
      <c r="C31" s="3"/>
      <c r="D31" s="84"/>
    </row>
    <row r="32" spans="1:4" x14ac:dyDescent="0.25">
      <c r="A32" s="83"/>
      <c r="B32" s="3"/>
      <c r="C32" s="3"/>
      <c r="D32" s="84"/>
    </row>
    <row r="33" spans="1:5" x14ac:dyDescent="0.25">
      <c r="A33" s="83"/>
      <c r="B33" s="3"/>
      <c r="C33" s="3"/>
      <c r="D33" s="84"/>
    </row>
    <row r="34" spans="1:5" x14ac:dyDescent="0.25">
      <c r="A34" s="83"/>
      <c r="B34" s="3"/>
      <c r="C34" s="3"/>
      <c r="D34" s="84"/>
    </row>
    <row r="35" spans="1:5" ht="26.5" thickBot="1" x14ac:dyDescent="0.35">
      <c r="A35" s="363" t="s">
        <v>30</v>
      </c>
      <c r="B35" s="340"/>
      <c r="C35" s="340"/>
      <c r="D35" s="286"/>
    </row>
    <row r="36" spans="1:5" x14ac:dyDescent="0.25">
      <c r="A36" s="336"/>
      <c r="B36" s="337"/>
      <c r="C36" s="337"/>
      <c r="D36" s="338"/>
    </row>
    <row r="37" spans="1:5" ht="13.5" thickBot="1" x14ac:dyDescent="0.3">
      <c r="A37" s="364" t="s">
        <v>0</v>
      </c>
      <c r="B37" s="74"/>
      <c r="C37" s="74"/>
      <c r="D37" s="85"/>
    </row>
    <row r="40" spans="1:5" x14ac:dyDescent="0.25">
      <c r="D40" s="1"/>
      <c r="E40" s="1"/>
    </row>
    <row r="41" spans="1:5" s="20" customFormat="1" ht="13" x14ac:dyDescent="0.3">
      <c r="A41"/>
      <c r="B41"/>
      <c r="C41"/>
      <c r="D41" s="1"/>
      <c r="E41" s="23"/>
    </row>
  </sheetData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42"/>
  <sheetViews>
    <sheetView zoomScaleNormal="100" zoomScaleSheetLayoutView="100" workbookViewId="0">
      <selection activeCell="R34" sqref="R34"/>
    </sheetView>
  </sheetViews>
  <sheetFormatPr defaultColWidth="10.453125" defaultRowHeight="15.5" x14ac:dyDescent="0.35"/>
  <cols>
    <col min="1" max="1" width="7.453125" style="28" customWidth="1"/>
    <col min="2" max="2" width="26" style="28" customWidth="1"/>
    <col min="3" max="7" width="12.54296875" style="28" customWidth="1"/>
    <col min="8" max="8" width="12.54296875" style="29" customWidth="1"/>
    <col min="9" max="16384" width="10.453125" style="28"/>
  </cols>
  <sheetData>
    <row r="1" spans="1:11" x14ac:dyDescent="0.35">
      <c r="A1" s="51" t="s">
        <v>380</v>
      </c>
      <c r="B1" s="100"/>
      <c r="C1" s="100"/>
      <c r="D1" s="100"/>
      <c r="E1" s="101"/>
      <c r="F1" s="101"/>
      <c r="G1" s="101"/>
      <c r="H1" s="102"/>
    </row>
    <row r="2" spans="1:11" s="11" customFormat="1" ht="13" x14ac:dyDescent="0.25">
      <c r="A2" s="77" t="s">
        <v>9</v>
      </c>
      <c r="B2" s="22"/>
      <c r="C2" s="22"/>
      <c r="D2" s="22"/>
      <c r="E2" s="22"/>
      <c r="F2" s="24"/>
      <c r="G2" s="24"/>
      <c r="H2" s="98"/>
    </row>
    <row r="3" spans="1:11" s="11" customFormat="1" ht="13" x14ac:dyDescent="0.25">
      <c r="A3" s="315" t="s">
        <v>245</v>
      </c>
      <c r="B3" s="22"/>
      <c r="C3" s="36"/>
      <c r="D3" s="36"/>
      <c r="E3" s="36"/>
      <c r="F3" s="36"/>
      <c r="G3" s="36"/>
      <c r="H3" s="103"/>
      <c r="I3" s="6"/>
      <c r="J3" s="6"/>
      <c r="K3" s="6"/>
    </row>
    <row r="4" spans="1:11" s="11" customFormat="1" ht="12.5" x14ac:dyDescent="0.25">
      <c r="A4" s="56"/>
      <c r="B4" s="22"/>
      <c r="C4" s="36"/>
      <c r="D4" s="36"/>
      <c r="E4" s="36"/>
      <c r="F4" s="36"/>
      <c r="G4" s="36"/>
      <c r="H4" s="103"/>
      <c r="I4" s="6"/>
      <c r="J4" s="6"/>
      <c r="K4" s="6"/>
    </row>
    <row r="5" spans="1:11" s="11" customFormat="1" ht="13" x14ac:dyDescent="0.25">
      <c r="A5" s="77" t="s">
        <v>112</v>
      </c>
      <c r="B5" s="24"/>
      <c r="C5" s="9"/>
      <c r="D5" s="9"/>
      <c r="E5" s="9"/>
      <c r="F5" s="9"/>
      <c r="G5" s="9"/>
      <c r="H5" s="94"/>
    </row>
    <row r="6" spans="1:11" x14ac:dyDescent="0.35">
      <c r="A6" s="333" t="s">
        <v>51</v>
      </c>
      <c r="B6" s="34"/>
      <c r="C6" s="35"/>
      <c r="D6" s="35"/>
      <c r="E6" s="34"/>
      <c r="F6" s="34"/>
      <c r="G6" s="34"/>
      <c r="H6" s="104"/>
      <c r="I6" s="30"/>
      <c r="J6" s="30"/>
    </row>
    <row r="7" spans="1:11" ht="16" thickBot="1" x14ac:dyDescent="0.4">
      <c r="A7" s="365"/>
      <c r="B7" s="366"/>
      <c r="C7" s="366"/>
      <c r="D7" s="366"/>
      <c r="E7" s="367"/>
      <c r="F7" s="367"/>
      <c r="G7" s="367"/>
      <c r="H7" s="368"/>
      <c r="I7" s="30"/>
      <c r="J7" s="30"/>
    </row>
    <row r="8" spans="1:11" ht="26.5" thickBot="1" x14ac:dyDescent="0.4">
      <c r="A8" s="740"/>
      <c r="B8" s="741"/>
      <c r="C8" s="331" t="s">
        <v>106</v>
      </c>
      <c r="D8" s="331" t="s">
        <v>95</v>
      </c>
      <c r="E8" s="331" t="s">
        <v>97</v>
      </c>
      <c r="F8" s="331" t="s">
        <v>99</v>
      </c>
      <c r="G8" s="331" t="s">
        <v>100</v>
      </c>
      <c r="H8" s="344" t="s">
        <v>114</v>
      </c>
      <c r="I8" s="30"/>
      <c r="J8" s="30"/>
    </row>
    <row r="9" spans="1:11" ht="18" customHeight="1" x14ac:dyDescent="0.35">
      <c r="A9" s="374" t="s">
        <v>50</v>
      </c>
      <c r="B9" s="375"/>
      <c r="C9" s="376"/>
      <c r="D9" s="376"/>
      <c r="E9" s="376"/>
      <c r="F9" s="376"/>
      <c r="G9" s="376"/>
      <c r="H9" s="377"/>
      <c r="I9" s="30"/>
      <c r="J9" s="30"/>
    </row>
    <row r="10" spans="1:11" x14ac:dyDescent="0.35">
      <c r="A10" s="105" t="s">
        <v>49</v>
      </c>
      <c r="B10" s="32"/>
      <c r="C10" s="32"/>
      <c r="D10" s="32"/>
      <c r="E10" s="32"/>
      <c r="F10" s="32"/>
      <c r="G10" s="32"/>
      <c r="H10" s="106"/>
      <c r="I10" s="30"/>
      <c r="J10" s="30"/>
    </row>
    <row r="11" spans="1:11" x14ac:dyDescent="0.35">
      <c r="A11" s="107"/>
      <c r="B11" s="33" t="s">
        <v>48</v>
      </c>
      <c r="C11" s="32"/>
      <c r="D11" s="32"/>
      <c r="E11" s="32"/>
      <c r="F11" s="32"/>
      <c r="G11" s="32"/>
      <c r="H11" s="106"/>
      <c r="I11" s="30"/>
      <c r="J11" s="30"/>
    </row>
    <row r="12" spans="1:11" x14ac:dyDescent="0.35">
      <c r="A12" s="107"/>
      <c r="B12" s="33"/>
      <c r="C12" s="32"/>
      <c r="D12" s="32"/>
      <c r="E12" s="32"/>
      <c r="F12" s="32"/>
      <c r="G12" s="32"/>
      <c r="H12" s="106"/>
      <c r="I12" s="30"/>
      <c r="J12" s="30"/>
    </row>
    <row r="13" spans="1:11" x14ac:dyDescent="0.35">
      <c r="A13" s="107"/>
      <c r="B13" s="33" t="s">
        <v>47</v>
      </c>
      <c r="C13" s="32"/>
      <c r="D13" s="32"/>
      <c r="E13" s="32"/>
      <c r="F13" s="32"/>
      <c r="G13" s="32"/>
      <c r="H13" s="106"/>
      <c r="I13" s="30"/>
      <c r="J13" s="30"/>
    </row>
    <row r="14" spans="1:11" x14ac:dyDescent="0.35">
      <c r="A14" s="107"/>
      <c r="B14" s="33"/>
      <c r="C14" s="32"/>
      <c r="D14" s="32"/>
      <c r="E14" s="32"/>
      <c r="F14" s="32"/>
      <c r="G14" s="32"/>
      <c r="H14" s="106"/>
      <c r="I14" s="30"/>
      <c r="J14" s="30"/>
    </row>
    <row r="15" spans="1:11" x14ac:dyDescent="0.35">
      <c r="A15" s="107"/>
      <c r="B15" s="33" t="s">
        <v>46</v>
      </c>
      <c r="C15" s="32"/>
      <c r="D15" s="32"/>
      <c r="E15" s="32"/>
      <c r="F15" s="32"/>
      <c r="G15" s="32"/>
      <c r="H15" s="106"/>
      <c r="I15" s="30"/>
      <c r="J15" s="30"/>
    </row>
    <row r="16" spans="1:11" x14ac:dyDescent="0.35">
      <c r="A16" s="107"/>
      <c r="B16" s="33"/>
      <c r="C16" s="32"/>
      <c r="D16" s="32"/>
      <c r="E16" s="32"/>
      <c r="F16" s="32"/>
      <c r="G16" s="32"/>
      <c r="H16" s="106"/>
      <c r="I16" s="30"/>
      <c r="J16" s="30"/>
    </row>
    <row r="17" spans="1:10" x14ac:dyDescent="0.35">
      <c r="A17" s="107"/>
      <c r="B17" s="33" t="s">
        <v>45</v>
      </c>
      <c r="C17" s="32"/>
      <c r="D17" s="32"/>
      <c r="E17" s="32"/>
      <c r="F17" s="32"/>
      <c r="G17" s="32"/>
      <c r="H17" s="106"/>
      <c r="I17" s="30"/>
      <c r="J17" s="30"/>
    </row>
    <row r="18" spans="1:10" x14ac:dyDescent="0.35">
      <c r="A18" s="107"/>
      <c r="B18" s="33" t="s">
        <v>44</v>
      </c>
      <c r="C18" s="32"/>
      <c r="D18" s="32"/>
      <c r="E18" s="32"/>
      <c r="F18" s="32"/>
      <c r="G18" s="32"/>
      <c r="H18" s="106"/>
      <c r="I18" s="30"/>
      <c r="J18" s="30"/>
    </row>
    <row r="19" spans="1:10" x14ac:dyDescent="0.35">
      <c r="A19" s="107"/>
      <c r="B19" s="33"/>
      <c r="C19" s="32"/>
      <c r="D19" s="32"/>
      <c r="E19" s="32"/>
      <c r="F19" s="32"/>
      <c r="G19" s="32"/>
      <c r="H19" s="106"/>
      <c r="I19" s="30"/>
      <c r="J19" s="30"/>
    </row>
    <row r="20" spans="1:10" x14ac:dyDescent="0.35">
      <c r="A20" s="742"/>
      <c r="B20" s="743"/>
      <c r="C20" s="743"/>
      <c r="D20" s="743"/>
      <c r="E20" s="743"/>
      <c r="F20" s="743"/>
      <c r="G20" s="743"/>
      <c r="H20" s="744"/>
      <c r="I20" s="30"/>
      <c r="J20" s="30"/>
    </row>
    <row r="21" spans="1:10" ht="26.25" customHeight="1" thickBot="1" x14ac:dyDescent="0.4">
      <c r="A21" s="745" t="s">
        <v>43</v>
      </c>
      <c r="B21" s="746"/>
      <c r="C21" s="372"/>
      <c r="D21" s="372"/>
      <c r="E21" s="372"/>
      <c r="F21" s="372"/>
      <c r="G21" s="372"/>
      <c r="H21" s="373"/>
      <c r="I21" s="30"/>
      <c r="J21" s="30"/>
    </row>
    <row r="22" spans="1:10" x14ac:dyDescent="0.35">
      <c r="A22" s="369"/>
      <c r="B22" s="370"/>
      <c r="C22" s="370"/>
      <c r="D22" s="370"/>
      <c r="E22" s="370"/>
      <c r="F22" s="370"/>
      <c r="G22" s="370"/>
      <c r="H22" s="371"/>
      <c r="I22" s="30"/>
      <c r="J22" s="30"/>
    </row>
    <row r="23" spans="1:10" ht="16" thickBot="1" x14ac:dyDescent="0.4">
      <c r="A23" s="341" t="s">
        <v>0</v>
      </c>
      <c r="B23" s="378"/>
      <c r="C23" s="108"/>
      <c r="D23" s="108"/>
      <c r="E23" s="108"/>
      <c r="F23" s="108"/>
      <c r="G23" s="108"/>
      <c r="H23" s="109"/>
      <c r="I23" s="30"/>
      <c r="J23" s="30"/>
    </row>
    <row r="24" spans="1:10" x14ac:dyDescent="0.35">
      <c r="A24" s="30"/>
      <c r="B24" s="30"/>
      <c r="C24" s="30"/>
      <c r="D24" s="30"/>
      <c r="E24" s="30"/>
      <c r="F24" s="30"/>
      <c r="G24" s="30"/>
      <c r="H24" s="31"/>
      <c r="I24" s="30"/>
      <c r="J24" s="30"/>
    </row>
    <row r="25" spans="1:10" x14ac:dyDescent="0.35">
      <c r="A25" s="30"/>
      <c r="B25" s="30"/>
      <c r="C25" s="30"/>
      <c r="D25" s="30"/>
      <c r="E25" s="30"/>
      <c r="F25" s="30"/>
      <c r="G25" s="30"/>
      <c r="H25" s="31"/>
      <c r="I25" s="30"/>
      <c r="J25" s="30"/>
    </row>
    <row r="26" spans="1:10" x14ac:dyDescent="0.35">
      <c r="A26" s="30"/>
      <c r="B26" s="30"/>
      <c r="C26" s="30"/>
      <c r="D26" s="30"/>
      <c r="E26" s="30"/>
      <c r="F26" s="30"/>
      <c r="G26" s="30"/>
      <c r="H26" s="31"/>
      <c r="I26" s="30"/>
      <c r="J26" s="30"/>
    </row>
    <row r="27" spans="1:10" x14ac:dyDescent="0.35">
      <c r="A27" s="30"/>
      <c r="B27" s="30"/>
      <c r="C27" s="30"/>
      <c r="D27" s="30"/>
      <c r="E27" s="30"/>
      <c r="F27" s="30"/>
      <c r="G27" s="30"/>
      <c r="H27" s="31"/>
      <c r="I27" s="30"/>
      <c r="J27" s="30"/>
    </row>
    <row r="28" spans="1:10" x14ac:dyDescent="0.35">
      <c r="A28" s="30"/>
      <c r="B28" s="30"/>
      <c r="C28" s="30"/>
      <c r="D28" s="30"/>
      <c r="E28" s="30"/>
      <c r="F28" s="30"/>
      <c r="G28" s="30"/>
      <c r="H28" s="31"/>
      <c r="I28" s="30"/>
      <c r="J28" s="30"/>
    </row>
    <row r="29" spans="1:10" x14ac:dyDescent="0.35">
      <c r="A29" s="30"/>
      <c r="B29" s="30"/>
      <c r="C29" s="30"/>
      <c r="D29" s="30"/>
      <c r="E29" s="30"/>
      <c r="F29" s="30"/>
      <c r="G29" s="30"/>
      <c r="H29" s="31"/>
      <c r="I29" s="30"/>
      <c r="J29" s="30"/>
    </row>
    <row r="30" spans="1:10" x14ac:dyDescent="0.35">
      <c r="A30" s="30"/>
      <c r="B30" s="30"/>
      <c r="C30" s="30"/>
      <c r="D30" s="30"/>
      <c r="E30" s="30"/>
      <c r="F30" s="30"/>
      <c r="G30" s="30"/>
      <c r="H30" s="31"/>
      <c r="I30" s="30"/>
      <c r="J30" s="30"/>
    </row>
    <row r="31" spans="1:10" x14ac:dyDescent="0.35">
      <c r="A31" s="30"/>
      <c r="B31" s="30"/>
      <c r="C31" s="30"/>
      <c r="D31" s="30"/>
      <c r="E31" s="30"/>
      <c r="F31" s="30"/>
      <c r="G31" s="30"/>
      <c r="H31" s="31"/>
      <c r="I31" s="30"/>
      <c r="J31" s="30"/>
    </row>
    <row r="32" spans="1:10" x14ac:dyDescent="0.35">
      <c r="A32" s="30"/>
      <c r="B32" s="30"/>
      <c r="C32" s="30"/>
      <c r="D32" s="30"/>
      <c r="E32" s="30"/>
      <c r="F32" s="30"/>
      <c r="G32" s="30"/>
      <c r="H32" s="31"/>
      <c r="I32" s="30"/>
      <c r="J32" s="30"/>
    </row>
    <row r="33" spans="1:10" x14ac:dyDescent="0.35">
      <c r="A33" s="30"/>
      <c r="B33" s="30"/>
      <c r="C33" s="30"/>
      <c r="D33" s="30"/>
      <c r="E33" s="30"/>
      <c r="F33" s="30"/>
      <c r="G33" s="30"/>
      <c r="H33" s="31"/>
      <c r="I33" s="30"/>
      <c r="J33" s="30"/>
    </row>
    <row r="34" spans="1:10" x14ac:dyDescent="0.35">
      <c r="A34" s="30"/>
      <c r="B34" s="30"/>
      <c r="C34" s="30"/>
      <c r="D34" s="30"/>
      <c r="E34" s="30"/>
      <c r="F34" s="30"/>
      <c r="G34" s="30"/>
      <c r="H34" s="31"/>
      <c r="I34" s="30"/>
      <c r="J34" s="30"/>
    </row>
    <row r="35" spans="1:10" x14ac:dyDescent="0.35">
      <c r="A35" s="30"/>
      <c r="B35" s="30"/>
      <c r="C35" s="30"/>
      <c r="D35" s="30"/>
      <c r="E35" s="30"/>
      <c r="F35" s="30"/>
      <c r="G35" s="30"/>
      <c r="H35" s="31"/>
      <c r="I35" s="30"/>
      <c r="J35" s="30"/>
    </row>
    <row r="36" spans="1:10" x14ac:dyDescent="0.35">
      <c r="A36" s="30"/>
      <c r="B36" s="30"/>
      <c r="C36" s="30"/>
      <c r="D36" s="30"/>
      <c r="E36" s="30"/>
      <c r="F36" s="30"/>
      <c r="G36" s="30"/>
      <c r="H36" s="31"/>
      <c r="I36" s="30"/>
      <c r="J36" s="30"/>
    </row>
    <row r="37" spans="1:10" x14ac:dyDescent="0.35">
      <c r="A37" s="30"/>
      <c r="B37" s="30"/>
      <c r="C37" s="30"/>
      <c r="D37" s="30"/>
      <c r="E37" s="30"/>
      <c r="F37" s="30"/>
      <c r="G37" s="30"/>
      <c r="H37" s="31"/>
      <c r="I37" s="30"/>
      <c r="J37" s="30"/>
    </row>
    <row r="38" spans="1:10" x14ac:dyDescent="0.35">
      <c r="A38" s="30"/>
      <c r="B38" s="30"/>
      <c r="C38" s="30"/>
      <c r="D38" s="30"/>
      <c r="E38" s="30"/>
      <c r="F38" s="30"/>
      <c r="G38" s="30"/>
      <c r="H38" s="31"/>
      <c r="I38" s="30"/>
      <c r="J38" s="30"/>
    </row>
    <row r="39" spans="1:10" x14ac:dyDescent="0.35">
      <c r="A39" s="30"/>
      <c r="B39" s="30"/>
      <c r="C39" s="30"/>
      <c r="D39" s="30"/>
      <c r="E39" s="30"/>
      <c r="F39" s="30"/>
      <c r="G39" s="30"/>
      <c r="H39" s="31"/>
      <c r="I39" s="30"/>
      <c r="J39" s="30"/>
    </row>
    <row r="40" spans="1:10" x14ac:dyDescent="0.35">
      <c r="A40" s="30"/>
      <c r="B40" s="30"/>
      <c r="C40" s="30"/>
      <c r="D40" s="30"/>
      <c r="E40" s="30"/>
      <c r="F40" s="30"/>
      <c r="G40" s="30"/>
      <c r="H40" s="31"/>
      <c r="I40" s="30"/>
      <c r="J40" s="30"/>
    </row>
    <row r="41" spans="1:10" x14ac:dyDescent="0.35">
      <c r="A41" s="30"/>
      <c r="B41" s="30"/>
      <c r="C41" s="30"/>
      <c r="D41" s="30"/>
      <c r="E41" s="30"/>
      <c r="F41" s="30"/>
      <c r="G41" s="30"/>
      <c r="H41" s="31"/>
      <c r="I41" s="30"/>
      <c r="J41" s="30"/>
    </row>
    <row r="42" spans="1:10" x14ac:dyDescent="0.35">
      <c r="A42" s="30"/>
      <c r="B42" s="30"/>
      <c r="C42" s="30"/>
      <c r="D42" s="30"/>
      <c r="E42" s="30"/>
      <c r="F42" s="30"/>
      <c r="G42" s="30"/>
      <c r="H42" s="31"/>
      <c r="I42" s="30"/>
      <c r="J42" s="30"/>
    </row>
  </sheetData>
  <mergeCells count="3">
    <mergeCell ref="A8:B8"/>
    <mergeCell ref="A20:H20"/>
    <mergeCell ref="A21:B21"/>
  </mergeCells>
  <printOptions horizontalCentered="1"/>
  <pageMargins left="0.25" right="0.25" top="0.51" bottom="0.48" header="0.25" footer="0.2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33"/>
  <sheetViews>
    <sheetView zoomScaleNormal="100" zoomScaleSheetLayoutView="100" workbookViewId="0">
      <selection activeCell="A5" sqref="A5"/>
    </sheetView>
  </sheetViews>
  <sheetFormatPr defaultColWidth="9.1796875" defaultRowHeight="12.5" x14ac:dyDescent="0.25"/>
  <cols>
    <col min="1" max="1" width="18.54296875" style="11" customWidth="1"/>
    <col min="2" max="2" width="11.453125" style="11" customWidth="1"/>
    <col min="3" max="3" width="11" style="11" customWidth="1"/>
    <col min="4" max="4" width="10.81640625" style="11" customWidth="1"/>
    <col min="5" max="6" width="18.54296875" style="11" customWidth="1"/>
    <col min="7" max="8" width="11.453125" style="11" customWidth="1"/>
    <col min="9" max="9" width="16.54296875" style="11" customWidth="1"/>
    <col min="10" max="10" width="17.453125" style="11" customWidth="1"/>
    <col min="11" max="16384" width="9.1796875" style="11"/>
  </cols>
  <sheetData>
    <row r="1" spans="1:11" ht="13" x14ac:dyDescent="0.25">
      <c r="A1" s="51" t="s">
        <v>380</v>
      </c>
      <c r="B1" s="76"/>
      <c r="C1" s="76"/>
      <c r="D1" s="76"/>
      <c r="E1" s="76"/>
      <c r="F1" s="76"/>
      <c r="G1" s="76"/>
      <c r="H1" s="76"/>
      <c r="I1" s="76"/>
      <c r="J1" s="110"/>
    </row>
    <row r="2" spans="1:11" ht="13" x14ac:dyDescent="0.3">
      <c r="A2" s="77" t="s">
        <v>9</v>
      </c>
      <c r="B2" s="17"/>
      <c r="C2" s="17"/>
      <c r="D2" s="17"/>
      <c r="E2" s="17"/>
      <c r="F2" s="17"/>
      <c r="G2" s="17"/>
      <c r="H2" s="17"/>
      <c r="I2" s="8"/>
      <c r="J2" s="111"/>
    </row>
    <row r="3" spans="1:11" ht="13" x14ac:dyDescent="0.25">
      <c r="A3" s="315" t="s">
        <v>237</v>
      </c>
      <c r="B3" s="7"/>
      <c r="C3" s="7"/>
      <c r="D3" s="7"/>
      <c r="E3" s="7"/>
      <c r="F3" s="7"/>
      <c r="G3" s="7"/>
      <c r="H3" s="7"/>
      <c r="I3" s="7"/>
      <c r="J3" s="78"/>
      <c r="K3" s="6"/>
    </row>
    <row r="4" spans="1:11" x14ac:dyDescent="0.25">
      <c r="A4" s="56"/>
      <c r="B4" s="7"/>
      <c r="C4" s="7"/>
      <c r="D4" s="7"/>
      <c r="E4" s="7"/>
      <c r="F4" s="7"/>
      <c r="G4" s="7"/>
      <c r="H4" s="7"/>
      <c r="I4" s="7"/>
      <c r="J4" s="78"/>
      <c r="K4" s="6"/>
    </row>
    <row r="5" spans="1:11" ht="13" x14ac:dyDescent="0.3">
      <c r="A5" s="528" t="s">
        <v>381</v>
      </c>
      <c r="B5" s="5"/>
      <c r="C5" s="5"/>
      <c r="D5" s="5"/>
      <c r="E5" s="5"/>
      <c r="F5" s="5"/>
      <c r="G5" s="5"/>
      <c r="H5" s="5"/>
      <c r="I5" s="5"/>
      <c r="J5" s="79"/>
    </row>
    <row r="6" spans="1:11" ht="15.5" x14ac:dyDescent="0.35">
      <c r="A6" s="356" t="s">
        <v>69</v>
      </c>
      <c r="B6" s="4"/>
      <c r="C6" s="4"/>
      <c r="D6" s="4"/>
      <c r="E6" s="4"/>
      <c r="F6" s="4"/>
      <c r="G6" s="4"/>
      <c r="H6" s="4"/>
      <c r="I6" s="4"/>
      <c r="J6" s="86"/>
    </row>
    <row r="7" spans="1:11" ht="15.5" x14ac:dyDescent="0.35">
      <c r="A7" s="77"/>
      <c r="B7" s="4"/>
      <c r="C7" s="4"/>
      <c r="D7" s="4"/>
      <c r="E7" s="4"/>
      <c r="F7" s="4"/>
      <c r="G7" s="4"/>
      <c r="H7" s="4"/>
      <c r="I7" s="4"/>
      <c r="J7" s="86"/>
    </row>
    <row r="8" spans="1:11" ht="13" x14ac:dyDescent="0.25">
      <c r="A8" s="77" t="s">
        <v>68</v>
      </c>
      <c r="B8" s="43" t="s">
        <v>67</v>
      </c>
      <c r="C8" s="17"/>
      <c r="D8" s="17"/>
      <c r="E8" s="17"/>
      <c r="F8" s="17"/>
      <c r="G8" s="17"/>
      <c r="H8" s="17"/>
      <c r="I8" s="17"/>
      <c r="J8" s="111"/>
    </row>
    <row r="9" spans="1:11" ht="13" thickBot="1" x14ac:dyDescent="0.3">
      <c r="A9" s="380"/>
      <c r="B9" s="381"/>
      <c r="C9" s="381"/>
      <c r="D9" s="381"/>
      <c r="E9" s="381"/>
      <c r="F9" s="381"/>
      <c r="G9" s="381"/>
      <c r="H9" s="381"/>
      <c r="I9" s="381"/>
      <c r="J9" s="379"/>
    </row>
    <row r="10" spans="1:11" ht="13" x14ac:dyDescent="0.3">
      <c r="A10" s="757" t="s">
        <v>66</v>
      </c>
      <c r="B10" s="755"/>
      <c r="C10" s="755"/>
      <c r="D10" s="755"/>
      <c r="E10" s="758"/>
      <c r="F10" s="754" t="s">
        <v>65</v>
      </c>
      <c r="G10" s="755"/>
      <c r="H10" s="755"/>
      <c r="I10" s="755"/>
      <c r="J10" s="756"/>
    </row>
    <row r="11" spans="1:11" x14ac:dyDescent="0.25">
      <c r="A11" s="114" t="s">
        <v>64</v>
      </c>
      <c r="B11" s="752"/>
      <c r="C11" s="752"/>
      <c r="D11" s="752"/>
      <c r="E11" s="752"/>
      <c r="F11" s="42" t="s">
        <v>63</v>
      </c>
      <c r="G11" s="749"/>
      <c r="H11" s="750"/>
      <c r="I11" s="750"/>
      <c r="J11" s="751"/>
    </row>
    <row r="12" spans="1:11" x14ac:dyDescent="0.25">
      <c r="A12" s="114"/>
      <c r="B12" s="40"/>
      <c r="C12" s="40"/>
      <c r="D12" s="40"/>
      <c r="E12" s="40"/>
      <c r="F12" s="42"/>
      <c r="G12" s="41"/>
      <c r="H12" s="40"/>
      <c r="I12" s="40"/>
      <c r="J12" s="111"/>
    </row>
    <row r="13" spans="1:11" x14ac:dyDescent="0.25">
      <c r="A13" s="115" t="s">
        <v>62</v>
      </c>
      <c r="B13" s="752"/>
      <c r="C13" s="752"/>
      <c r="D13" s="752"/>
      <c r="E13" s="752"/>
      <c r="F13" s="37" t="s">
        <v>62</v>
      </c>
      <c r="G13" s="749"/>
      <c r="H13" s="750"/>
      <c r="I13" s="750"/>
      <c r="J13" s="751"/>
    </row>
    <row r="14" spans="1:11" x14ac:dyDescent="0.25">
      <c r="A14" s="115"/>
      <c r="B14" s="38"/>
      <c r="C14" s="38"/>
      <c r="D14" s="38"/>
      <c r="E14" s="38"/>
      <c r="F14" s="37"/>
      <c r="G14" s="39"/>
      <c r="H14" s="38"/>
      <c r="I14" s="38"/>
      <c r="J14" s="111"/>
    </row>
    <row r="15" spans="1:11" x14ac:dyDescent="0.25">
      <c r="A15" s="115" t="s">
        <v>61</v>
      </c>
      <c r="B15" s="752"/>
      <c r="C15" s="752"/>
      <c r="D15" s="752"/>
      <c r="E15" s="752"/>
      <c r="F15" s="37" t="s">
        <v>61</v>
      </c>
      <c r="G15" s="749"/>
      <c r="H15" s="750"/>
      <c r="I15" s="750"/>
      <c r="J15" s="751"/>
    </row>
    <row r="16" spans="1:11" x14ac:dyDescent="0.25">
      <c r="A16" s="115"/>
      <c r="B16" s="38"/>
      <c r="C16" s="38"/>
      <c r="D16" s="38"/>
      <c r="E16" s="38"/>
      <c r="F16" s="37"/>
      <c r="G16" s="39"/>
      <c r="H16" s="38"/>
      <c r="I16" s="38"/>
      <c r="J16" s="111"/>
    </row>
    <row r="17" spans="1:10" x14ac:dyDescent="0.25">
      <c r="A17" s="115" t="s">
        <v>60</v>
      </c>
      <c r="B17" s="752"/>
      <c r="C17" s="752"/>
      <c r="D17" s="752"/>
      <c r="E17" s="752"/>
      <c r="F17" s="37" t="s">
        <v>60</v>
      </c>
      <c r="G17" s="749"/>
      <c r="H17" s="750"/>
      <c r="I17" s="750"/>
      <c r="J17" s="751"/>
    </row>
    <row r="18" spans="1:10" x14ac:dyDescent="0.25">
      <c r="A18" s="115"/>
      <c r="B18" s="38"/>
      <c r="C18" s="38"/>
      <c r="D18" s="38"/>
      <c r="E18" s="38"/>
      <c r="F18" s="37"/>
      <c r="G18" s="39"/>
      <c r="H18" s="38"/>
      <c r="I18" s="38"/>
      <c r="J18" s="111"/>
    </row>
    <row r="19" spans="1:10" x14ac:dyDescent="0.25">
      <c r="A19" s="115" t="s">
        <v>59</v>
      </c>
      <c r="B19" s="752"/>
      <c r="C19" s="752"/>
      <c r="D19" s="752"/>
      <c r="E19" s="752"/>
      <c r="F19" s="37" t="s">
        <v>59</v>
      </c>
      <c r="G19" s="749"/>
      <c r="H19" s="750"/>
      <c r="I19" s="750"/>
      <c r="J19" s="751"/>
    </row>
    <row r="20" spans="1:10" x14ac:dyDescent="0.25">
      <c r="A20" s="115"/>
      <c r="B20" s="38"/>
      <c r="C20" s="38"/>
      <c r="D20" s="38"/>
      <c r="E20" s="38"/>
      <c r="F20" s="37"/>
      <c r="G20" s="39"/>
      <c r="H20" s="38"/>
      <c r="I20" s="38"/>
      <c r="J20" s="111"/>
    </row>
    <row r="21" spans="1:10" x14ac:dyDescent="0.25">
      <c r="A21" s="115" t="s">
        <v>58</v>
      </c>
      <c r="B21" s="752"/>
      <c r="C21" s="752"/>
      <c r="D21" s="752"/>
      <c r="E21" s="752"/>
      <c r="F21" s="37" t="s">
        <v>58</v>
      </c>
      <c r="G21" s="749"/>
      <c r="H21" s="750"/>
      <c r="I21" s="750"/>
      <c r="J21" s="751"/>
    </row>
    <row r="22" spans="1:10" x14ac:dyDescent="0.25">
      <c r="A22" s="115"/>
      <c r="B22" s="38"/>
      <c r="C22" s="38"/>
      <c r="D22" s="38"/>
      <c r="E22" s="38"/>
      <c r="F22" s="37"/>
      <c r="G22" s="39"/>
      <c r="H22" s="38"/>
      <c r="I22" s="38"/>
      <c r="J22" s="111"/>
    </row>
    <row r="23" spans="1:10" x14ac:dyDescent="0.25">
      <c r="A23" s="115" t="s">
        <v>57</v>
      </c>
      <c r="B23" s="752"/>
      <c r="C23" s="752"/>
      <c r="D23" s="752"/>
      <c r="E23" s="752"/>
      <c r="F23" s="37" t="s">
        <v>57</v>
      </c>
      <c r="G23" s="749"/>
      <c r="H23" s="750"/>
      <c r="I23" s="750"/>
      <c r="J23" s="751"/>
    </row>
    <row r="24" spans="1:10" x14ac:dyDescent="0.25">
      <c r="A24" s="115"/>
      <c r="B24" s="38"/>
      <c r="C24" s="38"/>
      <c r="D24" s="38"/>
      <c r="E24" s="38"/>
      <c r="F24" s="37"/>
      <c r="G24" s="39"/>
      <c r="H24" s="38"/>
      <c r="I24" s="38"/>
      <c r="J24" s="111"/>
    </row>
    <row r="25" spans="1:10" x14ac:dyDescent="0.25">
      <c r="A25" s="115" t="s">
        <v>56</v>
      </c>
      <c r="B25" s="752"/>
      <c r="C25" s="752"/>
      <c r="D25" s="752"/>
      <c r="E25" s="752"/>
      <c r="F25" s="37" t="s">
        <v>56</v>
      </c>
      <c r="G25" s="749"/>
      <c r="H25" s="750"/>
      <c r="I25" s="750"/>
      <c r="J25" s="751"/>
    </row>
    <row r="26" spans="1:10" x14ac:dyDescent="0.25">
      <c r="A26" s="115"/>
      <c r="B26" s="38"/>
      <c r="C26" s="38"/>
      <c r="D26" s="38"/>
      <c r="E26" s="38"/>
      <c r="F26" s="37"/>
      <c r="G26" s="39"/>
      <c r="H26" s="38"/>
      <c r="I26" s="38"/>
      <c r="J26" s="111"/>
    </row>
    <row r="27" spans="1:10" x14ac:dyDescent="0.25">
      <c r="A27" s="115" t="s">
        <v>55</v>
      </c>
      <c r="B27" s="752"/>
      <c r="C27" s="752"/>
      <c r="D27" s="752"/>
      <c r="E27" s="752"/>
      <c r="F27" s="37" t="s">
        <v>55</v>
      </c>
      <c r="G27" s="749"/>
      <c r="H27" s="750"/>
      <c r="I27" s="750"/>
      <c r="J27" s="751"/>
    </row>
    <row r="28" spans="1:10" x14ac:dyDescent="0.25">
      <c r="A28" s="115"/>
      <c r="B28" s="38"/>
      <c r="C28" s="38"/>
      <c r="D28" s="38"/>
      <c r="E28" s="38"/>
      <c r="F28" s="37"/>
      <c r="G28" s="39"/>
      <c r="H28" s="38"/>
      <c r="I28" s="38"/>
      <c r="J28" s="111"/>
    </row>
    <row r="29" spans="1:10" ht="13" thickBot="1" x14ac:dyDescent="0.3">
      <c r="A29" s="387" t="s">
        <v>54</v>
      </c>
      <c r="B29" s="753"/>
      <c r="C29" s="753"/>
      <c r="D29" s="753"/>
      <c r="E29" s="753"/>
      <c r="F29" s="388" t="s">
        <v>54</v>
      </c>
      <c r="G29" s="747"/>
      <c r="H29" s="748"/>
      <c r="I29" s="748"/>
      <c r="J29" s="113"/>
    </row>
    <row r="30" spans="1:10" x14ac:dyDescent="0.25">
      <c r="A30" s="382"/>
      <c r="B30" s="383"/>
      <c r="C30" s="383"/>
      <c r="D30" s="383"/>
      <c r="E30" s="383"/>
      <c r="F30" s="384"/>
      <c r="G30" s="385"/>
      <c r="H30" s="385"/>
      <c r="I30" s="385"/>
      <c r="J30" s="386"/>
    </row>
    <row r="31" spans="1:10" x14ac:dyDescent="0.25">
      <c r="A31" s="389" t="s">
        <v>53</v>
      </c>
      <c r="B31" s="17"/>
      <c r="C31" s="17"/>
      <c r="D31" s="17"/>
      <c r="E31" s="17"/>
      <c r="F31" s="17"/>
      <c r="G31" s="17"/>
      <c r="H31" s="17"/>
      <c r="I31" s="17"/>
      <c r="J31" s="111"/>
    </row>
    <row r="32" spans="1:10" x14ac:dyDescent="0.25">
      <c r="A32" s="390"/>
      <c r="B32" s="17"/>
      <c r="C32" s="17"/>
      <c r="D32" s="17"/>
      <c r="E32" s="17"/>
      <c r="F32" s="17"/>
      <c r="G32" s="17"/>
      <c r="H32" s="17"/>
      <c r="I32" s="17"/>
      <c r="J32" s="111"/>
    </row>
    <row r="33" spans="1:10" ht="13.5" thickBot="1" x14ac:dyDescent="0.3">
      <c r="A33" s="341" t="s">
        <v>0</v>
      </c>
      <c r="B33" s="112"/>
      <c r="C33" s="112"/>
      <c r="D33" s="112"/>
      <c r="E33" s="112"/>
      <c r="F33" s="112"/>
      <c r="G33" s="112"/>
      <c r="H33" s="112"/>
      <c r="I33" s="112"/>
      <c r="J33" s="113"/>
    </row>
  </sheetData>
  <mergeCells count="22">
    <mergeCell ref="F10:J10"/>
    <mergeCell ref="B11:E11"/>
    <mergeCell ref="G11:J11"/>
    <mergeCell ref="B13:E13"/>
    <mergeCell ref="A10:E10"/>
    <mergeCell ref="G21:J21"/>
    <mergeCell ref="G13:J13"/>
    <mergeCell ref="G17:J17"/>
    <mergeCell ref="G25:J25"/>
    <mergeCell ref="B21:E21"/>
    <mergeCell ref="G19:J19"/>
    <mergeCell ref="B15:E15"/>
    <mergeCell ref="G15:J15"/>
    <mergeCell ref="B23:E23"/>
    <mergeCell ref="B17:E17"/>
    <mergeCell ref="B19:E19"/>
    <mergeCell ref="G29:I29"/>
    <mergeCell ref="G23:J23"/>
    <mergeCell ref="B25:E25"/>
    <mergeCell ref="B27:E27"/>
    <mergeCell ref="G27:J27"/>
    <mergeCell ref="B29:E29"/>
  </mergeCells>
  <hyperlinks>
    <hyperlink ref="B8" r:id="rId1" xr:uid="{00000000-0004-0000-1300-000000000000}"/>
  </hyperlinks>
  <printOptions horizontalCentered="1"/>
  <pageMargins left="0.25" right="0.25" top="0.51" bottom="0.48" header="0.25" footer="0.25"/>
  <pageSetup scale="93" orientation="landscape" r:id="rId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K47"/>
  <sheetViews>
    <sheetView zoomScaleNormal="100" workbookViewId="0">
      <selection activeCell="A5" sqref="A5"/>
    </sheetView>
  </sheetViews>
  <sheetFormatPr defaultColWidth="9.1796875" defaultRowHeight="12.5" x14ac:dyDescent="0.25"/>
  <cols>
    <col min="1" max="1" width="18.54296875" style="11" customWidth="1"/>
    <col min="2" max="2" width="11.453125" style="11" customWidth="1"/>
    <col min="3" max="3" width="11" style="11" customWidth="1"/>
    <col min="4" max="4" width="12.54296875" style="11" customWidth="1"/>
    <col min="5" max="5" width="23.54296875" style="11" customWidth="1"/>
    <col min="6" max="6" width="18.54296875" style="11" customWidth="1"/>
    <col min="7" max="9" width="11.453125" style="11" customWidth="1"/>
    <col min="10" max="10" width="12.1796875" style="11" customWidth="1"/>
    <col min="11" max="11" width="14.81640625" style="11" customWidth="1"/>
    <col min="12" max="12" width="7" style="11" customWidth="1"/>
    <col min="13" max="16384" width="9.1796875" style="11"/>
  </cols>
  <sheetData>
    <row r="1" spans="1:11" ht="13" x14ac:dyDescent="0.25">
      <c r="A1" s="51" t="s">
        <v>380</v>
      </c>
      <c r="B1" s="96"/>
      <c r="C1" s="96"/>
      <c r="D1" s="96"/>
      <c r="E1" s="96"/>
      <c r="F1" s="96"/>
      <c r="G1" s="96"/>
      <c r="H1" s="96"/>
      <c r="I1" s="96"/>
      <c r="J1" s="96"/>
      <c r="K1" s="97"/>
    </row>
    <row r="2" spans="1:11" ht="13" x14ac:dyDescent="0.25">
      <c r="A2" s="77" t="s">
        <v>9</v>
      </c>
      <c r="B2" s="22"/>
      <c r="C2" s="22"/>
      <c r="D2" s="22"/>
      <c r="E2" s="22"/>
      <c r="F2" s="22"/>
      <c r="G2" s="22"/>
      <c r="H2" s="22"/>
      <c r="I2" s="22"/>
      <c r="J2" s="24"/>
      <c r="K2" s="98"/>
    </row>
    <row r="3" spans="1:11" ht="13" x14ac:dyDescent="0.25">
      <c r="A3" s="315" t="s">
        <v>245</v>
      </c>
      <c r="B3" s="22"/>
      <c r="C3" s="22"/>
      <c r="D3" s="22"/>
      <c r="E3" s="22"/>
      <c r="F3" s="22"/>
      <c r="G3" s="22"/>
      <c r="H3" s="22"/>
      <c r="I3" s="22"/>
      <c r="J3" s="22"/>
      <c r="K3" s="98"/>
    </row>
    <row r="4" spans="1:11" x14ac:dyDescent="0.25">
      <c r="A4" s="56"/>
      <c r="B4" s="22"/>
      <c r="C4" s="22"/>
      <c r="D4" s="22"/>
      <c r="E4" s="22"/>
      <c r="F4" s="22"/>
      <c r="G4" s="22"/>
      <c r="H4" s="22"/>
      <c r="I4" s="22"/>
      <c r="J4" s="22"/>
      <c r="K4" s="98"/>
    </row>
    <row r="5" spans="1:11" ht="13" x14ac:dyDescent="0.25">
      <c r="A5" s="528" t="s">
        <v>382</v>
      </c>
      <c r="B5" s="24"/>
      <c r="C5" s="24"/>
      <c r="D5" s="24"/>
      <c r="E5" s="24"/>
      <c r="F5" s="24"/>
      <c r="G5" s="24"/>
      <c r="H5" s="24"/>
      <c r="I5" s="24"/>
      <c r="J5" s="24"/>
      <c r="K5" s="99"/>
    </row>
    <row r="6" spans="1:11" ht="15.5" x14ac:dyDescent="0.25">
      <c r="A6" s="356" t="s">
        <v>89</v>
      </c>
      <c r="B6" s="24"/>
      <c r="C6" s="24"/>
      <c r="D6" s="24"/>
      <c r="E6" s="24"/>
      <c r="F6" s="24"/>
      <c r="G6" s="24"/>
      <c r="H6" s="24"/>
      <c r="I6" s="24"/>
      <c r="J6" s="24"/>
      <c r="K6" s="99"/>
    </row>
    <row r="7" spans="1:11" ht="13" x14ac:dyDescent="0.25">
      <c r="A7" s="77"/>
      <c r="B7" s="24"/>
      <c r="C7" s="24"/>
      <c r="D7" s="24"/>
      <c r="E7" s="24"/>
      <c r="F7" s="24"/>
      <c r="G7" s="24"/>
      <c r="H7" s="24"/>
      <c r="I7" s="24"/>
      <c r="J7" s="24"/>
      <c r="K7" s="99"/>
    </row>
    <row r="8" spans="1:11" ht="13" x14ac:dyDescent="0.25">
      <c r="A8" s="77" t="s">
        <v>88</v>
      </c>
      <c r="B8" s="44" t="s">
        <v>87</v>
      </c>
      <c r="C8" s="22"/>
      <c r="D8" s="24"/>
      <c r="E8" s="24"/>
      <c r="F8" s="24"/>
      <c r="G8" s="24"/>
      <c r="H8" s="24"/>
      <c r="I8" s="24"/>
      <c r="J8" s="24"/>
      <c r="K8" s="99"/>
    </row>
    <row r="9" spans="1:11" ht="13" thickBot="1" x14ac:dyDescent="0.3">
      <c r="A9" s="360"/>
      <c r="B9" s="361"/>
      <c r="C9" s="361"/>
      <c r="D9" s="361"/>
      <c r="E9" s="361"/>
      <c r="F9" s="361"/>
      <c r="G9" s="361"/>
      <c r="H9" s="361"/>
      <c r="I9" s="361"/>
      <c r="J9" s="361"/>
      <c r="K9" s="362"/>
    </row>
    <row r="10" spans="1:11" ht="13" x14ac:dyDescent="0.3">
      <c r="A10" s="757" t="s">
        <v>66</v>
      </c>
      <c r="B10" s="755"/>
      <c r="C10" s="755"/>
      <c r="D10" s="755"/>
      <c r="E10" s="758"/>
      <c r="F10" s="754" t="s">
        <v>86</v>
      </c>
      <c r="G10" s="755"/>
      <c r="H10" s="755"/>
      <c r="I10" s="755"/>
      <c r="J10" s="755"/>
      <c r="K10" s="756"/>
    </row>
    <row r="11" spans="1:11" x14ac:dyDescent="0.25">
      <c r="A11" s="114" t="s">
        <v>64</v>
      </c>
      <c r="B11" s="759"/>
      <c r="C11" s="752"/>
      <c r="D11" s="752"/>
      <c r="E11" s="760"/>
      <c r="F11" s="42" t="s">
        <v>85</v>
      </c>
      <c r="G11" s="749"/>
      <c r="H11" s="750"/>
      <c r="I11" s="750"/>
      <c r="J11" s="750"/>
      <c r="K11" s="751"/>
    </row>
    <row r="12" spans="1:11" x14ac:dyDescent="0.25">
      <c r="A12" s="114"/>
      <c r="B12" s="40"/>
      <c r="C12" s="40"/>
      <c r="D12" s="40"/>
      <c r="E12" s="40"/>
      <c r="F12" s="42"/>
      <c r="G12" s="41"/>
      <c r="H12" s="40"/>
      <c r="I12" s="40"/>
      <c r="J12" s="40"/>
      <c r="K12" s="116"/>
    </row>
    <row r="13" spans="1:11" x14ac:dyDescent="0.25">
      <c r="A13" s="115" t="s">
        <v>62</v>
      </c>
      <c r="B13" s="761"/>
      <c r="C13" s="762"/>
      <c r="D13" s="762"/>
      <c r="E13" s="763"/>
      <c r="F13" s="37" t="s">
        <v>62</v>
      </c>
      <c r="G13" s="749"/>
      <c r="H13" s="750"/>
      <c r="I13" s="750"/>
      <c r="J13" s="750"/>
      <c r="K13" s="751"/>
    </row>
    <row r="14" spans="1:11" x14ac:dyDescent="0.25">
      <c r="A14" s="115"/>
      <c r="B14" s="38"/>
      <c r="C14" s="38"/>
      <c r="D14" s="38"/>
      <c r="E14" s="38"/>
      <c r="F14" s="37"/>
      <c r="G14" s="39"/>
      <c r="H14" s="38"/>
      <c r="I14" s="38"/>
      <c r="J14" s="38"/>
      <c r="K14" s="117"/>
    </row>
    <row r="15" spans="1:11" x14ac:dyDescent="0.25">
      <c r="A15" s="115" t="s">
        <v>61</v>
      </c>
      <c r="B15" s="759"/>
      <c r="C15" s="752"/>
      <c r="D15" s="752"/>
      <c r="E15" s="760"/>
      <c r="F15" s="37" t="s">
        <v>61</v>
      </c>
      <c r="G15" s="749"/>
      <c r="H15" s="750"/>
      <c r="I15" s="750"/>
      <c r="J15" s="750"/>
      <c r="K15" s="751"/>
    </row>
    <row r="16" spans="1:11" x14ac:dyDescent="0.25">
      <c r="A16" s="115"/>
      <c r="B16" s="38"/>
      <c r="C16" s="38"/>
      <c r="D16" s="38"/>
      <c r="E16" s="38"/>
      <c r="F16" s="37"/>
      <c r="G16" s="39"/>
      <c r="H16" s="38"/>
      <c r="I16" s="38"/>
      <c r="J16" s="38"/>
      <c r="K16" s="117"/>
    </row>
    <row r="17" spans="1:11" x14ac:dyDescent="0.25">
      <c r="A17" s="115" t="s">
        <v>60</v>
      </c>
      <c r="B17" s="759"/>
      <c r="C17" s="752"/>
      <c r="D17" s="752"/>
      <c r="E17" s="760"/>
      <c r="F17" s="37" t="s">
        <v>60</v>
      </c>
      <c r="G17" s="749"/>
      <c r="H17" s="750"/>
      <c r="I17" s="750"/>
      <c r="J17" s="750"/>
      <c r="K17" s="751"/>
    </row>
    <row r="18" spans="1:11" x14ac:dyDescent="0.25">
      <c r="A18" s="115"/>
      <c r="B18" s="38"/>
      <c r="C18" s="38"/>
      <c r="D18" s="38"/>
      <c r="E18" s="38"/>
      <c r="F18" s="37"/>
      <c r="G18" s="39"/>
      <c r="H18" s="38"/>
      <c r="I18" s="38"/>
      <c r="J18" s="38"/>
      <c r="K18" s="117"/>
    </row>
    <row r="19" spans="1:11" x14ac:dyDescent="0.25">
      <c r="A19" s="115" t="s">
        <v>59</v>
      </c>
      <c r="B19" s="759"/>
      <c r="C19" s="752"/>
      <c r="D19" s="752"/>
      <c r="E19" s="760"/>
      <c r="F19" s="37" t="s">
        <v>59</v>
      </c>
      <c r="G19" s="749"/>
      <c r="H19" s="750"/>
      <c r="I19" s="750"/>
      <c r="J19" s="750"/>
      <c r="K19" s="751"/>
    </row>
    <row r="20" spans="1:11" x14ac:dyDescent="0.25">
      <c r="A20" s="115"/>
      <c r="B20" s="38"/>
      <c r="C20" s="38"/>
      <c r="D20" s="38"/>
      <c r="E20" s="38"/>
      <c r="F20" s="37"/>
      <c r="G20" s="39"/>
      <c r="H20" s="38"/>
      <c r="I20" s="38"/>
      <c r="J20" s="38"/>
      <c r="K20" s="117"/>
    </row>
    <row r="21" spans="1:11" x14ac:dyDescent="0.25">
      <c r="A21" s="115" t="s">
        <v>58</v>
      </c>
      <c r="B21" s="764"/>
      <c r="C21" s="764"/>
      <c r="D21" s="764"/>
      <c r="E21" s="764"/>
      <c r="F21" s="37" t="s">
        <v>58</v>
      </c>
      <c r="G21" s="749"/>
      <c r="H21" s="750"/>
      <c r="I21" s="750"/>
      <c r="J21" s="750"/>
      <c r="K21" s="751"/>
    </row>
    <row r="22" spans="1:11" x14ac:dyDescent="0.25">
      <c r="A22" s="115"/>
      <c r="B22" s="38"/>
      <c r="C22" s="38"/>
      <c r="D22" s="38"/>
      <c r="E22" s="38"/>
      <c r="F22" s="37"/>
      <c r="G22" s="39"/>
      <c r="H22" s="38"/>
      <c r="I22" s="38"/>
      <c r="J22" s="38"/>
      <c r="K22" s="117"/>
    </row>
    <row r="23" spans="1:11" x14ac:dyDescent="0.25">
      <c r="A23" s="115" t="s">
        <v>57</v>
      </c>
      <c r="B23" s="759"/>
      <c r="C23" s="752"/>
      <c r="D23" s="752"/>
      <c r="E23" s="760"/>
      <c r="F23" s="37" t="s">
        <v>57</v>
      </c>
      <c r="G23" s="749"/>
      <c r="H23" s="750"/>
      <c r="I23" s="750"/>
      <c r="J23" s="750"/>
      <c r="K23" s="751"/>
    </row>
    <row r="24" spans="1:11" x14ac:dyDescent="0.25">
      <c r="A24" s="115"/>
      <c r="B24" s="38"/>
      <c r="C24" s="38"/>
      <c r="D24" s="38"/>
      <c r="E24" s="38"/>
      <c r="F24" s="37"/>
      <c r="G24" s="39"/>
      <c r="H24" s="38"/>
      <c r="I24" s="38"/>
      <c r="J24" s="38"/>
      <c r="K24" s="117"/>
    </row>
    <row r="25" spans="1:11" x14ac:dyDescent="0.25">
      <c r="A25" s="115" t="s">
        <v>56</v>
      </c>
      <c r="B25" s="759"/>
      <c r="C25" s="752"/>
      <c r="D25" s="752"/>
      <c r="E25" s="760"/>
      <c r="F25" s="37" t="s">
        <v>56</v>
      </c>
      <c r="G25" s="749"/>
      <c r="H25" s="750"/>
      <c r="I25" s="750"/>
      <c r="J25" s="750"/>
      <c r="K25" s="751"/>
    </row>
    <row r="26" spans="1:11" x14ac:dyDescent="0.25">
      <c r="A26" s="115"/>
      <c r="B26" s="38"/>
      <c r="C26" s="38"/>
      <c r="D26" s="38"/>
      <c r="E26" s="38"/>
      <c r="F26" s="37"/>
      <c r="G26" s="39"/>
      <c r="H26" s="38"/>
      <c r="I26" s="38"/>
      <c r="J26" s="38"/>
      <c r="K26" s="117"/>
    </row>
    <row r="27" spans="1:11" x14ac:dyDescent="0.25">
      <c r="A27" s="115" t="s">
        <v>55</v>
      </c>
      <c r="B27" s="759"/>
      <c r="C27" s="752"/>
      <c r="D27" s="752"/>
      <c r="E27" s="760"/>
      <c r="F27" s="37" t="s">
        <v>55</v>
      </c>
      <c r="G27" s="749"/>
      <c r="H27" s="750"/>
      <c r="I27" s="750"/>
      <c r="J27" s="750"/>
      <c r="K27" s="751"/>
    </row>
    <row r="28" spans="1:11" x14ac:dyDescent="0.25">
      <c r="A28" s="115"/>
      <c r="B28" s="38"/>
      <c r="C28" s="38"/>
      <c r="D28" s="38"/>
      <c r="E28" s="38"/>
      <c r="F28" s="37"/>
      <c r="G28" s="39"/>
      <c r="H28" s="38"/>
      <c r="I28" s="38"/>
      <c r="J28" s="38"/>
      <c r="K28" s="117"/>
    </row>
    <row r="29" spans="1:11" ht="13" thickBot="1" x14ac:dyDescent="0.3">
      <c r="A29" s="387" t="s">
        <v>54</v>
      </c>
      <c r="B29" s="768"/>
      <c r="C29" s="753"/>
      <c r="D29" s="753"/>
      <c r="E29" s="769"/>
      <c r="F29" s="388" t="s">
        <v>54</v>
      </c>
      <c r="G29" s="747"/>
      <c r="H29" s="748"/>
      <c r="I29" s="748"/>
      <c r="J29" s="748"/>
      <c r="K29" s="770"/>
    </row>
    <row r="30" spans="1:11" x14ac:dyDescent="0.25">
      <c r="A30" s="382"/>
      <c r="B30" s="383"/>
      <c r="C30" s="383"/>
      <c r="D30" s="383"/>
      <c r="E30" s="383"/>
      <c r="F30" s="384"/>
      <c r="G30" s="385"/>
      <c r="H30" s="385"/>
      <c r="I30" s="385"/>
      <c r="J30" s="385"/>
      <c r="K30" s="402"/>
    </row>
    <row r="31" spans="1:11" ht="13" thickBot="1" x14ac:dyDescent="0.3">
      <c r="A31" s="380"/>
      <c r="B31" s="391"/>
      <c r="C31" s="391"/>
      <c r="D31" s="391"/>
      <c r="E31" s="391"/>
      <c r="F31" s="381"/>
      <c r="G31" s="391"/>
      <c r="H31" s="391"/>
      <c r="I31" s="391"/>
      <c r="J31" s="391"/>
      <c r="K31" s="392"/>
    </row>
    <row r="32" spans="1:11" ht="13" x14ac:dyDescent="0.3">
      <c r="A32" s="396" t="s">
        <v>84</v>
      </c>
      <c r="B32" s="397"/>
      <c r="C32" s="397"/>
      <c r="D32" s="397"/>
      <c r="E32" s="403" t="s">
        <v>83</v>
      </c>
      <c r="F32" s="771" t="s">
        <v>82</v>
      </c>
      <c r="G32" s="771"/>
      <c r="H32" s="398" t="s">
        <v>81</v>
      </c>
      <c r="I32" s="397"/>
      <c r="J32" s="397"/>
      <c r="K32" s="399"/>
    </row>
    <row r="33" spans="1:11" x14ac:dyDescent="0.25">
      <c r="A33" s="118" t="s">
        <v>80</v>
      </c>
      <c r="B33" s="7"/>
      <c r="C33" s="7"/>
      <c r="D33" s="38"/>
      <c r="E33" s="404"/>
      <c r="F33" s="772"/>
      <c r="G33" s="772"/>
      <c r="H33" s="765"/>
      <c r="I33" s="766"/>
      <c r="J33" s="766"/>
      <c r="K33" s="767"/>
    </row>
    <row r="34" spans="1:11" x14ac:dyDescent="0.25">
      <c r="A34" s="118" t="s">
        <v>79</v>
      </c>
      <c r="B34" s="7"/>
      <c r="C34" s="7"/>
      <c r="D34" s="38"/>
      <c r="E34" s="404"/>
      <c r="F34" s="772"/>
      <c r="G34" s="772"/>
      <c r="H34" s="765"/>
      <c r="I34" s="766"/>
      <c r="J34" s="766"/>
      <c r="K34" s="767"/>
    </row>
    <row r="35" spans="1:11" x14ac:dyDescent="0.25">
      <c r="A35" s="118" t="s">
        <v>78</v>
      </c>
      <c r="B35" s="7"/>
      <c r="C35" s="7"/>
      <c r="D35" s="38"/>
      <c r="E35" s="404"/>
      <c r="F35" s="772"/>
      <c r="G35" s="772"/>
      <c r="H35" s="765"/>
      <c r="I35" s="766"/>
      <c r="J35" s="766"/>
      <c r="K35" s="767"/>
    </row>
    <row r="36" spans="1:11" x14ac:dyDescent="0.25">
      <c r="A36" s="118" t="s">
        <v>77</v>
      </c>
      <c r="B36" s="7"/>
      <c r="C36" s="7"/>
      <c r="D36" s="38"/>
      <c r="E36" s="404"/>
      <c r="F36" s="772"/>
      <c r="G36" s="772"/>
      <c r="H36" s="765"/>
      <c r="I36" s="766"/>
      <c r="J36" s="766"/>
      <c r="K36" s="767"/>
    </row>
    <row r="37" spans="1:11" x14ac:dyDescent="0.25">
      <c r="A37" s="118" t="s">
        <v>76</v>
      </c>
      <c r="B37" s="7"/>
      <c r="C37" s="7"/>
      <c r="D37" s="38"/>
      <c r="E37" s="404"/>
      <c r="F37" s="772"/>
      <c r="G37" s="772"/>
      <c r="H37" s="765"/>
      <c r="I37" s="766"/>
      <c r="J37" s="766"/>
      <c r="K37" s="767"/>
    </row>
    <row r="38" spans="1:11" x14ac:dyDescent="0.25">
      <c r="A38" s="118" t="s">
        <v>75</v>
      </c>
      <c r="B38" s="7"/>
      <c r="C38" s="7"/>
      <c r="D38" s="38"/>
      <c r="E38" s="404"/>
      <c r="F38" s="772"/>
      <c r="G38" s="772"/>
      <c r="H38" s="765"/>
      <c r="I38" s="766"/>
      <c r="J38" s="766"/>
      <c r="K38" s="767"/>
    </row>
    <row r="39" spans="1:11" x14ac:dyDescent="0.25">
      <c r="A39" s="118" t="s">
        <v>74</v>
      </c>
      <c r="B39" s="7"/>
      <c r="C39" s="7"/>
      <c r="D39" s="38"/>
      <c r="E39" s="404"/>
      <c r="F39" s="772"/>
      <c r="G39" s="772"/>
      <c r="H39" s="765"/>
      <c r="I39" s="766"/>
      <c r="J39" s="766"/>
      <c r="K39" s="767"/>
    </row>
    <row r="40" spans="1:11" x14ac:dyDescent="0.25">
      <c r="A40" s="119" t="s">
        <v>73</v>
      </c>
      <c r="B40" s="7"/>
      <c r="C40" s="7"/>
      <c r="D40" s="38"/>
      <c r="E40" s="404"/>
      <c r="F40" s="772"/>
      <c r="G40" s="772"/>
      <c r="H40" s="765"/>
      <c r="I40" s="766"/>
      <c r="J40" s="766"/>
      <c r="K40" s="767"/>
    </row>
    <row r="41" spans="1:11" x14ac:dyDescent="0.25">
      <c r="A41" s="119" t="s">
        <v>72</v>
      </c>
      <c r="B41" s="7"/>
      <c r="C41" s="7"/>
      <c r="D41" s="38"/>
      <c r="E41" s="404"/>
      <c r="F41" s="772"/>
      <c r="G41" s="772"/>
      <c r="H41" s="765"/>
      <c r="I41" s="766"/>
      <c r="J41" s="766"/>
      <c r="K41" s="767"/>
    </row>
    <row r="42" spans="1:11" x14ac:dyDescent="0.25">
      <c r="A42" s="118" t="s">
        <v>71</v>
      </c>
      <c r="B42" s="7"/>
      <c r="C42" s="7"/>
      <c r="D42" s="38"/>
      <c r="E42" s="404"/>
      <c r="F42" s="772"/>
      <c r="G42" s="772"/>
      <c r="H42" s="765"/>
      <c r="I42" s="766"/>
      <c r="J42" s="766"/>
      <c r="K42" s="767"/>
    </row>
    <row r="43" spans="1:11" ht="13" thickBot="1" x14ac:dyDescent="0.3">
      <c r="A43" s="400" t="s">
        <v>70</v>
      </c>
      <c r="B43" s="401"/>
      <c r="C43" s="401"/>
      <c r="D43" s="74"/>
      <c r="E43" s="405"/>
      <c r="F43" s="776"/>
      <c r="G43" s="777"/>
      <c r="H43" s="773"/>
      <c r="I43" s="774"/>
      <c r="J43" s="774"/>
      <c r="K43" s="775"/>
    </row>
    <row r="44" spans="1:11" x14ac:dyDescent="0.25">
      <c r="A44" s="382"/>
      <c r="B44" s="384"/>
      <c r="C44" s="384"/>
      <c r="D44" s="384"/>
      <c r="E44" s="393"/>
      <c r="F44" s="394"/>
      <c r="G44" s="395"/>
      <c r="H44" s="384"/>
      <c r="I44" s="384"/>
      <c r="J44" s="384"/>
      <c r="K44" s="386"/>
    </row>
    <row r="45" spans="1:11" x14ac:dyDescent="0.25">
      <c r="A45" s="389" t="s">
        <v>53</v>
      </c>
      <c r="B45" s="17"/>
      <c r="C45" s="17"/>
      <c r="D45" s="17"/>
      <c r="E45" s="17"/>
      <c r="F45" s="17"/>
      <c r="G45" s="17"/>
      <c r="H45" s="17"/>
      <c r="I45" s="17"/>
      <c r="J45" s="17"/>
      <c r="K45" s="111"/>
    </row>
    <row r="46" spans="1:11" x14ac:dyDescent="0.25">
      <c r="A46" s="390"/>
      <c r="B46" s="17"/>
      <c r="C46" s="17"/>
      <c r="D46" s="17"/>
      <c r="E46" s="17"/>
      <c r="F46" s="17"/>
      <c r="G46" s="17"/>
      <c r="H46" s="17"/>
      <c r="I46" s="17"/>
      <c r="J46" s="17"/>
      <c r="K46" s="111"/>
    </row>
    <row r="47" spans="1:11" ht="13.5" thickBot="1" x14ac:dyDescent="0.3">
      <c r="A47" s="341" t="s">
        <v>0</v>
      </c>
      <c r="B47" s="112"/>
      <c r="C47" s="112"/>
      <c r="D47" s="112"/>
      <c r="E47" s="112"/>
      <c r="F47" s="112"/>
      <c r="G47" s="112"/>
      <c r="H47" s="112"/>
      <c r="I47" s="112"/>
      <c r="J47" s="112"/>
      <c r="K47" s="113"/>
    </row>
  </sheetData>
  <mergeCells count="45">
    <mergeCell ref="F41:G41"/>
    <mergeCell ref="F42:G42"/>
    <mergeCell ref="F43:G43"/>
    <mergeCell ref="F37:G37"/>
    <mergeCell ref="F38:G38"/>
    <mergeCell ref="F39:G39"/>
    <mergeCell ref="F40:G40"/>
    <mergeCell ref="H43:K43"/>
    <mergeCell ref="H35:K35"/>
    <mergeCell ref="H36:K36"/>
    <mergeCell ref="H37:K37"/>
    <mergeCell ref="H38:K38"/>
    <mergeCell ref="H39:K39"/>
    <mergeCell ref="H40:K40"/>
    <mergeCell ref="H42:K42"/>
    <mergeCell ref="B23:E23"/>
    <mergeCell ref="G23:K23"/>
    <mergeCell ref="H33:K33"/>
    <mergeCell ref="H34:K34"/>
    <mergeCell ref="H41:K41"/>
    <mergeCell ref="B25:E25"/>
    <mergeCell ref="G25:K25"/>
    <mergeCell ref="B29:E29"/>
    <mergeCell ref="G29:K29"/>
    <mergeCell ref="B27:E27"/>
    <mergeCell ref="G27:K27"/>
    <mergeCell ref="F32:G32"/>
    <mergeCell ref="F33:G33"/>
    <mergeCell ref="F34:G34"/>
    <mergeCell ref="F35:G35"/>
    <mergeCell ref="F36:G36"/>
    <mergeCell ref="B17:E17"/>
    <mergeCell ref="G17:K17"/>
    <mergeCell ref="B19:E19"/>
    <mergeCell ref="G19:K19"/>
    <mergeCell ref="B21:E21"/>
    <mergeCell ref="G21:K21"/>
    <mergeCell ref="B15:E15"/>
    <mergeCell ref="G15:K15"/>
    <mergeCell ref="A10:E10"/>
    <mergeCell ref="F10:K10"/>
    <mergeCell ref="B11:E11"/>
    <mergeCell ref="G11:K11"/>
    <mergeCell ref="B13:E13"/>
    <mergeCell ref="G13:K13"/>
  </mergeCells>
  <hyperlinks>
    <hyperlink ref="B8" r:id="rId1" xr:uid="{00000000-0004-0000-1400-000000000000}"/>
  </hyperlinks>
  <printOptions horizontalCentered="1"/>
  <pageMargins left="0.25" right="0.25" top="0.51" bottom="0.48" header="0.25" footer="0.25"/>
  <pageSetup scale="87" orientation="landscape" r:id="rId2"/>
  <headerFooter alignWithMargins="0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</vt:i4>
      </vt:variant>
    </vt:vector>
  </HeadingPairs>
  <TitlesOfParts>
    <vt:vector size="30" baseType="lpstr">
      <vt:lpstr>Exh 2A SAMPLE</vt:lpstr>
      <vt:lpstr>Exh 2A Prime&amp;SS Non-Mgmt DL Con</vt:lpstr>
      <vt:lpstr>Exh 2B Prime &amp; SS Offsite M&amp;A</vt:lpstr>
      <vt:lpstr>Exh 2B Prime&amp;SS On&amp;Offsite M&amp;A</vt:lpstr>
      <vt:lpstr>Exh 2C SAMPLE </vt:lpstr>
      <vt:lpstr>Exh 2C Non-SS Non-Mgmt DL Con</vt:lpstr>
      <vt:lpstr>Exh 2D Non-SS Offsite M&amp;A</vt:lpstr>
      <vt:lpstr>Exh 2D Non-SS On&amp;Offsite M&amp;A</vt:lpstr>
      <vt:lpstr>Exh 3 Prime GPM Summary</vt:lpstr>
      <vt:lpstr>Exh 4 Source Personnel</vt:lpstr>
      <vt:lpstr>Exh 5  Sum Indirect Rates</vt:lpstr>
      <vt:lpstr>Exh 6A  Overhead Pool(s)</vt:lpstr>
      <vt:lpstr>Exh 6B  G&amp;A Pool</vt:lpstr>
      <vt:lpstr>Exh 6C Fringe Pool</vt:lpstr>
      <vt:lpstr>Exh 7 Recurring ODCs-CERs</vt:lpstr>
      <vt:lpstr>Exh 8 Phase-In Plan</vt:lpstr>
      <vt:lpstr>Exh 8A  Phase-In DL</vt:lpstr>
      <vt:lpstr>Exh 9  Prod WY</vt:lpstr>
      <vt:lpstr>Exh 10A  Cognizant Agency</vt:lpstr>
      <vt:lpstr>Exh 10B  Cognizant Agency</vt:lpstr>
      <vt:lpstr>'Exh 10A  Cognizant Agency'!Print_Area</vt:lpstr>
      <vt:lpstr>'Exh 10B  Cognizant Agency'!Print_Area</vt:lpstr>
      <vt:lpstr>'Exh 4 Source Personnel'!Print_Area</vt:lpstr>
      <vt:lpstr>'Exh 5  Sum Indirect Rates'!Print_Area</vt:lpstr>
      <vt:lpstr>'Exh 6A  Overhead Pool(s)'!Print_Area</vt:lpstr>
      <vt:lpstr>'Exh 6B  G&amp;A Pool'!Print_Area</vt:lpstr>
      <vt:lpstr>'Exh 7 Recurring ODCs-CERs'!Print_Area</vt:lpstr>
      <vt:lpstr>'Exh 8 Phase-In Plan'!Print_Area</vt:lpstr>
      <vt:lpstr>'Exh 8A  Phase-In DL'!Print_Area</vt:lpstr>
      <vt:lpstr>'Exh 9  Prod WY'!Print_Area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2025-03-10T15:59:08Z</dcterms:created>
  <dcterms:modified xsi:type="dcterms:W3CDTF">2025-09-29T22:29:19Z</dcterms:modified>
</cp:coreProperties>
</file>