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NAEAJAXSFS101v.nadsusea.nads.navy.mil\CS007$\NAVFAC_JAXS_N69450_16AA\PWBL\PW\PW2-FMFS\02-FSC Project Management\Template_contracts\N6945025R000X Mayport BOS\Daniela\"/>
    </mc:Choice>
  </mc:AlternateContent>
  <bookViews>
    <workbookView xWindow="0" yWindow="4335" windowWidth="28800" windowHeight="10890" activeTab="1"/>
  </bookViews>
  <sheets>
    <sheet name="1-Service Provider Info" sheetId="15" r:id="rId1"/>
    <sheet name="2-Service Provider Field List" sheetId="18" r:id="rId2"/>
    <sheet name="3-Service Provider-Template" sheetId="17" r:id="rId3"/>
  </sheets>
  <definedNames>
    <definedName name="_xlnm.Print_Area" localSheetId="0">'1-Service Provider Info'!$A$1:$D$26</definedName>
    <definedName name="_xlnm.Print_Area" localSheetId="1">'2-Service Provider Field List'!$A$1:$G$42</definedName>
    <definedName name="_xlnm.Print_Area" localSheetId="2">'3-Service Provider-Template'!$A$1:$AJ$34</definedName>
    <definedName name="_xlnm.Print_Titles" localSheetId="1">'2-Service Provider Field List'!$1:$7</definedName>
    <definedName name="_xlnm.Print_Titles" localSheetId="2">'3-Service Provider-Template'!$A:$A,'3-Service Provider-Template'!$1:$1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18" l="1"/>
  <c r="A5" i="18"/>
  <c r="A3" i="18"/>
  <c r="A9" i="18"/>
  <c r="A10" i="18" s="1"/>
  <c r="A11" i="18" s="1"/>
  <c r="A12" i="18" s="1"/>
  <c r="A13" i="18" s="1"/>
  <c r="A14" i="18" s="1"/>
  <c r="A15" i="18" s="1"/>
  <c r="A16" i="18" s="1"/>
  <c r="A17" i="18" s="1"/>
  <c r="A18" i="18" s="1"/>
  <c r="A19" i="18" s="1"/>
  <c r="A20" i="18" s="1"/>
  <c r="A21" i="18" s="1"/>
  <c r="A22" i="18" s="1"/>
  <c r="A23" i="18" s="1"/>
  <c r="A24" i="18" s="1"/>
  <c r="A25" i="18" s="1"/>
  <c r="A26" i="18" s="1"/>
  <c r="A27" i="18" s="1"/>
  <c r="A28" i="18" s="1"/>
  <c r="A29" i="18" s="1"/>
  <c r="A30" i="18" s="1"/>
  <c r="A31" i="18" s="1"/>
  <c r="A32" i="18" s="1"/>
  <c r="A33" i="18" s="1"/>
  <c r="A34" i="18" s="1"/>
  <c r="A35" i="18" s="1"/>
  <c r="A36" i="18" s="1"/>
  <c r="A37" i="18" s="1"/>
  <c r="A38" i="18" s="1"/>
  <c r="A39" i="18" s="1"/>
  <c r="A40" i="18" s="1"/>
  <c r="A41" i="18" s="1"/>
  <c r="A42" i="18" s="1"/>
  <c r="A5" i="17"/>
  <c r="A4" i="17"/>
  <c r="A3" i="17"/>
</calcChain>
</file>

<file path=xl/sharedStrings.xml><?xml version="1.0" encoding="utf-8"?>
<sst xmlns="http://schemas.openxmlformats.org/spreadsheetml/2006/main" count="446" uniqueCount="211">
  <si>
    <t>ATTACHMENT J-0200000-XX
SERVICE PROVIDER INFORMATION</t>
  </si>
  <si>
    <t>Interface: Service Provider</t>
  </si>
  <si>
    <t>VERSION #:</t>
  </si>
  <si>
    <t>v3</t>
  </si>
  <si>
    <t xml:space="preserve">Current as of: </t>
  </si>
  <si>
    <t>3 December 2015</t>
  </si>
  <si>
    <t>Version History</t>
  </si>
  <si>
    <t>v1 - Updated to reflect current interface in MAXIMO</t>
  </si>
  <si>
    <t>v2 - Update to reflect addition of Utility Outage Reporting information &amp; Support GL Account Import</t>
  </si>
  <si>
    <t>v3 - Update to reflect addition of additional remarks field.[In sync with NITC R2 Interface Document]</t>
  </si>
  <si>
    <t>TABS</t>
  </si>
  <si>
    <t>1-Service Provider Info</t>
  </si>
  <si>
    <t>This Sheet</t>
  </si>
  <si>
    <t>2-Service Provider Field List</t>
  </si>
  <si>
    <t>Service Provider Template Data Format Information</t>
  </si>
  <si>
    <t>3-Service Provider - Template</t>
  </si>
  <si>
    <t>Sample Excel Format</t>
  </si>
  <si>
    <t xml:space="preserve">Service Provider (BOSC1) is a pipe delimited file. </t>
  </si>
  <si>
    <t>Position</t>
  </si>
  <si>
    <t>Name</t>
  </si>
  <si>
    <t>Length
Limit</t>
  </si>
  <si>
    <t>Data Format Note</t>
  </si>
  <si>
    <t>Field Definition</t>
  </si>
  <si>
    <t>NAVFAC
MAXIMO_FIELD
(WORKORDER.)</t>
  </si>
  <si>
    <t>Approved Date</t>
  </si>
  <si>
    <t>N</t>
  </si>
  <si>
    <t>10</t>
  </si>
  <si>
    <t>MM/DD/YYYY  hh:mm:ss</t>
  </si>
  <si>
    <r>
      <t xml:space="preserve">The Date on which the Work Order was last approved. </t>
    </r>
    <r>
      <rPr>
        <sz val="11"/>
        <color rgb="FFFF0000"/>
        <rFont val="Arial"/>
        <family val="2"/>
      </rPr>
      <t xml:space="preserve"> </t>
    </r>
    <r>
      <rPr>
        <sz val="11"/>
        <rFont val="Arial"/>
        <family val="2"/>
      </rPr>
      <t xml:space="preserve">If the file contains an Approved Date, then this date will be pulled over to the record.  </t>
    </r>
    <r>
      <rPr>
        <sz val="11"/>
        <color rgb="FFFF0000"/>
        <rFont val="Arial"/>
        <family val="2"/>
      </rPr>
      <t xml:space="preserve">
</t>
    </r>
    <r>
      <rPr>
        <i/>
        <sz val="11"/>
        <color rgb="FFFF0000"/>
        <rFont val="Arial"/>
        <family val="2"/>
      </rPr>
      <t>If the Approved Date in the file is null, then the Reported Date plus one minute will be displayed in the record.</t>
    </r>
  </si>
  <si>
    <t>APPROVEDDATE</t>
  </si>
  <si>
    <t>Work Type</t>
  </si>
  <si>
    <t>Y</t>
  </si>
  <si>
    <t>15</t>
  </si>
  <si>
    <r>
      <t xml:space="preserve">
Must match Value List in Maximo.
</t>
    </r>
    <r>
      <rPr>
        <b/>
        <sz val="11"/>
        <rFont val="Arial"/>
        <family val="2"/>
      </rPr>
      <t>(Cross-walked field.).  Must match Crosswalk</t>
    </r>
  </si>
  <si>
    <t>Identifies the work order's type.
Example types are: preventive maintenance, corrective maintenance, emergency maintenance, capital project, and event report.</t>
  </si>
  <si>
    <t>WORKTYPE</t>
  </si>
  <si>
    <t>Contractors internal work order tracking number.  Will update Record if Value is found in Maximo otherwise new record (Work order) will be created.</t>
  </si>
  <si>
    <t>SERVPRVREFCODE</t>
  </si>
  <si>
    <t>Description</t>
  </si>
  <si>
    <t>150</t>
  </si>
  <si>
    <r>
      <t xml:space="preserve">Describes the work order. 
</t>
    </r>
    <r>
      <rPr>
        <i/>
        <sz val="11"/>
        <color rgb="FFFF0000"/>
        <rFont val="Arial"/>
        <family val="2"/>
      </rPr>
      <t>If the Description is null, in the inbound file, then this field is defaulted to CROSSWALK value.</t>
    </r>
  </si>
  <si>
    <t>DESCRIPTION</t>
  </si>
  <si>
    <t>Location</t>
  </si>
  <si>
    <t>30</t>
  </si>
  <si>
    <t>Must match Value List in Maximo</t>
  </si>
  <si>
    <t>Identifies the work order's location.  This is not necessarily the asset's location, however, if an asset is entered, its location will default here.  
- If the Location is null, in the inbound file, then this field is defaulted to the site's base location.</t>
  </si>
  <si>
    <t>LOCATION</t>
  </si>
  <si>
    <t>Reported By</t>
  </si>
  <si>
    <t>62</t>
  </si>
  <si>
    <t>Identifies the person reporting the work order.</t>
  </si>
  <si>
    <t>REPORTEDBY</t>
  </si>
  <si>
    <t>Master System</t>
  </si>
  <si>
    <t>N/A</t>
  </si>
  <si>
    <t>Not used</t>
  </si>
  <si>
    <t>Status</t>
  </si>
  <si>
    <t>16</t>
  </si>
  <si>
    <t>(Cross-walked field.)   
Must match Crosswalk</t>
  </si>
  <si>
    <t>Status of the work order, for example, in progress, waiting on material, waiting for approval, completed, or closed.</t>
  </si>
  <si>
    <t>STATUS</t>
  </si>
  <si>
    <t>Status Date</t>
  </si>
  <si>
    <t>STATUSDATE</t>
  </si>
  <si>
    <t>Priority</t>
  </si>
  <si>
    <t>12</t>
  </si>
  <si>
    <t xml:space="preserve">Identifies the importance of the work order, from 0-999, where 0 is the lowest priority and 999 is the highest.  If the Priority is null, in the inbound file, then this field is defaulted. </t>
  </si>
  <si>
    <t>WOPRIORITY</t>
  </si>
  <si>
    <t>Actual Start</t>
  </si>
  <si>
    <t>ACTSTART</t>
  </si>
  <si>
    <t>Actual Finish</t>
  </si>
  <si>
    <t>ACTFINISH</t>
  </si>
  <si>
    <t>Supervisor</t>
  </si>
  <si>
    <t>SUPERVISOR</t>
  </si>
  <si>
    <t>Labor Hours(Actual)</t>
  </si>
  <si>
    <t>8</t>
  </si>
  <si>
    <t>Number (2 decimal places)</t>
  </si>
  <si>
    <t xml:space="preserve">ACTLABHRS
</t>
  </si>
  <si>
    <t>Labor Cost(Actual)</t>
  </si>
  <si>
    <t xml:space="preserve">ACTLABCOST
</t>
  </si>
  <si>
    <t>Material Cost(Actual)</t>
  </si>
  <si>
    <t xml:space="preserve">ACTMATCOST
</t>
  </si>
  <si>
    <t>Duration</t>
  </si>
  <si>
    <t>Estimated remaining number of hours needed to complete the work.</t>
  </si>
  <si>
    <t>ESTDUR</t>
  </si>
  <si>
    <t>Asset</t>
  </si>
  <si>
    <t>25</t>
  </si>
  <si>
    <t>Must match an existing ASSETNUM in Maximo</t>
  </si>
  <si>
    <t>The asset number used must exist in NAVFAC MAXIMO prior to submission, or the record will be rejected.</t>
  </si>
  <si>
    <t>ASSETNUM</t>
  </si>
  <si>
    <t>Target Finish</t>
  </si>
  <si>
    <t>TARGCOMPDATE</t>
  </si>
  <si>
    <t>Target Start</t>
  </si>
  <si>
    <t>TARGSTARTDATE</t>
  </si>
  <si>
    <t>Reported Date</t>
  </si>
  <si>
    <t>REPORTDATE</t>
  </si>
  <si>
    <t>Lead</t>
  </si>
  <si>
    <t xml:space="preserve">Lead person responsible for the work. </t>
  </si>
  <si>
    <t>LEAD</t>
  </si>
  <si>
    <t>Scheduled Start</t>
  </si>
  <si>
    <t>SCHEDSTART</t>
  </si>
  <si>
    <t>Scheduled Finish</t>
  </si>
  <si>
    <t>SCHEDFINISH</t>
  </si>
  <si>
    <t>Modified Date</t>
  </si>
  <si>
    <t>LEAVE BLANK</t>
  </si>
  <si>
    <t>Leave blank/Do Not Use</t>
  </si>
  <si>
    <t>CHANGEDATE</t>
  </si>
  <si>
    <t>Modified By</t>
  </si>
  <si>
    <t>CHANGEBY</t>
  </si>
  <si>
    <t>4</t>
  </si>
  <si>
    <t>Placeholder for WORKORDER.PMNEXTDUEDATE. Value is not presently imported.</t>
  </si>
  <si>
    <t>PMNEXTDUEDATE</t>
  </si>
  <si>
    <t>Is Task?</t>
  </si>
  <si>
    <t>1</t>
  </si>
  <si>
    <r>
      <rPr>
        <b/>
        <sz val="11"/>
        <rFont val="Arial"/>
        <family val="2"/>
      </rPr>
      <t>Y</t>
    </r>
    <r>
      <rPr>
        <sz val="11"/>
        <rFont val="Arial"/>
        <family val="2"/>
      </rPr>
      <t xml:space="preserve">es or </t>
    </r>
    <r>
      <rPr>
        <b/>
        <sz val="11"/>
        <rFont val="Arial"/>
        <family val="2"/>
      </rPr>
      <t>N</t>
    </r>
    <r>
      <rPr>
        <sz val="11"/>
        <rFont val="Arial"/>
        <family val="2"/>
      </rPr>
      <t>o</t>
    </r>
  </si>
  <si>
    <t>ISTASK</t>
  </si>
  <si>
    <t>Parent WO</t>
  </si>
  <si>
    <t>Length Limit: 250</t>
  </si>
  <si>
    <t>Must exist in NAVFAC MAXIMO prior to submission or the record will be rejected.</t>
  </si>
  <si>
    <t>PARENT</t>
  </si>
  <si>
    <t>Work Order</t>
  </si>
  <si>
    <t>Used in updating record status on existing records.</t>
  </si>
  <si>
    <t>WONUM</t>
  </si>
  <si>
    <t>Detail Location</t>
  </si>
  <si>
    <t>250</t>
  </si>
  <si>
    <t>DETAILLOC</t>
  </si>
  <si>
    <t>CLIN</t>
  </si>
  <si>
    <t>Contract Line Item Number</t>
  </si>
  <si>
    <t>Customer Ref Code</t>
  </si>
  <si>
    <t>CUSTOMERCODE</t>
  </si>
  <si>
    <t>Sub Work Type</t>
  </si>
  <si>
    <t xml:space="preserve">(Cross-walked field).  
Must match Crosswalk  </t>
  </si>
  <si>
    <t>Defaulted field based on the value of worktype</t>
  </si>
  <si>
    <t>SUBWORKTYPE</t>
  </si>
  <si>
    <t>Work Center</t>
  </si>
  <si>
    <t>PERSONGROUP</t>
  </si>
  <si>
    <t>GL Account</t>
  </si>
  <si>
    <t>27</t>
  </si>
  <si>
    <t>Must be a complete GL account or will imported as NULL</t>
  </si>
  <si>
    <t>Only full GL Account, including delimiters, values can be imported.</t>
  </si>
  <si>
    <t>GLACCOUNT</t>
  </si>
  <si>
    <t>Outage Type</t>
  </si>
  <si>
    <t>50</t>
  </si>
  <si>
    <t>ALN</t>
  </si>
  <si>
    <t>Type of utility outage</t>
  </si>
  <si>
    <t>OUTAGETYPE</t>
  </si>
  <si>
    <t>Outage Cause</t>
  </si>
  <si>
    <t>Cause of utility outage</t>
  </si>
  <si>
    <t>OUTAGEREASON</t>
  </si>
  <si>
    <t>Num of Bldgs Affected</t>
  </si>
  <si>
    <t>Integer</t>
  </si>
  <si>
    <t>Number of Building affected (whole number)</t>
  </si>
  <si>
    <t>NUMBLDSAFFECTED</t>
  </si>
  <si>
    <t>Outage Start Date</t>
  </si>
  <si>
    <t>Outage Start (Date/Time)</t>
  </si>
  <si>
    <t>OUTAGESTARTDATE</t>
  </si>
  <si>
    <t>Outage End Date</t>
  </si>
  <si>
    <t>Outage End (Date/Time)</t>
  </si>
  <si>
    <t>OUTAGEENDDATE</t>
  </si>
  <si>
    <t>Remarks</t>
  </si>
  <si>
    <t>Additional remarks.  At each submission the remarks are appended to the END of previous remarks.  /// Use and Style is a CONTRACT SPECIFIC USE ///</t>
  </si>
  <si>
    <t>LONGDESCRIPTION</t>
  </si>
  <si>
    <t>Labor Hours
(Actual)</t>
  </si>
  <si>
    <t>Labor Cost
(Actual)</t>
  </si>
  <si>
    <t>Material Cost
(Actual)</t>
  </si>
  <si>
    <t>Y*</t>
  </si>
  <si>
    <t>N*</t>
  </si>
  <si>
    <t>Validation tool</t>
  </si>
  <si>
    <t>REQUIRED TO CREATE WO</t>
  </si>
  <si>
    <t>REQUIRED TO UPDATE WO</t>
  </si>
  <si>
    <t>REQUIRED TO COMP WO</t>
  </si>
  <si>
    <t>Scheduled start should be between the target start and target completion date</t>
  </si>
  <si>
    <t>Scheduled finish should be between the target start and target completion date</t>
  </si>
  <si>
    <t>N a should be between the target start and target completion date</t>
  </si>
  <si>
    <t>Detail location should be between the target start and target completion date</t>
  </si>
  <si>
    <t>Work center should be between the target start and target completion date</t>
  </si>
  <si>
    <t xml:space="preserve">Leave blank unless Requirements provides reference list.  </t>
  </si>
  <si>
    <t>PM is used for all scheduled work
PROJECT for IMP repairs</t>
  </si>
  <si>
    <t>Leave blank on flat file; auto-populates by direct entry.</t>
  </si>
  <si>
    <t xml:space="preserve">Value list in REFERENCE SPREADSHEET </t>
  </si>
  <si>
    <t>For contractor scheduled work Target Finish is calculated using the Frequency of Service in J-0200000-01.
For IMP system breakdowns the Target Finish is 2 days from the date the work was reported to the Contractor
For E/U/R the Target Finish date is calculated from the date the work was reported to the Contractor.</t>
  </si>
  <si>
    <t>For contractor scheduled work Target Start is calculated using the Frequency of Service in J-0200000-01.
For IMP system breakdowns the Target Start is the date the work was reported to the Contractor 
For E/U/R the Target Start date is calculated from the date the work was reported to the Contractor.</t>
  </si>
  <si>
    <t>Service Provider Reference Code</t>
  </si>
  <si>
    <t>Value list in ELINs Tab</t>
  </si>
  <si>
    <t>FACILITIES for scheduled work in Annex 1502000
UTILITIES for scheduled work in any Annex 16 sub-annex
FPCT for IMP repairs under the limit of liability</t>
  </si>
  <si>
    <t>will default when upload if left blank</t>
  </si>
  <si>
    <t>* will delete if left blank when a work order is updated or completed.</t>
  </si>
  <si>
    <t>will create a default entry if left blank on update:
"Entered by SP FlatFile BOSC interface.  No description provided."
Include contractor job plan number in the descriptionInclude PM job plan and frequency.
ie QUARTERLY PM JOB PLAN 1234.  Or describe work performed ie Replace AHU fan motor and belt.</t>
  </si>
  <si>
    <t>* Location is not required if the record has an asset #.  Most records originating from the contractor system would be for maintenance on an asset # so this field can be left blank.  If populated, the location must exist in NAVFAC MAXIMO or the record will be rejected.</t>
  </si>
  <si>
    <t>Will pull from asset number.</t>
  </si>
  <si>
    <t>Format is important</t>
  </si>
  <si>
    <t>Leave blank; if used, must match a MAXIMO user</t>
  </si>
  <si>
    <t>required to change status to COMP</t>
  </si>
  <si>
    <t>May be left blank</t>
  </si>
  <si>
    <t>Required if status change to inprogress or approved</t>
  </si>
  <si>
    <t>Use "N" or leave blank</t>
  </si>
  <si>
    <t>Not required if the record has a Service Provider Reference Code, otherwise must match the MAXIMO work order</t>
  </si>
  <si>
    <t>leave blank; will pull from asset number</t>
  </si>
  <si>
    <t>May be blank; if used, must match a code in MAXIMO</t>
  </si>
  <si>
    <t xml:space="preserve">May be blank.  The “Outage Type” value must be a valid value available in the “OUTTYPE” domain. </t>
  </si>
  <si>
    <t>May be blank.  The “Outage Cause” value must be a valid value available in the “OUTCAUSE” domain.</t>
  </si>
  <si>
    <t>May be blank</t>
  </si>
  <si>
    <t>May be blank.  The “Outage Start Date” value must be m valid value available in the “OUTDATE” domain.</t>
  </si>
  <si>
    <t>May be blank.  The “Outage End Date” value must be m valid value available in the “OUTDATE” domain.</t>
  </si>
  <si>
    <t>Required to create the work order</t>
  </si>
  <si>
    <t>Required to create the work order.</t>
  </si>
  <si>
    <t>Leave blank on flat file unless local direction is provided</t>
  </si>
  <si>
    <t>1000</t>
  </si>
  <si>
    <r>
      <t xml:space="preserve">Each remark submission is </t>
    </r>
    <r>
      <rPr>
        <sz val="11"/>
        <color rgb="FFFF0000"/>
        <rFont val="Arial"/>
        <family val="2"/>
      </rPr>
      <t>restricted to 1000 characters</t>
    </r>
    <r>
      <rPr>
        <sz val="11"/>
        <rFont val="Arial"/>
        <family val="2"/>
      </rPr>
      <t xml:space="preserve">, and the DATE will be appended in Maximo prior saving.  This can be used (local/contract specific guidance) to provide a chronology to the work order.  Resulting format would be:  DATE1 - Remark1;  DATE2 - Remark2; etc.  
The total field length is restricted to &lt;2000 characters - or a maximum of  11-12 remarks on a single Work Order.
The following information shall be provided if it is relevant:
1.  Name and phone number of all Government personnel with whom the work was coordinated or provided clarificaiton to the technician, and date KO was notified of any problems scheduling the work or accessing the location. 
2.  A narrative of work performed and technicians observations.
3. The estimated cost and date notification of work exceeding LOL was submitted to the KO. </t>
    </r>
  </si>
  <si>
    <t>This will need the new fiscal year GL account number</t>
  </si>
  <si>
    <r>
      <t xml:space="preserve">Content Notes
</t>
    </r>
    <r>
      <rPr>
        <i/>
        <sz val="12"/>
        <rFont val="Arial"/>
        <family val="2"/>
      </rPr>
      <t/>
    </r>
  </si>
  <si>
    <t>For this contract use MYP_CTR1
Do not leave blank or will assign to CHR_CTR.</t>
  </si>
  <si>
    <r>
      <t xml:space="preserve">Use </t>
    </r>
    <r>
      <rPr>
        <sz val="11"/>
        <color rgb="FFC00000"/>
        <rFont val="Arial"/>
        <family val="2"/>
      </rPr>
      <t>"S.N69450.NX.TRACKNSTXXXXXXXX</t>
    </r>
    <r>
      <rPr>
        <sz val="11"/>
        <rFont val="Arial"/>
        <family val="2"/>
      </rPr>
      <t>" for all work orders.   changes every FY</t>
    </r>
  </si>
  <si>
    <t>ATTACHMENT J-0200000-09
SERVICE PROVIDER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</si>
</sst>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
  </numFmts>
  <fonts count="21" x14ac:knownFonts="1">
    <font>
      <sz val="10"/>
      <name val="Arial"/>
    </font>
    <font>
      <sz val="10"/>
      <name val="Arial"/>
      <family val="2"/>
    </font>
    <font>
      <sz val="12"/>
      <name val="Arial"/>
      <family val="2"/>
    </font>
    <font>
      <b/>
      <sz val="12"/>
      <name val="Arial"/>
      <family val="2"/>
    </font>
    <font>
      <sz val="10"/>
      <name val="MS Sans Serif"/>
      <family val="2"/>
    </font>
    <font>
      <b/>
      <sz val="10"/>
      <name val="Arial"/>
      <family val="2"/>
    </font>
    <font>
      <sz val="9"/>
      <name val="Arial"/>
      <family val="2"/>
    </font>
    <font>
      <b/>
      <sz val="11"/>
      <name val="Arial"/>
      <family val="2"/>
    </font>
    <font>
      <sz val="14"/>
      <name val="Arial"/>
      <family val="2"/>
    </font>
    <font>
      <sz val="11"/>
      <name val="Calibri"/>
      <family val="2"/>
    </font>
    <font>
      <sz val="11"/>
      <color theme="1"/>
      <name val="Calibri"/>
      <family val="2"/>
      <scheme val="minor"/>
    </font>
    <font>
      <sz val="11"/>
      <name val="Arial"/>
      <family val="2"/>
    </font>
    <font>
      <i/>
      <sz val="10"/>
      <name val="Arial"/>
      <family val="2"/>
    </font>
    <font>
      <sz val="11"/>
      <color rgb="FFFF0000"/>
      <name val="Arial"/>
      <family val="2"/>
    </font>
    <font>
      <i/>
      <sz val="11"/>
      <color rgb="FFFF0000"/>
      <name val="Arial"/>
      <family val="2"/>
    </font>
    <font>
      <i/>
      <sz val="11"/>
      <name val="Arial"/>
      <family val="2"/>
    </font>
    <font>
      <i/>
      <sz val="12"/>
      <name val="Arial"/>
      <family val="2"/>
    </font>
    <font>
      <b/>
      <sz val="12"/>
      <color rgb="FFFF0000"/>
      <name val="Arial"/>
      <family val="2"/>
    </font>
    <font>
      <sz val="11"/>
      <color indexed="8"/>
      <name val="Calibri"/>
      <family val="2"/>
      <scheme val="minor"/>
    </font>
    <font>
      <sz val="11"/>
      <color rgb="FFC00000"/>
      <name val="Arial"/>
      <family val="2"/>
    </font>
    <font>
      <sz val="10"/>
      <color rgb="FFFF0000"/>
      <name val="Arial"/>
      <family val="2"/>
    </font>
  </fonts>
  <fills count="7">
    <fill>
      <patternFill patternType="none"/>
    </fill>
    <fill>
      <patternFill patternType="gray125"/>
    </fill>
    <fill>
      <patternFill patternType="solid">
        <fgColor indexed="9"/>
        <bgColor indexed="64"/>
      </patternFill>
    </fill>
    <fill>
      <patternFill patternType="solid">
        <fgColor rgb="FFFFFFCC"/>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0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medium">
        <color auto="1"/>
      </bottom>
      <diagonal/>
    </border>
  </borders>
  <cellStyleXfs count="7">
    <xf numFmtId="0" fontId="0" fillId="0" borderId="0"/>
    <xf numFmtId="0" fontId="4" fillId="0" borderId="0"/>
    <xf numFmtId="0" fontId="1" fillId="0" borderId="0"/>
    <xf numFmtId="0" fontId="10" fillId="3" borderId="2" applyNumberFormat="0" applyFont="0" applyAlignment="0" applyProtection="0"/>
    <xf numFmtId="0" fontId="10" fillId="0" borderId="0"/>
    <xf numFmtId="0" fontId="10" fillId="0" borderId="0"/>
    <xf numFmtId="0" fontId="18" fillId="0" borderId="0"/>
  </cellStyleXfs>
  <cellXfs count="75">
    <xf numFmtId="0" fontId="0" fillId="0" borderId="0" xfId="0"/>
    <xf numFmtId="0" fontId="3" fillId="4" borderId="0" xfId="2" applyFont="1" applyFill="1" applyBorder="1" applyAlignment="1">
      <alignment horizontal="left" vertical="top"/>
    </xf>
    <xf numFmtId="0" fontId="1" fillId="0" borderId="0" xfId="2"/>
    <xf numFmtId="0" fontId="3" fillId="0" borderId="0" xfId="2" applyFont="1" applyFill="1" applyBorder="1" applyAlignment="1">
      <alignment horizontal="left" vertical="top"/>
    </xf>
    <xf numFmtId="0" fontId="2" fillId="2" borderId="1" xfId="2" applyFont="1" applyFill="1" applyBorder="1" applyAlignment="1">
      <alignment horizontal="center" vertical="center" wrapText="1"/>
    </xf>
    <xf numFmtId="3" fontId="2" fillId="2" borderId="1" xfId="2" applyNumberFormat="1" applyFont="1" applyFill="1" applyBorder="1" applyAlignment="1">
      <alignment horizontal="center" vertical="center" wrapText="1"/>
    </xf>
    <xf numFmtId="0" fontId="1" fillId="0" borderId="0" xfId="2" applyFont="1"/>
    <xf numFmtId="0" fontId="9" fillId="0" borderId="0" xfId="2" applyFont="1"/>
    <xf numFmtId="0" fontId="3" fillId="2" borderId="1" xfId="2" applyFont="1" applyFill="1" applyBorder="1" applyAlignment="1">
      <alignment horizontal="center" vertical="center" wrapText="1"/>
    </xf>
    <xf numFmtId="0" fontId="1" fillId="0" borderId="0" xfId="2" applyAlignment="1">
      <alignment horizontal="left"/>
    </xf>
    <xf numFmtId="0" fontId="1" fillId="0" borderId="0" xfId="2" applyFont="1" applyAlignment="1">
      <alignment horizontal="left"/>
    </xf>
    <xf numFmtId="14" fontId="1" fillId="0" borderId="0" xfId="2" applyNumberFormat="1" applyAlignment="1">
      <alignment horizontal="left"/>
    </xf>
    <xf numFmtId="49" fontId="1" fillId="0" borderId="0" xfId="2" applyNumberFormat="1" applyFont="1" applyFill="1" applyAlignment="1">
      <alignment horizontal="center" vertical="top" wrapText="1"/>
    </xf>
    <xf numFmtId="49" fontId="5" fillId="0" borderId="0" xfId="2" applyNumberFormat="1" applyFont="1" applyFill="1" applyAlignment="1">
      <alignment vertical="top"/>
    </xf>
    <xf numFmtId="49" fontId="1" fillId="0" borderId="0" xfId="2" applyNumberFormat="1" applyFont="1" applyFill="1" applyAlignment="1">
      <alignment horizontal="left" vertical="top" wrapText="1"/>
    </xf>
    <xf numFmtId="49" fontId="1" fillId="0" borderId="0" xfId="2" applyNumberFormat="1" applyFont="1" applyFill="1" applyAlignment="1">
      <alignment vertical="top" wrapText="1"/>
    </xf>
    <xf numFmtId="49" fontId="1" fillId="0" borderId="0" xfId="2" applyNumberFormat="1" applyFont="1" applyFill="1" applyBorder="1" applyAlignment="1">
      <alignment horizontal="left" vertical="top" wrapText="1"/>
    </xf>
    <xf numFmtId="0" fontId="3" fillId="0" borderId="6" xfId="2" applyFont="1" applyFill="1" applyBorder="1" applyAlignment="1">
      <alignment horizontal="center" vertical="center" wrapText="1"/>
    </xf>
    <xf numFmtId="0" fontId="2" fillId="0" borderId="1" xfId="2" applyFont="1" applyFill="1" applyBorder="1" applyAlignment="1">
      <alignment horizontal="center" vertical="center" wrapText="1"/>
    </xf>
    <xf numFmtId="0" fontId="7" fillId="5" borderId="3" xfId="2" applyFont="1" applyFill="1" applyBorder="1" applyAlignment="1">
      <alignment horizontal="center" vertical="center" wrapText="1"/>
    </xf>
    <xf numFmtId="49" fontId="2" fillId="0" borderId="1" xfId="2" applyNumberFormat="1" applyFont="1" applyFill="1" applyBorder="1" applyAlignment="1">
      <alignment horizontal="center" vertical="center" wrapText="1"/>
    </xf>
    <xf numFmtId="49" fontId="5" fillId="0" borderId="0" xfId="2" applyNumberFormat="1" applyFont="1" applyFill="1" applyBorder="1" applyAlignment="1">
      <alignment vertical="top"/>
    </xf>
    <xf numFmtId="49" fontId="5" fillId="0" borderId="0" xfId="2" applyNumberFormat="1" applyFont="1" applyFill="1" applyBorder="1" applyAlignment="1">
      <alignment horizontal="center" vertical="top" wrapText="1"/>
    </xf>
    <xf numFmtId="0" fontId="3" fillId="5" borderId="4" xfId="2" applyFont="1" applyFill="1" applyBorder="1" applyAlignment="1">
      <alignment horizontal="center" vertical="center" wrapText="1"/>
    </xf>
    <xf numFmtId="0" fontId="3" fillId="5" borderId="5" xfId="2" applyFont="1" applyFill="1" applyBorder="1" applyAlignment="1">
      <alignment horizontal="center" vertical="center" wrapText="1"/>
    </xf>
    <xf numFmtId="0" fontId="7" fillId="5" borderId="4" xfId="2" applyFont="1" applyFill="1" applyBorder="1" applyAlignment="1">
      <alignment horizontal="center" vertical="center" wrapText="1"/>
    </xf>
    <xf numFmtId="0" fontId="11" fillId="0" borderId="1" xfId="2" applyFont="1" applyFill="1" applyBorder="1" applyAlignment="1">
      <alignment horizontal="left" vertical="center" wrapText="1"/>
    </xf>
    <xf numFmtId="14" fontId="1" fillId="0" borderId="0" xfId="2" applyNumberFormat="1"/>
    <xf numFmtId="0" fontId="6" fillId="0" borderId="0" xfId="2" applyFont="1"/>
    <xf numFmtId="0" fontId="3" fillId="0" borderId="0" xfId="2" applyFont="1" applyFill="1" applyBorder="1" applyAlignment="1">
      <alignment horizontal="right" vertical="center"/>
    </xf>
    <xf numFmtId="0" fontId="8" fillId="0" borderId="1" xfId="2" applyFont="1" applyFill="1" applyBorder="1" applyAlignment="1">
      <alignment horizontal="left" vertical="center" wrapText="1"/>
    </xf>
    <xf numFmtId="49" fontId="11" fillId="0" borderId="7" xfId="2" applyNumberFormat="1" applyFont="1" applyFill="1" applyBorder="1" applyAlignment="1">
      <alignment vertical="center" wrapText="1"/>
    </xf>
    <xf numFmtId="0" fontId="11" fillId="0" borderId="1" xfId="2" applyFont="1" applyBorder="1" applyAlignment="1">
      <alignment vertical="center" wrapText="1"/>
    </xf>
    <xf numFmtId="0" fontId="11" fillId="0" borderId="7" xfId="2" applyFont="1" applyFill="1" applyBorder="1" applyAlignment="1">
      <alignment horizontal="left" vertical="center" wrapText="1"/>
    </xf>
    <xf numFmtId="49" fontId="12" fillId="0" borderId="12" xfId="2" applyNumberFormat="1" applyFont="1" applyFill="1" applyBorder="1" applyAlignment="1">
      <alignment horizontal="center" vertical="center"/>
    </xf>
    <xf numFmtId="0" fontId="12" fillId="0" borderId="12" xfId="2" applyFont="1" applyBorder="1" applyAlignment="1">
      <alignment horizontal="center" vertical="center"/>
    </xf>
    <xf numFmtId="0" fontId="7" fillId="5" borderId="11" xfId="2" applyFont="1" applyFill="1" applyBorder="1" applyAlignment="1">
      <alignment horizontal="center" wrapText="1"/>
    </xf>
    <xf numFmtId="14" fontId="9" fillId="0" borderId="0" xfId="2" applyNumberFormat="1" applyFont="1"/>
    <xf numFmtId="0" fontId="3" fillId="2" borderId="1" xfId="2" applyFont="1" applyFill="1" applyBorder="1" applyAlignment="1">
      <alignment horizontal="left" vertical="center" wrapText="1"/>
    </xf>
    <xf numFmtId="164" fontId="3" fillId="0" borderId="0" xfId="2" applyNumberFormat="1" applyFont="1" applyFill="1" applyBorder="1" applyAlignment="1">
      <alignment horizontal="left" vertical="top"/>
    </xf>
    <xf numFmtId="0" fontId="1" fillId="0" borderId="0" xfId="0" applyFont="1" applyAlignment="1">
      <alignment wrapText="1"/>
    </xf>
    <xf numFmtId="0" fontId="15" fillId="0" borderId="1" xfId="2" applyFont="1" applyFill="1" applyBorder="1" applyAlignment="1">
      <alignment horizontal="left" vertical="center" wrapText="1"/>
    </xf>
    <xf numFmtId="0" fontId="1" fillId="0" borderId="0" xfId="0" applyFont="1"/>
    <xf numFmtId="0" fontId="2" fillId="0" borderId="0" xfId="2" applyFont="1"/>
    <xf numFmtId="0" fontId="3" fillId="0" borderId="0" xfId="2" applyFont="1" applyFill="1"/>
    <xf numFmtId="0" fontId="17" fillId="0" borderId="0" xfId="2" applyFont="1" applyAlignment="1">
      <alignment horizontal="left"/>
    </xf>
    <xf numFmtId="0" fontId="3" fillId="0" borderId="0" xfId="2" applyFont="1" applyFill="1" applyBorder="1" applyAlignment="1">
      <alignment horizontal="left" vertical="top" wrapText="1"/>
    </xf>
    <xf numFmtId="15" fontId="17" fillId="0" borderId="0" xfId="2" quotePrefix="1" applyNumberFormat="1" applyFont="1" applyAlignment="1">
      <alignment horizontal="left"/>
    </xf>
    <xf numFmtId="0" fontId="3" fillId="0" borderId="0" xfId="0" applyFont="1" applyFill="1" applyBorder="1" applyAlignment="1">
      <alignment horizontal="left" vertical="top"/>
    </xf>
    <xf numFmtId="0" fontId="2" fillId="0" borderId="0" xfId="0" applyFont="1"/>
    <xf numFmtId="0" fontId="3" fillId="0" borderId="14" xfId="0" applyFont="1" applyFill="1" applyBorder="1" applyAlignment="1">
      <alignment horizontal="left" vertical="top"/>
    </xf>
    <xf numFmtId="0" fontId="2" fillId="0" borderId="14" xfId="0" applyFont="1" applyBorder="1"/>
    <xf numFmtId="0" fontId="2" fillId="0" borderId="0" xfId="0" quotePrefix="1" applyFont="1" applyFill="1" applyBorder="1" applyAlignment="1">
      <alignment horizontal="left" vertical="top"/>
    </xf>
    <xf numFmtId="0" fontId="3" fillId="0" borderId="0" xfId="0" applyFont="1" applyFill="1" applyBorder="1" applyAlignment="1">
      <alignment vertical="top"/>
    </xf>
    <xf numFmtId="0" fontId="3" fillId="0" borderId="0" xfId="0" applyFont="1"/>
    <xf numFmtId="0" fontId="2" fillId="0" borderId="0" xfId="0" applyFont="1" applyAlignment="1">
      <alignment vertical="top"/>
    </xf>
    <xf numFmtId="0" fontId="2" fillId="0" borderId="0" xfId="0" applyFont="1" applyAlignment="1">
      <alignment vertical="top" wrapText="1"/>
    </xf>
    <xf numFmtId="0" fontId="2" fillId="0" borderId="0" xfId="0" applyFont="1" applyAlignment="1">
      <alignment wrapText="1"/>
    </xf>
    <xf numFmtId="0" fontId="2" fillId="0" borderId="0" xfId="0" applyFont="1" applyFill="1" applyBorder="1" applyAlignment="1">
      <alignment horizontal="left" vertical="top"/>
    </xf>
    <xf numFmtId="49" fontId="12" fillId="0" borderId="0" xfId="2" applyNumberFormat="1" applyFont="1" applyFill="1" applyAlignment="1">
      <alignment vertical="top"/>
    </xf>
    <xf numFmtId="0" fontId="3" fillId="0" borderId="8" xfId="2" applyFont="1" applyFill="1" applyBorder="1" applyAlignment="1">
      <alignment horizontal="center" vertical="center" wrapText="1"/>
    </xf>
    <xf numFmtId="0" fontId="8" fillId="0" borderId="9" xfId="2" applyFont="1" applyFill="1" applyBorder="1" applyAlignment="1">
      <alignment horizontal="left" vertical="center" wrapText="1"/>
    </xf>
    <xf numFmtId="0" fontId="11" fillId="0" borderId="9" xfId="2" applyFont="1" applyFill="1" applyBorder="1" applyAlignment="1">
      <alignment horizontal="left" vertical="center" wrapText="1"/>
    </xf>
    <xf numFmtId="0" fontId="11" fillId="0" borderId="10" xfId="2" applyFont="1" applyFill="1" applyBorder="1" applyAlignment="1">
      <alignment horizontal="left" vertical="center" wrapText="1"/>
    </xf>
    <xf numFmtId="0" fontId="12" fillId="0" borderId="13" xfId="2" applyFont="1" applyFill="1" applyBorder="1" applyAlignment="1">
      <alignment horizontal="center" vertical="center"/>
    </xf>
    <xf numFmtId="49" fontId="1" fillId="0" borderId="0" xfId="2" applyNumberFormat="1" applyFont="1" applyFill="1" applyAlignment="1">
      <alignment horizontal="center" vertical="top" wrapText="1"/>
    </xf>
    <xf numFmtId="0" fontId="3" fillId="6" borderId="0" xfId="2" applyFont="1" applyFill="1" applyBorder="1" applyAlignment="1">
      <alignment horizontal="right" vertical="center" wrapText="1"/>
    </xf>
    <xf numFmtId="0" fontId="3" fillId="6" borderId="0" xfId="2" applyFont="1" applyFill="1" applyBorder="1" applyAlignment="1">
      <alignment horizontal="right" vertical="center"/>
    </xf>
    <xf numFmtId="0" fontId="11" fillId="6" borderId="1" xfId="2" applyFont="1" applyFill="1" applyBorder="1" applyAlignment="1">
      <alignment horizontal="left" vertical="center" wrapText="1"/>
    </xf>
    <xf numFmtId="49" fontId="20" fillId="0" borderId="0" xfId="2" applyNumberFormat="1" applyFont="1" applyFill="1" applyAlignment="1">
      <alignment vertical="top" wrapText="1"/>
    </xf>
    <xf numFmtId="0" fontId="2" fillId="0" borderId="0" xfId="2" applyFont="1" applyAlignment="1">
      <alignment horizontal="center" wrapText="1"/>
    </xf>
    <xf numFmtId="0" fontId="2" fillId="0" borderId="0" xfId="2" applyFont="1" applyAlignment="1">
      <alignment horizontal="center"/>
    </xf>
    <xf numFmtId="49" fontId="1" fillId="0" borderId="0" xfId="2" applyNumberFormat="1" applyFont="1" applyFill="1" applyAlignment="1">
      <alignment horizontal="center" vertical="top" wrapText="1"/>
    </xf>
    <xf numFmtId="0" fontId="1" fillId="0" borderId="0" xfId="2" applyAlignment="1">
      <alignment horizontal="center" wrapText="1"/>
    </xf>
    <xf numFmtId="0" fontId="1" fillId="0" borderId="0" xfId="2" applyAlignment="1">
      <alignment horizontal="center"/>
    </xf>
  </cellXfs>
  <cellStyles count="7">
    <cellStyle name="Normal" xfId="0" builtinId="0"/>
    <cellStyle name="Normal 2" xfId="1"/>
    <cellStyle name="Normal 2 2" xfId="5"/>
    <cellStyle name="Normal 3" xfId="2"/>
    <cellStyle name="Normal 3 2" xfId="4"/>
    <cellStyle name="Normal 4" xfId="6"/>
    <cellStyle name="Note 2" xfId="3"/>
  </cellStyles>
  <dxfs count="3">
    <dxf>
      <font>
        <b/>
        <i val="0"/>
      </font>
      <fill>
        <patternFill>
          <bgColor theme="3" tint="0.79998168889431442"/>
        </patternFill>
      </fill>
    </dxf>
    <dxf>
      <font>
        <b/>
        <i val="0"/>
      </font>
      <fill>
        <patternFill>
          <bgColor theme="3" tint="0.79998168889431442"/>
        </patternFill>
      </fill>
    </dxf>
    <dxf>
      <font>
        <b/>
        <i val="0"/>
      </font>
      <fill>
        <patternFill>
          <bgColor theme="3" tint="0.7999816888943144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1</xdr:col>
      <xdr:colOff>361951</xdr:colOff>
      <xdr:row>14</xdr:row>
      <xdr:rowOff>152399</xdr:rowOff>
    </xdr:from>
    <xdr:to>
      <xdr:col>16</xdr:col>
      <xdr:colOff>495301</xdr:colOff>
      <xdr:row>34</xdr:row>
      <xdr:rowOff>142874</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2828926" y="3524249"/>
          <a:ext cx="11258550" cy="3228975"/>
        </a:xfrm>
        <a:prstGeom prst="rect">
          <a:avLst/>
        </a:prstGeom>
        <a:solidFill>
          <a:schemeClr val="bg1">
            <a:lumMod val="95000"/>
          </a:schemeClr>
        </a:solidFill>
        <a:ln w="1905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nchorCtr="1"/>
        <a:lstStyle/>
        <a:p>
          <a:pPr algn="l">
            <a:spcBef>
              <a:spcPts val="600"/>
            </a:spcBef>
            <a:spcAft>
              <a:spcPts val="600"/>
            </a:spcAft>
          </a:pPr>
          <a:r>
            <a:rPr lang="en-US" sz="1600" b="1"/>
            <a:t>NOTES:</a:t>
          </a:r>
        </a:p>
        <a:p>
          <a:pPr marL="285750" indent="-285750" algn="l">
            <a:spcBef>
              <a:spcPts val="200"/>
            </a:spcBef>
            <a:spcAft>
              <a:spcPts val="200"/>
            </a:spcAft>
            <a:buFont typeface="Arial" pitchFamily="34" charset="0"/>
            <a:buChar char="•"/>
          </a:pPr>
          <a:r>
            <a:rPr lang="en-US" sz="1600"/>
            <a:t>File</a:t>
          </a:r>
          <a:r>
            <a:rPr lang="en-US" sz="1600" baseline="0"/>
            <a:t> naming convention: </a:t>
          </a:r>
          <a:r>
            <a:rPr lang="en-US" sz="1600"/>
            <a:t>boscextract_MYP1_YYYYMMDD.txt</a:t>
          </a:r>
        </a:p>
        <a:p>
          <a:pPr marL="285750" indent="-285750" algn="l">
            <a:spcBef>
              <a:spcPts val="200"/>
            </a:spcBef>
            <a:spcAft>
              <a:spcPts val="200"/>
            </a:spcAft>
            <a:buFont typeface="Arial" pitchFamily="34" charset="0"/>
            <a:buChar char="•"/>
          </a:pPr>
          <a:r>
            <a:rPr lang="en-US" sz="1600"/>
            <a:t>ONLY  POSITION/</a:t>
          </a:r>
          <a:r>
            <a:rPr lang="en-US" sz="1600" baseline="0"/>
            <a:t>COLUMN 1-42, and rows containing data should be be included in the  FLAT-FILE SUBMISSION;</a:t>
          </a:r>
        </a:p>
        <a:p>
          <a:pPr marL="285750" indent="-285750" algn="l">
            <a:spcBef>
              <a:spcPts val="200"/>
            </a:spcBef>
            <a:spcAft>
              <a:spcPts val="200"/>
            </a:spcAft>
            <a:buFont typeface="Arial" pitchFamily="34" charset="0"/>
            <a:buChar char="•"/>
          </a:pPr>
          <a:r>
            <a:rPr lang="en-US" sz="1600" baseline="0">
              <a:solidFill>
                <a:schemeClr val="dk1"/>
              </a:solidFill>
              <a:latin typeface="+mn-lt"/>
              <a:ea typeface="+mn-ea"/>
              <a:cs typeface="+mn-cs"/>
            </a:rPr>
            <a:t>Pipe Delimited (.txt)  - | (Pipe is at the end of the column.  Must have 41 PIPEs per row resulting in 42 columns.)</a:t>
          </a:r>
        </a:p>
        <a:p>
          <a:pPr marL="742950" marR="0" lvl="1" indent="-285750" algn="l" defTabSz="914400" eaLnBrk="1" fontAlgn="auto" latinLnBrk="0" hangingPunct="1">
            <a:lnSpc>
              <a:spcPct val="100000"/>
            </a:lnSpc>
            <a:spcBef>
              <a:spcPts val="200"/>
            </a:spcBef>
            <a:spcAft>
              <a:spcPts val="200"/>
            </a:spcAft>
            <a:buClrTx/>
            <a:buSzTx/>
            <a:buFont typeface="Arial" pitchFamily="34" charset="0"/>
            <a:buChar char="•"/>
            <a:tabLst/>
            <a:defRPr/>
          </a:pPr>
          <a:r>
            <a:rPr lang="en-US" sz="1600">
              <a:solidFill>
                <a:schemeClr val="dk1"/>
              </a:solidFill>
              <a:effectLst/>
              <a:latin typeface="+mn-lt"/>
              <a:ea typeface="+mn-ea"/>
              <a:cs typeface="+mn-cs"/>
            </a:rPr>
            <a:t>Actual Completion dates – Both Actual Start and Actual Finish completion dates are required when changing status to COMP workorder</a:t>
          </a:r>
        </a:p>
        <a:p>
          <a:pPr marL="742950" marR="0" lvl="1" indent="-285750" algn="l" defTabSz="914400" eaLnBrk="1" fontAlgn="auto" latinLnBrk="0" hangingPunct="1">
            <a:lnSpc>
              <a:spcPct val="100000"/>
            </a:lnSpc>
            <a:spcBef>
              <a:spcPts val="200"/>
            </a:spcBef>
            <a:spcAft>
              <a:spcPts val="200"/>
            </a:spcAft>
            <a:buClrTx/>
            <a:buSzTx/>
            <a:buFont typeface="Arial" pitchFamily="34" charset="0"/>
            <a:buChar char="•"/>
            <a:tabLst/>
            <a:defRPr/>
          </a:pPr>
          <a:r>
            <a:rPr lang="en-US" sz="1600">
              <a:solidFill>
                <a:schemeClr val="dk1"/>
              </a:solidFill>
              <a:effectLst/>
              <a:latin typeface="+mn-lt"/>
              <a:ea typeface="+mn-ea"/>
              <a:cs typeface="+mn-cs"/>
            </a:rPr>
            <a:t>Asset</a:t>
          </a:r>
          <a:r>
            <a:rPr lang="en-US" sz="1600" baseline="0">
              <a:solidFill>
                <a:schemeClr val="dk1"/>
              </a:solidFill>
              <a:effectLst/>
              <a:latin typeface="+mn-lt"/>
              <a:ea typeface="+mn-ea"/>
              <a:cs typeface="+mn-cs"/>
            </a:rPr>
            <a:t> number is required for work type PM and PROJECT.  Asset number is not required for work type EMERGENCY, URGENT, ROUTINE</a:t>
          </a:r>
          <a:endParaRPr lang="en-US" sz="1600">
            <a:solidFill>
              <a:schemeClr val="dk1"/>
            </a:solidFill>
            <a:effectLst/>
            <a:latin typeface="+mn-lt"/>
            <a:ea typeface="+mn-ea"/>
            <a:cs typeface="+mn-cs"/>
          </a:endParaRPr>
        </a:p>
        <a:p>
          <a:pPr marL="742950" marR="0" lvl="1" indent="-285750" algn="l" defTabSz="914400" eaLnBrk="1" fontAlgn="auto" latinLnBrk="0" hangingPunct="1">
            <a:lnSpc>
              <a:spcPct val="100000"/>
            </a:lnSpc>
            <a:spcBef>
              <a:spcPts val="200"/>
            </a:spcBef>
            <a:spcAft>
              <a:spcPts val="200"/>
            </a:spcAft>
            <a:buClrTx/>
            <a:buSzTx/>
            <a:buFont typeface="Arial" pitchFamily="34" charset="0"/>
            <a:buChar char="•"/>
            <a:tabLst/>
            <a:defRPr/>
          </a:pPr>
          <a:r>
            <a:rPr lang="en-US" sz="1600">
              <a:solidFill>
                <a:schemeClr val="dk1"/>
              </a:solidFill>
              <a:effectLst/>
              <a:latin typeface="+mn-lt"/>
              <a:ea typeface="+mn-ea"/>
              <a:cs typeface="+mn-cs"/>
            </a:rPr>
            <a:t>Target dates – When one is provided, both Target Start and Target Finish must be entered.</a:t>
          </a:r>
          <a:endParaRPr lang="en-US" sz="1600">
            <a:effectLst/>
          </a:endParaRPr>
        </a:p>
        <a:p>
          <a:pPr marL="742950" marR="0" lvl="1" indent="-285750" algn="l" defTabSz="914400" eaLnBrk="1" fontAlgn="auto" latinLnBrk="0" hangingPunct="1">
            <a:lnSpc>
              <a:spcPct val="100000"/>
            </a:lnSpc>
            <a:spcBef>
              <a:spcPts val="200"/>
            </a:spcBef>
            <a:spcAft>
              <a:spcPts val="200"/>
            </a:spcAft>
            <a:buClrTx/>
            <a:buSzTx/>
            <a:buFont typeface="Arial" pitchFamily="34" charset="0"/>
            <a:buChar char="•"/>
            <a:tabLst/>
            <a:defRPr/>
          </a:pPr>
          <a:endParaRPr lang="en-US" sz="1600">
            <a:effectLst/>
          </a:endParaRPr>
        </a:p>
        <a:p>
          <a:pPr marL="742950" lvl="1" indent="-285750" algn="l">
            <a:spcBef>
              <a:spcPts val="200"/>
            </a:spcBef>
            <a:spcAft>
              <a:spcPts val="200"/>
            </a:spcAft>
            <a:buFont typeface="Arial" pitchFamily="34" charset="0"/>
            <a:buChar char="•"/>
          </a:pPr>
          <a:endParaRPr lang="en-US" sz="1600" baseline="0">
            <a:solidFill>
              <a:schemeClr val="dk1"/>
            </a:solidFill>
            <a:latin typeface="+mn-lt"/>
            <a:ea typeface="+mn-ea"/>
            <a:cs typeface="+mn-cs"/>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9"/>
  <sheetViews>
    <sheetView workbookViewId="0">
      <selection activeCell="B6" sqref="B6"/>
    </sheetView>
  </sheetViews>
  <sheetFormatPr defaultColWidth="9.140625" defaultRowHeight="12.75" x14ac:dyDescent="0.2"/>
  <cols>
    <col min="1" max="1" width="33.85546875" style="6" customWidth="1"/>
    <col min="2" max="2" width="36.140625" style="6" customWidth="1"/>
    <col min="3" max="16384" width="9.140625" style="6"/>
  </cols>
  <sheetData>
    <row r="1" spans="1:4" ht="30.75" customHeight="1" x14ac:dyDescent="0.2">
      <c r="A1" s="70" t="s">
        <v>210</v>
      </c>
      <c r="B1" s="71"/>
      <c r="C1" s="71"/>
      <c r="D1" s="71"/>
    </row>
    <row r="2" spans="1:4" ht="15" x14ac:dyDescent="0.2">
      <c r="A2" s="43"/>
      <c r="B2" s="43"/>
      <c r="C2" s="43"/>
      <c r="D2" s="43"/>
    </row>
    <row r="3" spans="1:4" ht="15.75" x14ac:dyDescent="0.2">
      <c r="A3" s="3" t="s">
        <v>1</v>
      </c>
      <c r="B3" s="43"/>
      <c r="C3" s="43"/>
      <c r="D3" s="43"/>
    </row>
    <row r="4" spans="1:4" ht="15.75" x14ac:dyDescent="0.25">
      <c r="A4" s="44" t="s">
        <v>2</v>
      </c>
      <c r="B4" s="45" t="s">
        <v>3</v>
      </c>
      <c r="C4" s="43"/>
      <c r="D4" s="43"/>
    </row>
    <row r="5" spans="1:4" ht="15.75" x14ac:dyDescent="0.25">
      <c r="A5" s="46" t="s">
        <v>4</v>
      </c>
      <c r="B5" s="47" t="s">
        <v>5</v>
      </c>
      <c r="C5" s="43"/>
      <c r="D5" s="43"/>
    </row>
    <row r="6" spans="1:4" ht="15.75" x14ac:dyDescent="0.2">
      <c r="A6" s="3"/>
      <c r="B6" s="43"/>
      <c r="C6" s="43"/>
      <c r="D6" s="43"/>
    </row>
    <row r="7" spans="1:4" ht="15.75" x14ac:dyDescent="0.2">
      <c r="A7" s="3"/>
      <c r="B7" s="43"/>
      <c r="C7" s="43"/>
      <c r="D7" s="43"/>
    </row>
    <row r="8" spans="1:4" ht="15.75" x14ac:dyDescent="0.2">
      <c r="A8" s="48"/>
      <c r="B8" s="49"/>
      <c r="C8" s="43"/>
      <c r="D8" s="43"/>
    </row>
    <row r="9" spans="1:4" ht="16.5" thickBot="1" x14ac:dyDescent="0.25">
      <c r="A9" s="50" t="s">
        <v>6</v>
      </c>
      <c r="B9" s="51"/>
      <c r="C9" s="43"/>
      <c r="D9" s="43"/>
    </row>
    <row r="10" spans="1:4" ht="15" x14ac:dyDescent="0.2">
      <c r="A10" s="52" t="s">
        <v>7</v>
      </c>
      <c r="B10" s="49"/>
      <c r="C10" s="43"/>
      <c r="D10" s="43"/>
    </row>
    <row r="11" spans="1:4" ht="15" x14ac:dyDescent="0.2">
      <c r="A11" s="58" t="s">
        <v>8</v>
      </c>
      <c r="B11" s="49"/>
      <c r="C11" s="43"/>
      <c r="D11" s="43"/>
    </row>
    <row r="12" spans="1:4" ht="15" x14ac:dyDescent="0.2">
      <c r="A12" s="58" t="s">
        <v>9</v>
      </c>
      <c r="B12" s="49"/>
      <c r="C12" s="43"/>
      <c r="D12" s="43"/>
    </row>
    <row r="13" spans="1:4" ht="15.75" x14ac:dyDescent="0.2">
      <c r="A13" s="53"/>
      <c r="B13" s="49"/>
      <c r="C13" s="43"/>
      <c r="D13" s="43"/>
    </row>
    <row r="14" spans="1:4" ht="15.75" x14ac:dyDescent="0.2">
      <c r="A14" s="48"/>
      <c r="B14" s="49"/>
      <c r="C14" s="43"/>
      <c r="D14" s="43"/>
    </row>
    <row r="15" spans="1:4" ht="15.75" x14ac:dyDescent="0.2">
      <c r="A15" s="48"/>
      <c r="B15" s="49"/>
      <c r="C15" s="43"/>
      <c r="D15" s="43"/>
    </row>
    <row r="16" spans="1:4" ht="15.75" x14ac:dyDescent="0.2">
      <c r="A16" s="48"/>
      <c r="B16" s="49"/>
      <c r="C16" s="43"/>
      <c r="D16" s="43"/>
    </row>
    <row r="17" spans="1:4" ht="15.75" x14ac:dyDescent="0.2">
      <c r="A17" s="53"/>
      <c r="B17" s="49"/>
      <c r="C17" s="43"/>
      <c r="D17" s="43"/>
    </row>
    <row r="18" spans="1:4" ht="15" x14ac:dyDescent="0.2">
      <c r="A18" s="49"/>
      <c r="B18" s="49"/>
      <c r="C18" s="43"/>
      <c r="D18" s="43"/>
    </row>
    <row r="19" spans="1:4" ht="15" x14ac:dyDescent="0.2">
      <c r="A19" s="49"/>
      <c r="B19" s="49"/>
      <c r="C19" s="43"/>
      <c r="D19" s="43"/>
    </row>
    <row r="20" spans="1:4" ht="15" x14ac:dyDescent="0.2">
      <c r="A20" s="49"/>
      <c r="B20" s="49"/>
      <c r="C20" s="43"/>
      <c r="D20" s="43"/>
    </row>
    <row r="21" spans="1:4" ht="15" x14ac:dyDescent="0.2">
      <c r="A21" s="49"/>
      <c r="B21" s="49"/>
      <c r="C21" s="43"/>
      <c r="D21" s="43"/>
    </row>
    <row r="22" spans="1:4" ht="15" x14ac:dyDescent="0.2">
      <c r="A22" s="49"/>
      <c r="B22" s="49"/>
      <c r="C22" s="43"/>
      <c r="D22" s="43"/>
    </row>
    <row r="23" spans="1:4" ht="15.75" x14ac:dyDescent="0.25">
      <c r="A23" s="54" t="s">
        <v>10</v>
      </c>
      <c r="B23" s="49"/>
      <c r="C23" s="43"/>
      <c r="D23" s="43"/>
    </row>
    <row r="24" spans="1:4" ht="15" x14ac:dyDescent="0.2">
      <c r="A24" s="55" t="s">
        <v>11</v>
      </c>
      <c r="B24" s="56" t="s">
        <v>12</v>
      </c>
      <c r="C24" s="43"/>
      <c r="D24" s="43"/>
    </row>
    <row r="25" spans="1:4" ht="30" x14ac:dyDescent="0.2">
      <c r="A25" s="55" t="s">
        <v>13</v>
      </c>
      <c r="B25" s="56" t="s">
        <v>14</v>
      </c>
      <c r="C25" s="43"/>
      <c r="D25" s="43"/>
    </row>
    <row r="26" spans="1:4" ht="15" x14ac:dyDescent="0.2">
      <c r="A26" s="55" t="s">
        <v>15</v>
      </c>
      <c r="B26" s="56" t="s">
        <v>16</v>
      </c>
      <c r="C26" s="43"/>
      <c r="D26" s="43"/>
    </row>
    <row r="27" spans="1:4" ht="15" x14ac:dyDescent="0.2">
      <c r="A27" s="49"/>
      <c r="B27" s="57"/>
      <c r="C27" s="43"/>
      <c r="D27" s="43"/>
    </row>
    <row r="28" spans="1:4" x14ac:dyDescent="0.2">
      <c r="A28" s="42"/>
      <c r="B28" s="40"/>
    </row>
    <row r="29" spans="1:4" x14ac:dyDescent="0.2">
      <c r="A29" s="42"/>
      <c r="B29" s="42"/>
    </row>
  </sheetData>
  <mergeCells count="1">
    <mergeCell ref="A1:D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49"/>
  <sheetViews>
    <sheetView tabSelected="1" topLeftCell="A13" zoomScale="85" zoomScaleNormal="85" workbookViewId="0">
      <selection activeCell="F11" sqref="F11"/>
    </sheetView>
  </sheetViews>
  <sheetFormatPr defaultColWidth="9.140625" defaultRowHeight="12.75" x14ac:dyDescent="0.2"/>
  <cols>
    <col min="1" max="1" width="10.85546875" style="12" customWidth="1"/>
    <col min="2" max="2" width="24.7109375" style="15" customWidth="1"/>
    <col min="3" max="3" width="8.140625" style="12" customWidth="1"/>
    <col min="4" max="4" width="25.85546875" style="14" customWidth="1"/>
    <col min="5" max="5" width="42.28515625" style="14" customWidth="1"/>
    <col min="6" max="6" width="52.42578125" style="15" customWidth="1"/>
    <col min="7" max="7" width="19.42578125" style="15" customWidth="1"/>
    <col min="8" max="16384" width="9.140625" style="15"/>
  </cols>
  <sheetData>
    <row r="1" spans="1:7" ht="26.25" customHeight="1" x14ac:dyDescent="0.2">
      <c r="A1" s="72" t="s">
        <v>210</v>
      </c>
      <c r="B1" s="72"/>
      <c r="C1" s="72"/>
      <c r="D1" s="72"/>
      <c r="E1" s="72"/>
      <c r="F1" s="72"/>
      <c r="G1" s="72"/>
    </row>
    <row r="3" spans="1:7" ht="15.75" x14ac:dyDescent="0.2">
      <c r="A3" s="3" t="str">
        <f>+'1-Service Provider Info'!A3</f>
        <v>Interface: Service Provider</v>
      </c>
      <c r="C3" s="65"/>
    </row>
    <row r="4" spans="1:7" ht="15.75" x14ac:dyDescent="0.2">
      <c r="A4" s="3" t="str">
        <f>CONCATENATE('1-Service Provider Info'!A4," ",'1-Service Provider Info'!B4)</f>
        <v>VERSION #: v3</v>
      </c>
      <c r="B4" s="13"/>
      <c r="C4" s="65"/>
    </row>
    <row r="5" spans="1:7" ht="15.75" x14ac:dyDescent="0.2">
      <c r="A5" s="39" t="str">
        <f>CONCATENATE('1-Service Provider Info'!A5," ",'1-Service Provider Info'!B5)</f>
        <v>Current as of:  3 December 2015</v>
      </c>
      <c r="C5" s="65"/>
    </row>
    <row r="6" spans="1:7" ht="13.5" thickBot="1" x14ac:dyDescent="0.25">
      <c r="A6" s="59" t="s">
        <v>17</v>
      </c>
      <c r="B6" s="21"/>
      <c r="C6" s="22"/>
      <c r="D6" s="16"/>
      <c r="E6" s="16"/>
    </row>
    <row r="7" spans="1:7" ht="45" x14ac:dyDescent="0.25">
      <c r="A7" s="19" t="s">
        <v>18</v>
      </c>
      <c r="B7" s="23" t="s">
        <v>19</v>
      </c>
      <c r="C7" s="25" t="s">
        <v>20</v>
      </c>
      <c r="D7" s="23" t="s">
        <v>21</v>
      </c>
      <c r="E7" s="23" t="s">
        <v>22</v>
      </c>
      <c r="F7" s="24" t="s">
        <v>207</v>
      </c>
      <c r="G7" s="36" t="s">
        <v>23</v>
      </c>
    </row>
    <row r="8" spans="1:7" ht="99.75" x14ac:dyDescent="0.2">
      <c r="A8" s="17">
        <v>1</v>
      </c>
      <c r="B8" s="30" t="s">
        <v>24</v>
      </c>
      <c r="C8" s="20" t="s">
        <v>26</v>
      </c>
      <c r="D8" s="26" t="s">
        <v>27</v>
      </c>
      <c r="E8" s="26" t="s">
        <v>28</v>
      </c>
      <c r="F8" s="31" t="s">
        <v>182</v>
      </c>
      <c r="G8" s="34" t="s">
        <v>29</v>
      </c>
    </row>
    <row r="9" spans="1:7" ht="72.75" x14ac:dyDescent="0.2">
      <c r="A9" s="17">
        <f>+A8+1</f>
        <v>2</v>
      </c>
      <c r="B9" s="30" t="s">
        <v>30</v>
      </c>
      <c r="C9" s="20" t="s">
        <v>32</v>
      </c>
      <c r="D9" s="26" t="s">
        <v>33</v>
      </c>
      <c r="E9" s="68" t="s">
        <v>34</v>
      </c>
      <c r="F9" s="31" t="s">
        <v>174</v>
      </c>
      <c r="G9" s="34" t="s">
        <v>35</v>
      </c>
    </row>
    <row r="10" spans="1:7" ht="57" x14ac:dyDescent="0.2">
      <c r="A10" s="17">
        <f>+A9+1</f>
        <v>3</v>
      </c>
      <c r="B10" s="30" t="s">
        <v>179</v>
      </c>
      <c r="C10" s="20" t="s">
        <v>26</v>
      </c>
      <c r="D10" s="26"/>
      <c r="E10" s="26" t="s">
        <v>36</v>
      </c>
      <c r="F10" s="31" t="s">
        <v>183</v>
      </c>
      <c r="G10" s="34" t="s">
        <v>37</v>
      </c>
    </row>
    <row r="11" spans="1:7" ht="114" x14ac:dyDescent="0.2">
      <c r="A11" s="17">
        <f t="shared" ref="A11:A42" si="0">+A10+1</f>
        <v>4</v>
      </c>
      <c r="B11" s="30" t="s">
        <v>38</v>
      </c>
      <c r="C11" s="20" t="s">
        <v>39</v>
      </c>
      <c r="D11" s="26"/>
      <c r="E11" s="26" t="s">
        <v>40</v>
      </c>
      <c r="F11" s="31" t="s">
        <v>184</v>
      </c>
      <c r="G11" s="34" t="s">
        <v>41</v>
      </c>
    </row>
    <row r="12" spans="1:7" ht="99.75" x14ac:dyDescent="0.2">
      <c r="A12" s="17">
        <f t="shared" si="0"/>
        <v>5</v>
      </c>
      <c r="B12" s="30" t="s">
        <v>42</v>
      </c>
      <c r="C12" s="20" t="s">
        <v>43</v>
      </c>
      <c r="D12" s="26" t="s">
        <v>44</v>
      </c>
      <c r="E12" s="26" t="s">
        <v>45</v>
      </c>
      <c r="F12" s="31" t="s">
        <v>185</v>
      </c>
      <c r="G12" s="34" t="s">
        <v>46</v>
      </c>
    </row>
    <row r="13" spans="1:7" ht="28.5" x14ac:dyDescent="0.2">
      <c r="A13" s="17">
        <f t="shared" si="0"/>
        <v>6</v>
      </c>
      <c r="B13" s="30" t="s">
        <v>47</v>
      </c>
      <c r="C13" s="20" t="s">
        <v>48</v>
      </c>
      <c r="D13" s="26" t="s">
        <v>44</v>
      </c>
      <c r="E13" s="26" t="s">
        <v>49</v>
      </c>
      <c r="F13" s="31" t="s">
        <v>175</v>
      </c>
      <c r="G13" s="34" t="s">
        <v>50</v>
      </c>
    </row>
    <row r="14" spans="1:7" ht="18" x14ac:dyDescent="0.2">
      <c r="A14" s="17">
        <f t="shared" si="0"/>
        <v>7</v>
      </c>
      <c r="B14" s="30" t="s">
        <v>51</v>
      </c>
      <c r="C14" s="20" t="s">
        <v>52</v>
      </c>
      <c r="D14" s="26" t="s">
        <v>53</v>
      </c>
      <c r="E14" s="26"/>
      <c r="F14" s="31" t="s">
        <v>186</v>
      </c>
      <c r="G14" s="34" t="s">
        <v>52</v>
      </c>
    </row>
    <row r="15" spans="1:7" ht="42.75" x14ac:dyDescent="0.2">
      <c r="A15" s="17">
        <f t="shared" si="0"/>
        <v>8</v>
      </c>
      <c r="B15" s="30" t="s">
        <v>54</v>
      </c>
      <c r="C15" s="20" t="s">
        <v>55</v>
      </c>
      <c r="D15" s="26" t="s">
        <v>56</v>
      </c>
      <c r="E15" s="26" t="s">
        <v>57</v>
      </c>
      <c r="F15" s="31" t="s">
        <v>176</v>
      </c>
      <c r="G15" s="34" t="s">
        <v>58</v>
      </c>
    </row>
    <row r="16" spans="1:7" ht="18" x14ac:dyDescent="0.2">
      <c r="A16" s="17">
        <f t="shared" si="0"/>
        <v>9</v>
      </c>
      <c r="B16" s="30" t="s">
        <v>59</v>
      </c>
      <c r="C16" s="20" t="s">
        <v>26</v>
      </c>
      <c r="D16" s="26" t="s">
        <v>27</v>
      </c>
      <c r="E16" s="26"/>
      <c r="F16" s="31" t="s">
        <v>175</v>
      </c>
      <c r="G16" s="34" t="s">
        <v>60</v>
      </c>
    </row>
    <row r="17" spans="1:7" ht="71.25" x14ac:dyDescent="0.2">
      <c r="A17" s="17">
        <f t="shared" si="0"/>
        <v>10</v>
      </c>
      <c r="B17" s="30" t="s">
        <v>61</v>
      </c>
      <c r="C17" s="20" t="s">
        <v>62</v>
      </c>
      <c r="D17" s="26" t="s">
        <v>56</v>
      </c>
      <c r="E17" s="26" t="s">
        <v>63</v>
      </c>
      <c r="F17" s="31" t="s">
        <v>203</v>
      </c>
      <c r="G17" s="34" t="s">
        <v>64</v>
      </c>
    </row>
    <row r="18" spans="1:7" ht="18" x14ac:dyDescent="0.2">
      <c r="A18" s="17">
        <f t="shared" si="0"/>
        <v>11</v>
      </c>
      <c r="B18" s="30" t="s">
        <v>65</v>
      </c>
      <c r="C18" s="20" t="s">
        <v>26</v>
      </c>
      <c r="D18" s="26" t="s">
        <v>27</v>
      </c>
      <c r="E18" s="32"/>
      <c r="F18" s="31" t="s">
        <v>187</v>
      </c>
      <c r="G18" s="34" t="s">
        <v>66</v>
      </c>
    </row>
    <row r="19" spans="1:7" ht="18" x14ac:dyDescent="0.2">
      <c r="A19" s="17">
        <f t="shared" si="0"/>
        <v>12</v>
      </c>
      <c r="B19" s="30" t="s">
        <v>67</v>
      </c>
      <c r="C19" s="20" t="s">
        <v>26</v>
      </c>
      <c r="D19" s="26" t="s">
        <v>27</v>
      </c>
      <c r="E19" s="32"/>
      <c r="F19" s="31" t="s">
        <v>187</v>
      </c>
      <c r="G19" s="34" t="s">
        <v>68</v>
      </c>
    </row>
    <row r="20" spans="1:7" ht="28.5" x14ac:dyDescent="0.2">
      <c r="A20" s="17">
        <f t="shared" si="0"/>
        <v>13</v>
      </c>
      <c r="B20" s="30" t="s">
        <v>69</v>
      </c>
      <c r="C20" s="20" t="s">
        <v>43</v>
      </c>
      <c r="D20" s="26" t="s">
        <v>44</v>
      </c>
      <c r="E20" s="26"/>
      <c r="F20" s="31" t="s">
        <v>188</v>
      </c>
      <c r="G20" s="34" t="s">
        <v>70</v>
      </c>
    </row>
    <row r="21" spans="1:7" ht="36" x14ac:dyDescent="0.2">
      <c r="A21" s="17">
        <f t="shared" si="0"/>
        <v>14</v>
      </c>
      <c r="B21" s="30" t="s">
        <v>71</v>
      </c>
      <c r="C21" s="20" t="s">
        <v>72</v>
      </c>
      <c r="D21" s="26" t="s">
        <v>73</v>
      </c>
      <c r="E21" s="26"/>
      <c r="F21" s="31" t="s">
        <v>189</v>
      </c>
      <c r="G21" s="34" t="s">
        <v>74</v>
      </c>
    </row>
    <row r="22" spans="1:7" ht="28.5" x14ac:dyDescent="0.2">
      <c r="A22" s="17">
        <f t="shared" si="0"/>
        <v>15</v>
      </c>
      <c r="B22" s="30" t="s">
        <v>75</v>
      </c>
      <c r="C22" s="20" t="s">
        <v>26</v>
      </c>
      <c r="D22" s="26" t="s">
        <v>73</v>
      </c>
      <c r="E22" s="26"/>
      <c r="F22" s="31" t="s">
        <v>189</v>
      </c>
      <c r="G22" s="34" t="s">
        <v>76</v>
      </c>
    </row>
    <row r="23" spans="1:7" ht="36" x14ac:dyDescent="0.2">
      <c r="A23" s="17">
        <f t="shared" si="0"/>
        <v>16</v>
      </c>
      <c r="B23" s="30" t="s">
        <v>77</v>
      </c>
      <c r="C23" s="20" t="s">
        <v>26</v>
      </c>
      <c r="D23" s="26" t="s">
        <v>73</v>
      </c>
      <c r="E23" s="26"/>
      <c r="F23" s="31" t="s">
        <v>189</v>
      </c>
      <c r="G23" s="34" t="s">
        <v>78</v>
      </c>
    </row>
    <row r="24" spans="1:7" ht="28.5" x14ac:dyDescent="0.2">
      <c r="A24" s="17">
        <f t="shared" si="0"/>
        <v>17</v>
      </c>
      <c r="B24" s="30" t="s">
        <v>79</v>
      </c>
      <c r="C24" s="20" t="s">
        <v>72</v>
      </c>
      <c r="D24" s="26" t="s">
        <v>73</v>
      </c>
      <c r="E24" s="26" t="s">
        <v>80</v>
      </c>
      <c r="F24" s="31" t="s">
        <v>190</v>
      </c>
      <c r="G24" s="34" t="s">
        <v>81</v>
      </c>
    </row>
    <row r="25" spans="1:7" ht="42.75" x14ac:dyDescent="0.2">
      <c r="A25" s="17">
        <f t="shared" si="0"/>
        <v>18</v>
      </c>
      <c r="B25" s="30" t="s">
        <v>82</v>
      </c>
      <c r="C25" s="20" t="s">
        <v>83</v>
      </c>
      <c r="D25" s="26" t="s">
        <v>84</v>
      </c>
      <c r="E25" s="41" t="s">
        <v>85</v>
      </c>
      <c r="F25" s="31" t="s">
        <v>85</v>
      </c>
      <c r="G25" s="34" t="s">
        <v>86</v>
      </c>
    </row>
    <row r="26" spans="1:7" ht="156.75" x14ac:dyDescent="0.2">
      <c r="A26" s="17">
        <f t="shared" si="0"/>
        <v>19</v>
      </c>
      <c r="B26" s="30" t="s">
        <v>87</v>
      </c>
      <c r="C26" s="20" t="s">
        <v>26</v>
      </c>
      <c r="D26" s="26" t="s">
        <v>27</v>
      </c>
      <c r="E26" s="26" t="s">
        <v>177</v>
      </c>
      <c r="F26" s="31" t="s">
        <v>201</v>
      </c>
      <c r="G26" s="34" t="s">
        <v>88</v>
      </c>
    </row>
    <row r="27" spans="1:7" ht="156.75" x14ac:dyDescent="0.2">
      <c r="A27" s="17">
        <f t="shared" si="0"/>
        <v>20</v>
      </c>
      <c r="B27" s="30" t="s">
        <v>89</v>
      </c>
      <c r="C27" s="20" t="s">
        <v>26</v>
      </c>
      <c r="D27" s="26" t="s">
        <v>27</v>
      </c>
      <c r="E27" s="26" t="s">
        <v>178</v>
      </c>
      <c r="F27" s="31" t="s">
        <v>202</v>
      </c>
      <c r="G27" s="35" t="s">
        <v>90</v>
      </c>
    </row>
    <row r="28" spans="1:7" ht="18" x14ac:dyDescent="0.2">
      <c r="A28" s="17">
        <f t="shared" si="0"/>
        <v>21</v>
      </c>
      <c r="B28" s="30" t="s">
        <v>91</v>
      </c>
      <c r="C28" s="20" t="s">
        <v>26</v>
      </c>
      <c r="D28" s="26" t="s">
        <v>27</v>
      </c>
      <c r="E28" s="26"/>
      <c r="F28" s="31" t="s">
        <v>175</v>
      </c>
      <c r="G28" s="35" t="s">
        <v>92</v>
      </c>
    </row>
    <row r="29" spans="1:7" ht="28.5" x14ac:dyDescent="0.2">
      <c r="A29" s="17">
        <f t="shared" si="0"/>
        <v>22</v>
      </c>
      <c r="B29" s="30" t="s">
        <v>93</v>
      </c>
      <c r="C29" s="20" t="s">
        <v>43</v>
      </c>
      <c r="D29" s="26" t="s">
        <v>44</v>
      </c>
      <c r="E29" s="26" t="s">
        <v>94</v>
      </c>
      <c r="F29" s="31" t="s">
        <v>188</v>
      </c>
      <c r="G29" s="34" t="s">
        <v>95</v>
      </c>
    </row>
    <row r="30" spans="1:7" ht="28.5" x14ac:dyDescent="0.2">
      <c r="A30" s="17">
        <f t="shared" si="0"/>
        <v>23</v>
      </c>
      <c r="B30" s="30" t="s">
        <v>96</v>
      </c>
      <c r="C30" s="20" t="s">
        <v>26</v>
      </c>
      <c r="D30" s="26" t="s">
        <v>27</v>
      </c>
      <c r="E30" s="26" t="s">
        <v>168</v>
      </c>
      <c r="F30" s="31" t="s">
        <v>191</v>
      </c>
      <c r="G30" s="35" t="s">
        <v>97</v>
      </c>
    </row>
    <row r="31" spans="1:7" ht="28.5" x14ac:dyDescent="0.2">
      <c r="A31" s="17">
        <f t="shared" si="0"/>
        <v>24</v>
      </c>
      <c r="B31" s="30" t="s">
        <v>98</v>
      </c>
      <c r="C31" s="20" t="s">
        <v>26</v>
      </c>
      <c r="D31" s="26" t="s">
        <v>27</v>
      </c>
      <c r="E31" s="26" t="s">
        <v>169</v>
      </c>
      <c r="F31" s="31" t="s">
        <v>191</v>
      </c>
      <c r="G31" s="35" t="s">
        <v>99</v>
      </c>
    </row>
    <row r="32" spans="1:7" ht="18" x14ac:dyDescent="0.2">
      <c r="A32" s="17">
        <f t="shared" si="0"/>
        <v>25</v>
      </c>
      <c r="B32" s="30" t="s">
        <v>100</v>
      </c>
      <c r="C32" s="20" t="s">
        <v>26</v>
      </c>
      <c r="D32" s="38" t="s">
        <v>101</v>
      </c>
      <c r="E32" s="26" t="s">
        <v>102</v>
      </c>
      <c r="F32" s="31" t="s">
        <v>102</v>
      </c>
      <c r="G32" s="35" t="s">
        <v>103</v>
      </c>
    </row>
    <row r="33" spans="1:8" ht="18" x14ac:dyDescent="0.2">
      <c r="A33" s="17">
        <f t="shared" si="0"/>
        <v>26</v>
      </c>
      <c r="B33" s="30" t="s">
        <v>104</v>
      </c>
      <c r="C33" s="20" t="s">
        <v>43</v>
      </c>
      <c r="D33" s="38" t="s">
        <v>101</v>
      </c>
      <c r="E33" s="26" t="s">
        <v>102</v>
      </c>
      <c r="F33" s="31" t="s">
        <v>102</v>
      </c>
      <c r="G33" s="35" t="s">
        <v>105</v>
      </c>
    </row>
    <row r="34" spans="1:8" ht="28.5" x14ac:dyDescent="0.2">
      <c r="A34" s="17">
        <f t="shared" si="0"/>
        <v>27</v>
      </c>
      <c r="B34" s="30" t="s">
        <v>52</v>
      </c>
      <c r="C34" s="20" t="s">
        <v>106</v>
      </c>
      <c r="D34" s="26" t="s">
        <v>27</v>
      </c>
      <c r="E34" s="26" t="s">
        <v>170</v>
      </c>
      <c r="F34" s="31" t="s">
        <v>107</v>
      </c>
      <c r="G34" s="35" t="s">
        <v>108</v>
      </c>
    </row>
    <row r="35" spans="1:8" ht="18" x14ac:dyDescent="0.2">
      <c r="A35" s="17">
        <f t="shared" si="0"/>
        <v>28</v>
      </c>
      <c r="B35" s="30" t="s">
        <v>52</v>
      </c>
      <c r="C35" s="20" t="s">
        <v>110</v>
      </c>
      <c r="D35" s="26"/>
      <c r="E35" s="26" t="s">
        <v>111</v>
      </c>
      <c r="F35" s="31" t="s">
        <v>192</v>
      </c>
      <c r="G35" s="35" t="s">
        <v>112</v>
      </c>
    </row>
    <row r="36" spans="1:8" ht="28.5" x14ac:dyDescent="0.2">
      <c r="A36" s="17">
        <f t="shared" si="0"/>
        <v>29</v>
      </c>
      <c r="B36" s="30" t="s">
        <v>52</v>
      </c>
      <c r="C36" s="20" t="s">
        <v>26</v>
      </c>
      <c r="D36" s="26" t="s">
        <v>114</v>
      </c>
      <c r="E36" s="26" t="s">
        <v>115</v>
      </c>
      <c r="F36" s="31" t="s">
        <v>115</v>
      </c>
      <c r="G36" s="35" t="s">
        <v>116</v>
      </c>
    </row>
    <row r="37" spans="1:8" ht="42.75" x14ac:dyDescent="0.2">
      <c r="A37" s="17">
        <f t="shared" si="0"/>
        <v>30</v>
      </c>
      <c r="B37" s="30" t="s">
        <v>117</v>
      </c>
      <c r="C37" s="20" t="s">
        <v>26</v>
      </c>
      <c r="D37" s="26" t="s">
        <v>44</v>
      </c>
      <c r="E37" s="26" t="s">
        <v>118</v>
      </c>
      <c r="F37" s="31" t="s">
        <v>193</v>
      </c>
      <c r="G37" s="34" t="s">
        <v>119</v>
      </c>
    </row>
    <row r="38" spans="1:8" ht="28.5" x14ac:dyDescent="0.2">
      <c r="A38" s="17">
        <f t="shared" si="0"/>
        <v>31</v>
      </c>
      <c r="B38" s="30" t="s">
        <v>120</v>
      </c>
      <c r="C38" s="20" t="s">
        <v>121</v>
      </c>
      <c r="D38" s="26"/>
      <c r="E38" s="26" t="s">
        <v>171</v>
      </c>
      <c r="F38" s="31" t="s">
        <v>194</v>
      </c>
      <c r="G38" s="35" t="s">
        <v>122</v>
      </c>
    </row>
    <row r="39" spans="1:8" ht="18" x14ac:dyDescent="0.2">
      <c r="A39" s="17">
        <f t="shared" si="0"/>
        <v>32</v>
      </c>
      <c r="B39" s="30" t="s">
        <v>123</v>
      </c>
      <c r="C39" s="20" t="s">
        <v>43</v>
      </c>
      <c r="D39" s="26"/>
      <c r="E39" s="26" t="s">
        <v>124</v>
      </c>
      <c r="F39" s="31" t="s">
        <v>180</v>
      </c>
      <c r="G39" s="35" t="s">
        <v>123</v>
      </c>
    </row>
    <row r="40" spans="1:8" ht="36" x14ac:dyDescent="0.2">
      <c r="A40" s="17">
        <f t="shared" si="0"/>
        <v>33</v>
      </c>
      <c r="B40" s="30" t="s">
        <v>125</v>
      </c>
      <c r="C40" s="20" t="s">
        <v>72</v>
      </c>
      <c r="D40" s="26" t="s">
        <v>44</v>
      </c>
      <c r="E40" s="26" t="s">
        <v>173</v>
      </c>
      <c r="F40" s="31" t="s">
        <v>195</v>
      </c>
      <c r="G40" s="35" t="s">
        <v>126</v>
      </c>
    </row>
    <row r="41" spans="1:8" ht="57" x14ac:dyDescent="0.2">
      <c r="A41" s="17">
        <f t="shared" si="0"/>
        <v>34</v>
      </c>
      <c r="B41" s="30" t="s">
        <v>127</v>
      </c>
      <c r="C41" s="20" t="s">
        <v>32</v>
      </c>
      <c r="D41" s="26" t="s">
        <v>128</v>
      </c>
      <c r="E41" s="26" t="s">
        <v>129</v>
      </c>
      <c r="F41" s="31" t="s">
        <v>181</v>
      </c>
      <c r="G41" s="35" t="s">
        <v>130</v>
      </c>
    </row>
    <row r="42" spans="1:8" ht="42.75" x14ac:dyDescent="0.2">
      <c r="A42" s="17">
        <f t="shared" si="0"/>
        <v>35</v>
      </c>
      <c r="B42" s="30" t="s">
        <v>131</v>
      </c>
      <c r="C42" s="20" t="s">
        <v>72</v>
      </c>
      <c r="D42" s="26" t="s">
        <v>44</v>
      </c>
      <c r="E42" s="26" t="s">
        <v>172</v>
      </c>
      <c r="F42" s="31" t="s">
        <v>208</v>
      </c>
      <c r="G42" s="35" t="s">
        <v>132</v>
      </c>
    </row>
    <row r="43" spans="1:8" ht="76.5" x14ac:dyDescent="0.2">
      <c r="A43" s="17">
        <v>36</v>
      </c>
      <c r="B43" s="30" t="s">
        <v>133</v>
      </c>
      <c r="C43" s="20" t="s">
        <v>134</v>
      </c>
      <c r="D43" s="26" t="s">
        <v>135</v>
      </c>
      <c r="E43" s="26" t="s">
        <v>136</v>
      </c>
      <c r="F43" s="33" t="s">
        <v>209</v>
      </c>
      <c r="G43" s="35" t="s">
        <v>137</v>
      </c>
      <c r="H43" s="69" t="s">
        <v>206</v>
      </c>
    </row>
    <row r="44" spans="1:8" ht="28.5" x14ac:dyDescent="0.2">
      <c r="A44" s="17">
        <v>37</v>
      </c>
      <c r="B44" s="30" t="s">
        <v>138</v>
      </c>
      <c r="C44" s="20" t="s">
        <v>139</v>
      </c>
      <c r="D44" s="26" t="s">
        <v>140</v>
      </c>
      <c r="E44" s="26" t="s">
        <v>141</v>
      </c>
      <c r="F44" s="33" t="s">
        <v>196</v>
      </c>
      <c r="G44" s="35" t="s">
        <v>142</v>
      </c>
    </row>
    <row r="45" spans="1:8" ht="28.5" x14ac:dyDescent="0.2">
      <c r="A45" s="17">
        <v>38</v>
      </c>
      <c r="B45" s="30" t="s">
        <v>143</v>
      </c>
      <c r="C45" s="20" t="s">
        <v>139</v>
      </c>
      <c r="D45" s="26" t="s">
        <v>140</v>
      </c>
      <c r="E45" s="26" t="s">
        <v>144</v>
      </c>
      <c r="F45" s="33" t="s">
        <v>197</v>
      </c>
      <c r="G45" s="35" t="s">
        <v>145</v>
      </c>
    </row>
    <row r="46" spans="1:8" ht="36" x14ac:dyDescent="0.2">
      <c r="A46" s="17">
        <v>39</v>
      </c>
      <c r="B46" s="30" t="s">
        <v>146</v>
      </c>
      <c r="C46" s="20" t="s">
        <v>62</v>
      </c>
      <c r="D46" s="26" t="s">
        <v>147</v>
      </c>
      <c r="E46" s="26" t="s">
        <v>148</v>
      </c>
      <c r="F46" s="33" t="s">
        <v>198</v>
      </c>
      <c r="G46" s="35" t="s">
        <v>149</v>
      </c>
    </row>
    <row r="47" spans="1:8" ht="28.5" x14ac:dyDescent="0.2">
      <c r="A47" s="17">
        <v>40</v>
      </c>
      <c r="B47" s="30" t="s">
        <v>150</v>
      </c>
      <c r="C47" s="20" t="s">
        <v>26</v>
      </c>
      <c r="D47" s="26" t="s">
        <v>27</v>
      </c>
      <c r="E47" s="26" t="s">
        <v>151</v>
      </c>
      <c r="F47" s="33" t="s">
        <v>199</v>
      </c>
      <c r="G47" s="35" t="s">
        <v>152</v>
      </c>
    </row>
    <row r="48" spans="1:8" ht="28.5" x14ac:dyDescent="0.2">
      <c r="A48" s="17">
        <v>41</v>
      </c>
      <c r="B48" s="30" t="s">
        <v>153</v>
      </c>
      <c r="C48" s="20" t="s">
        <v>26</v>
      </c>
      <c r="D48" s="26" t="s">
        <v>27</v>
      </c>
      <c r="E48" s="26" t="s">
        <v>154</v>
      </c>
      <c r="F48" s="33" t="s">
        <v>200</v>
      </c>
      <c r="G48" s="35" t="s">
        <v>155</v>
      </c>
    </row>
    <row r="49" spans="1:7" ht="328.5" thickBot="1" x14ac:dyDescent="0.25">
      <c r="A49" s="60">
        <v>42</v>
      </c>
      <c r="B49" s="61" t="s">
        <v>156</v>
      </c>
      <c r="C49" s="20" t="s">
        <v>204</v>
      </c>
      <c r="D49" s="62" t="s">
        <v>140</v>
      </c>
      <c r="E49" s="62" t="s">
        <v>157</v>
      </c>
      <c r="F49" s="63" t="s">
        <v>205</v>
      </c>
      <c r="G49" s="64" t="s">
        <v>158</v>
      </c>
    </row>
  </sheetData>
  <mergeCells count="1">
    <mergeCell ref="A1:G1"/>
  </mergeCells>
  <conditionalFormatting sqref="C8:C49">
    <cfRule type="containsText" dxfId="2" priority="6" operator="containsText" text="Y">
      <formula>NOT(ISERROR(SEARCH("Y",C8)))</formula>
    </cfRule>
  </conditionalFormatting>
  <printOptions horizontalCentered="1"/>
  <pageMargins left="0.7" right="0.7" top="0.75" bottom="0.75" header="0.3" footer="0.3"/>
  <pageSetup scale="63" fitToHeight="2" orientation="landscape" r:id="rId1"/>
  <ignoredErrors>
    <ignoredError sqref="C9"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8"/>
  <sheetViews>
    <sheetView workbookViewId="0">
      <selection sqref="A1:S1"/>
    </sheetView>
  </sheetViews>
  <sheetFormatPr defaultColWidth="9.140625" defaultRowHeight="12.75" x14ac:dyDescent="0.2"/>
  <cols>
    <col min="1" max="1" width="37" style="2" bestFit="1" customWidth="1"/>
    <col min="2" max="2" width="12.140625" style="2" customWidth="1"/>
    <col min="3" max="3" width="11" style="2" customWidth="1"/>
    <col min="4" max="4" width="12.7109375" style="2" customWidth="1"/>
    <col min="5" max="5" width="14.5703125" style="2" customWidth="1"/>
    <col min="6" max="6" width="11.140625" style="2" customWidth="1"/>
    <col min="7" max="7" width="10.7109375" style="2" customWidth="1"/>
    <col min="8" max="8" width="12" style="2" customWidth="1"/>
    <col min="9" max="9" width="10.85546875" style="2" customWidth="1"/>
    <col min="10" max="10" width="9.42578125" style="2" customWidth="1"/>
    <col min="11" max="11" width="10.28515625" style="2" customWidth="1"/>
    <col min="12" max="12" width="9.28515625" style="2" customWidth="1"/>
    <col min="13" max="13" width="9.42578125" style="2" customWidth="1"/>
    <col min="14" max="14" width="11.85546875" style="2" customWidth="1"/>
    <col min="15" max="15" width="9.5703125" style="2" customWidth="1"/>
    <col min="16" max="16" width="11.85546875" style="2" customWidth="1"/>
    <col min="17" max="17" width="12.5703125" style="2" customWidth="1"/>
    <col min="18" max="18" width="9.5703125" style="2" customWidth="1"/>
    <col min="19" max="19" width="12.28515625" style="2" customWidth="1"/>
    <col min="20" max="20" width="12.5703125" style="2" customWidth="1"/>
    <col min="21" max="21" width="15.85546875" style="2" customWidth="1"/>
    <col min="22" max="22" width="14.42578125" style="2" customWidth="1"/>
    <col min="23" max="23" width="11" style="2" customWidth="1"/>
    <col min="24" max="24" width="7.5703125" style="2" customWidth="1"/>
    <col min="25" max="25" width="12.140625" style="2" customWidth="1"/>
    <col min="26" max="26" width="10" style="2" customWidth="1"/>
    <col min="27" max="27" width="9.7109375" style="2" customWidth="1"/>
    <col min="28" max="28" width="12.28515625" style="2" customWidth="1"/>
    <col min="29" max="29" width="11" style="2" customWidth="1"/>
    <col min="30" max="31" width="8.5703125" style="2" customWidth="1"/>
    <col min="32" max="32" width="9.7109375" style="2" customWidth="1"/>
    <col min="33" max="33" width="9.85546875" style="2" customWidth="1"/>
    <col min="34" max="34" width="11.140625" style="2" customWidth="1"/>
    <col min="35" max="42" width="9.140625" style="2"/>
    <col min="43" max="43" width="10.28515625" style="2" customWidth="1"/>
    <col min="44" max="16384" width="9.140625" style="2"/>
  </cols>
  <sheetData>
    <row r="1" spans="1:43" ht="24.75" customHeight="1" x14ac:dyDescent="0.2">
      <c r="A1" s="73" t="s">
        <v>210</v>
      </c>
      <c r="B1" s="73"/>
      <c r="C1" s="73"/>
      <c r="D1" s="73"/>
      <c r="E1" s="73"/>
      <c r="F1" s="73"/>
      <c r="G1" s="73"/>
      <c r="H1" s="73"/>
      <c r="I1" s="73"/>
      <c r="J1" s="73"/>
      <c r="K1" s="73"/>
      <c r="L1" s="73"/>
      <c r="M1" s="73"/>
      <c r="N1" s="73"/>
      <c r="O1" s="73"/>
      <c r="P1" s="73"/>
      <c r="Q1" s="73"/>
      <c r="R1" s="73"/>
      <c r="S1" s="73"/>
      <c r="T1" s="73" t="s">
        <v>0</v>
      </c>
      <c r="U1" s="74"/>
      <c r="V1" s="74"/>
      <c r="W1" s="74"/>
      <c r="X1" s="74"/>
      <c r="Y1" s="74"/>
      <c r="Z1" s="74"/>
      <c r="AA1" s="74"/>
      <c r="AB1" s="74"/>
      <c r="AC1" s="74"/>
      <c r="AD1" s="74"/>
      <c r="AE1" s="74"/>
      <c r="AF1" s="74"/>
      <c r="AG1" s="74"/>
      <c r="AH1" s="74"/>
      <c r="AI1" s="74"/>
      <c r="AJ1" s="74"/>
    </row>
    <row r="3" spans="1:43" ht="15.75" x14ac:dyDescent="0.2">
      <c r="A3" s="1" t="str">
        <f>+'1-Service Provider Info'!A3</f>
        <v>Interface: Service Provider</v>
      </c>
      <c r="B3" s="6"/>
    </row>
    <row r="4" spans="1:43" ht="15.75" x14ac:dyDescent="0.2">
      <c r="A4" s="1" t="str">
        <f>CONCATENATE('1-Service Provider Info'!A4," ",'1-Service Provider Info'!B4)</f>
        <v>VERSION #: v3</v>
      </c>
      <c r="B4" s="6"/>
    </row>
    <row r="5" spans="1:43" ht="15.75" x14ac:dyDescent="0.25">
      <c r="A5" s="1" t="str">
        <f>CONCATENATE('1-Service Provider Info'!A5," ",'1-Service Provider Info'!B5)</f>
        <v>Current as of:  3 December 2015</v>
      </c>
      <c r="B5" s="37"/>
    </row>
    <row r="6" spans="1:43" ht="15.75" x14ac:dyDescent="0.25">
      <c r="A6" s="3"/>
      <c r="B6" s="7"/>
    </row>
    <row r="7" spans="1:43" ht="16.5" thickBot="1" x14ac:dyDescent="0.25">
      <c r="A7" s="29" t="s">
        <v>18</v>
      </c>
      <c r="B7" s="8">
        <v>1</v>
      </c>
      <c r="C7" s="8">
        <v>2</v>
      </c>
      <c r="D7" s="8">
        <v>3</v>
      </c>
      <c r="E7" s="8">
        <v>4</v>
      </c>
      <c r="F7" s="8">
        <v>5</v>
      </c>
      <c r="G7" s="8">
        <v>6</v>
      </c>
      <c r="H7" s="8">
        <v>7</v>
      </c>
      <c r="I7" s="8">
        <v>8</v>
      </c>
      <c r="J7" s="8">
        <v>9</v>
      </c>
      <c r="K7" s="8">
        <v>10</v>
      </c>
      <c r="L7" s="8">
        <v>11</v>
      </c>
      <c r="M7" s="8">
        <v>12</v>
      </c>
      <c r="N7" s="8">
        <v>13</v>
      </c>
      <c r="O7" s="8">
        <v>14</v>
      </c>
      <c r="P7" s="8">
        <v>15</v>
      </c>
      <c r="Q7" s="8">
        <v>16</v>
      </c>
      <c r="R7" s="8">
        <v>17</v>
      </c>
      <c r="S7" s="8">
        <v>18</v>
      </c>
      <c r="T7" s="8">
        <v>19</v>
      </c>
      <c r="U7" s="8">
        <v>20</v>
      </c>
      <c r="V7" s="8">
        <v>21</v>
      </c>
      <c r="W7" s="8">
        <v>22</v>
      </c>
      <c r="X7" s="8">
        <v>23</v>
      </c>
      <c r="Y7" s="8">
        <v>24</v>
      </c>
      <c r="Z7" s="8">
        <v>25</v>
      </c>
      <c r="AA7" s="8">
        <v>26</v>
      </c>
      <c r="AB7" s="8">
        <v>27</v>
      </c>
      <c r="AC7" s="8">
        <v>28</v>
      </c>
      <c r="AD7" s="8">
        <v>29</v>
      </c>
      <c r="AE7" s="8">
        <v>30</v>
      </c>
      <c r="AF7" s="8">
        <v>31</v>
      </c>
      <c r="AG7" s="8">
        <v>32</v>
      </c>
      <c r="AH7" s="8">
        <v>33</v>
      </c>
      <c r="AI7" s="8">
        <v>34</v>
      </c>
      <c r="AJ7" s="8">
        <v>35</v>
      </c>
      <c r="AK7" s="17">
        <v>36</v>
      </c>
      <c r="AL7" s="17">
        <v>37</v>
      </c>
      <c r="AM7" s="17">
        <v>38</v>
      </c>
      <c r="AN7" s="17">
        <v>39</v>
      </c>
      <c r="AO7" s="17">
        <v>40</v>
      </c>
      <c r="AP7" s="17">
        <v>41</v>
      </c>
      <c r="AQ7" s="60">
        <v>42</v>
      </c>
    </row>
    <row r="8" spans="1:43" ht="60" x14ac:dyDescent="0.2">
      <c r="A8" s="29" t="s">
        <v>19</v>
      </c>
      <c r="B8" s="4" t="s">
        <v>24</v>
      </c>
      <c r="C8" s="18" t="s">
        <v>30</v>
      </c>
      <c r="D8" s="4" t="s">
        <v>179</v>
      </c>
      <c r="E8" s="4" t="s">
        <v>38</v>
      </c>
      <c r="F8" s="4" t="s">
        <v>42</v>
      </c>
      <c r="G8" s="4" t="s">
        <v>47</v>
      </c>
      <c r="H8" s="4" t="s">
        <v>51</v>
      </c>
      <c r="I8" s="4" t="s">
        <v>54</v>
      </c>
      <c r="J8" s="4" t="s">
        <v>59</v>
      </c>
      <c r="K8" s="4" t="s">
        <v>61</v>
      </c>
      <c r="L8" s="4" t="s">
        <v>65</v>
      </c>
      <c r="M8" s="4" t="s">
        <v>67</v>
      </c>
      <c r="N8" s="4" t="s">
        <v>69</v>
      </c>
      <c r="O8" s="4" t="s">
        <v>159</v>
      </c>
      <c r="P8" s="4" t="s">
        <v>160</v>
      </c>
      <c r="Q8" s="4" t="s">
        <v>161</v>
      </c>
      <c r="R8" s="4" t="s">
        <v>79</v>
      </c>
      <c r="S8" s="4" t="s">
        <v>82</v>
      </c>
      <c r="T8" s="4" t="s">
        <v>87</v>
      </c>
      <c r="U8" s="18" t="s">
        <v>89</v>
      </c>
      <c r="V8" s="18" t="s">
        <v>91</v>
      </c>
      <c r="W8" s="4" t="s">
        <v>93</v>
      </c>
      <c r="X8" s="4" t="s">
        <v>96</v>
      </c>
      <c r="Y8" s="4" t="s">
        <v>98</v>
      </c>
      <c r="Z8" s="4" t="s">
        <v>100</v>
      </c>
      <c r="AA8" s="4" t="s">
        <v>104</v>
      </c>
      <c r="AB8" s="18" t="s">
        <v>108</v>
      </c>
      <c r="AC8" s="18" t="s">
        <v>109</v>
      </c>
      <c r="AD8" s="18" t="s">
        <v>113</v>
      </c>
      <c r="AE8" s="18" t="s">
        <v>117</v>
      </c>
      <c r="AF8" s="18" t="s">
        <v>120</v>
      </c>
      <c r="AG8" s="18" t="s">
        <v>123</v>
      </c>
      <c r="AH8" s="18" t="s">
        <v>125</v>
      </c>
      <c r="AI8" s="18" t="s">
        <v>127</v>
      </c>
      <c r="AJ8" s="18" t="s">
        <v>131</v>
      </c>
      <c r="AK8" s="18" t="s">
        <v>133</v>
      </c>
      <c r="AL8" s="18" t="s">
        <v>138</v>
      </c>
      <c r="AM8" s="18" t="s">
        <v>143</v>
      </c>
      <c r="AN8" s="18" t="s">
        <v>146</v>
      </c>
      <c r="AO8" s="18" t="s">
        <v>150</v>
      </c>
      <c r="AP8" s="18" t="s">
        <v>153</v>
      </c>
      <c r="AQ8" s="18" t="s">
        <v>156</v>
      </c>
    </row>
    <row r="9" spans="1:43" ht="15.75" x14ac:dyDescent="0.2">
      <c r="A9" s="67" t="s">
        <v>164</v>
      </c>
      <c r="B9" s="4"/>
      <c r="C9" s="4"/>
      <c r="D9" s="4"/>
      <c r="E9" s="4"/>
      <c r="F9" s="4" t="s">
        <v>31</v>
      </c>
      <c r="G9" s="4"/>
      <c r="H9" s="4"/>
      <c r="I9" s="4" t="s">
        <v>31</v>
      </c>
      <c r="J9" s="4"/>
      <c r="K9" s="4"/>
      <c r="L9" s="4"/>
      <c r="M9" s="4"/>
      <c r="N9" s="4"/>
      <c r="O9" s="4"/>
      <c r="P9" s="4"/>
      <c r="Q9" s="4"/>
      <c r="R9" s="4"/>
      <c r="S9" s="4" t="s">
        <v>31</v>
      </c>
      <c r="T9" s="4"/>
      <c r="U9" s="18"/>
      <c r="V9" s="18"/>
      <c r="W9" s="4"/>
      <c r="X9" s="4"/>
      <c r="Y9" s="4"/>
      <c r="Z9" s="4"/>
      <c r="AA9" s="4"/>
      <c r="AB9" s="18"/>
      <c r="AC9" s="18"/>
      <c r="AD9" s="18"/>
      <c r="AE9" s="18"/>
      <c r="AF9" s="18"/>
      <c r="AG9" s="18" t="s">
        <v>31</v>
      </c>
      <c r="AH9" s="18" t="s">
        <v>31</v>
      </c>
      <c r="AI9" s="18"/>
      <c r="AJ9" s="18"/>
      <c r="AK9" s="18"/>
      <c r="AL9" s="18"/>
      <c r="AM9" s="18"/>
      <c r="AN9" s="18"/>
      <c r="AO9" s="18"/>
      <c r="AP9" s="18"/>
      <c r="AQ9" s="18"/>
    </row>
    <row r="10" spans="1:43" ht="15.75" x14ac:dyDescent="0.2">
      <c r="A10" s="66" t="s">
        <v>165</v>
      </c>
      <c r="B10" s="4" t="s">
        <v>25</v>
      </c>
      <c r="C10" s="4" t="s">
        <v>162</v>
      </c>
      <c r="D10" s="4" t="s">
        <v>31</v>
      </c>
      <c r="E10" s="5" t="s">
        <v>31</v>
      </c>
      <c r="F10" s="4" t="s">
        <v>162</v>
      </c>
      <c r="G10" s="4" t="s">
        <v>25</v>
      </c>
      <c r="H10" s="4" t="s">
        <v>25</v>
      </c>
      <c r="I10" s="4" t="s">
        <v>31</v>
      </c>
      <c r="J10" s="4" t="s">
        <v>25</v>
      </c>
      <c r="K10" s="4" t="s">
        <v>25</v>
      </c>
      <c r="L10" s="4" t="s">
        <v>25</v>
      </c>
      <c r="M10" s="4" t="s">
        <v>25</v>
      </c>
      <c r="N10" s="4" t="s">
        <v>25</v>
      </c>
      <c r="O10" s="4" t="s">
        <v>25</v>
      </c>
      <c r="P10" s="4" t="s">
        <v>25</v>
      </c>
      <c r="Q10" s="4" t="s">
        <v>25</v>
      </c>
      <c r="R10" s="4" t="s">
        <v>25</v>
      </c>
      <c r="S10" s="4" t="s">
        <v>31</v>
      </c>
      <c r="T10" s="4" t="s">
        <v>31</v>
      </c>
      <c r="U10" s="4" t="s">
        <v>31</v>
      </c>
      <c r="V10" s="4" t="s">
        <v>25</v>
      </c>
      <c r="W10" s="4" t="s">
        <v>25</v>
      </c>
      <c r="X10" s="4" t="s">
        <v>25</v>
      </c>
      <c r="Y10" s="4" t="s">
        <v>25</v>
      </c>
      <c r="Z10" s="4" t="s">
        <v>25</v>
      </c>
      <c r="AA10" s="4" t="s">
        <v>25</v>
      </c>
      <c r="AB10" s="4" t="s">
        <v>25</v>
      </c>
      <c r="AC10" s="4" t="s">
        <v>25</v>
      </c>
      <c r="AD10" s="4" t="s">
        <v>25</v>
      </c>
      <c r="AE10" s="4" t="s">
        <v>25</v>
      </c>
      <c r="AF10" s="4" t="s">
        <v>25</v>
      </c>
      <c r="AG10" s="4" t="s">
        <v>31</v>
      </c>
      <c r="AH10" s="4" t="s">
        <v>25</v>
      </c>
      <c r="AI10" s="4" t="s">
        <v>162</v>
      </c>
      <c r="AJ10" s="4" t="s">
        <v>31</v>
      </c>
      <c r="AK10" s="4" t="s">
        <v>31</v>
      </c>
      <c r="AL10" s="4" t="s">
        <v>25</v>
      </c>
      <c r="AM10" s="4" t="s">
        <v>25</v>
      </c>
      <c r="AN10" s="4" t="s">
        <v>25</v>
      </c>
      <c r="AO10" s="4" t="s">
        <v>25</v>
      </c>
      <c r="AP10" s="4" t="s">
        <v>25</v>
      </c>
      <c r="AQ10" s="4" t="s">
        <v>163</v>
      </c>
    </row>
    <row r="11" spans="1:43" ht="15.75" x14ac:dyDescent="0.2">
      <c r="A11" s="66" t="s">
        <v>166</v>
      </c>
      <c r="B11" s="4" t="s">
        <v>25</v>
      </c>
      <c r="C11" s="4" t="s">
        <v>162</v>
      </c>
      <c r="D11" s="4" t="s">
        <v>162</v>
      </c>
      <c r="E11" s="4" t="s">
        <v>31</v>
      </c>
      <c r="F11" s="4" t="s">
        <v>25</v>
      </c>
      <c r="G11" s="4" t="s">
        <v>25</v>
      </c>
      <c r="H11" s="4" t="s">
        <v>25</v>
      </c>
      <c r="I11" s="4" t="s">
        <v>25</v>
      </c>
      <c r="J11" s="4" t="s">
        <v>25</v>
      </c>
      <c r="K11" s="4" t="s">
        <v>25</v>
      </c>
      <c r="L11" s="4" t="s">
        <v>25</v>
      </c>
      <c r="M11" s="4" t="s">
        <v>25</v>
      </c>
      <c r="N11" s="4" t="s">
        <v>25</v>
      </c>
      <c r="O11" s="4" t="s">
        <v>25</v>
      </c>
      <c r="P11" s="4" t="s">
        <v>25</v>
      </c>
      <c r="Q11" s="4" t="s">
        <v>25</v>
      </c>
      <c r="R11" s="4" t="s">
        <v>25</v>
      </c>
      <c r="S11" s="4" t="s">
        <v>31</v>
      </c>
      <c r="T11" s="4" t="s">
        <v>25</v>
      </c>
      <c r="U11" s="4" t="s">
        <v>25</v>
      </c>
      <c r="V11" s="4" t="s">
        <v>25</v>
      </c>
      <c r="W11" s="4" t="s">
        <v>25</v>
      </c>
      <c r="X11" s="4" t="s">
        <v>162</v>
      </c>
      <c r="Y11" s="4" t="s">
        <v>162</v>
      </c>
      <c r="Z11" s="4" t="s">
        <v>25</v>
      </c>
      <c r="AA11" s="4" t="s">
        <v>25</v>
      </c>
      <c r="AB11" s="4" t="s">
        <v>25</v>
      </c>
      <c r="AC11" s="4" t="s">
        <v>25</v>
      </c>
      <c r="AD11" s="4" t="s">
        <v>25</v>
      </c>
      <c r="AE11" s="4" t="s">
        <v>25</v>
      </c>
      <c r="AF11" s="4" t="s">
        <v>25</v>
      </c>
      <c r="AG11" s="4" t="s">
        <v>25</v>
      </c>
      <c r="AH11" s="4" t="s">
        <v>25</v>
      </c>
      <c r="AI11" s="4" t="s">
        <v>162</v>
      </c>
      <c r="AJ11" s="4" t="s">
        <v>31</v>
      </c>
      <c r="AK11" s="4" t="s">
        <v>31</v>
      </c>
      <c r="AL11" s="4" t="s">
        <v>25</v>
      </c>
      <c r="AM11" s="4" t="s">
        <v>25</v>
      </c>
      <c r="AN11" s="4" t="s">
        <v>25</v>
      </c>
      <c r="AO11" s="4" t="s">
        <v>25</v>
      </c>
      <c r="AP11" s="4" t="s">
        <v>25</v>
      </c>
      <c r="AQ11" s="4" t="s">
        <v>163</v>
      </c>
    </row>
    <row r="12" spans="1:43" ht="15.75" x14ac:dyDescent="0.2">
      <c r="A12" s="66" t="s">
        <v>167</v>
      </c>
      <c r="B12" s="4" t="s">
        <v>25</v>
      </c>
      <c r="C12" s="4" t="s">
        <v>162</v>
      </c>
      <c r="D12" s="4" t="s">
        <v>162</v>
      </c>
      <c r="E12" s="4" t="s">
        <v>31</v>
      </c>
      <c r="F12" s="4" t="s">
        <v>25</v>
      </c>
      <c r="G12" s="4" t="s">
        <v>25</v>
      </c>
      <c r="H12" s="4" t="s">
        <v>25</v>
      </c>
      <c r="I12" s="4" t="s">
        <v>31</v>
      </c>
      <c r="J12" s="4" t="s">
        <v>25</v>
      </c>
      <c r="K12" s="4" t="s">
        <v>25</v>
      </c>
      <c r="L12" s="4" t="s">
        <v>31</v>
      </c>
      <c r="M12" s="4" t="s">
        <v>31</v>
      </c>
      <c r="N12" s="4" t="s">
        <v>25</v>
      </c>
      <c r="O12" s="4" t="s">
        <v>162</v>
      </c>
      <c r="P12" s="4" t="s">
        <v>162</v>
      </c>
      <c r="Q12" s="4" t="s">
        <v>162</v>
      </c>
      <c r="R12" s="4" t="s">
        <v>25</v>
      </c>
      <c r="S12" s="4" t="s">
        <v>31</v>
      </c>
      <c r="T12" s="4" t="s">
        <v>25</v>
      </c>
      <c r="U12" s="4" t="s">
        <v>25</v>
      </c>
      <c r="V12" s="4" t="s">
        <v>25</v>
      </c>
      <c r="W12" s="4" t="s">
        <v>25</v>
      </c>
      <c r="X12" s="4" t="s">
        <v>25</v>
      </c>
      <c r="Y12" s="4" t="s">
        <v>25</v>
      </c>
      <c r="Z12" s="4" t="s">
        <v>25</v>
      </c>
      <c r="AA12" s="4" t="s">
        <v>25</v>
      </c>
      <c r="AB12" s="4" t="s">
        <v>25</v>
      </c>
      <c r="AC12" s="4" t="s">
        <v>25</v>
      </c>
      <c r="AD12" s="4" t="s">
        <v>25</v>
      </c>
      <c r="AE12" s="4" t="s">
        <v>25</v>
      </c>
      <c r="AF12" s="4" t="s">
        <v>25</v>
      </c>
      <c r="AG12" s="4" t="s">
        <v>25</v>
      </c>
      <c r="AH12" s="4" t="s">
        <v>25</v>
      </c>
      <c r="AI12" s="4" t="s">
        <v>162</v>
      </c>
      <c r="AJ12" s="4" t="s">
        <v>31</v>
      </c>
      <c r="AK12" s="4" t="s">
        <v>31</v>
      </c>
      <c r="AL12" s="4" t="s">
        <v>25</v>
      </c>
      <c r="AM12" s="4" t="s">
        <v>25</v>
      </c>
      <c r="AN12" s="4" t="s">
        <v>25</v>
      </c>
      <c r="AO12" s="4" t="s">
        <v>25</v>
      </c>
      <c r="AP12" s="4" t="s">
        <v>25</v>
      </c>
      <c r="AQ12" s="4" t="s">
        <v>162</v>
      </c>
    </row>
    <row r="13" spans="1:43" x14ac:dyDescent="0.2">
      <c r="L13" s="28"/>
      <c r="Y13" s="27"/>
    </row>
    <row r="15" spans="1:43" x14ac:dyDescent="0.2">
      <c r="B15" s="9"/>
      <c r="C15" s="9"/>
      <c r="D15" s="9"/>
      <c r="E15" s="9"/>
      <c r="F15" s="9"/>
      <c r="G15" s="9"/>
      <c r="H15" s="10"/>
      <c r="I15" s="9"/>
      <c r="J15" s="9"/>
      <c r="K15" s="10"/>
      <c r="L15" s="9"/>
      <c r="M15" s="9"/>
      <c r="N15" s="10"/>
      <c r="O15" s="9"/>
      <c r="P15" s="9"/>
      <c r="Q15" s="9"/>
      <c r="R15" s="9"/>
      <c r="S15" s="9"/>
      <c r="T15" s="9"/>
      <c r="U15" s="9"/>
      <c r="W15" s="11"/>
      <c r="X15" s="9"/>
      <c r="Y15" s="9"/>
      <c r="Z15" s="9"/>
      <c r="AA15" s="9"/>
      <c r="AB15" s="9"/>
    </row>
    <row r="16" spans="1:43" x14ac:dyDescent="0.2">
      <c r="B16" s="9"/>
      <c r="C16" s="9"/>
      <c r="D16" s="9"/>
      <c r="E16" s="9"/>
      <c r="F16" s="9"/>
      <c r="G16" s="9"/>
      <c r="H16" s="9"/>
      <c r="I16" s="9"/>
      <c r="J16" s="9"/>
      <c r="K16" s="9"/>
      <c r="L16" s="9"/>
      <c r="M16" s="9"/>
      <c r="N16" s="9"/>
      <c r="O16" s="9"/>
      <c r="P16" s="9"/>
      <c r="Q16" s="9"/>
      <c r="R16" s="9"/>
      <c r="S16" s="9"/>
      <c r="T16" s="9"/>
      <c r="U16" s="9"/>
      <c r="V16" s="9"/>
      <c r="W16" s="9"/>
      <c r="X16" s="9"/>
      <c r="Y16" s="9"/>
      <c r="Z16" s="9"/>
      <c r="AB16" s="9"/>
    </row>
    <row r="17" spans="2:28" x14ac:dyDescent="0.2">
      <c r="B17" s="9"/>
      <c r="C17" s="9"/>
      <c r="D17" s="9"/>
      <c r="E17" s="9"/>
      <c r="F17" s="9"/>
      <c r="G17" s="9"/>
      <c r="H17" s="9"/>
      <c r="I17" s="9"/>
      <c r="J17" s="9"/>
      <c r="K17" s="10"/>
      <c r="L17" s="9"/>
      <c r="M17" s="9"/>
      <c r="N17" s="9"/>
      <c r="O17" s="9"/>
      <c r="P17" s="9"/>
      <c r="Q17" s="9"/>
      <c r="R17" s="9"/>
      <c r="S17" s="9"/>
      <c r="T17" s="9"/>
      <c r="U17" s="9"/>
      <c r="V17" s="9"/>
      <c r="W17" s="9"/>
      <c r="X17" s="9"/>
      <c r="Y17" s="9"/>
      <c r="Z17" s="9"/>
      <c r="AA17" s="9"/>
      <c r="AB17" s="9"/>
    </row>
    <row r="18" spans="2:28" x14ac:dyDescent="0.2">
      <c r="B18" s="9"/>
      <c r="C18" s="9"/>
      <c r="D18" s="9"/>
      <c r="F18" s="9"/>
      <c r="G18" s="9"/>
      <c r="H18" s="9"/>
      <c r="I18" s="9"/>
      <c r="J18" s="9"/>
      <c r="K18" s="9"/>
      <c r="L18" s="9"/>
      <c r="M18" s="9"/>
      <c r="N18" s="9"/>
      <c r="O18" s="9"/>
      <c r="P18" s="9"/>
      <c r="Q18" s="9"/>
      <c r="R18" s="9"/>
      <c r="S18" s="9"/>
      <c r="T18" s="9"/>
      <c r="U18" s="9"/>
      <c r="V18" s="9"/>
      <c r="W18" s="9"/>
      <c r="X18" s="9"/>
      <c r="Y18" s="9"/>
      <c r="Z18" s="9"/>
      <c r="AA18" s="9"/>
      <c r="AB18" s="9"/>
    </row>
  </sheetData>
  <mergeCells count="2">
    <mergeCell ref="A1:S1"/>
    <mergeCell ref="T1:AJ1"/>
  </mergeCells>
  <conditionalFormatting sqref="B10:AG10 AL11:AQ12 AJ11:AJ12 B11:AH12">
    <cfRule type="containsText" dxfId="1" priority="2" operator="containsText" text="Y">
      <formula>NOT(ISERROR(SEARCH("Y",B10)))</formula>
    </cfRule>
  </conditionalFormatting>
  <conditionalFormatting sqref="AH10:AQ10 AK11:AK12 AI11:AI12">
    <cfRule type="containsText" dxfId="0" priority="1" operator="containsText" text="Y">
      <formula>NOT(ISERROR(SEARCH("Y",AH10)))</formula>
    </cfRule>
  </conditionalFormatting>
  <pageMargins left="0.7" right="0.7" top="0.75" bottom="0.75" header="0.3" footer="0.3"/>
  <pageSetup scale="53" fitToWidth="2"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30daac84-715e-48f6-ad19-2f1deb895b0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6F4B4C7CF18BD4683941BD514E5AA67" ma:contentTypeVersion="15" ma:contentTypeDescription="Create a new document." ma:contentTypeScope="" ma:versionID="57f2e0ac4c5142eb194018367d0b0021">
  <xsd:schema xmlns:xsd="http://www.w3.org/2001/XMLSchema" xmlns:xs="http://www.w3.org/2001/XMLSchema" xmlns:p="http://schemas.microsoft.com/office/2006/metadata/properties" xmlns:ns3="30daac84-715e-48f6-ad19-2f1deb895b0d" xmlns:ns4="3a9360bb-99e7-4c68-a67a-ee349b3766a7" targetNamespace="http://schemas.microsoft.com/office/2006/metadata/properties" ma:root="true" ma:fieldsID="022311765b8718d27b411d8eeb85a0f9" ns3:_="" ns4:_="">
    <xsd:import namespace="30daac84-715e-48f6-ad19-2f1deb895b0d"/>
    <xsd:import namespace="3a9360bb-99e7-4c68-a67a-ee349b3766a7"/>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_activity" minOccurs="0"/>
                <xsd:element ref="ns4:SharedWithUsers" minOccurs="0"/>
                <xsd:element ref="ns4:SharedWithDetails" minOccurs="0"/>
                <xsd:element ref="ns4:SharingHintHash" minOccurs="0"/>
                <xsd:element ref="ns3:MediaServiceObjectDetectorVersions" minOccurs="0"/>
                <xsd:element ref="ns3:MediaServiceSearchProperties" minOccurs="0"/>
                <xsd:element ref="ns3:MediaServiceDateTaken" minOccurs="0"/>
                <xsd:element ref="ns3:MediaServiceSystemTags"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daac84-715e-48f6-ad19-2f1deb895b0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_activity" ma:index="14" nillable="true" ma:displayName="_activity" ma:hidden="true" ma:internalName="_activity">
      <xsd:simpleType>
        <xsd:restriction base="dms:Note"/>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a9360bb-99e7-4c68-a67a-ee349b3766a7"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SharingHintHash" ma:index="17"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40FD2CA-7559-43A0-BB8C-FBBF8C238657}">
  <ds:schemaRefs>
    <ds:schemaRef ds:uri="http://schemas.microsoft.com/sharepoint/v3/contenttype/forms"/>
  </ds:schemaRefs>
</ds:datastoreItem>
</file>

<file path=customXml/itemProps2.xml><?xml version="1.0" encoding="utf-8"?>
<ds:datastoreItem xmlns:ds="http://schemas.openxmlformats.org/officeDocument/2006/customXml" ds:itemID="{BCFCF35C-CECD-42D7-9747-F5B3BC54337B}">
  <ds:schemaRefs>
    <ds:schemaRef ds:uri="http://schemas.microsoft.com/office/2006/documentManagement/types"/>
    <ds:schemaRef ds:uri="http://schemas.microsoft.com/office/infopath/2007/PartnerControls"/>
    <ds:schemaRef ds:uri="30daac84-715e-48f6-ad19-2f1deb895b0d"/>
    <ds:schemaRef ds:uri="http://purl.org/dc/elements/1.1/"/>
    <ds:schemaRef ds:uri="http://schemas.microsoft.com/office/2006/metadata/properties"/>
    <ds:schemaRef ds:uri="3a9360bb-99e7-4c68-a67a-ee349b3766a7"/>
    <ds:schemaRef ds:uri="http://purl.org/dc/terms/"/>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68809315-DBB9-44BA-B5E5-B4A6C99D5D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0daac84-715e-48f6-ad19-2f1deb895b0d"/>
    <ds:schemaRef ds:uri="3a9360bb-99e7-4c68-a67a-ee349b3766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1-Service Provider Info</vt:lpstr>
      <vt:lpstr>2-Service Provider Field List</vt:lpstr>
      <vt:lpstr>3-Service Provider-Template</vt:lpstr>
      <vt:lpstr>'1-Service Provider Info'!Print_Area</vt:lpstr>
      <vt:lpstr>'2-Service Provider Field List'!Print_Area</vt:lpstr>
      <vt:lpstr>'3-Service Provider-Template'!Print_Area</vt:lpstr>
      <vt:lpstr>'2-Service Provider Field List'!Print_Titles</vt:lpstr>
      <vt:lpstr>'3-Service Provider-Template'!Print_Titles</vt:lpstr>
    </vt:vector>
  </TitlesOfParts>
  <Manager/>
  <Company>NMCI</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william.r.schoen</dc:creator>
  <cp:keywords/>
  <dc:description/>
  <cp:lastModifiedBy>Tricomi, Daniela CIV USN NAVFAC SE JAX FL (USA)</cp:lastModifiedBy>
  <cp:revision/>
  <dcterms:created xsi:type="dcterms:W3CDTF">2010-09-27T14:18:14Z</dcterms:created>
  <dcterms:modified xsi:type="dcterms:W3CDTF">2025-08-21T18:12:25Z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0x01010026F4B4C7CF18BD4683941BD514E5AA67</vt:lpwstr>
  </property>
  <property fmtid="{D5CDD505-2E9C-101B-9397-08002B2CF9AE}" pid="4" name="MediaServiceImageTags">
    <vt:lpwstr/>
  </property>
</Properties>
</file>