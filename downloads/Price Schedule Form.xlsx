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onnelly\Desktop\HCAHPS\A - Acquisition Planning\"/>
    </mc:Choice>
  </mc:AlternateContent>
  <xr:revisionPtr revIDLastSave="0" documentId="13_ncr:1_{43751276-47E7-4558-AD1E-BB3074851AF8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IGCE" sheetId="1" r:id="rId1"/>
  </sheets>
  <definedNames>
    <definedName name="_xlnm.Print_Area" localSheetId="0">IGCE!$A$2:$O$39</definedName>
    <definedName name="_xlnm.Print_Titles" localSheetId="0">IGCE!$A:$A,IGCE!$2:$4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E17" i="1"/>
  <c r="E16" i="1"/>
  <c r="E15" i="1"/>
  <c r="E14" i="1"/>
  <c r="E13" i="1"/>
  <c r="E12" i="1"/>
  <c r="E11" i="1"/>
  <c r="E10" i="1"/>
  <c r="E9" i="1"/>
  <c r="M9" i="1"/>
  <c r="H10" i="1"/>
  <c r="I10" i="1" s="1"/>
  <c r="H11" i="1"/>
  <c r="L11" i="1" s="1"/>
  <c r="M11" i="1" s="1"/>
  <c r="H12" i="1"/>
  <c r="I12" i="1" s="1"/>
  <c r="H13" i="1"/>
  <c r="L13" i="1" s="1"/>
  <c r="M13" i="1" s="1"/>
  <c r="H14" i="1"/>
  <c r="I14" i="1" s="1"/>
  <c r="H15" i="1"/>
  <c r="L15" i="1" s="1"/>
  <c r="M15" i="1" s="1"/>
  <c r="H16" i="1"/>
  <c r="I16" i="1" s="1"/>
  <c r="H17" i="1"/>
  <c r="L17" i="1" s="1"/>
  <c r="M17" i="1" s="1"/>
  <c r="E29" i="1"/>
  <c r="E8" i="1"/>
  <c r="M29" i="1"/>
  <c r="I29" i="1"/>
  <c r="I15" i="1" l="1"/>
  <c r="P11" i="1"/>
  <c r="T11" i="1" s="1"/>
  <c r="U11" i="1" s="1"/>
  <c r="P15" i="1"/>
  <c r="T15" i="1" s="1"/>
  <c r="U15" i="1" s="1"/>
  <c r="P13" i="1"/>
  <c r="T13" i="1" s="1"/>
  <c r="U13" i="1" s="1"/>
  <c r="P17" i="1"/>
  <c r="T17" i="1" s="1"/>
  <c r="U17" i="1" s="1"/>
  <c r="U9" i="1"/>
  <c r="I11" i="1"/>
  <c r="L14" i="1"/>
  <c r="L10" i="1"/>
  <c r="P10" i="1" s="1"/>
  <c r="T10" i="1" s="1"/>
  <c r="U10" i="1" s="1"/>
  <c r="L16" i="1"/>
  <c r="L12" i="1"/>
  <c r="P12" i="1" s="1"/>
  <c r="T12" i="1" s="1"/>
  <c r="U12" i="1" s="1"/>
  <c r="I17" i="1"/>
  <c r="I13" i="1"/>
  <c r="I9" i="1"/>
  <c r="Q11" i="1"/>
  <c r="E18" i="1"/>
  <c r="E19" i="1" s="1"/>
  <c r="Q9" i="1" l="1"/>
  <c r="Q17" i="1"/>
  <c r="Q13" i="1"/>
  <c r="M16" i="1"/>
  <c r="P16" i="1"/>
  <c r="Q15" i="1"/>
  <c r="M14" i="1"/>
  <c r="P14" i="1"/>
  <c r="Q12" i="1"/>
  <c r="M12" i="1"/>
  <c r="Q10" i="1"/>
  <c r="M10" i="1"/>
  <c r="Q8" i="1"/>
  <c r="U8" i="1"/>
  <c r="M8" i="1"/>
  <c r="E20" i="1"/>
  <c r="E21" i="1" s="1"/>
  <c r="I18" i="1"/>
  <c r="I19" i="1" s="1"/>
  <c r="T16" i="1" l="1"/>
  <c r="U16" i="1" s="1"/>
  <c r="Q16" i="1"/>
  <c r="T14" i="1"/>
  <c r="U14" i="1" s="1"/>
  <c r="Q14" i="1"/>
  <c r="M18" i="1"/>
  <c r="M19" i="1" s="1"/>
  <c r="I20" i="1"/>
  <c r="E22" i="1"/>
  <c r="Q18" i="1" l="1"/>
  <c r="Q19" i="1" s="1"/>
  <c r="Q20" i="1" s="1"/>
  <c r="Q21" i="1" s="1"/>
  <c r="Q22" i="1" s="1"/>
  <c r="U18" i="1"/>
  <c r="U19" i="1" s="1"/>
  <c r="U20" i="1" s="1"/>
  <c r="U21" i="1" s="1"/>
  <c r="U22" i="1" s="1"/>
  <c r="U30" i="1" s="1"/>
  <c r="U31" i="1" s="1"/>
  <c r="U32" i="1" s="1"/>
  <c r="U33" i="1" s="1"/>
  <c r="U34" i="1" s="1"/>
  <c r="E30" i="1"/>
  <c r="E31" i="1" s="1"/>
  <c r="M20" i="1"/>
  <c r="M21" i="1" s="1"/>
  <c r="M30" i="1" s="1"/>
  <c r="I21" i="1"/>
  <c r="I22" i="1" s="1"/>
  <c r="E32" i="1" l="1"/>
  <c r="E33" i="1" s="1"/>
  <c r="E34" i="1" s="1"/>
  <c r="Q30" i="1"/>
  <c r="Q31" i="1" s="1"/>
  <c r="Q32" i="1" s="1"/>
  <c r="M31" i="1"/>
  <c r="M32" i="1" s="1"/>
  <c r="M22" i="1"/>
  <c r="I30" i="1"/>
  <c r="I31" i="1" s="1"/>
  <c r="Q33" i="1" l="1"/>
  <c r="Q34" i="1" s="1"/>
  <c r="M33" i="1"/>
  <c r="M34" i="1" s="1"/>
  <c r="I32" i="1"/>
  <c r="I33" i="1" l="1"/>
  <c r="I34" i="1" s="1"/>
  <c r="B35" i="1" l="1"/>
</calcChain>
</file>

<file path=xl/sharedStrings.xml><?xml version="1.0" encoding="utf-8"?>
<sst xmlns="http://schemas.openxmlformats.org/spreadsheetml/2006/main" count="73" uniqueCount="52">
  <si>
    <t>Consultants</t>
  </si>
  <si>
    <t>Total Cost</t>
  </si>
  <si>
    <t xml:space="preserve">Subcontracts </t>
  </si>
  <si>
    <t>Travel</t>
  </si>
  <si>
    <t>Assumptions:</t>
  </si>
  <si>
    <t>Inflation Rate Per Year</t>
  </si>
  <si>
    <t>Overhead</t>
  </si>
  <si>
    <t>G&amp;A</t>
  </si>
  <si>
    <t>Subtotal - All Costs</t>
  </si>
  <si>
    <t>Unit Price</t>
  </si>
  <si>
    <t>Quantity</t>
  </si>
  <si>
    <t>Unit</t>
  </si>
  <si>
    <t>Total Price</t>
  </si>
  <si>
    <t xml:space="preserve">Line Item Subtotal </t>
  </si>
  <si>
    <t>Subtotal Line Item &amp; Fringe</t>
  </si>
  <si>
    <t>Subtotal Line Items, Fringe and Overhead</t>
  </si>
  <si>
    <t>Fee/Profit</t>
  </si>
  <si>
    <t>Subtotal ODCs</t>
  </si>
  <si>
    <t>Fringe Benefits Rate</t>
  </si>
  <si>
    <t>Overhead Rate</t>
  </si>
  <si>
    <t>G&amp;A Rate</t>
  </si>
  <si>
    <t>Fee/Profit Percentage</t>
  </si>
  <si>
    <t xml:space="preserve">Total Estimated Yearly Values </t>
  </si>
  <si>
    <t>TOTAL ESTIMATED VALUE OF CONTRACT</t>
  </si>
  <si>
    <t>Materials</t>
  </si>
  <si>
    <t>CDs</t>
  </si>
  <si>
    <t>Fringe Benefits</t>
  </si>
  <si>
    <t>HHS IGCE TEMPLATE</t>
  </si>
  <si>
    <t>Percent</t>
  </si>
  <si>
    <t>Base Period</t>
  </si>
  <si>
    <t>Note: This template can be modified based on the contract type (i.e. Firm Fixed Price, Time and Materials, and Cost Reimburesment)</t>
  </si>
  <si>
    <t>Period of Performance</t>
  </si>
  <si>
    <t>Option Year One</t>
  </si>
  <si>
    <t>Option Year Two</t>
  </si>
  <si>
    <t>Option Year Three</t>
  </si>
  <si>
    <t>Project Title:</t>
  </si>
  <si>
    <t>Location:</t>
  </si>
  <si>
    <t>OTHER DIRECT COSTS</t>
  </si>
  <si>
    <t>Ultimate Start:</t>
  </si>
  <si>
    <t>Ultimate End:</t>
  </si>
  <si>
    <t>Estimate Prepared by:</t>
  </si>
  <si>
    <t>Date Prepared:</t>
  </si>
  <si>
    <t>Signature:</t>
  </si>
  <si>
    <t>Implementation, Set-up and Data Transfer</t>
  </si>
  <si>
    <t>Eva Racine</t>
  </si>
  <si>
    <t>BFSU HCAHPS</t>
  </si>
  <si>
    <t>BFSU, Browning MT 59417</t>
  </si>
  <si>
    <t>Contract Line Item Description+A6</t>
  </si>
  <si>
    <t>HCAHPS Phone Mode Surveys; Up to 60 patients surveyed  monthly, Maintenance and Reporting</t>
  </si>
  <si>
    <t>Option Year Four</t>
  </si>
  <si>
    <t>MO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</si>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</sst>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3" x14ac:knownFonts="1">
    <font>
      <sz val="10"/>
      <name val="Arial"/>
    </font>
    <font>
      <sz val="10"/>
      <name val="Arial"/>
      <family val="2"/>
    </font>
    <font>
      <b/>
      <sz val="9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u/>
      <sz val="9"/>
      <name val="Times New Roman"/>
      <family val="1"/>
    </font>
    <font>
      <sz val="12"/>
      <name val="Times New Roman"/>
      <family val="1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Times New Roman"/>
      <family val="1"/>
    </font>
    <font>
      <sz val="12"/>
      <name val="Arial"/>
      <family val="2"/>
    </font>
    <font>
      <b/>
      <u val="singleAccounting"/>
      <sz val="16"/>
      <name val="Arial"/>
      <family val="2"/>
    </font>
    <font>
      <sz val="10"/>
      <name val="Verdana"/>
      <family val="2"/>
    </font>
    <font>
      <sz val="9"/>
      <name val="Verdana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u val="singleAccounting"/>
      <sz val="14"/>
      <name val="Arial"/>
      <family val="2"/>
    </font>
    <font>
      <sz val="12"/>
      <name val="Lucida Handwriting"/>
      <family val="4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164" fontId="4" fillId="0" borderId="0" xfId="1" applyNumberFormat="1" applyFont="1" applyBorder="1"/>
    <xf numFmtId="43" fontId="4" fillId="0" borderId="0" xfId="1" applyFont="1" applyBorder="1"/>
    <xf numFmtId="43" fontId="4" fillId="0" borderId="0" xfId="0" applyNumberFormat="1" applyFont="1"/>
    <xf numFmtId="44" fontId="4" fillId="0" borderId="0" xfId="2" applyFont="1" applyBorder="1"/>
    <xf numFmtId="9" fontId="4" fillId="0" borderId="0" xfId="3" applyFont="1" applyBorder="1"/>
    <xf numFmtId="44" fontId="2" fillId="0" borderId="0" xfId="2" applyFont="1" applyBorder="1"/>
    <xf numFmtId="0" fontId="6" fillId="0" borderId="0" xfId="0" applyFont="1"/>
    <xf numFmtId="2" fontId="4" fillId="0" borderId="0" xfId="0" applyNumberFormat="1" applyFont="1"/>
    <xf numFmtId="44" fontId="6" fillId="0" borderId="0" xfId="2" applyFont="1" applyBorder="1"/>
    <xf numFmtId="0" fontId="10" fillId="0" borderId="0" xfId="0" applyFont="1"/>
    <xf numFmtId="164" fontId="6" fillId="0" borderId="0" xfId="1" applyNumberFormat="1" applyFont="1" applyBorder="1"/>
    <xf numFmtId="0" fontId="9" fillId="0" borderId="0" xfId="0" applyFont="1" applyAlignment="1">
      <alignment horizontal="center"/>
    </xf>
    <xf numFmtId="43" fontId="6" fillId="0" borderId="0" xfId="1" applyFont="1" applyBorder="1"/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4" fillId="0" borderId="0" xfId="0" quotePrefix="1" applyFont="1" applyAlignment="1">
      <alignment horizontal="left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44" fontId="2" fillId="0" borderId="0" xfId="2" applyFont="1" applyBorder="1" applyAlignment="1">
      <alignment wrapText="1"/>
    </xf>
    <xf numFmtId="0" fontId="3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8" fillId="0" borderId="0" xfId="0" applyFont="1"/>
    <xf numFmtId="0" fontId="7" fillId="5" borderId="4" xfId="0" applyFont="1" applyFill="1" applyBorder="1"/>
    <xf numFmtId="0" fontId="17" fillId="0" borderId="6" xfId="0" applyFont="1" applyBorder="1" applyAlignment="1">
      <alignment wrapText="1"/>
    </xf>
    <xf numFmtId="0" fontId="7" fillId="5" borderId="2" xfId="0" applyFont="1" applyFill="1" applyBorder="1"/>
    <xf numFmtId="0" fontId="18" fillId="5" borderId="4" xfId="0" applyFont="1" applyFill="1" applyBorder="1" applyAlignment="1">
      <alignment horizontal="right"/>
    </xf>
    <xf numFmtId="0" fontId="14" fillId="0" borderId="20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2" fontId="1" fillId="0" borderId="20" xfId="2" applyNumberFormat="1" applyFont="1" applyBorder="1"/>
    <xf numFmtId="49" fontId="1" fillId="0" borderId="4" xfId="0" applyNumberFormat="1" applyFont="1" applyBorder="1" applyAlignment="1" applyProtection="1">
      <alignment horizontal="center"/>
      <protection locked="0"/>
    </xf>
    <xf numFmtId="44" fontId="1" fillId="0" borderId="4" xfId="2" applyFont="1" applyBorder="1" applyProtection="1">
      <protection locked="0"/>
    </xf>
    <xf numFmtId="44" fontId="14" fillId="3" borderId="21" xfId="2" applyFont="1" applyFill="1" applyBorder="1"/>
    <xf numFmtId="2" fontId="1" fillId="2" borderId="20" xfId="2" applyNumberFormat="1" applyFont="1" applyFill="1" applyBorder="1"/>
    <xf numFmtId="49" fontId="1" fillId="2" borderId="4" xfId="2" applyNumberFormat="1" applyFont="1" applyFill="1" applyBorder="1" applyAlignment="1">
      <alignment horizontal="center"/>
    </xf>
    <xf numFmtId="44" fontId="1" fillId="2" borderId="4" xfId="2" applyFont="1" applyFill="1" applyBorder="1" applyProtection="1">
      <protection locked="0"/>
    </xf>
    <xf numFmtId="40" fontId="1" fillId="2" borderId="4" xfId="2" applyNumberFormat="1" applyFont="1" applyFill="1" applyBorder="1" applyAlignment="1">
      <alignment horizontal="center"/>
    </xf>
    <xf numFmtId="40" fontId="1" fillId="2" borderId="20" xfId="2" applyNumberFormat="1" applyFont="1" applyFill="1" applyBorder="1"/>
    <xf numFmtId="2" fontId="1" fillId="2" borderId="4" xfId="0" applyNumberFormat="1" applyFont="1" applyFill="1" applyBorder="1" applyAlignment="1" applyProtection="1">
      <alignment horizontal="center"/>
      <protection locked="0"/>
    </xf>
    <xf numFmtId="44" fontId="1" fillId="2" borderId="4" xfId="2" applyFont="1" applyFill="1" applyBorder="1" applyAlignment="1">
      <alignment horizontal="center"/>
    </xf>
    <xf numFmtId="2" fontId="1" fillId="0" borderId="20" xfId="2" applyNumberFormat="1" applyFont="1" applyBorder="1" applyProtection="1">
      <protection locked="0"/>
    </xf>
    <xf numFmtId="0" fontId="1" fillId="6" borderId="20" xfId="0" applyFont="1" applyFill="1" applyBorder="1"/>
    <xf numFmtId="0" fontId="1" fillId="6" borderId="4" xfId="0" applyFont="1" applyFill="1" applyBorder="1"/>
    <xf numFmtId="164" fontId="1" fillId="6" borderId="4" xfId="1" applyNumberFormat="1" applyFont="1" applyFill="1" applyBorder="1"/>
    <xf numFmtId="0" fontId="1" fillId="2" borderId="20" xfId="0" applyFont="1" applyFill="1" applyBorder="1"/>
    <xf numFmtId="0" fontId="1" fillId="2" borderId="4" xfId="0" applyFont="1" applyFill="1" applyBorder="1"/>
    <xf numFmtId="9" fontId="1" fillId="2" borderId="4" xfId="3" applyFont="1" applyFill="1" applyBorder="1"/>
    <xf numFmtId="44" fontId="14" fillId="3" borderId="21" xfId="0" applyNumberFormat="1" applyFont="1" applyFill="1" applyBorder="1"/>
    <xf numFmtId="0" fontId="1" fillId="0" borderId="20" xfId="0" applyFont="1" applyBorder="1"/>
    <xf numFmtId="0" fontId="1" fillId="0" borderId="4" xfId="0" applyFont="1" applyBorder="1"/>
    <xf numFmtId="44" fontId="14" fillId="3" borderId="21" xfId="3" applyNumberFormat="1" applyFont="1" applyFill="1" applyBorder="1"/>
    <xf numFmtId="9" fontId="1" fillId="6" borderId="4" xfId="3" applyFont="1" applyFill="1" applyBorder="1"/>
    <xf numFmtId="9" fontId="1" fillId="6" borderId="20" xfId="3" applyFont="1" applyFill="1" applyBorder="1"/>
    <xf numFmtId="0" fontId="1" fillId="6" borderId="21" xfId="0" applyFont="1" applyFill="1" applyBorder="1"/>
    <xf numFmtId="9" fontId="1" fillId="0" borderId="20" xfId="3" applyFont="1" applyBorder="1" applyProtection="1">
      <protection locked="0"/>
    </xf>
    <xf numFmtId="0" fontId="1" fillId="0" borderId="4" xfId="0" applyFont="1" applyBorder="1" applyProtection="1">
      <protection locked="0"/>
    </xf>
    <xf numFmtId="44" fontId="14" fillId="3" borderId="21" xfId="0" applyNumberFormat="1" applyFont="1" applyFill="1" applyBorder="1" applyProtection="1">
      <protection locked="0"/>
    </xf>
    <xf numFmtId="44" fontId="14" fillId="3" borderId="21" xfId="2" applyFont="1" applyFill="1" applyBorder="1" applyProtection="1">
      <protection locked="0"/>
    </xf>
    <xf numFmtId="0" fontId="1" fillId="0" borderId="20" xfId="0" applyFont="1" applyBorder="1" applyProtection="1">
      <protection locked="0"/>
    </xf>
    <xf numFmtId="0" fontId="1" fillId="2" borderId="4" xfId="0" applyFont="1" applyFill="1" applyBorder="1" applyProtection="1">
      <protection locked="0"/>
    </xf>
    <xf numFmtId="165" fontId="14" fillId="3" borderId="21" xfId="2" applyNumberFormat="1" applyFont="1" applyFill="1" applyBorder="1" applyProtection="1">
      <protection locked="0"/>
    </xf>
    <xf numFmtId="164" fontId="1" fillId="2" borderId="4" xfId="1" applyNumberFormat="1" applyFont="1" applyFill="1" applyBorder="1" applyProtection="1">
      <protection locked="0"/>
    </xf>
    <xf numFmtId="165" fontId="14" fillId="3" borderId="21" xfId="2" applyNumberFormat="1" applyFont="1" applyFill="1" applyBorder="1"/>
    <xf numFmtId="0" fontId="1" fillId="6" borderId="22" xfId="0" applyFont="1" applyFill="1" applyBorder="1"/>
    <xf numFmtId="0" fontId="1" fillId="6" borderId="23" xfId="0" applyFont="1" applyFill="1" applyBorder="1"/>
    <xf numFmtId="44" fontId="14" fillId="3" borderId="24" xfId="0" applyNumberFormat="1" applyFont="1" applyFill="1" applyBorder="1"/>
    <xf numFmtId="44" fontId="14" fillId="3" borderId="24" xfId="2" applyFont="1" applyFill="1" applyBorder="1"/>
    <xf numFmtId="0" fontId="16" fillId="0" borderId="13" xfId="0" applyFont="1" applyBorder="1"/>
    <xf numFmtId="0" fontId="8" fillId="0" borderId="28" xfId="0" applyFont="1" applyBorder="1" applyAlignment="1">
      <alignment wrapText="1"/>
    </xf>
    <xf numFmtId="49" fontId="1" fillId="0" borderId="5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>
      <alignment horizontal="left" vertical="center" wrapText="1"/>
    </xf>
    <xf numFmtId="0" fontId="1" fillId="8" borderId="5" xfId="0" applyFont="1" applyFill="1" applyBorder="1" applyAlignment="1">
      <alignment horizontal="left" wrapText="1"/>
    </xf>
    <xf numFmtId="0" fontId="1" fillId="8" borderId="5" xfId="0" applyFont="1" applyFill="1" applyBorder="1" applyAlignment="1">
      <alignment horizontal="left" vertical="center" wrapText="1"/>
    </xf>
    <xf numFmtId="0" fontId="16" fillId="8" borderId="11" xfId="0" applyFont="1" applyFill="1" applyBorder="1" applyAlignment="1">
      <alignment wrapText="1"/>
    </xf>
    <xf numFmtId="10" fontId="16" fillId="8" borderId="8" xfId="0" applyNumberFormat="1" applyFont="1" applyFill="1" applyBorder="1"/>
    <xf numFmtId="0" fontId="16" fillId="8" borderId="5" xfId="0" applyFont="1" applyFill="1" applyBorder="1" applyAlignment="1">
      <alignment wrapText="1"/>
    </xf>
    <xf numFmtId="10" fontId="16" fillId="8" borderId="9" xfId="1" applyNumberFormat="1" applyFont="1" applyFill="1" applyBorder="1"/>
    <xf numFmtId="10" fontId="16" fillId="8" borderId="9" xfId="0" applyNumberFormat="1" applyFont="1" applyFill="1" applyBorder="1"/>
    <xf numFmtId="0" fontId="16" fillId="8" borderId="12" xfId="0" applyFont="1" applyFill="1" applyBorder="1" applyAlignment="1">
      <alignment wrapText="1"/>
    </xf>
    <xf numFmtId="10" fontId="16" fillId="8" borderId="10" xfId="2" applyNumberFormat="1" applyFont="1" applyFill="1" applyBorder="1"/>
    <xf numFmtId="49" fontId="10" fillId="0" borderId="12" xfId="0" applyNumberFormat="1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left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left" wrapText="1"/>
    </xf>
    <xf numFmtId="0" fontId="15" fillId="0" borderId="29" xfId="0" applyFont="1" applyBorder="1" applyAlignment="1">
      <alignment horizontal="left" wrapText="1"/>
    </xf>
    <xf numFmtId="0" fontId="7" fillId="0" borderId="14" xfId="0" applyFont="1" applyBorder="1" applyAlignment="1">
      <alignment wrapText="1"/>
    </xf>
    <xf numFmtId="0" fontId="14" fillId="5" borderId="11" xfId="0" applyFont="1" applyFill="1" applyBorder="1" applyAlignment="1">
      <alignment wrapText="1"/>
    </xf>
    <xf numFmtId="44" fontId="10" fillId="0" borderId="30" xfId="0" applyNumberFormat="1" applyFont="1" applyBorder="1" applyAlignment="1">
      <alignment vertical="top"/>
    </xf>
    <xf numFmtId="44" fontId="10" fillId="0" borderId="1" xfId="0" applyNumberFormat="1" applyFont="1" applyBorder="1" applyAlignment="1">
      <alignment vertical="top"/>
    </xf>
    <xf numFmtId="44" fontId="10" fillId="0" borderId="19" xfId="0" applyNumberFormat="1" applyFont="1" applyBorder="1" applyAlignment="1">
      <alignment vertical="top"/>
    </xf>
    <xf numFmtId="44" fontId="10" fillId="0" borderId="8" xfId="0" applyNumberFormat="1" applyFont="1" applyBorder="1" applyAlignment="1">
      <alignment vertical="top"/>
    </xf>
    <xf numFmtId="0" fontId="17" fillId="0" borderId="15" xfId="0" applyFont="1" applyBorder="1"/>
    <xf numFmtId="0" fontId="6" fillId="0" borderId="7" xfId="0" applyFont="1" applyBorder="1"/>
    <xf numFmtId="164" fontId="6" fillId="0" borderId="13" xfId="1" applyNumberFormat="1" applyFont="1" applyBorder="1"/>
    <xf numFmtId="43" fontId="6" fillId="0" borderId="13" xfId="1" applyFont="1" applyBorder="1"/>
    <xf numFmtId="43" fontId="6" fillId="0" borderId="32" xfId="1" applyFont="1" applyBorder="1"/>
    <xf numFmtId="44" fontId="10" fillId="0" borderId="27" xfId="0" applyNumberFormat="1" applyFont="1" applyBorder="1" applyAlignment="1">
      <alignment vertical="top"/>
    </xf>
    <xf numFmtId="44" fontId="10" fillId="0" borderId="33" xfId="0" applyNumberFormat="1" applyFont="1" applyBorder="1" applyAlignment="1">
      <alignment vertical="top"/>
    </xf>
    <xf numFmtId="44" fontId="10" fillId="0" borderId="34" xfId="0" applyNumberFormat="1" applyFont="1" applyBorder="1" applyAlignment="1">
      <alignment vertical="top"/>
    </xf>
    <xf numFmtId="44" fontId="10" fillId="0" borderId="0" xfId="0" applyNumberFormat="1" applyFont="1" applyAlignment="1">
      <alignment vertical="top"/>
    </xf>
    <xf numFmtId="44" fontId="10" fillId="0" borderId="31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horizontal="left" vertical="center" wrapText="1"/>
    </xf>
    <xf numFmtId="14" fontId="10" fillId="0" borderId="1" xfId="0" applyNumberFormat="1" applyFont="1" applyBorder="1" applyAlignment="1">
      <alignment vertical="top"/>
    </xf>
    <xf numFmtId="44" fontId="21" fillId="0" borderId="30" xfId="0" applyNumberFormat="1" applyFont="1" applyBorder="1" applyAlignment="1">
      <alignment vertical="top"/>
    </xf>
    <xf numFmtId="14" fontId="22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44" fontId="11" fillId="4" borderId="25" xfId="0" applyNumberFormat="1" applyFont="1" applyFill="1" applyBorder="1" applyAlignment="1">
      <alignment horizontal="center"/>
    </xf>
    <xf numFmtId="44" fontId="11" fillId="4" borderId="19" xfId="0" applyNumberFormat="1" applyFont="1" applyFill="1" applyBorder="1" applyAlignment="1">
      <alignment horizontal="center"/>
    </xf>
    <xf numFmtId="44" fontId="11" fillId="4" borderId="26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5" fillId="0" borderId="0" xfId="0" applyFont="1" applyAlignment="1">
      <alignment horizontal="left" wrapText="1"/>
    </xf>
    <xf numFmtId="44" fontId="20" fillId="4" borderId="16" xfId="0" applyNumberFormat="1" applyFont="1" applyFill="1" applyBorder="1" applyAlignment="1">
      <alignment horizontal="center"/>
    </xf>
    <xf numFmtId="0" fontId="20" fillId="4" borderId="17" xfId="0" applyFont="1" applyFill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0" fontId="14" fillId="7" borderId="19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157"/>
  <sheetViews>
    <sheetView tabSelected="1" topLeftCell="A23" zoomScaleNormal="100" workbookViewId="0">
      <pane xSplit="1" topLeftCell="B1" activePane="topRight" state="frozen"/>
      <selection pane="topRight" activeCell="E4" sqref="E4"/>
    </sheetView>
  </sheetViews>
  <sheetFormatPr defaultColWidth="0" defaultRowHeight="15.75" zeroHeight="1" x14ac:dyDescent="0.25"/>
  <cols>
    <col min="1" max="1" width="48.85546875" style="25" customWidth="1"/>
    <col min="2" max="2" width="12.85546875" style="2" bestFit="1" customWidth="1"/>
    <col min="3" max="3" width="12.7109375" style="2" customWidth="1"/>
    <col min="4" max="4" width="14" style="2" customWidth="1"/>
    <col min="5" max="5" width="17.42578125" style="2" bestFit="1" customWidth="1"/>
    <col min="6" max="6" width="11.140625" style="11" customWidth="1"/>
    <col min="7" max="7" width="13.140625" style="11" bestFit="1" customWidth="1"/>
    <col min="8" max="8" width="15.7109375" style="11" bestFit="1" customWidth="1"/>
    <col min="9" max="9" width="17.28515625" style="11" bestFit="1" customWidth="1"/>
    <col min="10" max="11" width="11.140625" style="11" customWidth="1"/>
    <col min="12" max="12" width="15.7109375" style="11" bestFit="1" customWidth="1"/>
    <col min="13" max="13" width="18.140625" style="11" customWidth="1"/>
    <col min="14" max="15" width="11.140625" style="11" customWidth="1"/>
    <col min="16" max="16" width="15.7109375" style="11" bestFit="1" customWidth="1"/>
    <col min="17" max="17" width="17.42578125" style="11" bestFit="1" customWidth="1"/>
    <col min="18" max="19" width="11.140625" style="11" customWidth="1"/>
    <col min="20" max="20" width="15.7109375" style="11" bestFit="1" customWidth="1"/>
    <col min="21" max="21" width="17.42578125" style="11" bestFit="1" customWidth="1"/>
    <col min="22" max="22" width="14.28515625" style="2" hidden="1" customWidth="1"/>
    <col min="23" max="24" width="11.28515625" style="2" hidden="1" customWidth="1"/>
    <col min="25" max="74" width="0" style="2" hidden="1" customWidth="1"/>
    <col min="75" max="16384" width="9.140625" style="2" hidden="1"/>
  </cols>
  <sheetData>
    <row r="1" spans="1:74" s="114" customFormat="1" ht="18.75" customHeight="1" x14ac:dyDescent="0.25">
      <c r="A1" s="114" t="s">
        <v>27</v>
      </c>
    </row>
    <row r="2" spans="1:74" s="26" customFormat="1" ht="18.75" customHeight="1" x14ac:dyDescent="0.3">
      <c r="A2" s="29" t="s">
        <v>35</v>
      </c>
      <c r="B2" s="118" t="s">
        <v>45</v>
      </c>
      <c r="C2" s="119"/>
      <c r="D2" s="119"/>
      <c r="E2" s="119"/>
      <c r="F2" s="119"/>
      <c r="G2" s="120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</row>
    <row r="3" spans="1:74" s="26" customFormat="1" ht="18.75" customHeight="1" x14ac:dyDescent="0.3">
      <c r="A3" s="29" t="s">
        <v>36</v>
      </c>
      <c r="B3" s="118" t="s">
        <v>46</v>
      </c>
      <c r="C3" s="119"/>
      <c r="D3" s="119"/>
      <c r="E3" s="119"/>
      <c r="F3" s="119"/>
      <c r="G3" s="120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</row>
    <row r="4" spans="1:74" s="26" customFormat="1" ht="18.75" customHeight="1" x14ac:dyDescent="0.3">
      <c r="A4" s="31" t="s">
        <v>31</v>
      </c>
      <c r="B4" s="32" t="s">
        <v>38</v>
      </c>
      <c r="C4" s="113">
        <v>45992</v>
      </c>
      <c r="D4" s="32" t="s">
        <v>39</v>
      </c>
      <c r="E4" s="113">
        <v>47817</v>
      </c>
      <c r="F4" s="121"/>
      <c r="G4" s="122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</row>
    <row r="5" spans="1:74" s="26" customFormat="1" ht="34.5" customHeight="1" thickBot="1" x14ac:dyDescent="0.3">
      <c r="A5" s="123" t="s">
        <v>30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</row>
    <row r="6" spans="1:74" ht="30.75" customHeight="1" x14ac:dyDescent="0.2">
      <c r="A6" s="95" t="s">
        <v>47</v>
      </c>
      <c r="B6" s="126" t="s">
        <v>29</v>
      </c>
      <c r="C6" s="127"/>
      <c r="D6" s="127"/>
      <c r="E6" s="128"/>
      <c r="F6" s="126" t="s">
        <v>32</v>
      </c>
      <c r="G6" s="127"/>
      <c r="H6" s="127"/>
      <c r="I6" s="128"/>
      <c r="J6" s="126" t="s">
        <v>33</v>
      </c>
      <c r="K6" s="127"/>
      <c r="L6" s="127"/>
      <c r="M6" s="128"/>
      <c r="N6" s="126" t="s">
        <v>34</v>
      </c>
      <c r="O6" s="127"/>
      <c r="P6" s="127"/>
      <c r="Q6" s="128"/>
      <c r="R6" s="126" t="s">
        <v>49</v>
      </c>
      <c r="S6" s="127"/>
      <c r="T6" s="127"/>
      <c r="U6" s="128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spans="1:74" ht="20.25" x14ac:dyDescent="0.3">
      <c r="A7" s="75"/>
      <c r="B7" s="33" t="s">
        <v>10</v>
      </c>
      <c r="C7" s="34" t="s">
        <v>11</v>
      </c>
      <c r="D7" s="34" t="s">
        <v>9</v>
      </c>
      <c r="E7" s="35" t="s">
        <v>12</v>
      </c>
      <c r="F7" s="33" t="s">
        <v>10</v>
      </c>
      <c r="G7" s="34" t="s">
        <v>11</v>
      </c>
      <c r="H7" s="34" t="s">
        <v>9</v>
      </c>
      <c r="I7" s="35" t="s">
        <v>12</v>
      </c>
      <c r="J7" s="33" t="s">
        <v>10</v>
      </c>
      <c r="K7" s="34" t="s">
        <v>11</v>
      </c>
      <c r="L7" s="34" t="s">
        <v>9</v>
      </c>
      <c r="M7" s="35" t="s">
        <v>12</v>
      </c>
      <c r="N7" s="33" t="s">
        <v>10</v>
      </c>
      <c r="O7" s="34" t="s">
        <v>11</v>
      </c>
      <c r="P7" s="34" t="s">
        <v>9</v>
      </c>
      <c r="Q7" s="35" t="s">
        <v>12</v>
      </c>
      <c r="R7" s="33" t="s">
        <v>10</v>
      </c>
      <c r="S7" s="34" t="s">
        <v>11</v>
      </c>
      <c r="T7" s="34" t="s">
        <v>9</v>
      </c>
      <c r="U7" s="35" t="s">
        <v>12</v>
      </c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spans="1:74" ht="25.5" x14ac:dyDescent="0.2">
      <c r="A8" s="110" t="s">
        <v>48</v>
      </c>
      <c r="B8" s="36">
        <v>12</v>
      </c>
      <c r="C8" s="37" t="s">
        <v>50</v>
      </c>
      <c r="D8" s="38"/>
      <c r="E8" s="39">
        <f>B8*D8</f>
        <v>0</v>
      </c>
      <c r="F8" s="40">
        <v>12</v>
      </c>
      <c r="G8" s="37" t="s">
        <v>50</v>
      </c>
      <c r="H8" s="38"/>
      <c r="I8" s="39">
        <f>F8*H8</f>
        <v>0</v>
      </c>
      <c r="J8" s="40">
        <v>12</v>
      </c>
      <c r="K8" s="41" t="s">
        <v>50</v>
      </c>
      <c r="L8" s="42"/>
      <c r="M8" s="39">
        <f>SUM(J8*L8)</f>
        <v>0</v>
      </c>
      <c r="N8" s="40">
        <v>12</v>
      </c>
      <c r="O8" s="41" t="s">
        <v>50</v>
      </c>
      <c r="P8" s="42"/>
      <c r="Q8" s="39">
        <f>N8*P8</f>
        <v>0</v>
      </c>
      <c r="R8" s="40">
        <v>12</v>
      </c>
      <c r="S8" s="41" t="s">
        <v>50</v>
      </c>
      <c r="T8" s="42"/>
      <c r="U8" s="39">
        <f>R8*T8</f>
        <v>0</v>
      </c>
      <c r="V8" s="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 spans="1:74" ht="12.75" x14ac:dyDescent="0.2">
      <c r="A9" s="110" t="s">
        <v>43</v>
      </c>
      <c r="B9" s="36">
        <v>1</v>
      </c>
      <c r="C9" s="37" t="s">
        <v>51</v>
      </c>
      <c r="D9" s="38"/>
      <c r="E9" s="39">
        <f t="shared" ref="E9:E17" si="0">B9*D9</f>
        <v>0</v>
      </c>
      <c r="F9" s="40"/>
      <c r="G9" s="37"/>
      <c r="H9" s="38"/>
      <c r="I9" s="39">
        <f t="shared" ref="I9:I17" si="1">F9*H9</f>
        <v>0</v>
      </c>
      <c r="J9" s="40"/>
      <c r="K9" s="43"/>
      <c r="L9" s="42"/>
      <c r="M9" s="39">
        <f t="shared" ref="M9:M17" si="2">SUM(J9*L9)</f>
        <v>0</v>
      </c>
      <c r="N9" s="40"/>
      <c r="O9" s="46"/>
      <c r="P9" s="42">
        <v>0</v>
      </c>
      <c r="Q9" s="39">
        <f t="shared" ref="Q9:Q15" si="3">2080*O9*(P9/12)</f>
        <v>0</v>
      </c>
      <c r="R9" s="44"/>
      <c r="S9" s="45"/>
      <c r="T9" s="42">
        <v>0</v>
      </c>
      <c r="U9" s="39">
        <f t="shared" ref="U9:U17" si="4">R9*T9</f>
        <v>0</v>
      </c>
      <c r="V9" s="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</row>
    <row r="10" spans="1:74" ht="12.75" x14ac:dyDescent="0.2">
      <c r="A10" s="110"/>
      <c r="B10" s="36"/>
      <c r="C10" s="37"/>
      <c r="D10" s="38"/>
      <c r="E10" s="39">
        <f t="shared" si="0"/>
        <v>0</v>
      </c>
      <c r="F10" s="40"/>
      <c r="G10" s="37"/>
      <c r="H10" s="38">
        <f t="shared" ref="H10:H17" si="5">D10*(1+$B$38)</f>
        <v>0</v>
      </c>
      <c r="I10" s="39">
        <f t="shared" si="1"/>
        <v>0</v>
      </c>
      <c r="J10" s="40"/>
      <c r="K10" s="43"/>
      <c r="L10" s="42">
        <f t="shared" ref="L10:L17" si="6">H10*(1+$B$38)</f>
        <v>0</v>
      </c>
      <c r="M10" s="39">
        <f t="shared" si="2"/>
        <v>0</v>
      </c>
      <c r="N10" s="40"/>
      <c r="O10" s="46"/>
      <c r="P10" s="42">
        <f t="shared" ref="P10:P17" si="7">L10*(1+$B$38)</f>
        <v>0</v>
      </c>
      <c r="Q10" s="39">
        <f t="shared" si="3"/>
        <v>0</v>
      </c>
      <c r="R10" s="44"/>
      <c r="S10" s="45"/>
      <c r="T10" s="42">
        <f t="shared" ref="T10:T17" si="8">P10*(1+$B$38)</f>
        <v>0</v>
      </c>
      <c r="U10" s="39">
        <f t="shared" si="4"/>
        <v>0</v>
      </c>
      <c r="V10" s="7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</row>
    <row r="11" spans="1:74" ht="12.75" x14ac:dyDescent="0.2">
      <c r="A11" s="76"/>
      <c r="B11" s="36"/>
      <c r="C11" s="37"/>
      <c r="D11" s="38"/>
      <c r="E11" s="39">
        <f t="shared" si="0"/>
        <v>0</v>
      </c>
      <c r="F11" s="40"/>
      <c r="G11" s="37"/>
      <c r="H11" s="38">
        <f t="shared" si="5"/>
        <v>0</v>
      </c>
      <c r="I11" s="39">
        <f t="shared" si="1"/>
        <v>0</v>
      </c>
      <c r="J11" s="40"/>
      <c r="K11" s="43"/>
      <c r="L11" s="42">
        <f t="shared" si="6"/>
        <v>0</v>
      </c>
      <c r="M11" s="39">
        <f t="shared" si="2"/>
        <v>0</v>
      </c>
      <c r="N11" s="40"/>
      <c r="O11" s="46"/>
      <c r="P11" s="42">
        <f t="shared" si="7"/>
        <v>0</v>
      </c>
      <c r="Q11" s="39">
        <f t="shared" si="3"/>
        <v>0</v>
      </c>
      <c r="R11" s="44"/>
      <c r="S11" s="45"/>
      <c r="T11" s="42">
        <f t="shared" si="8"/>
        <v>0</v>
      </c>
      <c r="U11" s="39">
        <f t="shared" si="4"/>
        <v>0</v>
      </c>
      <c r="V11" s="7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</row>
    <row r="12" spans="1:74" ht="12.75" x14ac:dyDescent="0.2">
      <c r="A12" s="76"/>
      <c r="B12" s="36"/>
      <c r="C12" s="37"/>
      <c r="D12" s="38"/>
      <c r="E12" s="39">
        <f t="shared" si="0"/>
        <v>0</v>
      </c>
      <c r="F12" s="40"/>
      <c r="G12" s="37"/>
      <c r="H12" s="38">
        <f t="shared" si="5"/>
        <v>0</v>
      </c>
      <c r="I12" s="39">
        <f t="shared" si="1"/>
        <v>0</v>
      </c>
      <c r="J12" s="40"/>
      <c r="K12" s="43"/>
      <c r="L12" s="42">
        <f t="shared" si="6"/>
        <v>0</v>
      </c>
      <c r="M12" s="39">
        <f t="shared" si="2"/>
        <v>0</v>
      </c>
      <c r="N12" s="40"/>
      <c r="O12" s="46"/>
      <c r="P12" s="42">
        <f t="shared" si="7"/>
        <v>0</v>
      </c>
      <c r="Q12" s="39">
        <f t="shared" si="3"/>
        <v>0</v>
      </c>
      <c r="R12" s="44"/>
      <c r="S12" s="45"/>
      <c r="T12" s="42">
        <f t="shared" si="8"/>
        <v>0</v>
      </c>
      <c r="U12" s="39">
        <f t="shared" si="4"/>
        <v>0</v>
      </c>
      <c r="V12" s="7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spans="1:74" ht="12.75" x14ac:dyDescent="0.2">
      <c r="A13" s="76"/>
      <c r="B13" s="36"/>
      <c r="C13" s="37"/>
      <c r="D13" s="38"/>
      <c r="E13" s="39">
        <f t="shared" si="0"/>
        <v>0</v>
      </c>
      <c r="F13" s="40"/>
      <c r="G13" s="37"/>
      <c r="H13" s="38">
        <f t="shared" si="5"/>
        <v>0</v>
      </c>
      <c r="I13" s="39">
        <f t="shared" si="1"/>
        <v>0</v>
      </c>
      <c r="J13" s="40"/>
      <c r="K13" s="43"/>
      <c r="L13" s="42">
        <f t="shared" si="6"/>
        <v>0</v>
      </c>
      <c r="M13" s="39">
        <f t="shared" si="2"/>
        <v>0</v>
      </c>
      <c r="N13" s="40"/>
      <c r="O13" s="46"/>
      <c r="P13" s="42">
        <f t="shared" si="7"/>
        <v>0</v>
      </c>
      <c r="Q13" s="39">
        <f t="shared" si="3"/>
        <v>0</v>
      </c>
      <c r="R13" s="44"/>
      <c r="S13" s="45"/>
      <c r="T13" s="42">
        <f t="shared" si="8"/>
        <v>0</v>
      </c>
      <c r="U13" s="39">
        <f t="shared" si="4"/>
        <v>0</v>
      </c>
      <c r="V13" s="7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</row>
    <row r="14" spans="1:74" ht="15" x14ac:dyDescent="0.2">
      <c r="A14" s="77"/>
      <c r="B14" s="36"/>
      <c r="C14" s="37"/>
      <c r="D14" s="38"/>
      <c r="E14" s="39">
        <f t="shared" si="0"/>
        <v>0</v>
      </c>
      <c r="F14" s="40"/>
      <c r="G14" s="37"/>
      <c r="H14" s="38">
        <f t="shared" si="5"/>
        <v>0</v>
      </c>
      <c r="I14" s="39">
        <f t="shared" si="1"/>
        <v>0</v>
      </c>
      <c r="J14" s="40"/>
      <c r="K14" s="43"/>
      <c r="L14" s="42">
        <f t="shared" si="6"/>
        <v>0</v>
      </c>
      <c r="M14" s="39">
        <f t="shared" si="2"/>
        <v>0</v>
      </c>
      <c r="N14" s="40"/>
      <c r="O14" s="46"/>
      <c r="P14" s="42">
        <f t="shared" si="7"/>
        <v>0</v>
      </c>
      <c r="Q14" s="39">
        <f t="shared" si="3"/>
        <v>0</v>
      </c>
      <c r="R14" s="44"/>
      <c r="S14" s="45"/>
      <c r="T14" s="42">
        <f t="shared" si="8"/>
        <v>0</v>
      </c>
      <c r="U14" s="39">
        <f t="shared" si="4"/>
        <v>0</v>
      </c>
      <c r="V14" s="7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</row>
    <row r="15" spans="1:74" ht="15" x14ac:dyDescent="0.2">
      <c r="A15" s="77"/>
      <c r="B15" s="47"/>
      <c r="C15" s="37"/>
      <c r="D15" s="38"/>
      <c r="E15" s="39">
        <f t="shared" si="0"/>
        <v>0</v>
      </c>
      <c r="F15" s="40"/>
      <c r="G15" s="37"/>
      <c r="H15" s="38">
        <f t="shared" si="5"/>
        <v>0</v>
      </c>
      <c r="I15" s="39">
        <f t="shared" si="1"/>
        <v>0</v>
      </c>
      <c r="J15" s="40"/>
      <c r="K15" s="43"/>
      <c r="L15" s="42">
        <f t="shared" si="6"/>
        <v>0</v>
      </c>
      <c r="M15" s="39">
        <f t="shared" si="2"/>
        <v>0</v>
      </c>
      <c r="N15" s="40"/>
      <c r="O15" s="46"/>
      <c r="P15" s="42">
        <f t="shared" si="7"/>
        <v>0</v>
      </c>
      <c r="Q15" s="39">
        <f t="shared" si="3"/>
        <v>0</v>
      </c>
      <c r="R15" s="44"/>
      <c r="S15" s="45"/>
      <c r="T15" s="42">
        <f t="shared" si="8"/>
        <v>0</v>
      </c>
      <c r="U15" s="39">
        <f t="shared" si="4"/>
        <v>0</v>
      </c>
      <c r="V15" s="7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spans="1:74" ht="15" x14ac:dyDescent="0.2">
      <c r="A16" s="77"/>
      <c r="B16" s="36"/>
      <c r="C16" s="37"/>
      <c r="D16" s="38"/>
      <c r="E16" s="39">
        <f t="shared" si="0"/>
        <v>0</v>
      </c>
      <c r="F16" s="40"/>
      <c r="G16" s="37"/>
      <c r="H16" s="38">
        <f t="shared" si="5"/>
        <v>0</v>
      </c>
      <c r="I16" s="39">
        <f t="shared" si="1"/>
        <v>0</v>
      </c>
      <c r="J16" s="40"/>
      <c r="K16" s="43"/>
      <c r="L16" s="42">
        <f t="shared" si="6"/>
        <v>0</v>
      </c>
      <c r="M16" s="39">
        <f t="shared" si="2"/>
        <v>0</v>
      </c>
      <c r="N16" s="40"/>
      <c r="O16" s="46"/>
      <c r="P16" s="42">
        <f t="shared" si="7"/>
        <v>0</v>
      </c>
      <c r="Q16" s="39">
        <f>2080*O16*(P16/12)</f>
        <v>0</v>
      </c>
      <c r="R16" s="44"/>
      <c r="S16" s="45"/>
      <c r="T16" s="42">
        <f t="shared" si="8"/>
        <v>0</v>
      </c>
      <c r="U16" s="39">
        <f t="shared" si="4"/>
        <v>0</v>
      </c>
      <c r="V16" s="7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spans="1:74" thickBot="1" x14ac:dyDescent="0.25">
      <c r="A17" s="88"/>
      <c r="B17" s="36"/>
      <c r="C17" s="37"/>
      <c r="D17" s="38"/>
      <c r="E17" s="39">
        <f t="shared" si="0"/>
        <v>0</v>
      </c>
      <c r="F17" s="40"/>
      <c r="G17" s="37"/>
      <c r="H17" s="38">
        <f t="shared" si="5"/>
        <v>0</v>
      </c>
      <c r="I17" s="39">
        <f t="shared" si="1"/>
        <v>0</v>
      </c>
      <c r="J17" s="40"/>
      <c r="K17" s="43"/>
      <c r="L17" s="42">
        <f t="shared" si="6"/>
        <v>0</v>
      </c>
      <c r="M17" s="39">
        <f t="shared" si="2"/>
        <v>0</v>
      </c>
      <c r="N17" s="40"/>
      <c r="O17" s="46"/>
      <c r="P17" s="42">
        <f t="shared" si="7"/>
        <v>0</v>
      </c>
      <c r="Q17" s="39">
        <f>2080*O17*(P17/12)</f>
        <v>0</v>
      </c>
      <c r="R17" s="44"/>
      <c r="S17" s="45"/>
      <c r="T17" s="42">
        <f t="shared" si="8"/>
        <v>0</v>
      </c>
      <c r="U17" s="39">
        <f t="shared" si="4"/>
        <v>0</v>
      </c>
      <c r="V17" s="7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spans="1:74" ht="12.75" x14ac:dyDescent="0.2">
      <c r="A18" s="89" t="s">
        <v>13</v>
      </c>
      <c r="B18" s="48"/>
      <c r="C18" s="49"/>
      <c r="D18" s="49"/>
      <c r="E18" s="39">
        <f>SUM(E8:E17)</f>
        <v>0</v>
      </c>
      <c r="F18" s="48"/>
      <c r="G18" s="49"/>
      <c r="H18" s="49"/>
      <c r="I18" s="39">
        <f>SUM(I8:I17)</f>
        <v>0</v>
      </c>
      <c r="J18" s="48"/>
      <c r="K18" s="49"/>
      <c r="L18" s="49"/>
      <c r="M18" s="39">
        <f>SUM(M8:M17)</f>
        <v>0</v>
      </c>
      <c r="N18" s="48"/>
      <c r="O18" s="49"/>
      <c r="P18" s="49"/>
      <c r="Q18" s="39">
        <f>SUM(Q8:Q17)</f>
        <v>0</v>
      </c>
      <c r="R18" s="48"/>
      <c r="S18" s="49"/>
      <c r="T18" s="50"/>
      <c r="U18" s="39">
        <f>SUM(U8:U17)</f>
        <v>0</v>
      </c>
      <c r="V18" s="7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</row>
    <row r="19" spans="1:74" ht="12.75" x14ac:dyDescent="0.2">
      <c r="A19" s="79" t="s">
        <v>26</v>
      </c>
      <c r="B19" s="51"/>
      <c r="C19" s="52"/>
      <c r="D19" s="53"/>
      <c r="E19" s="54">
        <f>E18*$B$39</f>
        <v>0</v>
      </c>
      <c r="F19" s="51"/>
      <c r="G19" s="52"/>
      <c r="H19" s="53"/>
      <c r="I19" s="39">
        <f>I18*$B$39</f>
        <v>0</v>
      </c>
      <c r="J19" s="55"/>
      <c r="K19" s="56"/>
      <c r="L19" s="56"/>
      <c r="M19" s="39">
        <f>M18*$B$39</f>
        <v>0</v>
      </c>
      <c r="N19" s="55"/>
      <c r="O19" s="56"/>
      <c r="P19" s="56"/>
      <c r="Q19" s="39">
        <f>Q18*$B$39</f>
        <v>0</v>
      </c>
      <c r="R19" s="55"/>
      <c r="S19" s="56"/>
      <c r="T19" s="53"/>
      <c r="U19" s="39">
        <f>U18*$B$39</f>
        <v>0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</row>
    <row r="20" spans="1:74" ht="12.75" x14ac:dyDescent="0.2">
      <c r="A20" s="78" t="s">
        <v>14</v>
      </c>
      <c r="B20" s="48"/>
      <c r="C20" s="49"/>
      <c r="D20" s="49"/>
      <c r="E20" s="57">
        <f>SUM(E18:E19)</f>
        <v>0</v>
      </c>
      <c r="F20" s="48"/>
      <c r="G20" s="49"/>
      <c r="H20" s="49"/>
      <c r="I20" s="39">
        <f>SUM(I18:I19)</f>
        <v>0</v>
      </c>
      <c r="J20" s="48"/>
      <c r="K20" s="49"/>
      <c r="L20" s="49"/>
      <c r="M20" s="39">
        <f>SUM(M18:M19)</f>
        <v>0</v>
      </c>
      <c r="N20" s="48"/>
      <c r="O20" s="49"/>
      <c r="P20" s="49"/>
      <c r="Q20" s="57">
        <f>SUM(Q18:Q19)</f>
        <v>0</v>
      </c>
      <c r="R20" s="48"/>
      <c r="S20" s="49"/>
      <c r="T20" s="58"/>
      <c r="U20" s="57">
        <f>SUM(U18:U19)</f>
        <v>0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spans="1:74" ht="12.75" x14ac:dyDescent="0.2">
      <c r="A21" s="80" t="s">
        <v>6</v>
      </c>
      <c r="B21" s="48"/>
      <c r="C21" s="49"/>
      <c r="D21" s="58"/>
      <c r="E21" s="54">
        <f>E20*$B$40</f>
        <v>0</v>
      </c>
      <c r="F21" s="48"/>
      <c r="G21" s="49"/>
      <c r="H21" s="58"/>
      <c r="I21" s="39">
        <f>I20*$B$40</f>
        <v>0</v>
      </c>
      <c r="J21" s="48"/>
      <c r="K21" s="49"/>
      <c r="L21" s="49"/>
      <c r="M21" s="39">
        <f>M20*$B$40</f>
        <v>0</v>
      </c>
      <c r="N21" s="48"/>
      <c r="O21" s="49"/>
      <c r="P21" s="49"/>
      <c r="Q21" s="39">
        <f>Q20*$B$40</f>
        <v>0</v>
      </c>
      <c r="R21" s="48"/>
      <c r="S21" s="49"/>
      <c r="T21" s="58"/>
      <c r="U21" s="39">
        <f>U20*$B$40</f>
        <v>0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spans="1:74" ht="13.5" thickBot="1" x14ac:dyDescent="0.25">
      <c r="A22" s="90" t="s">
        <v>15</v>
      </c>
      <c r="B22" s="48"/>
      <c r="C22" s="49"/>
      <c r="D22" s="49"/>
      <c r="E22" s="57">
        <f>SUM(E20:E21)</f>
        <v>0</v>
      </c>
      <c r="F22" s="48"/>
      <c r="G22" s="49"/>
      <c r="H22" s="49"/>
      <c r="I22" s="39">
        <f>SUM(I20:I21)</f>
        <v>0</v>
      </c>
      <c r="J22" s="48"/>
      <c r="K22" s="49"/>
      <c r="L22" s="49"/>
      <c r="M22" s="39">
        <f>SUM(M20:M21)</f>
        <v>0</v>
      </c>
      <c r="N22" s="48"/>
      <c r="O22" s="49"/>
      <c r="P22" s="49"/>
      <c r="Q22" s="57">
        <f>SUM(Q20:Q21)</f>
        <v>0</v>
      </c>
      <c r="R22" s="48"/>
      <c r="S22" s="49"/>
      <c r="T22" s="58"/>
      <c r="U22" s="57">
        <f>SUM(U20:U21)</f>
        <v>0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spans="1:74" ht="12.75" x14ac:dyDescent="0.2">
      <c r="A23" s="91" t="s">
        <v>37</v>
      </c>
      <c r="B23" s="59"/>
      <c r="C23" s="49"/>
      <c r="D23" s="49"/>
      <c r="E23" s="60"/>
      <c r="F23" s="48"/>
      <c r="G23" s="49"/>
      <c r="H23" s="49"/>
      <c r="I23" s="60"/>
      <c r="J23" s="48"/>
      <c r="K23" s="49"/>
      <c r="L23" s="49"/>
      <c r="M23" s="60"/>
      <c r="N23" s="48"/>
      <c r="O23" s="49"/>
      <c r="P23" s="49"/>
      <c r="Q23" s="60"/>
      <c r="R23" s="48"/>
      <c r="S23" s="49"/>
      <c r="T23" s="49"/>
      <c r="U23" s="60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spans="1:74" ht="12.75" x14ac:dyDescent="0.2">
      <c r="A24" s="78" t="s">
        <v>3</v>
      </c>
      <c r="B24" s="61"/>
      <c r="C24" s="62"/>
      <c r="D24" s="62"/>
      <c r="E24" s="63">
        <v>0</v>
      </c>
      <c r="F24" s="61"/>
      <c r="G24" s="62"/>
      <c r="H24" s="62"/>
      <c r="I24" s="64">
        <v>0</v>
      </c>
      <c r="J24" s="61"/>
      <c r="K24" s="62"/>
      <c r="L24" s="62"/>
      <c r="M24" s="64">
        <v>0</v>
      </c>
      <c r="N24" s="61"/>
      <c r="O24" s="62"/>
      <c r="P24" s="62"/>
      <c r="Q24" s="64">
        <v>0</v>
      </c>
      <c r="R24" s="65"/>
      <c r="S24" s="62"/>
      <c r="T24" s="66"/>
      <c r="U24" s="64">
        <v>0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spans="1:74" ht="12.75" x14ac:dyDescent="0.2">
      <c r="A25" s="78" t="s">
        <v>2</v>
      </c>
      <c r="B25" s="65"/>
      <c r="C25" s="62"/>
      <c r="D25" s="62"/>
      <c r="E25" s="63">
        <v>0</v>
      </c>
      <c r="F25" s="65"/>
      <c r="G25" s="62"/>
      <c r="H25" s="62"/>
      <c r="I25" s="64">
        <v>0</v>
      </c>
      <c r="J25" s="65"/>
      <c r="K25" s="62"/>
      <c r="L25" s="62"/>
      <c r="M25" s="67">
        <v>0</v>
      </c>
      <c r="N25" s="65"/>
      <c r="O25" s="62"/>
      <c r="P25" s="62"/>
      <c r="Q25" s="64">
        <v>0</v>
      </c>
      <c r="R25" s="65"/>
      <c r="S25" s="62"/>
      <c r="T25" s="66"/>
      <c r="U25" s="64">
        <v>0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spans="1:74" ht="12.75" x14ac:dyDescent="0.2">
      <c r="A26" s="78" t="s">
        <v>0</v>
      </c>
      <c r="B26" s="65"/>
      <c r="C26" s="62"/>
      <c r="D26" s="62"/>
      <c r="E26" s="63">
        <v>0</v>
      </c>
      <c r="F26" s="65"/>
      <c r="G26" s="62"/>
      <c r="H26" s="62"/>
      <c r="I26" s="64">
        <v>0</v>
      </c>
      <c r="J26" s="65"/>
      <c r="K26" s="62"/>
      <c r="L26" s="62"/>
      <c r="M26" s="67">
        <v>0</v>
      </c>
      <c r="N26" s="65"/>
      <c r="O26" s="62"/>
      <c r="P26" s="62"/>
      <c r="Q26" s="64">
        <v>0</v>
      </c>
      <c r="R26" s="65"/>
      <c r="S26" s="62"/>
      <c r="T26" s="68"/>
      <c r="U26" s="64">
        <v>0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spans="1:74" ht="12.75" x14ac:dyDescent="0.2">
      <c r="A27" s="78" t="s">
        <v>24</v>
      </c>
      <c r="B27" s="65"/>
      <c r="C27" s="62"/>
      <c r="D27" s="62"/>
      <c r="E27" s="63">
        <v>0</v>
      </c>
      <c r="F27" s="65"/>
      <c r="G27" s="62"/>
      <c r="H27" s="62"/>
      <c r="I27" s="64">
        <v>0</v>
      </c>
      <c r="J27" s="65"/>
      <c r="K27" s="62"/>
      <c r="L27" s="62"/>
      <c r="M27" s="67">
        <v>0</v>
      </c>
      <c r="N27" s="65"/>
      <c r="O27" s="62"/>
      <c r="P27" s="62"/>
      <c r="Q27" s="64">
        <v>0</v>
      </c>
      <c r="R27" s="65"/>
      <c r="S27" s="62"/>
      <c r="T27" s="68"/>
      <c r="U27" s="64">
        <v>0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</row>
    <row r="28" spans="1:74" ht="12.75" x14ac:dyDescent="0.2">
      <c r="A28" s="78" t="s">
        <v>25</v>
      </c>
      <c r="B28" s="65"/>
      <c r="C28" s="62"/>
      <c r="D28" s="62"/>
      <c r="E28" s="63">
        <v>0</v>
      </c>
      <c r="F28" s="65"/>
      <c r="G28" s="62"/>
      <c r="H28" s="62"/>
      <c r="I28" s="64">
        <v>0</v>
      </c>
      <c r="J28" s="65"/>
      <c r="K28" s="62"/>
      <c r="L28" s="62"/>
      <c r="M28" s="67">
        <v>0</v>
      </c>
      <c r="N28" s="65"/>
      <c r="O28" s="62"/>
      <c r="P28" s="62"/>
      <c r="Q28" s="64">
        <v>0</v>
      </c>
      <c r="R28" s="65"/>
      <c r="S28" s="62"/>
      <c r="T28" s="68"/>
      <c r="U28" s="64">
        <v>0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spans="1:74" ht="12.75" x14ac:dyDescent="0.2">
      <c r="A29" s="78" t="s">
        <v>17</v>
      </c>
      <c r="B29" s="48"/>
      <c r="C29" s="49"/>
      <c r="D29" s="49"/>
      <c r="E29" s="54">
        <f>SUM(E24:E28)</f>
        <v>0</v>
      </c>
      <c r="F29" s="48"/>
      <c r="G29" s="49"/>
      <c r="H29" s="49"/>
      <c r="I29" s="39">
        <f>I27+I28</f>
        <v>0</v>
      </c>
      <c r="J29" s="48"/>
      <c r="K29" s="49"/>
      <c r="L29" s="49"/>
      <c r="M29" s="69">
        <f>M27+M28</f>
        <v>0</v>
      </c>
      <c r="N29" s="48"/>
      <c r="O29" s="49"/>
      <c r="P29" s="49"/>
      <c r="Q29" s="64">
        <v>0</v>
      </c>
      <c r="R29" s="48"/>
      <c r="S29" s="49"/>
      <c r="T29" s="49"/>
      <c r="U29" s="64">
        <v>0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1:74" ht="12.75" x14ac:dyDescent="0.2">
      <c r="A30" s="78" t="s">
        <v>8</v>
      </c>
      <c r="B30" s="48"/>
      <c r="C30" s="49"/>
      <c r="D30" s="49"/>
      <c r="E30" s="54">
        <f>SUM(E22+E29)</f>
        <v>0</v>
      </c>
      <c r="F30" s="48"/>
      <c r="G30" s="49"/>
      <c r="H30" s="49"/>
      <c r="I30" s="39">
        <f>+I29+I21+I20</f>
        <v>0</v>
      </c>
      <c r="J30" s="48"/>
      <c r="K30" s="49"/>
      <c r="L30" s="49"/>
      <c r="M30" s="39">
        <f>+M29+M21+M20</f>
        <v>0</v>
      </c>
      <c r="N30" s="48"/>
      <c r="O30" s="49"/>
      <c r="P30" s="49"/>
      <c r="Q30" s="54">
        <f>SUM(Q22:Q29)</f>
        <v>0</v>
      </c>
      <c r="R30" s="48"/>
      <c r="S30" s="49"/>
      <c r="T30" s="49"/>
      <c r="U30" s="54">
        <f>SUM(U22:U29)</f>
        <v>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1:74" ht="12.75" x14ac:dyDescent="0.2">
      <c r="A31" s="79" t="s">
        <v>7</v>
      </c>
      <c r="B31" s="55"/>
      <c r="C31" s="52"/>
      <c r="D31" s="53"/>
      <c r="E31" s="54">
        <f>E30*$B$41</f>
        <v>0</v>
      </c>
      <c r="F31" s="55"/>
      <c r="G31" s="52"/>
      <c r="H31" s="53"/>
      <c r="I31" s="39">
        <f>I30*$B$41</f>
        <v>0</v>
      </c>
      <c r="J31" s="55"/>
      <c r="K31" s="56"/>
      <c r="L31" s="56"/>
      <c r="M31" s="39">
        <f>M30*$B$41</f>
        <v>0</v>
      </c>
      <c r="N31" s="55"/>
      <c r="O31" s="56"/>
      <c r="P31" s="56"/>
      <c r="Q31" s="39">
        <f>Q30*$B$41</f>
        <v>0</v>
      </c>
      <c r="R31" s="55"/>
      <c r="S31" s="56"/>
      <c r="T31" s="53"/>
      <c r="U31" s="39">
        <f>U30*$B$41</f>
        <v>0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spans="1:74" ht="15" x14ac:dyDescent="0.25">
      <c r="A32" s="92" t="s">
        <v>1</v>
      </c>
      <c r="B32" s="48"/>
      <c r="C32" s="49"/>
      <c r="D32" s="49"/>
      <c r="E32" s="54">
        <f>SUM(E30+E31)</f>
        <v>0</v>
      </c>
      <c r="F32" s="48"/>
      <c r="G32" s="49"/>
      <c r="H32" s="49"/>
      <c r="I32" s="39">
        <f>+I31+I30</f>
        <v>0</v>
      </c>
      <c r="J32" s="48"/>
      <c r="K32" s="49"/>
      <c r="L32" s="49"/>
      <c r="M32" s="39">
        <f>+M31+M30</f>
        <v>0</v>
      </c>
      <c r="N32" s="48"/>
      <c r="O32" s="49"/>
      <c r="P32" s="49"/>
      <c r="Q32" s="54">
        <f>SUM(Q30:Q31)</f>
        <v>0</v>
      </c>
      <c r="R32" s="48"/>
      <c r="S32" s="49"/>
      <c r="T32" s="49"/>
      <c r="U32" s="54">
        <f>SUM(U30:U31)</f>
        <v>0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1:74" ht="12.75" x14ac:dyDescent="0.2">
      <c r="A33" s="79" t="s">
        <v>16</v>
      </c>
      <c r="B33" s="48"/>
      <c r="C33" s="49"/>
      <c r="D33" s="49"/>
      <c r="E33" s="54">
        <f>E32*$B$42</f>
        <v>0</v>
      </c>
      <c r="F33" s="48"/>
      <c r="G33" s="49"/>
      <c r="H33" s="49"/>
      <c r="I33" s="39">
        <f>I32*$B$42</f>
        <v>0</v>
      </c>
      <c r="J33" s="48"/>
      <c r="K33" s="49"/>
      <c r="L33" s="49"/>
      <c r="M33" s="39">
        <f>M32*$B$42</f>
        <v>0</v>
      </c>
      <c r="N33" s="48"/>
      <c r="O33" s="49"/>
      <c r="P33" s="49"/>
      <c r="Q33" s="39">
        <f>Q32*$B$42</f>
        <v>0</v>
      </c>
      <c r="R33" s="48"/>
      <c r="S33" s="49"/>
      <c r="T33" s="49"/>
      <c r="U33" s="39">
        <f>U32*$B$42</f>
        <v>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1:74" thickBot="1" x14ac:dyDescent="0.3">
      <c r="A34" s="93" t="s">
        <v>22</v>
      </c>
      <c r="B34" s="70"/>
      <c r="C34" s="71"/>
      <c r="D34" s="71"/>
      <c r="E34" s="72">
        <f>SUM(E32:E33)</f>
        <v>0</v>
      </c>
      <c r="F34" s="70"/>
      <c r="G34" s="71"/>
      <c r="H34" s="71"/>
      <c r="I34" s="73">
        <f>SUM(I32:I33)</f>
        <v>0</v>
      </c>
      <c r="J34" s="70"/>
      <c r="K34" s="71"/>
      <c r="L34" s="71"/>
      <c r="M34" s="73">
        <f>M32+M33</f>
        <v>0</v>
      </c>
      <c r="N34" s="70"/>
      <c r="O34" s="71"/>
      <c r="P34" s="71"/>
      <c r="Q34" s="72">
        <f>SUM(Q32:Q33)</f>
        <v>0</v>
      </c>
      <c r="R34" s="70"/>
      <c r="S34" s="71"/>
      <c r="T34" s="71"/>
      <c r="U34" s="72">
        <f>SUM(U32:U33)</f>
        <v>0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1:74" ht="60" customHeight="1" thickBot="1" x14ac:dyDescent="0.65">
      <c r="A35" s="94" t="s">
        <v>23</v>
      </c>
      <c r="B35" s="124">
        <f>SUM(E34:U34)</f>
        <v>0</v>
      </c>
      <c r="C35" s="125"/>
      <c r="D35" s="125"/>
      <c r="E35" s="125"/>
      <c r="F35" s="115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7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spans="1:74" ht="15" x14ac:dyDescent="0.2">
      <c r="A36" s="19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spans="1:74" ht="16.5" thickBot="1" x14ac:dyDescent="0.3">
      <c r="A37" s="74" t="s">
        <v>4</v>
      </c>
      <c r="B37" s="74" t="s">
        <v>28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spans="1:74" ht="23.25" x14ac:dyDescent="0.25">
      <c r="A38" s="81" t="s">
        <v>5</v>
      </c>
      <c r="B38" s="82">
        <v>2.2499999999999999E-2</v>
      </c>
      <c r="C38" s="14"/>
      <c r="D38" s="30" t="s">
        <v>40</v>
      </c>
      <c r="E38" s="98" t="s">
        <v>44</v>
      </c>
      <c r="F38" s="98"/>
      <c r="G38" s="98"/>
      <c r="H38" s="99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1:74" x14ac:dyDescent="0.25">
      <c r="A39" s="83" t="s">
        <v>18</v>
      </c>
      <c r="B39" s="84">
        <v>0</v>
      </c>
      <c r="C39" s="14"/>
      <c r="D39" s="100" t="s">
        <v>41</v>
      </c>
      <c r="E39" s="111">
        <v>45883</v>
      </c>
      <c r="F39" s="97"/>
      <c r="G39" s="105"/>
      <c r="H39" s="106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spans="1:74" x14ac:dyDescent="0.25">
      <c r="A40" s="83" t="s">
        <v>19</v>
      </c>
      <c r="B40" s="85">
        <v>0</v>
      </c>
      <c r="C40" s="11"/>
      <c r="D40" s="100"/>
      <c r="E40" s="108"/>
      <c r="F40" s="108"/>
      <c r="G40" s="108"/>
      <c r="H40" s="109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7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spans="1:74" ht="18" x14ac:dyDescent="0.25">
      <c r="A41" s="83" t="s">
        <v>20</v>
      </c>
      <c r="B41" s="85">
        <v>0</v>
      </c>
      <c r="C41" s="11"/>
      <c r="D41" s="100" t="s">
        <v>42</v>
      </c>
      <c r="E41" s="112" t="s">
        <v>44</v>
      </c>
      <c r="F41" s="96"/>
      <c r="G41" s="96"/>
      <c r="H41" s="10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7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spans="1:74" ht="16.5" thickBot="1" x14ac:dyDescent="0.3">
      <c r="A42" s="86" t="s">
        <v>21</v>
      </c>
      <c r="B42" s="87">
        <v>0</v>
      </c>
      <c r="C42" s="11"/>
      <c r="D42" s="101"/>
      <c r="E42" s="102"/>
      <c r="F42" s="103"/>
      <c r="G42" s="103"/>
      <c r="H42" s="104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7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spans="1:74" hidden="1" x14ac:dyDescent="0.25">
      <c r="A43" s="18"/>
      <c r="B43" s="11"/>
      <c r="C43" s="11"/>
      <c r="D43" s="11"/>
      <c r="E43" s="15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spans="1:74" ht="12.75" hidden="1" x14ac:dyDescent="0.2">
      <c r="A44" s="20"/>
      <c r="B44" s="1"/>
      <c r="C44" s="1"/>
      <c r="D44" s="1"/>
      <c r="E44" s="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spans="1:74" ht="12.75" hidden="1" x14ac:dyDescent="0.2">
      <c r="A45" s="21"/>
      <c r="B45" s="9"/>
      <c r="C45" s="1"/>
      <c r="D45" s="1"/>
      <c r="E45" s="1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spans="1:74" ht="12.75" hidden="1" x14ac:dyDescent="0.2">
      <c r="A46" s="21"/>
      <c r="B46" s="9"/>
      <c r="C46" s="1"/>
      <c r="D46" s="1"/>
      <c r="E46" s="1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spans="1:74" ht="12.75" hidden="1" x14ac:dyDescent="0.2">
      <c r="A47" s="21"/>
      <c r="B47" s="1"/>
      <c r="C47" s="1"/>
      <c r="D47" s="1"/>
      <c r="E47" s="1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spans="1:74" ht="12.75" hidden="1" x14ac:dyDescent="0.2">
      <c r="A48" s="21"/>
      <c r="B48" s="1"/>
      <c r="C48" s="1"/>
      <c r="D48" s="1"/>
      <c r="E48" s="1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1:74" ht="12.75" hidden="1" x14ac:dyDescent="0.2">
      <c r="A49" s="20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1:74" ht="12.75" hidden="1" x14ac:dyDescent="0.2">
      <c r="A50" s="2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1:74" ht="12.75" hidden="1" x14ac:dyDescent="0.2">
      <c r="A51" s="2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</row>
    <row r="52" spans="1:74" ht="12.75" hidden="1" x14ac:dyDescent="0.2">
      <c r="A52" s="2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spans="1:74" ht="12.75" hidden="1" x14ac:dyDescent="0.2">
      <c r="A53" s="2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spans="1:74" ht="12.75" hidden="1" x14ac:dyDescent="0.2">
      <c r="A54" s="2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spans="1:74" ht="12.75" hidden="1" x14ac:dyDescent="0.2">
      <c r="A55" s="2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spans="1:74" ht="12.75" hidden="1" x14ac:dyDescent="0.2">
      <c r="A56" s="21"/>
      <c r="B56" s="1"/>
      <c r="C56" s="1"/>
      <c r="D56" s="1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spans="1:74" ht="12.75" hidden="1" x14ac:dyDescent="0.2">
      <c r="A57" s="22"/>
      <c r="B57" s="1"/>
      <c r="C57" s="1"/>
      <c r="D57" s="1"/>
      <c r="E57" s="1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spans="1:74" ht="12.75" hidden="1" x14ac:dyDescent="0.2">
      <c r="A58" s="23"/>
      <c r="B58" s="1"/>
      <c r="C58" s="1"/>
      <c r="D58" s="1"/>
      <c r="E58" s="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spans="1:74" ht="12.75" hidden="1" x14ac:dyDescent="0.2">
      <c r="A59" s="22"/>
      <c r="B59" s="1"/>
      <c r="C59" s="1"/>
      <c r="D59" s="1"/>
      <c r="E59" s="1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spans="1:74" ht="12.75" hidden="1" x14ac:dyDescent="0.2">
      <c r="A60" s="22"/>
      <c r="B60" s="1"/>
      <c r="C60" s="1"/>
      <c r="D60" s="1"/>
      <c r="E60" s="1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spans="1:74" ht="12.75" hidden="1" x14ac:dyDescent="0.2">
      <c r="A61" s="22"/>
      <c r="B61" s="1"/>
      <c r="C61" s="1"/>
      <c r="D61" s="1"/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spans="1:74" ht="12.75" hidden="1" x14ac:dyDescent="0.2">
      <c r="A62" s="21"/>
      <c r="B62" s="1"/>
      <c r="C62" s="1"/>
      <c r="D62" s="1"/>
      <c r="E62" s="1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spans="1:74" ht="12.75" hidden="1" x14ac:dyDescent="0.2">
      <c r="A63" s="21"/>
      <c r="B63" s="1"/>
      <c r="C63" s="1"/>
      <c r="D63" s="1"/>
      <c r="E63" s="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spans="1:74" ht="12.75" hidden="1" x14ac:dyDescent="0.2">
      <c r="A64" s="24"/>
      <c r="B64" s="1"/>
      <c r="C64" s="1"/>
      <c r="D64" s="1"/>
      <c r="E64" s="1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spans="1:74" ht="12.75" hidden="1" x14ac:dyDescent="0.2">
      <c r="A65" s="22"/>
      <c r="B65" s="3"/>
      <c r="C65" s="1"/>
      <c r="D65" s="1"/>
      <c r="E65" s="1"/>
      <c r="F65" s="10"/>
      <c r="G65" s="10"/>
      <c r="H65" s="10"/>
      <c r="I65" s="8"/>
      <c r="J65" s="10"/>
      <c r="K65" s="10"/>
      <c r="L65" s="10"/>
      <c r="M65" s="8"/>
      <c r="N65" s="10"/>
      <c r="O65" s="10"/>
      <c r="P65" s="10"/>
      <c r="Q65" s="8"/>
      <c r="R65" s="10"/>
      <c r="S65" s="10"/>
      <c r="T65" s="8"/>
      <c r="U65" s="8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spans="1:74" ht="12.75" hidden="1" x14ac:dyDescent="0.2">
      <c r="A66" s="21"/>
      <c r="B66" s="1"/>
      <c r="C66" s="1"/>
      <c r="D66" s="1"/>
      <c r="E66" s="1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 ht="12.75" hidden="1" x14ac:dyDescent="0.2">
      <c r="A67" s="21"/>
      <c r="B67" s="1"/>
      <c r="C67" s="1"/>
      <c r="D67" s="1"/>
      <c r="E67" s="1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 ht="12.75" hidden="1" x14ac:dyDescent="0.2">
      <c r="A68" s="21"/>
      <c r="B68" s="1"/>
      <c r="C68" s="1"/>
      <c r="D68" s="1"/>
      <c r="E68" s="1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 ht="12.75" hidden="1" x14ac:dyDescent="0.2">
      <c r="A69" s="21"/>
      <c r="B69" s="1"/>
      <c r="C69" s="1"/>
      <c r="D69" s="1"/>
      <c r="E69" s="1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 ht="12.75" hidden="1" x14ac:dyDescent="0.2">
      <c r="A70" s="21"/>
      <c r="B70" s="1"/>
      <c r="C70" s="1"/>
      <c r="D70" s="1"/>
      <c r="E70" s="1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 ht="12.75" hidden="1" x14ac:dyDescent="0.2">
      <c r="A71" s="21"/>
      <c r="B71" s="1"/>
      <c r="C71" s="1"/>
      <c r="D71" s="1"/>
      <c r="E71" s="1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 ht="12.75" hidden="1" x14ac:dyDescent="0.2">
      <c r="A72" s="21"/>
      <c r="B72" s="1"/>
      <c r="C72" s="1"/>
      <c r="D72" s="1"/>
      <c r="E72" s="1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 ht="12.75" hidden="1" x14ac:dyDescent="0.2">
      <c r="A73" s="21"/>
      <c r="B73" s="1"/>
      <c r="C73" s="1"/>
      <c r="D73" s="1"/>
      <c r="E73" s="1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 ht="12.75" hidden="1" x14ac:dyDescent="0.2">
      <c r="A74" s="21"/>
      <c r="B74" s="1"/>
      <c r="C74" s="1"/>
      <c r="D74" s="1"/>
      <c r="E74" s="1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 ht="12.75" hidden="1" x14ac:dyDescent="0.2">
      <c r="A75" s="21"/>
      <c r="B75" s="1"/>
      <c r="C75" s="1"/>
      <c r="D75" s="1"/>
      <c r="E75" s="1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 ht="12.75" hidden="1" x14ac:dyDescent="0.2">
      <c r="A76" s="21"/>
      <c r="B76" s="1"/>
      <c r="C76" s="1"/>
      <c r="D76" s="1"/>
      <c r="E76" s="1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 ht="12.75" hidden="1" x14ac:dyDescent="0.2">
      <c r="A77" s="21"/>
      <c r="B77" s="1"/>
      <c r="C77" s="1"/>
      <c r="D77" s="1"/>
      <c r="E77" s="1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</row>
    <row r="78" spans="1:74" ht="12.75" hidden="1" x14ac:dyDescent="0.2">
      <c r="A78" s="21"/>
      <c r="B78" s="1"/>
      <c r="C78" s="1"/>
      <c r="D78" s="1"/>
      <c r="E78" s="1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</row>
    <row r="79" spans="1:74" ht="12.75" hidden="1" x14ac:dyDescent="0.2">
      <c r="A79" s="21"/>
      <c r="B79" s="1"/>
      <c r="C79" s="1"/>
      <c r="D79" s="1"/>
      <c r="E79" s="1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</row>
    <row r="80" spans="1:74" ht="12.75" hidden="1" x14ac:dyDescent="0.2">
      <c r="A80" s="21"/>
      <c r="B80" s="1"/>
      <c r="C80" s="1"/>
      <c r="D80" s="1"/>
      <c r="E80" s="1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</row>
    <row r="81" spans="1:74" ht="12.75" hidden="1" x14ac:dyDescent="0.2">
      <c r="A81" s="21"/>
      <c r="B81" s="1"/>
      <c r="C81" s="1"/>
      <c r="D81" s="1"/>
      <c r="E81" s="1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</row>
    <row r="82" spans="1:74" ht="12.75" hidden="1" x14ac:dyDescent="0.2">
      <c r="A82" s="21"/>
      <c r="B82" s="1"/>
      <c r="C82" s="1"/>
      <c r="D82" s="1"/>
      <c r="E82" s="1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</row>
    <row r="83" spans="1:74" ht="12.75" hidden="1" x14ac:dyDescent="0.2">
      <c r="A83" s="21"/>
      <c r="B83" s="1"/>
      <c r="C83" s="1"/>
      <c r="D83" s="1"/>
      <c r="E83" s="1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</row>
    <row r="84" spans="1:74" ht="12.75" hidden="1" x14ac:dyDescent="0.2">
      <c r="A84" s="21"/>
      <c r="B84" s="1"/>
      <c r="C84" s="1"/>
      <c r="D84" s="1"/>
      <c r="E84" s="1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</row>
    <row r="85" spans="1:74" ht="12.75" hidden="1" x14ac:dyDescent="0.2">
      <c r="A85" s="21"/>
      <c r="B85" s="1"/>
      <c r="C85" s="1"/>
      <c r="D85" s="1"/>
      <c r="E85" s="1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 spans="1:74" ht="12.75" hidden="1" x14ac:dyDescent="0.2">
      <c r="A86" s="21"/>
      <c r="B86" s="1"/>
      <c r="C86" s="1"/>
      <c r="D86" s="1"/>
      <c r="E86" s="1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</row>
    <row r="87" spans="1:74" ht="12.75" hidden="1" x14ac:dyDescent="0.2">
      <c r="A87" s="21"/>
      <c r="B87" s="1"/>
      <c r="C87" s="1"/>
      <c r="D87" s="1"/>
      <c r="E87" s="1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</row>
    <row r="88" spans="1:74" ht="12.75" hidden="1" x14ac:dyDescent="0.2">
      <c r="A88" s="21"/>
      <c r="B88" s="1"/>
      <c r="C88" s="1"/>
      <c r="D88" s="1"/>
      <c r="E88" s="1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</row>
    <row r="89" spans="1:74" ht="12.75" hidden="1" x14ac:dyDescent="0.2">
      <c r="A89" s="21"/>
      <c r="B89" s="1"/>
      <c r="C89" s="1"/>
      <c r="D89" s="1"/>
      <c r="E89" s="1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spans="1:74" ht="12.75" hidden="1" x14ac:dyDescent="0.2">
      <c r="A90" s="21"/>
      <c r="B90" s="1"/>
      <c r="C90" s="1"/>
      <c r="D90" s="1"/>
      <c r="E90" s="1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 spans="1:74" ht="12.75" hidden="1" x14ac:dyDescent="0.2">
      <c r="A91" s="21"/>
      <c r="B91" s="1"/>
      <c r="C91" s="1"/>
      <c r="D91" s="1"/>
      <c r="E91" s="1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 spans="1:74" ht="12.75" hidden="1" x14ac:dyDescent="0.2">
      <c r="A92" s="21"/>
      <c r="B92" s="1"/>
      <c r="C92" s="1"/>
      <c r="D92" s="1"/>
      <c r="E92" s="1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 spans="1:74" ht="12.75" hidden="1" x14ac:dyDescent="0.2">
      <c r="A93" s="21"/>
      <c r="B93" s="1"/>
      <c r="C93" s="1"/>
      <c r="D93" s="1"/>
      <c r="E93" s="1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 spans="1:74" ht="12.75" hidden="1" x14ac:dyDescent="0.2">
      <c r="A94" s="21"/>
      <c r="B94" s="1"/>
      <c r="C94" s="1"/>
      <c r="D94" s="1"/>
      <c r="E94" s="1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spans="1:74" ht="12.75" hidden="1" x14ac:dyDescent="0.2">
      <c r="A95" s="21"/>
      <c r="B95" s="1"/>
      <c r="C95" s="1"/>
      <c r="D95" s="1"/>
      <c r="E95" s="1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</row>
    <row r="96" spans="1:74" ht="12.75" hidden="1" x14ac:dyDescent="0.2">
      <c r="A96" s="21"/>
      <c r="B96" s="1"/>
      <c r="C96" s="1"/>
      <c r="D96" s="1"/>
      <c r="E96" s="1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</row>
    <row r="97" spans="1:74" ht="12.75" hidden="1" x14ac:dyDescent="0.2">
      <c r="A97" s="21"/>
      <c r="B97" s="1"/>
      <c r="C97" s="1"/>
      <c r="D97" s="1"/>
      <c r="E97" s="1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 spans="1:74" ht="12.75" hidden="1" x14ac:dyDescent="0.2">
      <c r="A98" s="21"/>
      <c r="B98" s="1"/>
      <c r="C98" s="1"/>
      <c r="D98" s="1"/>
      <c r="E98" s="1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</row>
    <row r="99" spans="1:74" ht="12.75" hidden="1" x14ac:dyDescent="0.2">
      <c r="A99" s="21"/>
      <c r="B99" s="1"/>
      <c r="C99" s="1"/>
      <c r="D99" s="1"/>
      <c r="E99" s="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</row>
    <row r="100" spans="1:74" ht="12.75" hidden="1" x14ac:dyDescent="0.2">
      <c r="A100" s="21"/>
      <c r="B100" s="1"/>
      <c r="C100" s="1"/>
      <c r="D100" s="1"/>
      <c r="E100" s="1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</row>
    <row r="101" spans="1:74" ht="12.75" hidden="1" x14ac:dyDescent="0.2">
      <c r="A101" s="21"/>
      <c r="B101" s="1"/>
      <c r="C101" s="1"/>
      <c r="D101" s="1"/>
      <c r="E101" s="1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</row>
    <row r="102" spans="1:74" ht="12.75" hidden="1" x14ac:dyDescent="0.2">
      <c r="A102" s="21"/>
      <c r="B102" s="1"/>
      <c r="C102" s="1"/>
      <c r="D102" s="1"/>
      <c r="E102" s="1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</row>
    <row r="103" spans="1:74" hidden="1" x14ac:dyDescent="0.25"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1:74" hidden="1" x14ac:dyDescent="0.25"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1:74" hidden="1" x14ac:dyDescent="0.25"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1:74" hidden="1" x14ac:dyDescent="0.25"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1:74" hidden="1" x14ac:dyDescent="0.25"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74" hidden="1" x14ac:dyDescent="0.25"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1:74" hidden="1" x14ac:dyDescent="0.25"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1:74" hidden="1" x14ac:dyDescent="0.25"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1:74" hidden="1" x14ac:dyDescent="0.25"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spans="1:74" hidden="1" x14ac:dyDescent="0.25"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spans="6:21" hidden="1" x14ac:dyDescent="0.25"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spans="6:21" hidden="1" x14ac:dyDescent="0.25"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spans="6:21" hidden="1" x14ac:dyDescent="0.25"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 spans="6:21" hidden="1" x14ac:dyDescent="0.25"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 spans="6:21" hidden="1" x14ac:dyDescent="0.25"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 spans="6:21" hidden="1" x14ac:dyDescent="0.25"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spans="6:21" hidden="1" x14ac:dyDescent="0.25"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6:21" hidden="1" x14ac:dyDescent="0.25"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6:21" hidden="1" x14ac:dyDescent="0.25"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 spans="6:21" hidden="1" x14ac:dyDescent="0.25"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 spans="6:21" hidden="1" x14ac:dyDescent="0.25"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 spans="6:21" hidden="1" x14ac:dyDescent="0.25"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spans="6:21" hidden="1" x14ac:dyDescent="0.25"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spans="6:21" hidden="1" x14ac:dyDescent="0.25"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spans="6:21" hidden="1" x14ac:dyDescent="0.25"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 spans="6:21" hidden="1" x14ac:dyDescent="0.25"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 spans="6:21" hidden="1" x14ac:dyDescent="0.25"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 spans="6:21" hidden="1" x14ac:dyDescent="0.25"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spans="6:21" hidden="1" x14ac:dyDescent="0.25"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 spans="6:21" hidden="1" x14ac:dyDescent="0.25"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spans="6:21" hidden="1" x14ac:dyDescent="0.25"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spans="6:21" hidden="1" x14ac:dyDescent="0.25"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spans="6:21" hidden="1" x14ac:dyDescent="0.25"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 spans="6:21" hidden="1" x14ac:dyDescent="0.25"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 spans="6:21" hidden="1" x14ac:dyDescent="0.25"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 spans="6:21" hidden="1" x14ac:dyDescent="0.25"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 spans="6:21" hidden="1" x14ac:dyDescent="0.25"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 spans="6:21" hidden="1" x14ac:dyDescent="0.25"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 spans="6:21" hidden="1" x14ac:dyDescent="0.25"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 spans="6:21" hidden="1" x14ac:dyDescent="0.25"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 spans="6:21" hidden="1" x14ac:dyDescent="0.25"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56" x14ac:dyDescent="0.25"/>
    <row r="157" x14ac:dyDescent="0.25"/>
  </sheetData>
  <mergeCells count="12">
    <mergeCell ref="A1:XFD1"/>
    <mergeCell ref="F35:U35"/>
    <mergeCell ref="B2:G2"/>
    <mergeCell ref="B3:G3"/>
    <mergeCell ref="F4:G4"/>
    <mergeCell ref="A5:U5"/>
    <mergeCell ref="B35:E35"/>
    <mergeCell ref="R6:U6"/>
    <mergeCell ref="B6:E6"/>
    <mergeCell ref="F6:I6"/>
    <mergeCell ref="J6:M6"/>
    <mergeCell ref="N6:Q6"/>
  </mergeCells>
  <phoneticPr fontId="0" type="noConversion"/>
  <printOptions horizontalCentered="1" verticalCentered="1"/>
  <pageMargins left="0" right="0" top="0.25" bottom="0.25" header="0" footer="0"/>
  <pageSetup scale="47" orientation="landscape" r:id="rId1"/>
  <headerFooter scaleWithDoc="0" alignWithMargins="0">
    <oddFooter>&amp;L&amp;F&amp;D&amp;T</oddFooter>
  </headerFooter>
  <rowBreaks count="1" manualBreakCount="1">
    <brk id="47" max="6553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9B2512BB0841AA445E147F1E8922" ma:contentTypeVersion="0" ma:contentTypeDescription="Create a new document." ma:contentTypeScope="" ma:versionID="ca4e390a3e2969a953434d7008c77f5e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845958-D9A7-41DA-A791-34AE1253B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05C54863-57EA-4E87-A003-C3606282EAE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493D26E-DCD6-4AAD-A774-45AFA5D507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IGCE</vt:lpstr>
      <vt:lpstr>IGCE!Print_Area</vt:lpstr>
      <vt:lpstr>IGCE!Print_Titles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Information about IGCE Worksheet</dc:title>
  <dc:subject>Independent Government Cost Estimate</dc:subject>
  <dc:creator>HHS/ASFR</dc:creator>
  <cp:keywords>estimate costs, government, contract</cp:keywords>
  <dc:description>This template can be modified based on the contract type (i.e. Firm Fixed Price, Time and Materials, and Cost Reimburesment)</dc:description>
  <cp:lastModifiedBy>Connelly, Shannon (IHS/BIL)</cp:lastModifiedBy>
  <cp:lastPrinted>2013-08-26T20:30:57Z</cp:lastPrinted>
  <dcterms:created xsi:type="dcterms:W3CDTF">1998-11-19T22:17:22Z</dcterms:created>
  <dcterms:modified xsi:type="dcterms:W3CDTF">2025-11-17T15:37:14Z</dcterms:modified>
  <cp:contentStatus>Web version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0x01010041409B2512BB0841AA445E147F1E8922</vt:lpwstr>
  </property>
</Properties>
</file>