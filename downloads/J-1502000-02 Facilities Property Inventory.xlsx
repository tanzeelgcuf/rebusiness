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rebecca_j_spaulding_civ_us_navy_mil/Documents/Desktop/"/>
    </mc:Choice>
  </mc:AlternateContent>
  <xr:revisionPtr revIDLastSave="35" documentId="11_8F16BC32D2AB69B98F6E2804D43D277070E6AB0B" xr6:coauthVersionLast="47" xr6:coauthVersionMax="47" xr10:uidLastSave="{BD06B82C-44E7-488C-9163-E1F982D460FE}"/>
  <bookViews>
    <workbookView xWindow="-120" yWindow="90" windowWidth="29040" windowHeight="15510" xr2:uid="{00000000-000D-0000-FFFF-FFFF00000000}"/>
  </bookViews>
  <sheets>
    <sheet name="NLON Elevator Inventor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3" l="1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</calcChain>
</file>

<file path=xl/sharedStrings.xml><?xml version="1.0" encoding="utf-8"?>
<sst xmlns="http://schemas.openxmlformats.org/spreadsheetml/2006/main" count="336" uniqueCount="116">
  <si>
    <t>Elevator Inventory - U.S. Naval Submarine Base New London CT</t>
  </si>
  <si>
    <t>Bldg. #</t>
  </si>
  <si>
    <t>Equip  ID No</t>
  </si>
  <si>
    <t>Elevator   Classification</t>
  </si>
  <si>
    <t>Elevator    Type</t>
  </si>
  <si>
    <t>No. Stops</t>
  </si>
  <si>
    <t>Piston Size</t>
  </si>
  <si>
    <t>Rated Speed</t>
  </si>
  <si>
    <t>Install Date</t>
  </si>
  <si>
    <t>Cap. Lbs</t>
  </si>
  <si>
    <t>Equipment Manufacturer</t>
  </si>
  <si>
    <t>Next Annual Due</t>
  </si>
  <si>
    <t>Last 5 Year Test</t>
  </si>
  <si>
    <t>Passanger</t>
  </si>
  <si>
    <t>Hydraulic</t>
  </si>
  <si>
    <t>8.625"</t>
  </si>
  <si>
    <t>125 FPM</t>
  </si>
  <si>
    <t>Otis</t>
  </si>
  <si>
    <t>17 N</t>
  </si>
  <si>
    <t>Freight</t>
  </si>
  <si>
    <t>9"</t>
  </si>
  <si>
    <t>60 FPM</t>
  </si>
  <si>
    <t>Allied-ESCO</t>
  </si>
  <si>
    <t>17 S</t>
  </si>
  <si>
    <t>Passenger</t>
  </si>
  <si>
    <t>5.5"</t>
  </si>
  <si>
    <t>150 FPM</t>
  </si>
  <si>
    <t>Montgomery</t>
  </si>
  <si>
    <t>Traction</t>
  </si>
  <si>
    <t>NA</t>
  </si>
  <si>
    <t>Payne</t>
  </si>
  <si>
    <t>87 S</t>
  </si>
  <si>
    <t>100 FPM</t>
  </si>
  <si>
    <t>Allied              Holister Whitney</t>
  </si>
  <si>
    <t>Thyssen-Krupp</t>
  </si>
  <si>
    <t>5"</t>
  </si>
  <si>
    <t>Thyssen          Veritron Control</t>
  </si>
  <si>
    <t>429 E</t>
  </si>
  <si>
    <t>4.5"</t>
  </si>
  <si>
    <t>429 W</t>
  </si>
  <si>
    <t>430 E</t>
  </si>
  <si>
    <t>430 W</t>
  </si>
  <si>
    <t>434 E</t>
  </si>
  <si>
    <t>4.48"</t>
  </si>
  <si>
    <t>434 W</t>
  </si>
  <si>
    <t>435 E</t>
  </si>
  <si>
    <t>435 W</t>
  </si>
  <si>
    <t>Beckwith         Holister Whitney</t>
  </si>
  <si>
    <t>455 N</t>
  </si>
  <si>
    <t>200 FPM</t>
  </si>
  <si>
    <t>1999 R</t>
  </si>
  <si>
    <t>Lonsdale / Serge</t>
  </si>
  <si>
    <t>455 S</t>
  </si>
  <si>
    <t>2.5"</t>
  </si>
  <si>
    <t>9.5"</t>
  </si>
  <si>
    <t>50 FPM</t>
  </si>
  <si>
    <t>Beckwith</t>
  </si>
  <si>
    <t>3.5"</t>
  </si>
  <si>
    <t>Westinghouse</t>
  </si>
  <si>
    <t>8"</t>
  </si>
  <si>
    <t>ESCO   Bormax</t>
  </si>
  <si>
    <t>484 ESC</t>
  </si>
  <si>
    <t>Down</t>
  </si>
  <si>
    <t>Escalator</t>
  </si>
  <si>
    <t>90 FPM</t>
  </si>
  <si>
    <t>Up</t>
  </si>
  <si>
    <t>488 N</t>
  </si>
  <si>
    <t>2005 R</t>
  </si>
  <si>
    <t>Elevator Controls</t>
  </si>
  <si>
    <t>488 S</t>
  </si>
  <si>
    <t>492 - 1</t>
  </si>
  <si>
    <t>6.5"</t>
  </si>
  <si>
    <t>2003 R</t>
  </si>
  <si>
    <t xml:space="preserve">Kone / Motion </t>
  </si>
  <si>
    <t>492 - 2</t>
  </si>
  <si>
    <t>2004 R</t>
  </si>
  <si>
    <t>492 - 3</t>
  </si>
  <si>
    <t>12.5/8"</t>
  </si>
  <si>
    <t>45 FPM</t>
  </si>
  <si>
    <t>General           Hartford Dual Tanks</t>
  </si>
  <si>
    <t>3.35"              4.42"              6.69"</t>
  </si>
  <si>
    <t>Montgomery      Leistritz</t>
  </si>
  <si>
    <t>350 FPM</t>
  </si>
  <si>
    <t>Montgomery           Northern</t>
  </si>
  <si>
    <t>5.437"</t>
  </si>
  <si>
    <t>Allied</t>
  </si>
  <si>
    <t>534 E</t>
  </si>
  <si>
    <t>534 W</t>
  </si>
  <si>
    <t>Montgomery / Kone</t>
  </si>
  <si>
    <t>564 CIF</t>
  </si>
  <si>
    <t>3.9375"</t>
  </si>
  <si>
    <t>571 E</t>
  </si>
  <si>
    <t>571 W</t>
  </si>
  <si>
    <t>???</t>
  </si>
  <si>
    <t xml:space="preserve">Kone </t>
  </si>
  <si>
    <t>Dual Holeless</t>
  </si>
  <si>
    <t>DESCRIPTION OF DUMBWAITERS</t>
  </si>
  <si>
    <t>BLDG #</t>
  </si>
  <si>
    <t xml:space="preserve">SERIAL # </t>
  </si>
  <si>
    <t>SPEED CAP. SERVICE</t>
  </si>
  <si>
    <t>Annual Inspection</t>
  </si>
  <si>
    <t>NEXT ANNUAL</t>
  </si>
  <si>
    <t>LAST 5 YEAR INSP.</t>
  </si>
  <si>
    <t>DG-50</t>
  </si>
  <si>
    <t>11-2410</t>
  </si>
  <si>
    <t>DUMBWAITER</t>
  </si>
  <si>
    <t>DESCRIPTION OF HANDI-CAPPED LIFTS</t>
  </si>
  <si>
    <t>HANDI-CAP CHAIR LIFT</t>
  </si>
  <si>
    <t xml:space="preserve">Last Bi Annual Insp </t>
  </si>
  <si>
    <t>Last Annual Date</t>
  </si>
  <si>
    <t>Cert Issued</t>
  </si>
  <si>
    <t>Next Bi Annual Insp Due</t>
  </si>
  <si>
    <t>Next 5 year</t>
  </si>
  <si>
    <r>
      <rPr>
        <sz val="8"/>
        <rFont val="Arial"/>
        <family val="2"/>
      </rPr>
      <t>Yes</t>
    </r>
  </si>
  <si>
    <r>
      <rPr>
        <sz val="8"/>
        <rFont val="Arial"/>
        <family val="2"/>
      </rPr>
      <t>No</t>
    </r>
  </si>
  <si>
    <t>Note: Annual and Periodic inspections will be done each year and 5 year tests are done in conjunction with the annual tests. Contractors will be notified prior to the annual inspections if the 5 year will be done in conjunction during that 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</si>
</sst>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;@"/>
  </numFmts>
  <fonts count="4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8"/>
      <color indexed="56"/>
      <name val="Cambria"/>
      <family val="2"/>
    </font>
    <font>
      <sz val="11"/>
      <color indexed="8"/>
      <name val="Times New Roman"/>
      <family val="2"/>
    </font>
    <font>
      <sz val="11"/>
      <color indexed="9"/>
      <name val="Times New Roman"/>
      <family val="2"/>
    </font>
    <font>
      <sz val="11"/>
      <color indexed="20"/>
      <name val="Times New Roman"/>
      <family val="2"/>
    </font>
    <font>
      <b/>
      <sz val="11"/>
      <color indexed="52"/>
      <name val="Times New Roman"/>
      <family val="2"/>
    </font>
    <font>
      <b/>
      <sz val="11"/>
      <color indexed="9"/>
      <name val="Times New Roman"/>
      <family val="2"/>
    </font>
    <font>
      <i/>
      <sz val="11"/>
      <color indexed="23"/>
      <name val="Times New Roman"/>
      <family val="2"/>
    </font>
    <font>
      <sz val="11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1"/>
      <color indexed="62"/>
      <name val="Times New Roman"/>
      <family val="2"/>
    </font>
    <font>
      <sz val="11"/>
      <color indexed="52"/>
      <name val="Times New Roman"/>
      <family val="2"/>
    </font>
    <font>
      <sz val="11"/>
      <color indexed="60"/>
      <name val="Times New Roman"/>
      <family val="2"/>
    </font>
    <font>
      <b/>
      <sz val="11"/>
      <color indexed="63"/>
      <name val="Times New Roman"/>
      <family val="2"/>
    </font>
    <font>
      <b/>
      <sz val="11"/>
      <color indexed="8"/>
      <name val="Times New Roman"/>
      <family val="2"/>
    </font>
    <font>
      <sz val="11"/>
      <color indexed="10"/>
      <name val="Times New Roman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</font>
    <font>
      <b/>
      <sz val="8"/>
      <name val="Arial"/>
      <family val="2"/>
    </font>
    <font>
      <sz val="12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0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6">
    <xf numFmtId="0" fontId="0" fillId="0" borderId="0"/>
    <xf numFmtId="0" fontId="11" fillId="2" borderId="0" applyNumberFormat="0" applyBorder="0" applyAlignment="0" applyProtection="0"/>
    <xf numFmtId="0" fontId="27" fillId="24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27" fillId="25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27" fillId="26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27" fillId="27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27" fillId="28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27" fillId="29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27" fillId="30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27" fillId="31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27" fillId="32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27" fillId="33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27" fillId="34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27" fillId="35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28" fillId="36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28" fillId="37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28" fillId="38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28" fillId="39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28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8" fillId="4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28" fillId="42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8" fillId="43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28" fillId="44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28" fillId="45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28" fillId="46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28" fillId="47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29" fillId="48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30" fillId="49" borderId="1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31" fillId="50" borderId="12" applyNumberFormat="0" applyAlignment="0" applyProtection="0"/>
    <xf numFmtId="0" fontId="15" fillId="21" borderId="2" applyNumberFormat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33" fillId="51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34" fillId="0" borderId="1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35" fillId="0" borderId="1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36" fillId="0" borderId="1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1" fillId="7" borderId="1" applyNumberFormat="0" applyAlignment="0" applyProtection="0"/>
    <xf numFmtId="0" fontId="38" fillId="52" borderId="1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39" fillId="0" borderId="16" applyNumberFormat="0" applyFill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40" fillId="53" borderId="0" applyNumberFormat="0" applyBorder="0" applyAlignment="0" applyProtection="0"/>
    <xf numFmtId="0" fontId="23" fillId="22" borderId="0" applyNumberFormat="0" applyBorder="0" applyAlignment="0" applyProtection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0" borderId="0"/>
    <xf numFmtId="0" fontId="2" fillId="23" borderId="7" applyNumberFormat="0" applyFont="0" applyAlignment="0" applyProtection="0"/>
    <xf numFmtId="0" fontId="1" fillId="54" borderId="17" applyNumberFormat="0" applyFont="0" applyAlignment="0" applyProtection="0"/>
    <xf numFmtId="0" fontId="1" fillId="54" borderId="17" applyNumberFormat="0" applyFont="0" applyAlignment="0" applyProtection="0"/>
    <xf numFmtId="0" fontId="27" fillId="54" borderId="17" applyNumberFormat="0" applyFont="0" applyAlignment="0" applyProtection="0"/>
    <xf numFmtId="0" fontId="27" fillId="54" borderId="17" applyNumberFormat="0" applyFont="0" applyAlignment="0" applyProtection="0"/>
    <xf numFmtId="0" fontId="2" fillId="23" borderId="7" applyNumberFormat="0" applyFont="0" applyAlignment="0" applyProtection="0"/>
    <xf numFmtId="0" fontId="24" fillId="20" borderId="8" applyNumberFormat="0" applyAlignment="0" applyProtection="0"/>
    <xf numFmtId="0" fontId="41" fillId="49" borderId="18" applyNumberFormat="0" applyAlignment="0" applyProtection="0"/>
    <xf numFmtId="0" fontId="24" fillId="20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43" fillId="0" borderId="19" applyNumberFormat="0" applyFill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96">
    <xf numFmtId="0" fontId="0" fillId="0" borderId="0" xfId="0"/>
    <xf numFmtId="164" fontId="4" fillId="55" borderId="10" xfId="82" applyNumberFormat="1" applyFont="1" applyFill="1" applyBorder="1" applyAlignment="1">
      <alignment horizontal="center" vertical="center" wrapText="1"/>
    </xf>
    <xf numFmtId="0" fontId="4" fillId="55" borderId="10" xfId="0" applyFont="1" applyFill="1" applyBorder="1" applyAlignment="1" applyProtection="1">
      <alignment horizontal="center" vertical="center" wrapText="1"/>
      <protection locked="0"/>
    </xf>
    <xf numFmtId="0" fontId="4" fillId="55" borderId="0" xfId="0" applyFont="1" applyFill="1"/>
    <xf numFmtId="0" fontId="4" fillId="55" borderId="10" xfId="150" applyFont="1" applyFill="1" applyBorder="1" applyAlignment="1">
      <alignment horizontal="center" vertical="center" wrapText="1"/>
    </xf>
    <xf numFmtId="0" fontId="4" fillId="55" borderId="10" xfId="120" applyFont="1" applyFill="1" applyBorder="1" applyAlignment="1">
      <alignment horizontal="center" vertical="center" wrapText="1"/>
    </xf>
    <xf numFmtId="164" fontId="4" fillId="55" borderId="10" xfId="84" applyNumberFormat="1" applyFont="1" applyFill="1" applyBorder="1" applyAlignment="1">
      <alignment horizontal="center" vertical="center" wrapText="1"/>
    </xf>
    <xf numFmtId="49" fontId="4" fillId="55" borderId="10" xfId="150" applyNumberFormat="1" applyFont="1" applyFill="1" applyBorder="1" applyAlignment="1">
      <alignment horizontal="center" vertical="center" wrapText="1"/>
    </xf>
    <xf numFmtId="0" fontId="4" fillId="55" borderId="10" xfId="150" applyNumberFormat="1" applyFont="1" applyFill="1" applyBorder="1" applyAlignment="1">
      <alignment horizontal="center" vertical="center" wrapText="1"/>
    </xf>
    <xf numFmtId="49" fontId="4" fillId="55" borderId="0" xfId="0" applyNumberFormat="1" applyFont="1" applyFill="1" applyAlignment="1">
      <alignment horizontal="center" vertical="center"/>
    </xf>
    <xf numFmtId="0" fontId="4" fillId="55" borderId="0" xfId="0" applyFont="1" applyFill="1" applyAlignment="1">
      <alignment horizontal="center" vertical="center"/>
    </xf>
    <xf numFmtId="0" fontId="4" fillId="0" borderId="10" xfId="150" applyFont="1" applyFill="1" applyBorder="1" applyAlignment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Fill="1" applyBorder="1" applyAlignment="1">
      <alignment horizontal="center" vertical="center" wrapText="1"/>
    </xf>
    <xf numFmtId="164" fontId="4" fillId="0" borderId="10" xfId="82" applyNumberFormat="1" applyFont="1" applyFill="1" applyBorder="1" applyAlignment="1">
      <alignment horizontal="center" vertical="center" wrapText="1"/>
    </xf>
    <xf numFmtId="0" fontId="9" fillId="55" borderId="0" xfId="0" applyFont="1" applyFill="1"/>
    <xf numFmtId="0" fontId="4" fillId="55" borderId="10" xfId="0" applyFont="1" applyFill="1" applyBorder="1" applyAlignment="1">
      <alignment horizontal="center" vertical="center"/>
    </xf>
    <xf numFmtId="0" fontId="4" fillId="55" borderId="10" xfId="0" applyFont="1" applyFill="1" applyBorder="1" applyAlignment="1">
      <alignment horizontal="center" vertical="center" wrapText="1"/>
    </xf>
    <xf numFmtId="165" fontId="45" fillId="0" borderId="10" xfId="0" applyNumberFormat="1" applyFont="1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center" vertical="center" wrapText="1"/>
    </xf>
    <xf numFmtId="0" fontId="4" fillId="55" borderId="10" xfId="0" applyFont="1" applyFill="1" applyBorder="1" applyAlignment="1">
      <alignment horizontal="center" vertical="center"/>
    </xf>
    <xf numFmtId="0" fontId="4" fillId="55" borderId="10" xfId="0" applyFont="1" applyFill="1" applyBorder="1" applyAlignment="1">
      <alignment horizontal="center" vertical="center" wrapText="1"/>
    </xf>
    <xf numFmtId="14" fontId="4" fillId="55" borderId="10" xfId="0" applyNumberFormat="1" applyFont="1" applyFill="1" applyBorder="1" applyAlignment="1">
      <alignment horizontal="center" vertical="center"/>
    </xf>
    <xf numFmtId="0" fontId="4" fillId="55" borderId="0" xfId="0" applyFont="1" applyFill="1" applyAlignment="1">
      <alignment vertical="center"/>
    </xf>
    <xf numFmtId="0" fontId="5" fillId="55" borderId="0" xfId="0" applyFont="1" applyFill="1" applyBorder="1" applyAlignment="1">
      <alignment horizontal="center" vertical="center"/>
    </xf>
    <xf numFmtId="0" fontId="4" fillId="55" borderId="20" xfId="150" applyFont="1" applyFill="1" applyBorder="1" applyAlignment="1">
      <alignment horizontal="center" vertical="center" wrapText="1"/>
    </xf>
    <xf numFmtId="0" fontId="4" fillId="55" borderId="20" xfId="120" applyFont="1" applyFill="1" applyBorder="1" applyAlignment="1">
      <alignment horizontal="center" vertical="center" wrapText="1"/>
    </xf>
    <xf numFmtId="164" fontId="4" fillId="55" borderId="20" xfId="84" applyNumberFormat="1" applyFont="1" applyFill="1" applyBorder="1" applyAlignment="1">
      <alignment horizontal="center" vertical="center" wrapText="1"/>
    </xf>
    <xf numFmtId="165" fontId="45" fillId="0" borderId="20" xfId="0" applyNumberFormat="1" applyFont="1" applyFill="1" applyBorder="1" applyAlignment="1">
      <alignment horizontal="center" vertical="center" shrinkToFit="1"/>
    </xf>
    <xf numFmtId="165" fontId="4" fillId="0" borderId="20" xfId="0" applyNumberFormat="1" applyFont="1" applyFill="1" applyBorder="1" applyAlignment="1">
      <alignment horizontal="center" vertical="center" wrapText="1"/>
    </xf>
    <xf numFmtId="165" fontId="4" fillId="0" borderId="10" xfId="0" applyNumberFormat="1" applyFont="1" applyFill="1" applyBorder="1" applyAlignment="1">
      <alignment horizontal="center" vertical="center" wrapText="1"/>
    </xf>
    <xf numFmtId="14" fontId="46" fillId="0" borderId="10" xfId="0" applyNumberFormat="1" applyFont="1" applyFill="1" applyBorder="1" applyAlignment="1">
      <alignment horizontal="center" vertical="center" wrapText="1"/>
    </xf>
    <xf numFmtId="0" fontId="4" fillId="55" borderId="24" xfId="150" applyFont="1" applyFill="1" applyBorder="1" applyAlignment="1">
      <alignment horizontal="center" vertical="center" wrapText="1"/>
    </xf>
    <xf numFmtId="0" fontId="4" fillId="55" borderId="24" xfId="0" applyFont="1" applyFill="1" applyBorder="1" applyAlignment="1">
      <alignment horizontal="center" vertical="center" wrapText="1"/>
    </xf>
    <xf numFmtId="164" fontId="4" fillId="55" borderId="24" xfId="82" applyNumberFormat="1" applyFont="1" applyFill="1" applyBorder="1" applyAlignment="1">
      <alignment horizontal="center" vertical="center" wrapText="1"/>
    </xf>
    <xf numFmtId="0" fontId="4" fillId="55" borderId="24" xfId="150" applyNumberFormat="1" applyFont="1" applyFill="1" applyBorder="1" applyAlignment="1">
      <alignment horizontal="center" vertical="center" wrapText="1"/>
    </xf>
    <xf numFmtId="14" fontId="46" fillId="0" borderId="24" xfId="0" applyNumberFormat="1" applyFont="1" applyFill="1" applyBorder="1" applyAlignment="1">
      <alignment horizontal="center" vertical="center" wrapText="1"/>
    </xf>
    <xf numFmtId="165" fontId="4" fillId="0" borderId="24" xfId="0" applyNumberFormat="1" applyFont="1" applyFill="1" applyBorder="1" applyAlignment="1">
      <alignment horizontal="center" vertical="center" wrapText="1"/>
    </xf>
    <xf numFmtId="49" fontId="4" fillId="55" borderId="24" xfId="150" applyNumberFormat="1" applyFont="1" applyFill="1" applyBorder="1" applyAlignment="1">
      <alignment horizontal="center" vertical="center" wrapText="1"/>
    </xf>
    <xf numFmtId="17" fontId="4" fillId="55" borderId="24" xfId="150" applyNumberFormat="1" applyFont="1" applyFill="1" applyBorder="1" applyAlignment="1">
      <alignment horizontal="center" vertical="center" wrapText="1"/>
    </xf>
    <xf numFmtId="0" fontId="4" fillId="55" borderId="20" xfId="0" applyFont="1" applyFill="1" applyBorder="1" applyAlignment="1">
      <alignment horizontal="center" vertical="center"/>
    </xf>
    <xf numFmtId="0" fontId="4" fillId="55" borderId="20" xfId="0" applyFont="1" applyFill="1" applyBorder="1" applyAlignment="1">
      <alignment horizontal="center" vertical="center"/>
    </xf>
    <xf numFmtId="0" fontId="4" fillId="55" borderId="25" xfId="0" applyFont="1" applyFill="1" applyBorder="1" applyAlignment="1">
      <alignment horizontal="center" vertical="center"/>
    </xf>
    <xf numFmtId="0" fontId="4" fillId="55" borderId="26" xfId="0" applyFont="1" applyFill="1" applyBorder="1" applyAlignment="1">
      <alignment horizontal="center" vertical="center"/>
    </xf>
    <xf numFmtId="0" fontId="47" fillId="55" borderId="21" xfId="0" applyFont="1" applyFill="1" applyBorder="1" applyAlignment="1">
      <alignment horizontal="center" vertical="center"/>
    </xf>
    <xf numFmtId="0" fontId="47" fillId="55" borderId="22" xfId="0" applyFont="1" applyFill="1" applyBorder="1" applyAlignment="1">
      <alignment horizontal="center" vertical="center"/>
    </xf>
    <xf numFmtId="0" fontId="47" fillId="55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49" fontId="4" fillId="0" borderId="24" xfId="0" applyNumberFormat="1" applyFont="1" applyFill="1" applyBorder="1" applyAlignment="1">
      <alignment horizontal="center" vertical="center" wrapText="1"/>
    </xf>
    <xf numFmtId="49" fontId="4" fillId="0" borderId="24" xfId="0" applyNumberFormat="1" applyFont="1" applyFill="1" applyBorder="1" applyAlignment="1">
      <alignment horizontal="center" vertical="center"/>
    </xf>
    <xf numFmtId="14" fontId="4" fillId="0" borderId="24" xfId="0" applyNumberFormat="1" applyFont="1" applyFill="1" applyBorder="1" applyAlignment="1">
      <alignment horizontal="center" vertical="center"/>
    </xf>
    <xf numFmtId="0" fontId="5" fillId="55" borderId="27" xfId="0" applyFont="1" applyFill="1" applyBorder="1" applyAlignment="1">
      <alignment horizontal="center" vertical="center"/>
    </xf>
    <xf numFmtId="0" fontId="5" fillId="55" borderId="28" xfId="0" applyFont="1" applyFill="1" applyBorder="1" applyAlignment="1">
      <alignment horizontal="center" vertical="center"/>
    </xf>
    <xf numFmtId="0" fontId="4" fillId="55" borderId="29" xfId="150" applyFont="1" applyFill="1" applyBorder="1" applyAlignment="1">
      <alignment horizontal="center" vertical="center" wrapText="1"/>
    </xf>
    <xf numFmtId="0" fontId="46" fillId="0" borderId="30" xfId="0" applyFont="1" applyFill="1" applyBorder="1" applyAlignment="1">
      <alignment horizontal="center" vertical="center" wrapText="1"/>
    </xf>
    <xf numFmtId="0" fontId="4" fillId="55" borderId="31" xfId="150" applyFont="1" applyFill="1" applyBorder="1" applyAlignment="1">
      <alignment horizontal="center" vertical="center" wrapText="1"/>
    </xf>
    <xf numFmtId="0" fontId="46" fillId="0" borderId="32" xfId="0" applyFont="1" applyFill="1" applyBorder="1" applyAlignment="1">
      <alignment horizontal="center" vertical="center" wrapText="1"/>
    </xf>
    <xf numFmtId="0" fontId="4" fillId="0" borderId="31" xfId="150" applyFont="1" applyFill="1" applyBorder="1" applyAlignment="1">
      <alignment horizontal="center" vertical="center" wrapText="1"/>
    </xf>
    <xf numFmtId="0" fontId="4" fillId="55" borderId="32" xfId="0" applyFont="1" applyFill="1" applyBorder="1" applyAlignment="1">
      <alignment horizontal="center" vertical="center"/>
    </xf>
    <xf numFmtId="0" fontId="4" fillId="55" borderId="33" xfId="150" applyFont="1" applyFill="1" applyBorder="1" applyAlignment="1">
      <alignment horizontal="center" vertical="center" wrapText="1"/>
    </xf>
    <xf numFmtId="0" fontId="4" fillId="55" borderId="34" xfId="0" applyFont="1" applyFill="1" applyBorder="1" applyAlignment="1">
      <alignment horizontal="center" vertical="center"/>
    </xf>
    <xf numFmtId="0" fontId="4" fillId="55" borderId="29" xfId="0" applyFont="1" applyFill="1" applyBorder="1" applyAlignment="1">
      <alignment horizontal="center" vertical="center"/>
    </xf>
    <xf numFmtId="0" fontId="4" fillId="55" borderId="30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55" borderId="31" xfId="0" applyFont="1" applyFill="1" applyBorder="1" applyAlignment="1">
      <alignment horizontal="center" vertical="center"/>
    </xf>
    <xf numFmtId="0" fontId="4" fillId="55" borderId="32" xfId="0" applyFont="1" applyFill="1" applyBorder="1" applyAlignment="1">
      <alignment horizontal="center" vertical="center"/>
    </xf>
    <xf numFmtId="0" fontId="4" fillId="55" borderId="35" xfId="0" applyFont="1" applyFill="1" applyBorder="1" applyAlignment="1">
      <alignment horizontal="center" vertical="center"/>
    </xf>
    <xf numFmtId="0" fontId="4" fillId="55" borderId="36" xfId="0" applyFont="1" applyFill="1" applyBorder="1" applyAlignment="1">
      <alignment horizontal="center" vertical="center"/>
    </xf>
    <xf numFmtId="0" fontId="4" fillId="55" borderId="36" xfId="0" applyFont="1" applyFill="1" applyBorder="1" applyAlignment="1">
      <alignment horizontal="center" vertical="center"/>
    </xf>
    <xf numFmtId="0" fontId="4" fillId="55" borderId="36" xfId="0" applyFont="1" applyFill="1" applyBorder="1" applyAlignment="1">
      <alignment horizontal="center" vertical="center" wrapText="1"/>
    </xf>
    <xf numFmtId="14" fontId="4" fillId="55" borderId="36" xfId="0" applyNumberFormat="1" applyFont="1" applyFill="1" applyBorder="1" applyAlignment="1">
      <alignment horizontal="center" vertical="center"/>
    </xf>
    <xf numFmtId="0" fontId="4" fillId="55" borderId="37" xfId="0" applyFont="1" applyFill="1" applyBorder="1" applyAlignment="1">
      <alignment horizontal="center" vertical="center"/>
    </xf>
    <xf numFmtId="0" fontId="48" fillId="0" borderId="38" xfId="0" applyFont="1" applyFill="1" applyBorder="1" applyAlignment="1">
      <alignment horizontal="left" vertical="top" wrapText="1"/>
    </xf>
    <xf numFmtId="0" fontId="48" fillId="0" borderId="39" xfId="0" applyFont="1" applyFill="1" applyBorder="1" applyAlignment="1">
      <alignment horizontal="left" vertical="top" wrapText="1"/>
    </xf>
    <xf numFmtId="0" fontId="48" fillId="0" borderId="40" xfId="0" applyFont="1" applyFill="1" applyBorder="1" applyAlignment="1">
      <alignment horizontal="left" vertical="top" wrapText="1"/>
    </xf>
    <xf numFmtId="0" fontId="48" fillId="0" borderId="27" xfId="0" applyFont="1" applyFill="1" applyBorder="1" applyAlignment="1">
      <alignment horizontal="left" vertical="top" wrapText="1"/>
    </xf>
    <xf numFmtId="0" fontId="48" fillId="0" borderId="0" xfId="0" applyFont="1" applyFill="1" applyBorder="1" applyAlignment="1">
      <alignment horizontal="left" vertical="top" wrapText="1"/>
    </xf>
    <xf numFmtId="0" fontId="48" fillId="0" borderId="28" xfId="0" applyFont="1" applyFill="1" applyBorder="1" applyAlignment="1">
      <alignment horizontal="left" vertical="top" wrapText="1"/>
    </xf>
    <xf numFmtId="0" fontId="48" fillId="0" borderId="41" xfId="0" applyFont="1" applyFill="1" applyBorder="1" applyAlignment="1">
      <alignment horizontal="left" vertical="top" wrapText="1"/>
    </xf>
    <xf numFmtId="0" fontId="48" fillId="0" borderId="42" xfId="0" applyFont="1" applyFill="1" applyBorder="1" applyAlignment="1">
      <alignment horizontal="left" vertical="top" wrapText="1"/>
    </xf>
    <xf numFmtId="0" fontId="48" fillId="0" borderId="43" xfId="0" applyFont="1" applyFill="1" applyBorder="1" applyAlignment="1">
      <alignment horizontal="left" vertical="top" wrapText="1"/>
    </xf>
    <xf numFmtId="0" fontId="4" fillId="55" borderId="27" xfId="0" applyFont="1" applyFill="1" applyBorder="1"/>
    <xf numFmtId="0" fontId="4" fillId="55" borderId="0" xfId="0" applyFont="1" applyFill="1" applyBorder="1"/>
    <xf numFmtId="0" fontId="4" fillId="55" borderId="0" xfId="0" applyFont="1" applyFill="1" applyBorder="1" applyAlignment="1">
      <alignment horizontal="center" vertical="center"/>
    </xf>
    <xf numFmtId="49" fontId="4" fillId="55" borderId="0" xfId="0" applyNumberFormat="1" applyFont="1" applyFill="1" applyBorder="1" applyAlignment="1">
      <alignment horizontal="center" vertical="center"/>
    </xf>
    <xf numFmtId="0" fontId="4" fillId="55" borderId="28" xfId="0" applyFont="1" applyFill="1" applyBorder="1" applyAlignment="1">
      <alignment horizontal="center" vertical="center"/>
    </xf>
    <xf numFmtId="0" fontId="8" fillId="56" borderId="21" xfId="0" applyFont="1" applyFill="1" applyBorder="1" applyAlignment="1">
      <alignment horizontal="center" vertical="center"/>
    </xf>
    <xf numFmtId="0" fontId="8" fillId="56" borderId="22" xfId="0" applyFont="1" applyFill="1" applyBorder="1" applyAlignment="1">
      <alignment horizontal="center" vertical="center"/>
    </xf>
    <xf numFmtId="0" fontId="8" fillId="56" borderId="23" xfId="0" applyFont="1" applyFill="1" applyBorder="1" applyAlignment="1">
      <alignment horizontal="center" vertical="center"/>
    </xf>
    <xf numFmtId="0" fontId="47" fillId="57" borderId="21" xfId="150" applyFont="1" applyFill="1" applyBorder="1" applyAlignment="1">
      <alignment horizontal="center" vertical="center" wrapText="1"/>
    </xf>
    <xf numFmtId="0" fontId="47" fillId="57" borderId="22" xfId="150" applyFont="1" applyFill="1" applyBorder="1" applyAlignment="1">
      <alignment horizontal="center" vertical="center" wrapText="1"/>
    </xf>
    <xf numFmtId="1" fontId="47" fillId="57" borderId="22" xfId="150" applyNumberFormat="1" applyFont="1" applyFill="1" applyBorder="1" applyAlignment="1">
      <alignment horizontal="center" vertical="center" wrapText="1"/>
    </xf>
    <xf numFmtId="49" fontId="47" fillId="57" borderId="22" xfId="150" applyNumberFormat="1" applyFont="1" applyFill="1" applyBorder="1" applyAlignment="1">
      <alignment horizontal="center" vertical="center" wrapText="1"/>
    </xf>
    <xf numFmtId="1" fontId="47" fillId="56" borderId="23" xfId="0" applyNumberFormat="1" applyFont="1" applyFill="1" applyBorder="1" applyAlignment="1">
      <alignment horizontal="center" vertical="center"/>
    </xf>
  </cellXfs>
  <cellStyles count="176">
    <cellStyle name="20% - Accent1 2" xfId="1" xr:uid="{00000000-0005-0000-0000-000000000000}"/>
    <cellStyle name="20% - Accent1 3" xfId="2" xr:uid="{00000000-0005-0000-0000-000001000000}"/>
    <cellStyle name="20% - Accent1 4" xfId="3" xr:uid="{00000000-0005-0000-0000-000002000000}"/>
    <cellStyle name="20% - Accent2 2" xfId="4" xr:uid="{00000000-0005-0000-0000-000003000000}"/>
    <cellStyle name="20% - Accent2 3" xfId="5" xr:uid="{00000000-0005-0000-0000-000004000000}"/>
    <cellStyle name="20% - Accent2 4" xfId="6" xr:uid="{00000000-0005-0000-0000-000005000000}"/>
    <cellStyle name="20% - Accent3 2" xfId="7" xr:uid="{00000000-0005-0000-0000-000006000000}"/>
    <cellStyle name="20% - Accent3 3" xfId="8" xr:uid="{00000000-0005-0000-0000-000007000000}"/>
    <cellStyle name="20% - Accent3 4" xfId="9" xr:uid="{00000000-0005-0000-0000-000008000000}"/>
    <cellStyle name="20% - Accent4 2" xfId="10" xr:uid="{00000000-0005-0000-0000-000009000000}"/>
    <cellStyle name="20% - Accent4 3" xfId="11" xr:uid="{00000000-0005-0000-0000-00000A000000}"/>
    <cellStyle name="20% - Accent4 4" xfId="12" xr:uid="{00000000-0005-0000-0000-00000B000000}"/>
    <cellStyle name="20% - Accent5 2" xfId="13" xr:uid="{00000000-0005-0000-0000-00000C000000}"/>
    <cellStyle name="20% - Accent5 3" xfId="14" xr:uid="{00000000-0005-0000-0000-00000D000000}"/>
    <cellStyle name="20% - Accent5 4" xfId="15" xr:uid="{00000000-0005-0000-0000-00000E000000}"/>
    <cellStyle name="20% - Accent6 2" xfId="16" xr:uid="{00000000-0005-0000-0000-00000F000000}"/>
    <cellStyle name="20% - Accent6 3" xfId="17" xr:uid="{00000000-0005-0000-0000-000010000000}"/>
    <cellStyle name="20% - Accent6 4" xfId="18" xr:uid="{00000000-0005-0000-0000-000011000000}"/>
    <cellStyle name="40% - Accent1 2" xfId="19" xr:uid="{00000000-0005-0000-0000-000012000000}"/>
    <cellStyle name="40% - Accent1 3" xfId="20" xr:uid="{00000000-0005-0000-0000-000013000000}"/>
    <cellStyle name="40% - Accent1 4" xfId="21" xr:uid="{00000000-0005-0000-0000-000014000000}"/>
    <cellStyle name="40% - Accent2 2" xfId="22" xr:uid="{00000000-0005-0000-0000-000015000000}"/>
    <cellStyle name="40% - Accent2 3" xfId="23" xr:uid="{00000000-0005-0000-0000-000016000000}"/>
    <cellStyle name="40% - Accent2 4" xfId="24" xr:uid="{00000000-0005-0000-0000-000017000000}"/>
    <cellStyle name="40% - Accent3 2" xfId="25" xr:uid="{00000000-0005-0000-0000-000018000000}"/>
    <cellStyle name="40% - Accent3 3" xfId="26" xr:uid="{00000000-0005-0000-0000-000019000000}"/>
    <cellStyle name="40% - Accent3 4" xfId="27" xr:uid="{00000000-0005-0000-0000-00001A000000}"/>
    <cellStyle name="40% - Accent4 2" xfId="28" xr:uid="{00000000-0005-0000-0000-00001B000000}"/>
    <cellStyle name="40% - Accent4 3" xfId="29" xr:uid="{00000000-0005-0000-0000-00001C000000}"/>
    <cellStyle name="40% - Accent4 4" xfId="30" xr:uid="{00000000-0005-0000-0000-00001D000000}"/>
    <cellStyle name="40% - Accent5 2" xfId="31" xr:uid="{00000000-0005-0000-0000-00001E000000}"/>
    <cellStyle name="40% - Accent5 3" xfId="32" xr:uid="{00000000-0005-0000-0000-00001F000000}"/>
    <cellStyle name="40% - Accent5 4" xfId="33" xr:uid="{00000000-0005-0000-0000-000020000000}"/>
    <cellStyle name="40% - Accent6 2" xfId="34" xr:uid="{00000000-0005-0000-0000-000021000000}"/>
    <cellStyle name="40% - Accent6 3" xfId="35" xr:uid="{00000000-0005-0000-0000-000022000000}"/>
    <cellStyle name="40% - Accent6 4" xfId="36" xr:uid="{00000000-0005-0000-0000-000023000000}"/>
    <cellStyle name="60% - Accent1 2" xfId="37" xr:uid="{00000000-0005-0000-0000-000024000000}"/>
    <cellStyle name="60% - Accent1 3" xfId="38" xr:uid="{00000000-0005-0000-0000-000025000000}"/>
    <cellStyle name="60% - Accent1 4" xfId="39" xr:uid="{00000000-0005-0000-0000-000026000000}"/>
    <cellStyle name="60% - Accent2 2" xfId="40" xr:uid="{00000000-0005-0000-0000-000027000000}"/>
    <cellStyle name="60% - Accent2 3" xfId="41" xr:uid="{00000000-0005-0000-0000-000028000000}"/>
    <cellStyle name="60% - Accent2 4" xfId="42" xr:uid="{00000000-0005-0000-0000-000029000000}"/>
    <cellStyle name="60% - Accent3 2" xfId="43" xr:uid="{00000000-0005-0000-0000-00002A000000}"/>
    <cellStyle name="60% - Accent3 3" xfId="44" xr:uid="{00000000-0005-0000-0000-00002B000000}"/>
    <cellStyle name="60% - Accent3 4" xfId="45" xr:uid="{00000000-0005-0000-0000-00002C000000}"/>
    <cellStyle name="60% - Accent4 2" xfId="46" xr:uid="{00000000-0005-0000-0000-00002D000000}"/>
    <cellStyle name="60% - Accent4 3" xfId="47" xr:uid="{00000000-0005-0000-0000-00002E000000}"/>
    <cellStyle name="60% - Accent4 4" xfId="48" xr:uid="{00000000-0005-0000-0000-00002F000000}"/>
    <cellStyle name="60% - Accent5 2" xfId="49" xr:uid="{00000000-0005-0000-0000-000030000000}"/>
    <cellStyle name="60% - Accent5 3" xfId="50" xr:uid="{00000000-0005-0000-0000-000031000000}"/>
    <cellStyle name="60% - Accent5 4" xfId="51" xr:uid="{00000000-0005-0000-0000-000032000000}"/>
    <cellStyle name="60% - Accent6 2" xfId="52" xr:uid="{00000000-0005-0000-0000-000033000000}"/>
    <cellStyle name="60% - Accent6 3" xfId="53" xr:uid="{00000000-0005-0000-0000-000034000000}"/>
    <cellStyle name="60% - Accent6 4" xfId="54" xr:uid="{00000000-0005-0000-0000-000035000000}"/>
    <cellStyle name="Accent1 2" xfId="55" xr:uid="{00000000-0005-0000-0000-000036000000}"/>
    <cellStyle name="Accent1 3" xfId="56" xr:uid="{00000000-0005-0000-0000-000037000000}"/>
    <cellStyle name="Accent1 4" xfId="57" xr:uid="{00000000-0005-0000-0000-000038000000}"/>
    <cellStyle name="Accent2 2" xfId="58" xr:uid="{00000000-0005-0000-0000-000039000000}"/>
    <cellStyle name="Accent2 3" xfId="59" xr:uid="{00000000-0005-0000-0000-00003A000000}"/>
    <cellStyle name="Accent2 4" xfId="60" xr:uid="{00000000-0005-0000-0000-00003B000000}"/>
    <cellStyle name="Accent3 2" xfId="61" xr:uid="{00000000-0005-0000-0000-00003C000000}"/>
    <cellStyle name="Accent3 3" xfId="62" xr:uid="{00000000-0005-0000-0000-00003D000000}"/>
    <cellStyle name="Accent3 4" xfId="63" xr:uid="{00000000-0005-0000-0000-00003E000000}"/>
    <cellStyle name="Accent4 2" xfId="64" xr:uid="{00000000-0005-0000-0000-00003F000000}"/>
    <cellStyle name="Accent4 3" xfId="65" xr:uid="{00000000-0005-0000-0000-000040000000}"/>
    <cellStyle name="Accent4 4" xfId="66" xr:uid="{00000000-0005-0000-0000-000041000000}"/>
    <cellStyle name="Accent5 2" xfId="67" xr:uid="{00000000-0005-0000-0000-000042000000}"/>
    <cellStyle name="Accent5 3" xfId="68" xr:uid="{00000000-0005-0000-0000-000043000000}"/>
    <cellStyle name="Accent5 4" xfId="69" xr:uid="{00000000-0005-0000-0000-000044000000}"/>
    <cellStyle name="Accent6 2" xfId="70" xr:uid="{00000000-0005-0000-0000-000045000000}"/>
    <cellStyle name="Accent6 3" xfId="71" xr:uid="{00000000-0005-0000-0000-000046000000}"/>
    <cellStyle name="Accent6 4" xfId="72" xr:uid="{00000000-0005-0000-0000-000047000000}"/>
    <cellStyle name="Bad 2" xfId="73" xr:uid="{00000000-0005-0000-0000-000048000000}"/>
    <cellStyle name="Bad 3" xfId="74" xr:uid="{00000000-0005-0000-0000-000049000000}"/>
    <cellStyle name="Bad 4" xfId="75" xr:uid="{00000000-0005-0000-0000-00004A000000}"/>
    <cellStyle name="Calculation 2" xfId="76" xr:uid="{00000000-0005-0000-0000-00004B000000}"/>
    <cellStyle name="Calculation 3" xfId="77" xr:uid="{00000000-0005-0000-0000-00004C000000}"/>
    <cellStyle name="Calculation 4" xfId="78" xr:uid="{00000000-0005-0000-0000-00004D000000}"/>
    <cellStyle name="Check Cell 2" xfId="79" xr:uid="{00000000-0005-0000-0000-00004E000000}"/>
    <cellStyle name="Check Cell 3" xfId="80" xr:uid="{00000000-0005-0000-0000-00004F000000}"/>
    <cellStyle name="Check Cell 4" xfId="81" xr:uid="{00000000-0005-0000-0000-000050000000}"/>
    <cellStyle name="Comma" xfId="82" builtinId="3"/>
    <cellStyle name="Comma 2" xfId="83" xr:uid="{00000000-0005-0000-0000-000052000000}"/>
    <cellStyle name="Comma 2 2" xfId="84" xr:uid="{00000000-0005-0000-0000-000053000000}"/>
    <cellStyle name="Comma 3" xfId="85" xr:uid="{00000000-0005-0000-0000-000054000000}"/>
    <cellStyle name="Currency 2" xfId="86" xr:uid="{00000000-0005-0000-0000-000055000000}"/>
    <cellStyle name="Currency 2 2" xfId="87" xr:uid="{00000000-0005-0000-0000-000056000000}"/>
    <cellStyle name="Currency 2 3" xfId="88" xr:uid="{00000000-0005-0000-0000-000057000000}"/>
    <cellStyle name="Currency 2 4" xfId="89" xr:uid="{00000000-0005-0000-0000-000058000000}"/>
    <cellStyle name="Currency 3" xfId="90" xr:uid="{00000000-0005-0000-0000-000059000000}"/>
    <cellStyle name="Currency 4" xfId="91" xr:uid="{00000000-0005-0000-0000-00005A000000}"/>
    <cellStyle name="Explanatory Text 2" xfId="92" xr:uid="{00000000-0005-0000-0000-00005B000000}"/>
    <cellStyle name="Explanatory Text 3" xfId="93" xr:uid="{00000000-0005-0000-0000-00005C000000}"/>
    <cellStyle name="Explanatory Text 4" xfId="94" xr:uid="{00000000-0005-0000-0000-00005D000000}"/>
    <cellStyle name="Good 2" xfId="95" xr:uid="{00000000-0005-0000-0000-00005E000000}"/>
    <cellStyle name="Good 3" xfId="96" xr:uid="{00000000-0005-0000-0000-00005F000000}"/>
    <cellStyle name="Good 4" xfId="97" xr:uid="{00000000-0005-0000-0000-000060000000}"/>
    <cellStyle name="Heading 1 2" xfId="98" xr:uid="{00000000-0005-0000-0000-000061000000}"/>
    <cellStyle name="Heading 1 3" xfId="99" xr:uid="{00000000-0005-0000-0000-000062000000}"/>
    <cellStyle name="Heading 1 4" xfId="100" xr:uid="{00000000-0005-0000-0000-000063000000}"/>
    <cellStyle name="Heading 2 2" xfId="101" xr:uid="{00000000-0005-0000-0000-000064000000}"/>
    <cellStyle name="Heading 2 3" xfId="102" xr:uid="{00000000-0005-0000-0000-000065000000}"/>
    <cellStyle name="Heading 2 4" xfId="103" xr:uid="{00000000-0005-0000-0000-000066000000}"/>
    <cellStyle name="Heading 3 2" xfId="104" xr:uid="{00000000-0005-0000-0000-000067000000}"/>
    <cellStyle name="Heading 3 3" xfId="105" xr:uid="{00000000-0005-0000-0000-000068000000}"/>
    <cellStyle name="Heading 3 4" xfId="106" xr:uid="{00000000-0005-0000-0000-000069000000}"/>
    <cellStyle name="Heading 4 2" xfId="107" xr:uid="{00000000-0005-0000-0000-00006A000000}"/>
    <cellStyle name="Heading 4 3" xfId="108" xr:uid="{00000000-0005-0000-0000-00006B000000}"/>
    <cellStyle name="Heading 4 4" xfId="109" xr:uid="{00000000-0005-0000-0000-00006C000000}"/>
    <cellStyle name="Hyperlink 2" xfId="110" xr:uid="{00000000-0005-0000-0000-00006D000000}"/>
    <cellStyle name="Input 2" xfId="111" xr:uid="{00000000-0005-0000-0000-00006E000000}"/>
    <cellStyle name="Input 3" xfId="112" xr:uid="{00000000-0005-0000-0000-00006F000000}"/>
    <cellStyle name="Input 4" xfId="113" xr:uid="{00000000-0005-0000-0000-000070000000}"/>
    <cellStyle name="Linked Cell 2" xfId="114" xr:uid="{00000000-0005-0000-0000-000071000000}"/>
    <cellStyle name="Linked Cell 3" xfId="115" xr:uid="{00000000-0005-0000-0000-000072000000}"/>
    <cellStyle name="Linked Cell 4" xfId="116" xr:uid="{00000000-0005-0000-0000-000073000000}"/>
    <cellStyle name="Neutral 2" xfId="117" xr:uid="{00000000-0005-0000-0000-000074000000}"/>
    <cellStyle name="Neutral 3" xfId="118" xr:uid="{00000000-0005-0000-0000-000075000000}"/>
    <cellStyle name="Neutral 4" xfId="119" xr:uid="{00000000-0005-0000-0000-000076000000}"/>
    <cellStyle name="Normal" xfId="0" builtinId="0"/>
    <cellStyle name="Normal 2" xfId="120" xr:uid="{00000000-0005-0000-0000-000078000000}"/>
    <cellStyle name="Normal 2 2" xfId="121" xr:uid="{00000000-0005-0000-0000-000079000000}"/>
    <cellStyle name="Normal 2 2 2" xfId="122" xr:uid="{00000000-0005-0000-0000-00007A000000}"/>
    <cellStyle name="Normal 2 2 3" xfId="123" xr:uid="{00000000-0005-0000-0000-00007B000000}"/>
    <cellStyle name="Normal 2 2 4" xfId="124" xr:uid="{00000000-0005-0000-0000-00007C000000}"/>
    <cellStyle name="Normal 2 2 5" xfId="125" xr:uid="{00000000-0005-0000-0000-00007D000000}"/>
    <cellStyle name="Normal 2 3" xfId="126" xr:uid="{00000000-0005-0000-0000-00007E000000}"/>
    <cellStyle name="Normal 2 3 2" xfId="127" xr:uid="{00000000-0005-0000-0000-00007F000000}"/>
    <cellStyle name="Normal 2 3 2 2" xfId="128" xr:uid="{00000000-0005-0000-0000-000080000000}"/>
    <cellStyle name="Normal 2 3 2 2 2" xfId="129" xr:uid="{00000000-0005-0000-0000-000081000000}"/>
    <cellStyle name="Normal 2 3 2 3" xfId="130" xr:uid="{00000000-0005-0000-0000-000082000000}"/>
    <cellStyle name="Normal 2 3 3" xfId="131" xr:uid="{00000000-0005-0000-0000-000083000000}"/>
    <cellStyle name="Normal 2 3 3 2" xfId="132" xr:uid="{00000000-0005-0000-0000-000084000000}"/>
    <cellStyle name="Normal 2 3 4" xfId="133" xr:uid="{00000000-0005-0000-0000-000085000000}"/>
    <cellStyle name="Normal 2 4" xfId="134" xr:uid="{00000000-0005-0000-0000-000086000000}"/>
    <cellStyle name="Normal 2 4 2" xfId="135" xr:uid="{00000000-0005-0000-0000-000087000000}"/>
    <cellStyle name="Normal 2 4 2 2" xfId="136" xr:uid="{00000000-0005-0000-0000-000088000000}"/>
    <cellStyle name="Normal 2 4 3" xfId="137" xr:uid="{00000000-0005-0000-0000-000089000000}"/>
    <cellStyle name="Normal 2 5" xfId="138" xr:uid="{00000000-0005-0000-0000-00008A000000}"/>
    <cellStyle name="Normal 2 5 2" xfId="139" xr:uid="{00000000-0005-0000-0000-00008B000000}"/>
    <cellStyle name="Normal 2 6" xfId="140" xr:uid="{00000000-0005-0000-0000-00008C000000}"/>
    <cellStyle name="Normal 3" xfId="141" xr:uid="{00000000-0005-0000-0000-00008D000000}"/>
    <cellStyle name="Normal 3 2" xfId="142" xr:uid="{00000000-0005-0000-0000-00008E000000}"/>
    <cellStyle name="Normal 4" xfId="143" xr:uid="{00000000-0005-0000-0000-00008F000000}"/>
    <cellStyle name="Normal 4 2" xfId="144" xr:uid="{00000000-0005-0000-0000-000090000000}"/>
    <cellStyle name="Normal 5" xfId="145" xr:uid="{00000000-0005-0000-0000-000091000000}"/>
    <cellStyle name="Normal 5 2" xfId="146" xr:uid="{00000000-0005-0000-0000-000092000000}"/>
    <cellStyle name="Normal 6" xfId="147" xr:uid="{00000000-0005-0000-0000-000093000000}"/>
    <cellStyle name="Normal 6 2" xfId="148" xr:uid="{00000000-0005-0000-0000-000094000000}"/>
    <cellStyle name="Normal 6 3" xfId="149" xr:uid="{00000000-0005-0000-0000-000095000000}"/>
    <cellStyle name="Normal_Sheet1" xfId="150" xr:uid="{00000000-0005-0000-0000-000096000000}"/>
    <cellStyle name="Note 2" xfId="151" xr:uid="{00000000-0005-0000-0000-000097000000}"/>
    <cellStyle name="Note 3" xfId="152" xr:uid="{00000000-0005-0000-0000-000098000000}"/>
    <cellStyle name="Note 3 2" xfId="153" xr:uid="{00000000-0005-0000-0000-000099000000}"/>
    <cellStyle name="Note 3 2 2" xfId="154" xr:uid="{00000000-0005-0000-0000-00009A000000}"/>
    <cellStyle name="Note 3 3" xfId="155" xr:uid="{00000000-0005-0000-0000-00009B000000}"/>
    <cellStyle name="Note 4" xfId="156" xr:uid="{00000000-0005-0000-0000-00009C000000}"/>
    <cellStyle name="Output 2" xfId="157" xr:uid="{00000000-0005-0000-0000-00009D000000}"/>
    <cellStyle name="Output 3" xfId="158" xr:uid="{00000000-0005-0000-0000-00009E000000}"/>
    <cellStyle name="Output 4" xfId="159" xr:uid="{00000000-0005-0000-0000-00009F000000}"/>
    <cellStyle name="Percent 2" xfId="160" xr:uid="{00000000-0005-0000-0000-0000A0000000}"/>
    <cellStyle name="Percent 3" xfId="161" xr:uid="{00000000-0005-0000-0000-0000A1000000}"/>
    <cellStyle name="Percent 4" xfId="162" xr:uid="{00000000-0005-0000-0000-0000A2000000}"/>
    <cellStyle name="Percent 4 2" xfId="163" xr:uid="{00000000-0005-0000-0000-0000A3000000}"/>
    <cellStyle name="Percent 4 2 2" xfId="164" xr:uid="{00000000-0005-0000-0000-0000A4000000}"/>
    <cellStyle name="Percent 4 3" xfId="165" xr:uid="{00000000-0005-0000-0000-0000A5000000}"/>
    <cellStyle name="Percent 5" xfId="166" xr:uid="{00000000-0005-0000-0000-0000A6000000}"/>
    <cellStyle name="Title 2" xfId="167" xr:uid="{00000000-0005-0000-0000-0000A7000000}"/>
    <cellStyle name="Title 3" xfId="168" xr:uid="{00000000-0005-0000-0000-0000A8000000}"/>
    <cellStyle name="Title 4" xfId="169" xr:uid="{00000000-0005-0000-0000-0000A9000000}"/>
    <cellStyle name="Total 2" xfId="170" xr:uid="{00000000-0005-0000-0000-0000AA000000}"/>
    <cellStyle name="Total 3" xfId="171" xr:uid="{00000000-0005-0000-0000-0000AB000000}"/>
    <cellStyle name="Total 4" xfId="172" xr:uid="{00000000-0005-0000-0000-0000AC000000}"/>
    <cellStyle name="Warning Text 2" xfId="173" xr:uid="{00000000-0005-0000-0000-0000AD000000}"/>
    <cellStyle name="Warning Text 3" xfId="174" xr:uid="{00000000-0005-0000-0000-0000AE000000}"/>
    <cellStyle name="Warning Text 4" xfId="175" xr:uid="{00000000-0005-0000-0000-0000A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R59"/>
  <sheetViews>
    <sheetView tabSelected="1" zoomScaleNormal="100" workbookViewId="0">
      <pane ySplit="3" topLeftCell="A4" activePane="bottomLeft" state="frozen"/>
      <selection pane="bottomLeft" activeCell="U8" sqref="U8"/>
    </sheetView>
  </sheetViews>
  <sheetFormatPr defaultColWidth="9.140625" defaultRowHeight="11.25" x14ac:dyDescent="0.2"/>
  <cols>
    <col min="1" max="1" width="9.85546875" style="3" customWidth="1"/>
    <col min="2" max="2" width="11.7109375" style="3" customWidth="1"/>
    <col min="3" max="3" width="11.5703125" style="3" bestFit="1" customWidth="1"/>
    <col min="4" max="4" width="8.5703125" style="3" bestFit="1" customWidth="1"/>
    <col min="5" max="6" width="6.140625" style="3" customWidth="1"/>
    <col min="7" max="7" width="7.140625" style="3" customWidth="1"/>
    <col min="8" max="8" width="6.140625" style="3" customWidth="1"/>
    <col min="9" max="9" width="7.28515625" style="3" customWidth="1"/>
    <col min="10" max="10" width="12.28515625" style="3" customWidth="1"/>
    <col min="11" max="11" width="8.7109375" style="10" bestFit="1" customWidth="1"/>
    <col min="12" max="12" width="12.42578125" style="10" customWidth="1"/>
    <col min="13" max="13" width="12.85546875" style="10" customWidth="1"/>
    <col min="14" max="14" width="11" style="10" customWidth="1"/>
    <col min="15" max="15" width="9.42578125" style="10" customWidth="1"/>
    <col min="16" max="16" width="8.85546875" style="9" customWidth="1"/>
    <col min="17" max="17" width="10.28515625" style="10" bestFit="1" customWidth="1"/>
    <col min="18" max="16384" width="9.140625" style="3"/>
  </cols>
  <sheetData>
    <row r="1" spans="1:18" ht="44.45" customHeight="1" thickBot="1" x14ac:dyDescent="0.25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</row>
    <row r="2" spans="1:18" ht="16.5" customHeight="1" thickBot="1" x14ac:dyDescent="0.25">
      <c r="A2" s="52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53"/>
    </row>
    <row r="3" spans="1:18" s="23" customFormat="1" ht="41.25" customHeight="1" thickBot="1" x14ac:dyDescent="0.3">
      <c r="A3" s="91" t="s">
        <v>1</v>
      </c>
      <c r="B3" s="92" t="s">
        <v>2</v>
      </c>
      <c r="C3" s="92" t="s">
        <v>3</v>
      </c>
      <c r="D3" s="92" t="s">
        <v>4</v>
      </c>
      <c r="E3" s="92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92" t="s">
        <v>10</v>
      </c>
      <c r="K3" s="93" t="s">
        <v>112</v>
      </c>
      <c r="L3" s="92" t="s">
        <v>12</v>
      </c>
      <c r="M3" s="94" t="s">
        <v>111</v>
      </c>
      <c r="N3" s="94" t="s">
        <v>108</v>
      </c>
      <c r="O3" s="92" t="s">
        <v>11</v>
      </c>
      <c r="P3" s="92" t="s">
        <v>109</v>
      </c>
      <c r="Q3" s="95" t="s">
        <v>110</v>
      </c>
    </row>
    <row r="4" spans="1:18" ht="21.95" customHeight="1" x14ac:dyDescent="0.2">
      <c r="A4" s="54">
        <v>1</v>
      </c>
      <c r="B4" s="25">
        <v>8</v>
      </c>
      <c r="C4" s="25" t="s">
        <v>13</v>
      </c>
      <c r="D4" s="25" t="s">
        <v>14</v>
      </c>
      <c r="E4" s="26">
        <v>4</v>
      </c>
      <c r="F4" s="26" t="s">
        <v>15</v>
      </c>
      <c r="G4" s="26" t="s">
        <v>16</v>
      </c>
      <c r="H4" s="26">
        <v>2012</v>
      </c>
      <c r="I4" s="27">
        <v>3500</v>
      </c>
      <c r="J4" s="26" t="s">
        <v>17</v>
      </c>
      <c r="K4" s="28">
        <v>47694</v>
      </c>
      <c r="L4" s="28">
        <v>45868</v>
      </c>
      <c r="M4" s="29">
        <f>N4-183</f>
        <v>45685</v>
      </c>
      <c r="N4" s="28">
        <v>45868</v>
      </c>
      <c r="O4" s="28">
        <v>46233</v>
      </c>
      <c r="P4" s="28">
        <v>45868</v>
      </c>
      <c r="Q4" s="55" t="s">
        <v>113</v>
      </c>
    </row>
    <row r="5" spans="1:18" ht="21.95" customHeight="1" x14ac:dyDescent="0.2">
      <c r="A5" s="56" t="s">
        <v>18</v>
      </c>
      <c r="B5" s="4">
        <v>1</v>
      </c>
      <c r="C5" s="4" t="s">
        <v>19</v>
      </c>
      <c r="D5" s="4" t="s">
        <v>14</v>
      </c>
      <c r="E5" s="2">
        <v>4</v>
      </c>
      <c r="F5" s="2" t="s">
        <v>20</v>
      </c>
      <c r="G5" s="17" t="s">
        <v>21</v>
      </c>
      <c r="H5" s="17">
        <v>1975</v>
      </c>
      <c r="I5" s="1">
        <v>10000</v>
      </c>
      <c r="J5" s="17" t="s">
        <v>22</v>
      </c>
      <c r="K5" s="19"/>
      <c r="L5" s="18">
        <v>-1826</v>
      </c>
      <c r="M5" s="30">
        <f t="shared" ref="M5:M46" si="0">N5-183</f>
        <v>45610</v>
      </c>
      <c r="N5" s="18">
        <v>45793</v>
      </c>
      <c r="O5" s="18">
        <v>46172</v>
      </c>
      <c r="P5" s="18">
        <v>45793</v>
      </c>
      <c r="Q5" s="57" t="s">
        <v>114</v>
      </c>
    </row>
    <row r="6" spans="1:18" ht="21.95" customHeight="1" x14ac:dyDescent="0.2">
      <c r="A6" s="56" t="s">
        <v>23</v>
      </c>
      <c r="B6" s="4">
        <v>2</v>
      </c>
      <c r="C6" s="4" t="s">
        <v>19</v>
      </c>
      <c r="D6" s="4" t="s">
        <v>14</v>
      </c>
      <c r="E6" s="2">
        <v>4</v>
      </c>
      <c r="F6" s="2" t="s">
        <v>20</v>
      </c>
      <c r="G6" s="17" t="s">
        <v>21</v>
      </c>
      <c r="H6" s="17">
        <v>1975</v>
      </c>
      <c r="I6" s="1">
        <v>10000</v>
      </c>
      <c r="J6" s="17" t="s">
        <v>22</v>
      </c>
      <c r="K6" s="18">
        <v>46356</v>
      </c>
      <c r="L6" s="18">
        <v>44530</v>
      </c>
      <c r="M6" s="30">
        <f t="shared" si="0"/>
        <v>45610</v>
      </c>
      <c r="N6" s="18">
        <v>45793</v>
      </c>
      <c r="O6" s="18">
        <v>46172</v>
      </c>
      <c r="P6" s="18">
        <v>45793</v>
      </c>
      <c r="Q6" s="57" t="s">
        <v>113</v>
      </c>
    </row>
    <row r="7" spans="1:18" ht="21.95" customHeight="1" x14ac:dyDescent="0.2">
      <c r="A7" s="56">
        <v>83</v>
      </c>
      <c r="B7" s="4">
        <v>3</v>
      </c>
      <c r="C7" s="4" t="s">
        <v>24</v>
      </c>
      <c r="D7" s="4" t="s">
        <v>14</v>
      </c>
      <c r="E7" s="2">
        <v>4</v>
      </c>
      <c r="F7" s="2" t="s">
        <v>25</v>
      </c>
      <c r="G7" s="17" t="s">
        <v>16</v>
      </c>
      <c r="H7" s="17">
        <v>1982</v>
      </c>
      <c r="I7" s="1">
        <v>3500</v>
      </c>
      <c r="J7" s="17" t="s">
        <v>17</v>
      </c>
      <c r="K7" s="18">
        <v>47694</v>
      </c>
      <c r="L7" s="18">
        <v>45868</v>
      </c>
      <c r="M7" s="30">
        <f t="shared" si="0"/>
        <v>45762</v>
      </c>
      <c r="N7" s="18">
        <v>45945</v>
      </c>
      <c r="O7" s="18">
        <v>46233</v>
      </c>
      <c r="P7" s="18">
        <v>45868</v>
      </c>
      <c r="Q7" s="57" t="s">
        <v>113</v>
      </c>
    </row>
    <row r="8" spans="1:18" ht="21.95" customHeight="1" x14ac:dyDescent="0.2">
      <c r="A8" s="56">
        <v>84</v>
      </c>
      <c r="B8" s="4">
        <v>4</v>
      </c>
      <c r="C8" s="4" t="s">
        <v>24</v>
      </c>
      <c r="D8" s="4" t="s">
        <v>14</v>
      </c>
      <c r="E8" s="2">
        <v>3</v>
      </c>
      <c r="F8" s="2" t="s">
        <v>25</v>
      </c>
      <c r="G8" s="17" t="s">
        <v>26</v>
      </c>
      <c r="H8" s="17">
        <v>1999</v>
      </c>
      <c r="I8" s="1">
        <v>2500</v>
      </c>
      <c r="J8" s="17" t="s">
        <v>27</v>
      </c>
      <c r="K8" s="18">
        <v>45961</v>
      </c>
      <c r="L8" s="18">
        <v>44135</v>
      </c>
      <c r="M8" s="30">
        <f t="shared" si="0"/>
        <v>45699</v>
      </c>
      <c r="N8" s="18">
        <v>45882</v>
      </c>
      <c r="O8" s="18">
        <v>46326</v>
      </c>
      <c r="P8" s="18">
        <v>45882</v>
      </c>
      <c r="Q8" s="57" t="s">
        <v>114</v>
      </c>
    </row>
    <row r="9" spans="1:18" ht="21.95" customHeight="1" x14ac:dyDescent="0.2">
      <c r="A9" s="56">
        <v>86</v>
      </c>
      <c r="B9" s="4">
        <v>5</v>
      </c>
      <c r="C9" s="4" t="s">
        <v>24</v>
      </c>
      <c r="D9" s="4" t="s">
        <v>28</v>
      </c>
      <c r="E9" s="2">
        <v>4</v>
      </c>
      <c r="F9" s="2" t="s">
        <v>29</v>
      </c>
      <c r="G9" s="17" t="s">
        <v>26</v>
      </c>
      <c r="H9" s="17">
        <v>1938</v>
      </c>
      <c r="I9" s="1">
        <v>4000</v>
      </c>
      <c r="J9" s="17" t="s">
        <v>30</v>
      </c>
      <c r="K9" s="18">
        <v>46052</v>
      </c>
      <c r="L9" s="18">
        <v>44226</v>
      </c>
      <c r="M9" s="30">
        <f t="shared" si="0"/>
        <v>45762</v>
      </c>
      <c r="N9" s="18">
        <v>45945</v>
      </c>
      <c r="O9" s="18">
        <v>46142</v>
      </c>
      <c r="P9" s="18">
        <v>45763</v>
      </c>
      <c r="Q9" s="57" t="s">
        <v>113</v>
      </c>
    </row>
    <row r="10" spans="1:18" ht="21.95" customHeight="1" x14ac:dyDescent="0.2">
      <c r="A10" s="56" t="s">
        <v>31</v>
      </c>
      <c r="B10" s="4">
        <v>7</v>
      </c>
      <c r="C10" s="4" t="s">
        <v>24</v>
      </c>
      <c r="D10" s="4" t="s">
        <v>28</v>
      </c>
      <c r="E10" s="2">
        <v>4</v>
      </c>
      <c r="F10" s="2" t="s">
        <v>29</v>
      </c>
      <c r="G10" s="17" t="s">
        <v>32</v>
      </c>
      <c r="H10" s="17">
        <v>1987</v>
      </c>
      <c r="I10" s="1">
        <v>2000</v>
      </c>
      <c r="J10" s="17" t="s">
        <v>33</v>
      </c>
      <c r="K10" s="18">
        <v>46504</v>
      </c>
      <c r="L10" s="18">
        <v>44678</v>
      </c>
      <c r="M10" s="30">
        <f t="shared" si="0"/>
        <v>45762</v>
      </c>
      <c r="N10" s="18">
        <v>45945</v>
      </c>
      <c r="O10" s="18">
        <v>46142</v>
      </c>
      <c r="P10" s="18">
        <v>45764</v>
      </c>
      <c r="Q10" s="57" t="s">
        <v>113</v>
      </c>
    </row>
    <row r="11" spans="1:18" ht="21.95" customHeight="1" x14ac:dyDescent="0.2">
      <c r="A11" s="56">
        <v>141</v>
      </c>
      <c r="B11" s="4">
        <v>63</v>
      </c>
      <c r="C11" s="4" t="s">
        <v>13</v>
      </c>
      <c r="D11" s="4" t="s">
        <v>14</v>
      </c>
      <c r="E11" s="5">
        <v>3</v>
      </c>
      <c r="F11" s="5"/>
      <c r="G11" s="5" t="s">
        <v>16</v>
      </c>
      <c r="H11" s="5">
        <v>2012</v>
      </c>
      <c r="I11" s="6">
        <v>2500</v>
      </c>
      <c r="J11" s="5" t="s">
        <v>34</v>
      </c>
      <c r="K11" s="18">
        <v>46021</v>
      </c>
      <c r="L11" s="18">
        <v>44195</v>
      </c>
      <c r="M11" s="30">
        <f t="shared" si="0"/>
        <v>45761</v>
      </c>
      <c r="N11" s="18">
        <v>45944</v>
      </c>
      <c r="O11" s="18">
        <v>46295</v>
      </c>
      <c r="P11" s="18">
        <v>45930</v>
      </c>
      <c r="Q11" s="57" t="s">
        <v>113</v>
      </c>
    </row>
    <row r="12" spans="1:18" ht="21.95" customHeight="1" x14ac:dyDescent="0.2">
      <c r="A12" s="56">
        <v>156</v>
      </c>
      <c r="B12" s="4">
        <v>64</v>
      </c>
      <c r="C12" s="4" t="s">
        <v>13</v>
      </c>
      <c r="D12" s="4" t="s">
        <v>14</v>
      </c>
      <c r="E12" s="5">
        <v>4</v>
      </c>
      <c r="F12" s="5"/>
      <c r="G12" s="5" t="s">
        <v>16</v>
      </c>
      <c r="H12" s="5">
        <v>2012</v>
      </c>
      <c r="I12" s="6">
        <v>2500</v>
      </c>
      <c r="J12" s="5" t="s">
        <v>34</v>
      </c>
      <c r="K12" s="18">
        <v>46021</v>
      </c>
      <c r="L12" s="18">
        <v>44195</v>
      </c>
      <c r="M12" s="30">
        <f t="shared" si="0"/>
        <v>45747</v>
      </c>
      <c r="N12" s="18">
        <v>45930</v>
      </c>
      <c r="O12" s="18">
        <v>46111</v>
      </c>
      <c r="P12" s="18">
        <v>45746</v>
      </c>
      <c r="Q12" s="57" t="s">
        <v>113</v>
      </c>
    </row>
    <row r="13" spans="1:18" ht="21.95" customHeight="1" x14ac:dyDescent="0.25">
      <c r="A13" s="58">
        <v>159</v>
      </c>
      <c r="B13" s="11">
        <v>12</v>
      </c>
      <c r="C13" s="11" t="s">
        <v>24</v>
      </c>
      <c r="D13" s="11" t="s">
        <v>14</v>
      </c>
      <c r="E13" s="12">
        <v>3</v>
      </c>
      <c r="F13" s="12" t="s">
        <v>35</v>
      </c>
      <c r="G13" s="13" t="s">
        <v>32</v>
      </c>
      <c r="H13" s="13">
        <v>1999</v>
      </c>
      <c r="I13" s="14">
        <v>2500</v>
      </c>
      <c r="J13" s="13" t="s">
        <v>36</v>
      </c>
      <c r="K13" s="19"/>
      <c r="L13" s="18">
        <v>-1826</v>
      </c>
      <c r="M13" s="30">
        <f t="shared" si="0"/>
        <v>45610</v>
      </c>
      <c r="N13" s="18">
        <v>45793</v>
      </c>
      <c r="O13" s="18">
        <v>46172</v>
      </c>
      <c r="P13" s="18">
        <v>45793</v>
      </c>
      <c r="Q13" s="57" t="s">
        <v>114</v>
      </c>
      <c r="R13" s="15"/>
    </row>
    <row r="14" spans="1:18" ht="21.95" customHeight="1" x14ac:dyDescent="0.2">
      <c r="A14" s="58" t="s">
        <v>37</v>
      </c>
      <c r="B14" s="11">
        <v>18</v>
      </c>
      <c r="C14" s="11" t="s">
        <v>24</v>
      </c>
      <c r="D14" s="11" t="s">
        <v>14</v>
      </c>
      <c r="E14" s="12">
        <v>3</v>
      </c>
      <c r="F14" s="12" t="s">
        <v>38</v>
      </c>
      <c r="G14" s="13" t="s">
        <v>32</v>
      </c>
      <c r="H14" s="13">
        <v>1998</v>
      </c>
      <c r="I14" s="14">
        <v>2500</v>
      </c>
      <c r="J14" s="13" t="s">
        <v>27</v>
      </c>
      <c r="K14" s="18">
        <v>47694</v>
      </c>
      <c r="L14" s="18">
        <v>45868</v>
      </c>
      <c r="M14" s="30">
        <f t="shared" si="0"/>
        <v>45685</v>
      </c>
      <c r="N14" s="18">
        <v>45868</v>
      </c>
      <c r="O14" s="18">
        <v>46233</v>
      </c>
      <c r="P14" s="18">
        <v>45868</v>
      </c>
      <c r="Q14" s="57" t="s">
        <v>113</v>
      </c>
    </row>
    <row r="15" spans="1:18" ht="21.95" customHeight="1" x14ac:dyDescent="0.2">
      <c r="A15" s="58" t="s">
        <v>39</v>
      </c>
      <c r="B15" s="11">
        <v>19</v>
      </c>
      <c r="C15" s="11" t="s">
        <v>24</v>
      </c>
      <c r="D15" s="11" t="s">
        <v>14</v>
      </c>
      <c r="E15" s="12">
        <v>3</v>
      </c>
      <c r="F15" s="12" t="s">
        <v>38</v>
      </c>
      <c r="G15" s="13" t="s">
        <v>32</v>
      </c>
      <c r="H15" s="13">
        <v>1998</v>
      </c>
      <c r="I15" s="14">
        <v>2500</v>
      </c>
      <c r="J15" s="13" t="s">
        <v>27</v>
      </c>
      <c r="K15" s="18">
        <v>47694</v>
      </c>
      <c r="L15" s="18">
        <v>45868</v>
      </c>
      <c r="M15" s="30">
        <f t="shared" si="0"/>
        <v>45685</v>
      </c>
      <c r="N15" s="18">
        <v>45868</v>
      </c>
      <c r="O15" s="18">
        <v>46233</v>
      </c>
      <c r="P15" s="18">
        <v>45868</v>
      </c>
      <c r="Q15" s="57" t="s">
        <v>113</v>
      </c>
    </row>
    <row r="16" spans="1:18" ht="21.95" customHeight="1" x14ac:dyDescent="0.2">
      <c r="A16" s="58" t="s">
        <v>40</v>
      </c>
      <c r="B16" s="11">
        <v>20</v>
      </c>
      <c r="C16" s="11" t="s">
        <v>24</v>
      </c>
      <c r="D16" s="11" t="s">
        <v>14</v>
      </c>
      <c r="E16" s="12">
        <v>3</v>
      </c>
      <c r="F16" s="12" t="s">
        <v>38</v>
      </c>
      <c r="G16" s="13" t="s">
        <v>32</v>
      </c>
      <c r="H16" s="13">
        <v>2000</v>
      </c>
      <c r="I16" s="14">
        <v>2500</v>
      </c>
      <c r="J16" s="13" t="s">
        <v>27</v>
      </c>
      <c r="K16" s="18">
        <v>45991</v>
      </c>
      <c r="L16" s="18">
        <v>44165</v>
      </c>
      <c r="M16" s="30">
        <f t="shared" si="0"/>
        <v>45685</v>
      </c>
      <c r="N16" s="18">
        <v>45868</v>
      </c>
      <c r="O16" s="18">
        <v>46233</v>
      </c>
      <c r="P16" s="18">
        <v>45868</v>
      </c>
      <c r="Q16" s="57" t="s">
        <v>113</v>
      </c>
    </row>
    <row r="17" spans="1:17" ht="21.95" customHeight="1" x14ac:dyDescent="0.2">
      <c r="A17" s="58" t="s">
        <v>41</v>
      </c>
      <c r="B17" s="11">
        <v>21</v>
      </c>
      <c r="C17" s="11" t="s">
        <v>24</v>
      </c>
      <c r="D17" s="11" t="s">
        <v>14</v>
      </c>
      <c r="E17" s="12">
        <v>3</v>
      </c>
      <c r="F17" s="12" t="s">
        <v>38</v>
      </c>
      <c r="G17" s="13" t="s">
        <v>32</v>
      </c>
      <c r="H17" s="13">
        <v>2000</v>
      </c>
      <c r="I17" s="14">
        <v>2500</v>
      </c>
      <c r="J17" s="13" t="s">
        <v>27</v>
      </c>
      <c r="K17" s="18">
        <v>45991</v>
      </c>
      <c r="L17" s="18">
        <v>44165</v>
      </c>
      <c r="M17" s="30">
        <f t="shared" si="0"/>
        <v>45685</v>
      </c>
      <c r="N17" s="18">
        <v>45868</v>
      </c>
      <c r="O17" s="18">
        <v>46233</v>
      </c>
      <c r="P17" s="18">
        <v>45868</v>
      </c>
      <c r="Q17" s="57" t="s">
        <v>113</v>
      </c>
    </row>
    <row r="18" spans="1:17" ht="21.95" customHeight="1" x14ac:dyDescent="0.2">
      <c r="A18" s="58" t="s">
        <v>42</v>
      </c>
      <c r="B18" s="11">
        <v>22</v>
      </c>
      <c r="C18" s="11" t="s">
        <v>24</v>
      </c>
      <c r="D18" s="11" t="s">
        <v>14</v>
      </c>
      <c r="E18" s="12">
        <v>3</v>
      </c>
      <c r="F18" s="12" t="s">
        <v>43</v>
      </c>
      <c r="G18" s="13" t="s">
        <v>32</v>
      </c>
      <c r="H18" s="13">
        <v>1997</v>
      </c>
      <c r="I18" s="14">
        <v>2500</v>
      </c>
      <c r="J18" s="13" t="s">
        <v>27</v>
      </c>
      <c r="K18" s="18">
        <v>46021</v>
      </c>
      <c r="L18" s="18">
        <v>44195</v>
      </c>
      <c r="M18" s="30">
        <f t="shared" si="0"/>
        <v>45685</v>
      </c>
      <c r="N18" s="18">
        <v>45868</v>
      </c>
      <c r="O18" s="18">
        <v>46233</v>
      </c>
      <c r="P18" s="18">
        <v>45868</v>
      </c>
      <c r="Q18" s="57" t="s">
        <v>113</v>
      </c>
    </row>
    <row r="19" spans="1:17" ht="21.95" customHeight="1" x14ac:dyDescent="0.2">
      <c r="A19" s="58" t="s">
        <v>44</v>
      </c>
      <c r="B19" s="11">
        <v>23</v>
      </c>
      <c r="C19" s="11" t="s">
        <v>24</v>
      </c>
      <c r="D19" s="11" t="s">
        <v>14</v>
      </c>
      <c r="E19" s="12">
        <v>3</v>
      </c>
      <c r="F19" s="12" t="s">
        <v>43</v>
      </c>
      <c r="G19" s="13" t="s">
        <v>32</v>
      </c>
      <c r="H19" s="13">
        <v>1997</v>
      </c>
      <c r="I19" s="14">
        <v>2500</v>
      </c>
      <c r="J19" s="13" t="s">
        <v>27</v>
      </c>
      <c r="K19" s="18">
        <v>46356</v>
      </c>
      <c r="L19" s="18">
        <v>44530</v>
      </c>
      <c r="M19" s="30">
        <f t="shared" si="0"/>
        <v>45685</v>
      </c>
      <c r="N19" s="18">
        <v>45868</v>
      </c>
      <c r="O19" s="18">
        <v>46233</v>
      </c>
      <c r="P19" s="18">
        <v>45868</v>
      </c>
      <c r="Q19" s="57" t="s">
        <v>113</v>
      </c>
    </row>
    <row r="20" spans="1:17" ht="21.95" customHeight="1" x14ac:dyDescent="0.2">
      <c r="A20" s="56" t="s">
        <v>45</v>
      </c>
      <c r="B20" s="4">
        <v>24</v>
      </c>
      <c r="C20" s="4" t="s">
        <v>24</v>
      </c>
      <c r="D20" s="4" t="s">
        <v>14</v>
      </c>
      <c r="E20" s="2">
        <v>3</v>
      </c>
      <c r="F20" s="2" t="s">
        <v>38</v>
      </c>
      <c r="G20" s="17" t="s">
        <v>32</v>
      </c>
      <c r="H20" s="17">
        <v>1997</v>
      </c>
      <c r="I20" s="1">
        <v>2500</v>
      </c>
      <c r="J20" s="17" t="s">
        <v>27</v>
      </c>
      <c r="K20" s="18">
        <v>46203</v>
      </c>
      <c r="L20" s="18">
        <v>44377</v>
      </c>
      <c r="M20" s="30">
        <f t="shared" si="0"/>
        <v>45638</v>
      </c>
      <c r="N20" s="18">
        <v>45821</v>
      </c>
      <c r="O20" s="18">
        <v>46203</v>
      </c>
      <c r="P20" s="18">
        <v>45821</v>
      </c>
      <c r="Q20" s="57" t="s">
        <v>113</v>
      </c>
    </row>
    <row r="21" spans="1:17" ht="21.95" customHeight="1" x14ac:dyDescent="0.2">
      <c r="A21" s="56" t="s">
        <v>46</v>
      </c>
      <c r="B21" s="4">
        <v>25</v>
      </c>
      <c r="C21" s="4" t="s">
        <v>24</v>
      </c>
      <c r="D21" s="4" t="s">
        <v>14</v>
      </c>
      <c r="E21" s="2">
        <v>3</v>
      </c>
      <c r="F21" s="2" t="s">
        <v>38</v>
      </c>
      <c r="G21" s="17" t="s">
        <v>32</v>
      </c>
      <c r="H21" s="17">
        <v>1977</v>
      </c>
      <c r="I21" s="1">
        <v>2500</v>
      </c>
      <c r="J21" s="17" t="s">
        <v>27</v>
      </c>
      <c r="K21" s="18">
        <v>46203</v>
      </c>
      <c r="L21" s="18">
        <v>44377</v>
      </c>
      <c r="M21" s="30">
        <f t="shared" si="0"/>
        <v>45638</v>
      </c>
      <c r="N21" s="18">
        <v>45821</v>
      </c>
      <c r="O21" s="18">
        <v>46203</v>
      </c>
      <c r="P21" s="18">
        <v>45821</v>
      </c>
      <c r="Q21" s="57" t="s">
        <v>113</v>
      </c>
    </row>
    <row r="22" spans="1:17" ht="21.95" customHeight="1" x14ac:dyDescent="0.2">
      <c r="A22" s="56">
        <v>448</v>
      </c>
      <c r="B22" s="4">
        <v>28</v>
      </c>
      <c r="C22" s="4" t="s">
        <v>24</v>
      </c>
      <c r="D22" s="4" t="s">
        <v>28</v>
      </c>
      <c r="E22" s="2">
        <v>4</v>
      </c>
      <c r="F22" s="2" t="s">
        <v>29</v>
      </c>
      <c r="G22" s="17" t="s">
        <v>32</v>
      </c>
      <c r="H22" s="17">
        <v>1969</v>
      </c>
      <c r="I22" s="1">
        <v>4000</v>
      </c>
      <c r="J22" s="17" t="s">
        <v>47</v>
      </c>
      <c r="K22" s="18">
        <v>46507</v>
      </c>
      <c r="L22" s="18">
        <v>44681</v>
      </c>
      <c r="M22" s="30">
        <f t="shared" si="0"/>
        <v>45762</v>
      </c>
      <c r="N22" s="18">
        <v>45945</v>
      </c>
      <c r="O22" s="18">
        <v>46142</v>
      </c>
      <c r="P22" s="18">
        <v>45763</v>
      </c>
      <c r="Q22" s="57" t="s">
        <v>114</v>
      </c>
    </row>
    <row r="23" spans="1:17" ht="21.95" customHeight="1" x14ac:dyDescent="0.2">
      <c r="A23" s="56" t="s">
        <v>48</v>
      </c>
      <c r="B23" s="4">
        <v>33</v>
      </c>
      <c r="C23" s="4" t="s">
        <v>24</v>
      </c>
      <c r="D23" s="4" t="s">
        <v>28</v>
      </c>
      <c r="E23" s="2">
        <v>6</v>
      </c>
      <c r="F23" s="2" t="s">
        <v>29</v>
      </c>
      <c r="G23" s="17" t="s">
        <v>49</v>
      </c>
      <c r="H23" s="17" t="s">
        <v>50</v>
      </c>
      <c r="I23" s="1">
        <v>2500</v>
      </c>
      <c r="J23" s="17" t="s">
        <v>51</v>
      </c>
      <c r="K23" s="18">
        <v>46052</v>
      </c>
      <c r="L23" s="18">
        <v>44226</v>
      </c>
      <c r="M23" s="30">
        <f t="shared" si="0"/>
        <v>45761</v>
      </c>
      <c r="N23" s="18">
        <v>45944</v>
      </c>
      <c r="O23" s="18">
        <v>46142</v>
      </c>
      <c r="P23" s="18">
        <v>45762</v>
      </c>
      <c r="Q23" s="57" t="s">
        <v>113</v>
      </c>
    </row>
    <row r="24" spans="1:17" ht="21.95" customHeight="1" x14ac:dyDescent="0.2">
      <c r="A24" s="56" t="s">
        <v>52</v>
      </c>
      <c r="B24" s="4">
        <v>34</v>
      </c>
      <c r="C24" s="4" t="s">
        <v>24</v>
      </c>
      <c r="D24" s="4" t="s">
        <v>28</v>
      </c>
      <c r="E24" s="2">
        <v>6</v>
      </c>
      <c r="F24" s="2" t="s">
        <v>29</v>
      </c>
      <c r="G24" s="17" t="s">
        <v>49</v>
      </c>
      <c r="H24" s="17" t="s">
        <v>50</v>
      </c>
      <c r="I24" s="1">
        <v>2500</v>
      </c>
      <c r="J24" s="17" t="s">
        <v>51</v>
      </c>
      <c r="K24" s="18">
        <v>46172</v>
      </c>
      <c r="L24" s="18">
        <v>44346</v>
      </c>
      <c r="M24" s="30">
        <f t="shared" si="0"/>
        <v>45517</v>
      </c>
      <c r="N24" s="18">
        <v>45700</v>
      </c>
      <c r="O24" s="18">
        <v>46081</v>
      </c>
      <c r="P24" s="18">
        <v>45700</v>
      </c>
      <c r="Q24" s="57" t="s">
        <v>113</v>
      </c>
    </row>
    <row r="25" spans="1:17" ht="21.95" customHeight="1" x14ac:dyDescent="0.2">
      <c r="A25" s="56">
        <v>456</v>
      </c>
      <c r="B25" s="4">
        <v>36</v>
      </c>
      <c r="C25" s="4" t="s">
        <v>19</v>
      </c>
      <c r="D25" s="4" t="s">
        <v>14</v>
      </c>
      <c r="E25" s="2" t="s">
        <v>53</v>
      </c>
      <c r="F25" s="2" t="s">
        <v>54</v>
      </c>
      <c r="G25" s="17" t="s">
        <v>55</v>
      </c>
      <c r="H25" s="17">
        <v>1973</v>
      </c>
      <c r="I25" s="1">
        <v>12000</v>
      </c>
      <c r="J25" s="17" t="s">
        <v>56</v>
      </c>
      <c r="K25" s="18">
        <v>44591</v>
      </c>
      <c r="L25" s="18">
        <v>42765</v>
      </c>
      <c r="M25" s="30">
        <f t="shared" si="0"/>
        <v>45638</v>
      </c>
      <c r="N25" s="18">
        <v>45821</v>
      </c>
      <c r="O25" s="18">
        <v>46203</v>
      </c>
      <c r="P25" s="18">
        <v>45821</v>
      </c>
      <c r="Q25" s="57" t="s">
        <v>113</v>
      </c>
    </row>
    <row r="26" spans="1:17" ht="21.95" customHeight="1" x14ac:dyDescent="0.2">
      <c r="A26" s="56">
        <v>474</v>
      </c>
      <c r="B26" s="4"/>
      <c r="C26" s="4" t="s">
        <v>24</v>
      </c>
      <c r="D26" s="4"/>
      <c r="E26" s="2"/>
      <c r="F26" s="2"/>
      <c r="G26" s="17"/>
      <c r="H26" s="17"/>
      <c r="I26" s="1"/>
      <c r="J26" s="17"/>
      <c r="K26" s="18">
        <v>44803</v>
      </c>
      <c r="L26" s="18">
        <v>42977</v>
      </c>
      <c r="M26" s="30">
        <f t="shared" si="0"/>
        <v>45638</v>
      </c>
      <c r="N26" s="18">
        <v>45821</v>
      </c>
      <c r="O26" s="18">
        <v>46203</v>
      </c>
      <c r="P26" s="18">
        <v>45821</v>
      </c>
      <c r="Q26" s="57" t="s">
        <v>113</v>
      </c>
    </row>
    <row r="27" spans="1:17" ht="21.95" customHeight="1" x14ac:dyDescent="0.2">
      <c r="A27" s="56">
        <v>484</v>
      </c>
      <c r="B27" s="4">
        <v>38</v>
      </c>
      <c r="C27" s="4" t="s">
        <v>24</v>
      </c>
      <c r="D27" s="4" t="s">
        <v>14</v>
      </c>
      <c r="E27" s="2">
        <v>2</v>
      </c>
      <c r="F27" s="2" t="s">
        <v>57</v>
      </c>
      <c r="G27" s="17" t="s">
        <v>32</v>
      </c>
      <c r="H27" s="17">
        <v>1980</v>
      </c>
      <c r="I27" s="1">
        <v>2000</v>
      </c>
      <c r="J27" s="17" t="s">
        <v>58</v>
      </c>
      <c r="K27" s="19"/>
      <c r="L27" s="18">
        <v>-1826</v>
      </c>
      <c r="M27" s="30">
        <f t="shared" si="0"/>
        <v>45747</v>
      </c>
      <c r="N27" s="18">
        <v>45930</v>
      </c>
      <c r="O27" s="18">
        <v>46295</v>
      </c>
      <c r="P27" s="18">
        <v>45930</v>
      </c>
      <c r="Q27" s="57" t="s">
        <v>114</v>
      </c>
    </row>
    <row r="28" spans="1:17" ht="21.95" customHeight="1" x14ac:dyDescent="0.2">
      <c r="A28" s="56">
        <v>484</v>
      </c>
      <c r="B28" s="4">
        <v>39</v>
      </c>
      <c r="C28" s="4" t="s">
        <v>19</v>
      </c>
      <c r="D28" s="4" t="s">
        <v>14</v>
      </c>
      <c r="E28" s="2">
        <v>2</v>
      </c>
      <c r="F28" s="2" t="s">
        <v>59</v>
      </c>
      <c r="G28" s="17" t="s">
        <v>55</v>
      </c>
      <c r="H28" s="17">
        <v>1979</v>
      </c>
      <c r="I28" s="1">
        <v>6000</v>
      </c>
      <c r="J28" s="17" t="s">
        <v>60</v>
      </c>
      <c r="K28" s="19"/>
      <c r="L28" s="18">
        <v>-1826</v>
      </c>
      <c r="M28" s="30">
        <f t="shared" si="0"/>
        <v>45727</v>
      </c>
      <c r="N28" s="18">
        <v>45910</v>
      </c>
      <c r="O28" s="18">
        <v>46295</v>
      </c>
      <c r="P28" s="18">
        <v>45910</v>
      </c>
      <c r="Q28" s="57" t="s">
        <v>113</v>
      </c>
    </row>
    <row r="29" spans="1:17" ht="21.95" customHeight="1" x14ac:dyDescent="0.2">
      <c r="A29" s="56" t="s">
        <v>61</v>
      </c>
      <c r="B29" s="4">
        <v>40</v>
      </c>
      <c r="C29" s="4" t="s">
        <v>62</v>
      </c>
      <c r="D29" s="4" t="s">
        <v>63</v>
      </c>
      <c r="E29" s="2">
        <v>2</v>
      </c>
      <c r="F29" s="2" t="s">
        <v>29</v>
      </c>
      <c r="G29" s="17" t="s">
        <v>64</v>
      </c>
      <c r="H29" s="17">
        <v>1980</v>
      </c>
      <c r="I29" s="1">
        <v>5000</v>
      </c>
      <c r="J29" s="17" t="s">
        <v>58</v>
      </c>
      <c r="K29" s="18">
        <v>47087</v>
      </c>
      <c r="L29" s="18">
        <v>45261</v>
      </c>
      <c r="M29" s="30">
        <f t="shared" si="0"/>
        <v>45638</v>
      </c>
      <c r="N29" s="18">
        <v>45821</v>
      </c>
      <c r="O29" s="18">
        <v>46021</v>
      </c>
      <c r="P29" s="18">
        <v>45631</v>
      </c>
      <c r="Q29" s="57" t="s">
        <v>113</v>
      </c>
    </row>
    <row r="30" spans="1:17" ht="21.95" customHeight="1" x14ac:dyDescent="0.2">
      <c r="A30" s="56" t="s">
        <v>61</v>
      </c>
      <c r="B30" s="4">
        <v>41</v>
      </c>
      <c r="C30" s="4" t="s">
        <v>65</v>
      </c>
      <c r="D30" s="4" t="s">
        <v>63</v>
      </c>
      <c r="E30" s="2">
        <v>2</v>
      </c>
      <c r="F30" s="2" t="s">
        <v>29</v>
      </c>
      <c r="G30" s="17" t="s">
        <v>64</v>
      </c>
      <c r="H30" s="17">
        <v>1980</v>
      </c>
      <c r="I30" s="1">
        <v>5000</v>
      </c>
      <c r="J30" s="17" t="s">
        <v>58</v>
      </c>
      <c r="K30" s="18">
        <v>46811</v>
      </c>
      <c r="L30" s="18">
        <v>44985</v>
      </c>
      <c r="M30" s="30">
        <f t="shared" si="0"/>
        <v>45638</v>
      </c>
      <c r="N30" s="18">
        <v>45821</v>
      </c>
      <c r="O30" s="18">
        <v>46021</v>
      </c>
      <c r="P30" s="18">
        <v>45631</v>
      </c>
      <c r="Q30" s="57" t="s">
        <v>113</v>
      </c>
    </row>
    <row r="31" spans="1:17" ht="21.95" customHeight="1" x14ac:dyDescent="0.2">
      <c r="A31" s="56" t="s">
        <v>66</v>
      </c>
      <c r="B31" s="4">
        <v>42</v>
      </c>
      <c r="C31" s="4" t="s">
        <v>24</v>
      </c>
      <c r="D31" s="4" t="s">
        <v>28</v>
      </c>
      <c r="E31" s="2">
        <v>5</v>
      </c>
      <c r="F31" s="2" t="s">
        <v>29</v>
      </c>
      <c r="G31" s="17" t="s">
        <v>49</v>
      </c>
      <c r="H31" s="17" t="s">
        <v>67</v>
      </c>
      <c r="I31" s="1">
        <v>2500</v>
      </c>
      <c r="J31" s="17" t="s">
        <v>68</v>
      </c>
      <c r="K31" s="18">
        <v>46172</v>
      </c>
      <c r="L31" s="18">
        <v>44346</v>
      </c>
      <c r="M31" s="30">
        <f t="shared" si="0"/>
        <v>45685</v>
      </c>
      <c r="N31" s="18">
        <v>45868</v>
      </c>
      <c r="O31" s="18">
        <v>46052</v>
      </c>
      <c r="P31" s="18">
        <v>45671</v>
      </c>
      <c r="Q31" s="57" t="s">
        <v>113</v>
      </c>
    </row>
    <row r="32" spans="1:17" ht="21.95" customHeight="1" x14ac:dyDescent="0.2">
      <c r="A32" s="56" t="s">
        <v>69</v>
      </c>
      <c r="B32" s="4">
        <v>43</v>
      </c>
      <c r="C32" s="4" t="s">
        <v>24</v>
      </c>
      <c r="D32" s="4" t="s">
        <v>28</v>
      </c>
      <c r="E32" s="2">
        <v>5</v>
      </c>
      <c r="F32" s="2" t="s">
        <v>29</v>
      </c>
      <c r="G32" s="17" t="s">
        <v>49</v>
      </c>
      <c r="H32" s="17" t="s">
        <v>67</v>
      </c>
      <c r="I32" s="1">
        <v>2500</v>
      </c>
      <c r="J32" s="17" t="s">
        <v>68</v>
      </c>
      <c r="K32" s="18">
        <v>46172</v>
      </c>
      <c r="L32" s="18">
        <v>44346</v>
      </c>
      <c r="M32" s="30">
        <f t="shared" si="0"/>
        <v>45685</v>
      </c>
      <c r="N32" s="18">
        <v>45868</v>
      </c>
      <c r="O32" s="18">
        <v>46233</v>
      </c>
      <c r="P32" s="18">
        <v>45868</v>
      </c>
      <c r="Q32" s="57" t="s">
        <v>114</v>
      </c>
    </row>
    <row r="33" spans="1:17" ht="21.95" customHeight="1" x14ac:dyDescent="0.2">
      <c r="A33" s="56" t="s">
        <v>70</v>
      </c>
      <c r="B33" s="4">
        <v>44</v>
      </c>
      <c r="C33" s="4" t="s">
        <v>24</v>
      </c>
      <c r="D33" s="4" t="s">
        <v>14</v>
      </c>
      <c r="E33" s="2">
        <v>7</v>
      </c>
      <c r="F33" s="2" t="s">
        <v>71</v>
      </c>
      <c r="G33" s="17" t="s">
        <v>26</v>
      </c>
      <c r="H33" s="17" t="s">
        <v>72</v>
      </c>
      <c r="I33" s="1">
        <v>2500</v>
      </c>
      <c r="J33" s="17" t="s">
        <v>73</v>
      </c>
      <c r="K33" s="18">
        <v>46172</v>
      </c>
      <c r="L33" s="18">
        <v>44346</v>
      </c>
      <c r="M33" s="30">
        <f t="shared" si="0"/>
        <v>45685</v>
      </c>
      <c r="N33" s="18">
        <v>45868</v>
      </c>
      <c r="O33" s="18">
        <v>46233</v>
      </c>
      <c r="P33" s="18">
        <v>45868</v>
      </c>
      <c r="Q33" s="57" t="s">
        <v>114</v>
      </c>
    </row>
    <row r="34" spans="1:17" ht="21.95" customHeight="1" x14ac:dyDescent="0.2">
      <c r="A34" s="56" t="s">
        <v>74</v>
      </c>
      <c r="B34" s="4">
        <v>45</v>
      </c>
      <c r="C34" s="4" t="s">
        <v>24</v>
      </c>
      <c r="D34" s="4" t="s">
        <v>14</v>
      </c>
      <c r="E34" s="2">
        <v>7</v>
      </c>
      <c r="F34" s="2" t="s">
        <v>71</v>
      </c>
      <c r="G34" s="17" t="s">
        <v>26</v>
      </c>
      <c r="H34" s="17" t="s">
        <v>75</v>
      </c>
      <c r="I34" s="1">
        <v>2500</v>
      </c>
      <c r="J34" s="17" t="s">
        <v>73</v>
      </c>
      <c r="K34" s="18">
        <v>46052</v>
      </c>
      <c r="L34" s="18">
        <v>44226</v>
      </c>
      <c r="M34" s="30">
        <f t="shared" si="0"/>
        <v>45716</v>
      </c>
      <c r="N34" s="18">
        <v>45899</v>
      </c>
      <c r="O34" s="18">
        <v>46081</v>
      </c>
      <c r="P34" s="18">
        <v>45699</v>
      </c>
      <c r="Q34" s="57" t="s">
        <v>113</v>
      </c>
    </row>
    <row r="35" spans="1:17" ht="21.95" customHeight="1" x14ac:dyDescent="0.2">
      <c r="A35" s="56" t="s">
        <v>76</v>
      </c>
      <c r="B35" s="4">
        <v>46</v>
      </c>
      <c r="C35" s="4" t="s">
        <v>24</v>
      </c>
      <c r="D35" s="4" t="s">
        <v>14</v>
      </c>
      <c r="E35" s="2">
        <v>4</v>
      </c>
      <c r="F35" s="2" t="s">
        <v>25</v>
      </c>
      <c r="G35" s="17" t="s">
        <v>26</v>
      </c>
      <c r="H35" s="17" t="s">
        <v>67</v>
      </c>
      <c r="I35" s="1">
        <v>2500</v>
      </c>
      <c r="J35" s="17" t="s">
        <v>73</v>
      </c>
      <c r="K35" s="18">
        <v>46783</v>
      </c>
      <c r="L35" s="18">
        <v>44957</v>
      </c>
      <c r="M35" s="30">
        <f t="shared" si="0"/>
        <v>45716</v>
      </c>
      <c r="N35" s="18">
        <v>45899</v>
      </c>
      <c r="O35" s="18">
        <v>46264</v>
      </c>
      <c r="P35" s="18">
        <v>45899</v>
      </c>
      <c r="Q35" s="57" t="s">
        <v>113</v>
      </c>
    </row>
    <row r="36" spans="1:17" ht="21.95" customHeight="1" x14ac:dyDescent="0.2">
      <c r="A36" s="56">
        <v>493</v>
      </c>
      <c r="B36" s="4">
        <v>47</v>
      </c>
      <c r="C36" s="4" t="s">
        <v>19</v>
      </c>
      <c r="D36" s="4" t="s">
        <v>14</v>
      </c>
      <c r="E36" s="2" t="s">
        <v>53</v>
      </c>
      <c r="F36" s="2" t="s">
        <v>77</v>
      </c>
      <c r="G36" s="17" t="s">
        <v>78</v>
      </c>
      <c r="H36" s="17">
        <v>1983</v>
      </c>
      <c r="I36" s="1">
        <v>20000</v>
      </c>
      <c r="J36" s="17" t="s">
        <v>79</v>
      </c>
      <c r="K36" s="18">
        <v>46142</v>
      </c>
      <c r="L36" s="18">
        <v>44316</v>
      </c>
      <c r="M36" s="30">
        <f t="shared" si="0"/>
        <v>45624</v>
      </c>
      <c r="N36" s="18">
        <v>45807</v>
      </c>
      <c r="O36" s="18">
        <v>46172</v>
      </c>
      <c r="P36" s="18">
        <v>45807</v>
      </c>
      <c r="Q36" s="57" t="s">
        <v>113</v>
      </c>
    </row>
    <row r="37" spans="1:17" ht="21.95" customHeight="1" x14ac:dyDescent="0.2">
      <c r="A37" s="56">
        <v>499</v>
      </c>
      <c r="B37" s="4">
        <v>48</v>
      </c>
      <c r="C37" s="4" t="s">
        <v>24</v>
      </c>
      <c r="D37" s="4" t="s">
        <v>14</v>
      </c>
      <c r="E37" s="2">
        <v>5</v>
      </c>
      <c r="F37" s="2" t="s">
        <v>80</v>
      </c>
      <c r="G37" s="17" t="s">
        <v>16</v>
      </c>
      <c r="H37" s="17">
        <v>1987</v>
      </c>
      <c r="I37" s="1">
        <v>3500</v>
      </c>
      <c r="J37" s="17" t="s">
        <v>81</v>
      </c>
      <c r="K37" s="18">
        <v>46052</v>
      </c>
      <c r="L37" s="18">
        <v>44226</v>
      </c>
      <c r="M37" s="30">
        <f t="shared" si="0"/>
        <v>45716</v>
      </c>
      <c r="N37" s="18">
        <v>45899</v>
      </c>
      <c r="O37" s="18">
        <v>46264</v>
      </c>
      <c r="P37" s="18">
        <v>45899</v>
      </c>
      <c r="Q37" s="57" t="s">
        <v>113</v>
      </c>
    </row>
    <row r="38" spans="1:17" ht="21.95" customHeight="1" x14ac:dyDescent="0.2">
      <c r="A38" s="56">
        <v>518</v>
      </c>
      <c r="B38" s="4">
        <v>49</v>
      </c>
      <c r="C38" s="4" t="s">
        <v>24</v>
      </c>
      <c r="D38" s="4" t="s">
        <v>28</v>
      </c>
      <c r="E38" s="2">
        <v>6</v>
      </c>
      <c r="F38" s="2" t="s">
        <v>29</v>
      </c>
      <c r="G38" s="17" t="s">
        <v>82</v>
      </c>
      <c r="H38" s="17">
        <v>1988</v>
      </c>
      <c r="I38" s="1">
        <v>2500</v>
      </c>
      <c r="J38" s="17" t="s">
        <v>83</v>
      </c>
      <c r="K38" s="18">
        <v>46111</v>
      </c>
      <c r="L38" s="18">
        <v>44285</v>
      </c>
      <c r="M38" s="30">
        <f t="shared" si="0"/>
        <v>45638</v>
      </c>
      <c r="N38" s="18">
        <v>45821</v>
      </c>
      <c r="O38" s="18">
        <v>46203</v>
      </c>
      <c r="P38" s="18">
        <v>45821</v>
      </c>
      <c r="Q38" s="57" t="s">
        <v>113</v>
      </c>
    </row>
    <row r="39" spans="1:17" ht="21.95" customHeight="1" x14ac:dyDescent="0.2">
      <c r="A39" s="56">
        <v>519</v>
      </c>
      <c r="B39" s="4">
        <v>50</v>
      </c>
      <c r="C39" s="4" t="s">
        <v>24</v>
      </c>
      <c r="D39" s="4" t="s">
        <v>14</v>
      </c>
      <c r="E39" s="2">
        <v>6</v>
      </c>
      <c r="F39" s="2" t="s">
        <v>84</v>
      </c>
      <c r="G39" s="17" t="s">
        <v>16</v>
      </c>
      <c r="H39" s="17">
        <v>1987</v>
      </c>
      <c r="I39" s="1">
        <v>4000</v>
      </c>
      <c r="J39" s="17" t="s">
        <v>85</v>
      </c>
      <c r="K39" s="18">
        <v>46111</v>
      </c>
      <c r="L39" s="18">
        <v>44285</v>
      </c>
      <c r="M39" s="30">
        <f t="shared" si="0"/>
        <v>45747</v>
      </c>
      <c r="N39" s="18">
        <v>45930</v>
      </c>
      <c r="O39" s="18">
        <v>46295</v>
      </c>
      <c r="P39" s="18">
        <v>45930</v>
      </c>
      <c r="Q39" s="57" t="s">
        <v>113</v>
      </c>
    </row>
    <row r="40" spans="1:17" ht="21.95" customHeight="1" x14ac:dyDescent="0.2">
      <c r="A40" s="56">
        <v>533</v>
      </c>
      <c r="B40" s="4">
        <v>51</v>
      </c>
      <c r="C40" s="4" t="s">
        <v>24</v>
      </c>
      <c r="D40" s="4" t="s">
        <v>28</v>
      </c>
      <c r="E40" s="2">
        <v>5</v>
      </c>
      <c r="F40" s="2" t="s">
        <v>29</v>
      </c>
      <c r="G40" s="17" t="s">
        <v>82</v>
      </c>
      <c r="H40" s="17">
        <v>1993</v>
      </c>
      <c r="I40" s="1">
        <v>4000</v>
      </c>
      <c r="J40" s="17" t="s">
        <v>30</v>
      </c>
      <c r="K40" s="18">
        <v>46111</v>
      </c>
      <c r="L40" s="18">
        <v>44285</v>
      </c>
      <c r="M40" s="30">
        <f t="shared" si="0"/>
        <v>45747</v>
      </c>
      <c r="N40" s="18">
        <v>45930</v>
      </c>
      <c r="O40" s="18">
        <v>46295</v>
      </c>
      <c r="P40" s="18">
        <v>45930</v>
      </c>
      <c r="Q40" s="57" t="s">
        <v>113</v>
      </c>
    </row>
    <row r="41" spans="1:17" ht="21.95" customHeight="1" x14ac:dyDescent="0.2">
      <c r="A41" s="56" t="s">
        <v>86</v>
      </c>
      <c r="B41" s="4">
        <v>52</v>
      </c>
      <c r="C41" s="4" t="s">
        <v>24</v>
      </c>
      <c r="D41" s="4" t="s">
        <v>28</v>
      </c>
      <c r="E41" s="2">
        <v>5</v>
      </c>
      <c r="F41" s="2" t="s">
        <v>29</v>
      </c>
      <c r="G41" s="17" t="s">
        <v>82</v>
      </c>
      <c r="H41" s="17">
        <v>1992</v>
      </c>
      <c r="I41" s="1">
        <v>2500</v>
      </c>
      <c r="J41" s="17" t="s">
        <v>27</v>
      </c>
      <c r="K41" s="18">
        <v>46052</v>
      </c>
      <c r="L41" s="18">
        <v>44226</v>
      </c>
      <c r="M41" s="30">
        <f t="shared" si="0"/>
        <v>45747</v>
      </c>
      <c r="N41" s="18">
        <v>45930</v>
      </c>
      <c r="O41" s="18">
        <v>46295</v>
      </c>
      <c r="P41" s="18">
        <v>45930</v>
      </c>
      <c r="Q41" s="57" t="s">
        <v>113</v>
      </c>
    </row>
    <row r="42" spans="1:17" ht="21.95" customHeight="1" x14ac:dyDescent="0.2">
      <c r="A42" s="56" t="s">
        <v>87</v>
      </c>
      <c r="B42" s="4">
        <v>53</v>
      </c>
      <c r="C42" s="4" t="s">
        <v>24</v>
      </c>
      <c r="D42" s="4" t="s">
        <v>28</v>
      </c>
      <c r="E42" s="2">
        <v>5</v>
      </c>
      <c r="F42" s="2" t="s">
        <v>29</v>
      </c>
      <c r="G42" s="17" t="s">
        <v>82</v>
      </c>
      <c r="H42" s="17">
        <v>1991</v>
      </c>
      <c r="I42" s="1">
        <v>2500</v>
      </c>
      <c r="J42" s="17" t="s">
        <v>27</v>
      </c>
      <c r="K42" s="18">
        <v>46052</v>
      </c>
      <c r="L42" s="18">
        <v>44226</v>
      </c>
      <c r="M42" s="30">
        <f t="shared" si="0"/>
        <v>45610</v>
      </c>
      <c r="N42" s="18">
        <v>45793</v>
      </c>
      <c r="O42" s="18">
        <v>46172</v>
      </c>
      <c r="P42" s="18">
        <v>45793</v>
      </c>
      <c r="Q42" s="57" t="s">
        <v>113</v>
      </c>
    </row>
    <row r="43" spans="1:17" ht="21.95" customHeight="1" x14ac:dyDescent="0.2">
      <c r="A43" s="56">
        <v>560</v>
      </c>
      <c r="B43" s="4">
        <v>54</v>
      </c>
      <c r="C43" s="4" t="s">
        <v>24</v>
      </c>
      <c r="D43" s="4" t="s">
        <v>28</v>
      </c>
      <c r="E43" s="2">
        <v>6</v>
      </c>
      <c r="F43" s="2" t="s">
        <v>29</v>
      </c>
      <c r="G43" s="17" t="s">
        <v>82</v>
      </c>
      <c r="H43" s="17">
        <v>1998</v>
      </c>
      <c r="I43" s="1">
        <v>4500</v>
      </c>
      <c r="J43" s="17" t="s">
        <v>88</v>
      </c>
      <c r="K43" s="18">
        <v>46111</v>
      </c>
      <c r="L43" s="18">
        <v>44285</v>
      </c>
      <c r="M43" s="30">
        <f t="shared" si="0"/>
        <v>45747</v>
      </c>
      <c r="N43" s="18">
        <v>45930</v>
      </c>
      <c r="O43" s="18">
        <v>46295</v>
      </c>
      <c r="P43" s="18">
        <v>45930</v>
      </c>
      <c r="Q43" s="57" t="s">
        <v>113</v>
      </c>
    </row>
    <row r="44" spans="1:17" ht="21.95" customHeight="1" x14ac:dyDescent="0.2">
      <c r="A44" s="56" t="s">
        <v>89</v>
      </c>
      <c r="B44" s="4">
        <v>55</v>
      </c>
      <c r="C44" s="4" t="s">
        <v>24</v>
      </c>
      <c r="D44" s="4" t="s">
        <v>14</v>
      </c>
      <c r="E44" s="2">
        <v>2</v>
      </c>
      <c r="F44" s="2" t="s">
        <v>90</v>
      </c>
      <c r="G44" s="17" t="s">
        <v>32</v>
      </c>
      <c r="H44" s="17">
        <v>2001</v>
      </c>
      <c r="I44" s="1">
        <v>2000</v>
      </c>
      <c r="J44" s="17" t="s">
        <v>88</v>
      </c>
      <c r="K44" s="18">
        <v>46111</v>
      </c>
      <c r="L44" s="18">
        <v>44285</v>
      </c>
      <c r="M44" s="30">
        <f t="shared" si="0"/>
        <v>45747</v>
      </c>
      <c r="N44" s="18">
        <v>45930</v>
      </c>
      <c r="O44" s="18">
        <v>46295</v>
      </c>
      <c r="P44" s="18">
        <v>45930</v>
      </c>
      <c r="Q44" s="57" t="s">
        <v>113</v>
      </c>
    </row>
    <row r="45" spans="1:17" ht="21.95" customHeight="1" x14ac:dyDescent="0.2">
      <c r="A45" s="56" t="s">
        <v>91</v>
      </c>
      <c r="B45" s="4">
        <v>56</v>
      </c>
      <c r="C45" s="4" t="s">
        <v>24</v>
      </c>
      <c r="D45" s="4" t="s">
        <v>14</v>
      </c>
      <c r="E45" s="2">
        <v>3</v>
      </c>
      <c r="F45" s="2" t="s">
        <v>90</v>
      </c>
      <c r="G45" s="17" t="s">
        <v>16</v>
      </c>
      <c r="H45" s="17">
        <v>1998</v>
      </c>
      <c r="I45" s="1">
        <v>2500</v>
      </c>
      <c r="J45" s="17" t="s">
        <v>17</v>
      </c>
      <c r="K45" s="18">
        <v>46111</v>
      </c>
      <c r="L45" s="18">
        <v>44285</v>
      </c>
      <c r="M45" s="30">
        <f t="shared" si="0"/>
        <v>45716</v>
      </c>
      <c r="N45" s="18">
        <v>45899</v>
      </c>
      <c r="O45" s="18">
        <v>46081</v>
      </c>
      <c r="P45" s="18">
        <v>45700</v>
      </c>
      <c r="Q45" s="57" t="s">
        <v>113</v>
      </c>
    </row>
    <row r="46" spans="1:17" ht="21.95" customHeight="1" x14ac:dyDescent="0.2">
      <c r="A46" s="56" t="s">
        <v>92</v>
      </c>
      <c r="B46" s="4">
        <v>57</v>
      </c>
      <c r="C46" s="4" t="s">
        <v>24</v>
      </c>
      <c r="D46" s="4" t="s">
        <v>14</v>
      </c>
      <c r="E46" s="2">
        <v>3</v>
      </c>
      <c r="F46" s="2" t="s">
        <v>90</v>
      </c>
      <c r="G46" s="17" t="s">
        <v>26</v>
      </c>
      <c r="H46" s="17">
        <v>1984</v>
      </c>
      <c r="I46" s="1">
        <v>2500</v>
      </c>
      <c r="J46" s="17" t="s">
        <v>17</v>
      </c>
      <c r="K46" s="18">
        <v>46356</v>
      </c>
      <c r="L46" s="18">
        <v>44530</v>
      </c>
      <c r="M46" s="30">
        <f t="shared" si="0"/>
        <v>45610</v>
      </c>
      <c r="N46" s="18">
        <v>45793</v>
      </c>
      <c r="O46" s="18">
        <v>46172</v>
      </c>
      <c r="P46" s="18">
        <v>45793</v>
      </c>
      <c r="Q46" s="57" t="s">
        <v>113</v>
      </c>
    </row>
    <row r="47" spans="1:17" ht="21.95" customHeight="1" x14ac:dyDescent="0.2">
      <c r="A47" s="56">
        <v>592</v>
      </c>
      <c r="B47" s="4">
        <v>61</v>
      </c>
      <c r="C47" s="4" t="s">
        <v>24</v>
      </c>
      <c r="D47" s="4" t="s">
        <v>28</v>
      </c>
      <c r="E47" s="4">
        <v>2</v>
      </c>
      <c r="F47" s="4" t="s">
        <v>29</v>
      </c>
      <c r="G47" s="4" t="s">
        <v>49</v>
      </c>
      <c r="H47" s="4">
        <v>2008</v>
      </c>
      <c r="I47" s="1" t="s">
        <v>93</v>
      </c>
      <c r="J47" s="17" t="s">
        <v>94</v>
      </c>
      <c r="K47" s="8"/>
      <c r="L47" s="31"/>
      <c r="M47" s="30"/>
      <c r="N47" s="7"/>
      <c r="O47" s="4"/>
      <c r="P47" s="4"/>
      <c r="Q47" s="59"/>
    </row>
    <row r="48" spans="1:17" ht="21.95" customHeight="1" thickBot="1" x14ac:dyDescent="0.25">
      <c r="A48" s="60">
        <v>607</v>
      </c>
      <c r="B48" s="32">
        <v>62</v>
      </c>
      <c r="C48" s="32" t="s">
        <v>24</v>
      </c>
      <c r="D48" s="32" t="s">
        <v>95</v>
      </c>
      <c r="E48" s="33">
        <v>2</v>
      </c>
      <c r="F48" s="33" t="s">
        <v>29</v>
      </c>
      <c r="G48" s="33">
        <v>125</v>
      </c>
      <c r="H48" s="33">
        <v>2010</v>
      </c>
      <c r="I48" s="34">
        <v>3500</v>
      </c>
      <c r="J48" s="33" t="s">
        <v>17</v>
      </c>
      <c r="K48" s="35"/>
      <c r="L48" s="36"/>
      <c r="M48" s="37"/>
      <c r="N48" s="38"/>
      <c r="O48" s="39"/>
      <c r="P48" s="39"/>
      <c r="Q48" s="61"/>
    </row>
    <row r="49" spans="1:17" ht="21.95" customHeight="1" thickBot="1" x14ac:dyDescent="0.25">
      <c r="A49" s="44" t="s">
        <v>96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6"/>
    </row>
    <row r="50" spans="1:17" ht="21.95" customHeight="1" x14ac:dyDescent="0.2">
      <c r="A50" s="62" t="s">
        <v>2</v>
      </c>
      <c r="B50" s="40"/>
      <c r="C50" s="41" t="s">
        <v>97</v>
      </c>
      <c r="D50" s="42" t="s">
        <v>98</v>
      </c>
      <c r="E50" s="43"/>
      <c r="F50" s="40" t="s">
        <v>99</v>
      </c>
      <c r="G50" s="40"/>
      <c r="H50" s="40"/>
      <c r="I50" s="40" t="s">
        <v>100</v>
      </c>
      <c r="J50" s="40"/>
      <c r="K50" s="40" t="s">
        <v>101</v>
      </c>
      <c r="L50" s="40"/>
      <c r="M50" s="40"/>
      <c r="N50" s="40"/>
      <c r="O50" s="40"/>
      <c r="P50" s="40" t="s">
        <v>102</v>
      </c>
      <c r="Q50" s="63"/>
    </row>
    <row r="51" spans="1:17" ht="21.95" customHeight="1" thickBot="1" x14ac:dyDescent="0.25">
      <c r="A51" s="64">
        <v>66</v>
      </c>
      <c r="B51" s="47"/>
      <c r="C51" s="48" t="s">
        <v>103</v>
      </c>
      <c r="D51" s="49" t="s">
        <v>104</v>
      </c>
      <c r="E51" s="50"/>
      <c r="F51" s="47" t="s">
        <v>105</v>
      </c>
      <c r="G51" s="47"/>
      <c r="H51" s="47"/>
      <c r="I51" s="51">
        <v>45930</v>
      </c>
      <c r="J51" s="47"/>
      <c r="K51" s="51">
        <v>46295</v>
      </c>
      <c r="L51" s="47"/>
      <c r="M51" s="47"/>
      <c r="N51" s="47"/>
      <c r="O51" s="47"/>
      <c r="P51" s="51">
        <v>45930</v>
      </c>
      <c r="Q51" s="65"/>
    </row>
    <row r="52" spans="1:17" ht="21.95" customHeight="1" thickBot="1" x14ac:dyDescent="0.25">
      <c r="A52" s="44" t="s">
        <v>106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6"/>
    </row>
    <row r="53" spans="1:17" ht="21.95" customHeight="1" x14ac:dyDescent="0.2">
      <c r="A53" s="62" t="s">
        <v>2</v>
      </c>
      <c r="B53" s="40"/>
      <c r="C53" s="41" t="s">
        <v>97</v>
      </c>
      <c r="D53" s="42" t="s">
        <v>98</v>
      </c>
      <c r="E53" s="43"/>
      <c r="F53" s="40" t="s">
        <v>99</v>
      </c>
      <c r="G53" s="40"/>
      <c r="H53" s="40"/>
      <c r="I53" s="40" t="s">
        <v>100</v>
      </c>
      <c r="J53" s="40"/>
      <c r="K53" s="40" t="s">
        <v>101</v>
      </c>
      <c r="L53" s="40"/>
      <c r="M53" s="40"/>
      <c r="N53" s="40"/>
      <c r="O53" s="40"/>
      <c r="P53" s="40" t="s">
        <v>102</v>
      </c>
      <c r="Q53" s="63"/>
    </row>
    <row r="54" spans="1:17" ht="21.95" customHeight="1" x14ac:dyDescent="0.2">
      <c r="A54" s="66">
        <v>67</v>
      </c>
      <c r="B54" s="20"/>
      <c r="C54" s="16">
        <v>164</v>
      </c>
      <c r="D54" s="21"/>
      <c r="E54" s="20"/>
      <c r="F54" s="20" t="s">
        <v>107</v>
      </c>
      <c r="G54" s="20"/>
      <c r="H54" s="20"/>
      <c r="I54" s="22">
        <v>45777</v>
      </c>
      <c r="J54" s="20"/>
      <c r="K54" s="22">
        <v>46142</v>
      </c>
      <c r="L54" s="20"/>
      <c r="M54" s="20"/>
      <c r="N54" s="20"/>
      <c r="O54" s="20"/>
      <c r="P54" s="22">
        <v>44165</v>
      </c>
      <c r="Q54" s="67"/>
    </row>
    <row r="55" spans="1:17" ht="24" customHeight="1" thickBot="1" x14ac:dyDescent="0.25">
      <c r="A55" s="68">
        <v>68</v>
      </c>
      <c r="B55" s="69"/>
      <c r="C55" s="70">
        <v>474</v>
      </c>
      <c r="D55" s="71"/>
      <c r="E55" s="69"/>
      <c r="F55" s="69" t="s">
        <v>107</v>
      </c>
      <c r="G55" s="69"/>
      <c r="H55" s="69"/>
      <c r="I55" s="72">
        <v>45608</v>
      </c>
      <c r="J55" s="69"/>
      <c r="K55" s="72">
        <v>45991</v>
      </c>
      <c r="L55" s="69"/>
      <c r="M55" s="69"/>
      <c r="N55" s="69"/>
      <c r="O55" s="69"/>
      <c r="P55" s="72">
        <v>44165</v>
      </c>
      <c r="Q55" s="73"/>
    </row>
    <row r="56" spans="1:17" ht="12" thickBot="1" x14ac:dyDescent="0.25">
      <c r="A56" s="83"/>
      <c r="B56" s="84"/>
      <c r="C56" s="84"/>
      <c r="D56" s="84"/>
      <c r="E56" s="84"/>
      <c r="F56" s="84"/>
      <c r="G56" s="84"/>
      <c r="H56" s="84"/>
      <c r="I56" s="84"/>
      <c r="J56" s="84"/>
      <c r="K56" s="85"/>
      <c r="L56" s="85"/>
      <c r="M56" s="85"/>
      <c r="N56" s="85"/>
      <c r="O56" s="85"/>
      <c r="P56" s="86"/>
      <c r="Q56" s="87"/>
    </row>
    <row r="57" spans="1:17" ht="11.25" customHeight="1" x14ac:dyDescent="0.2">
      <c r="A57" s="74" t="s">
        <v>115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6"/>
    </row>
    <row r="58" spans="1:17" ht="11.25" customHeight="1" x14ac:dyDescent="0.2">
      <c r="A58" s="77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9"/>
    </row>
    <row r="59" spans="1:17" ht="11.25" customHeight="1" thickBot="1" x14ac:dyDescent="0.25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2"/>
    </row>
  </sheetData>
  <mergeCells count="34">
    <mergeCell ref="A57:Q59"/>
    <mergeCell ref="A51:B51"/>
    <mergeCell ref="K53:O53"/>
    <mergeCell ref="P53:Q53"/>
    <mergeCell ref="K51:O51"/>
    <mergeCell ref="P51:Q51"/>
    <mergeCell ref="D51:E51"/>
    <mergeCell ref="F51:H51"/>
    <mergeCell ref="I51:J51"/>
    <mergeCell ref="A52:Q52"/>
    <mergeCell ref="A53:B53"/>
    <mergeCell ref="D53:E53"/>
    <mergeCell ref="F53:H53"/>
    <mergeCell ref="A1:Q1"/>
    <mergeCell ref="A49:Q49"/>
    <mergeCell ref="A50:B50"/>
    <mergeCell ref="D50:E50"/>
    <mergeCell ref="F50:H50"/>
    <mergeCell ref="I50:J50"/>
    <mergeCell ref="K50:O50"/>
    <mergeCell ref="P50:Q50"/>
    <mergeCell ref="K55:O55"/>
    <mergeCell ref="P55:Q55"/>
    <mergeCell ref="A54:B54"/>
    <mergeCell ref="D54:E54"/>
    <mergeCell ref="F54:H54"/>
    <mergeCell ref="I54:J54"/>
    <mergeCell ref="K54:O54"/>
    <mergeCell ref="P54:Q54"/>
    <mergeCell ref="I53:J53"/>
    <mergeCell ref="A55:B55"/>
    <mergeCell ref="D55:E55"/>
    <mergeCell ref="F55:H55"/>
    <mergeCell ref="I55:J55"/>
  </mergeCells>
  <pageMargins left="0.7" right="0.7" top="0.5" bottom="0.5" header="0.3" footer="0.3"/>
  <pageSetup scale="7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FCB6898E955409F6A573D256AA058" ma:contentTypeVersion="5" ma:contentTypeDescription="Create a new document." ma:contentTypeScope="" ma:versionID="1ef72556201b0e99ed59b030e60eb0c6">
  <xsd:schema xmlns:xsd="http://www.w3.org/2001/XMLSchema" xmlns:xs="http://www.w3.org/2001/XMLSchema" xmlns:p="http://schemas.microsoft.com/office/2006/metadata/properties" xmlns:ns2="b819695d-641f-41e4-8e31-56bd705a297e" targetNamespace="http://schemas.microsoft.com/office/2006/metadata/properties" ma:root="true" ma:fieldsID="68b658cfbed18b46b60e9920b04632d7" ns2:_="">
    <xsd:import namespace="b819695d-641f-41e4-8e31-56bd705a2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INS_x002f_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9695d-641f-41e4-8e31-56bd705a2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INS_x002f_GE" ma:index="12" nillable="true" ma:displayName="ELINS/GE" ma:description="Still working" ma:format="Dropdown" ma:internalName="ELINS_x002f_G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INS_x002f_GE xmlns="b819695d-641f-41e4-8e31-56bd705a297e" xsi:nil="true"/>
  </documentManagement>
</p:properties>
</file>

<file path=customXml/itemProps1.xml><?xml version="1.0" encoding="utf-8"?>
<ds:datastoreItem xmlns:ds="http://schemas.openxmlformats.org/officeDocument/2006/customXml" ds:itemID="{75DF1807-490A-4FEE-AF28-A13CC03496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530ABC-1020-487B-A817-582EB810B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9695d-641f-41e4-8e31-56bd705a2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0BD072-5BB3-421F-8424-1BE6E71F89E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819695d-641f-41e4-8e31-56bd705a297e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NLON Elevator Inventory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joseph.r.grimes</dc:creator>
  <cp:keywords/>
  <dc:description/>
  <cp:lastModifiedBy>Spaulding, Rebecca J CIV USN NAVFAC MIDLANT NOR (USA)</cp:lastModifiedBy>
  <cp:revision/>
  <dcterms:created xsi:type="dcterms:W3CDTF">2012-04-16T16:47:25Z</dcterms:created>
  <dcterms:modified xsi:type="dcterms:W3CDTF">2025-10-27T19:15:56Z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0x010100395FCB6898E955409F6A573D256AA058</vt:lpwstr>
  </property>
</Properties>
</file>