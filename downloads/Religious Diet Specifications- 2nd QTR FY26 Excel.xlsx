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G:\CONTRACT\FY 2026 CONTRACTING\PHL\FY-26 Content Manager E-file Drop Box\2nd QTR FORM 10\"/>
    </mc:Choice>
  </mc:AlternateContent>
  <xr:revisionPtr revIDLastSave="0" documentId="13_ncr:1_{4BB9090E-DC86-4EA0-A2A4-D23EB9AD22DD}" xr6:coauthVersionLast="47" xr6:coauthVersionMax="47" xr10:uidLastSave="{00000000-0000-0000-0000-000000000000}"/>
  <bookViews>
    <workbookView xWindow="38280" yWindow="-120" windowWidth="29040" windowHeight="15720" xr2:uid="{00000000-000D-0000-FFFF-FFFF00000000}"/>
  </bookViews>
  <sheets>
    <sheet name="Specifications" sheetId="1" r:id="rId1"/>
    <sheet name="Contractor Award Acknowledgemt" sheetId="2" r:id="rId2"/>
    <sheet name="Award Delivery Information" sheetId="3" r:id="rId3"/>
    <sheet name="General Specifications" sheetId="4" r:id="rId4"/>
  </sheets>
  <definedNames>
    <definedName name="_xlnm.Print_Area" localSheetId="0">Specifications!$A$1:$F$45</definedName>
    <definedName name="_xlnm.Print_Titles" localSheetId="0">Specifications!$1:$5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 l="1"/>
  <c r="F22" i="1"/>
  <c r="F23" i="1"/>
  <c r="F24" i="1"/>
  <c r="F25" i="1"/>
  <c r="F26" i="1"/>
  <c r="F27" i="1"/>
  <c r="F28" i="1"/>
  <c r="F29" i="1"/>
  <c r="F30" i="1"/>
  <c r="F31" i="1"/>
  <c r="F32" i="1"/>
  <c r="F33" i="1"/>
  <c r="F34" i="1"/>
  <c r="F35" i="1"/>
  <c r="F36" i="1"/>
  <c r="F37" i="1"/>
  <c r="F38" i="1"/>
  <c r="F39" i="1"/>
  <c r="F40" i="1"/>
  <c r="F41" i="1"/>
  <c r="F42" i="1"/>
  <c r="F20" i="1"/>
  <c r="A7" i="1"/>
  <c r="A8" i="1" s="1"/>
  <c r="A9" i="1" s="1"/>
  <c r="A10" i="1" s="1"/>
  <c r="A11" i="1" s="1"/>
  <c r="A12" i="1" s="1"/>
  <c r="A13" i="1" s="1"/>
  <c r="A14" i="1" s="1"/>
  <c r="A15" i="1" l="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alcChain>
</file>

<file path=xl/sharedStrings.xml><?xml version="1.0" encoding="utf-8"?>
<sst xmlns="http://schemas.openxmlformats.org/spreadsheetml/2006/main" count="208" uniqueCount="141">
  <si>
    <t>Number</t>
  </si>
  <si>
    <t>Item Description</t>
  </si>
  <si>
    <t>Total</t>
  </si>
  <si>
    <t>Issue</t>
  </si>
  <si>
    <t xml:space="preserve">Units to   </t>
  </si>
  <si>
    <t>Order</t>
  </si>
  <si>
    <t xml:space="preserve">Price Per  </t>
  </si>
  <si>
    <t>Unit</t>
  </si>
  <si>
    <t>Unit of</t>
  </si>
  <si>
    <t>EA</t>
  </si>
  <si>
    <t>Institution:</t>
  </si>
  <si>
    <t>Fiscal Year:</t>
  </si>
  <si>
    <t>Quarter:</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</si>
  <si>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</si>
  <si>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</si>
  <si>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</si>
  <si>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</si>
  <si>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</si>
  <si>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</si>
  <si>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</si>
  <si>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</si>
  <si>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</si>
  <si>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</si>
  <si>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</si>
  <si>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</si>
  <si>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</si>
  <si>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</si>
  <si>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</si>
  <si>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</si>
  <si>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</si>
  <si>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</si>
  <si>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</si>
  <si>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</si>
  <si>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</si>
  <si>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</si>
  <si>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</si>
  <si>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</si>
  <si>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</si>
  <si>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</si>
  <si>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</si>
  <si>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</si>
  <si>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</si>
  <si>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</si>
  <si>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</si>
  <si>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</si>
  <si>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</si>
  <si>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</si>
  <si>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</si>
  <si>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</si>
  <si>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</si>
  <si>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</si>
  <si>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</si>
  <si>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</si>
  <si>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</si>
  <si>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</si>
  <si>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</si>
  <si>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</si>
  <si>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</si>
  <si>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</si>
  <si>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</si>
  <si>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</si>
  <si>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</si>
  <si>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</si>
  <si>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</si>
  <si>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</si>
  <si>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</si>
  <si>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</si>
  <si>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</si>
  <si>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</si>
  <si>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</si>
  <si>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</si>
  <si>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RELIGIOUS DIET SPECIFICATION QUOTE SHEET</t>
  </si>
  <si>
    <t>Religious Certification Requirements for Meals</t>
  </si>
  <si>
    <t>GENERAL SPECIFICATIONS</t>
  </si>
  <si>
    <t>All items must strictly be in compliance with the BOP Religoius Diet Specifications.  Food Service contractors have the responsibility of understanding these specifications.  Contractors must obtain a copy of the Religious Diet Specifications prior to quoting.</t>
  </si>
  <si>
    <t>All items offered on this bid must be certified by an accepted Orthodox Kosher certification agency from the United States or Canada, such as: OU - Union of Orthodox Jewish Congregations; OK - Organized Kashrus Laboratories; Star K, KOF‑K; KAJ ‑ K'hal Adas Jeshurun; OKS ‑ Organization of Orthodox Kashrus Supervision; OV ‑ Vaad Hoeir of Saint Louis; CRC - Central Rabbinical Congress of the USA and Canada; CRC - Chicago Rabbinical Counsel; or Kosher Overseers of America.  Quoters will include a letter of certification from the religious certification agency dated no more than 11 months from the date of the quote provided.</t>
  </si>
  <si>
    <t>Kosher Items will not contain alcohol, emulsifiers, mind altering substances, enqymes and/or chemicals.</t>
  </si>
  <si>
    <t>Made with non-metallic packaging that allows microwave and conventional oven heating and be heat sealed directly to the tray with clear plastic and wrapped with a separate sealed clear plastic wrapper which encloses the entire tray.</t>
  </si>
  <si>
    <t>The tray for all meals will be:</t>
  </si>
  <si>
    <t>All meals will contain the food products per the individual product specification including the stated volume and/or weight of item as listed.</t>
  </si>
  <si>
    <t>No substitutions may be made to the meats, vegetables, starches, sauces or preparation methods.</t>
  </si>
  <si>
    <t>Each individual meal must be marked with the certification symbol from the religious certification agency.</t>
  </si>
  <si>
    <t>Heating directions must be provided for various wattage microwaves or oven heating including recommended method.</t>
  </si>
  <si>
    <t>Mixed Vegetables will contain carrots, corn, peas, green beans, and lima beans with:</t>
  </si>
  <si>
    <t>Not more than 40 percent by weight carrots.</t>
  </si>
  <si>
    <t>Not more than 40 percent by weight green peas.</t>
  </si>
  <si>
    <t>Not more than 40 percent by weight corn (sweet, golden or yellow, whole kernel corn).</t>
  </si>
  <si>
    <t>Peas and Carrots will contain:</t>
  </si>
  <si>
    <t>Mashed Potatoes will be made with commercially prepared potato flakes without peel, adding only water according to the manufacturers' preparation instructions; or fresh potatoes prepared using only water and spices with only the amount of binder which will ensure the product does separate in processing.  No extenders of any type are allowed.</t>
  </si>
  <si>
    <t>Tomato Sauce will be commercially prepared or crushed and/or pureed tomatoes, tomato paste and spices using only the amount of binder required to ensure the product does not separate during processing.</t>
  </si>
  <si>
    <t>a)</t>
  </si>
  <si>
    <t>b)</t>
  </si>
  <si>
    <t>c)</t>
  </si>
  <si>
    <t>A three compartment tray with one large compartment and two smaller compartments.  Each compartment should be large enough to accommodate required ounces of product.</t>
  </si>
  <si>
    <t>LF</t>
  </si>
  <si>
    <t>Meals (items 1 through 13) may be quoted as frozen and/or shelf stable products.  Pricing must be identifiable as either frozen or shelf stable.</t>
  </si>
  <si>
    <t>General Meal Specifications - Items 1 through 13</t>
  </si>
  <si>
    <t>All non-frozen, perishable foods must be delivered between 34 degrees F and 41 degrees F.</t>
  </si>
  <si>
    <t>Failure to comply with the Religious Diet Specifications will result in your quoted item not being considered for award.  No specification substitutions will be accepted. The NFSA/Chief Dietitian will make the final determination on product compliance.</t>
  </si>
  <si>
    <r>
      <rPr>
        <b/>
        <sz val="11"/>
        <rFont val="Calibri"/>
        <family val="2"/>
        <scheme val="minor"/>
      </rPr>
      <t>Kosher Parve - 14 ounce Fish Fillet Meal</t>
    </r>
    <r>
      <rPr>
        <sz val="11"/>
        <rFont val="Calibri"/>
        <family val="2"/>
        <scheme val="minor"/>
      </rPr>
      <t xml:space="preserve"> consisting of:
- 4 ounce-weight Fish Fillet cut from solid muscle fillet block flounder, cod, tilapia: or other white fish flesh fillet  (not Breaded)
-  2 ounce-weight Tomato Sauce
-  4 ounce-weight White Rice
-  4 ounce-weight Mature Lima Beans</t>
    </r>
  </si>
  <si>
    <r>
      <rPr>
        <b/>
        <sz val="11"/>
        <rFont val="Calibri"/>
        <family val="2"/>
        <scheme val="minor"/>
      </rPr>
      <t>Kosher Meat - 18 Ounce Beans and Franks Meal</t>
    </r>
    <r>
      <rPr>
        <sz val="11"/>
        <rFont val="Calibri"/>
        <family val="2"/>
        <scheme val="minor"/>
      </rPr>
      <t xml:space="preserve"> consisting of:
- 4 ounce Beef Franks or Cocktail Franks no artificial colors, 
 - 8 ounce-weight Vegetarian Beans w/Tomato Sauce
 - 6 ounce-weight Diced Potatoes
- The finished product of the Beef Frank may not contain more than 3.5% of a non-dairy/non-meat binders and extenders  or 2% isolated soy protein may be used, but must be shown in the ingredients statement on the product's label by its common name. </t>
    </r>
  </si>
  <si>
    <r>
      <rPr>
        <b/>
        <sz val="11"/>
        <rFont val="Calibri"/>
        <family val="2"/>
        <scheme val="minor"/>
      </rPr>
      <t>Kosher Meat - 16 ounce Chicken Wing Meal</t>
    </r>
    <r>
      <rPr>
        <sz val="11"/>
        <rFont val="Calibri"/>
        <family val="2"/>
        <scheme val="minor"/>
      </rPr>
      <t xml:space="preserve"> consisting of:
-5 ounce weight – Bone-in Chicken Wings
- 2 ounce weight – BBQ Sauce
- 5 ounce weight – Mashed Potato
- 4 ounce weight – Mixed Vegetables </t>
    </r>
    <r>
      <rPr>
        <strike/>
        <sz val="11"/>
        <rFont val="Calibri"/>
        <family val="2"/>
        <scheme val="minor"/>
      </rPr>
      <t xml:space="preserve">
</t>
    </r>
  </si>
  <si>
    <r>
      <rPr>
        <b/>
        <sz val="11"/>
        <rFont val="Calibri"/>
        <family val="2"/>
        <scheme val="minor"/>
      </rPr>
      <t>Kosher Meat - 20 Ounce Chicken Cacciatore Meal</t>
    </r>
    <r>
      <rPr>
        <sz val="11"/>
        <rFont val="Calibri"/>
        <family val="2"/>
        <scheme val="minor"/>
      </rPr>
      <t xml:space="preserve"> consisting of:
 Chicken Cacciatore made from:
 - 4 ounce-weight Breaded Chicken Nuggets made from chunked and formed white meat, (not from mechanically de-boned meat), Breaded (Combined breading and added ingredients may not exceed 35% including no more than 5% soy used as a stabilizer)
- 4 ounce-weight Tomato Sauce
- 4 ounce-weight Diced Tomatoes
- 1/2 ounce-weight Mushrooms
- 1/2 ounce-weight diced Onion, Garlic, spices and vegetable oil
- 3 ounce-weight Pasta Macaroni
- 4 ounce-weight Sliced or Diced Carrots</t>
    </r>
  </si>
  <si>
    <r>
      <rPr>
        <b/>
        <sz val="11"/>
        <rFont val="Calibri"/>
        <family val="2"/>
        <scheme val="minor"/>
      </rPr>
      <t>Kosher Meat - 20 Ounce Chicken Chow Mein Meal</t>
    </r>
    <r>
      <rPr>
        <sz val="11"/>
        <rFont val="Calibri"/>
        <family val="2"/>
        <scheme val="minor"/>
      </rPr>
      <t xml:space="preserve"> consisting of:
Chicken Chow Mein entree made from:
- 4 ounce-weight Breaded Chicken Nuggets made from chunked and formed white meat (not from mechanically de-boned meat), Breaded (Combined breading and added ingredients may not exceed 35%  including no more than 5% soy used as a stabilizer)
- 6 ounce-weight Gravy thickened w/corn starch
- 1 ounce-weight Celery, Bell Pepper and Onion
- 2 ounce-weight Green Beans
- 3.5 ounce-weight White Rice
- 3.5 ounce-weight Sweet Peas and Carrots                                                                                                                       </t>
    </r>
  </si>
  <si>
    <r>
      <rPr>
        <b/>
        <sz val="11"/>
        <rFont val="Calibri"/>
        <family val="2"/>
        <scheme val="minor"/>
      </rPr>
      <t>Kosher Meat - 16 Ounce Turkey Cutlet Meal</t>
    </r>
    <r>
      <rPr>
        <sz val="11"/>
        <rFont val="Calibri"/>
        <family val="2"/>
        <scheme val="minor"/>
      </rPr>
      <t xml:space="preserve"> consisting of:
- 4 ounce-weight Turkey Cutlet made from chunked and formed white meat (not from mechanically de-boned meat), Breaded (Combined breading and added ingredients may not exceed 35%  including no  more than 5% soy used as a stabilizer)  
- 2 ounce-weight Gravy
- 6 ounce-weight Mashed Potatoes
- 4 ounce-weight Mixed Vegetables. </t>
    </r>
  </si>
  <si>
    <r>
      <rPr>
        <b/>
        <sz val="11"/>
        <rFont val="Calibri"/>
        <family val="2"/>
        <scheme val="minor"/>
      </rPr>
      <t>Kosher Meat - 16 Ounce Meatloaf Meal</t>
    </r>
    <r>
      <rPr>
        <sz val="11"/>
        <rFont val="Calibri"/>
        <family val="2"/>
        <scheme val="minor"/>
      </rPr>
      <t xml:space="preserve"> consisting of:
- 4 ounce-weight Meatloaf (made with ground beef with not more than: 20% fat; 20% added ingredients)
- 2 ounce-weight Brown Gravy
- 6 ounce-weight Mashed Potatoes
- 4 ounce-weight Mixed Vegetables
- The finished product of the Meatloaf  may not contain more than 3.5% of a non-dairy/non-meat binders and extenders  or 2% isolated soy protein may be used, but must be shown in the ingredients statement on the product's label by its common name. </t>
    </r>
  </si>
  <si>
    <r>
      <rPr>
        <b/>
        <sz val="11"/>
        <rFont val="Calibri"/>
        <family val="2"/>
        <scheme val="minor"/>
      </rPr>
      <t xml:space="preserve">Kosher Meat - 15 Ounce Hawaiian Meatballs with Rice Meal </t>
    </r>
    <r>
      <rPr>
        <sz val="11"/>
        <rFont val="Calibri"/>
        <family val="2"/>
        <scheme val="minor"/>
      </rPr>
      <t>consisting of:
- 4 ounce weight – Cooked Beef Meatballs (made with ground beef with not more than: 20% fat; 20% added ingredients)
- 2 ounce weight – Sweet Hawaiian Sauce
- 5 ounce weight – Cooked White Rice
- 4 ounce weight – Green Beans</t>
    </r>
    <r>
      <rPr>
        <strike/>
        <sz val="11"/>
        <rFont val="Calibri"/>
        <family val="2"/>
        <scheme val="minor"/>
      </rPr>
      <t xml:space="preserve">
</t>
    </r>
  </si>
  <si>
    <r>
      <rPr>
        <b/>
        <sz val="11"/>
        <rFont val="Calibri"/>
        <family val="2"/>
        <scheme val="minor"/>
      </rPr>
      <t>Kosher Meat - 20 Ounce Spaghetti and Meatballs Meal</t>
    </r>
    <r>
      <rPr>
        <sz val="11"/>
        <rFont val="Calibri"/>
        <family val="2"/>
        <scheme val="minor"/>
      </rPr>
      <t xml:space="preserve"> consisting of:
- 4 ounce-weight cooked Beef Meatballs (made with ground beef with not more than: 20% fat; 20% added ingredients)
- 5 ounce-weight Spaghetti Pasta
- 3 ounce-weight Tomato Sauce
- 8 ounce-weight Sweet Peas
- The finished product of the Meatball  may not contain more than 3.5% of a non-dairy/non-meat binders and extenders  or 2% isolated soy protein may be used, but must be shown in the ingredients statement on the product's label by its common name.</t>
    </r>
  </si>
  <si>
    <r>
      <rPr>
        <b/>
        <sz val="11"/>
        <rFont val="Calibri"/>
        <family val="2"/>
        <scheme val="minor"/>
      </rPr>
      <t>Kosher Parve - 16 Ounce Pasta with Vegetable Protein Meat Sauce Meal</t>
    </r>
    <r>
      <rPr>
        <sz val="11"/>
        <rFont val="Calibri"/>
        <family val="2"/>
        <scheme val="minor"/>
      </rPr>
      <t xml:space="preserve"> consisting of:
Vegetable Protein Meat Sauce made from:
 - 0.5 ounce weight – Mushrooms,
 - 6.5 ounce weight – Pre-Flavored Textured Soy Protein.  Pre-flavored to mimic Beef and Italian Sausage.  Product to be Vegan.  
- 5 ounce-weight Cooked Elbow Pasta
- 4 ounce-weight Green Beans</t>
    </r>
  </si>
  <si>
    <r>
      <rPr>
        <b/>
        <sz val="11"/>
        <rFont val="Calibri"/>
        <family val="2"/>
        <scheme val="minor"/>
      </rPr>
      <t xml:space="preserve">Kosher Dairy - 16 Ounce Vegetable Protein Lasagna Meal </t>
    </r>
    <r>
      <rPr>
        <sz val="11"/>
        <rFont val="Calibri"/>
        <family val="2"/>
        <scheme val="minor"/>
      </rPr>
      <t>consisting of:
Vegetable Protein Meat Sauce made from:
 - 0.5 ounce weight – Mushrooms,
 - 6.5 ounce weight – Pre-Flavored Textured Soy Protein. Pre-flavored to mimic Beef and Italian Sausage.  Product to be Vegan.  
- 5 ounce-weight Cooked Ricotta Cheese Roll-up
- 4 ounce-weight Green Beans</t>
    </r>
  </si>
  <si>
    <r>
      <rPr>
        <b/>
        <sz val="11"/>
        <rFont val="Calibri"/>
        <family val="2"/>
        <scheme val="minor"/>
      </rPr>
      <t>Kosher Dairy - 7 Ounce Cheese Omelet Meal</t>
    </r>
    <r>
      <rPr>
        <sz val="11"/>
        <rFont val="Calibri"/>
        <family val="2"/>
        <scheme val="minor"/>
      </rPr>
      <t xml:space="preserve"> consisting of:
- 3 ounce-weight Plain Egg Omelet
- 1 ounce cheese
- 3 ounce  Potatoes</t>
    </r>
  </si>
  <si>
    <r>
      <rPr>
        <b/>
        <sz val="11"/>
        <rFont val="Calibri"/>
        <family val="2"/>
        <scheme val="minor"/>
      </rPr>
      <t>Kosher Dairy - 7 Ounce Spanish Omelet Meal</t>
    </r>
    <r>
      <rPr>
        <sz val="11"/>
        <rFont val="Calibri"/>
        <family val="2"/>
        <scheme val="minor"/>
      </rPr>
      <t xml:space="preserve"> consisting of:
- 3 ounce-weight Plain Egg Omelet
- 1 ounce Spanish Sauce
- 3 ounce Potatoes</t>
    </r>
  </si>
  <si>
    <r>
      <rPr>
        <b/>
        <sz val="11"/>
        <rFont val="Calibri"/>
        <family val="2"/>
        <scheme val="minor"/>
      </rPr>
      <t>Kosher Bologna Luncheon Meat</t>
    </r>
    <r>
      <rPr>
        <sz val="11"/>
        <rFont val="Calibri"/>
        <family val="2"/>
        <scheme val="minor"/>
      </rPr>
      <t xml:space="preserve"> (chicken or turkey), Frozen, 4 Ounce multiple slice portion, (Shelf Stable may be 1-4 oz slice) Wrapped in Sealed Plastic. *Each individual package must be marked with the kosher certification hechsher.</t>
    </r>
  </si>
  <si>
    <r>
      <t xml:space="preserve">Kosher Oatmeal, Instant, Plain, Individual Packet.  </t>
    </r>
    <r>
      <rPr>
        <sz val="11"/>
        <rFont val="Calibri"/>
        <family val="2"/>
        <scheme val="minor"/>
      </rPr>
      <t>EACH.  1 ounce Package.</t>
    </r>
    <r>
      <rPr>
        <b/>
        <sz val="11"/>
        <rFont val="Calibri"/>
        <family val="2"/>
        <scheme val="minor"/>
      </rPr>
      <t xml:space="preserve"> </t>
    </r>
    <r>
      <rPr>
        <sz val="11"/>
        <rFont val="Calibri"/>
        <family val="2"/>
        <scheme val="minor"/>
      </rPr>
      <t>Manufacturer sealed</t>
    </r>
    <r>
      <rPr>
        <b/>
        <sz val="11"/>
        <rFont val="Calibri"/>
        <family val="2"/>
        <scheme val="minor"/>
      </rPr>
      <t xml:space="preserve">.  </t>
    </r>
    <r>
      <rPr>
        <sz val="11"/>
        <rFont val="Calibri"/>
        <family val="2"/>
        <scheme val="minor"/>
      </rPr>
      <t>Total amount may be adjusted to the next highest case count.</t>
    </r>
    <r>
      <rPr>
        <b/>
        <sz val="11"/>
        <rFont val="Calibri"/>
        <family val="2"/>
        <scheme val="minor"/>
      </rPr>
      <t xml:space="preserve"> </t>
    </r>
  </si>
  <si>
    <r>
      <rPr>
        <b/>
        <sz val="11"/>
        <rFont val="Calibri"/>
        <family val="2"/>
        <scheme val="minor"/>
      </rPr>
      <t xml:space="preserve">Kosher Farina, Instant, Plain, Individual Packet.  </t>
    </r>
    <r>
      <rPr>
        <sz val="11"/>
        <rFont val="Calibri"/>
        <family val="2"/>
        <scheme val="minor"/>
      </rPr>
      <t>EACH.</t>
    </r>
    <r>
      <rPr>
        <b/>
        <sz val="11"/>
        <rFont val="Calibri"/>
        <family val="2"/>
        <scheme val="minor"/>
      </rPr>
      <t xml:space="preserve">  </t>
    </r>
    <r>
      <rPr>
        <sz val="11"/>
        <rFont val="Calibri"/>
        <family val="2"/>
        <scheme val="minor"/>
      </rPr>
      <t xml:space="preserve">1 ounce Package. Manufacturer sealed. Total amount may be adjusted to the next highest case count.  </t>
    </r>
  </si>
  <si>
    <r>
      <rPr>
        <b/>
        <sz val="11"/>
        <rFont val="Calibri"/>
        <family val="2"/>
        <scheme val="minor"/>
      </rPr>
      <t>Kosher Bread, Whole Wheat, 1 pound Loaf - 1.5 pound Loaf</t>
    </r>
    <r>
      <rPr>
        <sz val="11"/>
        <rFont val="Calibri"/>
        <family val="2"/>
        <scheme val="minor"/>
      </rPr>
      <t>. Certified Kosher Parve, First ingredient on label must be Whole Wheat Flour, See Delivery Schedule.  Specify Loaf size on bid.</t>
    </r>
  </si>
  <si>
    <r>
      <rPr>
        <b/>
        <sz val="11"/>
        <rFont val="Calibri"/>
        <family val="2"/>
        <scheme val="minor"/>
      </rPr>
      <t>Kosher Bread, Whole Wheat, Individually Wrapped</t>
    </r>
    <r>
      <rPr>
        <sz val="11"/>
        <rFont val="Calibri"/>
        <family val="2"/>
        <scheme val="minor"/>
      </rPr>
      <t>. EACH. Certified Kosher Parve.  Total amount may be adjusted to the next highest case count.  *Each individual package must be marked with the kosher certification hechsher.  First ingredient on label must be Whole Wheat Flour.</t>
    </r>
  </si>
  <si>
    <r>
      <rPr>
        <b/>
        <sz val="11"/>
        <rFont val="Calibri"/>
        <family val="2"/>
        <scheme val="minor"/>
      </rPr>
      <t>Kosher Potato Chips, Individual Package</t>
    </r>
    <r>
      <rPr>
        <sz val="11"/>
        <rFont val="Calibri"/>
        <family val="2"/>
        <scheme val="minor"/>
      </rPr>
      <t xml:space="preserve">. EACH. 1 Ounce Sealed Individual Package, Certified Kosher Parve, See Delivery Schedule.  *Each individual package must be marked with the kosher certification hechsher.  Total amount may be adjusted to the next highest case count. </t>
    </r>
  </si>
  <si>
    <r>
      <rPr>
        <b/>
        <sz val="11"/>
        <rFont val="Calibri"/>
        <family val="2"/>
        <scheme val="minor"/>
      </rPr>
      <t>Kosher Dressing, Salad, Mayo Style, Individual Packet</t>
    </r>
    <r>
      <rPr>
        <sz val="11"/>
        <rFont val="Calibri"/>
        <family val="2"/>
        <scheme val="minor"/>
      </rPr>
      <t xml:space="preserve">. EACH.  </t>
    </r>
    <r>
      <rPr>
        <b/>
        <sz val="11"/>
        <rFont val="Calibri"/>
        <family val="2"/>
        <scheme val="minor"/>
      </rPr>
      <t>9 Gram</t>
    </r>
    <r>
      <rPr>
        <sz val="11"/>
        <rFont val="Calibri"/>
        <family val="2"/>
        <scheme val="minor"/>
      </rPr>
      <t xml:space="preserve">, Certified Kosher Parve, CID A-A-20140D, Type II, Style A.  *Each individual package must be marked with the kosher certification hechsher.  Total amount may be adjusted to the next highest case count. </t>
    </r>
  </si>
  <si>
    <r>
      <rPr>
        <b/>
        <sz val="11"/>
        <rFont val="Calibri"/>
        <family val="2"/>
        <scheme val="minor"/>
      </rPr>
      <t>Kosher Dressing, Mayonnaise, Regular, Reduced Fat, Fat Free, or Light</t>
    </r>
    <r>
      <rPr>
        <sz val="11"/>
        <rFont val="Calibri"/>
        <family val="2"/>
        <scheme val="minor"/>
      </rPr>
      <t xml:space="preserve">.  EACH.  9 Gram Packet,  Certified Kosher Parve.  (CID A-A-20140D, Type I, Style A, B, C, or D).  *Each individual package must be marked with the kosher certification hechsher.  Total amount may be adjusted to the next highest case count. </t>
    </r>
  </si>
  <si>
    <r>
      <rPr>
        <b/>
        <sz val="11"/>
        <rFont val="Calibri"/>
        <family val="2"/>
        <scheme val="minor"/>
      </rPr>
      <t>Kosher Tartar Sauce, Individual Packet.  EACH.  9 Gram Individual Packet,</t>
    </r>
    <r>
      <rPr>
        <sz val="11"/>
        <rFont val="Calibri"/>
        <family val="2"/>
        <scheme val="minor"/>
      </rPr>
      <t xml:space="preserve"> Certified Kosher Parve, CID A-A 20140D, Type III, Style A.  *Each individual package must be marked with the kosher certification hechsher.  Total amount may be adjusted to the next highest case count. </t>
    </r>
  </si>
  <si>
    <r>
      <rPr>
        <b/>
        <sz val="11"/>
        <rFont val="Calibri"/>
        <family val="2"/>
        <scheme val="minor"/>
      </rPr>
      <t>Kosher Tomato Catsup, Individual Packet</t>
    </r>
    <r>
      <rPr>
        <sz val="11"/>
        <rFont val="Calibri"/>
        <family val="2"/>
        <scheme val="minor"/>
      </rPr>
      <t xml:space="preserve">.  EACH.   </t>
    </r>
    <r>
      <rPr>
        <b/>
        <sz val="11"/>
        <rFont val="Calibri"/>
        <family val="2"/>
        <scheme val="minor"/>
      </rPr>
      <t>7 Gram - 9 Gram</t>
    </r>
    <r>
      <rPr>
        <sz val="11"/>
        <rFont val="Calibri"/>
        <family val="2"/>
        <scheme val="minor"/>
      </rPr>
      <t xml:space="preserve">, Certified Kosher Parve, U.S. Grade A, U.S. Standards for Grades.  *Each individual package must be marked with the kosher certification hechsher.  Specify packet size on bid.  Total amount may be adjusted to the next highest case count. </t>
    </r>
  </si>
  <si>
    <r>
      <rPr>
        <b/>
        <sz val="11"/>
        <rFont val="Calibri"/>
        <family val="2"/>
        <scheme val="minor"/>
      </rPr>
      <t>Kosher Mustard, Prepared, Yellow (Salad Style), Individual Packet</t>
    </r>
    <r>
      <rPr>
        <sz val="11"/>
        <rFont val="Calibri"/>
        <family val="2"/>
        <scheme val="minor"/>
      </rPr>
      <t xml:space="preserve">.  EACH. </t>
    </r>
    <r>
      <rPr>
        <b/>
        <sz val="11"/>
        <rFont val="Calibri"/>
        <family val="2"/>
        <scheme val="minor"/>
      </rPr>
      <t>4.5 Gram - 9 Gram Packet</t>
    </r>
    <r>
      <rPr>
        <sz val="11"/>
        <rFont val="Calibri"/>
        <family val="2"/>
        <scheme val="minor"/>
      </rPr>
      <t xml:space="preserve">, Certified Kosher Parve, CID A-A20036C, Type I.  *Each individual package must be marked with the kosher certification hechsher.  Specify packet size on bid.  Total amount may be adjusted to the next highest case count. </t>
    </r>
  </si>
  <si>
    <r>
      <rPr>
        <b/>
        <sz val="11"/>
        <rFont val="Calibri"/>
        <family val="2"/>
        <scheme val="minor"/>
      </rPr>
      <t>Kosher Jelly</t>
    </r>
    <r>
      <rPr>
        <sz val="11"/>
        <rFont val="Calibri"/>
        <family val="2"/>
        <scheme val="minor"/>
      </rPr>
      <t>,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*Each individual package must be marked with the kosher certification hechsher.</t>
    </r>
  </si>
  <si>
    <r>
      <rPr>
        <b/>
        <sz val="11"/>
        <rFont val="Calibri"/>
        <family val="2"/>
        <scheme val="minor"/>
      </rPr>
      <t>Kosher Peanut Butter, Regular, Stabilized, Non-fortified, Individual Packets</t>
    </r>
    <r>
      <rPr>
        <sz val="11"/>
        <rFont val="Calibri"/>
        <family val="2"/>
        <scheme val="minor"/>
      </rPr>
      <t xml:space="preserve">. EACH.  </t>
    </r>
    <r>
      <rPr>
        <b/>
        <sz val="11"/>
        <rFont val="Calibri"/>
        <family val="2"/>
        <scheme val="minor"/>
      </rPr>
      <t>.5 ounce - 2 ounce Packet</t>
    </r>
    <r>
      <rPr>
        <sz val="11"/>
        <rFont val="Calibri"/>
        <family val="2"/>
        <scheme val="minor"/>
      </rPr>
      <t xml:space="preserve">, Certified Kosher Parve, CID A-A20328B, Style I, Class A, Texture 1, Type A.  Total amount may be adjusted to the next highest case count. </t>
    </r>
    <r>
      <rPr>
        <b/>
        <sz val="11"/>
        <rFont val="Calibri"/>
        <family val="2"/>
        <scheme val="minor"/>
      </rPr>
      <t xml:space="preserve"> </t>
    </r>
    <r>
      <rPr>
        <sz val="11"/>
        <rFont val="Calibri"/>
        <family val="2"/>
        <scheme val="minor"/>
      </rPr>
      <t>Specify packet size on bid.  *Each individual package must be marked with the kosher certification hechsher.</t>
    </r>
  </si>
  <si>
    <r>
      <rPr>
        <b/>
        <sz val="11"/>
        <rFont val="Calibri"/>
        <family val="2"/>
        <scheme val="minor"/>
      </rPr>
      <t>Kosher Coffee, Instant, Individual Serving Packet</t>
    </r>
    <r>
      <rPr>
        <sz val="11"/>
        <rFont val="Calibri"/>
        <family val="2"/>
        <scheme val="minor"/>
      </rPr>
      <t xml:space="preserve">, Each Packets Makes 1 - 8 Ounce Serving When Reconstituted.  EACH.  Total amount may be adjusted to the next highest case count.  Certified Kosher. </t>
    </r>
  </si>
  <si>
    <r>
      <rPr>
        <b/>
        <sz val="11"/>
        <rFont val="Calibri"/>
        <family val="2"/>
        <scheme val="minor"/>
      </rPr>
      <t>Kosher Fruit Flavored Drink Powder, Individual Serving Packet</t>
    </r>
    <r>
      <rPr>
        <sz val="11"/>
        <rFont val="Calibri"/>
        <family val="2"/>
        <scheme val="minor"/>
      </rPr>
      <t>, Each Packets Makes 1 - 8 Ounce Serving When Reconstituted.  EACH.  Total amount may be adjusted to the next highest case count.  Certified Kosher Parve.</t>
    </r>
  </si>
  <si>
    <r>
      <rPr>
        <b/>
        <sz val="11"/>
        <rFont val="Calibri"/>
        <family val="2"/>
        <scheme val="minor"/>
      </rPr>
      <t>Kosher Instant Milk or Smart Milk, Individual Serving Packet</t>
    </r>
    <r>
      <rPr>
        <sz val="11"/>
        <rFont val="Calibri"/>
        <family val="2"/>
        <scheme val="minor"/>
      </rPr>
      <t xml:space="preserve">, Each Packets Makes 1 - 8 Ounce Serving When Reconstituted.  EACH. Total amount may be adjusted to the next highest case count.   Certified Kosher. </t>
    </r>
  </si>
  <si>
    <r>
      <rPr>
        <b/>
        <sz val="11"/>
        <rFont val="Calibri"/>
        <family val="2"/>
        <scheme val="minor"/>
      </rPr>
      <t>Kosher Milk Substitute/Shelf Stable Milk, Skim or Fat Free, Individual 8 Ounce Serving</t>
    </r>
    <r>
      <rPr>
        <sz val="11"/>
        <rFont val="Calibri"/>
        <family val="2"/>
        <scheme val="minor"/>
      </rPr>
      <t xml:space="preserve">.  EACH. Total amount may be adjusted to the next highest case count.  Must be processed under Ultra High Temperatures (UHT).   Product can be a plant-based dairy substitute.  Certified Kosher. *Each individual package must be marked with the kosher certification hechsher. </t>
    </r>
  </si>
  <si>
    <r>
      <rPr>
        <b/>
        <sz val="11"/>
        <rFont val="Calibri"/>
        <family val="2"/>
        <scheme val="minor"/>
      </rPr>
      <t>Kosher Milk, Fresh, Nonfat, Skim, or Fat Free, Individual 8 Ounce Serving</t>
    </r>
    <r>
      <rPr>
        <sz val="11"/>
        <rFont val="Calibri"/>
        <family val="2"/>
        <scheme val="minor"/>
      </rPr>
      <t>.  1/2 pint. Must be processed under Ultra High Temperatures (UHT).  Product can be a plant-based dairy substitute.  Certified Kosher.  *Each individual package must be marked with the kosher certification hechsher.  Total amount may be adjusted to the next highest case count.</t>
    </r>
  </si>
  <si>
    <r>
      <t>Kosher Sugar Substitute</t>
    </r>
    <r>
      <rPr>
        <sz val="11"/>
        <rFont val="Calibri"/>
        <family val="2"/>
        <scheme val="minor"/>
      </rPr>
      <t>, Non-Carbohydrate, Saccharin, Acesulfame K, Aspartame, Sucralose, Neotame, or Rebaudioside A, Granular, Packaged in Envelopes/Packets  EACH.  Total amount may be adjusted to the next highest case count.  Certified Kosher.  *Each individual package must be marked with the kosher certification hechsher.</t>
    </r>
  </si>
  <si>
    <r>
      <rPr>
        <b/>
        <sz val="11"/>
        <rFont val="Calibri"/>
        <family val="2"/>
        <scheme val="minor"/>
      </rPr>
      <t>Certified Kosher Parve - Pastries, Desserts, Assorted, Individual, Fresh or Frozen, Thaw and Serve, (Cookies, Cakes, Pies, etc.).  EACH.</t>
    </r>
    <r>
      <rPr>
        <sz val="11"/>
        <rFont val="Calibri"/>
        <family val="2"/>
        <scheme val="minor"/>
      </rPr>
      <t xml:space="preserve"> *Each individual package must be marked with the kosher certification hechsher. Specify Item and size on bid.  Total amount may be adjusted to the next highest case count.</t>
    </r>
  </si>
  <si>
    <r>
      <rPr>
        <b/>
        <sz val="11"/>
        <rFont val="Calibri"/>
        <family val="2"/>
        <scheme val="minor"/>
      </rPr>
      <t xml:space="preserve">Kosher Dressing, Fat Free, Individual Packet. EACH. </t>
    </r>
    <r>
      <rPr>
        <sz val="11"/>
        <rFont val="Calibri"/>
        <family val="2"/>
        <scheme val="minor"/>
      </rPr>
      <t xml:space="preserve"> </t>
    </r>
    <r>
      <rPr>
        <b/>
        <sz val="11"/>
        <rFont val="Calibri"/>
        <family val="2"/>
        <scheme val="minor"/>
      </rPr>
      <t>9 Gram - 28.35 Gram Packet</t>
    </r>
    <r>
      <rPr>
        <sz val="11"/>
        <rFont val="Calibri"/>
        <family val="2"/>
        <scheme val="minor"/>
      </rPr>
      <t>, Certified Kosher Parve, CID A-A-20162B.  *Each individual package must be marked with the kosher certification hechsher.  Specify Type, Class, Style, and size on bid.  Total amount may be adjusted to the next highest case count.</t>
    </r>
  </si>
  <si>
    <r>
      <rPr>
        <b/>
        <sz val="11"/>
        <rFont val="Calibri"/>
        <family val="2"/>
        <scheme val="minor"/>
      </rPr>
      <t>Kosher</t>
    </r>
    <r>
      <rPr>
        <sz val="11"/>
        <rFont val="Calibri"/>
        <family val="2"/>
        <scheme val="minor"/>
      </rPr>
      <t xml:space="preserve"> </t>
    </r>
    <r>
      <rPr>
        <b/>
        <sz val="11"/>
        <rFont val="Calibri"/>
        <family val="2"/>
        <scheme val="minor"/>
      </rPr>
      <t>Preserves (Or Jams)</t>
    </r>
    <r>
      <rPr>
        <sz val="11"/>
        <rFont val="Calibri"/>
        <family val="2"/>
        <scheme val="minor"/>
      </rPr>
      <t>,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*Each individual package must be marked with the kosher certification hechsher.</t>
    </r>
  </si>
  <si>
    <t>FDC Philadelphia</t>
  </si>
  <si>
    <r>
      <rPr>
        <b/>
        <sz val="11"/>
        <rFont val="Calibri"/>
        <family val="2"/>
        <scheme val="minor"/>
      </rPr>
      <t xml:space="preserve">Kosher Tuna, Chunk Light in Water, Individual.  4 - 6 ounce each package.  </t>
    </r>
    <r>
      <rPr>
        <sz val="11"/>
        <rFont val="Calibri"/>
        <family val="2"/>
        <scheme val="minor"/>
      </rPr>
      <t xml:space="preserve">EACH.  Tuna can be a product of the U.S. or other foreign country that meets the requirements of 21CFR123.12.  Product may contain soy and/or vegetable broth. *Each individual package must be marked with the kosher certification hechsher.  Total amount may be adjusted to the next highest case count. Pouches only. Specify pack size on bid. </t>
    </r>
    <r>
      <rPr>
        <b/>
        <sz val="11"/>
        <rFont val="Calibri"/>
        <family val="2"/>
        <scheme val="minor"/>
      </rPr>
      <t>*POUCH ONLY*</t>
    </r>
  </si>
  <si>
    <r>
      <rPr>
        <b/>
        <sz val="11"/>
        <rFont val="Calibri"/>
        <family val="2"/>
        <scheme val="minor"/>
      </rPr>
      <t>Kosher Sardines in Soybean Oil</t>
    </r>
    <r>
      <rPr>
        <sz val="11"/>
        <rFont val="Calibri"/>
        <family val="2"/>
        <scheme val="minor"/>
      </rPr>
      <t xml:space="preserve">, Individual. </t>
    </r>
    <r>
      <rPr>
        <b/>
        <sz val="11"/>
        <rFont val="Calibri"/>
        <family val="2"/>
        <scheme val="minor"/>
      </rPr>
      <t>3 to 6 ounce each package</t>
    </r>
    <r>
      <rPr>
        <sz val="11"/>
        <rFont val="Calibri"/>
        <family val="2"/>
        <scheme val="minor"/>
      </rPr>
      <t xml:space="preserve">. EACH.  *Each individual package must be marked with the kosher certification hechsher.  Total amount may be adjusted to the next highest case count.  Pouches only. Specify pack size on bid. </t>
    </r>
    <r>
      <rPr>
        <b/>
        <sz val="11"/>
        <rFont val="Calibri"/>
        <family val="2"/>
        <scheme val="minor"/>
      </rPr>
      <t>*POUCH ONLY*</t>
    </r>
  </si>
  <si>
    <r>
      <rPr>
        <b/>
        <sz val="11"/>
        <rFont val="Calibri"/>
        <family val="2"/>
        <scheme val="minor"/>
      </rPr>
      <t>Kosher Vegetable Juice, 5 to 7 ounce  Sealed Pouch or Can</t>
    </r>
    <r>
      <rPr>
        <sz val="11"/>
        <rFont val="Calibri"/>
        <family val="2"/>
        <scheme val="minor"/>
      </rPr>
      <t xml:space="preserve">. EACH. Certified Kosher Parve.  Can must have easy open top.  Juice must be tomato based with at least five additional vegetable products in the juice.  *Each individual package must be marked with the kosher certification hechsher.  Total amount may be adjusted to the next highest case count.   </t>
    </r>
    <r>
      <rPr>
        <b/>
        <sz val="11"/>
        <rFont val="Calibri"/>
        <family val="2"/>
        <scheme val="minor"/>
      </rPr>
      <t>*POUCH ONLY*</t>
    </r>
  </si>
  <si>
    <r>
      <rPr>
        <b/>
        <sz val="11"/>
        <rFont val="Calibri"/>
        <family val="2"/>
        <scheme val="minor"/>
      </rPr>
      <t>Kosher Margarine, ½ Ounce Sealed Individual Package</t>
    </r>
    <r>
      <rPr>
        <sz val="11"/>
        <rFont val="Calibri"/>
        <family val="2"/>
        <scheme val="minor"/>
      </rPr>
      <t>. EACH,</t>
    </r>
    <r>
      <rPr>
        <b/>
        <sz val="11"/>
        <color rgb="FFFF0000"/>
        <rFont val="Calibri"/>
        <family val="2"/>
        <scheme val="minor"/>
      </rPr>
      <t xml:space="preserve"> Shelf Stable ONLY</t>
    </r>
    <r>
      <rPr>
        <sz val="11"/>
        <rFont val="Calibri"/>
        <family val="2"/>
        <scheme val="minor"/>
      </rPr>
      <t xml:space="preserve">, Certified Kosher Kosher Parve.  *Each individual package must be marked with the kosher certification hechsher.  Total amount may be adjusted to the next highest case count. </t>
    </r>
  </si>
  <si>
    <t xml:space="preserve">Kosher Cereal, Any Type, Any Style, and any grain composition.  (CID A-A-20000E, Any Type, Any Class, Any Grain Composition).  1 oz to 2 oz individual package.  EACH.  Total amount may be adjusted to the next highest case count. *Each individual package must be marked with the kosher certification hechsher.  Specify pack size on bid. *CORNFLAKES REQUESTED* </t>
  </si>
  <si>
    <t>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</si>
</sst>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b/>
      <u/>
      <sz val="11"/>
      <color theme="1"/>
      <name val="Calibri"/>
      <family val="2"/>
      <scheme val="minor"/>
    </font>
    <font>
      <sz val="11"/>
      <name val="Calibri"/>
      <family val="2"/>
      <scheme val="minor"/>
    </font>
    <font>
      <sz val="10"/>
      <name val="Calibri"/>
      <family val="2"/>
      <scheme val="minor"/>
    </font>
    <font>
      <b/>
      <sz val="11"/>
      <name val="Calibri"/>
      <family val="2"/>
      <scheme val="minor"/>
    </font>
    <font>
      <strike/>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0" fillId="0" borderId="0" xfId="0" applyAlignment="1">
      <alignment vertical="top"/>
    </xf>
    <xf numFmtId="0" fontId="0" fillId="0" borderId="0" xfId="0" applyAlignment="1">
      <alignment horizontal="left" vertical="top"/>
    </xf>
    <xf numFmtId="0" fontId="8" fillId="0" borderId="0" xfId="0" applyFont="1" applyAlignment="1">
      <alignment horizontal="left" vertical="top"/>
    </xf>
    <xf numFmtId="0" fontId="8" fillId="0" borderId="0" xfId="0" applyFont="1" applyAlignment="1">
      <alignment vertical="top"/>
    </xf>
    <xf numFmtId="0" fontId="8" fillId="0" borderId="0" xfId="0" applyFont="1"/>
    <xf numFmtId="0" fontId="1" fillId="0" borderId="0" xfId="0" applyFont="1" applyAlignment="1">
      <alignment horizontal="left" vertical="top"/>
    </xf>
    <xf numFmtId="0" fontId="9" fillId="0" borderId="5" xfId="0" applyFont="1" applyBorder="1" applyAlignment="1">
      <alignment horizontal="center" vertical="top"/>
    </xf>
    <xf numFmtId="0" fontId="9" fillId="0" borderId="5" xfId="0" applyFont="1" applyBorder="1" applyAlignment="1" applyProtection="1">
      <alignment horizontal="center" vertical="top"/>
      <protection locked="0"/>
    </xf>
    <xf numFmtId="164" fontId="9" fillId="0" borderId="5" xfId="0" applyNumberFormat="1" applyFont="1" applyBorder="1" applyAlignment="1" applyProtection="1">
      <alignment horizontal="center" vertical="top"/>
      <protection locked="0"/>
    </xf>
    <xf numFmtId="164" fontId="9" fillId="0" borderId="5" xfId="0" applyNumberFormat="1" applyFont="1" applyBorder="1" applyAlignment="1">
      <alignment horizontal="center" vertical="top"/>
    </xf>
    <xf numFmtId="0" fontId="9" fillId="0" borderId="4" xfId="0" applyFont="1" applyBorder="1" applyAlignment="1">
      <alignment horizontal="center" vertical="top"/>
    </xf>
    <xf numFmtId="0" fontId="9" fillId="0" borderId="4" xfId="0" applyFont="1" applyBorder="1" applyAlignment="1" applyProtection="1">
      <alignment horizontal="center" vertical="top"/>
      <protection locked="0"/>
    </xf>
    <xf numFmtId="164" fontId="9" fillId="0" borderId="4" xfId="0" applyNumberFormat="1" applyFont="1" applyBorder="1" applyAlignment="1" applyProtection="1">
      <alignment horizontal="center" vertical="top"/>
      <protection locked="0"/>
    </xf>
    <xf numFmtId="0" fontId="9" fillId="0" borderId="5" xfId="0" applyFont="1" applyBorder="1" applyAlignment="1" applyProtection="1">
      <alignment vertical="top" wrapText="1"/>
      <protection locked="0"/>
    </xf>
    <xf numFmtId="0" fontId="11" fillId="0" borderId="1" xfId="0" applyFont="1" applyBorder="1" applyAlignment="1">
      <alignment horizontal="left"/>
    </xf>
    <xf numFmtId="0" fontId="9" fillId="0" borderId="6" xfId="0" applyFont="1" applyBorder="1"/>
    <xf numFmtId="0" fontId="11" fillId="0" borderId="1" xfId="0" applyFont="1" applyBorder="1" applyAlignment="1">
      <alignment horizontal="left" vertical="top"/>
    </xf>
    <xf numFmtId="0" fontId="11" fillId="0" borderId="6" xfId="0" applyFont="1" applyBorder="1" applyAlignment="1">
      <alignment horizontal="center" vertical="top"/>
    </xf>
    <xf numFmtId="164" fontId="11" fillId="0" borderId="1" xfId="0" applyNumberFormat="1" applyFont="1" applyBorder="1" applyAlignment="1">
      <alignment horizontal="left" vertical="top"/>
    </xf>
    <xf numFmtId="164" fontId="11" fillId="0" borderId="6" xfId="0" applyNumberFormat="1" applyFont="1" applyBorder="1" applyAlignment="1">
      <alignment horizontal="center" vertical="top"/>
    </xf>
    <xf numFmtId="0" fontId="9" fillId="0" borderId="0" xfId="0" applyFont="1"/>
    <xf numFmtId="0" fontId="9" fillId="0" borderId="2" xfId="0" applyFont="1" applyBorder="1" applyAlignment="1">
      <alignment horizontal="left"/>
    </xf>
    <xf numFmtId="0" fontId="9" fillId="0" borderId="7" xfId="0" applyFont="1" applyBorder="1"/>
    <xf numFmtId="0" fontId="9" fillId="0" borderId="2" xfId="0" applyFont="1" applyBorder="1" applyAlignment="1">
      <alignment horizontal="center" vertical="top"/>
    </xf>
    <xf numFmtId="0" fontId="9" fillId="0" borderId="7" xfId="0" applyFont="1" applyBorder="1" applyAlignment="1">
      <alignment horizontal="center" vertical="top"/>
    </xf>
    <xf numFmtId="164" fontId="9" fillId="0" borderId="2" xfId="0" applyNumberFormat="1" applyFont="1" applyBorder="1" applyAlignment="1">
      <alignment horizontal="center" vertical="top"/>
    </xf>
    <xf numFmtId="164" fontId="9" fillId="0" borderId="7" xfId="0" applyNumberFormat="1" applyFont="1" applyBorder="1" applyAlignment="1">
      <alignment horizontal="center" vertical="top"/>
    </xf>
    <xf numFmtId="0" fontId="9" fillId="2" borderId="1" xfId="0" applyFont="1" applyFill="1" applyBorder="1" applyAlignment="1">
      <alignment horizontal="center" vertical="top"/>
    </xf>
    <xf numFmtId="0" fontId="9" fillId="2" borderId="1" xfId="0" applyFont="1" applyFill="1" applyBorder="1"/>
    <xf numFmtId="164" fontId="9" fillId="2" borderId="1" xfId="0" applyNumberFormat="1" applyFont="1" applyFill="1" applyBorder="1" applyAlignment="1">
      <alignment horizontal="center" vertical="top"/>
    </xf>
    <xf numFmtId="164" fontId="9" fillId="2" borderId="3" xfId="0" applyNumberFormat="1" applyFont="1" applyFill="1" applyBorder="1" applyAlignment="1">
      <alignment horizontal="center" vertical="top"/>
    </xf>
    <xf numFmtId="0" fontId="9" fillId="2" borderId="2" xfId="0" applyFont="1" applyFill="1" applyBorder="1" applyAlignment="1">
      <alignment horizontal="center" vertical="top"/>
    </xf>
    <xf numFmtId="0" fontId="9" fillId="2" borderId="2" xfId="0" applyFont="1" applyFill="1" applyBorder="1"/>
    <xf numFmtId="164" fontId="9" fillId="2" borderId="2" xfId="0" applyNumberFormat="1" applyFont="1" applyFill="1" applyBorder="1" applyAlignment="1">
      <alignment horizontal="center" vertical="top"/>
    </xf>
    <xf numFmtId="164" fontId="9" fillId="2" borderId="4" xfId="0" applyNumberFormat="1" applyFont="1" applyFill="1" applyBorder="1" applyAlignment="1">
      <alignment horizontal="center" vertical="top"/>
    </xf>
    <xf numFmtId="0" fontId="12" fillId="0" borderId="5" xfId="0" applyFont="1" applyBorder="1" applyAlignment="1" applyProtection="1">
      <alignment vertical="top" wrapText="1"/>
      <protection locked="0"/>
    </xf>
    <xf numFmtId="0" fontId="9" fillId="0" borderId="10" xfId="0" applyFont="1" applyBorder="1"/>
    <xf numFmtId="0" fontId="9" fillId="0" borderId="11" xfId="0" applyFont="1" applyBorder="1"/>
    <xf numFmtId="0" fontId="9" fillId="0" borderId="5" xfId="0" applyFont="1" applyBorder="1"/>
    <xf numFmtId="0" fontId="9" fillId="0" borderId="5" xfId="0" applyFont="1" applyBorder="1" applyAlignment="1">
      <alignment vertical="top" wrapText="1"/>
    </xf>
    <xf numFmtId="0" fontId="9" fillId="3" borderId="5" xfId="0" applyFont="1" applyFill="1" applyBorder="1" applyAlignment="1" applyProtection="1">
      <alignment vertical="top" wrapText="1"/>
      <protection locked="0"/>
    </xf>
    <xf numFmtId="0" fontId="9" fillId="0" borderId="0" xfId="0" applyFont="1" applyAlignment="1">
      <alignment horizontal="center"/>
    </xf>
    <xf numFmtId="0" fontId="9" fillId="0" borderId="0" xfId="0" applyFont="1" applyAlignment="1">
      <alignment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4" borderId="5" xfId="0" applyFont="1" applyFill="1" applyBorder="1" applyAlignment="1">
      <alignment horizontal="center" vertical="top"/>
    </xf>
    <xf numFmtId="0" fontId="9" fillId="4" borderId="5" xfId="0" applyFont="1" applyFill="1" applyBorder="1" applyAlignment="1" applyProtection="1">
      <alignment vertical="top" wrapText="1"/>
      <protection locked="0"/>
    </xf>
    <xf numFmtId="0" fontId="9" fillId="4" borderId="5" xfId="0" applyFont="1" applyFill="1" applyBorder="1" applyAlignment="1" applyProtection="1">
      <alignment horizontal="center" vertical="top"/>
      <protection locked="0"/>
    </xf>
    <xf numFmtId="0" fontId="9" fillId="4" borderId="5" xfId="0" applyFont="1" applyFill="1" applyBorder="1" applyAlignment="1" applyProtection="1">
      <alignment horizontal="center" vertical="top" wrapText="1"/>
      <protection locked="0"/>
    </xf>
    <xf numFmtId="164" fontId="9" fillId="4" borderId="5" xfId="0" applyNumberFormat="1" applyFont="1" applyFill="1" applyBorder="1" applyAlignment="1" applyProtection="1">
      <alignment horizontal="center" vertical="top"/>
      <protection locked="0"/>
    </xf>
    <xf numFmtId="164" fontId="9" fillId="4" borderId="5" xfId="0" applyNumberFormat="1" applyFont="1" applyFill="1" applyBorder="1" applyAlignment="1">
      <alignment horizontal="center" vertical="top"/>
    </xf>
    <xf numFmtId="0" fontId="11" fillId="4" borderId="0" xfId="0" applyFont="1" applyFill="1" applyAlignment="1">
      <alignment vertical="top" wrapText="1"/>
    </xf>
    <xf numFmtId="0" fontId="11" fillId="4" borderId="5" xfId="0" applyFont="1" applyFill="1" applyBorder="1" applyAlignment="1" applyProtection="1">
      <alignment vertical="top" wrapText="1"/>
      <protection locked="0"/>
    </xf>
    <xf numFmtId="0" fontId="9" fillId="0" borderId="5" xfId="0" applyFont="1" applyFill="1" applyBorder="1" applyAlignment="1">
      <alignment horizontal="center" vertical="top"/>
    </xf>
    <xf numFmtId="0" fontId="9" fillId="0" borderId="5" xfId="0" applyFont="1" applyFill="1" applyBorder="1" applyAlignment="1" applyProtection="1">
      <alignment vertical="top" wrapText="1"/>
      <protection locked="0"/>
    </xf>
    <xf numFmtId="0" fontId="9" fillId="0" borderId="5" xfId="0" applyFont="1" applyFill="1" applyBorder="1" applyAlignment="1" applyProtection="1">
      <alignment horizontal="center" vertical="top"/>
      <protection locked="0"/>
    </xf>
    <xf numFmtId="164" fontId="9" fillId="0" borderId="5" xfId="0" applyNumberFormat="1" applyFont="1" applyFill="1" applyBorder="1" applyAlignment="1" applyProtection="1">
      <alignment horizontal="center" vertical="top"/>
      <protection locked="0"/>
    </xf>
    <xf numFmtId="3" fontId="9" fillId="4" borderId="5" xfId="0" applyNumberFormat="1" applyFont="1" applyFill="1" applyBorder="1" applyAlignment="1" applyProtection="1">
      <alignment horizontal="center" vertical="top"/>
      <protection locked="0"/>
    </xf>
    <xf numFmtId="0" fontId="9" fillId="4" borderId="3" xfId="0" applyFont="1" applyFill="1" applyBorder="1" applyAlignment="1">
      <alignment horizontal="center" vertical="top"/>
    </xf>
    <xf numFmtId="0" fontId="11" fillId="4" borderId="3" xfId="0" applyFont="1" applyFill="1" applyBorder="1" applyAlignment="1" applyProtection="1">
      <alignment vertical="top" wrapText="1"/>
      <protection locked="0"/>
    </xf>
    <xf numFmtId="0" fontId="9" fillId="4" borderId="3" xfId="0" applyFont="1" applyFill="1" applyBorder="1" applyAlignment="1" applyProtection="1">
      <alignment horizontal="center" vertical="top"/>
      <protection locked="0"/>
    </xf>
    <xf numFmtId="3" fontId="9" fillId="4" borderId="3" xfId="0" applyNumberFormat="1" applyFont="1" applyFill="1" applyBorder="1" applyAlignment="1" applyProtection="1">
      <alignment horizontal="center" vertical="top"/>
      <protection locked="0"/>
    </xf>
    <xf numFmtId="164" fontId="9" fillId="4" borderId="3" xfId="0" applyNumberFormat="1" applyFont="1" applyFill="1" applyBorder="1" applyAlignment="1" applyProtection="1">
      <alignment horizontal="center" vertical="top"/>
      <protection locked="0"/>
    </xf>
    <xf numFmtId="0" fontId="10" fillId="0" borderId="8" xfId="0" applyFont="1" applyBorder="1" applyAlignment="1">
      <alignment horizontal="left" vertical="center" wrapText="1"/>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showRuler="0" showWhiteSpace="0" view="pageLayout" topLeftCell="A22" zoomScaleNormal="75" workbookViewId="0">
      <selection activeCell="G29" sqref="G29"/>
    </sheetView>
  </sheetViews>
  <sheetFormatPr defaultColWidth="8.81640625" defaultRowHeight="14.5" x14ac:dyDescent="0.35"/>
  <cols>
    <col min="1" max="1" width="8" style="48" customWidth="1"/>
    <col min="2" max="2" width="82.1796875" style="27" customWidth="1"/>
    <col min="3" max="3" width="8" style="50" customWidth="1"/>
    <col min="4" max="4" width="10.453125" style="50" customWidth="1"/>
    <col min="5" max="5" width="9.1796875" style="51" customWidth="1"/>
    <col min="6" max="6" width="10.54296875" style="51" customWidth="1"/>
    <col min="7" max="16384" width="8.81640625" style="27"/>
  </cols>
  <sheetData>
    <row r="1" spans="1:6" x14ac:dyDescent="0.35">
      <c r="A1" s="21" t="s">
        <v>10</v>
      </c>
      <c r="B1" s="22"/>
      <c r="C1" s="23" t="s">
        <v>11</v>
      </c>
      <c r="D1" s="24"/>
      <c r="E1" s="25" t="s">
        <v>12</v>
      </c>
      <c r="F1" s="26"/>
    </row>
    <row r="2" spans="1:6" x14ac:dyDescent="0.35">
      <c r="A2" s="28" t="s">
        <v>134</v>
      </c>
      <c r="B2" s="29"/>
      <c r="C2" s="30"/>
      <c r="D2" s="31">
        <v>2026</v>
      </c>
      <c r="E2" s="32"/>
      <c r="F2" s="33" t="s">
        <v>140</v>
      </c>
    </row>
    <row r="3" spans="1:6" ht="33" customHeight="1" x14ac:dyDescent="0.35">
      <c r="A3" s="70" t="s">
        <v>98</v>
      </c>
      <c r="B3" s="70"/>
      <c r="C3" s="70"/>
      <c r="D3" s="70"/>
      <c r="E3" s="70"/>
      <c r="F3" s="70"/>
    </row>
    <row r="4" spans="1:6" x14ac:dyDescent="0.35">
      <c r="A4" s="34"/>
      <c r="B4" s="35"/>
      <c r="C4" s="34" t="s">
        <v>8</v>
      </c>
      <c r="D4" s="34" t="s">
        <v>4</v>
      </c>
      <c r="E4" s="36" t="s">
        <v>6</v>
      </c>
      <c r="F4" s="37"/>
    </row>
    <row r="5" spans="1:6" x14ac:dyDescent="0.35">
      <c r="A5" s="38" t="s">
        <v>0</v>
      </c>
      <c r="B5" s="39" t="s">
        <v>1</v>
      </c>
      <c r="C5" s="38" t="s">
        <v>3</v>
      </c>
      <c r="D5" s="38" t="s">
        <v>5</v>
      </c>
      <c r="E5" s="40" t="s">
        <v>7</v>
      </c>
      <c r="F5" s="41" t="s">
        <v>2</v>
      </c>
    </row>
    <row r="6" spans="1:6" ht="87" hidden="1" x14ac:dyDescent="0.35">
      <c r="A6" s="13">
        <v>1</v>
      </c>
      <c r="B6" s="20" t="s">
        <v>99</v>
      </c>
      <c r="C6" s="14" t="s">
        <v>9</v>
      </c>
      <c r="D6" s="14"/>
      <c r="E6" s="15"/>
      <c r="F6" s="16"/>
    </row>
    <row r="7" spans="1:6" ht="101.5" hidden="1" x14ac:dyDescent="0.35">
      <c r="A7" s="13">
        <f>SUM(A6+1)</f>
        <v>2</v>
      </c>
      <c r="B7" s="20" t="s">
        <v>100</v>
      </c>
      <c r="C7" s="14" t="s">
        <v>9</v>
      </c>
      <c r="D7" s="14"/>
      <c r="E7" s="15"/>
      <c r="F7" s="16"/>
    </row>
    <row r="8" spans="1:6" ht="73.900000000000006" hidden="1" customHeight="1" x14ac:dyDescent="0.35">
      <c r="A8" s="13">
        <f t="shared" ref="A8:A45" si="0">SUM(A7+1)</f>
        <v>3</v>
      </c>
      <c r="B8" s="42" t="s">
        <v>101</v>
      </c>
      <c r="C8" s="14" t="s">
        <v>9</v>
      </c>
      <c r="D8" s="14"/>
      <c r="E8" s="15"/>
      <c r="F8" s="16"/>
    </row>
    <row r="9" spans="1:6" ht="168" hidden="1" customHeight="1" x14ac:dyDescent="0.35">
      <c r="A9" s="13">
        <f t="shared" si="0"/>
        <v>4</v>
      </c>
      <c r="B9" s="20" t="s">
        <v>102</v>
      </c>
      <c r="C9" s="14" t="s">
        <v>9</v>
      </c>
      <c r="D9" s="14"/>
      <c r="E9" s="15"/>
      <c r="F9" s="16"/>
    </row>
    <row r="10" spans="1:6" ht="150.75" hidden="1" customHeight="1" x14ac:dyDescent="0.35">
      <c r="A10" s="13">
        <f t="shared" si="0"/>
        <v>5</v>
      </c>
      <c r="B10" s="20" t="s">
        <v>103</v>
      </c>
      <c r="C10" s="14" t="s">
        <v>9</v>
      </c>
      <c r="D10" s="14"/>
      <c r="E10" s="15"/>
      <c r="F10" s="16"/>
    </row>
    <row r="11" spans="1:6" ht="106.5" hidden="1" customHeight="1" x14ac:dyDescent="0.35">
      <c r="A11" s="13">
        <f t="shared" si="0"/>
        <v>6</v>
      </c>
      <c r="B11" s="20" t="s">
        <v>104</v>
      </c>
      <c r="C11" s="14" t="s">
        <v>9</v>
      </c>
      <c r="D11" s="14"/>
      <c r="E11" s="15"/>
      <c r="F11" s="16"/>
    </row>
    <row r="12" spans="1:6" ht="138" hidden="1" customHeight="1" x14ac:dyDescent="0.35">
      <c r="A12" s="13">
        <f t="shared" si="0"/>
        <v>7</v>
      </c>
      <c r="B12" s="20" t="s">
        <v>105</v>
      </c>
      <c r="C12" s="14" t="s">
        <v>9</v>
      </c>
      <c r="D12" s="14"/>
      <c r="E12" s="15"/>
      <c r="F12" s="16"/>
    </row>
    <row r="13" spans="1:6" ht="93.75" hidden="1" customHeight="1" x14ac:dyDescent="0.35">
      <c r="A13" s="13">
        <f t="shared" si="0"/>
        <v>8</v>
      </c>
      <c r="B13" s="42" t="s">
        <v>106</v>
      </c>
      <c r="C13" s="14" t="s">
        <v>9</v>
      </c>
      <c r="D13" s="14"/>
      <c r="E13" s="15"/>
      <c r="F13" s="16"/>
    </row>
    <row r="14" spans="1:6" ht="135.75" hidden="1" customHeight="1" x14ac:dyDescent="0.35">
      <c r="A14" s="13">
        <f t="shared" si="0"/>
        <v>9</v>
      </c>
      <c r="B14" s="20" t="s">
        <v>107</v>
      </c>
      <c r="C14" s="14" t="s">
        <v>9</v>
      </c>
      <c r="D14" s="14"/>
      <c r="E14" s="15"/>
      <c r="F14" s="16"/>
    </row>
    <row r="15" spans="1:6" ht="105" hidden="1" customHeight="1" x14ac:dyDescent="0.35">
      <c r="A15" s="13">
        <f t="shared" si="0"/>
        <v>10</v>
      </c>
      <c r="B15" s="20" t="s">
        <v>108</v>
      </c>
      <c r="C15" s="14" t="s">
        <v>9</v>
      </c>
      <c r="D15" s="14"/>
      <c r="E15" s="15"/>
      <c r="F15" s="16"/>
    </row>
    <row r="16" spans="1:6" ht="104.5" hidden="1" customHeight="1" x14ac:dyDescent="0.35">
      <c r="A16" s="13">
        <f t="shared" si="0"/>
        <v>11</v>
      </c>
      <c r="B16" s="20" t="s">
        <v>109</v>
      </c>
      <c r="C16" s="14" t="s">
        <v>9</v>
      </c>
      <c r="D16" s="14"/>
      <c r="E16" s="15"/>
      <c r="F16" s="16"/>
    </row>
    <row r="17" spans="1:6" ht="62.25" hidden="1" customHeight="1" x14ac:dyDescent="0.35">
      <c r="A17" s="13">
        <f t="shared" si="0"/>
        <v>12</v>
      </c>
      <c r="B17" s="20" t="s">
        <v>110</v>
      </c>
      <c r="C17" s="14" t="s">
        <v>9</v>
      </c>
      <c r="D17" s="14"/>
      <c r="E17" s="15"/>
      <c r="F17" s="16"/>
    </row>
    <row r="18" spans="1:6" ht="60.75" hidden="1" customHeight="1" x14ac:dyDescent="0.35">
      <c r="A18" s="13">
        <f t="shared" si="0"/>
        <v>13</v>
      </c>
      <c r="B18" s="20" t="s">
        <v>111</v>
      </c>
      <c r="C18" s="14" t="s">
        <v>9</v>
      </c>
      <c r="D18" s="14"/>
      <c r="E18" s="15"/>
      <c r="F18" s="16"/>
    </row>
    <row r="19" spans="1:6" ht="43.5" hidden="1" x14ac:dyDescent="0.35">
      <c r="A19" s="13">
        <f t="shared" si="0"/>
        <v>14</v>
      </c>
      <c r="B19" s="20" t="s">
        <v>112</v>
      </c>
      <c r="C19" s="14" t="s">
        <v>9</v>
      </c>
      <c r="D19" s="14"/>
      <c r="E19" s="15"/>
      <c r="F19" s="16"/>
    </row>
    <row r="20" spans="1:6" ht="76.5" customHeight="1" x14ac:dyDescent="0.35">
      <c r="A20" s="52">
        <f t="shared" si="0"/>
        <v>15</v>
      </c>
      <c r="B20" s="53" t="s">
        <v>135</v>
      </c>
      <c r="C20" s="54" t="s">
        <v>9</v>
      </c>
      <c r="D20" s="55">
        <v>360</v>
      </c>
      <c r="E20" s="56"/>
      <c r="F20" s="57">
        <f>D20*E20</f>
        <v>0</v>
      </c>
    </row>
    <row r="21" spans="1:6" ht="66" customHeight="1" x14ac:dyDescent="0.35">
      <c r="A21" s="52">
        <f t="shared" si="0"/>
        <v>16</v>
      </c>
      <c r="B21" s="53" t="s">
        <v>136</v>
      </c>
      <c r="C21" s="54" t="s">
        <v>9</v>
      </c>
      <c r="D21" s="55">
        <v>540</v>
      </c>
      <c r="E21" s="56"/>
      <c r="F21" s="57">
        <f t="shared" ref="F21:F42" si="1">D21*E21</f>
        <v>0</v>
      </c>
    </row>
    <row r="22" spans="1:6" ht="60" customHeight="1" x14ac:dyDescent="0.35">
      <c r="A22" s="52">
        <f t="shared" si="0"/>
        <v>17</v>
      </c>
      <c r="B22" s="59" t="s">
        <v>139</v>
      </c>
      <c r="C22" s="54" t="s">
        <v>9</v>
      </c>
      <c r="D22" s="54">
        <v>2880</v>
      </c>
      <c r="E22" s="56"/>
      <c r="F22" s="57">
        <f t="shared" si="1"/>
        <v>0</v>
      </c>
    </row>
    <row r="23" spans="1:6" ht="34.15" customHeight="1" x14ac:dyDescent="0.35">
      <c r="A23" s="52">
        <f t="shared" si="0"/>
        <v>18</v>
      </c>
      <c r="B23" s="58" t="s">
        <v>113</v>
      </c>
      <c r="C23" s="54" t="s">
        <v>9</v>
      </c>
      <c r="D23" s="64">
        <v>1000</v>
      </c>
      <c r="E23" s="56"/>
      <c r="F23" s="57">
        <f t="shared" si="1"/>
        <v>0</v>
      </c>
    </row>
    <row r="24" spans="1:6" ht="34.5" customHeight="1" x14ac:dyDescent="0.35">
      <c r="A24" s="52">
        <f t="shared" si="0"/>
        <v>19</v>
      </c>
      <c r="B24" s="53" t="s">
        <v>114</v>
      </c>
      <c r="C24" s="54" t="s">
        <v>9</v>
      </c>
      <c r="D24" s="64">
        <v>1000</v>
      </c>
      <c r="E24" s="56"/>
      <c r="F24" s="57">
        <f t="shared" si="1"/>
        <v>0</v>
      </c>
    </row>
    <row r="25" spans="1:6" ht="43.5" hidden="1" x14ac:dyDescent="0.35">
      <c r="A25" s="60">
        <f t="shared" si="0"/>
        <v>20</v>
      </c>
      <c r="B25" s="61" t="s">
        <v>115</v>
      </c>
      <c r="C25" s="62" t="s">
        <v>94</v>
      </c>
      <c r="D25" s="62"/>
      <c r="E25" s="63"/>
      <c r="F25" s="57">
        <f t="shared" si="1"/>
        <v>0</v>
      </c>
    </row>
    <row r="26" spans="1:6" ht="48.65" hidden="1" customHeight="1" x14ac:dyDescent="0.35">
      <c r="A26" s="60">
        <f t="shared" si="0"/>
        <v>21</v>
      </c>
      <c r="B26" s="61" t="s">
        <v>116</v>
      </c>
      <c r="C26" s="62" t="s">
        <v>9</v>
      </c>
      <c r="D26" s="62"/>
      <c r="E26" s="63"/>
      <c r="F26" s="57">
        <f t="shared" si="1"/>
        <v>0</v>
      </c>
    </row>
    <row r="27" spans="1:6" ht="75.75" customHeight="1" x14ac:dyDescent="0.35">
      <c r="A27" s="52">
        <f t="shared" si="0"/>
        <v>22</v>
      </c>
      <c r="B27" s="53" t="s">
        <v>137</v>
      </c>
      <c r="C27" s="54" t="s">
        <v>9</v>
      </c>
      <c r="D27" s="64">
        <v>1920</v>
      </c>
      <c r="E27" s="56"/>
      <c r="F27" s="57">
        <f t="shared" si="1"/>
        <v>0</v>
      </c>
    </row>
    <row r="28" spans="1:6" ht="43.5" hidden="1" x14ac:dyDescent="0.35">
      <c r="A28" s="60">
        <f t="shared" si="0"/>
        <v>23</v>
      </c>
      <c r="B28" s="61" t="s">
        <v>117</v>
      </c>
      <c r="C28" s="62" t="s">
        <v>9</v>
      </c>
      <c r="D28" s="62"/>
      <c r="E28" s="63"/>
      <c r="F28" s="57">
        <f t="shared" si="1"/>
        <v>0</v>
      </c>
    </row>
    <row r="29" spans="1:6" ht="48.65" customHeight="1" x14ac:dyDescent="0.35">
      <c r="A29" s="52">
        <f t="shared" si="0"/>
        <v>24</v>
      </c>
      <c r="B29" s="53" t="s">
        <v>138</v>
      </c>
      <c r="C29" s="54" t="s">
        <v>9</v>
      </c>
      <c r="D29" s="64">
        <v>5000</v>
      </c>
      <c r="E29" s="56"/>
      <c r="F29" s="57">
        <f t="shared" si="1"/>
        <v>0</v>
      </c>
    </row>
    <row r="30" spans="1:6" ht="43.5" hidden="1" x14ac:dyDescent="0.35">
      <c r="A30" s="60">
        <f t="shared" si="0"/>
        <v>25</v>
      </c>
      <c r="B30" s="61" t="s">
        <v>118</v>
      </c>
      <c r="C30" s="62" t="s">
        <v>9</v>
      </c>
      <c r="D30" s="62"/>
      <c r="E30" s="63"/>
      <c r="F30" s="57">
        <f t="shared" si="1"/>
        <v>0</v>
      </c>
    </row>
    <row r="31" spans="1:6" ht="58.15" hidden="1" customHeight="1" x14ac:dyDescent="0.35">
      <c r="A31" s="60">
        <f t="shared" si="0"/>
        <v>26</v>
      </c>
      <c r="B31" s="61" t="s">
        <v>119</v>
      </c>
      <c r="C31" s="62" t="s">
        <v>9</v>
      </c>
      <c r="D31" s="62"/>
      <c r="E31" s="63"/>
      <c r="F31" s="57">
        <f t="shared" si="1"/>
        <v>0</v>
      </c>
    </row>
    <row r="32" spans="1:6" ht="55.9" hidden="1" customHeight="1" x14ac:dyDescent="0.35">
      <c r="A32" s="60">
        <f t="shared" si="0"/>
        <v>27</v>
      </c>
      <c r="B32" s="61" t="s">
        <v>120</v>
      </c>
      <c r="C32" s="62" t="s">
        <v>9</v>
      </c>
      <c r="D32" s="62"/>
      <c r="E32" s="63"/>
      <c r="F32" s="57">
        <f t="shared" si="1"/>
        <v>0</v>
      </c>
    </row>
    <row r="33" spans="1:9" ht="59.5" hidden="1" customHeight="1" x14ac:dyDescent="0.35">
      <c r="A33" s="60">
        <f t="shared" si="0"/>
        <v>28</v>
      </c>
      <c r="B33" s="61" t="s">
        <v>121</v>
      </c>
      <c r="C33" s="62" t="s">
        <v>9</v>
      </c>
      <c r="D33" s="62"/>
      <c r="E33" s="63"/>
      <c r="F33" s="57">
        <f t="shared" si="1"/>
        <v>0</v>
      </c>
    </row>
    <row r="34" spans="1:9" ht="58" hidden="1" x14ac:dyDescent="0.35">
      <c r="A34" s="60">
        <f t="shared" si="0"/>
        <v>29</v>
      </c>
      <c r="B34" s="61" t="s">
        <v>122</v>
      </c>
      <c r="C34" s="62" t="s">
        <v>9</v>
      </c>
      <c r="D34" s="62"/>
      <c r="E34" s="63"/>
      <c r="F34" s="57">
        <f t="shared" si="1"/>
        <v>0</v>
      </c>
    </row>
    <row r="35" spans="1:9" ht="74.5" hidden="1" customHeight="1" x14ac:dyDescent="0.35">
      <c r="A35" s="60">
        <f t="shared" si="0"/>
        <v>30</v>
      </c>
      <c r="B35" s="61" t="s">
        <v>123</v>
      </c>
      <c r="C35" s="62" t="s">
        <v>9</v>
      </c>
      <c r="D35" s="62"/>
      <c r="E35" s="63"/>
      <c r="F35" s="57">
        <f t="shared" si="1"/>
        <v>0</v>
      </c>
    </row>
    <row r="36" spans="1:9" ht="58.5" hidden="1" customHeight="1" x14ac:dyDescent="0.35">
      <c r="A36" s="60">
        <f t="shared" si="0"/>
        <v>31</v>
      </c>
      <c r="B36" s="61" t="s">
        <v>124</v>
      </c>
      <c r="C36" s="62" t="s">
        <v>9</v>
      </c>
      <c r="D36" s="62"/>
      <c r="E36" s="63"/>
      <c r="F36" s="57">
        <f t="shared" si="1"/>
        <v>0</v>
      </c>
    </row>
    <row r="37" spans="1:9" ht="47.25" customHeight="1" x14ac:dyDescent="0.35">
      <c r="A37" s="52">
        <f t="shared" si="0"/>
        <v>32</v>
      </c>
      <c r="B37" s="53" t="s">
        <v>125</v>
      </c>
      <c r="C37" s="54" t="s">
        <v>9</v>
      </c>
      <c r="D37" s="64">
        <v>40000</v>
      </c>
      <c r="E37" s="56"/>
      <c r="F37" s="57">
        <f t="shared" si="1"/>
        <v>0</v>
      </c>
    </row>
    <row r="38" spans="1:9" ht="45.65" customHeight="1" x14ac:dyDescent="0.35">
      <c r="A38" s="52">
        <f t="shared" si="0"/>
        <v>33</v>
      </c>
      <c r="B38" s="53" t="s">
        <v>126</v>
      </c>
      <c r="C38" s="54" t="s">
        <v>9</v>
      </c>
      <c r="D38" s="64">
        <v>165000</v>
      </c>
      <c r="E38" s="56"/>
      <c r="F38" s="57">
        <f t="shared" si="1"/>
        <v>0</v>
      </c>
    </row>
    <row r="39" spans="1:9" ht="50.5" hidden="1" customHeight="1" x14ac:dyDescent="0.35">
      <c r="A39" s="60">
        <f t="shared" si="0"/>
        <v>34</v>
      </c>
      <c r="B39" s="61" t="s">
        <v>127</v>
      </c>
      <c r="C39" s="62" t="s">
        <v>9</v>
      </c>
      <c r="D39" s="62"/>
      <c r="E39" s="63"/>
      <c r="F39" s="57">
        <f t="shared" si="1"/>
        <v>0</v>
      </c>
    </row>
    <row r="40" spans="1:9" ht="58.9" hidden="1" customHeight="1" x14ac:dyDescent="0.35">
      <c r="A40" s="60">
        <f t="shared" si="0"/>
        <v>35</v>
      </c>
      <c r="B40" s="61" t="s">
        <v>128</v>
      </c>
      <c r="C40" s="62" t="s">
        <v>9</v>
      </c>
      <c r="D40" s="62"/>
      <c r="E40" s="63"/>
      <c r="F40" s="57">
        <f t="shared" si="1"/>
        <v>0</v>
      </c>
    </row>
    <row r="41" spans="1:9" ht="61.15" hidden="1" customHeight="1" x14ac:dyDescent="0.35">
      <c r="A41" s="60">
        <f t="shared" si="0"/>
        <v>36</v>
      </c>
      <c r="B41" s="61" t="s">
        <v>129</v>
      </c>
      <c r="C41" s="62" t="s">
        <v>9</v>
      </c>
      <c r="D41" s="62"/>
      <c r="E41" s="63"/>
      <c r="F41" s="57">
        <f t="shared" si="1"/>
        <v>0</v>
      </c>
    </row>
    <row r="42" spans="1:9" ht="71.25" customHeight="1" x14ac:dyDescent="0.35">
      <c r="A42" s="65">
        <f t="shared" si="0"/>
        <v>37</v>
      </c>
      <c r="B42" s="66" t="s">
        <v>130</v>
      </c>
      <c r="C42" s="67" t="s">
        <v>9</v>
      </c>
      <c r="D42" s="68">
        <v>150000</v>
      </c>
      <c r="E42" s="69"/>
      <c r="F42" s="57">
        <f t="shared" si="1"/>
        <v>0</v>
      </c>
    </row>
    <row r="43" spans="1:9" s="45" customFormat="1" ht="60" hidden="1" customHeight="1" x14ac:dyDescent="0.35">
      <c r="A43" s="13">
        <f t="shared" si="0"/>
        <v>38</v>
      </c>
      <c r="B43" s="20" t="s">
        <v>131</v>
      </c>
      <c r="C43" s="14" t="s">
        <v>9</v>
      </c>
      <c r="D43" s="14"/>
      <c r="E43" s="15"/>
      <c r="F43" s="16"/>
      <c r="G43" s="43"/>
      <c r="H43" s="27"/>
      <c r="I43" s="44"/>
    </row>
    <row r="44" spans="1:9" s="45" customFormat="1" ht="58" hidden="1" x14ac:dyDescent="0.35">
      <c r="A44" s="13">
        <f t="shared" si="0"/>
        <v>39</v>
      </c>
      <c r="B44" s="46" t="s">
        <v>132</v>
      </c>
      <c r="C44" s="13" t="s">
        <v>9</v>
      </c>
      <c r="D44" s="13"/>
      <c r="E44" s="16"/>
      <c r="F44" s="16"/>
      <c r="G44" s="43"/>
      <c r="H44" s="27"/>
      <c r="I44" s="44"/>
    </row>
    <row r="45" spans="1:9" ht="74.5" hidden="1" customHeight="1" x14ac:dyDescent="0.35">
      <c r="A45" s="17">
        <f t="shared" si="0"/>
        <v>40</v>
      </c>
      <c r="B45" s="47" t="s">
        <v>133</v>
      </c>
      <c r="C45" s="18" t="s">
        <v>9</v>
      </c>
      <c r="D45" s="18"/>
      <c r="E45" s="19"/>
      <c r="F45" s="16"/>
      <c r="G45" s="43"/>
    </row>
    <row r="46" spans="1:9" x14ac:dyDescent="0.35">
      <c r="B46" s="49"/>
    </row>
    <row r="47" spans="1:9" x14ac:dyDescent="0.35">
      <c r="B47" s="49"/>
    </row>
  </sheetData>
  <mergeCells count="1">
    <mergeCell ref="A3:F3"/>
  </mergeCells>
  <pageMargins left="0.7" right="0.7" top="0.75" bottom="0.75" header="0.3" footer="0.3"/>
  <pageSetup scale="85" orientation="landscape" r:id="rId1"/>
  <headerFooter>
    <oddHeader>&amp;C&amp;"-,Bold"&amp;14RELIGIOUS DIET SPECIFICATIONS QUOTE SHEET                                                 &amp;"-,Regular"&amp;11
&amp;RJuly 2024</oddHeader>
  </headerFooter>
  <rowBreaks count="2" manualBreakCount="2">
    <brk id="13" max="5" man="1"/>
    <brk id="19"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activeCell="A2" sqref="A2"/>
    </sheetView>
  </sheetViews>
  <sheetFormatPr defaultRowHeight="14.5" x14ac:dyDescent="0.35"/>
  <cols>
    <col min="8" max="8" width="5.453125" customWidth="1"/>
    <col min="9" max="9" width="18.26953125" customWidth="1"/>
    <col min="10" max="10" width="6.453125" customWidth="1"/>
    <col min="11" max="11" width="12.26953125" customWidth="1"/>
  </cols>
  <sheetData>
    <row r="1" spans="1:11" ht="23.5" x14ac:dyDescent="0.55000000000000004">
      <c r="A1" s="72" t="s">
        <v>71</v>
      </c>
      <c r="B1" s="72"/>
      <c r="C1" s="72"/>
      <c r="D1" s="72"/>
      <c r="E1" s="72"/>
      <c r="F1" s="72"/>
      <c r="G1" s="72"/>
      <c r="H1" s="72"/>
      <c r="I1" s="72"/>
      <c r="J1" s="72"/>
      <c r="K1" s="72"/>
    </row>
    <row r="3" spans="1:11" x14ac:dyDescent="0.35">
      <c r="A3" s="1" t="s">
        <v>13</v>
      </c>
    </row>
    <row r="4" spans="1:11" x14ac:dyDescent="0.35">
      <c r="A4" s="1" t="s">
        <v>14</v>
      </c>
    </row>
    <row r="6" spans="1:11" x14ac:dyDescent="0.35">
      <c r="A6" t="s">
        <v>15</v>
      </c>
    </row>
    <row r="8" spans="1:11" x14ac:dyDescent="0.35">
      <c r="A8" t="s">
        <v>16</v>
      </c>
      <c r="H8" t="s">
        <v>17</v>
      </c>
      <c r="I8" s="2"/>
    </row>
    <row r="10" spans="1:11" x14ac:dyDescent="0.35">
      <c r="A10" s="73"/>
      <c r="B10" s="73"/>
      <c r="C10" t="s">
        <v>19</v>
      </c>
    </row>
    <row r="12" spans="1:11" ht="33" customHeight="1" x14ac:dyDescent="0.35">
      <c r="A12" s="74" t="s">
        <v>48</v>
      </c>
      <c r="B12" s="74"/>
      <c r="C12" s="74"/>
      <c r="D12" s="74"/>
      <c r="E12" s="74"/>
      <c r="F12" s="74"/>
      <c r="G12" s="74"/>
      <c r="H12" s="74"/>
      <c r="I12" s="74"/>
      <c r="J12" s="74"/>
      <c r="K12" s="74"/>
    </row>
    <row r="14" spans="1:11" ht="20.149999999999999" customHeight="1" x14ac:dyDescent="0.35">
      <c r="A14" t="s">
        <v>20</v>
      </c>
      <c r="B14" t="s">
        <v>21</v>
      </c>
      <c r="C14" t="s">
        <v>22</v>
      </c>
      <c r="D14" s="2"/>
      <c r="E14" s="2"/>
      <c r="F14" s="2"/>
      <c r="G14" s="2"/>
      <c r="H14" s="2"/>
      <c r="I14" s="2"/>
    </row>
    <row r="15" spans="1:11" ht="20.149999999999999" customHeight="1" x14ac:dyDescent="0.35">
      <c r="A15" t="s">
        <v>20</v>
      </c>
      <c r="B15" t="s">
        <v>21</v>
      </c>
      <c r="C15" t="s">
        <v>23</v>
      </c>
      <c r="D15" s="3"/>
      <c r="E15" s="3"/>
      <c r="F15" s="3"/>
      <c r="G15" s="3"/>
      <c r="H15" s="3"/>
      <c r="I15" s="3"/>
    </row>
    <row r="16" spans="1:11" ht="20.149999999999999" customHeight="1" x14ac:dyDescent="0.35">
      <c r="A16" t="s">
        <v>20</v>
      </c>
      <c r="B16" t="s">
        <v>21</v>
      </c>
      <c r="C16" t="s">
        <v>24</v>
      </c>
      <c r="D16" s="3"/>
      <c r="E16" s="3"/>
      <c r="F16" s="3"/>
      <c r="G16" s="3"/>
      <c r="H16" s="3"/>
      <c r="I16" s="3"/>
    </row>
    <row r="17" spans="1:11" ht="20.149999999999999" customHeight="1" x14ac:dyDescent="0.35">
      <c r="A17" t="s">
        <v>20</v>
      </c>
      <c r="B17" t="s">
        <v>21</v>
      </c>
      <c r="C17" t="s">
        <v>25</v>
      </c>
      <c r="D17" s="3"/>
      <c r="E17" s="3"/>
      <c r="F17" s="3"/>
      <c r="G17" s="3"/>
      <c r="H17" s="3"/>
      <c r="I17" s="3"/>
    </row>
    <row r="18" spans="1:11" ht="20.149999999999999" customHeight="1" x14ac:dyDescent="0.35">
      <c r="A18" t="s">
        <v>20</v>
      </c>
      <c r="B18" t="s">
        <v>21</v>
      </c>
      <c r="C18" t="s">
        <v>26</v>
      </c>
      <c r="D18" s="3"/>
      <c r="E18" s="3"/>
      <c r="F18" s="3"/>
      <c r="G18" s="3"/>
      <c r="H18" s="3"/>
      <c r="I18" s="3"/>
    </row>
    <row r="19" spans="1:11" ht="20.149999999999999" customHeight="1" x14ac:dyDescent="0.35">
      <c r="A19" t="s">
        <v>27</v>
      </c>
      <c r="B19" t="s">
        <v>21</v>
      </c>
      <c r="C19" t="s">
        <v>28</v>
      </c>
      <c r="D19" s="3"/>
      <c r="E19" s="3"/>
      <c r="F19" s="3"/>
      <c r="G19" s="3"/>
      <c r="H19" s="3"/>
      <c r="I19" s="3"/>
    </row>
    <row r="20" spans="1:11" ht="20.149999999999999" customHeight="1" x14ac:dyDescent="0.35">
      <c r="A20" t="s">
        <v>20</v>
      </c>
      <c r="B20" t="s">
        <v>21</v>
      </c>
      <c r="C20" t="s">
        <v>29</v>
      </c>
      <c r="D20" s="3"/>
      <c r="E20" s="3"/>
      <c r="F20" s="3"/>
      <c r="G20" s="3"/>
      <c r="H20" s="3"/>
      <c r="I20" s="3"/>
    </row>
    <row r="21" spans="1:11" ht="20.149999999999999" customHeight="1" x14ac:dyDescent="0.35">
      <c r="A21" t="s">
        <v>20</v>
      </c>
      <c r="B21" t="s">
        <v>21</v>
      </c>
      <c r="C21" t="s">
        <v>30</v>
      </c>
      <c r="D21" s="3"/>
      <c r="E21" s="3"/>
      <c r="F21" s="3"/>
      <c r="G21" s="3"/>
      <c r="H21" s="3"/>
      <c r="I21" s="3"/>
    </row>
    <row r="22" spans="1:11" ht="20.149999999999999" customHeight="1" x14ac:dyDescent="0.35">
      <c r="A22" t="s">
        <v>20</v>
      </c>
      <c r="B22" t="s">
        <v>21</v>
      </c>
      <c r="C22" t="s">
        <v>31</v>
      </c>
      <c r="D22" s="3"/>
      <c r="E22" s="3"/>
      <c r="F22" s="3"/>
      <c r="G22" s="3"/>
      <c r="H22" s="3"/>
      <c r="I22" s="3"/>
    </row>
    <row r="23" spans="1:11" ht="20.149999999999999" customHeight="1" x14ac:dyDescent="0.35">
      <c r="A23" t="s">
        <v>20</v>
      </c>
      <c r="B23" t="s">
        <v>21</v>
      </c>
      <c r="C23" t="s">
        <v>32</v>
      </c>
      <c r="D23" s="3"/>
      <c r="E23" s="3"/>
      <c r="F23" s="3"/>
      <c r="G23" s="3"/>
      <c r="H23" s="3"/>
      <c r="I23" s="3"/>
    </row>
    <row r="25" spans="1:11" x14ac:dyDescent="0.35">
      <c r="A25" t="s">
        <v>33</v>
      </c>
      <c r="D25" s="71" t="s">
        <v>49</v>
      </c>
      <c r="E25" s="71"/>
    </row>
    <row r="27" spans="1:11" ht="18.5" x14ac:dyDescent="0.45">
      <c r="A27" s="4" t="s">
        <v>34</v>
      </c>
    </row>
    <row r="28" spans="1:11" ht="15.5" x14ac:dyDescent="0.35">
      <c r="A28" s="5" t="s">
        <v>37</v>
      </c>
    </row>
    <row r="29" spans="1:11" ht="46.5" customHeight="1" x14ac:dyDescent="0.35">
      <c r="A29" s="75" t="s">
        <v>35</v>
      </c>
      <c r="B29" s="75"/>
      <c r="C29" s="75"/>
      <c r="D29" s="75"/>
      <c r="E29" s="75"/>
      <c r="F29" s="75"/>
      <c r="G29" s="75"/>
      <c r="H29" s="75"/>
      <c r="I29" s="75"/>
      <c r="J29" s="75"/>
      <c r="K29" s="75"/>
    </row>
    <row r="31" spans="1:11" ht="15.5" x14ac:dyDescent="0.35">
      <c r="A31" s="5" t="s">
        <v>36</v>
      </c>
    </row>
    <row r="32" spans="1:11" x14ac:dyDescent="0.35">
      <c r="A32" t="s">
        <v>38</v>
      </c>
    </row>
    <row r="33" spans="1:11" x14ac:dyDescent="0.35">
      <c r="A33" t="s">
        <v>39</v>
      </c>
    </row>
    <row r="34" spans="1:11" x14ac:dyDescent="0.35">
      <c r="A34" t="s">
        <v>40</v>
      </c>
    </row>
    <row r="35" spans="1:11" ht="44.25" customHeight="1" x14ac:dyDescent="0.35">
      <c r="A35" s="75" t="s">
        <v>41</v>
      </c>
      <c r="B35" s="75"/>
      <c r="C35" s="75"/>
      <c r="D35" s="75"/>
      <c r="E35" s="75"/>
      <c r="F35" s="75"/>
      <c r="G35" s="75"/>
      <c r="H35" s="75"/>
      <c r="I35" s="75"/>
      <c r="J35" s="75"/>
      <c r="K35" s="75"/>
    </row>
    <row r="37" spans="1:11" x14ac:dyDescent="0.35">
      <c r="A37" t="s">
        <v>18</v>
      </c>
      <c r="B37" t="s">
        <v>42</v>
      </c>
    </row>
    <row r="39" spans="1:11" x14ac:dyDescent="0.35">
      <c r="A39" t="s">
        <v>43</v>
      </c>
      <c r="B39" t="s">
        <v>44</v>
      </c>
    </row>
    <row r="41" spans="1:11" x14ac:dyDescent="0.35">
      <c r="A41" t="s">
        <v>45</v>
      </c>
      <c r="E41" s="71"/>
      <c r="F41" s="71"/>
      <c r="G41" s="71"/>
      <c r="H41" s="71"/>
      <c r="I41" s="71"/>
      <c r="J41" s="71"/>
      <c r="K41" s="71"/>
    </row>
    <row r="43" spans="1:11" x14ac:dyDescent="0.35">
      <c r="A43" t="s">
        <v>46</v>
      </c>
      <c r="D43" s="71"/>
      <c r="E43" s="71"/>
      <c r="F43" s="71"/>
      <c r="G43" s="71"/>
      <c r="H43" s="2"/>
      <c r="J43" t="s">
        <v>47</v>
      </c>
      <c r="K43" s="2"/>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workbookViewId="0">
      <selection activeCell="F2" sqref="F2"/>
    </sheetView>
  </sheetViews>
  <sheetFormatPr defaultRowHeight="14.5" x14ac:dyDescent="0.35"/>
  <cols>
    <col min="1" max="1" width="12.26953125" customWidth="1"/>
    <col min="2" max="2" width="6.54296875" customWidth="1"/>
    <col min="3" max="3" width="16.7265625" customWidth="1"/>
    <col min="4" max="4" width="13.453125" customWidth="1"/>
    <col min="6" max="6" width="11.54296875" customWidth="1"/>
    <col min="9" max="9" width="4.453125" customWidth="1"/>
    <col min="10" max="10" width="6.54296875" customWidth="1"/>
  </cols>
  <sheetData>
    <row r="1" spans="1:11" ht="18.5" x14ac:dyDescent="0.45">
      <c r="A1" s="76" t="s">
        <v>50</v>
      </c>
      <c r="B1" s="76"/>
      <c r="C1" s="76"/>
      <c r="D1" s="76"/>
      <c r="E1" s="76"/>
      <c r="F1" s="76"/>
      <c r="G1" s="76"/>
      <c r="H1" s="76"/>
      <c r="I1" s="76"/>
      <c r="J1" s="76"/>
      <c r="K1" s="76"/>
    </row>
    <row r="3" spans="1:11" x14ac:dyDescent="0.35">
      <c r="A3" s="1" t="s">
        <v>11</v>
      </c>
      <c r="B3" s="71"/>
      <c r="C3" s="71"/>
      <c r="D3" s="1" t="s">
        <v>12</v>
      </c>
      <c r="E3" s="71"/>
      <c r="F3" s="71"/>
    </row>
    <row r="5" spans="1:11" x14ac:dyDescent="0.35">
      <c r="A5" s="1" t="s">
        <v>10</v>
      </c>
      <c r="B5" s="71"/>
      <c r="C5" s="71"/>
      <c r="D5" s="71"/>
      <c r="E5" s="71"/>
      <c r="F5" s="71"/>
    </row>
    <row r="7" spans="1:11" ht="15.5" x14ac:dyDescent="0.35">
      <c r="A7" s="6" t="s">
        <v>51</v>
      </c>
    </row>
    <row r="9" spans="1:11" x14ac:dyDescent="0.35">
      <c r="A9" t="s">
        <v>52</v>
      </c>
    </row>
    <row r="10" spans="1:11" x14ac:dyDescent="0.35">
      <c r="A10" t="s">
        <v>53</v>
      </c>
    </row>
    <row r="11" spans="1:11" x14ac:dyDescent="0.35">
      <c r="A11" t="s">
        <v>54</v>
      </c>
    </row>
    <row r="12" spans="1:11" ht="60.75" customHeight="1" x14ac:dyDescent="0.35">
      <c r="A12" s="75" t="s">
        <v>55</v>
      </c>
      <c r="B12" s="75"/>
      <c r="C12" s="75"/>
      <c r="D12" s="75"/>
      <c r="E12" s="75"/>
      <c r="F12" s="75"/>
      <c r="G12" s="75"/>
      <c r="H12" s="75"/>
      <c r="I12" s="75"/>
      <c r="J12" s="75"/>
      <c r="K12" s="75"/>
    </row>
    <row r="14" spans="1:11" x14ac:dyDescent="0.35">
      <c r="A14" s="1" t="s">
        <v>56</v>
      </c>
      <c r="B14" t="s">
        <v>57</v>
      </c>
    </row>
    <row r="16" spans="1:11" x14ac:dyDescent="0.35">
      <c r="A16" s="1" t="s">
        <v>58</v>
      </c>
      <c r="C16" s="2"/>
    </row>
    <row r="18" spans="1:11" ht="15.5" x14ac:dyDescent="0.35">
      <c r="A18" s="6" t="s">
        <v>59</v>
      </c>
    </row>
    <row r="20" spans="1:11" x14ac:dyDescent="0.35">
      <c r="A20" t="s">
        <v>60</v>
      </c>
    </row>
    <row r="22" spans="1:11" x14ac:dyDescent="0.35">
      <c r="A22" t="s">
        <v>97</v>
      </c>
    </row>
    <row r="24" spans="1:11" x14ac:dyDescent="0.35">
      <c r="A24" t="s">
        <v>61</v>
      </c>
    </row>
    <row r="26" spans="1:11" x14ac:dyDescent="0.35">
      <c r="A26" t="s">
        <v>62</v>
      </c>
    </row>
    <row r="28" spans="1:11" x14ac:dyDescent="0.35">
      <c r="A28" t="s">
        <v>63</v>
      </c>
    </row>
    <row r="30" spans="1:11" x14ac:dyDescent="0.35">
      <c r="A30" t="s">
        <v>64</v>
      </c>
    </row>
    <row r="31" spans="1:11" ht="45.75" customHeight="1" x14ac:dyDescent="0.35">
      <c r="A31" s="75" t="s">
        <v>74</v>
      </c>
      <c r="B31" s="75"/>
      <c r="C31" s="75"/>
      <c r="D31" s="75"/>
      <c r="E31" s="75"/>
      <c r="F31" s="75"/>
      <c r="G31" s="75"/>
      <c r="H31" s="75"/>
      <c r="I31" s="75"/>
      <c r="J31" s="75"/>
      <c r="K31" s="75"/>
    </row>
    <row r="33" spans="1:11" x14ac:dyDescent="0.35">
      <c r="A33" t="s">
        <v>65</v>
      </c>
    </row>
    <row r="35" spans="1:11" x14ac:dyDescent="0.35">
      <c r="A35" t="s">
        <v>66</v>
      </c>
    </row>
    <row r="37" spans="1:11" x14ac:dyDescent="0.35">
      <c r="A37" t="s">
        <v>67</v>
      </c>
    </row>
    <row r="39" spans="1:11" x14ac:dyDescent="0.35">
      <c r="A39" t="s">
        <v>68</v>
      </c>
    </row>
    <row r="41" spans="1:11" ht="30" customHeight="1" x14ac:dyDescent="0.35">
      <c r="A41" s="75" t="s">
        <v>70</v>
      </c>
      <c r="B41" s="75"/>
      <c r="C41" s="75"/>
      <c r="D41" s="75"/>
      <c r="E41" s="75"/>
      <c r="F41" s="75"/>
      <c r="G41" s="75"/>
      <c r="H41" s="75"/>
      <c r="I41" s="75"/>
      <c r="J41" s="75"/>
      <c r="K41" s="75"/>
    </row>
    <row r="43" spans="1:11" x14ac:dyDescent="0.35">
      <c r="A43" t="s">
        <v>69</v>
      </c>
    </row>
    <row r="46" spans="1:11" x14ac:dyDescent="0.35">
      <c r="A46" t="s">
        <v>46</v>
      </c>
      <c r="C46" s="2"/>
      <c r="D46" s="71"/>
      <c r="E46" s="71"/>
      <c r="F46" s="71"/>
      <c r="G46" s="71"/>
      <c r="H46" s="2"/>
      <c r="J46" t="s">
        <v>47</v>
      </c>
      <c r="K46" s="2"/>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view="pageLayout" zoomScaleNormal="100" workbookViewId="0">
      <selection activeCell="K6" sqref="K6"/>
    </sheetView>
  </sheetViews>
  <sheetFormatPr defaultRowHeight="14.5" x14ac:dyDescent="0.35"/>
  <cols>
    <col min="1" max="1" width="3.453125" style="8" customWidth="1"/>
    <col min="2" max="2" width="4.26953125" style="7" customWidth="1"/>
    <col min="6" max="6" width="8.453125" customWidth="1"/>
  </cols>
  <sheetData>
    <row r="1" spans="1:11" ht="18.5" x14ac:dyDescent="0.35">
      <c r="A1" s="77" t="s">
        <v>71</v>
      </c>
      <c r="B1" s="77"/>
      <c r="C1" s="77"/>
      <c r="D1" s="77"/>
      <c r="E1" s="77"/>
      <c r="F1" s="77"/>
      <c r="G1" s="77"/>
      <c r="H1" s="77"/>
      <c r="I1" s="77"/>
      <c r="J1" s="77"/>
      <c r="K1" s="77"/>
    </row>
    <row r="2" spans="1:11" ht="18.5" x14ac:dyDescent="0.35">
      <c r="A2" s="77" t="s">
        <v>73</v>
      </c>
      <c r="B2" s="77"/>
      <c r="C2" s="77"/>
      <c r="D2" s="77"/>
      <c r="E2" s="77"/>
      <c r="F2" s="77"/>
      <c r="G2" s="77"/>
      <c r="H2" s="77"/>
      <c r="I2" s="77"/>
      <c r="J2" s="77"/>
      <c r="K2" s="77"/>
    </row>
    <row r="4" spans="1:11" x14ac:dyDescent="0.35">
      <c r="A4" s="9" t="s">
        <v>72</v>
      </c>
      <c r="B4" s="10"/>
      <c r="C4" s="11"/>
      <c r="D4" s="11"/>
      <c r="E4" s="11"/>
      <c r="F4" s="11"/>
    </row>
    <row r="5" spans="1:11" ht="104.5" customHeight="1" x14ac:dyDescent="0.35">
      <c r="A5" s="74" t="s">
        <v>75</v>
      </c>
      <c r="B5" s="74"/>
      <c r="C5" s="74"/>
      <c r="D5" s="74"/>
      <c r="E5" s="74"/>
      <c r="F5" s="74"/>
      <c r="G5" s="74"/>
      <c r="H5" s="74"/>
      <c r="I5" s="74"/>
      <c r="J5" s="74"/>
      <c r="K5" s="74"/>
    </row>
    <row r="7" spans="1:11" x14ac:dyDescent="0.35">
      <c r="A7" s="8" t="s">
        <v>76</v>
      </c>
    </row>
    <row r="9" spans="1:11" x14ac:dyDescent="0.35">
      <c r="A9" s="9" t="s">
        <v>96</v>
      </c>
      <c r="B9" s="10"/>
      <c r="C9" s="11"/>
      <c r="D9" s="11"/>
      <c r="E9" s="11"/>
      <c r="F9" s="11"/>
    </row>
    <row r="11" spans="1:11" x14ac:dyDescent="0.35">
      <c r="A11" s="12">
        <v>1</v>
      </c>
      <c r="B11" s="7" t="s">
        <v>78</v>
      </c>
    </row>
    <row r="12" spans="1:11" ht="46.5" customHeight="1" x14ac:dyDescent="0.35">
      <c r="A12" s="12"/>
      <c r="B12" s="7" t="s">
        <v>90</v>
      </c>
      <c r="C12" s="75" t="s">
        <v>77</v>
      </c>
      <c r="D12" s="75"/>
      <c r="E12" s="75"/>
      <c r="F12" s="75"/>
      <c r="G12" s="75"/>
      <c r="H12" s="75"/>
      <c r="I12" s="75"/>
      <c r="J12" s="75"/>
      <c r="K12" s="75"/>
    </row>
    <row r="13" spans="1:11" ht="29.25" customHeight="1" x14ac:dyDescent="0.35">
      <c r="A13" s="12"/>
      <c r="B13" s="7" t="s">
        <v>91</v>
      </c>
      <c r="C13" s="75" t="s">
        <v>93</v>
      </c>
      <c r="D13" s="75"/>
      <c r="E13" s="75"/>
      <c r="F13" s="75"/>
      <c r="G13" s="75"/>
      <c r="H13" s="75"/>
      <c r="I13" s="75"/>
      <c r="J13" s="75"/>
      <c r="K13" s="75"/>
    </row>
    <row r="14" spans="1:11" ht="30.75" customHeight="1" x14ac:dyDescent="0.35">
      <c r="A14" s="12">
        <v>2</v>
      </c>
      <c r="B14" s="75" t="s">
        <v>79</v>
      </c>
      <c r="C14" s="75"/>
      <c r="D14" s="75"/>
      <c r="E14" s="75"/>
      <c r="F14" s="75"/>
      <c r="G14" s="75"/>
      <c r="H14" s="75"/>
      <c r="I14" s="75"/>
      <c r="J14" s="75"/>
      <c r="K14" s="75"/>
    </row>
    <row r="15" spans="1:11" x14ac:dyDescent="0.35">
      <c r="A15" s="12">
        <v>3</v>
      </c>
      <c r="B15" s="7" t="s">
        <v>80</v>
      </c>
    </row>
    <row r="16" spans="1:11" ht="30" customHeight="1" x14ac:dyDescent="0.35">
      <c r="A16" s="12">
        <v>4</v>
      </c>
      <c r="B16" s="75" t="s">
        <v>95</v>
      </c>
      <c r="C16" s="75"/>
      <c r="D16" s="75"/>
      <c r="E16" s="75"/>
      <c r="F16" s="75"/>
      <c r="G16" s="75"/>
      <c r="H16" s="75"/>
      <c r="I16" s="75"/>
      <c r="J16" s="75"/>
      <c r="K16" s="75"/>
    </row>
    <row r="17" spans="1:11" ht="30" customHeight="1" x14ac:dyDescent="0.35">
      <c r="A17" s="12">
        <v>5</v>
      </c>
      <c r="B17" s="74" t="s">
        <v>81</v>
      </c>
      <c r="C17" s="74"/>
      <c r="D17" s="74"/>
      <c r="E17" s="74"/>
      <c r="F17" s="74"/>
      <c r="G17" s="74"/>
      <c r="H17" s="74"/>
      <c r="I17" s="74"/>
      <c r="J17" s="74"/>
      <c r="K17" s="74"/>
    </row>
    <row r="18" spans="1:11" ht="30" customHeight="1" x14ac:dyDescent="0.35">
      <c r="A18" s="12">
        <v>6</v>
      </c>
      <c r="B18" s="74" t="s">
        <v>82</v>
      </c>
      <c r="C18" s="74"/>
      <c r="D18" s="74"/>
      <c r="E18" s="74"/>
      <c r="F18" s="74"/>
      <c r="G18" s="74"/>
      <c r="H18" s="74"/>
      <c r="I18" s="74"/>
      <c r="J18" s="74"/>
      <c r="K18" s="74"/>
    </row>
    <row r="19" spans="1:11" x14ac:dyDescent="0.35">
      <c r="A19" s="12">
        <v>7</v>
      </c>
      <c r="B19" s="7" t="s">
        <v>83</v>
      </c>
    </row>
    <row r="20" spans="1:11" x14ac:dyDescent="0.35">
      <c r="A20" s="12">
        <v>8</v>
      </c>
      <c r="B20" s="7" t="s">
        <v>90</v>
      </c>
      <c r="C20" t="s">
        <v>84</v>
      </c>
    </row>
    <row r="21" spans="1:11" x14ac:dyDescent="0.35">
      <c r="A21" s="12"/>
      <c r="B21" s="7" t="s">
        <v>91</v>
      </c>
      <c r="C21" t="s">
        <v>86</v>
      </c>
    </row>
    <row r="22" spans="1:11" x14ac:dyDescent="0.35">
      <c r="A22" s="12"/>
      <c r="B22" s="7" t="s">
        <v>92</v>
      </c>
      <c r="C22" t="s">
        <v>85</v>
      </c>
    </row>
    <row r="23" spans="1:11" x14ac:dyDescent="0.35">
      <c r="A23" s="12">
        <v>9</v>
      </c>
      <c r="B23" s="7" t="s">
        <v>87</v>
      </c>
    </row>
    <row r="24" spans="1:11" x14ac:dyDescent="0.35">
      <c r="A24" s="12"/>
      <c r="B24" s="7" t="s">
        <v>90</v>
      </c>
      <c r="C24" t="s">
        <v>84</v>
      </c>
    </row>
    <row r="25" spans="1:11" x14ac:dyDescent="0.35">
      <c r="A25" s="12"/>
      <c r="B25" s="7" t="s">
        <v>91</v>
      </c>
      <c r="C25" t="s">
        <v>85</v>
      </c>
    </row>
    <row r="26" spans="1:11" ht="60.75" customHeight="1" x14ac:dyDescent="0.35">
      <c r="A26" s="12">
        <v>9</v>
      </c>
      <c r="B26" s="74" t="s">
        <v>88</v>
      </c>
      <c r="C26" s="74"/>
      <c r="D26" s="74"/>
      <c r="E26" s="74"/>
      <c r="F26" s="74"/>
      <c r="G26" s="74"/>
      <c r="H26" s="74"/>
      <c r="I26" s="74"/>
      <c r="J26" s="74"/>
      <c r="K26" s="74"/>
    </row>
    <row r="27" spans="1:11" ht="45.75" customHeight="1" x14ac:dyDescent="0.35">
      <c r="A27" s="12">
        <v>10</v>
      </c>
      <c r="B27" s="74" t="s">
        <v>89</v>
      </c>
      <c r="C27" s="74"/>
      <c r="D27" s="74"/>
      <c r="E27" s="74"/>
      <c r="F27" s="74"/>
      <c r="G27" s="74"/>
      <c r="H27" s="74"/>
      <c r="I27" s="74"/>
      <c r="J27" s="74"/>
      <c r="K27" s="74"/>
    </row>
  </sheetData>
  <mergeCells count="11">
    <mergeCell ref="B18:K18"/>
    <mergeCell ref="B26:K26"/>
    <mergeCell ref="B27:K27"/>
    <mergeCell ref="A1:K1"/>
    <mergeCell ref="A2:K2"/>
    <mergeCell ref="A5:K5"/>
    <mergeCell ref="C12:K12"/>
    <mergeCell ref="C13:K13"/>
    <mergeCell ref="B14:K14"/>
    <mergeCell ref="B16:K16"/>
    <mergeCell ref="B17:K17"/>
  </mergeCells>
  <pageMargins left="0.7" right="0.7" top="0.75" bottom="0.75" header="0.3" footer="0.3"/>
  <pageSetup orientation="portrait" r:id="rId1"/>
  <headerFooter>
    <oddFooter>&amp;CPage &amp;P&amp;RJULY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Specifications</vt:lpstr>
      <vt:lpstr>Contractor Award Acknowledgemt</vt:lpstr>
      <vt:lpstr>Award Delivery Information</vt:lpstr>
      <vt:lpstr>General Specifications</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Virgillo, Brian (BOP)</cp:lastModifiedBy>
  <cp:lastPrinted>2024-07-12T20:27:48Z</cp:lastPrinted>
  <dcterms:created xsi:type="dcterms:W3CDTF">2016-02-25T18:36:59Z</dcterms:created>
  <dcterms:modified xsi:type="dcterms:W3CDTF">2025-11-20T13:39:51Z</dcterms:modified>
</cp:coreProperties>
</file>