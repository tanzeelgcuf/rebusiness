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A0F967D0-EABF-4C7E-81B8-A392DF12E82E}" xr6:coauthVersionLast="47" xr6:coauthVersionMax="47" xr10:uidLastSave="{00000000-0000-0000-0000-000000000000}"/>
  <bookViews>
    <workbookView xWindow="28680" yWindow="-120" windowWidth="38640" windowHeight="21120" activeTab="1" xr2:uid="{F1F19416-71A8-4E7C-BD30-B22E030AE1AB}"/>
  </bookViews>
  <sheets>
    <sheet name="Category Discounts" sheetId="2" r:id="rId1"/>
    <sheet name="Use Case Scenario #1" sheetId="1" r:id="rId2"/>
    <sheet name="Use Case Scenario #2" sheetId="4" r:id="rId3"/>
    <sheet name="Use Case Scenario #3" sheetId="5" r:id="rId4"/>
    <sheet name="Narrative"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34" i="1"/>
  <c r="J27" i="1"/>
  <c r="J26" i="1"/>
  <c r="J18" i="1"/>
  <c r="J17" i="1"/>
  <c r="J16" i="1"/>
  <c r="J8" i="1"/>
  <c r="J34" i="4"/>
  <c r="J32" i="4"/>
  <c r="J27" i="4"/>
  <c r="J26" i="4"/>
  <c r="J24" i="4"/>
  <c r="J17" i="4"/>
  <c r="J16" i="4"/>
  <c r="J12" i="4"/>
  <c r="J7" i="4"/>
  <c r="J6" i="4"/>
  <c r="J30" i="5"/>
  <c r="J31" i="5"/>
  <c r="J32" i="5"/>
  <c r="J33" i="5"/>
  <c r="J34" i="5"/>
  <c r="J29" i="5"/>
  <c r="J28" i="5"/>
  <c r="J27" i="5"/>
  <c r="J26" i="5"/>
  <c r="J25" i="5"/>
  <c r="J24" i="5"/>
  <c r="J20" i="5"/>
  <c r="J21" i="5"/>
  <c r="J19" i="5"/>
  <c r="J18" i="5"/>
  <c r="J17" i="5"/>
  <c r="J16" i="5"/>
  <c r="J7" i="5"/>
  <c r="J8" i="5"/>
  <c r="J9" i="5"/>
  <c r="J10" i="5"/>
  <c r="J11" i="5"/>
  <c r="J12" i="5"/>
  <c r="J13" i="5"/>
  <c r="J6" i="5"/>
  <c r="J4" i="5"/>
  <c r="F34" i="5"/>
  <c r="G34" i="5" s="1"/>
  <c r="H34" i="5" s="1"/>
  <c r="F33" i="5"/>
  <c r="G33" i="5" s="1"/>
  <c r="H33" i="5" s="1"/>
  <c r="F32" i="5"/>
  <c r="G32" i="5" s="1"/>
  <c r="H32" i="5" s="1"/>
  <c r="F31" i="5"/>
  <c r="G31" i="5" s="1"/>
  <c r="H31" i="5" s="1"/>
  <c r="F30" i="5"/>
  <c r="G30" i="5" s="1"/>
  <c r="H30" i="5" s="1"/>
  <c r="F29" i="5"/>
  <c r="G29" i="5" s="1"/>
  <c r="H29" i="5" s="1"/>
  <c r="F28" i="5"/>
  <c r="G28" i="5" s="1"/>
  <c r="H28" i="5" s="1"/>
  <c r="F27" i="5"/>
  <c r="G27" i="5" s="1"/>
  <c r="H27" i="5" s="1"/>
  <c r="F26" i="5"/>
  <c r="G26" i="5" s="1"/>
  <c r="H26" i="5" s="1"/>
  <c r="F25" i="5"/>
  <c r="G25" i="5" s="1"/>
  <c r="H25" i="5" s="1"/>
  <c r="G24" i="5"/>
  <c r="H24" i="5" s="1"/>
  <c r="F24" i="5"/>
  <c r="F21" i="5"/>
  <c r="G21" i="5" s="1"/>
  <c r="H21" i="5" s="1"/>
  <c r="F20" i="5"/>
  <c r="G20" i="5" s="1"/>
  <c r="H20" i="5" s="1"/>
  <c r="F19" i="5"/>
  <c r="G19" i="5" s="1"/>
  <c r="H19" i="5" s="1"/>
  <c r="F18" i="5"/>
  <c r="G18" i="5" s="1"/>
  <c r="H18" i="5" s="1"/>
  <c r="F17" i="5"/>
  <c r="G17" i="5" s="1"/>
  <c r="H17" i="5" s="1"/>
  <c r="F16" i="5"/>
  <c r="G16" i="5" s="1"/>
  <c r="H16" i="5" s="1"/>
  <c r="F13" i="5"/>
  <c r="G13" i="5" s="1"/>
  <c r="H13" i="5" s="1"/>
  <c r="F12" i="5"/>
  <c r="G12" i="5" s="1"/>
  <c r="H12" i="5" s="1"/>
  <c r="F11" i="5"/>
  <c r="G11" i="5" s="1"/>
  <c r="H11" i="5" s="1"/>
  <c r="F10" i="5"/>
  <c r="G10" i="5" s="1"/>
  <c r="H10" i="5" s="1"/>
  <c r="F9" i="5"/>
  <c r="G9" i="5" s="1"/>
  <c r="H9" i="5" s="1"/>
  <c r="F8" i="5"/>
  <c r="G8" i="5" s="1"/>
  <c r="H8" i="5" s="1"/>
  <c r="F7" i="5"/>
  <c r="G7" i="5" s="1"/>
  <c r="H7" i="5" s="1"/>
  <c r="F6" i="5"/>
  <c r="G6" i="5" s="1"/>
  <c r="H6" i="5" s="1"/>
  <c r="G4" i="5"/>
  <c r="H4" i="5" s="1"/>
  <c r="F34" i="4"/>
  <c r="G34" i="4" s="1"/>
  <c r="H34" i="4" s="1"/>
  <c r="F33" i="4"/>
  <c r="G33" i="4" s="1"/>
  <c r="H33" i="4" s="1"/>
  <c r="F32" i="4"/>
  <c r="G32" i="4" s="1"/>
  <c r="H32" i="4" s="1"/>
  <c r="G31" i="4"/>
  <c r="H31" i="4" s="1"/>
  <c r="F31" i="4"/>
  <c r="G30" i="4"/>
  <c r="H30" i="4" s="1"/>
  <c r="F30" i="4"/>
  <c r="F29" i="4"/>
  <c r="G29" i="4" s="1"/>
  <c r="H29" i="4" s="1"/>
  <c r="G28" i="4"/>
  <c r="J28" i="4" s="1"/>
  <c r="F28" i="4"/>
  <c r="F27" i="4"/>
  <c r="G27" i="4" s="1"/>
  <c r="H27" i="4" s="1"/>
  <c r="F26" i="4"/>
  <c r="G26" i="4" s="1"/>
  <c r="H26" i="4" s="1"/>
  <c r="F25" i="4"/>
  <c r="G25" i="4" s="1"/>
  <c r="H25" i="4" s="1"/>
  <c r="F24" i="4"/>
  <c r="G24" i="4" s="1"/>
  <c r="H24" i="4" s="1"/>
  <c r="F21" i="4"/>
  <c r="G21" i="4" s="1"/>
  <c r="G20" i="4"/>
  <c r="H20" i="4" s="1"/>
  <c r="F20" i="4"/>
  <c r="F19" i="4"/>
  <c r="G19" i="4" s="1"/>
  <c r="H19" i="4" s="1"/>
  <c r="G18" i="4"/>
  <c r="H18" i="4" s="1"/>
  <c r="F18" i="4"/>
  <c r="F17" i="4"/>
  <c r="G17" i="4" s="1"/>
  <c r="H17" i="4" s="1"/>
  <c r="F16" i="4"/>
  <c r="G16" i="4" s="1"/>
  <c r="H16" i="4" s="1"/>
  <c r="F13" i="4"/>
  <c r="G13" i="4" s="1"/>
  <c r="H13" i="4" s="1"/>
  <c r="F12" i="4"/>
  <c r="G12" i="4" s="1"/>
  <c r="H12" i="4" s="1"/>
  <c r="G11" i="4"/>
  <c r="H11" i="4" s="1"/>
  <c r="F11" i="4"/>
  <c r="G10" i="4"/>
  <c r="H10" i="4" s="1"/>
  <c r="F10" i="4"/>
  <c r="F9" i="4"/>
  <c r="G9" i="4" s="1"/>
  <c r="H9" i="4" s="1"/>
  <c r="F8" i="4"/>
  <c r="G8" i="4" s="1"/>
  <c r="F7" i="4"/>
  <c r="G7" i="4" s="1"/>
  <c r="H7" i="4" s="1"/>
  <c r="F6" i="4"/>
  <c r="G6" i="4" s="1"/>
  <c r="H6" i="4" s="1"/>
  <c r="G4" i="4"/>
  <c r="J4" i="4" s="1"/>
  <c r="F6" i="1"/>
  <c r="G6" i="1" s="1"/>
  <c r="H6" i="1" s="1"/>
  <c r="F34" i="1"/>
  <c r="G34" i="1" s="1"/>
  <c r="H34" i="1" s="1"/>
  <c r="F33" i="1"/>
  <c r="G33" i="1" s="1"/>
  <c r="H33" i="1" s="1"/>
  <c r="F32" i="1"/>
  <c r="G32" i="1" s="1"/>
  <c r="H32" i="1" s="1"/>
  <c r="F31" i="1"/>
  <c r="G31" i="1" s="1"/>
  <c r="H31" i="1" s="1"/>
  <c r="F30" i="1"/>
  <c r="G30" i="1" s="1"/>
  <c r="H30" i="1" s="1"/>
  <c r="F29" i="1"/>
  <c r="G29" i="1" s="1"/>
  <c r="H29" i="1" s="1"/>
  <c r="F28" i="1"/>
  <c r="G28" i="1" s="1"/>
  <c r="H28" i="1" s="1"/>
  <c r="F27" i="1"/>
  <c r="G27" i="1" s="1"/>
  <c r="H27" i="1" s="1"/>
  <c r="F26" i="1"/>
  <c r="G26" i="1" s="1"/>
  <c r="H26" i="1" s="1"/>
  <c r="F25" i="1"/>
  <c r="G25" i="1" s="1"/>
  <c r="H25" i="1" s="1"/>
  <c r="F24" i="1"/>
  <c r="G24" i="1" s="1"/>
  <c r="H24" i="1" s="1"/>
  <c r="F21" i="1"/>
  <c r="G21" i="1" s="1"/>
  <c r="H21" i="1" s="1"/>
  <c r="F20" i="1"/>
  <c r="G20" i="1" s="1"/>
  <c r="H20" i="1" s="1"/>
  <c r="F19" i="1"/>
  <c r="G19" i="1" s="1"/>
  <c r="H19" i="1" s="1"/>
  <c r="F18" i="1"/>
  <c r="G18" i="1" s="1"/>
  <c r="H18" i="1" s="1"/>
  <c r="F17" i="1"/>
  <c r="G17" i="1" s="1"/>
  <c r="H17" i="1" s="1"/>
  <c r="F16" i="1"/>
  <c r="G16" i="1" s="1"/>
  <c r="H16" i="1" s="1"/>
  <c r="F13" i="1"/>
  <c r="G13" i="1" s="1"/>
  <c r="H13" i="1" s="1"/>
  <c r="F12" i="1"/>
  <c r="G12" i="1" s="1"/>
  <c r="H12" i="1" s="1"/>
  <c r="F11" i="1"/>
  <c r="G11" i="1" s="1"/>
  <c r="H11" i="1" s="1"/>
  <c r="F10" i="1"/>
  <c r="G10" i="1" s="1"/>
  <c r="H10" i="1" s="1"/>
  <c r="F9" i="1"/>
  <c r="G9" i="1" s="1"/>
  <c r="H9" i="1" s="1"/>
  <c r="F8" i="1"/>
  <c r="G8" i="1" s="1"/>
  <c r="H8" i="1" s="1"/>
  <c r="F7" i="1"/>
  <c r="G7" i="1" s="1"/>
  <c r="H7" i="1" s="1"/>
  <c r="G4" i="1"/>
  <c r="H4" i="1" s="1"/>
  <c r="J28" i="1" l="1"/>
  <c r="J7" i="1"/>
  <c r="J9" i="1"/>
  <c r="J19" i="1"/>
  <c r="J29" i="1"/>
  <c r="J10" i="1"/>
  <c r="J20" i="1"/>
  <c r="J30" i="1"/>
  <c r="J11" i="1"/>
  <c r="J21" i="1"/>
  <c r="J31" i="1"/>
  <c r="J12" i="1"/>
  <c r="J24" i="1"/>
  <c r="J32" i="1"/>
  <c r="J4" i="1"/>
  <c r="J13" i="1"/>
  <c r="J25" i="1"/>
  <c r="J33" i="1"/>
  <c r="H8" i="4"/>
  <c r="J8" i="4"/>
  <c r="H21" i="4"/>
  <c r="J21" i="4"/>
  <c r="H28" i="4"/>
  <c r="J18" i="4"/>
  <c r="J9" i="4"/>
  <c r="J19" i="4"/>
  <c r="J29" i="4"/>
  <c r="J30" i="4"/>
  <c r="J10" i="4"/>
  <c r="J20" i="4"/>
  <c r="H4" i="4"/>
  <c r="J11" i="4"/>
  <c r="J31" i="4"/>
  <c r="J13" i="4"/>
  <c r="J25" i="4"/>
  <c r="J33" i="4"/>
</calcChain>
</file>

<file path=xl/sharedStrings.xml><?xml version="1.0" encoding="utf-8"?>
<sst xmlns="http://schemas.openxmlformats.org/spreadsheetml/2006/main" count="109" uniqueCount="40">
  <si>
    <t>Contract Line Items</t>
  </si>
  <si>
    <t>Proposed Item Name &amp; Brand</t>
  </si>
  <si>
    <t>Proposed Item Number</t>
  </si>
  <si>
    <t>Commercial Unit Price</t>
  </si>
  <si>
    <t>Proposed Discounted Unit Price</t>
  </si>
  <si>
    <t>Price Narrative citations (e.g. page numbers, paragraph numbers, sections)</t>
  </si>
  <si>
    <t>Example</t>
  </si>
  <si>
    <t>XYZ Buster</t>
  </si>
  <si>
    <t>3587761KDS</t>
  </si>
  <si>
    <t>CLIN X001 Hardware</t>
  </si>
  <si>
    <t xml:space="preserve">    SLIN X001AA: Persistent Counter Drone System (including all required hardware components such as drones, sensors, and communication devices)</t>
  </si>
  <si>
    <t xml:space="preserve">    SLIN X001AB: System Upgrades and End-of-Life Costs (Includes costs for hardware upgrades, decommissioning, and replacement of outdated components.)</t>
  </si>
  <si>
    <t xml:space="preserve">    SLIN X001AC: Backup Data Transfer Mechanism (Includes hardware components for redundancy to ensure operational continuity.)</t>
  </si>
  <si>
    <t xml:space="preserve">    SLIN X001AD: Accessories (Includes batteries, chargers, spare parts, and other ancillary hardware required for system operation.)</t>
  </si>
  <si>
    <t>CLIN X002 Software/Licensing</t>
  </si>
  <si>
    <t xml:space="preserve">    SLIN X002AA: Operating Software (Includes user interface functionality, real-time data processing capabilities, and licensing fees for the counter drone system.)</t>
  </si>
  <si>
    <t xml:space="preserve">    SLIN X002AB: Software Updates and Threat Library Updates (Includes testing, validation, and deployment of updates to ensure system functionality and interoperability.)</t>
  </si>
  <si>
    <t xml:space="preserve">    SLIN X002AC: Licensing Flexibility and Renewal Costs (Includes recurring licensing fees and provisions for flexibility in licensing agreements.)</t>
  </si>
  <si>
    <t>CLIN X003: Support</t>
  </si>
  <si>
    <t xml:space="preserve">    SLIN X003AA: Year 1 Maintenance for Hardware (Includes routine checks, troubleshooting, repairs, and operational support for hardware components.)</t>
  </si>
  <si>
    <t xml:space="preserve">    SLIN X003AB: Year 1 Maintenance for Software (Includes updates, patches, troubleshooting, and operational support for software components.)</t>
  </si>
  <si>
    <t xml:space="preserve">    SLIN X003AC: On-Call Operational Support (Includes technical assistance during deployment and operation.)</t>
  </si>
  <si>
    <t xml:space="preserve">    SLIN X003AD: Initial Training Session (Includes training for Government personnel within 5 days of hardware delivery to ensure rapid operational readiness.)</t>
  </si>
  <si>
    <t xml:space="preserve">    SLIN X003AE: Follow-Up Training Session (Includes training for Government personnel 6 months after the initial session to reinforce knowledge and address operational challenges.)</t>
  </si>
  <si>
    <t>Federal Contract Page 15</t>
  </si>
  <si>
    <t xml:space="preserve">    SLIN X003AF: Installation Services (Includes site survey, installation of hardware or software, and system testing/validation to ensure proper setup and integration with existing infrastructure.)</t>
  </si>
  <si>
    <t>Item/Service Category</t>
  </si>
  <si>
    <t>Discount Application</t>
  </si>
  <si>
    <t>Minimum Discount applied to Commercial MSRP; further discounts may be provided at Order level</t>
  </si>
  <si>
    <t>Federal Contract Unit Price (only if applicable)</t>
  </si>
  <si>
    <t xml:space="preserve">Attachment J-1 - Track 1 Pricing Schedule for Hardware/ Software &amp; Ancillary Services </t>
  </si>
  <si>
    <t>Use Case # 1: Fixed Location, Scenario for Persistent Drone Coverage System</t>
  </si>
  <si>
    <t>Use Case # 2: Mobile Response for Rapidly Deployed Drone Coverage System for NSSE or SEAR</t>
  </si>
  <si>
    <t>Use Case # 3: Mobile Response in Maritime Environment for Naval-Borne Persistent Drone Coverage System</t>
  </si>
  <si>
    <t>Proposed Discount off Commercial Price (%)</t>
  </si>
  <si>
    <t>Discount Off Federal Contract Price (%)</t>
  </si>
  <si>
    <t>Proposed Minimum Discount for the
Base and All Optional Ordering Periods</t>
  </si>
  <si>
    <r>
      <t>This worksheet provides a description of the (3) Track 1 Categories (</t>
    </r>
    <r>
      <rPr>
        <sz val="12"/>
        <color rgb="FFFF0000"/>
        <rFont val="Times New Roman"/>
        <family val="1"/>
      </rPr>
      <t xml:space="preserve">Commercial </t>
    </r>
    <r>
      <rPr>
        <sz val="12"/>
        <color theme="1"/>
        <rFont val="Times New Roman"/>
        <family val="1"/>
      </rPr>
      <t xml:space="preserve">Hardware, Software, and Support), a description on application of discounts, and the Offeror’s proposed discounts.  Offerors are instructed to provide their inputs ONLY in the yellow highlighted cells, Column D. The Offeror’s proposed discounts will be automatically applied to the corresponding Use Case Scenario Tabs.  The discounts found in Columns D are minimum discounts that shall be applied at the Task Order level. Offerors are encouraged to offer additional discounts at the Task Order level.   </t>
    </r>
  </si>
  <si>
    <t>Proposed Quantity</t>
  </si>
  <si>
    <t>Extended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</si>
</sst>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15" x14ac:knownFonts="1">
    <font>
      <sz val="11"/>
      <color theme="1"/>
      <name val="Aptos Narrow"/>
      <family val="2"/>
      <scheme val="minor"/>
    </font>
    <font>
      <sz val="11"/>
      <color theme="1"/>
      <name val="Aptos Narrow"/>
      <family val="2"/>
      <scheme val="minor"/>
    </font>
    <font>
      <sz val="11"/>
      <name val="Aptos Narrow"/>
      <family val="2"/>
      <scheme val="minor"/>
    </font>
    <font>
      <sz val="10"/>
      <name val="Arial"/>
      <family val="2"/>
    </font>
    <font>
      <sz val="8"/>
      <name val="Arial"/>
      <family val="2"/>
    </font>
    <font>
      <b/>
      <sz val="8"/>
      <name val="Times New Roman"/>
      <family val="1"/>
    </font>
    <font>
      <sz val="11"/>
      <name val="Times New Roman"/>
      <family val="1"/>
    </font>
    <font>
      <b/>
      <sz val="8"/>
      <name val="Arial"/>
      <family val="2"/>
    </font>
    <font>
      <b/>
      <sz val="11"/>
      <name val="Times New Roman"/>
      <family val="1"/>
    </font>
    <font>
      <b/>
      <sz val="10"/>
      <name val="Times New Roman"/>
      <family val="1"/>
    </font>
    <font>
      <b/>
      <sz val="12"/>
      <name val="Times New Roman"/>
      <family val="1"/>
    </font>
    <font>
      <sz val="8"/>
      <name val="Times New Roman"/>
      <family val="1"/>
    </font>
    <font>
      <sz val="12"/>
      <color theme="1"/>
      <name val="Times New Roman"/>
      <family val="1"/>
    </font>
    <font>
      <b/>
      <sz val="12"/>
      <color theme="1"/>
      <name val="Times New Roman"/>
      <family val="1"/>
    </font>
    <font>
      <sz val="12"/>
      <color rgb="FFFF0000"/>
      <name val="Times New Roman"/>
      <family val="1"/>
    </font>
  </fonts>
  <fills count="13">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2" tint="-9.9978637043366805E-2"/>
        <bgColor indexed="26"/>
      </patternFill>
    </fill>
    <fill>
      <patternFill patternType="solid">
        <fgColor theme="2" tint="-9.9978637043366805E-2"/>
        <bgColor indexed="64"/>
      </patternFill>
    </fill>
    <fill>
      <patternFill patternType="solid">
        <fgColor theme="1"/>
        <bgColor indexed="26"/>
      </patternFill>
    </fill>
    <fill>
      <patternFill patternType="solid">
        <fgColor rgb="FFFFFF00"/>
        <bgColor indexed="26"/>
      </patternFill>
    </fill>
    <fill>
      <patternFill patternType="solid">
        <fgColor theme="7" tint="0.59999389629810485"/>
        <bgColor indexed="9"/>
      </patternFill>
    </fill>
    <fill>
      <patternFill patternType="solid">
        <fgColor rgb="FFCCECFF"/>
        <bgColor indexed="9"/>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17">
    <xf numFmtId="0" fontId="0" fillId="0" borderId="0" xfId="0"/>
    <xf numFmtId="0" fontId="2" fillId="0" borderId="0" xfId="0" applyFont="1"/>
    <xf numFmtId="164" fontId="3" fillId="0" borderId="0" xfId="0" applyNumberFormat="1" applyFont="1"/>
    <xf numFmtId="9" fontId="3" fillId="0" borderId="0" xfId="1" applyFont="1" applyProtection="1"/>
    <xf numFmtId="0" fontId="2" fillId="0" borderId="0" xfId="0" applyFont="1" applyAlignment="1" applyProtection="1">
      <alignment wrapText="1"/>
      <protection locked="0"/>
    </xf>
    <xf numFmtId="0" fontId="2" fillId="0" borderId="0" xfId="0" applyFont="1" applyAlignment="1">
      <alignment wrapText="1"/>
    </xf>
    <xf numFmtId="164" fontId="3" fillId="0" borderId="0" xfId="1" applyNumberFormat="1" applyFont="1" applyProtection="1"/>
    <xf numFmtId="165" fontId="4" fillId="0" borderId="0" xfId="0" applyNumberFormat="1" applyFont="1"/>
    <xf numFmtId="164" fontId="4" fillId="0" borderId="0" xfId="0" applyNumberFormat="1" applyFont="1" applyProtection="1">
      <protection locked="0"/>
    </xf>
    <xf numFmtId="0" fontId="4" fillId="0" borderId="0" xfId="0" applyFont="1" applyAlignment="1" applyProtection="1">
      <alignment horizontal="center" wrapText="1"/>
      <protection locked="0"/>
    </xf>
    <xf numFmtId="0" fontId="6" fillId="0" borderId="0" xfId="0" applyFont="1" applyAlignment="1">
      <alignment wrapText="1"/>
    </xf>
    <xf numFmtId="165" fontId="4" fillId="2" borderId="1" xfId="0" applyNumberFormat="1" applyFont="1" applyFill="1" applyBorder="1"/>
    <xf numFmtId="0" fontId="4" fillId="2" borderId="3" xfId="0" applyFont="1" applyFill="1" applyBorder="1" applyAlignment="1" applyProtection="1">
      <alignment horizontal="center" wrapText="1"/>
      <protection locked="0"/>
    </xf>
    <xf numFmtId="0" fontId="4" fillId="2" borderId="1" xfId="0" applyFont="1" applyFill="1" applyBorder="1" applyAlignment="1" applyProtection="1">
      <alignment horizontal="center" wrapText="1"/>
      <protection locked="0"/>
    </xf>
    <xf numFmtId="0" fontId="6" fillId="2" borderId="2" xfId="0" applyFont="1" applyFill="1" applyBorder="1" applyAlignment="1">
      <alignment wrapText="1"/>
    </xf>
    <xf numFmtId="165" fontId="4" fillId="3" borderId="1" xfId="0" applyNumberFormat="1" applyFont="1" applyFill="1" applyBorder="1"/>
    <xf numFmtId="0" fontId="4" fillId="3" borderId="3" xfId="0" applyFont="1" applyFill="1" applyBorder="1" applyAlignment="1" applyProtection="1">
      <alignment horizontal="center" wrapText="1"/>
      <protection locked="0"/>
    </xf>
    <xf numFmtId="0" fontId="4" fillId="3" borderId="1" xfId="0" applyFont="1" applyFill="1" applyBorder="1" applyAlignment="1" applyProtection="1">
      <alignment horizontal="center" wrapText="1"/>
      <protection locked="0"/>
    </xf>
    <xf numFmtId="0" fontId="6" fillId="0" borderId="2" xfId="0" applyFont="1" applyBorder="1" applyAlignment="1">
      <alignment wrapText="1"/>
    </xf>
    <xf numFmtId="0" fontId="6" fillId="3" borderId="2" xfId="0" applyFont="1" applyFill="1" applyBorder="1" applyAlignment="1">
      <alignment wrapText="1"/>
    </xf>
    <xf numFmtId="0" fontId="7" fillId="4" borderId="4" xfId="0" applyFont="1" applyFill="1" applyBorder="1"/>
    <xf numFmtId="0" fontId="7" fillId="4" borderId="5" xfId="0" applyFont="1" applyFill="1" applyBorder="1" applyAlignment="1">
      <alignment wrapText="1"/>
    </xf>
    <xf numFmtId="0" fontId="8" fillId="5" borderId="2" xfId="0" applyFont="1" applyFill="1" applyBorder="1" applyAlignment="1">
      <alignment wrapText="1"/>
    </xf>
    <xf numFmtId="0" fontId="4" fillId="2" borderId="3" xfId="0" applyFont="1" applyFill="1" applyBorder="1"/>
    <xf numFmtId="0" fontId="7" fillId="6" borderId="5" xfId="0" applyFont="1" applyFill="1" applyBorder="1" applyAlignment="1">
      <alignment wrapText="1"/>
    </xf>
    <xf numFmtId="0" fontId="7" fillId="6" borderId="1" xfId="0" applyFont="1" applyFill="1" applyBorder="1" applyAlignment="1">
      <alignment wrapText="1"/>
    </xf>
    <xf numFmtId="0" fontId="4" fillId="3" borderId="5" xfId="0" applyFont="1" applyFill="1" applyBorder="1" applyAlignment="1" applyProtection="1">
      <alignment horizontal="center" wrapText="1"/>
      <protection locked="0"/>
    </xf>
    <xf numFmtId="0" fontId="6" fillId="3" borderId="6" xfId="0" applyFont="1" applyFill="1" applyBorder="1" applyAlignment="1">
      <alignment wrapText="1"/>
    </xf>
    <xf numFmtId="0" fontId="4" fillId="7" borderId="3" xfId="0" applyFont="1" applyFill="1" applyBorder="1" applyAlignment="1" applyProtection="1">
      <alignment horizontal="center" wrapText="1"/>
      <protection locked="0"/>
    </xf>
    <xf numFmtId="0" fontId="4" fillId="7" borderId="1" xfId="0" applyFont="1" applyFill="1" applyBorder="1" applyAlignment="1" applyProtection="1">
      <alignment horizontal="center" wrapText="1"/>
      <protection locked="0"/>
    </xf>
    <xf numFmtId="0" fontId="7" fillId="4" borderId="7" xfId="0" applyFont="1" applyFill="1" applyBorder="1"/>
    <xf numFmtId="0" fontId="7" fillId="4" borderId="8" xfId="0" applyFont="1" applyFill="1" applyBorder="1" applyAlignment="1">
      <alignment wrapText="1"/>
    </xf>
    <xf numFmtId="0" fontId="8" fillId="5" borderId="9" xfId="0" applyFont="1" applyFill="1" applyBorder="1" applyAlignment="1">
      <alignment wrapText="1"/>
    </xf>
    <xf numFmtId="0" fontId="3" fillId="0" borderId="0" xfId="0" applyFont="1"/>
    <xf numFmtId="0" fontId="9" fillId="8" borderId="1" xfId="0" applyFont="1" applyFill="1" applyBorder="1" applyAlignment="1">
      <alignment wrapText="1"/>
    </xf>
    <xf numFmtId="164" fontId="5" fillId="9" borderId="10" xfId="0" applyNumberFormat="1" applyFont="1" applyFill="1" applyBorder="1" applyAlignment="1">
      <alignment horizontal="center" wrapText="1"/>
    </xf>
    <xf numFmtId="164" fontId="5" fillId="9" borderId="11" xfId="0" applyNumberFormat="1" applyFont="1" applyFill="1" applyBorder="1" applyAlignment="1">
      <alignment horizontal="center" wrapText="1"/>
    </xf>
    <xf numFmtId="164" fontId="5" fillId="9" borderId="9" xfId="0" applyNumberFormat="1" applyFont="1" applyFill="1" applyBorder="1" applyAlignment="1">
      <alignment horizontal="center" wrapText="1"/>
    </xf>
    <xf numFmtId="0" fontId="9" fillId="9" borderId="12" xfId="0" applyFont="1" applyFill="1" applyBorder="1" applyAlignment="1">
      <alignment wrapText="1"/>
    </xf>
    <xf numFmtId="0" fontId="9" fillId="9" borderId="11" xfId="0" applyFont="1" applyFill="1" applyBorder="1" applyAlignment="1">
      <alignment wrapText="1"/>
    </xf>
    <xf numFmtId="0" fontId="10" fillId="9" borderId="11" xfId="0" applyFont="1" applyFill="1" applyBorder="1" applyAlignment="1">
      <alignment wrapText="1"/>
    </xf>
    <xf numFmtId="0" fontId="10" fillId="9" borderId="13" xfId="0" applyFont="1" applyFill="1" applyBorder="1" applyAlignment="1">
      <alignment horizontal="center"/>
    </xf>
    <xf numFmtId="0" fontId="10" fillId="9" borderId="8" xfId="0" applyFont="1" applyFill="1" applyBorder="1" applyAlignment="1">
      <alignment horizontal="center" wrapText="1"/>
    </xf>
    <xf numFmtId="0" fontId="10" fillId="9" borderId="14" xfId="0" applyFont="1" applyFill="1" applyBorder="1" applyAlignment="1">
      <alignment horizontal="center"/>
    </xf>
    <xf numFmtId="0" fontId="10" fillId="9" borderId="15" xfId="0" applyFont="1" applyFill="1" applyBorder="1" applyAlignment="1">
      <alignment horizontal="center" wrapText="1"/>
    </xf>
    <xf numFmtId="0" fontId="10" fillId="9" borderId="8" xfId="0" applyFont="1" applyFill="1" applyBorder="1" applyAlignment="1">
      <alignment horizontal="center"/>
    </xf>
    <xf numFmtId="10" fontId="10" fillId="9" borderId="8" xfId="1" applyNumberFormat="1" applyFont="1" applyFill="1" applyBorder="1" applyAlignment="1">
      <alignment horizontal="center" wrapText="1"/>
    </xf>
    <xf numFmtId="10" fontId="5" fillId="9" borderId="13" xfId="1" applyNumberFormat="1" applyFont="1" applyFill="1" applyBorder="1" applyAlignment="1">
      <alignment horizontal="center" wrapText="1"/>
    </xf>
    <xf numFmtId="10" fontId="7" fillId="4" borderId="6" xfId="1" applyNumberFormat="1" applyFont="1" applyFill="1" applyBorder="1"/>
    <xf numFmtId="10" fontId="4" fillId="0" borderId="6" xfId="1" applyNumberFormat="1" applyFont="1" applyFill="1" applyBorder="1" applyProtection="1">
      <protection locked="0"/>
    </xf>
    <xf numFmtId="10" fontId="4" fillId="2" borderId="6" xfId="1" applyNumberFormat="1" applyFont="1" applyFill="1" applyBorder="1"/>
    <xf numFmtId="10" fontId="4" fillId="2" borderId="6" xfId="1" applyNumberFormat="1" applyFont="1" applyFill="1" applyBorder="1" applyProtection="1">
      <protection locked="0"/>
    </xf>
    <xf numFmtId="10" fontId="4" fillId="0" borderId="0" xfId="1" applyNumberFormat="1" applyFont="1" applyProtection="1">
      <protection locked="0"/>
    </xf>
    <xf numFmtId="10" fontId="3" fillId="0" borderId="0" xfId="1" applyNumberFormat="1" applyFont="1"/>
    <xf numFmtId="0" fontId="10" fillId="9" borderId="15" xfId="0" applyFont="1" applyFill="1" applyBorder="1" applyAlignment="1">
      <alignment horizontal="center"/>
    </xf>
    <xf numFmtId="0" fontId="10" fillId="9" borderId="15" xfId="0" applyFont="1" applyFill="1" applyBorder="1" applyAlignment="1">
      <alignment horizontal="center"/>
    </xf>
    <xf numFmtId="0" fontId="9" fillId="8" borderId="3" xfId="0" applyFont="1" applyFill="1" applyBorder="1" applyAlignment="1">
      <alignment wrapText="1"/>
    </xf>
    <xf numFmtId="44" fontId="9" fillId="8" borderId="1" xfId="2" applyFont="1" applyFill="1" applyBorder="1" applyAlignment="1">
      <alignment horizontal="center" wrapText="1"/>
    </xf>
    <xf numFmtId="44" fontId="7" fillId="4" borderId="1" xfId="2" applyFont="1" applyFill="1" applyBorder="1" applyAlignment="1">
      <alignment horizontal="center" wrapText="1"/>
    </xf>
    <xf numFmtId="44" fontId="4" fillId="3" borderId="1" xfId="2" applyFont="1" applyFill="1" applyBorder="1" applyAlignment="1" applyProtection="1">
      <alignment horizontal="center" wrapText="1"/>
      <protection locked="0"/>
    </xf>
    <xf numFmtId="44" fontId="7" fillId="6" borderId="1" xfId="2" applyFont="1" applyFill="1" applyBorder="1" applyAlignment="1">
      <alignment horizontal="center" wrapText="1"/>
    </xf>
    <xf numFmtId="44" fontId="4" fillId="7" borderId="1" xfId="2" applyFont="1" applyFill="1" applyBorder="1" applyAlignment="1" applyProtection="1">
      <alignment horizontal="center" wrapText="1"/>
      <protection locked="0"/>
    </xf>
    <xf numFmtId="44" fontId="7" fillId="4" borderId="6" xfId="2" applyFont="1" applyFill="1" applyBorder="1"/>
    <xf numFmtId="44" fontId="4" fillId="3" borderId="6" xfId="2" applyFont="1" applyFill="1" applyBorder="1" applyProtection="1">
      <protection locked="0"/>
    </xf>
    <xf numFmtId="44" fontId="4" fillId="2" borderId="6" xfId="2" applyFont="1" applyFill="1" applyBorder="1"/>
    <xf numFmtId="44" fontId="4" fillId="2" borderId="5" xfId="2" applyFont="1" applyFill="1" applyBorder="1" applyAlignment="1" applyProtection="1">
      <alignment horizontal="center" wrapText="1"/>
      <protection locked="0"/>
    </xf>
    <xf numFmtId="44" fontId="4" fillId="2" borderId="2" xfId="2" applyFont="1" applyFill="1" applyBorder="1" applyProtection="1">
      <protection locked="0"/>
    </xf>
    <xf numFmtId="44" fontId="7" fillId="4" borderId="1" xfId="2" applyFont="1" applyFill="1" applyBorder="1"/>
    <xf numFmtId="44" fontId="4" fillId="2" borderId="1" xfId="2" applyFont="1" applyFill="1" applyBorder="1"/>
    <xf numFmtId="44" fontId="4" fillId="2" borderId="1" xfId="2" applyFont="1" applyFill="1" applyBorder="1" applyProtection="1">
      <protection locked="0"/>
    </xf>
    <xf numFmtId="44" fontId="9" fillId="8" borderId="6" xfId="2" applyFont="1" applyFill="1" applyBorder="1" applyAlignment="1">
      <alignment horizontal="center" wrapText="1"/>
    </xf>
    <xf numFmtId="10" fontId="9" fillId="8" borderId="6" xfId="1" applyNumberFormat="1" applyFont="1" applyFill="1" applyBorder="1" applyAlignment="1">
      <alignment horizontal="center" wrapText="1"/>
    </xf>
    <xf numFmtId="0" fontId="9" fillId="8" borderId="1" xfId="0" applyFont="1" applyFill="1" applyBorder="1" applyAlignment="1">
      <alignment horizontal="center" wrapText="1"/>
    </xf>
    <xf numFmtId="44" fontId="7" fillId="4" borderId="8" xfId="2" applyFont="1" applyFill="1" applyBorder="1"/>
    <xf numFmtId="44" fontId="4" fillId="2" borderId="3" xfId="2" applyFont="1" applyFill="1" applyBorder="1"/>
    <xf numFmtId="44" fontId="7" fillId="4" borderId="5" xfId="2" applyFont="1" applyFill="1" applyBorder="1"/>
    <xf numFmtId="9" fontId="5" fillId="9" borderId="20" xfId="1" applyFont="1" applyFill="1" applyBorder="1" applyAlignment="1" applyProtection="1">
      <alignment horizontal="center" wrapText="1"/>
    </xf>
    <xf numFmtId="9" fontId="5" fillId="12" borderId="21" xfId="1" applyFont="1" applyFill="1" applyBorder="1" applyAlignment="1" applyProtection="1">
      <alignment horizontal="center" wrapText="1"/>
    </xf>
    <xf numFmtId="9" fontId="11" fillId="0" borderId="21" xfId="1" applyFont="1" applyFill="1" applyBorder="1" applyAlignment="1" applyProtection="1">
      <alignment horizontal="center" wrapText="1"/>
    </xf>
    <xf numFmtId="0" fontId="12" fillId="0" borderId="0" xfId="0" applyFont="1"/>
    <xf numFmtId="0" fontId="13" fillId="11" borderId="19"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2" xfId="0" applyFont="1" applyBorder="1" applyAlignment="1">
      <alignment horizontal="center" vertical="center" wrapText="1"/>
    </xf>
    <xf numFmtId="9" fontId="12" fillId="3" borderId="1" xfId="1" applyFont="1" applyFill="1" applyBorder="1" applyProtection="1">
      <protection locked="0"/>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44" fontId="5" fillId="0" borderId="1" xfId="2" applyFont="1" applyFill="1" applyBorder="1" applyAlignment="1">
      <alignment horizontal="center" wrapText="1"/>
    </xf>
    <xf numFmtId="1" fontId="10" fillId="9" borderId="15" xfId="0" applyNumberFormat="1" applyFont="1" applyFill="1" applyBorder="1" applyAlignment="1">
      <alignment horizontal="center"/>
    </xf>
    <xf numFmtId="1" fontId="10" fillId="9" borderId="8" xfId="0" applyNumberFormat="1" applyFont="1" applyFill="1" applyBorder="1" applyAlignment="1">
      <alignment horizontal="center"/>
    </xf>
    <xf numFmtId="1" fontId="5" fillId="9" borderId="22" xfId="1" applyNumberFormat="1" applyFont="1" applyFill="1" applyBorder="1" applyAlignment="1" applyProtection="1">
      <alignment horizontal="center" wrapText="1"/>
    </xf>
    <xf numFmtId="1" fontId="5" fillId="12" borderId="3" xfId="1" applyNumberFormat="1" applyFont="1" applyFill="1" applyBorder="1" applyAlignment="1" applyProtection="1">
      <alignment horizontal="center" wrapText="1"/>
    </xf>
    <xf numFmtId="1" fontId="7" fillId="4" borderId="8" xfId="2" applyNumberFormat="1" applyFont="1" applyFill="1" applyBorder="1"/>
    <xf numFmtId="1" fontId="11" fillId="3" borderId="3" xfId="1" applyNumberFormat="1" applyFont="1" applyFill="1" applyBorder="1" applyAlignment="1" applyProtection="1">
      <alignment horizontal="center" wrapText="1"/>
    </xf>
    <xf numFmtId="1" fontId="4" fillId="2" borderId="3" xfId="2" applyNumberFormat="1" applyFont="1" applyFill="1" applyBorder="1"/>
    <xf numFmtId="1" fontId="7" fillId="4" borderId="5" xfId="2" applyNumberFormat="1" applyFont="1" applyFill="1" applyBorder="1"/>
    <xf numFmtId="1" fontId="4" fillId="2" borderId="1" xfId="2" applyNumberFormat="1" applyFont="1" applyFill="1" applyBorder="1" applyProtection="1">
      <protection locked="0"/>
    </xf>
    <xf numFmtId="1" fontId="4" fillId="0" borderId="0" xfId="0" applyNumberFormat="1" applyFont="1" applyProtection="1">
      <protection locked="0"/>
    </xf>
    <xf numFmtId="1" fontId="3" fillId="0" borderId="0" xfId="1" applyNumberFormat="1" applyFont="1" applyProtection="1"/>
    <xf numFmtId="44" fontId="10" fillId="9" borderId="15" xfId="2" applyFont="1" applyFill="1" applyBorder="1" applyAlignment="1">
      <alignment horizontal="center"/>
    </xf>
    <xf numFmtId="44" fontId="10" fillId="9" borderId="8" xfId="2" applyFont="1" applyFill="1" applyBorder="1" applyAlignment="1">
      <alignment horizontal="center"/>
    </xf>
    <xf numFmtId="44" fontId="5" fillId="9" borderId="22" xfId="2" applyFont="1" applyFill="1" applyBorder="1" applyAlignment="1" applyProtection="1">
      <alignment horizontal="center" wrapText="1"/>
    </xf>
    <xf numFmtId="44" fontId="5" fillId="12" borderId="3" xfId="2" applyFont="1" applyFill="1" applyBorder="1" applyAlignment="1" applyProtection="1">
      <alignment horizontal="center" wrapText="1"/>
    </xf>
    <xf numFmtId="44" fontId="4" fillId="0" borderId="0" xfId="2" applyFont="1" applyProtection="1">
      <protection locked="0"/>
    </xf>
    <xf numFmtId="44" fontId="3" fillId="0" borderId="0" xfId="2" applyFont="1" applyProtection="1"/>
    <xf numFmtId="44" fontId="5" fillId="0" borderId="3" xfId="2" applyFont="1" applyFill="1" applyBorder="1" applyAlignment="1" applyProtection="1">
      <alignment horizontal="center" wrapText="1"/>
    </xf>
    <xf numFmtId="0" fontId="12" fillId="10" borderId="3" xfId="0" applyFont="1" applyFill="1" applyBorder="1" applyAlignment="1">
      <alignment horizontal="left" vertical="top" wrapText="1"/>
    </xf>
    <xf numFmtId="0" fontId="12" fillId="10" borderId="5" xfId="0" applyFont="1" applyFill="1" applyBorder="1" applyAlignment="1">
      <alignment horizontal="left" vertical="top" wrapText="1"/>
    </xf>
    <xf numFmtId="0" fontId="12" fillId="10" borderId="6" xfId="0" applyFont="1" applyFill="1" applyBorder="1" applyAlignment="1">
      <alignment horizontal="left" vertical="top"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0" fillId="9" borderId="15" xfId="0" applyFont="1" applyFill="1" applyBorder="1" applyAlignment="1">
      <alignment horizontal="center"/>
    </xf>
    <xf numFmtId="0" fontId="10" fillId="9" borderId="16" xfId="0" applyFont="1" applyFill="1" applyBorder="1" applyAlignment="1">
      <alignment horizontal="left" wrapText="1"/>
    </xf>
    <xf numFmtId="0" fontId="10" fillId="9" borderId="15" xfId="0" applyFont="1" applyFill="1" applyBorder="1" applyAlignment="1">
      <alignment horizontal="left" wrapText="1"/>
    </xf>
    <xf numFmtId="0" fontId="10" fillId="9" borderId="12" xfId="0" applyFont="1" applyFill="1" applyBorder="1" applyAlignment="1">
      <alignment horizontal="left" wrapText="1"/>
    </xf>
    <xf numFmtId="0" fontId="10" fillId="9" borderId="8" xfId="0" applyFont="1" applyFill="1" applyBorder="1" applyAlignment="1">
      <alignment horizontal="left" wrapText="1"/>
    </xf>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DC91-D71F-456D-B030-230D03CAD992}">
  <sheetPr>
    <pageSetUpPr fitToPage="1"/>
  </sheetPr>
  <dimension ref="A1:C6"/>
  <sheetViews>
    <sheetView workbookViewId="0">
      <selection activeCell="D13" sqref="D13"/>
    </sheetView>
  </sheetViews>
  <sheetFormatPr defaultColWidth="8.81640625" defaultRowHeight="15.5" x14ac:dyDescent="0.35"/>
  <cols>
    <col min="1" max="1" width="20" style="79" customWidth="1"/>
    <col min="2" max="2" width="44.453125" style="79" customWidth="1"/>
    <col min="3" max="3" width="26.08984375" style="79" customWidth="1"/>
    <col min="4" max="16384" width="8.81640625" style="79"/>
  </cols>
  <sheetData>
    <row r="1" spans="1:3" ht="98.5" customHeight="1" x14ac:dyDescent="0.35">
      <c r="A1" s="107" t="s">
        <v>37</v>
      </c>
      <c r="B1" s="108"/>
      <c r="C1" s="109"/>
    </row>
    <row r="2" spans="1:3" ht="60.5" thickBot="1" x14ac:dyDescent="0.4">
      <c r="A2" s="80" t="s">
        <v>26</v>
      </c>
      <c r="B2" s="81" t="s">
        <v>27</v>
      </c>
      <c r="C2" s="81" t="s">
        <v>36</v>
      </c>
    </row>
    <row r="3" spans="1:3" ht="16" thickBot="1" x14ac:dyDescent="0.4">
      <c r="A3" s="110"/>
      <c r="B3" s="111"/>
      <c r="C3" s="82"/>
    </row>
    <row r="4" spans="1:3" ht="46.5" x14ac:dyDescent="0.35">
      <c r="A4" s="83" t="s">
        <v>9</v>
      </c>
      <c r="B4" s="84" t="s">
        <v>28</v>
      </c>
      <c r="C4" s="85"/>
    </row>
    <row r="5" spans="1:3" ht="46.5" x14ac:dyDescent="0.35">
      <c r="A5" s="86" t="s">
        <v>14</v>
      </c>
      <c r="B5" s="87" t="s">
        <v>28</v>
      </c>
      <c r="C5" s="85"/>
    </row>
    <row r="6" spans="1:3" ht="46.5" x14ac:dyDescent="0.35">
      <c r="A6" s="86" t="s">
        <v>18</v>
      </c>
      <c r="B6" s="87" t="s">
        <v>28</v>
      </c>
      <c r="C6" s="85"/>
    </row>
  </sheetData>
  <mergeCells count="2">
    <mergeCell ref="A1:C1"/>
    <mergeCell ref="A3:B3"/>
  </mergeCells>
  <pageMargins left="0.7" right="0.7" top="0.75" bottom="0.75" header="0.3" footer="0.3"/>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FF49-9E74-48A3-8350-A6769171B0FF}">
  <sheetPr>
    <pageSetUpPr fitToPage="1"/>
  </sheetPr>
  <dimension ref="A1:K37"/>
  <sheetViews>
    <sheetView tabSelected="1" view="pageLayout" zoomScaleNormal="100" workbookViewId="0">
      <selection activeCell="I24" sqref="I24"/>
    </sheetView>
  </sheetViews>
  <sheetFormatPr defaultColWidth="9.26953125" defaultRowHeight="14.5" x14ac:dyDescent="0.35"/>
  <cols>
    <col min="1" max="1" width="72.7265625" style="5" customWidth="1"/>
    <col min="2" max="2" width="27.54296875" style="4" customWidth="1"/>
    <col min="3" max="3" width="23.54296875" style="4" customWidth="1"/>
    <col min="4" max="4" width="12.6328125" style="4" customWidth="1"/>
    <col min="5" max="5" width="11.36328125" style="2" customWidth="1"/>
    <col min="6" max="6" width="10.54296875" style="53" customWidth="1"/>
    <col min="7" max="8" width="11.7265625" style="3" customWidth="1"/>
    <col min="9" max="9" width="11.7265625" style="99" customWidth="1"/>
    <col min="10" max="10" width="11.7265625" style="105" customWidth="1"/>
    <col min="11" max="11" width="19" style="1" customWidth="1"/>
    <col min="12" max="16384" width="9.26953125" style="1"/>
  </cols>
  <sheetData>
    <row r="1" spans="1:11" s="33" customFormat="1" ht="15" x14ac:dyDescent="0.3">
      <c r="A1" s="113" t="s">
        <v>30</v>
      </c>
      <c r="B1" s="114"/>
      <c r="C1" s="44"/>
      <c r="D1" s="44"/>
      <c r="E1" s="112"/>
      <c r="F1" s="112"/>
      <c r="G1" s="112"/>
      <c r="H1" s="54"/>
      <c r="I1" s="89"/>
      <c r="J1" s="100"/>
      <c r="K1" s="43"/>
    </row>
    <row r="2" spans="1:11" s="33" customFormat="1" ht="15" x14ac:dyDescent="0.3">
      <c r="A2" s="115" t="s">
        <v>31</v>
      </c>
      <c r="B2" s="116"/>
      <c r="C2" s="42"/>
      <c r="D2" s="42"/>
      <c r="E2" s="42"/>
      <c r="F2" s="46"/>
      <c r="G2" s="45"/>
      <c r="H2" s="45"/>
      <c r="I2" s="90"/>
      <c r="J2" s="101"/>
      <c r="K2" s="41"/>
    </row>
    <row r="3" spans="1:11" s="33" customFormat="1" ht="46.5" customHeight="1" x14ac:dyDescent="0.3">
      <c r="A3" s="40" t="s">
        <v>0</v>
      </c>
      <c r="B3" s="39" t="s">
        <v>1</v>
      </c>
      <c r="C3" s="38" t="s">
        <v>2</v>
      </c>
      <c r="D3" s="36" t="s">
        <v>29</v>
      </c>
      <c r="E3" s="37" t="s">
        <v>3</v>
      </c>
      <c r="F3" s="47" t="s">
        <v>34</v>
      </c>
      <c r="G3" s="36" t="s">
        <v>4</v>
      </c>
      <c r="H3" s="76" t="s">
        <v>35</v>
      </c>
      <c r="I3" s="91" t="s">
        <v>38</v>
      </c>
      <c r="J3" s="102" t="s">
        <v>39</v>
      </c>
      <c r="K3" s="35" t="s">
        <v>5</v>
      </c>
    </row>
    <row r="4" spans="1:11" s="33" customFormat="1" ht="26" x14ac:dyDescent="0.3">
      <c r="A4" s="34" t="s">
        <v>6</v>
      </c>
      <c r="B4" s="34" t="s">
        <v>7</v>
      </c>
      <c r="C4" s="56" t="s">
        <v>8</v>
      </c>
      <c r="D4" s="57">
        <v>230000</v>
      </c>
      <c r="E4" s="70">
        <v>240000</v>
      </c>
      <c r="F4" s="71">
        <v>0.15</v>
      </c>
      <c r="G4" s="57">
        <f>SUM(1-F4)*E4</f>
        <v>204000</v>
      </c>
      <c r="H4" s="77">
        <f>SUM(D4-G4)/D4</f>
        <v>0.11304347826086956</v>
      </c>
      <c r="I4" s="92">
        <v>5</v>
      </c>
      <c r="J4" s="103">
        <f>G4*I4</f>
        <v>1020000</v>
      </c>
      <c r="K4" s="72" t="s">
        <v>24</v>
      </c>
    </row>
    <row r="5" spans="1:11" x14ac:dyDescent="0.35">
      <c r="A5" s="32" t="s">
        <v>9</v>
      </c>
      <c r="B5" s="31"/>
      <c r="C5" s="31"/>
      <c r="D5" s="58"/>
      <c r="E5" s="62"/>
      <c r="F5" s="48"/>
      <c r="G5" s="67"/>
      <c r="H5" s="73"/>
      <c r="I5" s="93"/>
      <c r="J5" s="73"/>
      <c r="K5" s="30"/>
    </row>
    <row r="6" spans="1:11" ht="28.5" x14ac:dyDescent="0.35">
      <c r="A6" s="18" t="s">
        <v>10</v>
      </c>
      <c r="B6" s="17"/>
      <c r="C6" s="16"/>
      <c r="D6" s="59"/>
      <c r="E6" s="63">
        <v>0</v>
      </c>
      <c r="F6" s="49">
        <f>'Category Discounts'!$C4</f>
        <v>0</v>
      </c>
      <c r="G6" s="88">
        <f>SUM(1-F6)*E6</f>
        <v>0</v>
      </c>
      <c r="H6" s="78" t="e">
        <f>SUM(D6-G6)/D6</f>
        <v>#DIV/0!</v>
      </c>
      <c r="I6" s="94"/>
      <c r="J6" s="106">
        <f>G6*I6</f>
        <v>0</v>
      </c>
      <c r="K6" s="15"/>
    </row>
    <row r="7" spans="1:11" x14ac:dyDescent="0.35">
      <c r="A7" s="19"/>
      <c r="B7" s="17"/>
      <c r="C7" s="16"/>
      <c r="D7" s="59"/>
      <c r="E7" s="63">
        <v>0</v>
      </c>
      <c r="F7" s="49">
        <f>'Category Discounts'!$C5</f>
        <v>0</v>
      </c>
      <c r="G7" s="88">
        <f t="shared" ref="G7:G13" si="0">SUM(1-F7)*E7</f>
        <v>0</v>
      </c>
      <c r="H7" s="78" t="e">
        <f t="shared" ref="H7:H13" si="1">SUM(D7-G7)/D7</f>
        <v>#DIV/0!</v>
      </c>
      <c r="I7" s="94"/>
      <c r="J7" s="106">
        <f t="shared" ref="J7:J13" si="2">G7*I7</f>
        <v>0</v>
      </c>
      <c r="K7" s="15"/>
    </row>
    <row r="8" spans="1:11" ht="28.5" x14ac:dyDescent="0.35">
      <c r="A8" s="18" t="s">
        <v>11</v>
      </c>
      <c r="B8" s="17"/>
      <c r="C8" s="16"/>
      <c r="D8" s="59"/>
      <c r="E8" s="63">
        <v>0</v>
      </c>
      <c r="F8" s="49">
        <f>'Category Discounts'!$C6</f>
        <v>0</v>
      </c>
      <c r="G8" s="88">
        <f t="shared" si="0"/>
        <v>0</v>
      </c>
      <c r="H8" s="78" t="e">
        <f t="shared" si="1"/>
        <v>#DIV/0!</v>
      </c>
      <c r="I8" s="94"/>
      <c r="J8" s="106">
        <f t="shared" si="2"/>
        <v>0</v>
      </c>
      <c r="K8" s="15"/>
    </row>
    <row r="9" spans="1:11" x14ac:dyDescent="0.35">
      <c r="A9" s="19"/>
      <c r="B9" s="17"/>
      <c r="C9" s="16"/>
      <c r="D9" s="59"/>
      <c r="E9" s="63">
        <v>0</v>
      </c>
      <c r="F9" s="49">
        <f>'Category Discounts'!$C7</f>
        <v>0</v>
      </c>
      <c r="G9" s="88">
        <f t="shared" si="0"/>
        <v>0</v>
      </c>
      <c r="H9" s="78" t="e">
        <f t="shared" si="1"/>
        <v>#DIV/0!</v>
      </c>
      <c r="I9" s="94"/>
      <c r="J9" s="106">
        <f t="shared" si="2"/>
        <v>0</v>
      </c>
      <c r="K9" s="15"/>
    </row>
    <row r="10" spans="1:11" ht="28.5" x14ac:dyDescent="0.35">
      <c r="A10" s="18" t="s">
        <v>12</v>
      </c>
      <c r="B10" s="17"/>
      <c r="C10" s="16"/>
      <c r="D10" s="59"/>
      <c r="E10" s="63">
        <v>0</v>
      </c>
      <c r="F10" s="49">
        <f>'Category Discounts'!$C8</f>
        <v>0</v>
      </c>
      <c r="G10" s="88">
        <f t="shared" si="0"/>
        <v>0</v>
      </c>
      <c r="H10" s="78" t="e">
        <f t="shared" si="1"/>
        <v>#DIV/0!</v>
      </c>
      <c r="I10" s="94"/>
      <c r="J10" s="106">
        <f t="shared" si="2"/>
        <v>0</v>
      </c>
      <c r="K10" s="15"/>
    </row>
    <row r="11" spans="1:11" x14ac:dyDescent="0.35">
      <c r="A11" s="19"/>
      <c r="B11" s="17"/>
      <c r="C11" s="16"/>
      <c r="D11" s="59"/>
      <c r="E11" s="63">
        <v>0</v>
      </c>
      <c r="F11" s="49">
        <f>'Category Discounts'!$C9</f>
        <v>0</v>
      </c>
      <c r="G11" s="88">
        <f t="shared" si="0"/>
        <v>0</v>
      </c>
      <c r="H11" s="78" t="e">
        <f t="shared" si="1"/>
        <v>#DIV/0!</v>
      </c>
      <c r="I11" s="94"/>
      <c r="J11" s="106">
        <f t="shared" si="2"/>
        <v>0</v>
      </c>
      <c r="K11" s="15"/>
    </row>
    <row r="12" spans="1:11" ht="28.5" x14ac:dyDescent="0.35">
      <c r="A12" s="18" t="s">
        <v>13</v>
      </c>
      <c r="B12" s="17"/>
      <c r="C12" s="16"/>
      <c r="D12" s="59"/>
      <c r="E12" s="63">
        <v>0</v>
      </c>
      <c r="F12" s="49">
        <f>'Category Discounts'!$C10</f>
        <v>0</v>
      </c>
      <c r="G12" s="88">
        <f t="shared" si="0"/>
        <v>0</v>
      </c>
      <c r="H12" s="78" t="e">
        <f t="shared" si="1"/>
        <v>#DIV/0!</v>
      </c>
      <c r="I12" s="94"/>
      <c r="J12" s="106">
        <f t="shared" si="2"/>
        <v>0</v>
      </c>
      <c r="K12" s="15"/>
    </row>
    <row r="13" spans="1:11" x14ac:dyDescent="0.35">
      <c r="A13" s="27"/>
      <c r="B13" s="26"/>
      <c r="C13" s="26"/>
      <c r="D13" s="59"/>
      <c r="E13" s="63">
        <v>0</v>
      </c>
      <c r="F13" s="49">
        <f>'Category Discounts'!$C11</f>
        <v>0</v>
      </c>
      <c r="G13" s="88">
        <f t="shared" si="0"/>
        <v>0</v>
      </c>
      <c r="H13" s="78" t="e">
        <f t="shared" si="1"/>
        <v>#DIV/0!</v>
      </c>
      <c r="I13" s="94"/>
      <c r="J13" s="106">
        <f t="shared" si="2"/>
        <v>0</v>
      </c>
      <c r="K13" s="15"/>
    </row>
    <row r="14" spans="1:11" x14ac:dyDescent="0.35">
      <c r="A14" s="25"/>
      <c r="B14" s="24"/>
      <c r="C14" s="24"/>
      <c r="D14" s="60"/>
      <c r="E14" s="64"/>
      <c r="F14" s="50"/>
      <c r="G14" s="68"/>
      <c r="H14" s="74"/>
      <c r="I14" s="95"/>
      <c r="J14" s="74"/>
      <c r="K14" s="23"/>
    </row>
    <row r="15" spans="1:11" x14ac:dyDescent="0.35">
      <c r="A15" s="22" t="s">
        <v>14</v>
      </c>
      <c r="B15" s="21"/>
      <c r="C15" s="21"/>
      <c r="D15" s="58"/>
      <c r="E15" s="62"/>
      <c r="F15" s="48"/>
      <c r="G15" s="67"/>
      <c r="H15" s="75"/>
      <c r="I15" s="96"/>
      <c r="J15" s="75"/>
      <c r="K15" s="20"/>
    </row>
    <row r="16" spans="1:11" ht="54.75" customHeight="1" x14ac:dyDescent="0.35">
      <c r="A16" s="18" t="s">
        <v>15</v>
      </c>
      <c r="B16" s="29"/>
      <c r="C16" s="28"/>
      <c r="D16" s="61"/>
      <c r="E16" s="63">
        <v>0</v>
      </c>
      <c r="F16" s="49">
        <f>'Category Discounts'!$C5</f>
        <v>0</v>
      </c>
      <c r="G16" s="88">
        <f t="shared" ref="G16:G21" si="3">SUM(1-F16)*E16</f>
        <v>0</v>
      </c>
      <c r="H16" s="78" t="e">
        <f t="shared" ref="H16:H21" si="4">SUM(D16-G16)/D16</f>
        <v>#DIV/0!</v>
      </c>
      <c r="I16" s="94"/>
      <c r="J16" s="106">
        <f t="shared" ref="J16:J21" si="5">G16*I16</f>
        <v>0</v>
      </c>
      <c r="K16" s="15"/>
    </row>
    <row r="17" spans="1:11" x14ac:dyDescent="0.35">
      <c r="A17" s="19"/>
      <c r="B17" s="29"/>
      <c r="C17" s="28"/>
      <c r="D17" s="61"/>
      <c r="E17" s="63">
        <v>0</v>
      </c>
      <c r="F17" s="49">
        <f>'Category Discounts'!$C6</f>
        <v>0</v>
      </c>
      <c r="G17" s="88">
        <f t="shared" si="3"/>
        <v>0</v>
      </c>
      <c r="H17" s="78" t="e">
        <f t="shared" si="4"/>
        <v>#DIV/0!</v>
      </c>
      <c r="I17" s="94"/>
      <c r="J17" s="106">
        <f t="shared" si="5"/>
        <v>0</v>
      </c>
      <c r="K17" s="15"/>
    </row>
    <row r="18" spans="1:11" ht="42.5" x14ac:dyDescent="0.35">
      <c r="A18" s="18" t="s">
        <v>16</v>
      </c>
      <c r="B18" s="29"/>
      <c r="C18" s="28"/>
      <c r="D18" s="61"/>
      <c r="E18" s="63">
        <v>0</v>
      </c>
      <c r="F18" s="49">
        <f>'Category Discounts'!$C7</f>
        <v>0</v>
      </c>
      <c r="G18" s="88">
        <f t="shared" si="3"/>
        <v>0</v>
      </c>
      <c r="H18" s="78" t="e">
        <f t="shared" si="4"/>
        <v>#DIV/0!</v>
      </c>
      <c r="I18" s="94"/>
      <c r="J18" s="106">
        <f t="shared" si="5"/>
        <v>0</v>
      </c>
      <c r="K18" s="15"/>
    </row>
    <row r="19" spans="1:11" x14ac:dyDescent="0.35">
      <c r="A19" s="19"/>
      <c r="B19" s="29"/>
      <c r="C19" s="28"/>
      <c r="D19" s="61"/>
      <c r="E19" s="63">
        <v>0</v>
      </c>
      <c r="F19" s="49">
        <f>'Category Discounts'!$C8</f>
        <v>0</v>
      </c>
      <c r="G19" s="88">
        <f t="shared" si="3"/>
        <v>0</v>
      </c>
      <c r="H19" s="78" t="e">
        <f t="shared" si="4"/>
        <v>#DIV/0!</v>
      </c>
      <c r="I19" s="94"/>
      <c r="J19" s="106">
        <f t="shared" si="5"/>
        <v>0</v>
      </c>
      <c r="K19" s="15"/>
    </row>
    <row r="20" spans="1:11" ht="28.5" x14ac:dyDescent="0.35">
      <c r="A20" s="18" t="s">
        <v>17</v>
      </c>
      <c r="B20" s="17"/>
      <c r="C20" s="16"/>
      <c r="D20" s="59"/>
      <c r="E20" s="63">
        <v>0</v>
      </c>
      <c r="F20" s="49">
        <f>'Category Discounts'!$C9</f>
        <v>0</v>
      </c>
      <c r="G20" s="88">
        <f t="shared" si="3"/>
        <v>0</v>
      </c>
      <c r="H20" s="78" t="e">
        <f t="shared" si="4"/>
        <v>#DIV/0!</v>
      </c>
      <c r="I20" s="94"/>
      <c r="J20" s="106">
        <f t="shared" si="5"/>
        <v>0</v>
      </c>
      <c r="K20" s="15"/>
    </row>
    <row r="21" spans="1:11" x14ac:dyDescent="0.35">
      <c r="A21" s="27"/>
      <c r="B21" s="26"/>
      <c r="C21" s="26"/>
      <c r="D21" s="59"/>
      <c r="E21" s="63">
        <v>0</v>
      </c>
      <c r="F21" s="49">
        <f>'Category Discounts'!$C10</f>
        <v>0</v>
      </c>
      <c r="G21" s="88">
        <f t="shared" si="3"/>
        <v>0</v>
      </c>
      <c r="H21" s="78" t="e">
        <f t="shared" si="4"/>
        <v>#DIV/0!</v>
      </c>
      <c r="I21" s="94"/>
      <c r="J21" s="106">
        <f t="shared" si="5"/>
        <v>0</v>
      </c>
      <c r="K21" s="15"/>
    </row>
    <row r="22" spans="1:11" x14ac:dyDescent="0.35">
      <c r="A22" s="25"/>
      <c r="B22" s="24"/>
      <c r="C22" s="24"/>
      <c r="D22" s="60"/>
      <c r="E22" s="64"/>
      <c r="F22" s="50"/>
      <c r="G22" s="68"/>
      <c r="H22" s="74"/>
      <c r="I22" s="95"/>
      <c r="J22" s="74"/>
      <c r="K22" s="23"/>
    </row>
    <row r="23" spans="1:11" x14ac:dyDescent="0.35">
      <c r="A23" s="22" t="s">
        <v>18</v>
      </c>
      <c r="B23" s="21"/>
      <c r="C23" s="21"/>
      <c r="D23" s="58"/>
      <c r="E23" s="62"/>
      <c r="F23" s="48"/>
      <c r="G23" s="67"/>
      <c r="H23" s="75"/>
      <c r="I23" s="96"/>
      <c r="J23" s="75"/>
      <c r="K23" s="20"/>
    </row>
    <row r="24" spans="1:11" ht="28.5" x14ac:dyDescent="0.35">
      <c r="A24" s="18" t="s">
        <v>19</v>
      </c>
      <c r="B24" s="17"/>
      <c r="C24" s="16"/>
      <c r="D24" s="59"/>
      <c r="E24" s="63">
        <v>0</v>
      </c>
      <c r="F24" s="49">
        <f>SUM('Category Discounts'!$C6)</f>
        <v>0</v>
      </c>
      <c r="G24" s="88">
        <f t="shared" ref="G24:G34" si="6">SUM(1-F24)*E24</f>
        <v>0</v>
      </c>
      <c r="H24" s="78" t="e">
        <f t="shared" ref="H24:H34" si="7">SUM(D24-G24)/D24</f>
        <v>#DIV/0!</v>
      </c>
      <c r="I24" s="94"/>
      <c r="J24" s="106">
        <f t="shared" ref="J24:J34" si="8">G24*I24</f>
        <v>0</v>
      </c>
      <c r="K24" s="15"/>
    </row>
    <row r="25" spans="1:11" x14ac:dyDescent="0.35">
      <c r="A25" s="19"/>
      <c r="B25" s="17"/>
      <c r="C25" s="16"/>
      <c r="D25" s="59"/>
      <c r="E25" s="63">
        <v>0</v>
      </c>
      <c r="F25" s="49">
        <f>SUM('Category Discounts'!$C7)</f>
        <v>0</v>
      </c>
      <c r="G25" s="88">
        <f t="shared" si="6"/>
        <v>0</v>
      </c>
      <c r="H25" s="78" t="e">
        <f t="shared" si="7"/>
        <v>#DIV/0!</v>
      </c>
      <c r="I25" s="94"/>
      <c r="J25" s="106">
        <f t="shared" si="8"/>
        <v>0</v>
      </c>
      <c r="K25" s="15"/>
    </row>
    <row r="26" spans="1:11" ht="28.5" x14ac:dyDescent="0.35">
      <c r="A26" s="18" t="s">
        <v>20</v>
      </c>
      <c r="B26" s="17"/>
      <c r="C26" s="16"/>
      <c r="D26" s="59"/>
      <c r="E26" s="63">
        <v>0</v>
      </c>
      <c r="F26" s="49">
        <f>SUM('Category Discounts'!$C8)</f>
        <v>0</v>
      </c>
      <c r="G26" s="88">
        <f t="shared" si="6"/>
        <v>0</v>
      </c>
      <c r="H26" s="78" t="e">
        <f t="shared" si="7"/>
        <v>#DIV/0!</v>
      </c>
      <c r="I26" s="94"/>
      <c r="J26" s="106">
        <f t="shared" si="8"/>
        <v>0</v>
      </c>
      <c r="K26" s="15"/>
    </row>
    <row r="27" spans="1:11" x14ac:dyDescent="0.35">
      <c r="A27" s="19"/>
      <c r="B27" s="17"/>
      <c r="C27" s="16"/>
      <c r="D27" s="59"/>
      <c r="E27" s="63">
        <v>0</v>
      </c>
      <c r="F27" s="49">
        <f>SUM('Category Discounts'!$C9)</f>
        <v>0</v>
      </c>
      <c r="G27" s="88">
        <f t="shared" si="6"/>
        <v>0</v>
      </c>
      <c r="H27" s="78" t="e">
        <f t="shared" si="7"/>
        <v>#DIV/0!</v>
      </c>
      <c r="I27" s="94"/>
      <c r="J27" s="106">
        <f t="shared" si="8"/>
        <v>0</v>
      </c>
      <c r="K27" s="15"/>
    </row>
    <row r="28" spans="1:11" ht="28.5" x14ac:dyDescent="0.35">
      <c r="A28" s="18" t="s">
        <v>21</v>
      </c>
      <c r="B28" s="17"/>
      <c r="C28" s="16"/>
      <c r="D28" s="59"/>
      <c r="E28" s="63">
        <v>0</v>
      </c>
      <c r="F28" s="49">
        <f>SUM('Category Discounts'!$C10)</f>
        <v>0</v>
      </c>
      <c r="G28" s="88">
        <f t="shared" si="6"/>
        <v>0</v>
      </c>
      <c r="H28" s="78" t="e">
        <f t="shared" si="7"/>
        <v>#DIV/0!</v>
      </c>
      <c r="I28" s="94"/>
      <c r="J28" s="106">
        <f t="shared" si="8"/>
        <v>0</v>
      </c>
      <c r="K28" s="15"/>
    </row>
    <row r="29" spans="1:11" x14ac:dyDescent="0.35">
      <c r="A29" s="19"/>
      <c r="B29" s="17"/>
      <c r="C29" s="16"/>
      <c r="D29" s="59"/>
      <c r="E29" s="63">
        <v>0</v>
      </c>
      <c r="F29" s="49">
        <f>SUM('Category Discounts'!$C11)</f>
        <v>0</v>
      </c>
      <c r="G29" s="88">
        <f t="shared" si="6"/>
        <v>0</v>
      </c>
      <c r="H29" s="78" t="e">
        <f t="shared" si="7"/>
        <v>#DIV/0!</v>
      </c>
      <c r="I29" s="94"/>
      <c r="J29" s="106">
        <f t="shared" si="8"/>
        <v>0</v>
      </c>
      <c r="K29" s="15"/>
    </row>
    <row r="30" spans="1:11" ht="28.5" x14ac:dyDescent="0.35">
      <c r="A30" s="18" t="s">
        <v>22</v>
      </c>
      <c r="B30" s="17"/>
      <c r="C30" s="16"/>
      <c r="D30" s="59"/>
      <c r="E30" s="63">
        <v>0</v>
      </c>
      <c r="F30" s="49">
        <f>SUM('Category Discounts'!$C12)</f>
        <v>0</v>
      </c>
      <c r="G30" s="88">
        <f t="shared" si="6"/>
        <v>0</v>
      </c>
      <c r="H30" s="78" t="e">
        <f t="shared" si="7"/>
        <v>#DIV/0!</v>
      </c>
      <c r="I30" s="94"/>
      <c r="J30" s="106">
        <f t="shared" si="8"/>
        <v>0</v>
      </c>
      <c r="K30" s="15"/>
    </row>
    <row r="31" spans="1:11" x14ac:dyDescent="0.35">
      <c r="A31" s="19"/>
      <c r="B31" s="17"/>
      <c r="C31" s="16"/>
      <c r="D31" s="59"/>
      <c r="E31" s="63">
        <v>0</v>
      </c>
      <c r="F31" s="49">
        <f>SUM('Category Discounts'!$C13)</f>
        <v>0</v>
      </c>
      <c r="G31" s="88">
        <f t="shared" si="6"/>
        <v>0</v>
      </c>
      <c r="H31" s="78" t="e">
        <f t="shared" si="7"/>
        <v>#DIV/0!</v>
      </c>
      <c r="I31" s="94"/>
      <c r="J31" s="106">
        <f t="shared" si="8"/>
        <v>0</v>
      </c>
      <c r="K31" s="15"/>
    </row>
    <row r="32" spans="1:11" ht="42.5" x14ac:dyDescent="0.35">
      <c r="A32" s="18" t="s">
        <v>23</v>
      </c>
      <c r="B32" s="17"/>
      <c r="C32" s="16"/>
      <c r="D32" s="59"/>
      <c r="E32" s="63">
        <v>0</v>
      </c>
      <c r="F32" s="49">
        <f>SUM('Category Discounts'!$C14)</f>
        <v>0</v>
      </c>
      <c r="G32" s="88">
        <f t="shared" si="6"/>
        <v>0</v>
      </c>
      <c r="H32" s="78" t="e">
        <f t="shared" si="7"/>
        <v>#DIV/0!</v>
      </c>
      <c r="I32" s="94"/>
      <c r="J32" s="106">
        <f t="shared" si="8"/>
        <v>0</v>
      </c>
      <c r="K32" s="15"/>
    </row>
    <row r="33" spans="1:11" x14ac:dyDescent="0.35">
      <c r="A33" s="19"/>
      <c r="B33" s="17"/>
      <c r="C33" s="16"/>
      <c r="D33" s="59"/>
      <c r="E33" s="63">
        <v>0</v>
      </c>
      <c r="F33" s="49">
        <f>SUM('Category Discounts'!$C15)</f>
        <v>0</v>
      </c>
      <c r="G33" s="88">
        <f t="shared" si="6"/>
        <v>0</v>
      </c>
      <c r="H33" s="78" t="e">
        <f t="shared" si="7"/>
        <v>#DIV/0!</v>
      </c>
      <c r="I33" s="94"/>
      <c r="J33" s="106">
        <f t="shared" si="8"/>
        <v>0</v>
      </c>
      <c r="K33" s="15"/>
    </row>
    <row r="34" spans="1:11" ht="42.5" x14ac:dyDescent="0.35">
      <c r="A34" s="18" t="s">
        <v>25</v>
      </c>
      <c r="B34" s="17"/>
      <c r="C34" s="16"/>
      <c r="D34" s="59"/>
      <c r="E34" s="63">
        <v>0</v>
      </c>
      <c r="F34" s="49">
        <f>SUM('Category Discounts'!$C16)</f>
        <v>0</v>
      </c>
      <c r="G34" s="88">
        <f t="shared" si="6"/>
        <v>0</v>
      </c>
      <c r="H34" s="78" t="e">
        <f t="shared" si="7"/>
        <v>#DIV/0!</v>
      </c>
      <c r="I34" s="94"/>
      <c r="J34" s="106">
        <f t="shared" si="8"/>
        <v>0</v>
      </c>
      <c r="K34" s="15"/>
    </row>
    <row r="35" spans="1:11" x14ac:dyDescent="0.35">
      <c r="A35" s="14"/>
      <c r="B35" s="13"/>
      <c r="C35" s="12"/>
      <c r="D35" s="65"/>
      <c r="E35" s="66"/>
      <c r="F35" s="51"/>
      <c r="G35" s="69"/>
      <c r="H35" s="69"/>
      <c r="I35" s="97"/>
      <c r="J35" s="69"/>
      <c r="K35" s="11"/>
    </row>
    <row r="36" spans="1:11" x14ac:dyDescent="0.35">
      <c r="A36" s="10"/>
      <c r="B36" s="9"/>
      <c r="C36" s="9"/>
      <c r="D36" s="9"/>
      <c r="E36" s="8"/>
      <c r="F36" s="52"/>
      <c r="G36" s="8"/>
      <c r="H36" s="8"/>
      <c r="I36" s="98"/>
      <c r="J36" s="104"/>
      <c r="K36" s="7"/>
    </row>
    <row r="37" spans="1:11" x14ac:dyDescent="0.35">
      <c r="G37" s="6"/>
      <c r="H37" s="6"/>
    </row>
  </sheetData>
  <mergeCells count="3">
    <mergeCell ref="E1:G1"/>
    <mergeCell ref="A1:B1"/>
    <mergeCell ref="A2:B2"/>
  </mergeCells>
  <pageMargins left="0.7" right="0.7" top="0.75" bottom="0.75" header="0.3" footer="0.3"/>
  <pageSetup scale="54" fitToHeight="0" orientation="landscape" horizontalDpi="1200" verticalDpi="1200" r:id="rId1"/>
  <headerFooter>
    <oddHeader>&amp;L&amp;"Times New Roman,Regular"&amp;12RFP No. 70RDA226R00000001 &amp;KFF0000Amendment 0001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D89D-7654-412E-9A0F-023E01056BF8}">
  <sheetPr>
    <pageSetUpPr fitToPage="1"/>
  </sheetPr>
  <dimension ref="A1:K37"/>
  <sheetViews>
    <sheetView view="pageLayout" zoomScaleNormal="100" workbookViewId="0">
      <selection activeCell="I1" sqref="I1:J1048576"/>
    </sheetView>
  </sheetViews>
  <sheetFormatPr defaultColWidth="9.26953125" defaultRowHeight="14.5" x14ac:dyDescent="0.35"/>
  <cols>
    <col min="1" max="1" width="72.7265625" style="5" customWidth="1"/>
    <col min="2" max="2" width="27.54296875" style="4" customWidth="1"/>
    <col min="3" max="3" width="23.54296875" style="4" customWidth="1"/>
    <col min="4" max="4" width="12.6328125" style="4" customWidth="1"/>
    <col min="5" max="5" width="11.36328125" style="2" customWidth="1"/>
    <col min="6" max="6" width="10.54296875" style="53" customWidth="1"/>
    <col min="7" max="8" width="11.7265625" style="3" customWidth="1"/>
    <col min="9" max="9" width="11.7265625" style="99" customWidth="1"/>
    <col min="10" max="10" width="11.7265625" style="105" customWidth="1"/>
    <col min="11" max="11" width="19" style="1" customWidth="1"/>
    <col min="12" max="16384" width="9.26953125" style="1"/>
  </cols>
  <sheetData>
    <row r="1" spans="1:11" s="33" customFormat="1" ht="15" x14ac:dyDescent="0.3">
      <c r="A1" s="113" t="s">
        <v>30</v>
      </c>
      <c r="B1" s="114"/>
      <c r="C1" s="44"/>
      <c r="D1" s="44"/>
      <c r="E1" s="112"/>
      <c r="F1" s="112"/>
      <c r="G1" s="112"/>
      <c r="H1" s="55"/>
      <c r="I1" s="89"/>
      <c r="J1" s="100"/>
      <c r="K1" s="43"/>
    </row>
    <row r="2" spans="1:11" s="33" customFormat="1" ht="15" x14ac:dyDescent="0.3">
      <c r="A2" s="115" t="s">
        <v>32</v>
      </c>
      <c r="B2" s="116"/>
      <c r="C2" s="42"/>
      <c r="D2" s="42"/>
      <c r="E2" s="42"/>
      <c r="F2" s="46"/>
      <c r="G2" s="45"/>
      <c r="H2" s="45"/>
      <c r="I2" s="90"/>
      <c r="J2" s="101"/>
      <c r="K2" s="41"/>
    </row>
    <row r="3" spans="1:11" s="33" customFormat="1" ht="46.5" customHeight="1" x14ac:dyDescent="0.3">
      <c r="A3" s="40" t="s">
        <v>0</v>
      </c>
      <c r="B3" s="39" t="s">
        <v>1</v>
      </c>
      <c r="C3" s="38" t="s">
        <v>2</v>
      </c>
      <c r="D3" s="36" t="s">
        <v>29</v>
      </c>
      <c r="E3" s="37" t="s">
        <v>3</v>
      </c>
      <c r="F3" s="47" t="s">
        <v>34</v>
      </c>
      <c r="G3" s="36" t="s">
        <v>4</v>
      </c>
      <c r="H3" s="76" t="s">
        <v>35</v>
      </c>
      <c r="I3" s="91" t="s">
        <v>38</v>
      </c>
      <c r="J3" s="102" t="s">
        <v>39</v>
      </c>
      <c r="K3" s="35" t="s">
        <v>5</v>
      </c>
    </row>
    <row r="4" spans="1:11" s="33" customFormat="1" ht="26" x14ac:dyDescent="0.3">
      <c r="A4" s="34" t="s">
        <v>6</v>
      </c>
      <c r="B4" s="34" t="s">
        <v>7</v>
      </c>
      <c r="C4" s="56" t="s">
        <v>8</v>
      </c>
      <c r="D4" s="57">
        <v>230000</v>
      </c>
      <c r="E4" s="70">
        <v>240000</v>
      </c>
      <c r="F4" s="71">
        <v>0.15</v>
      </c>
      <c r="G4" s="57">
        <f>SUM(1-F4)*E4</f>
        <v>204000</v>
      </c>
      <c r="H4" s="77">
        <f>SUM(D4-G4)/D4</f>
        <v>0.11304347826086956</v>
      </c>
      <c r="I4" s="92">
        <v>5</v>
      </c>
      <c r="J4" s="103">
        <f>G4*I4</f>
        <v>1020000</v>
      </c>
      <c r="K4" s="72" t="s">
        <v>24</v>
      </c>
    </row>
    <row r="5" spans="1:11" x14ac:dyDescent="0.35">
      <c r="A5" s="32" t="s">
        <v>9</v>
      </c>
      <c r="B5" s="31"/>
      <c r="C5" s="31"/>
      <c r="D5" s="58"/>
      <c r="E5" s="62"/>
      <c r="F5" s="48"/>
      <c r="G5" s="67"/>
      <c r="H5" s="73"/>
      <c r="I5" s="93"/>
      <c r="J5" s="73"/>
      <c r="K5" s="30"/>
    </row>
    <row r="6" spans="1:11" ht="28.5" x14ac:dyDescent="0.35">
      <c r="A6" s="18" t="s">
        <v>10</v>
      </c>
      <c r="B6" s="17"/>
      <c r="C6" s="16"/>
      <c r="D6" s="59"/>
      <c r="E6" s="63">
        <v>0</v>
      </c>
      <c r="F6" s="49">
        <f>'Category Discounts'!$C4</f>
        <v>0</v>
      </c>
      <c r="G6" s="88">
        <f>SUM(1-F6)*E6</f>
        <v>0</v>
      </c>
      <c r="H6" s="78" t="e">
        <f>SUM(D6-G6)/D6</f>
        <v>#DIV/0!</v>
      </c>
      <c r="I6" s="94"/>
      <c r="J6" s="106">
        <f>G6*I6</f>
        <v>0</v>
      </c>
      <c r="K6" s="15"/>
    </row>
    <row r="7" spans="1:11" x14ac:dyDescent="0.35">
      <c r="A7" s="19"/>
      <c r="B7" s="17"/>
      <c r="C7" s="16"/>
      <c r="D7" s="59"/>
      <c r="E7" s="63">
        <v>0</v>
      </c>
      <c r="F7" s="49">
        <f>'Category Discounts'!$C5</f>
        <v>0</v>
      </c>
      <c r="G7" s="88">
        <f t="shared" ref="G7:G13" si="0">SUM(1-F7)*E7</f>
        <v>0</v>
      </c>
      <c r="H7" s="78" t="e">
        <f t="shared" ref="H7:H13" si="1">SUM(D7-G7)/D7</f>
        <v>#DIV/0!</v>
      </c>
      <c r="I7" s="94"/>
      <c r="J7" s="106">
        <f t="shared" ref="J7:J13" si="2">G7*I7</f>
        <v>0</v>
      </c>
      <c r="K7" s="15"/>
    </row>
    <row r="8" spans="1:11" ht="28.5" x14ac:dyDescent="0.35">
      <c r="A8" s="18" t="s">
        <v>11</v>
      </c>
      <c r="B8" s="17"/>
      <c r="C8" s="16"/>
      <c r="D8" s="59"/>
      <c r="E8" s="63">
        <v>0</v>
      </c>
      <c r="F8" s="49">
        <f>'Category Discounts'!$C6</f>
        <v>0</v>
      </c>
      <c r="G8" s="88">
        <f t="shared" si="0"/>
        <v>0</v>
      </c>
      <c r="H8" s="78" t="e">
        <f t="shared" si="1"/>
        <v>#DIV/0!</v>
      </c>
      <c r="I8" s="94"/>
      <c r="J8" s="106">
        <f t="shared" si="2"/>
        <v>0</v>
      </c>
      <c r="K8" s="15"/>
    </row>
    <row r="9" spans="1:11" x14ac:dyDescent="0.35">
      <c r="A9" s="19"/>
      <c r="B9" s="17"/>
      <c r="C9" s="16"/>
      <c r="D9" s="59"/>
      <c r="E9" s="63">
        <v>0</v>
      </c>
      <c r="F9" s="49">
        <f>'Category Discounts'!$C7</f>
        <v>0</v>
      </c>
      <c r="G9" s="88">
        <f t="shared" si="0"/>
        <v>0</v>
      </c>
      <c r="H9" s="78" t="e">
        <f t="shared" si="1"/>
        <v>#DIV/0!</v>
      </c>
      <c r="I9" s="94"/>
      <c r="J9" s="106">
        <f t="shared" si="2"/>
        <v>0</v>
      </c>
      <c r="K9" s="15"/>
    </row>
    <row r="10" spans="1:11" ht="28.5" x14ac:dyDescent="0.35">
      <c r="A10" s="18" t="s">
        <v>12</v>
      </c>
      <c r="B10" s="17"/>
      <c r="C10" s="16"/>
      <c r="D10" s="59"/>
      <c r="E10" s="63">
        <v>0</v>
      </c>
      <c r="F10" s="49">
        <f>'Category Discounts'!$C8</f>
        <v>0</v>
      </c>
      <c r="G10" s="88">
        <f t="shared" si="0"/>
        <v>0</v>
      </c>
      <c r="H10" s="78" t="e">
        <f t="shared" si="1"/>
        <v>#DIV/0!</v>
      </c>
      <c r="I10" s="94"/>
      <c r="J10" s="106">
        <f t="shared" si="2"/>
        <v>0</v>
      </c>
      <c r="K10" s="15"/>
    </row>
    <row r="11" spans="1:11" x14ac:dyDescent="0.35">
      <c r="A11" s="19"/>
      <c r="B11" s="17"/>
      <c r="C11" s="16"/>
      <c r="D11" s="59"/>
      <c r="E11" s="63">
        <v>0</v>
      </c>
      <c r="F11" s="49">
        <f>'Category Discounts'!$C9</f>
        <v>0</v>
      </c>
      <c r="G11" s="88">
        <f t="shared" si="0"/>
        <v>0</v>
      </c>
      <c r="H11" s="78" t="e">
        <f t="shared" si="1"/>
        <v>#DIV/0!</v>
      </c>
      <c r="I11" s="94"/>
      <c r="J11" s="106">
        <f t="shared" si="2"/>
        <v>0</v>
      </c>
      <c r="K11" s="15"/>
    </row>
    <row r="12" spans="1:11" ht="28.5" x14ac:dyDescent="0.35">
      <c r="A12" s="18" t="s">
        <v>13</v>
      </c>
      <c r="B12" s="17"/>
      <c r="C12" s="16"/>
      <c r="D12" s="59"/>
      <c r="E12" s="63">
        <v>0</v>
      </c>
      <c r="F12" s="49">
        <f>'Category Discounts'!$C10</f>
        <v>0</v>
      </c>
      <c r="G12" s="88">
        <f t="shared" si="0"/>
        <v>0</v>
      </c>
      <c r="H12" s="78" t="e">
        <f t="shared" si="1"/>
        <v>#DIV/0!</v>
      </c>
      <c r="I12" s="94"/>
      <c r="J12" s="106">
        <f t="shared" si="2"/>
        <v>0</v>
      </c>
      <c r="K12" s="15"/>
    </row>
    <row r="13" spans="1:11" x14ac:dyDescent="0.35">
      <c r="A13" s="27"/>
      <c r="B13" s="26"/>
      <c r="C13" s="26"/>
      <c r="D13" s="59"/>
      <c r="E13" s="63">
        <v>0</v>
      </c>
      <c r="F13" s="49">
        <f>'Category Discounts'!$C11</f>
        <v>0</v>
      </c>
      <c r="G13" s="88">
        <f t="shared" si="0"/>
        <v>0</v>
      </c>
      <c r="H13" s="78" t="e">
        <f t="shared" si="1"/>
        <v>#DIV/0!</v>
      </c>
      <c r="I13" s="94"/>
      <c r="J13" s="106">
        <f t="shared" si="2"/>
        <v>0</v>
      </c>
      <c r="K13" s="15"/>
    </row>
    <row r="14" spans="1:11" x14ac:dyDescent="0.35">
      <c r="A14" s="25"/>
      <c r="B14" s="24"/>
      <c r="C14" s="24"/>
      <c r="D14" s="60"/>
      <c r="E14" s="64"/>
      <c r="F14" s="50"/>
      <c r="G14" s="68"/>
      <c r="H14" s="74"/>
      <c r="I14" s="95"/>
      <c r="J14" s="74"/>
      <c r="K14" s="23"/>
    </row>
    <row r="15" spans="1:11" x14ac:dyDescent="0.35">
      <c r="A15" s="22" t="s">
        <v>14</v>
      </c>
      <c r="B15" s="21"/>
      <c r="C15" s="21"/>
      <c r="D15" s="58"/>
      <c r="E15" s="62"/>
      <c r="F15" s="48"/>
      <c r="G15" s="67"/>
      <c r="H15" s="75"/>
      <c r="I15" s="96"/>
      <c r="J15" s="75"/>
      <c r="K15" s="20"/>
    </row>
    <row r="16" spans="1:11" ht="54.75" customHeight="1" x14ac:dyDescent="0.35">
      <c r="A16" s="18" t="s">
        <v>15</v>
      </c>
      <c r="B16" s="29"/>
      <c r="C16" s="28"/>
      <c r="D16" s="61"/>
      <c r="E16" s="63">
        <v>0</v>
      </c>
      <c r="F16" s="49">
        <f>'Category Discounts'!$C5</f>
        <v>0</v>
      </c>
      <c r="G16" s="88">
        <f t="shared" ref="G16:G21" si="3">SUM(1-F16)*E16</f>
        <v>0</v>
      </c>
      <c r="H16" s="78" t="e">
        <f t="shared" ref="H16:H21" si="4">SUM(D16-G16)/D16</f>
        <v>#DIV/0!</v>
      </c>
      <c r="I16" s="94"/>
      <c r="J16" s="106">
        <f t="shared" ref="J16:J21" si="5">G16*I16</f>
        <v>0</v>
      </c>
      <c r="K16" s="15"/>
    </row>
    <row r="17" spans="1:11" x14ac:dyDescent="0.35">
      <c r="A17" s="19"/>
      <c r="B17" s="29"/>
      <c r="C17" s="28"/>
      <c r="D17" s="61"/>
      <c r="E17" s="63">
        <v>0</v>
      </c>
      <c r="F17" s="49">
        <f>'Category Discounts'!$C6</f>
        <v>0</v>
      </c>
      <c r="G17" s="88">
        <f t="shared" si="3"/>
        <v>0</v>
      </c>
      <c r="H17" s="78" t="e">
        <f t="shared" si="4"/>
        <v>#DIV/0!</v>
      </c>
      <c r="I17" s="94"/>
      <c r="J17" s="106">
        <f t="shared" si="5"/>
        <v>0</v>
      </c>
      <c r="K17" s="15"/>
    </row>
    <row r="18" spans="1:11" ht="42.5" x14ac:dyDescent="0.35">
      <c r="A18" s="18" t="s">
        <v>16</v>
      </c>
      <c r="B18" s="29"/>
      <c r="C18" s="28"/>
      <c r="D18" s="61"/>
      <c r="E18" s="63">
        <v>0</v>
      </c>
      <c r="F18" s="49">
        <f>'Category Discounts'!$C7</f>
        <v>0</v>
      </c>
      <c r="G18" s="88">
        <f t="shared" si="3"/>
        <v>0</v>
      </c>
      <c r="H18" s="78" t="e">
        <f t="shared" si="4"/>
        <v>#DIV/0!</v>
      </c>
      <c r="I18" s="94"/>
      <c r="J18" s="106">
        <f t="shared" si="5"/>
        <v>0</v>
      </c>
      <c r="K18" s="15"/>
    </row>
    <row r="19" spans="1:11" x14ac:dyDescent="0.35">
      <c r="A19" s="19"/>
      <c r="B19" s="29"/>
      <c r="C19" s="28"/>
      <c r="D19" s="61"/>
      <c r="E19" s="63">
        <v>0</v>
      </c>
      <c r="F19" s="49">
        <f>'Category Discounts'!$C8</f>
        <v>0</v>
      </c>
      <c r="G19" s="88">
        <f t="shared" si="3"/>
        <v>0</v>
      </c>
      <c r="H19" s="78" t="e">
        <f t="shared" si="4"/>
        <v>#DIV/0!</v>
      </c>
      <c r="I19" s="94"/>
      <c r="J19" s="106">
        <f t="shared" si="5"/>
        <v>0</v>
      </c>
      <c r="K19" s="15"/>
    </row>
    <row r="20" spans="1:11" ht="28.5" x14ac:dyDescent="0.35">
      <c r="A20" s="18" t="s">
        <v>17</v>
      </c>
      <c r="B20" s="17"/>
      <c r="C20" s="16"/>
      <c r="D20" s="59"/>
      <c r="E20" s="63">
        <v>0</v>
      </c>
      <c r="F20" s="49">
        <f>'Category Discounts'!$C9</f>
        <v>0</v>
      </c>
      <c r="G20" s="88">
        <f t="shared" si="3"/>
        <v>0</v>
      </c>
      <c r="H20" s="78" t="e">
        <f t="shared" si="4"/>
        <v>#DIV/0!</v>
      </c>
      <c r="I20" s="94"/>
      <c r="J20" s="106">
        <f t="shared" si="5"/>
        <v>0</v>
      </c>
      <c r="K20" s="15"/>
    </row>
    <row r="21" spans="1:11" x14ac:dyDescent="0.35">
      <c r="A21" s="27"/>
      <c r="B21" s="26"/>
      <c r="C21" s="26"/>
      <c r="D21" s="59"/>
      <c r="E21" s="63">
        <v>0</v>
      </c>
      <c r="F21" s="49">
        <f>'Category Discounts'!$C10</f>
        <v>0</v>
      </c>
      <c r="G21" s="88">
        <f t="shared" si="3"/>
        <v>0</v>
      </c>
      <c r="H21" s="78" t="e">
        <f t="shared" si="4"/>
        <v>#DIV/0!</v>
      </c>
      <c r="I21" s="94"/>
      <c r="J21" s="106">
        <f t="shared" si="5"/>
        <v>0</v>
      </c>
      <c r="K21" s="15"/>
    </row>
    <row r="22" spans="1:11" x14ac:dyDescent="0.35">
      <c r="A22" s="25"/>
      <c r="B22" s="24"/>
      <c r="C22" s="24"/>
      <c r="D22" s="60"/>
      <c r="E22" s="64"/>
      <c r="F22" s="50"/>
      <c r="G22" s="68"/>
      <c r="H22" s="74"/>
      <c r="I22" s="95"/>
      <c r="J22" s="74"/>
      <c r="K22" s="23"/>
    </row>
    <row r="23" spans="1:11" x14ac:dyDescent="0.35">
      <c r="A23" s="22" t="s">
        <v>18</v>
      </c>
      <c r="B23" s="21"/>
      <c r="C23" s="21"/>
      <c r="D23" s="58"/>
      <c r="E23" s="62"/>
      <c r="F23" s="48"/>
      <c r="G23" s="67"/>
      <c r="H23" s="75"/>
      <c r="I23" s="96"/>
      <c r="J23" s="75"/>
      <c r="K23" s="20"/>
    </row>
    <row r="24" spans="1:11" ht="28.5" x14ac:dyDescent="0.35">
      <c r="A24" s="18" t="s">
        <v>19</v>
      </c>
      <c r="B24" s="17"/>
      <c r="C24" s="16"/>
      <c r="D24" s="59"/>
      <c r="E24" s="63">
        <v>0</v>
      </c>
      <c r="F24" s="49">
        <f>SUM('Category Discounts'!$C6)</f>
        <v>0</v>
      </c>
      <c r="G24" s="88">
        <f t="shared" ref="G24:G34" si="6">SUM(1-F24)*E24</f>
        <v>0</v>
      </c>
      <c r="H24" s="78" t="e">
        <f t="shared" ref="H24:H34" si="7">SUM(D24-G24)/D24</f>
        <v>#DIV/0!</v>
      </c>
      <c r="I24" s="94"/>
      <c r="J24" s="106">
        <f t="shared" ref="J24:J34" si="8">G24*I24</f>
        <v>0</v>
      </c>
      <c r="K24" s="15"/>
    </row>
    <row r="25" spans="1:11" x14ac:dyDescent="0.35">
      <c r="A25" s="19"/>
      <c r="B25" s="17"/>
      <c r="C25" s="16"/>
      <c r="D25" s="59"/>
      <c r="E25" s="63">
        <v>0</v>
      </c>
      <c r="F25" s="49">
        <f>SUM('Category Discounts'!$C7)</f>
        <v>0</v>
      </c>
      <c r="G25" s="88">
        <f t="shared" si="6"/>
        <v>0</v>
      </c>
      <c r="H25" s="78" t="e">
        <f t="shared" si="7"/>
        <v>#DIV/0!</v>
      </c>
      <c r="I25" s="94"/>
      <c r="J25" s="106">
        <f t="shared" si="8"/>
        <v>0</v>
      </c>
      <c r="K25" s="15"/>
    </row>
    <row r="26" spans="1:11" ht="28.5" x14ac:dyDescent="0.35">
      <c r="A26" s="18" t="s">
        <v>20</v>
      </c>
      <c r="B26" s="17"/>
      <c r="C26" s="16"/>
      <c r="D26" s="59"/>
      <c r="E26" s="63">
        <v>0</v>
      </c>
      <c r="F26" s="49">
        <f>SUM('Category Discounts'!$C8)</f>
        <v>0</v>
      </c>
      <c r="G26" s="88">
        <f t="shared" si="6"/>
        <v>0</v>
      </c>
      <c r="H26" s="78" t="e">
        <f t="shared" si="7"/>
        <v>#DIV/0!</v>
      </c>
      <c r="I26" s="94"/>
      <c r="J26" s="106">
        <f t="shared" si="8"/>
        <v>0</v>
      </c>
      <c r="K26" s="15"/>
    </row>
    <row r="27" spans="1:11" x14ac:dyDescent="0.35">
      <c r="A27" s="19"/>
      <c r="B27" s="17"/>
      <c r="C27" s="16"/>
      <c r="D27" s="59"/>
      <c r="E27" s="63">
        <v>0</v>
      </c>
      <c r="F27" s="49">
        <f>SUM('Category Discounts'!$C9)</f>
        <v>0</v>
      </c>
      <c r="G27" s="88">
        <f t="shared" si="6"/>
        <v>0</v>
      </c>
      <c r="H27" s="78" t="e">
        <f t="shared" si="7"/>
        <v>#DIV/0!</v>
      </c>
      <c r="I27" s="94"/>
      <c r="J27" s="106">
        <f t="shared" si="8"/>
        <v>0</v>
      </c>
      <c r="K27" s="15"/>
    </row>
    <row r="28" spans="1:11" ht="28.5" x14ac:dyDescent="0.35">
      <c r="A28" s="18" t="s">
        <v>21</v>
      </c>
      <c r="B28" s="17"/>
      <c r="C28" s="16"/>
      <c r="D28" s="59"/>
      <c r="E28" s="63">
        <v>0</v>
      </c>
      <c r="F28" s="49">
        <f>SUM('Category Discounts'!$C10)</f>
        <v>0</v>
      </c>
      <c r="G28" s="88">
        <f t="shared" si="6"/>
        <v>0</v>
      </c>
      <c r="H28" s="78" t="e">
        <f t="shared" si="7"/>
        <v>#DIV/0!</v>
      </c>
      <c r="I28" s="94"/>
      <c r="J28" s="106">
        <f t="shared" si="8"/>
        <v>0</v>
      </c>
      <c r="K28" s="15"/>
    </row>
    <row r="29" spans="1:11" x14ac:dyDescent="0.35">
      <c r="A29" s="19"/>
      <c r="B29" s="17"/>
      <c r="C29" s="16"/>
      <c r="D29" s="59"/>
      <c r="E29" s="63">
        <v>0</v>
      </c>
      <c r="F29" s="49">
        <f>SUM('Category Discounts'!$C11)</f>
        <v>0</v>
      </c>
      <c r="G29" s="88">
        <f t="shared" si="6"/>
        <v>0</v>
      </c>
      <c r="H29" s="78" t="e">
        <f t="shared" si="7"/>
        <v>#DIV/0!</v>
      </c>
      <c r="I29" s="94"/>
      <c r="J29" s="106">
        <f t="shared" si="8"/>
        <v>0</v>
      </c>
      <c r="K29" s="15"/>
    </row>
    <row r="30" spans="1:11" ht="28.5" x14ac:dyDescent="0.35">
      <c r="A30" s="18" t="s">
        <v>22</v>
      </c>
      <c r="B30" s="17"/>
      <c r="C30" s="16"/>
      <c r="D30" s="59"/>
      <c r="E30" s="63">
        <v>0</v>
      </c>
      <c r="F30" s="49">
        <f>SUM('Category Discounts'!$C12)</f>
        <v>0</v>
      </c>
      <c r="G30" s="88">
        <f t="shared" si="6"/>
        <v>0</v>
      </c>
      <c r="H30" s="78" t="e">
        <f t="shared" si="7"/>
        <v>#DIV/0!</v>
      </c>
      <c r="I30" s="94"/>
      <c r="J30" s="106">
        <f t="shared" si="8"/>
        <v>0</v>
      </c>
      <c r="K30" s="15"/>
    </row>
    <row r="31" spans="1:11" x14ac:dyDescent="0.35">
      <c r="A31" s="19"/>
      <c r="B31" s="17"/>
      <c r="C31" s="16"/>
      <c r="D31" s="59"/>
      <c r="E31" s="63">
        <v>0</v>
      </c>
      <c r="F31" s="49">
        <f>SUM('Category Discounts'!$C13)</f>
        <v>0</v>
      </c>
      <c r="G31" s="88">
        <f t="shared" si="6"/>
        <v>0</v>
      </c>
      <c r="H31" s="78" t="e">
        <f t="shared" si="7"/>
        <v>#DIV/0!</v>
      </c>
      <c r="I31" s="94"/>
      <c r="J31" s="106">
        <f t="shared" si="8"/>
        <v>0</v>
      </c>
      <c r="K31" s="15"/>
    </row>
    <row r="32" spans="1:11" ht="42.5" x14ac:dyDescent="0.35">
      <c r="A32" s="18" t="s">
        <v>23</v>
      </c>
      <c r="B32" s="17"/>
      <c r="C32" s="16"/>
      <c r="D32" s="59"/>
      <c r="E32" s="63">
        <v>0</v>
      </c>
      <c r="F32" s="49">
        <f>SUM('Category Discounts'!$C14)</f>
        <v>0</v>
      </c>
      <c r="G32" s="88">
        <f t="shared" si="6"/>
        <v>0</v>
      </c>
      <c r="H32" s="78" t="e">
        <f t="shared" si="7"/>
        <v>#DIV/0!</v>
      </c>
      <c r="I32" s="94"/>
      <c r="J32" s="106">
        <f t="shared" si="8"/>
        <v>0</v>
      </c>
      <c r="K32" s="15"/>
    </row>
    <row r="33" spans="1:11" x14ac:dyDescent="0.35">
      <c r="A33" s="19"/>
      <c r="B33" s="17"/>
      <c r="C33" s="16"/>
      <c r="D33" s="59"/>
      <c r="E33" s="63">
        <v>0</v>
      </c>
      <c r="F33" s="49">
        <f>SUM('Category Discounts'!$C15)</f>
        <v>0</v>
      </c>
      <c r="G33" s="88">
        <f t="shared" si="6"/>
        <v>0</v>
      </c>
      <c r="H33" s="78" t="e">
        <f t="shared" si="7"/>
        <v>#DIV/0!</v>
      </c>
      <c r="I33" s="94"/>
      <c r="J33" s="106">
        <f t="shared" si="8"/>
        <v>0</v>
      </c>
      <c r="K33" s="15"/>
    </row>
    <row r="34" spans="1:11" ht="42.5" x14ac:dyDescent="0.35">
      <c r="A34" s="18" t="s">
        <v>25</v>
      </c>
      <c r="B34" s="17"/>
      <c r="C34" s="16"/>
      <c r="D34" s="59"/>
      <c r="E34" s="63">
        <v>0</v>
      </c>
      <c r="F34" s="49">
        <f>SUM('Category Discounts'!$C16)</f>
        <v>0</v>
      </c>
      <c r="G34" s="88">
        <f t="shared" si="6"/>
        <v>0</v>
      </c>
      <c r="H34" s="78" t="e">
        <f t="shared" si="7"/>
        <v>#DIV/0!</v>
      </c>
      <c r="I34" s="94"/>
      <c r="J34" s="106">
        <f t="shared" si="8"/>
        <v>0</v>
      </c>
      <c r="K34" s="15"/>
    </row>
    <row r="35" spans="1:11" x14ac:dyDescent="0.35">
      <c r="A35" s="14"/>
      <c r="B35" s="13"/>
      <c r="C35" s="12"/>
      <c r="D35" s="65"/>
      <c r="E35" s="66"/>
      <c r="F35" s="51"/>
      <c r="G35" s="69"/>
      <c r="H35" s="69"/>
      <c r="I35" s="97"/>
      <c r="J35" s="69"/>
      <c r="K35" s="11"/>
    </row>
    <row r="36" spans="1:11" x14ac:dyDescent="0.35">
      <c r="A36" s="10"/>
      <c r="B36" s="9"/>
      <c r="C36" s="9"/>
      <c r="D36" s="9"/>
      <c r="E36" s="8"/>
      <c r="F36" s="52"/>
      <c r="G36" s="8"/>
      <c r="H36" s="8"/>
      <c r="I36" s="98"/>
      <c r="J36" s="104"/>
      <c r="K36" s="7"/>
    </row>
    <row r="37" spans="1:11" x14ac:dyDescent="0.35">
      <c r="G37" s="6"/>
      <c r="H37" s="6"/>
    </row>
  </sheetData>
  <mergeCells count="3">
    <mergeCell ref="E1:G1"/>
    <mergeCell ref="A1:B1"/>
    <mergeCell ref="A2:B2"/>
  </mergeCells>
  <pageMargins left="0.7" right="0.7" top="0.75" bottom="0.75" header="0.3" footer="0.3"/>
  <pageSetup scale="54" fitToHeight="0" orientation="landscape" horizontalDpi="1200" verticalDpi="1200" r:id="rId1"/>
  <headerFooter>
    <oddHeader>&amp;L&amp;"Times New Roman,Regular"&amp;12RFP No. 70RDA226R00000001 &amp;KFF0000Amendment 0001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5324-32B7-4642-AD67-F5FFA5F6D360}">
  <sheetPr>
    <pageSetUpPr fitToPage="1"/>
  </sheetPr>
  <dimension ref="A1:K37"/>
  <sheetViews>
    <sheetView view="pageLayout" zoomScaleNormal="100" workbookViewId="0">
      <selection activeCell="I1" sqref="I1:J1048576"/>
    </sheetView>
  </sheetViews>
  <sheetFormatPr defaultColWidth="9.26953125" defaultRowHeight="14.5" x14ac:dyDescent="0.35"/>
  <cols>
    <col min="1" max="1" width="72.7265625" style="5" customWidth="1"/>
    <col min="2" max="2" width="27.54296875" style="4" customWidth="1"/>
    <col min="3" max="3" width="23.54296875" style="4" customWidth="1"/>
    <col min="4" max="4" width="12.6328125" style="4" customWidth="1"/>
    <col min="5" max="5" width="11.36328125" style="2" customWidth="1"/>
    <col min="6" max="6" width="10.54296875" style="53" customWidth="1"/>
    <col min="7" max="8" width="11.7265625" style="3" customWidth="1"/>
    <col min="9" max="9" width="11.7265625" style="99" customWidth="1"/>
    <col min="10" max="10" width="11.7265625" style="105" customWidth="1"/>
    <col min="11" max="11" width="19" style="1" customWidth="1"/>
    <col min="12" max="16384" width="9.26953125" style="1"/>
  </cols>
  <sheetData>
    <row r="1" spans="1:11" s="33" customFormat="1" ht="15" x14ac:dyDescent="0.3">
      <c r="A1" s="113" t="s">
        <v>30</v>
      </c>
      <c r="B1" s="114"/>
      <c r="C1" s="44"/>
      <c r="D1" s="44"/>
      <c r="E1" s="112"/>
      <c r="F1" s="112"/>
      <c r="G1" s="112"/>
      <c r="H1" s="55"/>
      <c r="I1" s="89"/>
      <c r="J1" s="100"/>
      <c r="K1" s="43"/>
    </row>
    <row r="2" spans="1:11" s="33" customFormat="1" ht="15" x14ac:dyDescent="0.3">
      <c r="A2" s="115" t="s">
        <v>33</v>
      </c>
      <c r="B2" s="116"/>
      <c r="C2" s="116"/>
      <c r="D2" s="42"/>
      <c r="E2" s="42"/>
      <c r="F2" s="46"/>
      <c r="G2" s="45"/>
      <c r="H2" s="45"/>
      <c r="I2" s="90"/>
      <c r="J2" s="101"/>
      <c r="K2" s="41"/>
    </row>
    <row r="3" spans="1:11" s="33" customFormat="1" ht="46.5" customHeight="1" x14ac:dyDescent="0.3">
      <c r="A3" s="40" t="s">
        <v>0</v>
      </c>
      <c r="B3" s="39" t="s">
        <v>1</v>
      </c>
      <c r="C3" s="38" t="s">
        <v>2</v>
      </c>
      <c r="D3" s="36" t="s">
        <v>29</v>
      </c>
      <c r="E3" s="37" t="s">
        <v>3</v>
      </c>
      <c r="F3" s="47" t="s">
        <v>34</v>
      </c>
      <c r="G3" s="36" t="s">
        <v>4</v>
      </c>
      <c r="H3" s="76" t="s">
        <v>35</v>
      </c>
      <c r="I3" s="91" t="s">
        <v>38</v>
      </c>
      <c r="J3" s="102" t="s">
        <v>39</v>
      </c>
      <c r="K3" s="35" t="s">
        <v>5</v>
      </c>
    </row>
    <row r="4" spans="1:11" s="33" customFormat="1" ht="26" x14ac:dyDescent="0.3">
      <c r="A4" s="34" t="s">
        <v>6</v>
      </c>
      <c r="B4" s="34" t="s">
        <v>7</v>
      </c>
      <c r="C4" s="56" t="s">
        <v>8</v>
      </c>
      <c r="D4" s="57">
        <v>230000</v>
      </c>
      <c r="E4" s="70">
        <v>240000</v>
      </c>
      <c r="F4" s="71">
        <v>0.15</v>
      </c>
      <c r="G4" s="57">
        <f>SUM(1-F4)*E4</f>
        <v>204000</v>
      </c>
      <c r="H4" s="77">
        <f>SUM(D4-G4)/D4</f>
        <v>0.11304347826086956</v>
      </c>
      <c r="I4" s="92">
        <v>5</v>
      </c>
      <c r="J4" s="103">
        <f>G4*I4</f>
        <v>1020000</v>
      </c>
      <c r="K4" s="72" t="s">
        <v>24</v>
      </c>
    </row>
    <row r="5" spans="1:11" x14ac:dyDescent="0.35">
      <c r="A5" s="32" t="s">
        <v>9</v>
      </c>
      <c r="B5" s="31"/>
      <c r="C5" s="31"/>
      <c r="D5" s="58"/>
      <c r="E5" s="62"/>
      <c r="F5" s="48"/>
      <c r="G5" s="67"/>
      <c r="H5" s="73"/>
      <c r="I5" s="93"/>
      <c r="J5" s="73"/>
      <c r="K5" s="30"/>
    </row>
    <row r="6" spans="1:11" ht="28.5" x14ac:dyDescent="0.35">
      <c r="A6" s="18" t="s">
        <v>10</v>
      </c>
      <c r="B6" s="17"/>
      <c r="C6" s="16"/>
      <c r="D6" s="59"/>
      <c r="E6" s="63"/>
      <c r="F6" s="49">
        <f>'Category Discounts'!$C4</f>
        <v>0</v>
      </c>
      <c r="G6" s="88">
        <f>SUM(1-F6)*E6</f>
        <v>0</v>
      </c>
      <c r="H6" s="78" t="e">
        <f>SUM(D6-G6)/D6</f>
        <v>#DIV/0!</v>
      </c>
      <c r="I6" s="94"/>
      <c r="J6" s="106">
        <f>G6*I6</f>
        <v>0</v>
      </c>
      <c r="K6" s="15"/>
    </row>
    <row r="7" spans="1:11" x14ac:dyDescent="0.35">
      <c r="A7" s="19"/>
      <c r="B7" s="17"/>
      <c r="C7" s="16"/>
      <c r="D7" s="59"/>
      <c r="E7" s="63">
        <v>0</v>
      </c>
      <c r="F7" s="49">
        <f>'Category Discounts'!$C5</f>
        <v>0</v>
      </c>
      <c r="G7" s="88">
        <f t="shared" ref="G7:G13" si="0">SUM(1-F7)*E7</f>
        <v>0</v>
      </c>
      <c r="H7" s="78" t="e">
        <f t="shared" ref="H7:H13" si="1">SUM(D7-G7)/D7</f>
        <v>#DIV/0!</v>
      </c>
      <c r="I7" s="94"/>
      <c r="J7" s="106">
        <f t="shared" ref="J7:J13" si="2">G7*I7</f>
        <v>0</v>
      </c>
      <c r="K7" s="15"/>
    </row>
    <row r="8" spans="1:11" ht="28.5" x14ac:dyDescent="0.35">
      <c r="A8" s="18" t="s">
        <v>11</v>
      </c>
      <c r="B8" s="17"/>
      <c r="C8" s="16"/>
      <c r="D8" s="59"/>
      <c r="E8" s="63">
        <v>0</v>
      </c>
      <c r="F8" s="49">
        <f>'Category Discounts'!$C6</f>
        <v>0</v>
      </c>
      <c r="G8" s="88">
        <f t="shared" si="0"/>
        <v>0</v>
      </c>
      <c r="H8" s="78" t="e">
        <f t="shared" si="1"/>
        <v>#DIV/0!</v>
      </c>
      <c r="I8" s="94"/>
      <c r="J8" s="106">
        <f t="shared" si="2"/>
        <v>0</v>
      </c>
      <c r="K8" s="15"/>
    </row>
    <row r="9" spans="1:11" x14ac:dyDescent="0.35">
      <c r="A9" s="19"/>
      <c r="B9" s="17"/>
      <c r="C9" s="16"/>
      <c r="D9" s="59"/>
      <c r="E9" s="63">
        <v>0</v>
      </c>
      <c r="F9" s="49">
        <f>'Category Discounts'!$C7</f>
        <v>0</v>
      </c>
      <c r="G9" s="88">
        <f t="shared" si="0"/>
        <v>0</v>
      </c>
      <c r="H9" s="78" t="e">
        <f t="shared" si="1"/>
        <v>#DIV/0!</v>
      </c>
      <c r="I9" s="94"/>
      <c r="J9" s="106">
        <f t="shared" si="2"/>
        <v>0</v>
      </c>
      <c r="K9" s="15"/>
    </row>
    <row r="10" spans="1:11" ht="28.5" x14ac:dyDescent="0.35">
      <c r="A10" s="18" t="s">
        <v>12</v>
      </c>
      <c r="B10" s="17"/>
      <c r="C10" s="16"/>
      <c r="D10" s="59"/>
      <c r="E10" s="63">
        <v>0</v>
      </c>
      <c r="F10" s="49">
        <f>'Category Discounts'!$C8</f>
        <v>0</v>
      </c>
      <c r="G10" s="88">
        <f t="shared" si="0"/>
        <v>0</v>
      </c>
      <c r="H10" s="78" t="e">
        <f t="shared" si="1"/>
        <v>#DIV/0!</v>
      </c>
      <c r="I10" s="94"/>
      <c r="J10" s="106">
        <f t="shared" si="2"/>
        <v>0</v>
      </c>
      <c r="K10" s="15"/>
    </row>
    <row r="11" spans="1:11" x14ac:dyDescent="0.35">
      <c r="A11" s="19"/>
      <c r="B11" s="17"/>
      <c r="C11" s="16"/>
      <c r="D11" s="59"/>
      <c r="E11" s="63">
        <v>0</v>
      </c>
      <c r="F11" s="49">
        <f>'Category Discounts'!$C9</f>
        <v>0</v>
      </c>
      <c r="G11" s="88">
        <f t="shared" si="0"/>
        <v>0</v>
      </c>
      <c r="H11" s="78" t="e">
        <f t="shared" si="1"/>
        <v>#DIV/0!</v>
      </c>
      <c r="I11" s="94"/>
      <c r="J11" s="106">
        <f t="shared" si="2"/>
        <v>0</v>
      </c>
      <c r="K11" s="15"/>
    </row>
    <row r="12" spans="1:11" ht="28.5" x14ac:dyDescent="0.35">
      <c r="A12" s="18" t="s">
        <v>13</v>
      </c>
      <c r="B12" s="17"/>
      <c r="C12" s="16"/>
      <c r="D12" s="59"/>
      <c r="E12" s="63">
        <v>0</v>
      </c>
      <c r="F12" s="49">
        <f>'Category Discounts'!$C10</f>
        <v>0</v>
      </c>
      <c r="G12" s="88">
        <f t="shared" si="0"/>
        <v>0</v>
      </c>
      <c r="H12" s="78" t="e">
        <f t="shared" si="1"/>
        <v>#DIV/0!</v>
      </c>
      <c r="I12" s="94"/>
      <c r="J12" s="106">
        <f t="shared" si="2"/>
        <v>0</v>
      </c>
      <c r="K12" s="15"/>
    </row>
    <row r="13" spans="1:11" x14ac:dyDescent="0.35">
      <c r="A13" s="27"/>
      <c r="B13" s="26"/>
      <c r="C13" s="26"/>
      <c r="D13" s="59"/>
      <c r="E13" s="63">
        <v>0</v>
      </c>
      <c r="F13" s="49">
        <f>'Category Discounts'!$C11</f>
        <v>0</v>
      </c>
      <c r="G13" s="88">
        <f t="shared" si="0"/>
        <v>0</v>
      </c>
      <c r="H13" s="78" t="e">
        <f t="shared" si="1"/>
        <v>#DIV/0!</v>
      </c>
      <c r="I13" s="94"/>
      <c r="J13" s="106">
        <f t="shared" si="2"/>
        <v>0</v>
      </c>
      <c r="K13" s="15"/>
    </row>
    <row r="14" spans="1:11" x14ac:dyDescent="0.35">
      <c r="A14" s="25"/>
      <c r="B14" s="24"/>
      <c r="C14" s="24"/>
      <c r="D14" s="60"/>
      <c r="E14" s="64"/>
      <c r="F14" s="50"/>
      <c r="G14" s="68"/>
      <c r="H14" s="74"/>
      <c r="I14" s="95"/>
      <c r="J14" s="74"/>
      <c r="K14" s="23"/>
    </row>
    <row r="15" spans="1:11" x14ac:dyDescent="0.35">
      <c r="A15" s="22" t="s">
        <v>14</v>
      </c>
      <c r="B15" s="21"/>
      <c r="C15" s="21"/>
      <c r="D15" s="58"/>
      <c r="E15" s="62"/>
      <c r="F15" s="48"/>
      <c r="G15" s="67"/>
      <c r="H15" s="75"/>
      <c r="I15" s="96"/>
      <c r="J15" s="75"/>
      <c r="K15" s="20"/>
    </row>
    <row r="16" spans="1:11" ht="54.75" customHeight="1" x14ac:dyDescent="0.35">
      <c r="A16" s="18" t="s">
        <v>15</v>
      </c>
      <c r="B16" s="29"/>
      <c r="C16" s="28"/>
      <c r="D16" s="61"/>
      <c r="E16" s="63">
        <v>0</v>
      </c>
      <c r="F16" s="49">
        <f>'Category Discounts'!$C5</f>
        <v>0</v>
      </c>
      <c r="G16" s="88">
        <f t="shared" ref="G16:G21" si="3">SUM(1-F16)*E16</f>
        <v>0</v>
      </c>
      <c r="H16" s="78" t="e">
        <f t="shared" ref="H16:H21" si="4">SUM(D16-G16)/D16</f>
        <v>#DIV/0!</v>
      </c>
      <c r="I16" s="94"/>
      <c r="J16" s="106">
        <f t="shared" ref="J16:J21" si="5">G16*I16</f>
        <v>0</v>
      </c>
      <c r="K16" s="15"/>
    </row>
    <row r="17" spans="1:11" x14ac:dyDescent="0.35">
      <c r="A17" s="19"/>
      <c r="B17" s="29"/>
      <c r="C17" s="28"/>
      <c r="D17" s="61"/>
      <c r="E17" s="63">
        <v>0</v>
      </c>
      <c r="F17" s="49">
        <f>'Category Discounts'!$C6</f>
        <v>0</v>
      </c>
      <c r="G17" s="88">
        <f t="shared" si="3"/>
        <v>0</v>
      </c>
      <c r="H17" s="78" t="e">
        <f t="shared" si="4"/>
        <v>#DIV/0!</v>
      </c>
      <c r="I17" s="94"/>
      <c r="J17" s="106">
        <f t="shared" si="5"/>
        <v>0</v>
      </c>
      <c r="K17" s="15"/>
    </row>
    <row r="18" spans="1:11" ht="42.5" x14ac:dyDescent="0.35">
      <c r="A18" s="18" t="s">
        <v>16</v>
      </c>
      <c r="B18" s="29"/>
      <c r="C18" s="28"/>
      <c r="D18" s="61"/>
      <c r="E18" s="63">
        <v>0</v>
      </c>
      <c r="F18" s="49">
        <f>'Category Discounts'!$C7</f>
        <v>0</v>
      </c>
      <c r="G18" s="88">
        <f t="shared" si="3"/>
        <v>0</v>
      </c>
      <c r="H18" s="78" t="e">
        <f t="shared" si="4"/>
        <v>#DIV/0!</v>
      </c>
      <c r="I18" s="94"/>
      <c r="J18" s="106">
        <f t="shared" si="5"/>
        <v>0</v>
      </c>
      <c r="K18" s="15"/>
    </row>
    <row r="19" spans="1:11" x14ac:dyDescent="0.35">
      <c r="A19" s="19"/>
      <c r="B19" s="29"/>
      <c r="C19" s="28"/>
      <c r="D19" s="61"/>
      <c r="E19" s="63">
        <v>0</v>
      </c>
      <c r="F19" s="49">
        <f>'Category Discounts'!$C8</f>
        <v>0</v>
      </c>
      <c r="G19" s="88">
        <f t="shared" si="3"/>
        <v>0</v>
      </c>
      <c r="H19" s="78" t="e">
        <f t="shared" si="4"/>
        <v>#DIV/0!</v>
      </c>
      <c r="I19" s="94"/>
      <c r="J19" s="106">
        <f t="shared" si="5"/>
        <v>0</v>
      </c>
      <c r="K19" s="15"/>
    </row>
    <row r="20" spans="1:11" ht="28.5" x14ac:dyDescent="0.35">
      <c r="A20" s="18" t="s">
        <v>17</v>
      </c>
      <c r="B20" s="17"/>
      <c r="C20" s="16"/>
      <c r="D20" s="59"/>
      <c r="E20" s="63">
        <v>0</v>
      </c>
      <c r="F20" s="49">
        <f>'Category Discounts'!$C9</f>
        <v>0</v>
      </c>
      <c r="G20" s="88">
        <f t="shared" si="3"/>
        <v>0</v>
      </c>
      <c r="H20" s="78" t="e">
        <f t="shared" si="4"/>
        <v>#DIV/0!</v>
      </c>
      <c r="I20" s="94"/>
      <c r="J20" s="106">
        <f t="shared" si="5"/>
        <v>0</v>
      </c>
      <c r="K20" s="15"/>
    </row>
    <row r="21" spans="1:11" x14ac:dyDescent="0.35">
      <c r="A21" s="27"/>
      <c r="B21" s="26"/>
      <c r="C21" s="26"/>
      <c r="D21" s="59"/>
      <c r="E21" s="63">
        <v>0</v>
      </c>
      <c r="F21" s="49">
        <f>'Category Discounts'!$C10</f>
        <v>0</v>
      </c>
      <c r="G21" s="88">
        <f t="shared" si="3"/>
        <v>0</v>
      </c>
      <c r="H21" s="78" t="e">
        <f t="shared" si="4"/>
        <v>#DIV/0!</v>
      </c>
      <c r="I21" s="94"/>
      <c r="J21" s="106">
        <f t="shared" si="5"/>
        <v>0</v>
      </c>
      <c r="K21" s="15"/>
    </row>
    <row r="22" spans="1:11" x14ac:dyDescent="0.35">
      <c r="A22" s="25"/>
      <c r="B22" s="24"/>
      <c r="C22" s="24"/>
      <c r="D22" s="60"/>
      <c r="E22" s="64"/>
      <c r="F22" s="50"/>
      <c r="G22" s="68"/>
      <c r="H22" s="74"/>
      <c r="I22" s="95"/>
      <c r="J22" s="74"/>
      <c r="K22" s="23"/>
    </row>
    <row r="23" spans="1:11" x14ac:dyDescent="0.35">
      <c r="A23" s="22" t="s">
        <v>18</v>
      </c>
      <c r="B23" s="21"/>
      <c r="C23" s="21"/>
      <c r="D23" s="58"/>
      <c r="E23" s="62"/>
      <c r="F23" s="48"/>
      <c r="G23" s="67"/>
      <c r="H23" s="75"/>
      <c r="I23" s="96"/>
      <c r="J23" s="75"/>
      <c r="K23" s="20"/>
    </row>
    <row r="24" spans="1:11" ht="28.5" x14ac:dyDescent="0.35">
      <c r="A24" s="18" t="s">
        <v>19</v>
      </c>
      <c r="B24" s="17"/>
      <c r="C24" s="16"/>
      <c r="D24" s="59"/>
      <c r="E24" s="63">
        <v>0</v>
      </c>
      <c r="F24" s="49">
        <f>SUM('Category Discounts'!$C6)</f>
        <v>0</v>
      </c>
      <c r="G24" s="88">
        <f t="shared" ref="G24:G34" si="6">SUM(1-F24)*E24</f>
        <v>0</v>
      </c>
      <c r="H24" s="78" t="e">
        <f t="shared" ref="H24:H34" si="7">SUM(D24-G24)/D24</f>
        <v>#DIV/0!</v>
      </c>
      <c r="I24" s="94"/>
      <c r="J24" s="106">
        <f t="shared" ref="J24:J34" si="8">G24*I24</f>
        <v>0</v>
      </c>
      <c r="K24" s="15"/>
    </row>
    <row r="25" spans="1:11" x14ac:dyDescent="0.35">
      <c r="A25" s="19"/>
      <c r="B25" s="17"/>
      <c r="C25" s="16"/>
      <c r="D25" s="59"/>
      <c r="E25" s="63">
        <v>0</v>
      </c>
      <c r="F25" s="49">
        <f>SUM('Category Discounts'!$C7)</f>
        <v>0</v>
      </c>
      <c r="G25" s="88">
        <f t="shared" si="6"/>
        <v>0</v>
      </c>
      <c r="H25" s="78" t="e">
        <f t="shared" si="7"/>
        <v>#DIV/0!</v>
      </c>
      <c r="I25" s="94"/>
      <c r="J25" s="106">
        <f t="shared" si="8"/>
        <v>0</v>
      </c>
      <c r="K25" s="15"/>
    </row>
    <row r="26" spans="1:11" ht="28.5" x14ac:dyDescent="0.35">
      <c r="A26" s="18" t="s">
        <v>20</v>
      </c>
      <c r="B26" s="17"/>
      <c r="C26" s="16"/>
      <c r="D26" s="59"/>
      <c r="E26" s="63">
        <v>0</v>
      </c>
      <c r="F26" s="49">
        <f>SUM('Category Discounts'!$C8)</f>
        <v>0</v>
      </c>
      <c r="G26" s="88">
        <f t="shared" si="6"/>
        <v>0</v>
      </c>
      <c r="H26" s="78" t="e">
        <f t="shared" si="7"/>
        <v>#DIV/0!</v>
      </c>
      <c r="I26" s="94"/>
      <c r="J26" s="106">
        <f t="shared" si="8"/>
        <v>0</v>
      </c>
      <c r="K26" s="15"/>
    </row>
    <row r="27" spans="1:11" x14ac:dyDescent="0.35">
      <c r="A27" s="19"/>
      <c r="B27" s="17"/>
      <c r="C27" s="16"/>
      <c r="D27" s="59"/>
      <c r="E27" s="63">
        <v>0</v>
      </c>
      <c r="F27" s="49">
        <f>SUM('Category Discounts'!$C9)</f>
        <v>0</v>
      </c>
      <c r="G27" s="88">
        <f t="shared" si="6"/>
        <v>0</v>
      </c>
      <c r="H27" s="78" t="e">
        <f t="shared" si="7"/>
        <v>#DIV/0!</v>
      </c>
      <c r="I27" s="94"/>
      <c r="J27" s="106">
        <f t="shared" si="8"/>
        <v>0</v>
      </c>
      <c r="K27" s="15"/>
    </row>
    <row r="28" spans="1:11" ht="28.5" x14ac:dyDescent="0.35">
      <c r="A28" s="18" t="s">
        <v>21</v>
      </c>
      <c r="B28" s="17"/>
      <c r="C28" s="16"/>
      <c r="D28" s="59"/>
      <c r="E28" s="63">
        <v>0</v>
      </c>
      <c r="F28" s="49">
        <f>SUM('Category Discounts'!$C10)</f>
        <v>0</v>
      </c>
      <c r="G28" s="88">
        <f t="shared" si="6"/>
        <v>0</v>
      </c>
      <c r="H28" s="78" t="e">
        <f t="shared" si="7"/>
        <v>#DIV/0!</v>
      </c>
      <c r="I28" s="94"/>
      <c r="J28" s="106">
        <f t="shared" si="8"/>
        <v>0</v>
      </c>
      <c r="K28" s="15"/>
    </row>
    <row r="29" spans="1:11" x14ac:dyDescent="0.35">
      <c r="A29" s="19"/>
      <c r="B29" s="17"/>
      <c r="C29" s="16"/>
      <c r="D29" s="59"/>
      <c r="E29" s="63">
        <v>0</v>
      </c>
      <c r="F29" s="49">
        <f>SUM('Category Discounts'!$C11)</f>
        <v>0</v>
      </c>
      <c r="G29" s="88">
        <f t="shared" si="6"/>
        <v>0</v>
      </c>
      <c r="H29" s="78" t="e">
        <f t="shared" si="7"/>
        <v>#DIV/0!</v>
      </c>
      <c r="I29" s="94"/>
      <c r="J29" s="106">
        <f t="shared" si="8"/>
        <v>0</v>
      </c>
      <c r="K29" s="15"/>
    </row>
    <row r="30" spans="1:11" ht="28.5" x14ac:dyDescent="0.35">
      <c r="A30" s="18" t="s">
        <v>22</v>
      </c>
      <c r="B30" s="17"/>
      <c r="C30" s="16"/>
      <c r="D30" s="59"/>
      <c r="E30" s="63">
        <v>0</v>
      </c>
      <c r="F30" s="49">
        <f>SUM('Category Discounts'!$C12)</f>
        <v>0</v>
      </c>
      <c r="G30" s="88">
        <f t="shared" si="6"/>
        <v>0</v>
      </c>
      <c r="H30" s="78" t="e">
        <f t="shared" si="7"/>
        <v>#DIV/0!</v>
      </c>
      <c r="I30" s="94"/>
      <c r="J30" s="106">
        <f t="shared" si="8"/>
        <v>0</v>
      </c>
      <c r="K30" s="15"/>
    </row>
    <row r="31" spans="1:11" x14ac:dyDescent="0.35">
      <c r="A31" s="19"/>
      <c r="B31" s="17"/>
      <c r="C31" s="16"/>
      <c r="D31" s="59"/>
      <c r="E31" s="63">
        <v>0</v>
      </c>
      <c r="F31" s="49">
        <f>SUM('Category Discounts'!$C13)</f>
        <v>0</v>
      </c>
      <c r="G31" s="88">
        <f t="shared" si="6"/>
        <v>0</v>
      </c>
      <c r="H31" s="78" t="e">
        <f t="shared" si="7"/>
        <v>#DIV/0!</v>
      </c>
      <c r="I31" s="94"/>
      <c r="J31" s="106">
        <f t="shared" si="8"/>
        <v>0</v>
      </c>
      <c r="K31" s="15"/>
    </row>
    <row r="32" spans="1:11" ht="42.5" x14ac:dyDescent="0.35">
      <c r="A32" s="18" t="s">
        <v>23</v>
      </c>
      <c r="B32" s="17"/>
      <c r="C32" s="16"/>
      <c r="D32" s="59"/>
      <c r="E32" s="63">
        <v>0</v>
      </c>
      <c r="F32" s="49">
        <f>SUM('Category Discounts'!$C14)</f>
        <v>0</v>
      </c>
      <c r="G32" s="88">
        <f t="shared" si="6"/>
        <v>0</v>
      </c>
      <c r="H32" s="78" t="e">
        <f t="shared" si="7"/>
        <v>#DIV/0!</v>
      </c>
      <c r="I32" s="94"/>
      <c r="J32" s="106">
        <f t="shared" si="8"/>
        <v>0</v>
      </c>
      <c r="K32" s="15"/>
    </row>
    <row r="33" spans="1:11" x14ac:dyDescent="0.35">
      <c r="A33" s="19"/>
      <c r="B33" s="17"/>
      <c r="C33" s="16"/>
      <c r="D33" s="59"/>
      <c r="E33" s="63">
        <v>0</v>
      </c>
      <c r="F33" s="49">
        <f>SUM('Category Discounts'!$C15)</f>
        <v>0</v>
      </c>
      <c r="G33" s="88">
        <f t="shared" si="6"/>
        <v>0</v>
      </c>
      <c r="H33" s="78" t="e">
        <f t="shared" si="7"/>
        <v>#DIV/0!</v>
      </c>
      <c r="I33" s="94"/>
      <c r="J33" s="106">
        <f t="shared" si="8"/>
        <v>0</v>
      </c>
      <c r="K33" s="15"/>
    </row>
    <row r="34" spans="1:11" ht="42.5" x14ac:dyDescent="0.35">
      <c r="A34" s="18" t="s">
        <v>25</v>
      </c>
      <c r="B34" s="17"/>
      <c r="C34" s="16"/>
      <c r="D34" s="59"/>
      <c r="E34" s="63">
        <v>0</v>
      </c>
      <c r="F34" s="49">
        <f>SUM('Category Discounts'!$C16)</f>
        <v>0</v>
      </c>
      <c r="G34" s="88">
        <f t="shared" si="6"/>
        <v>0</v>
      </c>
      <c r="H34" s="78" t="e">
        <f t="shared" si="7"/>
        <v>#DIV/0!</v>
      </c>
      <c r="I34" s="94"/>
      <c r="J34" s="106">
        <f t="shared" si="8"/>
        <v>0</v>
      </c>
      <c r="K34" s="15"/>
    </row>
    <row r="35" spans="1:11" x14ac:dyDescent="0.35">
      <c r="A35" s="14"/>
      <c r="B35" s="13"/>
      <c r="C35" s="12"/>
      <c r="D35" s="65"/>
      <c r="E35" s="66"/>
      <c r="F35" s="51"/>
      <c r="G35" s="69"/>
      <c r="H35" s="69"/>
      <c r="I35" s="97"/>
      <c r="J35" s="69"/>
      <c r="K35" s="11"/>
    </row>
    <row r="36" spans="1:11" x14ac:dyDescent="0.35">
      <c r="A36" s="10"/>
      <c r="B36" s="9"/>
      <c r="C36" s="9"/>
      <c r="D36" s="9"/>
      <c r="E36" s="8"/>
      <c r="F36" s="52"/>
      <c r="G36" s="8"/>
      <c r="H36" s="8"/>
      <c r="I36" s="98"/>
      <c r="J36" s="104"/>
      <c r="K36" s="7"/>
    </row>
    <row r="37" spans="1:11" x14ac:dyDescent="0.35">
      <c r="G37" s="6"/>
      <c r="H37" s="6"/>
    </row>
  </sheetData>
  <mergeCells count="3">
    <mergeCell ref="E1:G1"/>
    <mergeCell ref="A1:B1"/>
    <mergeCell ref="A2:C2"/>
  </mergeCells>
  <pageMargins left="0.7" right="0.7" top="0.75" bottom="0.75" header="0.3" footer="0.3"/>
  <pageSetup scale="54" fitToHeight="0" orientation="landscape" horizontalDpi="1200" verticalDpi="1200" r:id="rId1"/>
  <headerFooter>
    <oddHeader>&amp;L&amp;"Times New Roman,Regular"&amp;12RFP No. 70RDA226R00000001 &amp;KFF0000Amendment 0001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A47C5-BCA6-4EAC-82EC-5C032240671B}">
  <dimension ref="A1"/>
  <sheetViews>
    <sheetView workbookViewId="0">
      <selection activeCell="D13" sqref="D13"/>
    </sheetView>
  </sheetViews>
  <sheetFormatPr defaultRowHeight="14.5"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Category Discounts</vt:lpstr>
      <vt:lpstr>Use Case Scenario #1</vt:lpstr>
      <vt:lpstr>Use Case Scenario #2</vt:lpstr>
      <vt:lpstr>Use Case Scenario #3</vt:lpstr>
      <vt:lpstr>Narrative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2025-11-20T16:09:43Z</dcterms:created>
  <dcterms:modified xsi:type="dcterms:W3CDTF">2025-11-26T21:00:42Z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2025-11-20T16:10:04Z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30ab7460-227b-4d84-b390-cacf17bf7394</vt:lpwstr>
  </property>
  <property fmtid="{D5CDD505-2E9C-101B-9397-08002B2CF9AE}" pid="8" name="MSIP_Label_a2eef23d-2e95-4428-9a3c-2526d95b164a_ContentBits">
    <vt:lpwstr>0</vt:lpwstr>
  </property>
</Properties>
</file>